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0C4B6D58-B2E1-41BA-8CB1-DC1EF864E538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8" i="3"/>
  <c r="R765" i="1"/>
  <c r="S765" i="1" s="1"/>
  <c r="T765" i="1" s="1"/>
  <c r="C118" i="4"/>
  <c r="C122" i="4"/>
  <c r="C133" i="4" s="1"/>
  <c r="C136" i="4" s="1"/>
  <c r="C118" i="5"/>
  <c r="C122" i="5"/>
  <c r="C133" i="5" s="1"/>
  <c r="D136" i="5" s="1"/>
  <c r="C122" i="3"/>
  <c r="C133" i="3" s="1"/>
  <c r="C136" i="3" s="1"/>
  <c r="R764" i="1" l="1"/>
  <c r="R763" i="1" s="1"/>
  <c r="D136" i="4"/>
  <c r="C138" i="4" s="1"/>
  <c r="C136" i="5"/>
  <c r="C138" i="5" s="1"/>
  <c r="D136" i="3"/>
  <c r="C138" i="3" s="1"/>
  <c r="S764" i="1" l="1"/>
  <c r="T764" i="1" s="1"/>
  <c r="S763" i="1"/>
  <c r="T763" i="1" s="1"/>
  <c r="R762" i="1"/>
  <c r="S762" i="1" l="1"/>
  <c r="T762" i="1" s="1"/>
  <c r="R761" i="1"/>
  <c r="R760" i="1" l="1"/>
  <c r="S761" i="1"/>
  <c r="T761" i="1" s="1"/>
  <c r="S760" i="1" l="1"/>
  <c r="T760" i="1" s="1"/>
  <c r="R759" i="1"/>
  <c r="R758" i="1" l="1"/>
  <c r="S759" i="1"/>
  <c r="T759" i="1" s="1"/>
  <c r="S758" i="1" l="1"/>
  <c r="T758" i="1" s="1"/>
  <c r="R757" i="1"/>
  <c r="R756" i="1" l="1"/>
  <c r="S757" i="1"/>
  <c r="T757" i="1" s="1"/>
  <c r="S756" i="1" l="1"/>
  <c r="T756" i="1" s="1"/>
  <c r="R755" i="1"/>
  <c r="R754" i="1" l="1"/>
  <c r="S755" i="1"/>
  <c r="T755" i="1" s="1"/>
  <c r="S754" i="1" l="1"/>
  <c r="T754" i="1" s="1"/>
  <c r="R753" i="1"/>
  <c r="R752" i="1" l="1"/>
  <c r="S753" i="1"/>
  <c r="T753" i="1" s="1"/>
  <c r="R751" i="1" l="1"/>
  <c r="S752" i="1"/>
  <c r="T752" i="1" s="1"/>
  <c r="R750" i="1" l="1"/>
  <c r="S751" i="1"/>
  <c r="T751" i="1" s="1"/>
  <c r="S750" i="1" l="1"/>
  <c r="T750" i="1" s="1"/>
  <c r="R749" i="1"/>
  <c r="S749" i="1" l="1"/>
  <c r="T749" i="1" s="1"/>
  <c r="R748" i="1"/>
  <c r="S748" i="1" l="1"/>
  <c r="T748" i="1" s="1"/>
  <c r="R747" i="1"/>
  <c r="R746" i="1" l="1"/>
  <c r="S747" i="1"/>
  <c r="T747" i="1" s="1"/>
  <c r="R745" i="1" l="1"/>
  <c r="S746" i="1"/>
  <c r="T746" i="1" s="1"/>
  <c r="S745" i="1" l="1"/>
  <c r="T745" i="1" s="1"/>
  <c r="R744" i="1"/>
  <c r="R743" i="1" l="1"/>
  <c r="S744" i="1"/>
  <c r="T744" i="1" s="1"/>
  <c r="R742" i="1" l="1"/>
  <c r="S743" i="1"/>
  <c r="T743" i="1" s="1"/>
  <c r="S742" i="1" l="1"/>
  <c r="T742" i="1" s="1"/>
  <c r="R741" i="1"/>
  <c r="S741" i="1" l="1"/>
  <c r="T741" i="1" s="1"/>
  <c r="R740" i="1"/>
  <c r="R739" i="1" l="1"/>
  <c r="S740" i="1"/>
  <c r="T740" i="1" s="1"/>
  <c r="R738" i="1" l="1"/>
  <c r="S739" i="1"/>
  <c r="T739" i="1" s="1"/>
  <c r="S738" i="1" l="1"/>
  <c r="T738" i="1" s="1"/>
  <c r="R737" i="1"/>
  <c r="R736" i="1" l="1"/>
  <c r="S737" i="1"/>
  <c r="T737" i="1" s="1"/>
  <c r="R735" i="1" l="1"/>
  <c r="S736" i="1"/>
  <c r="T736" i="1" s="1"/>
  <c r="R734" i="1" l="1"/>
  <c r="S735" i="1"/>
  <c r="T735" i="1" s="1"/>
  <c r="S734" i="1" l="1"/>
  <c r="T734" i="1" s="1"/>
  <c r="R733" i="1"/>
  <c r="S733" i="1" l="1"/>
  <c r="T733" i="1" s="1"/>
  <c r="R732" i="1"/>
  <c r="R731" i="1" l="1"/>
  <c r="S732" i="1"/>
  <c r="T732" i="1" s="1"/>
  <c r="R730" i="1" l="1"/>
  <c r="S731" i="1"/>
  <c r="T731" i="1" s="1"/>
  <c r="S730" i="1" l="1"/>
  <c r="T730" i="1" s="1"/>
  <c r="R729" i="1"/>
  <c r="S729" i="1" l="1"/>
  <c r="T729" i="1" s="1"/>
  <c r="R728" i="1"/>
  <c r="R727" i="1" l="1"/>
  <c r="S728" i="1"/>
  <c r="T728" i="1" s="1"/>
  <c r="S727" i="1" l="1"/>
  <c r="T727" i="1" s="1"/>
  <c r="R726" i="1"/>
  <c r="S726" i="1" l="1"/>
  <c r="T726" i="1" s="1"/>
  <c r="R725" i="1"/>
  <c r="R724" i="1" l="1"/>
  <c r="S725" i="1"/>
  <c r="T725" i="1" s="1"/>
  <c r="R723" i="1" l="1"/>
  <c r="S724" i="1"/>
  <c r="T724" i="1" s="1"/>
  <c r="S723" i="1" l="1"/>
  <c r="T723" i="1" s="1"/>
  <c r="R722" i="1"/>
  <c r="R721" i="1" l="1"/>
  <c r="S722" i="1"/>
  <c r="T722" i="1" s="1"/>
  <c r="R720" i="1" l="1"/>
  <c r="S721" i="1"/>
  <c r="T721" i="1" s="1"/>
  <c r="R719" i="1" l="1"/>
  <c r="S720" i="1"/>
  <c r="T720" i="1" s="1"/>
  <c r="S719" i="1" l="1"/>
  <c r="T719" i="1" s="1"/>
  <c r="R718" i="1"/>
  <c r="S718" i="1" l="1"/>
  <c r="T718" i="1" s="1"/>
  <c r="R717" i="1"/>
  <c r="R716" i="1" l="1"/>
  <c r="S717" i="1"/>
  <c r="T717" i="1" s="1"/>
  <c r="R715" i="1" l="1"/>
  <c r="S716" i="1"/>
  <c r="T716" i="1" s="1"/>
  <c r="S715" i="1" l="1"/>
  <c r="T715" i="1" s="1"/>
  <c r="R714" i="1"/>
  <c r="S714" i="1" l="1"/>
  <c r="T714" i="1" s="1"/>
  <c r="R713" i="1"/>
  <c r="R712" i="1" l="1"/>
  <c r="S713" i="1"/>
  <c r="T713" i="1" s="1"/>
  <c r="R711" i="1" l="1"/>
  <c r="S712" i="1"/>
  <c r="T712" i="1" s="1"/>
  <c r="S711" i="1" l="1"/>
  <c r="T711" i="1" s="1"/>
  <c r="R710" i="1"/>
  <c r="S710" i="1" l="1"/>
  <c r="T710" i="1" s="1"/>
  <c r="R709" i="1"/>
  <c r="R708" i="1" l="1"/>
  <c r="S709" i="1"/>
  <c r="T709" i="1" s="1"/>
  <c r="R707" i="1" l="1"/>
  <c r="S708" i="1"/>
  <c r="T708" i="1" s="1"/>
  <c r="S707" i="1" l="1"/>
  <c r="T707" i="1" s="1"/>
  <c r="R706" i="1"/>
  <c r="S706" i="1" l="1"/>
  <c r="T706" i="1" s="1"/>
  <c r="R705" i="1"/>
  <c r="R704" i="1" l="1"/>
  <c r="S705" i="1"/>
  <c r="T705" i="1" s="1"/>
  <c r="R703" i="1" l="1"/>
  <c r="S704" i="1"/>
  <c r="T704" i="1" s="1"/>
  <c r="S703" i="1" l="1"/>
  <c r="T703" i="1" s="1"/>
  <c r="R702" i="1"/>
  <c r="S702" i="1" l="1"/>
  <c r="T702" i="1" s="1"/>
  <c r="R701" i="1"/>
  <c r="S701" i="1" l="1"/>
  <c r="T701" i="1" s="1"/>
  <c r="R700" i="1"/>
  <c r="S700" i="1" l="1"/>
  <c r="T700" i="1" s="1"/>
  <c r="R699" i="1"/>
  <c r="R698" i="1" l="1"/>
  <c r="S699" i="1"/>
  <c r="T699" i="1" s="1"/>
  <c r="R697" i="1" l="1"/>
  <c r="S698" i="1"/>
  <c r="T698" i="1" s="1"/>
  <c r="S697" i="1" l="1"/>
  <c r="T697" i="1" s="1"/>
  <c r="R696" i="1"/>
  <c r="S696" i="1" l="1"/>
  <c r="T696" i="1" s="1"/>
  <c r="R695" i="1"/>
  <c r="R694" i="1" l="1"/>
  <c r="S695" i="1"/>
  <c r="T695" i="1" s="1"/>
  <c r="R693" i="1" l="1"/>
  <c r="S694" i="1"/>
  <c r="T694" i="1" s="1"/>
  <c r="S693" i="1" l="1"/>
  <c r="T693" i="1" s="1"/>
  <c r="R692" i="1"/>
  <c r="S692" i="1" l="1"/>
  <c r="T692" i="1" s="1"/>
  <c r="R691" i="1"/>
  <c r="R690" i="1" l="1"/>
  <c r="S691" i="1"/>
  <c r="T691" i="1" s="1"/>
  <c r="R689" i="1" l="1"/>
  <c r="S690" i="1"/>
  <c r="T690" i="1" s="1"/>
  <c r="R688" i="1" l="1"/>
  <c r="S689" i="1"/>
  <c r="T689" i="1" s="1"/>
  <c r="S688" i="1" l="1"/>
  <c r="T688" i="1" s="1"/>
  <c r="R687" i="1"/>
  <c r="S687" i="1" l="1"/>
  <c r="T687" i="1" s="1"/>
  <c r="R686" i="1"/>
  <c r="R685" i="1" l="1"/>
  <c r="S686" i="1"/>
  <c r="T686" i="1" s="1"/>
  <c r="R684" i="1" l="1"/>
  <c r="S685" i="1"/>
  <c r="T685" i="1" s="1"/>
  <c r="S684" i="1" l="1"/>
  <c r="T684" i="1" s="1"/>
  <c r="R683" i="1"/>
  <c r="S683" i="1" l="1"/>
  <c r="T683" i="1" s="1"/>
  <c r="R682" i="1"/>
  <c r="S682" i="1" l="1"/>
  <c r="T682" i="1" s="1"/>
  <c r="R681" i="1"/>
  <c r="R680" i="1" l="1"/>
  <c r="S681" i="1"/>
  <c r="T681" i="1" s="1"/>
  <c r="R679" i="1" l="1"/>
  <c r="S680" i="1"/>
  <c r="T680" i="1" s="1"/>
  <c r="S679" i="1" l="1"/>
  <c r="T679" i="1" s="1"/>
  <c r="R678" i="1"/>
  <c r="S678" i="1" l="1"/>
  <c r="T678" i="1" s="1"/>
  <c r="R677" i="1"/>
  <c r="R676" i="1" l="1"/>
  <c r="S677" i="1"/>
  <c r="T677" i="1" s="1"/>
  <c r="R675" i="1" l="1"/>
  <c r="S676" i="1"/>
  <c r="T676" i="1" s="1"/>
  <c r="S675" i="1" l="1"/>
  <c r="T675" i="1" s="1"/>
  <c r="R674" i="1"/>
  <c r="S674" i="1" l="1"/>
  <c r="T674" i="1" s="1"/>
  <c r="R673" i="1"/>
  <c r="R672" i="1" l="1"/>
  <c r="S673" i="1"/>
  <c r="T673" i="1" s="1"/>
  <c r="R671" i="1" l="1"/>
  <c r="S672" i="1"/>
  <c r="T672" i="1" s="1"/>
  <c r="S671" i="1" l="1"/>
  <c r="T671" i="1" s="1"/>
  <c r="R670" i="1"/>
  <c r="S670" i="1" l="1"/>
  <c r="T670" i="1" s="1"/>
  <c r="R669" i="1"/>
  <c r="R668" i="1" l="1"/>
  <c r="S669" i="1"/>
  <c r="T669" i="1" s="1"/>
  <c r="R667" i="1" l="1"/>
  <c r="S668" i="1"/>
  <c r="T668" i="1" s="1"/>
  <c r="S667" i="1" l="1"/>
  <c r="T667" i="1" s="1"/>
  <c r="R666" i="1"/>
  <c r="S666" i="1" l="1"/>
  <c r="T666" i="1" s="1"/>
  <c r="R665" i="1"/>
  <c r="R664" i="1" l="1"/>
  <c r="S665" i="1"/>
  <c r="T665" i="1" s="1"/>
  <c r="R663" i="1" l="1"/>
  <c r="S664" i="1"/>
  <c r="T664" i="1" s="1"/>
  <c r="S663" i="1" l="1"/>
  <c r="T663" i="1" s="1"/>
  <c r="R662" i="1"/>
  <c r="R661" i="1" l="1"/>
  <c r="S662" i="1"/>
  <c r="T662" i="1" s="1"/>
  <c r="R660" i="1" l="1"/>
  <c r="S661" i="1"/>
  <c r="T661" i="1" s="1"/>
  <c r="S660" i="1" l="1"/>
  <c r="T660" i="1" s="1"/>
  <c r="R659" i="1"/>
  <c r="S659" i="1" l="1"/>
  <c r="T659" i="1" s="1"/>
  <c r="R658" i="1"/>
  <c r="R657" i="1" l="1"/>
  <c r="S658" i="1"/>
  <c r="T658" i="1" s="1"/>
  <c r="R656" i="1" l="1"/>
  <c r="S657" i="1"/>
  <c r="T657" i="1" s="1"/>
  <c r="S656" i="1" l="1"/>
  <c r="T656" i="1" s="1"/>
  <c r="R655" i="1"/>
  <c r="R654" i="1" l="1"/>
  <c r="S655" i="1"/>
  <c r="T655" i="1" s="1"/>
  <c r="R653" i="1" l="1"/>
  <c r="S654" i="1"/>
  <c r="T654" i="1" s="1"/>
  <c r="S653" i="1" l="1"/>
  <c r="T653" i="1" s="1"/>
  <c r="R652" i="1"/>
  <c r="R651" i="1" l="1"/>
  <c r="S652" i="1"/>
  <c r="T652" i="1" s="1"/>
  <c r="R650" i="1" l="1"/>
  <c r="S651" i="1"/>
  <c r="T651" i="1" s="1"/>
  <c r="R649" i="1" l="1"/>
  <c r="S650" i="1"/>
  <c r="T650" i="1" s="1"/>
  <c r="S649" i="1" l="1"/>
  <c r="T649" i="1" s="1"/>
  <c r="R648" i="1"/>
  <c r="S648" i="1" l="1"/>
  <c r="T648" i="1" s="1"/>
  <c r="R647" i="1"/>
  <c r="R646" i="1" l="1"/>
  <c r="S647" i="1"/>
  <c r="T647" i="1" s="1"/>
  <c r="R645" i="1" l="1"/>
  <c r="S646" i="1"/>
  <c r="T646" i="1" s="1"/>
  <c r="S645" i="1" l="1"/>
  <c r="T645" i="1" s="1"/>
  <c r="R644" i="1"/>
  <c r="S644" i="1" l="1"/>
  <c r="T644" i="1" s="1"/>
  <c r="R643" i="1"/>
  <c r="S643" i="1" l="1"/>
  <c r="T643" i="1" s="1"/>
  <c r="R642" i="1"/>
  <c r="R641" i="1" l="1"/>
  <c r="S642" i="1"/>
  <c r="T642" i="1" s="1"/>
  <c r="R640" i="1" l="1"/>
  <c r="S641" i="1"/>
  <c r="T641" i="1" s="1"/>
  <c r="S640" i="1" l="1"/>
  <c r="T640" i="1" s="1"/>
  <c r="R639" i="1"/>
  <c r="R638" i="1" l="1"/>
  <c r="S639" i="1"/>
  <c r="T639" i="1" s="1"/>
  <c r="S638" i="1" l="1"/>
  <c r="T638" i="1" s="1"/>
  <c r="R637" i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S622" i="1" l="1"/>
  <c r="T622" i="1" s="1"/>
  <c r="R621" i="1"/>
  <c r="S621" i="1" l="1"/>
  <c r="T621" i="1" s="1"/>
  <c r="R620" i="1"/>
  <c r="R619" i="1" l="1"/>
  <c r="S620" i="1"/>
  <c r="T620" i="1" s="1"/>
  <c r="R618" i="1" l="1"/>
  <c r="S619" i="1"/>
  <c r="T619" i="1" s="1"/>
  <c r="S618" i="1" l="1"/>
  <c r="T618" i="1" s="1"/>
  <c r="R617" i="1"/>
  <c r="R616" i="1" l="1"/>
  <c r="S617" i="1"/>
  <c r="T617" i="1" s="1"/>
  <c r="R615" i="1" l="1"/>
  <c r="S616" i="1"/>
  <c r="T616" i="1" s="1"/>
  <c r="S615" i="1" l="1"/>
  <c r="T615" i="1" s="1"/>
  <c r="R614" i="1"/>
  <c r="S614" i="1" l="1"/>
  <c r="T614" i="1" s="1"/>
  <c r="R613" i="1"/>
  <c r="S613" i="1" l="1"/>
  <c r="T613" i="1" s="1"/>
  <c r="R612" i="1"/>
  <c r="R611" i="1" l="1"/>
  <c r="S612" i="1"/>
  <c r="T612" i="1" s="1"/>
  <c r="R610" i="1" l="1"/>
  <c r="S611" i="1"/>
  <c r="T611" i="1" s="1"/>
  <c r="S610" i="1" l="1"/>
  <c r="T610" i="1" s="1"/>
  <c r="R609" i="1"/>
  <c r="S609" i="1" l="1"/>
  <c r="T609" i="1" s="1"/>
  <c r="R608" i="1"/>
  <c r="R607" i="1" l="1"/>
  <c r="S608" i="1"/>
  <c r="T608" i="1" s="1"/>
  <c r="R606" i="1" l="1"/>
  <c r="S607" i="1"/>
  <c r="T607" i="1" s="1"/>
  <c r="S606" i="1" l="1"/>
  <c r="T606" i="1" s="1"/>
  <c r="R605" i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S600" i="1" l="1"/>
  <c r="T600" i="1" s="1"/>
  <c r="R599" i="1"/>
  <c r="S599" i="1" l="1"/>
  <c r="T599" i="1" s="1"/>
  <c r="R598" i="1"/>
  <c r="R597" i="1" l="1"/>
  <c r="S598" i="1"/>
  <c r="T598" i="1" s="1"/>
  <c r="S597" i="1" l="1"/>
  <c r="T597" i="1" s="1"/>
  <c r="R596" i="1"/>
  <c r="S596" i="1" l="1"/>
  <c r="T596" i="1" s="1"/>
  <c r="R595" i="1"/>
  <c r="R594" i="1" l="1"/>
  <c r="S595" i="1"/>
  <c r="T595" i="1" s="1"/>
  <c r="S594" i="1" l="1"/>
  <c r="T594" i="1" s="1"/>
  <c r="R593" i="1"/>
  <c r="S593" i="1" l="1"/>
  <c r="T593" i="1" s="1"/>
  <c r="R592" i="1"/>
  <c r="R591" i="1" l="1"/>
  <c r="S592" i="1"/>
  <c r="T592" i="1" s="1"/>
  <c r="R590" i="1" l="1"/>
  <c r="S591" i="1"/>
  <c r="T591" i="1" s="1"/>
  <c r="S590" i="1" l="1"/>
  <c r="T590" i="1" s="1"/>
  <c r="R589" i="1"/>
  <c r="S589" i="1" l="1"/>
  <c r="T589" i="1" s="1"/>
  <c r="R588" i="1"/>
  <c r="R587" i="1" l="1"/>
  <c r="S588" i="1"/>
  <c r="T588" i="1" s="1"/>
  <c r="R586" i="1" l="1"/>
  <c r="S587" i="1"/>
  <c r="T587" i="1" s="1"/>
  <c r="S586" i="1" l="1"/>
  <c r="T586" i="1" s="1"/>
  <c r="R585" i="1"/>
  <c r="S585" i="1" l="1"/>
  <c r="T585" i="1" s="1"/>
  <c r="R584" i="1"/>
  <c r="R583" i="1" l="1"/>
  <c r="S584" i="1"/>
  <c r="T584" i="1" s="1"/>
  <c r="R582" i="1" l="1"/>
  <c r="S583" i="1"/>
  <c r="T583" i="1" s="1"/>
  <c r="R581" i="1" l="1"/>
  <c r="S582" i="1"/>
  <c r="T582" i="1" s="1"/>
  <c r="S581" i="1" l="1"/>
  <c r="T581" i="1" s="1"/>
  <c r="R580" i="1"/>
  <c r="S580" i="1" l="1"/>
  <c r="T580" i="1" s="1"/>
  <c r="R579" i="1"/>
  <c r="R578" i="1" l="1"/>
  <c r="S579" i="1"/>
  <c r="T579" i="1" s="1"/>
  <c r="R577" i="1" l="1"/>
  <c r="S578" i="1"/>
  <c r="T578" i="1" s="1"/>
  <c r="S577" i="1" l="1"/>
  <c r="T577" i="1" s="1"/>
  <c r="R576" i="1"/>
  <c r="S576" i="1" l="1"/>
  <c r="T576" i="1" s="1"/>
  <c r="R575" i="1"/>
  <c r="R574" i="1" l="1"/>
  <c r="S575" i="1"/>
  <c r="T575" i="1" s="1"/>
  <c r="R573" i="1" l="1"/>
  <c r="S574" i="1"/>
  <c r="T574" i="1" s="1"/>
  <c r="S573" i="1" l="1"/>
  <c r="T573" i="1" s="1"/>
  <c r="R572" i="1"/>
  <c r="S572" i="1" l="1"/>
  <c r="T572" i="1" s="1"/>
  <c r="R571" i="1"/>
  <c r="R570" i="1" l="1"/>
  <c r="S571" i="1"/>
  <c r="T571" i="1" s="1"/>
  <c r="R569" i="1" l="1"/>
  <c r="S570" i="1"/>
  <c r="T570" i="1" s="1"/>
  <c r="S569" i="1" l="1"/>
  <c r="T569" i="1" s="1"/>
  <c r="R568" i="1"/>
  <c r="S568" i="1" l="1"/>
  <c r="T568" i="1" s="1"/>
  <c r="R567" i="1"/>
  <c r="R566" i="1" l="1"/>
  <c r="S567" i="1"/>
  <c r="T567" i="1" s="1"/>
  <c r="R565" i="1" l="1"/>
  <c r="S566" i="1"/>
  <c r="T566" i="1" s="1"/>
  <c r="S565" i="1" l="1"/>
  <c r="T565" i="1" s="1"/>
  <c r="R564" i="1"/>
  <c r="S564" i="1" l="1"/>
  <c r="T564" i="1" s="1"/>
  <c r="R563" i="1"/>
  <c r="R562" i="1" l="1"/>
  <c r="S563" i="1"/>
  <c r="T563" i="1" s="1"/>
  <c r="R561" i="1" l="1"/>
  <c r="S562" i="1"/>
  <c r="T562" i="1" s="1"/>
  <c r="S561" i="1" l="1"/>
  <c r="T561" i="1" s="1"/>
  <c r="R560" i="1"/>
  <c r="R559" i="1" l="1"/>
  <c r="S560" i="1"/>
  <c r="T560" i="1" s="1"/>
  <c r="R558" i="1" l="1"/>
  <c r="S559" i="1"/>
  <c r="T559" i="1" s="1"/>
  <c r="S558" i="1" l="1"/>
  <c r="T558" i="1" s="1"/>
  <c r="R557" i="1"/>
  <c r="S557" i="1" l="1"/>
  <c r="T557" i="1" s="1"/>
  <c r="R556" i="1"/>
  <c r="R555" i="1" l="1"/>
  <c r="S556" i="1"/>
  <c r="T556" i="1" s="1"/>
  <c r="R554" i="1" l="1"/>
  <c r="S555" i="1"/>
  <c r="T555" i="1" s="1"/>
  <c r="S554" i="1" l="1"/>
  <c r="T554" i="1" s="1"/>
  <c r="R553" i="1"/>
  <c r="S553" i="1" l="1"/>
  <c r="T553" i="1" s="1"/>
  <c r="R552" i="1"/>
  <c r="R551" i="1" l="1"/>
  <c r="S552" i="1"/>
  <c r="T552" i="1" s="1"/>
  <c r="R550" i="1" l="1"/>
  <c r="S551" i="1"/>
  <c r="T551" i="1" s="1"/>
  <c r="S550" i="1" l="1"/>
  <c r="T550" i="1" s="1"/>
  <c r="R549" i="1"/>
  <c r="S549" i="1" l="1"/>
  <c r="T549" i="1" s="1"/>
  <c r="R548" i="1"/>
  <c r="R547" i="1" l="1"/>
  <c r="S548" i="1"/>
  <c r="T548" i="1" s="1"/>
  <c r="R546" i="1" l="1"/>
  <c r="S547" i="1"/>
  <c r="T547" i="1" s="1"/>
  <c r="S546" i="1" l="1"/>
  <c r="T546" i="1" s="1"/>
  <c r="R545" i="1"/>
  <c r="S545" i="1" l="1"/>
  <c r="T545" i="1" s="1"/>
  <c r="R544" i="1"/>
  <c r="R543" i="1" l="1"/>
  <c r="S544" i="1"/>
  <c r="T544" i="1" s="1"/>
  <c r="R542" i="1" l="1"/>
  <c r="S543" i="1"/>
  <c r="T543" i="1" s="1"/>
  <c r="S542" i="1" l="1"/>
  <c r="T542" i="1" s="1"/>
  <c r="R541" i="1"/>
  <c r="S541" i="1" l="1"/>
  <c r="T541" i="1" s="1"/>
  <c r="R540" i="1"/>
  <c r="R539" i="1" l="1"/>
  <c r="S540" i="1"/>
  <c r="T540" i="1" s="1"/>
  <c r="R538" i="1" l="1"/>
  <c r="S539" i="1"/>
  <c r="T539" i="1" s="1"/>
  <c r="S538" i="1" l="1"/>
  <c r="T538" i="1" s="1"/>
  <c r="R537" i="1"/>
  <c r="R536" i="1" l="1"/>
  <c r="S537" i="1"/>
  <c r="T537" i="1" s="1"/>
  <c r="S536" i="1" l="1"/>
  <c r="T536" i="1" s="1"/>
  <c r="R535" i="1"/>
  <c r="S535" i="1" l="1"/>
  <c r="T535" i="1" s="1"/>
  <c r="R534" i="1"/>
  <c r="R533" i="1" l="1"/>
  <c r="S534" i="1"/>
  <c r="T534" i="1" s="1"/>
  <c r="R532" i="1" l="1"/>
  <c r="S533" i="1"/>
  <c r="T533" i="1" s="1"/>
  <c r="S532" i="1" l="1"/>
  <c r="T532" i="1" s="1"/>
  <c r="R531" i="1"/>
  <c r="S531" i="1" l="1"/>
  <c r="T531" i="1" s="1"/>
  <c r="R530" i="1"/>
  <c r="S530" i="1" l="1"/>
  <c r="T530" i="1" s="1"/>
  <c r="R529" i="1"/>
  <c r="R528" i="1" l="1"/>
  <c r="S529" i="1"/>
  <c r="T529" i="1" s="1"/>
  <c r="S528" i="1" l="1"/>
  <c r="T528" i="1" s="1"/>
  <c r="R527" i="1"/>
  <c r="R526" i="1" l="1"/>
  <c r="S527" i="1"/>
  <c r="T527" i="1" s="1"/>
  <c r="R525" i="1" l="1"/>
  <c r="S526" i="1"/>
  <c r="T526" i="1" s="1"/>
  <c r="R524" i="1" l="1"/>
  <c r="S525" i="1"/>
  <c r="T525" i="1" s="1"/>
  <c r="S524" i="1" l="1"/>
  <c r="T524" i="1" s="1"/>
  <c r="R523" i="1"/>
  <c r="S523" i="1" l="1"/>
  <c r="T523" i="1" s="1"/>
  <c r="R522" i="1"/>
  <c r="R521" i="1" l="1"/>
  <c r="S522" i="1"/>
  <c r="T522" i="1" s="1"/>
  <c r="R520" i="1" l="1"/>
  <c r="S521" i="1"/>
  <c r="T521" i="1" s="1"/>
  <c r="S520" i="1" l="1"/>
  <c r="T520" i="1" s="1"/>
  <c r="R519" i="1"/>
  <c r="S519" i="1" l="1"/>
  <c r="T519" i="1" s="1"/>
  <c r="R518" i="1"/>
  <c r="R517" i="1" l="1"/>
  <c r="S518" i="1"/>
  <c r="T518" i="1" s="1"/>
  <c r="R516" i="1" l="1"/>
  <c r="S517" i="1"/>
  <c r="T517" i="1" s="1"/>
  <c r="S516" i="1" l="1"/>
  <c r="T516" i="1" s="1"/>
  <c r="R515" i="1"/>
  <c r="S515" i="1" l="1"/>
  <c r="T515" i="1" s="1"/>
  <c r="R514" i="1"/>
  <c r="R513" i="1" l="1"/>
  <c r="S514" i="1"/>
  <c r="T514" i="1" s="1"/>
  <c r="R512" i="1" l="1"/>
  <c r="S513" i="1"/>
  <c r="T513" i="1" s="1"/>
  <c r="S512" i="1" l="1"/>
  <c r="T512" i="1" s="1"/>
  <c r="R511" i="1"/>
  <c r="S511" i="1" l="1"/>
  <c r="T511" i="1" s="1"/>
  <c r="R510" i="1"/>
  <c r="R509" i="1" l="1"/>
  <c r="S510" i="1"/>
  <c r="T510" i="1" s="1"/>
  <c r="R508" i="1" l="1"/>
  <c r="S509" i="1"/>
  <c r="T509" i="1" s="1"/>
  <c r="R507" i="1" l="1"/>
  <c r="S508" i="1"/>
  <c r="T508" i="1" s="1"/>
  <c r="S507" i="1" l="1"/>
  <c r="T507" i="1" s="1"/>
  <c r="R506" i="1"/>
  <c r="S506" i="1" l="1"/>
  <c r="T506" i="1" s="1"/>
  <c r="R505" i="1"/>
  <c r="S505" i="1" l="1"/>
  <c r="T505" i="1" s="1"/>
  <c r="R504" i="1"/>
  <c r="R503" i="1" l="1"/>
  <c r="S504" i="1"/>
  <c r="T504" i="1" s="1"/>
  <c r="R502" i="1" l="1"/>
  <c r="S503" i="1"/>
  <c r="T503" i="1" s="1"/>
  <c r="S502" i="1" l="1"/>
  <c r="T502" i="1" s="1"/>
  <c r="R501" i="1"/>
  <c r="S501" i="1" l="1"/>
  <c r="T501" i="1" s="1"/>
  <c r="R500" i="1"/>
  <c r="R499" i="1" l="1"/>
  <c r="S500" i="1"/>
  <c r="T500" i="1" s="1"/>
  <c r="R498" i="1" l="1"/>
  <c r="S499" i="1"/>
  <c r="T499" i="1" s="1"/>
  <c r="S498" i="1" l="1"/>
  <c r="T498" i="1" s="1"/>
  <c r="R497" i="1"/>
  <c r="S497" i="1" l="1"/>
  <c r="T497" i="1" s="1"/>
  <c r="R496" i="1"/>
  <c r="S496" i="1" l="1"/>
  <c r="T496" i="1" s="1"/>
  <c r="R495" i="1"/>
  <c r="R494" i="1" l="1"/>
  <c r="S495" i="1"/>
  <c r="T495" i="1" s="1"/>
  <c r="R493" i="1" l="1"/>
  <c r="S494" i="1"/>
  <c r="T494" i="1" s="1"/>
  <c r="S493" i="1" l="1"/>
  <c r="T493" i="1" s="1"/>
  <c r="R492" i="1"/>
  <c r="S492" i="1" l="1"/>
  <c r="T492" i="1" s="1"/>
  <c r="R491" i="1"/>
  <c r="S491" i="1" l="1"/>
  <c r="T491" i="1" s="1"/>
  <c r="R490" i="1"/>
  <c r="R489" i="1" l="1"/>
  <c r="S490" i="1"/>
  <c r="T490" i="1" s="1"/>
  <c r="R488" i="1" l="1"/>
  <c r="S489" i="1"/>
  <c r="T489" i="1" s="1"/>
  <c r="S488" i="1" l="1"/>
  <c r="T488" i="1" s="1"/>
  <c r="R487" i="1"/>
  <c r="S487" i="1" l="1"/>
  <c r="T487" i="1" s="1"/>
  <c r="R486" i="1"/>
  <c r="S486" i="1" l="1"/>
  <c r="T486" i="1" s="1"/>
  <c r="R485" i="1"/>
  <c r="R484" i="1" l="1"/>
  <c r="S485" i="1"/>
  <c r="T485" i="1" s="1"/>
  <c r="R483" i="1" l="1"/>
  <c r="S484" i="1"/>
  <c r="T484" i="1" s="1"/>
  <c r="S483" i="1" l="1"/>
  <c r="T483" i="1" s="1"/>
  <c r="R482" i="1"/>
  <c r="R481" i="1" l="1"/>
  <c r="S482" i="1"/>
  <c r="T482" i="1" s="1"/>
  <c r="S481" i="1" l="1"/>
  <c r="T481" i="1" s="1"/>
  <c r="R480" i="1"/>
  <c r="S480" i="1" l="1"/>
  <c r="T480" i="1" s="1"/>
  <c r="R479" i="1"/>
  <c r="R478" i="1" l="1"/>
  <c r="S479" i="1"/>
  <c r="T479" i="1" s="1"/>
  <c r="R477" i="1" l="1"/>
  <c r="S478" i="1"/>
  <c r="T478" i="1" s="1"/>
  <c r="S477" i="1" l="1"/>
  <c r="T477" i="1" s="1"/>
  <c r="R476" i="1"/>
  <c r="S476" i="1" l="1"/>
  <c r="T476" i="1" s="1"/>
  <c r="R475" i="1"/>
  <c r="R474" i="1" l="1"/>
  <c r="S475" i="1"/>
  <c r="T475" i="1" s="1"/>
  <c r="R473" i="1" l="1"/>
  <c r="S474" i="1"/>
  <c r="T474" i="1" s="1"/>
  <c r="S473" i="1" l="1"/>
  <c r="T473" i="1" s="1"/>
  <c r="R472" i="1"/>
  <c r="S472" i="1" l="1"/>
  <c r="T472" i="1" s="1"/>
  <c r="R471" i="1"/>
  <c r="R470" i="1" l="1"/>
  <c r="S471" i="1"/>
  <c r="T471" i="1" s="1"/>
  <c r="R469" i="1" l="1"/>
  <c r="S470" i="1"/>
  <c r="T470" i="1" s="1"/>
  <c r="S469" i="1" l="1"/>
  <c r="T469" i="1" s="1"/>
  <c r="R468" i="1"/>
  <c r="S468" i="1" l="1"/>
  <c r="T468" i="1" s="1"/>
  <c r="R467" i="1"/>
  <c r="R466" i="1" l="1"/>
  <c r="S467" i="1"/>
  <c r="T467" i="1" s="1"/>
  <c r="R465" i="1" l="1"/>
  <c r="S466" i="1"/>
  <c r="T466" i="1" s="1"/>
  <c r="S465" i="1" l="1"/>
  <c r="T465" i="1" s="1"/>
  <c r="R464" i="1"/>
  <c r="S464" i="1" l="1"/>
  <c r="T464" i="1" s="1"/>
  <c r="R463" i="1"/>
  <c r="R462" i="1" l="1"/>
  <c r="S463" i="1"/>
  <c r="T463" i="1" s="1"/>
  <c r="R461" i="1" l="1"/>
  <c r="S462" i="1"/>
  <c r="T462" i="1" s="1"/>
  <c r="S461" i="1" l="1"/>
  <c r="T461" i="1" s="1"/>
  <c r="R460" i="1"/>
  <c r="S460" i="1" l="1"/>
  <c r="T460" i="1" s="1"/>
  <c r="R459" i="1"/>
  <c r="R458" i="1" l="1"/>
  <c r="S459" i="1"/>
  <c r="T459" i="1" s="1"/>
  <c r="R457" i="1" l="1"/>
  <c r="S458" i="1"/>
  <c r="T458" i="1" s="1"/>
  <c r="S457" i="1" l="1"/>
  <c r="T457" i="1" s="1"/>
  <c r="R456" i="1"/>
  <c r="S456" i="1" l="1"/>
  <c r="T456" i="1" s="1"/>
  <c r="R455" i="1"/>
  <c r="R454" i="1" l="1"/>
  <c r="S455" i="1"/>
  <c r="T455" i="1" s="1"/>
  <c r="R453" i="1" l="1"/>
  <c r="S454" i="1"/>
  <c r="T454" i="1" s="1"/>
  <c r="S453" i="1" l="1"/>
  <c r="T453" i="1" s="1"/>
  <c r="R452" i="1"/>
  <c r="S452" i="1" l="1"/>
  <c r="T452" i="1" s="1"/>
  <c r="R451" i="1"/>
  <c r="R450" i="1" l="1"/>
  <c r="S451" i="1"/>
  <c r="T451" i="1" s="1"/>
  <c r="R449" i="1" l="1"/>
  <c r="S450" i="1"/>
  <c r="T450" i="1" s="1"/>
  <c r="R448" i="1" l="1"/>
  <c r="S449" i="1"/>
  <c r="T449" i="1" s="1"/>
  <c r="S448" i="1" l="1"/>
  <c r="T448" i="1" s="1"/>
  <c r="R447" i="1"/>
  <c r="S447" i="1" l="1"/>
  <c r="T447" i="1" s="1"/>
  <c r="R446" i="1"/>
  <c r="R445" i="1" l="1"/>
  <c r="S446" i="1"/>
  <c r="T446" i="1" s="1"/>
  <c r="R444" i="1" l="1"/>
  <c r="S445" i="1"/>
  <c r="T445" i="1" s="1"/>
  <c r="S444" i="1" l="1"/>
  <c r="T444" i="1" s="1"/>
  <c r="R443" i="1"/>
  <c r="S443" i="1" l="1"/>
  <c r="T443" i="1" s="1"/>
  <c r="R442" i="1"/>
  <c r="S442" i="1" l="1"/>
  <c r="T442" i="1" s="1"/>
  <c r="R441" i="1"/>
  <c r="R440" i="1" l="1"/>
  <c r="S441" i="1"/>
  <c r="T441" i="1" s="1"/>
  <c r="R439" i="1" l="1"/>
  <c r="S440" i="1"/>
  <c r="T440" i="1" s="1"/>
  <c r="S439" i="1" l="1"/>
  <c r="T439" i="1" s="1"/>
  <c r="R438" i="1"/>
  <c r="S438" i="1" l="1"/>
  <c r="T438" i="1" s="1"/>
  <c r="R437" i="1"/>
  <c r="R436" i="1" l="1"/>
  <c r="S437" i="1"/>
  <c r="T437" i="1" s="1"/>
  <c r="R435" i="1" l="1"/>
  <c r="S436" i="1"/>
  <c r="T436" i="1" s="1"/>
  <c r="S435" i="1" l="1"/>
  <c r="T435" i="1" s="1"/>
  <c r="R434" i="1"/>
  <c r="S434" i="1" l="1"/>
  <c r="T434" i="1" s="1"/>
  <c r="R433" i="1"/>
  <c r="S433" i="1" l="1"/>
  <c r="T433" i="1" s="1"/>
  <c r="R432" i="1"/>
  <c r="R431" i="1" l="1"/>
  <c r="S432" i="1"/>
  <c r="T432" i="1" s="1"/>
  <c r="R430" i="1" l="1"/>
  <c r="S431" i="1"/>
  <c r="T431" i="1" s="1"/>
  <c r="S430" i="1" l="1"/>
  <c r="T430" i="1" s="1"/>
  <c r="R429" i="1"/>
  <c r="S429" i="1" l="1"/>
  <c r="T429" i="1" s="1"/>
  <c r="R428" i="1"/>
  <c r="S428" i="1" l="1"/>
  <c r="T428" i="1" s="1"/>
  <c r="R427" i="1"/>
  <c r="R426" i="1" l="1"/>
  <c r="S427" i="1"/>
  <c r="T427" i="1" s="1"/>
  <c r="R425" i="1" l="1"/>
  <c r="S426" i="1"/>
  <c r="T426" i="1" s="1"/>
  <c r="S425" i="1" l="1"/>
  <c r="T425" i="1" s="1"/>
  <c r="R424" i="1"/>
  <c r="R423" i="1" l="1"/>
  <c r="S424" i="1"/>
  <c r="T424" i="1" s="1"/>
  <c r="R422" i="1" l="1"/>
  <c r="S423" i="1"/>
  <c r="T423" i="1" s="1"/>
  <c r="S422" i="1" l="1"/>
  <c r="T422" i="1" s="1"/>
  <c r="R421" i="1"/>
  <c r="R420" i="1" l="1"/>
  <c r="S421" i="1"/>
  <c r="T421" i="1" s="1"/>
  <c r="S420" i="1" l="1"/>
  <c r="T420" i="1" s="1"/>
  <c r="R419" i="1"/>
  <c r="S419" i="1" l="1"/>
  <c r="T419" i="1" s="1"/>
  <c r="R418" i="1"/>
  <c r="S418" i="1" l="1"/>
  <c r="T418" i="1" s="1"/>
  <c r="R417" i="1"/>
  <c r="R416" i="1" l="1"/>
  <c r="S417" i="1"/>
  <c r="T417" i="1" s="1"/>
  <c r="R415" i="1" l="1"/>
  <c r="S416" i="1"/>
  <c r="T416" i="1" s="1"/>
  <c r="S415" i="1" l="1"/>
  <c r="T415" i="1" s="1"/>
  <c r="R414" i="1"/>
  <c r="S414" i="1" l="1"/>
  <c r="T414" i="1" s="1"/>
  <c r="R413" i="1"/>
  <c r="R412" i="1" l="1"/>
  <c r="S413" i="1"/>
  <c r="T413" i="1" s="1"/>
  <c r="R411" i="1" l="1"/>
  <c r="S412" i="1"/>
  <c r="T412" i="1" s="1"/>
  <c r="R410" i="1" l="1"/>
  <c r="S411" i="1"/>
  <c r="T411" i="1" s="1"/>
  <c r="S410" i="1" l="1"/>
  <c r="T410" i="1" s="1"/>
  <c r="R409" i="1"/>
  <c r="S409" i="1" l="1"/>
  <c r="T409" i="1" s="1"/>
  <c r="R408" i="1"/>
  <c r="R407" i="1" l="1"/>
  <c r="S408" i="1"/>
  <c r="T408" i="1" s="1"/>
  <c r="R406" i="1" l="1"/>
  <c r="S407" i="1"/>
  <c r="T407" i="1" s="1"/>
  <c r="S406" i="1" l="1"/>
  <c r="T406" i="1" s="1"/>
  <c r="R405" i="1"/>
  <c r="S405" i="1" l="1"/>
  <c r="T405" i="1" s="1"/>
  <c r="R404" i="1"/>
  <c r="R403" i="1" l="1"/>
  <c r="S404" i="1"/>
  <c r="T404" i="1" s="1"/>
  <c r="R402" i="1" l="1"/>
  <c r="S403" i="1"/>
  <c r="T403" i="1" s="1"/>
  <c r="S402" i="1" l="1"/>
  <c r="T402" i="1" s="1"/>
  <c r="R401" i="1"/>
  <c r="S401" i="1" l="1"/>
  <c r="T401" i="1" s="1"/>
  <c r="R400" i="1"/>
  <c r="R399" i="1" l="1"/>
  <c r="S400" i="1"/>
  <c r="T400" i="1" s="1"/>
  <c r="S399" i="1" l="1"/>
  <c r="T399" i="1" s="1"/>
  <c r="R398" i="1"/>
  <c r="S398" i="1" l="1"/>
  <c r="T398" i="1" s="1"/>
  <c r="R397" i="1"/>
  <c r="R396" i="1" l="1"/>
  <c r="S397" i="1"/>
  <c r="T397" i="1" s="1"/>
  <c r="R395" i="1" l="1"/>
  <c r="S396" i="1"/>
  <c r="T396" i="1" s="1"/>
  <c r="S395" i="1" l="1"/>
  <c r="T395" i="1" s="1"/>
  <c r="R394" i="1"/>
  <c r="S394" i="1" l="1"/>
  <c r="T394" i="1" s="1"/>
  <c r="R393" i="1"/>
  <c r="R392" i="1" l="1"/>
  <c r="S393" i="1"/>
  <c r="T393" i="1" s="1"/>
  <c r="R391" i="1" l="1"/>
  <c r="S392" i="1"/>
  <c r="T392" i="1" s="1"/>
  <c r="R390" i="1" l="1"/>
  <c r="S391" i="1"/>
  <c r="T391" i="1" s="1"/>
  <c r="S390" i="1" l="1"/>
  <c r="T390" i="1" s="1"/>
  <c r="R389" i="1"/>
  <c r="S389" i="1" l="1"/>
  <c r="T389" i="1" s="1"/>
  <c r="R388" i="1"/>
  <c r="R387" i="1" l="1"/>
  <c r="S388" i="1"/>
  <c r="T388" i="1" s="1"/>
  <c r="R386" i="1" l="1"/>
  <c r="S387" i="1"/>
  <c r="T387" i="1" s="1"/>
  <c r="S386" i="1" l="1"/>
  <c r="T386" i="1" s="1"/>
  <c r="R385" i="1"/>
  <c r="S385" i="1" l="1"/>
  <c r="T385" i="1" s="1"/>
  <c r="R384" i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S380" i="1" l="1"/>
  <c r="T380" i="1" s="1"/>
  <c r="R379" i="1"/>
  <c r="S379" i="1" l="1"/>
  <c r="T379" i="1" s="1"/>
  <c r="R378" i="1"/>
  <c r="S378" i="1" l="1"/>
  <c r="T378" i="1" s="1"/>
  <c r="R377" i="1"/>
  <c r="R376" i="1" l="1"/>
  <c r="S377" i="1"/>
  <c r="T377" i="1" s="1"/>
  <c r="R375" i="1" l="1"/>
  <c r="S376" i="1"/>
  <c r="T376" i="1" s="1"/>
  <c r="R374" i="1" l="1"/>
  <c r="S375" i="1"/>
  <c r="T375" i="1" s="1"/>
  <c r="S374" i="1" l="1"/>
  <c r="T374" i="1" s="1"/>
  <c r="R373" i="1"/>
  <c r="S373" i="1" l="1"/>
  <c r="T373" i="1" s="1"/>
  <c r="R372" i="1"/>
  <c r="R371" i="1" l="1"/>
  <c r="S372" i="1"/>
  <c r="T372" i="1" s="1"/>
  <c r="R370" i="1" l="1"/>
  <c r="S371" i="1"/>
  <c r="T371" i="1" s="1"/>
  <c r="S370" i="1" l="1"/>
  <c r="T370" i="1" s="1"/>
  <c r="R369" i="1"/>
  <c r="S369" i="1" l="1"/>
  <c r="T369" i="1" s="1"/>
  <c r="R368" i="1"/>
  <c r="R367" i="1" l="1"/>
  <c r="S368" i="1"/>
  <c r="T368" i="1" s="1"/>
  <c r="R366" i="1" l="1"/>
  <c r="S367" i="1"/>
  <c r="T367" i="1" s="1"/>
  <c r="S366" i="1" l="1"/>
  <c r="T366" i="1" s="1"/>
  <c r="R365" i="1"/>
  <c r="S365" i="1" l="1"/>
  <c r="T365" i="1" s="1"/>
  <c r="R364" i="1"/>
  <c r="R363" i="1" l="1"/>
  <c r="S364" i="1"/>
  <c r="T364" i="1" s="1"/>
  <c r="S363" i="1" l="1"/>
  <c r="T363" i="1" s="1"/>
  <c r="R362" i="1"/>
  <c r="S362" i="1" l="1"/>
  <c r="T362" i="1" s="1"/>
  <c r="R361" i="1"/>
  <c r="R360" i="1" l="1"/>
  <c r="S361" i="1"/>
  <c r="T361" i="1" s="1"/>
  <c r="R359" i="1" l="1"/>
  <c r="S360" i="1"/>
  <c r="T360" i="1" s="1"/>
  <c r="S359" i="1" l="1"/>
  <c r="T359" i="1" s="1"/>
  <c r="R358" i="1"/>
  <c r="R357" i="1" l="1"/>
  <c r="S358" i="1"/>
  <c r="T358" i="1" s="1"/>
  <c r="R356" i="1" l="1"/>
  <c r="S357" i="1"/>
  <c r="T357" i="1" s="1"/>
  <c r="S356" i="1" l="1"/>
  <c r="T356" i="1" s="1"/>
  <c r="R355" i="1"/>
  <c r="R354" i="1" l="1"/>
  <c r="S355" i="1"/>
  <c r="T355" i="1" s="1"/>
  <c r="R353" i="1" l="1"/>
  <c r="S354" i="1"/>
  <c r="T354" i="1" s="1"/>
  <c r="S353" i="1" l="1"/>
  <c r="T353" i="1" s="1"/>
  <c r="R352" i="1"/>
  <c r="S352" i="1" l="1"/>
  <c r="T352" i="1" s="1"/>
  <c r="R351" i="1"/>
  <c r="R350" i="1" l="1"/>
  <c r="S351" i="1"/>
  <c r="T351" i="1" s="1"/>
  <c r="R349" i="1" l="1"/>
  <c r="S350" i="1"/>
  <c r="T350" i="1" s="1"/>
  <c r="S349" i="1" l="1"/>
  <c r="T349" i="1" s="1"/>
  <c r="R348" i="1"/>
  <c r="S348" i="1" l="1"/>
  <c r="T348" i="1" s="1"/>
  <c r="R347" i="1"/>
  <c r="S347" i="1" l="1"/>
  <c r="T347" i="1" s="1"/>
  <c r="R346" i="1"/>
  <c r="R345" i="1" l="1"/>
  <c r="S346" i="1"/>
  <c r="T346" i="1" s="1"/>
  <c r="R344" i="1" l="1"/>
  <c r="S345" i="1"/>
  <c r="T345" i="1" s="1"/>
  <c r="S344" i="1" l="1"/>
  <c r="T344" i="1" s="1"/>
  <c r="R343" i="1"/>
  <c r="S343" i="1" l="1"/>
  <c r="T343" i="1" s="1"/>
  <c r="R342" i="1"/>
  <c r="S342" i="1" l="1"/>
  <c r="T342" i="1" s="1"/>
  <c r="R341" i="1"/>
  <c r="R340" i="1" l="1"/>
  <c r="S341" i="1"/>
  <c r="T341" i="1" s="1"/>
  <c r="R339" i="1" l="1"/>
  <c r="S340" i="1"/>
  <c r="T340" i="1" s="1"/>
  <c r="S339" i="1" l="1"/>
  <c r="T339" i="1" s="1"/>
  <c r="R338" i="1"/>
  <c r="S338" i="1" l="1"/>
  <c r="T338" i="1" s="1"/>
  <c r="R337" i="1"/>
  <c r="R336" i="1" l="1"/>
  <c r="S337" i="1"/>
  <c r="T337" i="1" s="1"/>
  <c r="S336" i="1" l="1"/>
  <c r="T336" i="1" s="1"/>
  <c r="R335" i="1"/>
  <c r="S335" i="1" l="1"/>
  <c r="T335" i="1" s="1"/>
  <c r="R334" i="1"/>
  <c r="R333" i="1" l="1"/>
  <c r="S334" i="1"/>
  <c r="T334" i="1" s="1"/>
  <c r="R332" i="1" l="1"/>
  <c r="S333" i="1"/>
  <c r="T333" i="1" s="1"/>
  <c r="S332" i="1" l="1"/>
  <c r="T332" i="1" s="1"/>
  <c r="R331" i="1"/>
  <c r="S331" i="1" l="1"/>
  <c r="T331" i="1" s="1"/>
  <c r="R330" i="1"/>
  <c r="S330" i="1" l="1"/>
  <c r="T330" i="1" s="1"/>
  <c r="R329" i="1"/>
  <c r="R328" i="1" l="1"/>
  <c r="S329" i="1"/>
  <c r="T329" i="1" s="1"/>
  <c r="R327" i="1" l="1"/>
  <c r="S328" i="1"/>
  <c r="T328" i="1" s="1"/>
  <c r="S327" i="1" l="1"/>
  <c r="T327" i="1" s="1"/>
  <c r="R326" i="1"/>
  <c r="S326" i="1" l="1"/>
  <c r="T326" i="1" s="1"/>
  <c r="R325" i="1"/>
  <c r="R324" i="1" l="1"/>
  <c r="S325" i="1"/>
  <c r="T325" i="1" s="1"/>
  <c r="R323" i="1" l="1"/>
  <c r="S324" i="1"/>
  <c r="T324" i="1" s="1"/>
  <c r="S323" i="1" l="1"/>
  <c r="T323" i="1" s="1"/>
  <c r="R322" i="1"/>
  <c r="S322" i="1" l="1"/>
  <c r="T322" i="1" s="1"/>
  <c r="R321" i="1"/>
  <c r="R320" i="1" l="1"/>
  <c r="S321" i="1"/>
  <c r="T321" i="1" s="1"/>
  <c r="R319" i="1" l="1"/>
  <c r="S320" i="1"/>
  <c r="T320" i="1" s="1"/>
  <c r="S319" i="1" l="1"/>
  <c r="T319" i="1" s="1"/>
  <c r="R318" i="1"/>
  <c r="S318" i="1" l="1"/>
  <c r="T318" i="1" s="1"/>
  <c r="R317" i="1"/>
  <c r="R316" i="1" l="1"/>
  <c r="S317" i="1"/>
  <c r="T317" i="1" s="1"/>
  <c r="R315" i="1" l="1"/>
  <c r="S316" i="1"/>
  <c r="T316" i="1" s="1"/>
  <c r="S315" i="1" l="1"/>
  <c r="T315" i="1" s="1"/>
  <c r="R314" i="1"/>
  <c r="S314" i="1" l="1"/>
  <c r="T314" i="1" s="1"/>
  <c r="R313" i="1"/>
  <c r="R312" i="1" l="1"/>
  <c r="S313" i="1"/>
  <c r="T313" i="1" s="1"/>
  <c r="R311" i="1" l="1"/>
  <c r="S312" i="1"/>
  <c r="T312" i="1" s="1"/>
  <c r="S311" i="1" l="1"/>
  <c r="T311" i="1" s="1"/>
  <c r="R310" i="1"/>
  <c r="S310" i="1" l="1"/>
  <c r="T310" i="1" s="1"/>
  <c r="R309" i="1"/>
  <c r="R308" i="1" l="1"/>
  <c r="S309" i="1"/>
  <c r="T309" i="1" s="1"/>
  <c r="R307" i="1" l="1"/>
  <c r="S308" i="1"/>
  <c r="T308" i="1" s="1"/>
  <c r="S307" i="1" l="1"/>
  <c r="T307" i="1" s="1"/>
  <c r="R306" i="1"/>
  <c r="R305" i="1" l="1"/>
  <c r="S306" i="1"/>
  <c r="T306" i="1" s="1"/>
  <c r="R304" i="1" l="1"/>
  <c r="S305" i="1"/>
  <c r="T305" i="1" s="1"/>
  <c r="R303" i="1" l="1"/>
  <c r="S304" i="1"/>
  <c r="T304" i="1" s="1"/>
  <c r="S303" i="1" l="1"/>
  <c r="T303" i="1" s="1"/>
  <c r="R302" i="1"/>
  <c r="R301" i="1" l="1"/>
  <c r="S302" i="1"/>
  <c r="T302" i="1" s="1"/>
  <c r="S301" i="1" l="1"/>
  <c r="T301" i="1" s="1"/>
  <c r="R300" i="1"/>
  <c r="S300" i="1" l="1"/>
  <c r="T300" i="1" s="1"/>
  <c r="R299" i="1"/>
  <c r="S299" i="1" l="1"/>
  <c r="T299" i="1" s="1"/>
  <c r="R298" i="1"/>
  <c r="R297" i="1" l="1"/>
  <c r="S298" i="1"/>
  <c r="T298" i="1" s="1"/>
  <c r="R296" i="1" l="1"/>
  <c r="S297" i="1"/>
  <c r="T297" i="1" s="1"/>
  <c r="S296" i="1" l="1"/>
  <c r="T296" i="1" s="1"/>
  <c r="R295" i="1"/>
  <c r="R294" i="1" l="1"/>
  <c r="S295" i="1"/>
  <c r="T295" i="1" s="1"/>
  <c r="S294" i="1" l="1"/>
  <c r="T294" i="1" s="1"/>
  <c r="R293" i="1"/>
  <c r="S293" i="1" l="1"/>
  <c r="T293" i="1" s="1"/>
  <c r="R292" i="1"/>
  <c r="S292" i="1" l="1"/>
  <c r="T292" i="1" s="1"/>
  <c r="R291" i="1"/>
  <c r="S291" i="1" l="1"/>
  <c r="T291" i="1" s="1"/>
  <c r="R290" i="1"/>
  <c r="R289" i="1" l="1"/>
  <c r="S290" i="1"/>
  <c r="T290" i="1" s="1"/>
  <c r="S289" i="1" l="1"/>
  <c r="T289" i="1" s="1"/>
  <c r="R288" i="1"/>
  <c r="S288" i="1" l="1"/>
  <c r="T288" i="1" s="1"/>
  <c r="R287" i="1"/>
  <c r="R286" i="1" l="1"/>
  <c r="S287" i="1"/>
  <c r="T287" i="1" s="1"/>
  <c r="R285" i="1" l="1"/>
  <c r="S286" i="1"/>
  <c r="T286" i="1" s="1"/>
  <c r="S285" i="1" l="1"/>
  <c r="T285" i="1" s="1"/>
  <c r="R284" i="1"/>
  <c r="S284" i="1" l="1"/>
  <c r="T284" i="1" s="1"/>
  <c r="R283" i="1"/>
  <c r="S283" i="1" l="1"/>
  <c r="T283" i="1" s="1"/>
  <c r="R282" i="1"/>
  <c r="R281" i="1" l="1"/>
  <c r="S282" i="1"/>
  <c r="T282" i="1" s="1"/>
  <c r="R280" i="1" l="1"/>
  <c r="S281" i="1"/>
  <c r="T281" i="1" s="1"/>
  <c r="S280" i="1" l="1"/>
  <c r="T280" i="1" s="1"/>
  <c r="R279" i="1"/>
  <c r="S279" i="1" l="1"/>
  <c r="T279" i="1" s="1"/>
  <c r="R278" i="1"/>
  <c r="S278" i="1" l="1"/>
  <c r="T278" i="1" s="1"/>
  <c r="R277" i="1"/>
  <c r="R276" i="1" l="1"/>
  <c r="S277" i="1"/>
  <c r="T277" i="1" s="1"/>
  <c r="R275" i="1" l="1"/>
  <c r="S276" i="1"/>
  <c r="T276" i="1" s="1"/>
  <c r="S275" i="1" l="1"/>
  <c r="T275" i="1" s="1"/>
  <c r="R274" i="1"/>
  <c r="S274" i="1" l="1"/>
  <c r="T274" i="1" s="1"/>
  <c r="R273" i="1"/>
  <c r="R272" i="1" l="1"/>
  <c r="S273" i="1"/>
  <c r="T273" i="1" s="1"/>
  <c r="R271" i="1" l="1"/>
  <c r="S272" i="1"/>
  <c r="T272" i="1" s="1"/>
  <c r="S271" i="1" l="1"/>
  <c r="T271" i="1" s="1"/>
  <c r="R270" i="1"/>
  <c r="S270" i="1" l="1"/>
  <c r="T270" i="1" s="1"/>
  <c r="R269" i="1"/>
  <c r="R268" i="1" l="1"/>
  <c r="S269" i="1"/>
  <c r="T269" i="1" s="1"/>
  <c r="R267" i="1" l="1"/>
  <c r="S268" i="1"/>
  <c r="T268" i="1" s="1"/>
  <c r="R266" i="1" l="1"/>
  <c r="S267" i="1"/>
  <c r="T267" i="1" s="1"/>
  <c r="S266" i="1" l="1"/>
  <c r="T266" i="1" s="1"/>
  <c r="R265" i="1"/>
  <c r="S265" i="1" l="1"/>
  <c r="T265" i="1" s="1"/>
  <c r="R264" i="1"/>
  <c r="R263" i="1" l="1"/>
  <c r="S264" i="1"/>
  <c r="T264" i="1" s="1"/>
  <c r="R262" i="1" l="1"/>
  <c r="S263" i="1"/>
  <c r="T263" i="1" s="1"/>
  <c r="S262" i="1" l="1"/>
  <c r="T262" i="1" s="1"/>
  <c r="R261" i="1"/>
  <c r="S261" i="1" l="1"/>
  <c r="T261" i="1" s="1"/>
  <c r="R260" i="1"/>
  <c r="R259" i="1" l="1"/>
  <c r="S260" i="1"/>
  <c r="T260" i="1" s="1"/>
  <c r="R258" i="1" l="1"/>
  <c r="S259" i="1"/>
  <c r="T259" i="1" s="1"/>
  <c r="S258" i="1" l="1"/>
  <c r="T258" i="1" s="1"/>
  <c r="R257" i="1"/>
  <c r="S257" i="1" l="1"/>
  <c r="T257" i="1" s="1"/>
  <c r="R256" i="1"/>
  <c r="R255" i="1" l="1"/>
  <c r="S256" i="1"/>
  <c r="T256" i="1" s="1"/>
  <c r="R254" i="1" l="1"/>
  <c r="S255" i="1"/>
  <c r="T255" i="1" s="1"/>
  <c r="S254" i="1" l="1"/>
  <c r="T254" i="1" s="1"/>
  <c r="R253" i="1"/>
  <c r="S253" i="1" l="1"/>
  <c r="T253" i="1" s="1"/>
  <c r="R252" i="1"/>
  <c r="R251" i="1" l="1"/>
  <c r="S252" i="1"/>
  <c r="T252" i="1" s="1"/>
  <c r="R250" i="1" l="1"/>
  <c r="S251" i="1"/>
  <c r="T251" i="1" s="1"/>
  <c r="R249" i="1" l="1"/>
  <c r="S250" i="1"/>
  <c r="T250" i="1" s="1"/>
  <c r="S249" i="1" l="1"/>
  <c r="T249" i="1" s="1"/>
  <c r="R248" i="1"/>
  <c r="S248" i="1" l="1"/>
  <c r="T248" i="1" s="1"/>
  <c r="R247" i="1"/>
  <c r="S247" i="1" l="1"/>
  <c r="T247" i="1" s="1"/>
  <c r="R246" i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S242" i="1" l="1"/>
  <c r="T242" i="1" s="1"/>
  <c r="R241" i="1"/>
  <c r="S241" i="1" l="1"/>
  <c r="T241" i="1" s="1"/>
  <c r="R240" i="1"/>
  <c r="R239" i="1" l="1"/>
  <c r="S240" i="1"/>
  <c r="T240" i="1" s="1"/>
  <c r="R238" i="1" l="1"/>
  <c r="S239" i="1"/>
  <c r="T239" i="1" s="1"/>
  <c r="S238" i="1" l="1"/>
  <c r="T238" i="1" s="1"/>
  <c r="R237" i="1"/>
  <c r="S237" i="1" l="1"/>
  <c r="T237" i="1" s="1"/>
  <c r="R236" i="1"/>
  <c r="S236" i="1" l="1"/>
  <c r="T236" i="1" s="1"/>
  <c r="R235" i="1"/>
  <c r="S235" i="1" l="1"/>
  <c r="T235" i="1" s="1"/>
  <c r="R234" i="1"/>
  <c r="R233" i="1" l="1"/>
  <c r="S234" i="1"/>
  <c r="T234" i="1" s="1"/>
  <c r="R232" i="1" l="1"/>
  <c r="S233" i="1"/>
  <c r="T233" i="1" s="1"/>
  <c r="R231" i="1" l="1"/>
  <c r="S232" i="1"/>
  <c r="T232" i="1" s="1"/>
  <c r="S231" i="1" l="1"/>
  <c r="T231" i="1" s="1"/>
  <c r="R230" i="1"/>
  <c r="S230" i="1" l="1"/>
  <c r="T230" i="1" s="1"/>
  <c r="R229" i="1"/>
  <c r="R228" i="1" l="1"/>
  <c r="S229" i="1"/>
  <c r="T229" i="1" s="1"/>
  <c r="R227" i="1" l="1"/>
  <c r="S228" i="1"/>
  <c r="T228" i="1" s="1"/>
  <c r="S227" i="1" l="1"/>
  <c r="T227" i="1" s="1"/>
  <c r="R226" i="1"/>
  <c r="S226" i="1" l="1"/>
  <c r="T226" i="1" s="1"/>
  <c r="R225" i="1"/>
  <c r="R224" i="1" l="1"/>
  <c r="S225" i="1"/>
  <c r="T225" i="1" s="1"/>
  <c r="S224" i="1" l="1"/>
  <c r="T224" i="1" s="1"/>
  <c r="R223" i="1"/>
  <c r="R222" i="1" l="1"/>
  <c r="S223" i="1"/>
  <c r="T223" i="1" s="1"/>
  <c r="R221" i="1" l="1"/>
  <c r="S222" i="1"/>
  <c r="T222" i="1" s="1"/>
  <c r="S221" i="1" l="1"/>
  <c r="T221" i="1" s="1"/>
  <c r="R220" i="1"/>
  <c r="R219" i="1" l="1"/>
  <c r="S220" i="1"/>
  <c r="T220" i="1" s="1"/>
  <c r="R218" i="1" l="1"/>
  <c r="S219" i="1"/>
  <c r="T219" i="1" s="1"/>
  <c r="S218" i="1" l="1"/>
  <c r="T218" i="1" s="1"/>
  <c r="R217" i="1"/>
  <c r="S217" i="1" l="1"/>
  <c r="T217" i="1" s="1"/>
  <c r="R216" i="1"/>
  <c r="R215" i="1" l="1"/>
  <c r="S216" i="1"/>
  <c r="T216" i="1" s="1"/>
  <c r="R214" i="1" l="1"/>
  <c r="S215" i="1"/>
  <c r="T215" i="1" s="1"/>
  <c r="S214" i="1" l="1"/>
  <c r="T214" i="1" s="1"/>
  <c r="R213" i="1"/>
  <c r="S213" i="1" l="1"/>
  <c r="T213" i="1" s="1"/>
  <c r="R212" i="1"/>
  <c r="S212" i="1" l="1"/>
  <c r="T212" i="1" s="1"/>
  <c r="R211" i="1"/>
  <c r="S211" i="1" l="1"/>
  <c r="T211" i="1" s="1"/>
  <c r="R210" i="1"/>
  <c r="S210" i="1" l="1"/>
  <c r="T210" i="1" s="1"/>
  <c r="R209" i="1"/>
  <c r="R208" i="1" l="1"/>
  <c r="S209" i="1"/>
  <c r="T209" i="1" s="1"/>
  <c r="R207" i="1" l="1"/>
  <c r="S208" i="1"/>
  <c r="T208" i="1" s="1"/>
  <c r="S207" i="1" l="1"/>
  <c r="T207" i="1" s="1"/>
  <c r="R206" i="1"/>
  <c r="S206" i="1" l="1"/>
  <c r="T206" i="1" s="1"/>
  <c r="R205" i="1"/>
  <c r="R204" i="1" l="1"/>
  <c r="S205" i="1"/>
  <c r="T205" i="1" s="1"/>
  <c r="R203" i="1" l="1"/>
  <c r="S204" i="1"/>
  <c r="T204" i="1" s="1"/>
  <c r="S203" i="1" l="1"/>
  <c r="T203" i="1" s="1"/>
  <c r="R202" i="1"/>
  <c r="S202" i="1" l="1"/>
  <c r="T202" i="1" s="1"/>
  <c r="R201" i="1"/>
  <c r="R200" i="1" l="1"/>
  <c r="S201" i="1"/>
  <c r="T201" i="1" s="1"/>
  <c r="S200" i="1" l="1"/>
  <c r="T200" i="1" s="1"/>
  <c r="R199" i="1"/>
  <c r="R198" i="1" l="1"/>
  <c r="S199" i="1"/>
  <c r="T199" i="1" s="1"/>
  <c r="R197" i="1" l="1"/>
  <c r="S198" i="1"/>
  <c r="T198" i="1" s="1"/>
  <c r="R196" i="1" l="1"/>
  <c r="S197" i="1"/>
  <c r="T197" i="1" s="1"/>
  <c r="S196" i="1" l="1"/>
  <c r="T196" i="1" s="1"/>
  <c r="R195" i="1"/>
  <c r="S195" i="1" l="1"/>
  <c r="T195" i="1" s="1"/>
  <c r="R194" i="1"/>
  <c r="S194" i="1" l="1"/>
  <c r="T194" i="1" s="1"/>
  <c r="R193" i="1"/>
  <c r="S193" i="1" l="1"/>
  <c r="T193" i="1" s="1"/>
  <c r="R192" i="1"/>
  <c r="R191" i="1" l="1"/>
  <c r="S192" i="1"/>
  <c r="T192" i="1" s="1"/>
  <c r="R190" i="1" l="1"/>
  <c r="S191" i="1"/>
  <c r="T191" i="1" s="1"/>
  <c r="S190" i="1" l="1"/>
  <c r="T190" i="1" s="1"/>
  <c r="R189" i="1"/>
  <c r="S189" i="1" l="1"/>
  <c r="T189" i="1" s="1"/>
  <c r="R188" i="1"/>
  <c r="R187" i="1" l="1"/>
  <c r="S188" i="1"/>
  <c r="T188" i="1" s="1"/>
  <c r="R186" i="1" l="1"/>
  <c r="S187" i="1"/>
  <c r="T187" i="1" s="1"/>
  <c r="S186" i="1" l="1"/>
  <c r="T186" i="1" s="1"/>
  <c r="R185" i="1"/>
  <c r="S185" i="1" l="1"/>
  <c r="T185" i="1" s="1"/>
  <c r="R184" i="1"/>
  <c r="R183" i="1" l="1"/>
  <c r="S184" i="1"/>
  <c r="T184" i="1" s="1"/>
  <c r="R182" i="1" l="1"/>
  <c r="S183" i="1"/>
  <c r="T183" i="1" s="1"/>
  <c r="S182" i="1" l="1"/>
  <c r="T182" i="1" s="1"/>
  <c r="R181" i="1"/>
  <c r="S181" i="1" l="1"/>
  <c r="T181" i="1" s="1"/>
  <c r="R180" i="1"/>
  <c r="R179" i="1" l="1"/>
  <c r="S180" i="1"/>
  <c r="T180" i="1" s="1"/>
  <c r="R178" i="1" l="1"/>
  <c r="S179" i="1"/>
  <c r="T179" i="1" s="1"/>
  <c r="S178" i="1" l="1"/>
  <c r="T178" i="1" s="1"/>
  <c r="R177" i="1"/>
  <c r="S177" i="1" l="1"/>
  <c r="T177" i="1" s="1"/>
  <c r="R176" i="1"/>
  <c r="S176" i="1" l="1"/>
  <c r="T176" i="1" s="1"/>
  <c r="R175" i="1"/>
  <c r="S175" i="1" l="1"/>
  <c r="T175" i="1" s="1"/>
  <c r="R174" i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S170" i="1" l="1"/>
  <c r="T170" i="1" s="1"/>
  <c r="R169" i="1"/>
  <c r="R168" i="1" l="1"/>
  <c r="S169" i="1"/>
  <c r="T169" i="1" s="1"/>
  <c r="R167" i="1" l="1"/>
  <c r="S168" i="1"/>
  <c r="T168" i="1" s="1"/>
  <c r="S167" i="1" l="1"/>
  <c r="T167" i="1" s="1"/>
  <c r="R166" i="1"/>
  <c r="S166" i="1" l="1"/>
  <c r="T166" i="1" s="1"/>
  <c r="R165" i="1"/>
  <c r="R164" i="1" l="1"/>
  <c r="S165" i="1"/>
  <c r="T165" i="1" s="1"/>
  <c r="S164" i="1" l="1"/>
  <c r="T164" i="1" s="1"/>
  <c r="R163" i="1"/>
  <c r="S163" i="1" l="1"/>
  <c r="T163" i="1" s="1"/>
  <c r="R162" i="1"/>
  <c r="S162" i="1" l="1"/>
  <c r="T162" i="1" s="1"/>
  <c r="R161" i="1"/>
  <c r="R160" i="1" l="1"/>
  <c r="S161" i="1"/>
  <c r="T161" i="1" s="1"/>
  <c r="R159" i="1" l="1"/>
  <c r="S160" i="1"/>
  <c r="T160" i="1" s="1"/>
  <c r="S159" i="1" l="1"/>
  <c r="T159" i="1" s="1"/>
  <c r="R158" i="1"/>
  <c r="S158" i="1" l="1"/>
  <c r="T158" i="1" s="1"/>
  <c r="R157" i="1"/>
  <c r="R156" i="1" l="1"/>
  <c r="S157" i="1"/>
  <c r="T157" i="1" s="1"/>
  <c r="R155" i="1" l="1"/>
  <c r="S156" i="1"/>
  <c r="T156" i="1" s="1"/>
  <c r="S155" i="1" l="1"/>
  <c r="T155" i="1" s="1"/>
  <c r="R154" i="1"/>
  <c r="S154" i="1" l="1"/>
  <c r="T154" i="1" s="1"/>
  <c r="R153" i="1"/>
  <c r="R152" i="1" l="1"/>
  <c r="S153" i="1"/>
  <c r="T153" i="1" s="1"/>
  <c r="S152" i="1" l="1"/>
  <c r="T152" i="1" s="1"/>
  <c r="R151" i="1"/>
  <c r="S151" i="1" l="1"/>
  <c r="T151" i="1" s="1"/>
  <c r="R150" i="1"/>
  <c r="S150" i="1" l="1"/>
  <c r="T150" i="1" s="1"/>
  <c r="R149" i="1"/>
  <c r="R148" i="1" l="1"/>
  <c r="S149" i="1"/>
  <c r="T149" i="1" s="1"/>
  <c r="R147" i="1" l="1"/>
  <c r="S148" i="1"/>
  <c r="T148" i="1" s="1"/>
  <c r="S147" i="1" l="1"/>
  <c r="T147" i="1" s="1"/>
  <c r="R146" i="1"/>
  <c r="S146" i="1" l="1"/>
  <c r="T146" i="1" s="1"/>
  <c r="R145" i="1"/>
  <c r="R144" i="1" l="1"/>
  <c r="S145" i="1"/>
  <c r="T145" i="1" s="1"/>
  <c r="R143" i="1" l="1"/>
  <c r="S144" i="1"/>
  <c r="T144" i="1" s="1"/>
  <c r="S143" i="1" l="1"/>
  <c r="T143" i="1" s="1"/>
  <c r="R142" i="1"/>
  <c r="S142" i="1" l="1"/>
  <c r="T142" i="1" s="1"/>
  <c r="R141" i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S137" i="1" l="1"/>
  <c r="T137" i="1" s="1"/>
  <c r="R136" i="1"/>
  <c r="S136" i="1" l="1"/>
  <c r="T136" i="1" s="1"/>
  <c r="R135" i="1"/>
  <c r="R134" i="1" l="1"/>
  <c r="S135" i="1"/>
  <c r="T135" i="1" s="1"/>
  <c r="R133" i="1" l="1"/>
  <c r="S134" i="1"/>
  <c r="T134" i="1" s="1"/>
  <c r="S133" i="1" l="1"/>
  <c r="T133" i="1" s="1"/>
  <c r="R132" i="1"/>
  <c r="S132" i="1" l="1"/>
  <c r="T132" i="1" s="1"/>
  <c r="R131" i="1"/>
  <c r="R130" i="1" l="1"/>
  <c r="S131" i="1"/>
  <c r="T131" i="1" s="1"/>
  <c r="R129" i="1" l="1"/>
  <c r="S130" i="1"/>
  <c r="T130" i="1" s="1"/>
  <c r="S129" i="1" l="1"/>
  <c r="T129" i="1" s="1"/>
  <c r="R128" i="1"/>
  <c r="S128" i="1" l="1"/>
  <c r="T128" i="1" s="1"/>
  <c r="R127" i="1"/>
  <c r="R126" i="1" l="1"/>
  <c r="S127" i="1"/>
  <c r="T127" i="1" s="1"/>
  <c r="R125" i="1" l="1"/>
  <c r="S126" i="1"/>
  <c r="T126" i="1" s="1"/>
  <c r="S125" i="1" l="1"/>
  <c r="T125" i="1" s="1"/>
  <c r="R124" i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S120" i="1" l="1"/>
  <c r="T120" i="1" s="1"/>
  <c r="R119" i="1"/>
  <c r="R118" i="1" l="1"/>
  <c r="S119" i="1"/>
  <c r="T119" i="1" s="1"/>
  <c r="S118" i="1" l="1"/>
  <c r="T118" i="1" s="1"/>
  <c r="R117" i="1"/>
  <c r="S117" i="1" l="1"/>
  <c r="T117" i="1" s="1"/>
  <c r="R116" i="1"/>
  <c r="R115" i="1" l="1"/>
  <c r="S116" i="1"/>
  <c r="T116" i="1" s="1"/>
  <c r="S115" i="1" l="1"/>
  <c r="T115" i="1" s="1"/>
  <c r="R114" i="1"/>
  <c r="S114" i="1" l="1"/>
  <c r="T114" i="1" s="1"/>
  <c r="R113" i="1"/>
  <c r="R112" i="1" l="1"/>
  <c r="S113" i="1"/>
  <c r="T113" i="1" s="1"/>
  <c r="S112" i="1" l="1"/>
  <c r="T112" i="1" s="1"/>
  <c r="R111" i="1"/>
  <c r="S111" i="1" l="1"/>
  <c r="T111" i="1" s="1"/>
  <c r="R110" i="1"/>
  <c r="R109" i="1" l="1"/>
  <c r="S110" i="1"/>
  <c r="T110" i="1" s="1"/>
  <c r="R108" i="1" l="1"/>
  <c r="S109" i="1"/>
  <c r="T109" i="1" s="1"/>
  <c r="R107" i="1" l="1"/>
  <c r="S108" i="1"/>
  <c r="T108" i="1" s="1"/>
  <c r="S107" i="1" l="1"/>
  <c r="T107" i="1" s="1"/>
  <c r="R106" i="1"/>
  <c r="S106" i="1" l="1"/>
  <c r="T106" i="1" s="1"/>
  <c r="R105" i="1"/>
  <c r="R104" i="1" l="1"/>
  <c r="S105" i="1"/>
  <c r="T105" i="1" s="1"/>
  <c r="S104" i="1" l="1"/>
  <c r="T104" i="1" s="1"/>
  <c r="R103" i="1"/>
  <c r="R102" i="1" l="1"/>
  <c r="S103" i="1"/>
  <c r="T103" i="1" s="1"/>
  <c r="R101" i="1" l="1"/>
  <c r="S102" i="1"/>
  <c r="T102" i="1" s="1"/>
  <c r="S101" i="1" l="1"/>
  <c r="T101" i="1" s="1"/>
  <c r="R100" i="1"/>
  <c r="R99" i="1" l="1"/>
  <c r="S100" i="1"/>
  <c r="T100" i="1" s="1"/>
  <c r="S99" i="1" l="1"/>
  <c r="T99" i="1" s="1"/>
  <c r="R98" i="1"/>
  <c r="S98" i="1" l="1"/>
  <c r="T98" i="1" s="1"/>
  <c r="R97" i="1"/>
  <c r="R96" i="1" l="1"/>
  <c r="S97" i="1"/>
  <c r="T97" i="1" s="1"/>
  <c r="S96" i="1" l="1"/>
  <c r="T96" i="1" s="1"/>
  <c r="R95" i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S90" i="1" l="1"/>
  <c r="T90" i="1" s="1"/>
  <c r="R89" i="1"/>
  <c r="R88" i="1" l="1"/>
  <c r="S89" i="1"/>
  <c r="T89" i="1" s="1"/>
  <c r="S88" i="1" l="1"/>
  <c r="T88" i="1" s="1"/>
  <c r="R87" i="1"/>
  <c r="S87" i="1" l="1"/>
  <c r="T87" i="1" s="1"/>
  <c r="R86" i="1"/>
  <c r="R85" i="1" l="1"/>
  <c r="S86" i="1"/>
  <c r="T86" i="1" s="1"/>
  <c r="R84" i="1" l="1"/>
  <c r="S85" i="1"/>
  <c r="T85" i="1" s="1"/>
  <c r="S84" i="1" l="1"/>
  <c r="T84" i="1" s="1"/>
  <c r="R83" i="1"/>
  <c r="S83" i="1" l="1"/>
  <c r="T83" i="1" s="1"/>
  <c r="R82" i="1"/>
  <c r="R81" i="1" l="1"/>
  <c r="S82" i="1"/>
  <c r="T82" i="1" s="1"/>
  <c r="S81" i="1" l="1"/>
  <c r="T81" i="1" s="1"/>
  <c r="R80" i="1"/>
  <c r="R79" i="1" l="1"/>
  <c r="S80" i="1"/>
  <c r="T80" i="1" s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S75" i="1" l="1"/>
  <c r="T75" i="1" s="1"/>
  <c r="R74" i="1"/>
  <c r="S74" i="1" l="1"/>
  <c r="T74" i="1" s="1"/>
  <c r="R73" i="1"/>
  <c r="R72" i="1" l="1"/>
  <c r="S73" i="1"/>
  <c r="T73" i="1" s="1"/>
  <c r="R71" i="1" l="1"/>
  <c r="S72" i="1"/>
  <c r="T72" i="1" s="1"/>
  <c r="R70" i="1" l="1"/>
  <c r="S71" i="1"/>
  <c r="T71" i="1" s="1"/>
  <c r="S70" i="1" l="1"/>
  <c r="T70" i="1" s="1"/>
  <c r="R69" i="1"/>
  <c r="R68" i="1" l="1"/>
  <c r="S69" i="1"/>
  <c r="T69" i="1" s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R63" i="1" l="1"/>
  <c r="S64" i="1"/>
  <c r="T64" i="1" s="1"/>
  <c r="S63" i="1" l="1"/>
  <c r="T63" i="1" s="1"/>
  <c r="R62" i="1"/>
  <c r="S62" i="1" l="1"/>
  <c r="T62" i="1" s="1"/>
  <c r="R61" i="1"/>
  <c r="S61" i="1" l="1"/>
  <c r="T61" i="1" s="1"/>
  <c r="R60" i="1"/>
  <c r="R59" i="1" l="1"/>
  <c r="S60" i="1"/>
  <c r="T60" i="1" s="1"/>
  <c r="R58" i="1" l="1"/>
  <c r="S59" i="1"/>
  <c r="T59" i="1" s="1"/>
  <c r="S58" i="1" l="1"/>
  <c r="T58" i="1" s="1"/>
  <c r="R57" i="1"/>
  <c r="R56" i="1" l="1"/>
  <c r="S57" i="1"/>
  <c r="T57" i="1" s="1"/>
  <c r="S56" i="1" l="1"/>
  <c r="T56" i="1" s="1"/>
  <c r="R55" i="1"/>
  <c r="S55" i="1" l="1"/>
  <c r="T55" i="1" s="1"/>
  <c r="R54" i="1"/>
  <c r="R53" i="1" l="1"/>
  <c r="S54" i="1"/>
  <c r="T54" i="1" s="1"/>
  <c r="R52" i="1" l="1"/>
  <c r="S53" i="1"/>
  <c r="T53" i="1" s="1"/>
  <c r="S52" i="1" l="1"/>
  <c r="T52" i="1" s="1"/>
  <c r="R51" i="1"/>
  <c r="S51" i="1" l="1"/>
  <c r="T51" i="1" s="1"/>
  <c r="R50" i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S46" i="1" l="1"/>
  <c r="T46" i="1" s="1"/>
  <c r="R45" i="1"/>
  <c r="R44" i="1" l="1"/>
  <c r="S45" i="1"/>
  <c r="T45" i="1" s="1"/>
  <c r="S44" i="1" l="1"/>
  <c r="T44" i="1" s="1"/>
  <c r="R43" i="1"/>
  <c r="S43" i="1" l="1"/>
  <c r="T43" i="1" s="1"/>
  <c r="R42" i="1"/>
  <c r="S42" i="1" l="1"/>
  <c r="T42" i="1" s="1"/>
  <c r="R41" i="1"/>
  <c r="S41" i="1" l="1"/>
  <c r="T41" i="1" s="1"/>
  <c r="R40" i="1"/>
  <c r="S40" i="1" l="1"/>
  <c r="T40" i="1" s="1"/>
  <c r="R39" i="1"/>
  <c r="S39" i="1" l="1"/>
  <c r="T39" i="1" s="1"/>
  <c r="R38" i="1"/>
  <c r="S38" i="1" l="1"/>
  <c r="T38" i="1" s="1"/>
  <c r="R37" i="1"/>
  <c r="R36" i="1" l="1"/>
  <c r="S37" i="1"/>
  <c r="T37" i="1" s="1"/>
  <c r="R35" i="1" l="1"/>
  <c r="S36" i="1"/>
  <c r="T36" i="1" s="1"/>
  <c r="S35" i="1" l="1"/>
  <c r="T35" i="1" s="1"/>
  <c r="R34" i="1"/>
  <c r="S34" i="1" l="1"/>
  <c r="T34" i="1" s="1"/>
  <c r="R33" i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S29" i="1" l="1"/>
  <c r="T29" i="1" s="1"/>
  <c r="R28" i="1"/>
  <c r="R27" i="1" l="1"/>
  <c r="S28" i="1"/>
  <c r="T28" i="1" s="1"/>
  <c r="S27" i="1" l="1"/>
  <c r="T27" i="1" s="1"/>
  <c r="R26" i="1"/>
  <c r="R25" i="1" l="1"/>
  <c r="S26" i="1"/>
  <c r="T26" i="1" s="1"/>
  <c r="R24" i="1" l="1"/>
  <c r="S25" i="1"/>
  <c r="T25" i="1" s="1"/>
  <c r="S24" i="1" l="1"/>
  <c r="T24" i="1" s="1"/>
  <c r="R23" i="1"/>
  <c r="S23" i="1" l="1"/>
  <c r="T23" i="1" s="1"/>
  <c r="R22" i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<sst xmlns="http://schemas.openxmlformats.org/spreadsheetml/2006/main" count="5361" uniqueCount="34">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</sst>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10.789</c:v>
                </c:pt>
                <c:pt idx="1">
                  <c:v>11.302</c:v>
                </c:pt>
                <c:pt idx="2">
                  <c:v>12.135</c:v>
                </c:pt>
                <c:pt idx="3">
                  <c:v>10.718999999999999</c:v>
                </c:pt>
                <c:pt idx="4">
                  <c:v>11.696</c:v>
                </c:pt>
                <c:pt idx="5">
                  <c:v>11.407</c:v>
                </c:pt>
                <c:pt idx="6">
                  <c:v>13.224</c:v>
                </c:pt>
                <c:pt idx="7">
                  <c:v>15.259</c:v>
                </c:pt>
                <c:pt idx="8">
                  <c:v>16.21</c:v>
                </c:pt>
                <c:pt idx="9">
                  <c:v>17.704000000000001</c:v>
                </c:pt>
                <c:pt idx="10">
                  <c:v>17.692</c:v>
                </c:pt>
                <c:pt idx="11">
                  <c:v>20.141999999999999</c:v>
                </c:pt>
                <c:pt idx="12">
                  <c:v>19.283000000000001</c:v>
                </c:pt>
                <c:pt idx="13">
                  <c:v>20.184000000000001</c:v>
                </c:pt>
                <c:pt idx="14">
                  <c:v>19.623000000000001</c:v>
                </c:pt>
                <c:pt idx="15">
                  <c:v>17.573</c:v>
                </c:pt>
                <c:pt idx="16">
                  <c:v>18.045000000000002</c:v>
                </c:pt>
                <c:pt idx="17">
                  <c:v>15.474</c:v>
                </c:pt>
                <c:pt idx="18">
                  <c:v>13.519</c:v>
                </c:pt>
                <c:pt idx="19">
                  <c:v>13.82</c:v>
                </c:pt>
                <c:pt idx="20">
                  <c:v>15.057</c:v>
                </c:pt>
                <c:pt idx="21">
                  <c:v>15.935</c:v>
                </c:pt>
                <c:pt idx="22">
                  <c:v>15.308999999999999</c:v>
                </c:pt>
                <c:pt idx="23">
                  <c:v>16.027999999999999</c:v>
                </c:pt>
                <c:pt idx="24">
                  <c:v>16.484999999999999</c:v>
                </c:pt>
                <c:pt idx="25">
                  <c:v>14.384</c:v>
                </c:pt>
                <c:pt idx="26">
                  <c:v>15.175000000000001</c:v>
                </c:pt>
                <c:pt idx="27">
                  <c:v>14.625</c:v>
                </c:pt>
                <c:pt idx="28">
                  <c:v>15.43</c:v>
                </c:pt>
                <c:pt idx="29">
                  <c:v>14.904</c:v>
                </c:pt>
                <c:pt idx="30">
                  <c:v>13.335000000000001</c:v>
                </c:pt>
                <c:pt idx="31">
                  <c:v>14.752000000000001</c:v>
                </c:pt>
                <c:pt idx="32">
                  <c:v>16.260999999999999</c:v>
                </c:pt>
                <c:pt idx="33">
                  <c:v>15.221</c:v>
                </c:pt>
                <c:pt idx="34">
                  <c:v>14.95</c:v>
                </c:pt>
                <c:pt idx="35">
                  <c:v>13.723000000000001</c:v>
                </c:pt>
                <c:pt idx="36">
                  <c:v>10.824999999999999</c:v>
                </c:pt>
                <c:pt idx="37">
                  <c:v>9.2460000000000004</c:v>
                </c:pt>
                <c:pt idx="38">
                  <c:v>8.5090000000000003</c:v>
                </c:pt>
                <c:pt idx="39">
                  <c:v>9.0129999999999999</c:v>
                </c:pt>
                <c:pt idx="40">
                  <c:v>8.4139999999999997</c:v>
                </c:pt>
                <c:pt idx="41">
                  <c:v>8.4019999999999992</c:v>
                </c:pt>
                <c:pt idx="42">
                  <c:v>9.2330000000000005</c:v>
                </c:pt>
                <c:pt idx="43">
                  <c:v>9.8450000000000006</c:v>
                </c:pt>
                <c:pt idx="44">
                  <c:v>9.33</c:v>
                </c:pt>
                <c:pt idx="45">
                  <c:v>9.1010000000000009</c:v>
                </c:pt>
                <c:pt idx="46">
                  <c:v>10.571999999999999</c:v>
                </c:pt>
                <c:pt idx="47">
                  <c:v>10.195</c:v>
                </c:pt>
                <c:pt idx="48">
                  <c:v>10.007999999999999</c:v>
                </c:pt>
                <c:pt idx="49">
                  <c:v>9.7650000000000006</c:v>
                </c:pt>
                <c:pt idx="50">
                  <c:v>9.3390000000000004</c:v>
                </c:pt>
                <c:pt idx="51">
                  <c:v>7.5949999999999998</c:v>
                </c:pt>
                <c:pt idx="52">
                  <c:v>7.2629999999999999</c:v>
                </c:pt>
                <c:pt idx="53">
                  <c:v>7.343</c:v>
                </c:pt>
                <c:pt idx="54">
                  <c:v>7.9729999999999999</c:v>
                </c:pt>
                <c:pt idx="55">
                  <c:v>9.1259999999999994</c:v>
                </c:pt>
                <c:pt idx="56">
                  <c:v>8.2319999999999993</c:v>
                </c:pt>
                <c:pt idx="57">
                  <c:v>8.5060000000000002</c:v>
                </c:pt>
                <c:pt idx="58">
                  <c:v>8.7430000000000003</c:v>
                </c:pt>
                <c:pt idx="59">
                  <c:v>8.423</c:v>
                </c:pt>
                <c:pt idx="60">
                  <c:v>8.3960000000000008</c:v>
                </c:pt>
                <c:pt idx="61">
                  <c:v>8.3089999999999993</c:v>
                </c:pt>
                <c:pt idx="62">
                  <c:v>8.27</c:v>
                </c:pt>
                <c:pt idx="63">
                  <c:v>9.2780000000000005</c:v>
                </c:pt>
                <c:pt idx="64">
                  <c:v>9.6609999999999996</c:v>
                </c:pt>
                <c:pt idx="65">
                  <c:v>9.9719999999999995</c:v>
                </c:pt>
                <c:pt idx="66">
                  <c:v>9.2739999999999991</c:v>
                </c:pt>
                <c:pt idx="67">
                  <c:v>9.6649999999999991</c:v>
                </c:pt>
                <c:pt idx="68">
                  <c:v>9.8049999999999997</c:v>
                </c:pt>
                <c:pt idx="69">
                  <c:v>9.4220000000000006</c:v>
                </c:pt>
                <c:pt idx="70">
                  <c:v>8.7989999999999995</c:v>
                </c:pt>
                <c:pt idx="71">
                  <c:v>9.4149999999999991</c:v>
                </c:pt>
                <c:pt idx="72">
                  <c:v>9.6750000000000007</c:v>
                </c:pt>
                <c:pt idx="73">
                  <c:v>11.08</c:v>
                </c:pt>
                <c:pt idx="74">
                  <c:v>11.867000000000001</c:v>
                </c:pt>
                <c:pt idx="75">
                  <c:v>11.151999999999999</c:v>
                </c:pt>
                <c:pt idx="76">
                  <c:v>11.407</c:v>
                </c:pt>
                <c:pt idx="77">
                  <c:v>12.042</c:v>
                </c:pt>
                <c:pt idx="78">
                  <c:v>10.778</c:v>
                </c:pt>
                <c:pt idx="79">
                  <c:v>11.374000000000001</c:v>
                </c:pt>
                <c:pt idx="80">
                  <c:v>10.715</c:v>
                </c:pt>
                <c:pt idx="81">
                  <c:v>10.332000000000001</c:v>
                </c:pt>
                <c:pt idx="82">
                  <c:v>10.19</c:v>
                </c:pt>
                <c:pt idx="83">
                  <c:v>10.364000000000001</c:v>
                </c:pt>
                <c:pt idx="84">
                  <c:v>10.601000000000001</c:v>
                </c:pt>
                <c:pt idx="85">
                  <c:v>10.96</c:v>
                </c:pt>
                <c:pt idx="86">
                  <c:v>10.461</c:v>
                </c:pt>
                <c:pt idx="87">
                  <c:v>10.144</c:v>
                </c:pt>
                <c:pt idx="88">
                  <c:v>10.157</c:v>
                </c:pt>
                <c:pt idx="89">
                  <c:v>10.481</c:v>
                </c:pt>
                <c:pt idx="90">
                  <c:v>11.576000000000001</c:v>
                </c:pt>
                <c:pt idx="91">
                  <c:v>11.358000000000001</c:v>
                </c:pt>
                <c:pt idx="92">
                  <c:v>10.849</c:v>
                </c:pt>
                <c:pt idx="93">
                  <c:v>12.31</c:v>
                </c:pt>
                <c:pt idx="94">
                  <c:v>12.321</c:v>
                </c:pt>
                <c:pt idx="95">
                  <c:v>9.6029999999999998</c:v>
                </c:pt>
                <c:pt idx="96">
                  <c:v>9.3130000000000006</c:v>
                </c:pt>
                <c:pt idx="97">
                  <c:v>9.1069999999999993</c:v>
                </c:pt>
                <c:pt idx="98">
                  <c:v>9.4760000000000009</c:v>
                </c:pt>
                <c:pt idx="99">
                  <c:v>8.7319999999999993</c:v>
                </c:pt>
                <c:pt idx="100">
                  <c:v>8.1859999999999999</c:v>
                </c:pt>
                <c:pt idx="101">
                  <c:v>7.8440000000000003</c:v>
                </c:pt>
                <c:pt idx="102">
                  <c:v>7.7889999999999997</c:v>
                </c:pt>
                <c:pt idx="103">
                  <c:v>7.8609999999999998</c:v>
                </c:pt>
                <c:pt idx="104">
                  <c:v>7.8680000000000003</c:v>
                </c:pt>
                <c:pt idx="105">
                  <c:v>8.0470000000000006</c:v>
                </c:pt>
                <c:pt idx="106">
                  <c:v>7.2430000000000003</c:v>
                </c:pt>
                <c:pt idx="107">
                  <c:v>7.2690000000000001</c:v>
                </c:pt>
                <c:pt idx="108">
                  <c:v>7.42</c:v>
                </c:pt>
                <c:pt idx="109">
                  <c:v>7.391</c:v>
                </c:pt>
                <c:pt idx="110">
                  <c:v>8.0389999999999997</c:v>
                </c:pt>
                <c:pt idx="111">
                  <c:v>8.1039999999999992</c:v>
                </c:pt>
                <c:pt idx="112">
                  <c:v>8.2840000000000007</c:v>
                </c:pt>
                <c:pt idx="113">
                  <c:v>7.7969999999999997</c:v>
                </c:pt>
                <c:pt idx="114">
                  <c:v>7.9820000000000002</c:v>
                </c:pt>
                <c:pt idx="115">
                  <c:v>7.6470000000000002</c:v>
                </c:pt>
                <c:pt idx="116">
                  <c:v>8.0069999999999997</c:v>
                </c:pt>
                <c:pt idx="117">
                  <c:v>7.806</c:v>
                </c:pt>
                <c:pt idx="118">
                  <c:v>7.83</c:v>
                </c:pt>
                <c:pt idx="119">
                  <c:v>6.9269999999999996</c:v>
                </c:pt>
                <c:pt idx="120">
                  <c:v>6.641</c:v>
                </c:pt>
                <c:pt idx="121">
                  <c:v>6.4160000000000004</c:v>
                </c:pt>
                <c:pt idx="122">
                  <c:v>6.8940000000000001</c:v>
                </c:pt>
                <c:pt idx="123">
                  <c:v>7.2930000000000001</c:v>
                </c:pt>
                <c:pt idx="124">
                  <c:v>7.6180000000000003</c:v>
                </c:pt>
                <c:pt idx="125">
                  <c:v>7.9729999999999999</c:v>
                </c:pt>
                <c:pt idx="126">
                  <c:v>9.17</c:v>
                </c:pt>
                <c:pt idx="127">
                  <c:v>7.7709999999999999</c:v>
                </c:pt>
                <c:pt idx="128">
                  <c:v>6.7009999999999996</c:v>
                </c:pt>
                <c:pt idx="129">
                  <c:v>8.3870000000000005</c:v>
                </c:pt>
                <c:pt idx="130">
                  <c:v>10.061</c:v>
                </c:pt>
                <c:pt idx="131">
                  <c:v>9.0709999999999997</c:v>
                </c:pt>
                <c:pt idx="132">
                  <c:v>8.3219999999999992</c:v>
                </c:pt>
                <c:pt idx="133">
                  <c:v>8.73</c:v>
                </c:pt>
                <c:pt idx="134">
                  <c:v>9.2420000000000009</c:v>
                </c:pt>
                <c:pt idx="135">
                  <c:v>8.6120000000000001</c:v>
                </c:pt>
                <c:pt idx="136">
                  <c:v>8.2010000000000005</c:v>
                </c:pt>
                <c:pt idx="137">
                  <c:v>8.9420000000000002</c:v>
                </c:pt>
                <c:pt idx="138">
                  <c:v>9.0500000000000007</c:v>
                </c:pt>
                <c:pt idx="139">
                  <c:v>9.9329999999999998</c:v>
                </c:pt>
                <c:pt idx="140">
                  <c:v>9.7200000000000006</c:v>
                </c:pt>
                <c:pt idx="141">
                  <c:v>10.391</c:v>
                </c:pt>
                <c:pt idx="142">
                  <c:v>8.6739999999999995</c:v>
                </c:pt>
                <c:pt idx="143">
                  <c:v>6.1</c:v>
                </c:pt>
                <c:pt idx="144">
                  <c:v>6.14</c:v>
                </c:pt>
                <c:pt idx="145">
                  <c:v>6.077</c:v>
                </c:pt>
                <c:pt idx="146">
                  <c:v>6.1680000000000001</c:v>
                </c:pt>
                <c:pt idx="147">
                  <c:v>5.49</c:v>
                </c:pt>
                <c:pt idx="148">
                  <c:v>5.4969999999999999</c:v>
                </c:pt>
                <c:pt idx="149">
                  <c:v>5.2770000000000001</c:v>
                </c:pt>
                <c:pt idx="150">
                  <c:v>5.3239999999999998</c:v>
                </c:pt>
                <c:pt idx="151">
                  <c:v>5.5460000000000003</c:v>
                </c:pt>
                <c:pt idx="152">
                  <c:v>5.7169999999999996</c:v>
                </c:pt>
                <c:pt idx="153">
                  <c:v>5.3159999999999998</c:v>
                </c:pt>
                <c:pt idx="154">
                  <c:v>4.87</c:v>
                </c:pt>
                <c:pt idx="155">
                  <c:v>5.5808</c:v>
                </c:pt>
                <c:pt idx="156">
                  <c:v>5.0472000000000001</c:v>
                </c:pt>
                <c:pt idx="157">
                  <c:v>5.4911000000000003</c:v>
                </c:pt>
                <c:pt idx="158">
                  <c:v>5.8395999999999999</c:v>
                </c:pt>
                <c:pt idx="159">
                  <c:v>6.1849999999999996</c:v>
                </c:pt>
                <c:pt idx="160">
                  <c:v>4.41</c:v>
                </c:pt>
                <c:pt idx="161">
                  <c:v>4.4798999999999998</c:v>
                </c:pt>
                <c:pt idx="162">
                  <c:v>4.4377000000000004</c:v>
                </c:pt>
                <c:pt idx="163">
                  <c:v>3.7311999999999999</c:v>
                </c:pt>
                <c:pt idx="164">
                  <c:v>3.4613999999999998</c:v>
                </c:pt>
                <c:pt idx="165">
                  <c:v>3.2256999999999998</c:v>
                </c:pt>
                <c:pt idx="166">
                  <c:v>3.2458999999999998</c:v>
                </c:pt>
                <c:pt idx="167">
                  <c:v>3.415</c:v>
                </c:pt>
                <c:pt idx="168">
                  <c:v>3.3435000000000001</c:v>
                </c:pt>
                <c:pt idx="169">
                  <c:v>2.9722</c:v>
                </c:pt>
                <c:pt idx="170">
                  <c:v>2.8580999999999999</c:v>
                </c:pt>
                <c:pt idx="171">
                  <c:v>2.6888999999999998</c:v>
                </c:pt>
                <c:pt idx="172">
                  <c:v>2.5594000000000001</c:v>
                </c:pt>
                <c:pt idx="173">
                  <c:v>2.7810000000000001</c:v>
                </c:pt>
                <c:pt idx="174">
                  <c:v>2.5249999999999999</c:v>
                </c:pt>
                <c:pt idx="175">
                  <c:v>2.516</c:v>
                </c:pt>
                <c:pt idx="176">
                  <c:v>2.4542999999999999</c:v>
                </c:pt>
                <c:pt idx="177">
                  <c:v>2.3403999999999998</c:v>
                </c:pt>
                <c:pt idx="178">
                  <c:v>2.3513000000000002</c:v>
                </c:pt>
                <c:pt idx="179">
                  <c:v>2.3915999999999999</c:v>
                </c:pt>
                <c:pt idx="180">
                  <c:v>2.4003000000000001</c:v>
                </c:pt>
                <c:pt idx="181">
                  <c:v>2.3224999999999998</c:v>
                </c:pt>
                <c:pt idx="182">
                  <c:v>2.2549000000000001</c:v>
                </c:pt>
                <c:pt idx="183">
                  <c:v>2.2263999999999999</c:v>
                </c:pt>
                <c:pt idx="184">
                  <c:v>2.2353999999999998</c:v>
                </c:pt>
                <c:pt idx="185">
                  <c:v>2.1476000000000002</c:v>
                </c:pt>
                <c:pt idx="186">
                  <c:v>2.1577999999999999</c:v>
                </c:pt>
                <c:pt idx="187">
                  <c:v>2.1379999999999999</c:v>
                </c:pt>
                <c:pt idx="188">
                  <c:v>1.9396</c:v>
                </c:pt>
                <c:pt idx="189">
                  <c:v>1.9353</c:v>
                </c:pt>
                <c:pt idx="190">
                  <c:v>1.8273999999999999</c:v>
                </c:pt>
                <c:pt idx="191">
                  <c:v>1.6794</c:v>
                </c:pt>
                <c:pt idx="192">
                  <c:v>1.7304999999999999</c:v>
                </c:pt>
                <c:pt idx="193">
                  <c:v>1.9071</c:v>
                </c:pt>
                <c:pt idx="194">
                  <c:v>1.9368000000000001</c:v>
                </c:pt>
                <c:pt idx="195">
                  <c:v>1.8404</c:v>
                </c:pt>
                <c:pt idx="196">
                  <c:v>1.9249000000000001</c:v>
                </c:pt>
                <c:pt idx="197">
                  <c:v>1.9939</c:v>
                </c:pt>
                <c:pt idx="198">
                  <c:v>1.9486000000000001</c:v>
                </c:pt>
                <c:pt idx="199">
                  <c:v>2.0920000000000001</c:v>
                </c:pt>
                <c:pt idx="200">
                  <c:v>2.1749000000000001</c:v>
                </c:pt>
                <c:pt idx="201">
                  <c:v>2.1116999999999999</c:v>
                </c:pt>
                <c:pt idx="202">
                  <c:v>2.0886999999999998</c:v>
                </c:pt>
                <c:pt idx="203">
                  <c:v>2.0996000000000001</c:v>
                </c:pt>
                <c:pt idx="204">
                  <c:v>2.3102999999999998</c:v>
                </c:pt>
                <c:pt idx="205">
                  <c:v>2.2572999999999999</c:v>
                </c:pt>
                <c:pt idx="206">
                  <c:v>2.1705999999999999</c:v>
                </c:pt>
                <c:pt idx="207">
                  <c:v>2.2930999999999999</c:v>
                </c:pt>
                <c:pt idx="208">
                  <c:v>2.2583000000000002</c:v>
                </c:pt>
                <c:pt idx="209">
                  <c:v>2.1025999999999998</c:v>
                </c:pt>
                <c:pt idx="210">
                  <c:v>2.0737999999999999</c:v>
                </c:pt>
                <c:pt idx="211">
                  <c:v>2.0907</c:v>
                </c:pt>
                <c:pt idx="212">
                  <c:v>2.0956999999999999</c:v>
                </c:pt>
                <c:pt idx="213">
                  <c:v>1.9773000000000001</c:v>
                </c:pt>
                <c:pt idx="214">
                  <c:v>1.9642999999999999</c:v>
                </c:pt>
                <c:pt idx="215">
                  <c:v>1.89</c:v>
                </c:pt>
                <c:pt idx="216">
                  <c:v>1.8947000000000001</c:v>
                </c:pt>
                <c:pt idx="217">
                  <c:v>2.1709999999999998</c:v>
                </c:pt>
                <c:pt idx="218">
                  <c:v>2.1480999999999999</c:v>
                </c:pt>
                <c:pt idx="219">
                  <c:v>2.1316999999999999</c:v>
                </c:pt>
                <c:pt idx="220">
                  <c:v>2.2435999999999998</c:v>
                </c:pt>
                <c:pt idx="221">
                  <c:v>2.8853</c:v>
                </c:pt>
                <c:pt idx="222">
                  <c:v>2.8639000000000001</c:v>
                </c:pt>
                <c:pt idx="223">
                  <c:v>2.9316</c:v>
                </c:pt>
                <c:pt idx="224">
                  <c:v>3.0891999999999999</c:v>
                </c:pt>
                <c:pt idx="225">
                  <c:v>3.0811000000000002</c:v>
                </c:pt>
                <c:pt idx="226">
                  <c:v>3.2185000000000001</c:v>
                </c:pt>
                <c:pt idx="227">
                  <c:v>3.2216999999999998</c:v>
                </c:pt>
                <c:pt idx="228">
                  <c:v>3.1375999999999999</c:v>
                </c:pt>
                <c:pt idx="229">
                  <c:v>2.9171</c:v>
                </c:pt>
                <c:pt idx="230">
                  <c:v>3.0207999999999999</c:v>
                </c:pt>
                <c:pt idx="231">
                  <c:v>2.9685000000000001</c:v>
                </c:pt>
                <c:pt idx="232">
                  <c:v>3.2244999999999999</c:v>
                </c:pt>
                <c:pt idx="233">
                  <c:v>2.9</c:v>
                </c:pt>
                <c:pt idx="234">
                  <c:v>2.9256000000000002</c:v>
                </c:pt>
                <c:pt idx="235">
                  <c:v>3.2046999999999999</c:v>
                </c:pt>
                <c:pt idx="236">
                  <c:v>3.2835000000000001</c:v>
                </c:pt>
                <c:pt idx="237">
                  <c:v>3.1698</c:v>
                </c:pt>
                <c:pt idx="238">
                  <c:v>3.6095999999999999</c:v>
                </c:pt>
                <c:pt idx="239">
                  <c:v>3.3134000000000001</c:v>
                </c:pt>
                <c:pt idx="240">
                  <c:v>3.2351000000000001</c:v>
                </c:pt>
                <c:pt idx="241">
                  <c:v>3.3548</c:v>
                </c:pt>
                <c:pt idx="242">
                  <c:v>3.1149</c:v>
                </c:pt>
                <c:pt idx="243">
                  <c:v>2.6966999999999999</c:v>
                </c:pt>
                <c:pt idx="244">
                  <c:v>2.9211999999999998</c:v>
                </c:pt>
                <c:pt idx="245">
                  <c:v>3.3048999999999999</c:v>
                </c:pt>
                <c:pt idx="246">
                  <c:v>3.5369999999999999</c:v>
                </c:pt>
                <c:pt idx="247">
                  <c:v>3.3344999999999998</c:v>
                </c:pt>
                <c:pt idx="248">
                  <c:v>3.2660999999999998</c:v>
                </c:pt>
                <c:pt idx="249">
                  <c:v>2.6575000000000002</c:v>
                </c:pt>
                <c:pt idx="250">
                  <c:v>3.1638999999999999</c:v>
                </c:pt>
                <c:pt idx="251">
                  <c:v>3.4615</c:v>
                </c:pt>
                <c:pt idx="252">
                  <c:v>4.1900000000000004</c:v>
                </c:pt>
                <c:pt idx="253">
                  <c:v>3.6013999999999999</c:v>
                </c:pt>
                <c:pt idx="254">
                  <c:v>5.6737000000000002</c:v>
                </c:pt>
                <c:pt idx="255">
                  <c:v>5.7248000000000001</c:v>
                </c:pt>
                <c:pt idx="256">
                  <c:v>5.8716999999999997</c:v>
                </c:pt>
                <c:pt idx="257">
                  <c:v>5.9420999999999999</c:v>
                </c:pt>
                <c:pt idx="258">
                  <c:v>5.7382999999999997</c:v>
                </c:pt>
                <c:pt idx="259">
                  <c:v>5.4843999999999999</c:v>
                </c:pt>
                <c:pt idx="260">
                  <c:v>4.7423999999999999</c:v>
                </c:pt>
                <c:pt idx="261">
                  <c:v>4.9431000000000003</c:v>
                </c:pt>
                <c:pt idx="262">
                  <c:v>4.6959</c:v>
                </c:pt>
                <c:pt idx="263">
                  <c:v>5.0636000000000001</c:v>
                </c:pt>
                <c:pt idx="264">
                  <c:v>5.2337999999999996</c:v>
                </c:pt>
                <c:pt idx="265">
                  <c:v>5.32</c:v>
                </c:pt>
                <c:pt idx="266">
                  <c:v>5.2065000000000001</c:v>
                </c:pt>
                <c:pt idx="267">
                  <c:v>5.25</c:v>
                </c:pt>
                <c:pt idx="268">
                  <c:v>4.8169000000000004</c:v>
                </c:pt>
                <c:pt idx="269">
                  <c:v>5.4783999999999997</c:v>
                </c:pt>
                <c:pt idx="270">
                  <c:v>5.2756999999999996</c:v>
                </c:pt>
                <c:pt idx="271">
                  <c:v>5.5042</c:v>
                </c:pt>
                <c:pt idx="272">
                  <c:v>5.5601000000000003</c:v>
                </c:pt>
                <c:pt idx="273">
                  <c:v>5.4892000000000003</c:v>
                </c:pt>
                <c:pt idx="274">
                  <c:v>4.9090999999999996</c:v>
                </c:pt>
                <c:pt idx="275">
                  <c:v>5.157</c:v>
                </c:pt>
                <c:pt idx="276">
                  <c:v>5.0202</c:v>
                </c:pt>
                <c:pt idx="277">
                  <c:v>4.6462000000000003</c:v>
                </c:pt>
                <c:pt idx="278">
                  <c:v>4.2420999999999998</c:v>
                </c:pt>
                <c:pt idx="279">
                  <c:v>4.6548999999999996</c:v>
                </c:pt>
                <c:pt idx="280">
                  <c:v>4.7945000000000002</c:v>
                </c:pt>
                <c:pt idx="281">
                  <c:v>4.7756999999999996</c:v>
                </c:pt>
                <c:pt idx="282">
                  <c:v>4.9324000000000003</c:v>
                </c:pt>
                <c:pt idx="283">
                  <c:v>4.7332000000000001</c:v>
                </c:pt>
                <c:pt idx="284">
                  <c:v>5.1534000000000004</c:v>
                </c:pt>
                <c:pt idx="285">
                  <c:v>5.8743999999999996</c:v>
                </c:pt>
                <c:pt idx="286">
                  <c:v>5.9344000000000001</c:v>
                </c:pt>
                <c:pt idx="287">
                  <c:v>6.5225</c:v>
                </c:pt>
                <c:pt idx="288">
                  <c:v>6.3349000000000002</c:v>
                </c:pt>
                <c:pt idx="289">
                  <c:v>6.5029000000000003</c:v>
                </c:pt>
                <c:pt idx="290">
                  <c:v>6.7259000000000002</c:v>
                </c:pt>
                <c:pt idx="291">
                  <c:v>6.7628000000000004</c:v>
                </c:pt>
                <c:pt idx="292">
                  <c:v>6.5031999999999996</c:v>
                </c:pt>
                <c:pt idx="293">
                  <c:v>6.4215999999999998</c:v>
                </c:pt>
                <c:pt idx="294">
                  <c:v>6.8163999999999998</c:v>
                </c:pt>
                <c:pt idx="295">
                  <c:v>6.1245000000000003</c:v>
                </c:pt>
                <c:pt idx="296">
                  <c:v>6.7694000000000001</c:v>
                </c:pt>
                <c:pt idx="297">
                  <c:v>6.1326999999999998</c:v>
                </c:pt>
                <c:pt idx="298">
                  <c:v>6.0884</c:v>
                </c:pt>
                <c:pt idx="299">
                  <c:v>5.6862000000000004</c:v>
                </c:pt>
                <c:pt idx="300">
                  <c:v>5.9833999999999996</c:v>
                </c:pt>
                <c:pt idx="301">
                  <c:v>5.9728000000000003</c:v>
                </c:pt>
                <c:pt idx="302">
                  <c:v>5.9932999999999996</c:v>
                </c:pt>
                <c:pt idx="303">
                  <c:v>6.3460000000000001</c:v>
                </c:pt>
                <c:pt idx="304">
                  <c:v>5.8090000000000002</c:v>
                </c:pt>
                <c:pt idx="305">
                  <c:v>5.6028000000000002</c:v>
                </c:pt>
                <c:pt idx="306">
                  <c:v>5.3273999999999999</c:v>
                </c:pt>
                <c:pt idx="307">
                  <c:v>5.4809999999999999</c:v>
                </c:pt>
                <c:pt idx="308">
                  <c:v>4.8068</c:v>
                </c:pt>
                <c:pt idx="309">
                  <c:v>4.8521000000000001</c:v>
                </c:pt>
                <c:pt idx="310">
                  <c:v>5.3055000000000003</c:v>
                </c:pt>
                <c:pt idx="311">
                  <c:v>5.4066000000000001</c:v>
                </c:pt>
                <c:pt idx="312">
                  <c:v>6.0388000000000002</c:v>
                </c:pt>
                <c:pt idx="313">
                  <c:v>6.2721999999999998</c:v>
                </c:pt>
                <c:pt idx="314">
                  <c:v>6.1662999999999997</c:v>
                </c:pt>
                <c:pt idx="315">
                  <c:v>6.05</c:v>
                </c:pt>
                <c:pt idx="316">
                  <c:v>6.2294</c:v>
                </c:pt>
                <c:pt idx="317">
                  <c:v>6.3833000000000002</c:v>
                </c:pt>
                <c:pt idx="318">
                  <c:v>5.9027000000000003</c:v>
                </c:pt>
                <c:pt idx="319">
                  <c:v>6.6135000000000002</c:v>
                </c:pt>
                <c:pt idx="320">
                  <c:v>7.3990999999999998</c:v>
                </c:pt>
                <c:pt idx="321">
                  <c:v>6.9147999999999996</c:v>
                </c:pt>
                <c:pt idx="322">
                  <c:v>6.0766</c:v>
                </c:pt>
                <c:pt idx="323">
                  <c:v>5.3063000000000002</c:v>
                </c:pt>
                <c:pt idx="324">
                  <c:v>5.4092000000000002</c:v>
                </c:pt>
                <c:pt idx="325">
                  <c:v>4.5759999999999996</c:v>
                </c:pt>
                <c:pt idx="326">
                  <c:v>4.2755999999999998</c:v>
                </c:pt>
                <c:pt idx="327">
                  <c:v>4.0525000000000002</c:v>
                </c:pt>
                <c:pt idx="328">
                  <c:v>4.1615000000000002</c:v>
                </c:pt>
                <c:pt idx="329">
                  <c:v>4.5338000000000003</c:v>
                </c:pt>
                <c:pt idx="330">
                  <c:v>4.1679000000000004</c:v>
                </c:pt>
                <c:pt idx="331">
                  <c:v>4.0362999999999998</c:v>
                </c:pt>
                <c:pt idx="332">
                  <c:v>4.1932999999999998</c:v>
                </c:pt>
                <c:pt idx="333">
                  <c:v>3.8233999999999999</c:v>
                </c:pt>
                <c:pt idx="334">
                  <c:v>4.0010000000000003</c:v>
                </c:pt>
                <c:pt idx="335">
                  <c:v>4.2309000000000001</c:v>
                </c:pt>
                <c:pt idx="336">
                  <c:v>3.8976999999999999</c:v>
                </c:pt>
                <c:pt idx="337">
                  <c:v>3.5712999999999999</c:v>
                </c:pt>
                <c:pt idx="338">
                  <c:v>3.3799000000000001</c:v>
                </c:pt>
                <c:pt idx="339">
                  <c:v>3.7383000000000002</c:v>
                </c:pt>
                <c:pt idx="340">
                  <c:v>4.0999999999999996</c:v>
                </c:pt>
                <c:pt idx="341">
                  <c:v>4</c:v>
                </c:pt>
                <c:pt idx="342">
                  <c:v>4.3833000000000002</c:v>
                </c:pt>
                <c:pt idx="343">
                  <c:v>4.4417999999999997</c:v>
                </c:pt>
                <c:pt idx="344">
                  <c:v>4.2324999999999999</c:v>
                </c:pt>
                <c:pt idx="345">
                  <c:v>4.0888999999999998</c:v>
                </c:pt>
                <c:pt idx="346">
                  <c:v>4.0255000000000001</c:v>
                </c:pt>
                <c:pt idx="347">
                  <c:v>4.3098999999999998</c:v>
                </c:pt>
                <c:pt idx="348">
                  <c:v>4.8193999999999999</c:v>
                </c:pt>
                <c:pt idx="349">
                  <c:v>4.7182000000000004</c:v>
                </c:pt>
                <c:pt idx="350">
                  <c:v>3.4504999999999999</c:v>
                </c:pt>
                <c:pt idx="351">
                  <c:v>3.2441</c:v>
                </c:pt>
                <c:pt idx="352">
                  <c:v>3.3039000000000001</c:v>
                </c:pt>
                <c:pt idx="353">
                  <c:v>3.4626999999999999</c:v>
                </c:pt>
                <c:pt idx="354">
                  <c:v>3.4</c:v>
                </c:pt>
                <c:pt idx="355">
                  <c:v>2.6854</c:v>
                </c:pt>
                <c:pt idx="356">
                  <c:v>2.8576000000000001</c:v>
                </c:pt>
                <c:pt idx="357">
                  <c:v>2.4916999999999998</c:v>
                </c:pt>
                <c:pt idx="358">
                  <c:v>2.5575000000000001</c:v>
                </c:pt>
                <c:pt idx="359">
                  <c:v>2.46</c:v>
                </c:pt>
                <c:pt idx="360">
                  <c:v>2.2665000000000002</c:v>
                </c:pt>
                <c:pt idx="361">
                  <c:v>2.1440999999999999</c:v>
                </c:pt>
                <c:pt idx="362">
                  <c:v>2.1705000000000001</c:v>
                </c:pt>
                <c:pt idx="363">
                  <c:v>2.1989000000000001</c:v>
                </c:pt>
                <c:pt idx="364">
                  <c:v>2.2484999999999999</c:v>
                </c:pt>
                <c:pt idx="365">
                  <c:v>2.0318999999999998</c:v>
                </c:pt>
                <c:pt idx="366">
                  <c:v>2.3809999999999998</c:v>
                </c:pt>
                <c:pt idx="367">
                  <c:v>2.4466000000000001</c:v>
                </c:pt>
                <c:pt idx="368">
                  <c:v>2.5613999999999999</c:v>
                </c:pt>
                <c:pt idx="369">
                  <c:v>2.3849999999999998</c:v>
                </c:pt>
                <c:pt idx="370">
                  <c:v>2.3683000000000001</c:v>
                </c:pt>
                <c:pt idx="371">
                  <c:v>2.1591999999999998</c:v>
                </c:pt>
                <c:pt idx="372">
                  <c:v>2.4824999999999999</c:v>
                </c:pt>
                <c:pt idx="373">
                  <c:v>2.1637</c:v>
                </c:pt>
                <c:pt idx="374">
                  <c:v>2.4085999999999999</c:v>
                </c:pt>
                <c:pt idx="375">
                  <c:v>2.5013000000000001</c:v>
                </c:pt>
                <c:pt idx="376">
                  <c:v>2.0871</c:v>
                </c:pt>
                <c:pt idx="377">
                  <c:v>1.8320000000000001</c:v>
                </c:pt>
                <c:pt idx="378">
                  <c:v>1.7274</c:v>
                </c:pt>
                <c:pt idx="379">
                  <c:v>1.6060000000000001</c:v>
                </c:pt>
                <c:pt idx="380">
                  <c:v>1.4319</c:v>
                </c:pt>
                <c:pt idx="381">
                  <c:v>1.4833000000000001</c:v>
                </c:pt>
                <c:pt idx="382">
                  <c:v>1.7421</c:v>
                </c:pt>
                <c:pt idx="383">
                  <c:v>1.7585999999999999</c:v>
                </c:pt>
                <c:pt idx="384">
                  <c:v>1.7376</c:v>
                </c:pt>
                <c:pt idx="385">
                  <c:v>1.4972000000000001</c:v>
                </c:pt>
                <c:pt idx="386">
                  <c:v>1.5412999999999999</c:v>
                </c:pt>
                <c:pt idx="387">
                  <c:v>1.4953000000000001</c:v>
                </c:pt>
                <c:pt idx="388">
                  <c:v>1.3868</c:v>
                </c:pt>
                <c:pt idx="389">
                  <c:v>1.4706999999999999</c:v>
                </c:pt>
                <c:pt idx="390">
                  <c:v>1.4124000000000001</c:v>
                </c:pt>
                <c:pt idx="391">
                  <c:v>1.3587</c:v>
                </c:pt>
                <c:pt idx="392">
                  <c:v>1.3916999999999999</c:v>
                </c:pt>
                <c:pt idx="393">
                  <c:v>1.21</c:v>
                </c:pt>
                <c:pt idx="394">
                  <c:v>1.1653</c:v>
                </c:pt>
                <c:pt idx="395">
                  <c:v>1.2217</c:v>
                </c:pt>
                <c:pt idx="396">
                  <c:v>1.1990000000000001</c:v>
                </c:pt>
                <c:pt idx="397">
                  <c:v>1.0246</c:v>
                </c:pt>
                <c:pt idx="398">
                  <c:v>1.0201</c:v>
                </c:pt>
                <c:pt idx="399">
                  <c:v>1.0634999999999999</c:v>
                </c:pt>
                <c:pt idx="400">
                  <c:v>0.96189999999999998</c:v>
                </c:pt>
                <c:pt idx="401">
                  <c:v>1.1611</c:v>
                </c:pt>
                <c:pt idx="402">
                  <c:v>1.2182999999999999</c:v>
                </c:pt>
                <c:pt idx="403">
                  <c:v>1.0583</c:v>
                </c:pt>
                <c:pt idx="404">
                  <c:v>1.0477000000000001</c:v>
                </c:pt>
                <c:pt idx="405">
                  <c:v>1.0047999999999999</c:v>
                </c:pt>
                <c:pt idx="406">
                  <c:v>0.99339999999999995</c:v>
                </c:pt>
                <c:pt idx="407">
                  <c:v>1.0468999999999999</c:v>
                </c:pt>
                <c:pt idx="408">
                  <c:v>1.0065999999999999</c:v>
                </c:pt>
                <c:pt idx="409">
                  <c:v>0.99329999999999996</c:v>
                </c:pt>
                <c:pt idx="410">
                  <c:v>0.95269999999999999</c:v>
                </c:pt>
                <c:pt idx="411">
                  <c:v>0.9194</c:v>
                </c:pt>
                <c:pt idx="412">
                  <c:v>0.86919999999999997</c:v>
                </c:pt>
                <c:pt idx="413">
                  <c:v>0.95589999999999997</c:v>
                </c:pt>
                <c:pt idx="414">
                  <c:v>0.995</c:v>
                </c:pt>
                <c:pt idx="415">
                  <c:v>0.93310000000000004</c:v>
                </c:pt>
                <c:pt idx="416">
                  <c:v>1.0118</c:v>
                </c:pt>
                <c:pt idx="417">
                  <c:v>1.0339</c:v>
                </c:pt>
                <c:pt idx="418">
                  <c:v>1.1126</c:v>
                </c:pt>
                <c:pt idx="419">
                  <c:v>1.1016999999999999</c:v>
                </c:pt>
                <c:pt idx="420">
                  <c:v>1.1549</c:v>
                </c:pt>
                <c:pt idx="421">
                  <c:v>1.1768000000000001</c:v>
                </c:pt>
                <c:pt idx="422">
                  <c:v>1.06</c:v>
                </c:pt>
                <c:pt idx="423">
                  <c:v>1.0779000000000001</c:v>
                </c:pt>
                <c:pt idx="424">
                  <c:v>1.0138</c:v>
                </c:pt>
                <c:pt idx="425">
                  <c:v>1.0203</c:v>
                </c:pt>
                <c:pt idx="426">
                  <c:v>0.99590000000000001</c:v>
                </c:pt>
                <c:pt idx="427">
                  <c:v>1.0101</c:v>
                </c:pt>
                <c:pt idx="428">
                  <c:v>1.1051</c:v>
                </c:pt>
                <c:pt idx="429">
                  <c:v>1.2434000000000001</c:v>
                </c:pt>
                <c:pt idx="430">
                  <c:v>1.1706000000000001</c:v>
                </c:pt>
                <c:pt idx="431">
                  <c:v>1.0770999999999999</c:v>
                </c:pt>
                <c:pt idx="432">
                  <c:v>1.1853</c:v>
                </c:pt>
                <c:pt idx="433">
                  <c:v>0.94710000000000005</c:v>
                </c:pt>
                <c:pt idx="434">
                  <c:v>0.84540000000000004</c:v>
                </c:pt>
                <c:pt idx="435">
                  <c:v>0.83240000000000003</c:v>
                </c:pt>
                <c:pt idx="436">
                  <c:v>0.93130000000000002</c:v>
                </c:pt>
                <c:pt idx="437">
                  <c:v>0.86599999999999999</c:v>
                </c:pt>
                <c:pt idx="438">
                  <c:v>0.8296</c:v>
                </c:pt>
                <c:pt idx="439">
                  <c:v>0.86809999999999998</c:v>
                </c:pt>
                <c:pt idx="440">
                  <c:v>0.89810000000000001</c:v>
                </c:pt>
                <c:pt idx="441">
                  <c:v>0.7893</c:v>
                </c:pt>
                <c:pt idx="442">
                  <c:v>0.86040000000000005</c:v>
                </c:pt>
                <c:pt idx="443">
                  <c:v>0.9456</c:v>
                </c:pt>
                <c:pt idx="444">
                  <c:v>0.92889999999999995</c:v>
                </c:pt>
                <c:pt idx="445">
                  <c:v>0.81689999999999996</c:v>
                </c:pt>
                <c:pt idx="446">
                  <c:v>0.69610000000000005</c:v>
                </c:pt>
                <c:pt idx="447">
                  <c:v>0.71930000000000005</c:v>
                </c:pt>
                <c:pt idx="448">
                  <c:v>0.69120000000000004</c:v>
                </c:pt>
                <c:pt idx="449">
                  <c:v>0.53380000000000005</c:v>
                </c:pt>
                <c:pt idx="450">
                  <c:v>0.56210000000000004</c:v>
                </c:pt>
                <c:pt idx="451">
                  <c:v>0.60640000000000005</c:v>
                </c:pt>
                <c:pt idx="452">
                  <c:v>0.63500000000000001</c:v>
                </c:pt>
                <c:pt idx="453">
                  <c:v>0.63849999999999996</c:v>
                </c:pt>
                <c:pt idx="454">
                  <c:v>0.63060000000000005</c:v>
                </c:pt>
                <c:pt idx="455">
                  <c:v>0.6895</c:v>
                </c:pt>
                <c:pt idx="456">
                  <c:v>0.7</c:v>
                </c:pt>
                <c:pt idx="457">
                  <c:v>0.75980000000000003</c:v>
                </c:pt>
                <c:pt idx="458">
                  <c:v>0.77839999999999998</c:v>
                </c:pt>
                <c:pt idx="459">
                  <c:v>0.84440000000000004</c:v>
                </c:pt>
                <c:pt idx="460">
                  <c:v>0.73909999999999998</c:v>
                </c:pt>
                <c:pt idx="461">
                  <c:v>0.72709999999999997</c:v>
                </c:pt>
                <c:pt idx="462">
                  <c:v>0.74839999999999995</c:v>
                </c:pt>
                <c:pt idx="463">
                  <c:v>0.70440000000000003</c:v>
                </c:pt>
                <c:pt idx="464">
                  <c:v>0.67569999999999997</c:v>
                </c:pt>
                <c:pt idx="465">
                  <c:v>0.79930000000000001</c:v>
                </c:pt>
                <c:pt idx="466">
                  <c:v>0.86919999999999997</c:v>
                </c:pt>
                <c:pt idx="467">
                  <c:v>0.80730000000000002</c:v>
                </c:pt>
                <c:pt idx="468">
                  <c:v>0.81710000000000005</c:v>
                </c:pt>
                <c:pt idx="469">
                  <c:v>1.1209</c:v>
                </c:pt>
                <c:pt idx="470">
                  <c:v>1.1685000000000001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4F-40BF-821B-02990462BE6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1.497673897562843</c:v>
                </c:pt>
                <c:pt idx="1">
                  <c:v>1.5103028476849358</c:v>
                </c:pt>
                <c:pt idx="2">
                  <c:v>1.6248384352217207</c:v>
                </c:pt>
                <c:pt idx="3">
                  <c:v>1.4988550530137998</c:v>
                </c:pt>
                <c:pt idx="4">
                  <c:v>1.4741899430478445</c:v>
                </c:pt>
                <c:pt idx="5">
                  <c:v>1.4758949930637357</c:v>
                </c:pt>
                <c:pt idx="6">
                  <c:v>1.5408551267468464</c:v>
                </c:pt>
                <c:pt idx="7">
                  <c:v>1.628006906166338</c:v>
                </c:pt>
                <c:pt idx="8">
                  <c:v>1.7332819780992321</c:v>
                </c:pt>
                <c:pt idx="9">
                  <c:v>1.8445700189715726</c:v>
                </c:pt>
                <c:pt idx="10">
                  <c:v>1.8081771642705482</c:v>
                </c:pt>
                <c:pt idx="11">
                  <c:v>1.8961980706586501</c:v>
                </c:pt>
                <c:pt idx="12">
                  <c:v>1.8372763500609961</c:v>
                </c:pt>
                <c:pt idx="13">
                  <c:v>1.8781550349702305</c:v>
                </c:pt>
                <c:pt idx="14">
                  <c:v>1.7667041752591401</c:v>
                </c:pt>
                <c:pt idx="15">
                  <c:v>1.599284648633299</c:v>
                </c:pt>
                <c:pt idx="16">
                  <c:v>1.7174915561519708</c:v>
                </c:pt>
                <c:pt idx="17">
                  <c:v>1.5465199489773118</c:v>
                </c:pt>
                <c:pt idx="18">
                  <c:v>1.3462162103811333</c:v>
                </c:pt>
                <c:pt idx="19">
                  <c:v>1.3707202888287837</c:v>
                </c:pt>
                <c:pt idx="20">
                  <c:v>1.4377984013951985</c:v>
                </c:pt>
                <c:pt idx="21">
                  <c:v>1.4572157938060342</c:v>
                </c:pt>
                <c:pt idx="22">
                  <c:v>1.3637247654458018</c:v>
                </c:pt>
                <c:pt idx="23">
                  <c:v>1.4012481644148738</c:v>
                </c:pt>
                <c:pt idx="24">
                  <c:v>1.5892026632818468</c:v>
                </c:pt>
                <c:pt idx="25">
                  <c:v>1.4515093702601749</c:v>
                </c:pt>
                <c:pt idx="26">
                  <c:v>1.4901308013945886</c:v>
                </c:pt>
                <c:pt idx="27">
                  <c:v>1.4547419957740531</c:v>
                </c:pt>
                <c:pt idx="28">
                  <c:v>1.4903568781383842</c:v>
                </c:pt>
                <c:pt idx="29">
                  <c:v>1.3404775364610961</c:v>
                </c:pt>
                <c:pt idx="30">
                  <c:v>1.2016955057109766</c:v>
                </c:pt>
                <c:pt idx="31">
                  <c:v>1.3209884590284724</c:v>
                </c:pt>
                <c:pt idx="32">
                  <c:v>1.4263032802040845</c:v>
                </c:pt>
                <c:pt idx="33">
                  <c:v>1.3064803244570222</c:v>
                </c:pt>
                <c:pt idx="34">
                  <c:v>1.244699872604101</c:v>
                </c:pt>
                <c:pt idx="35">
                  <c:v>1.1901952301326904</c:v>
                </c:pt>
                <c:pt idx="36">
                  <c:v>0.91094213473023056</c:v>
                </c:pt>
                <c:pt idx="37">
                  <c:v>0.83262118874492586</c:v>
                </c:pt>
                <c:pt idx="38">
                  <c:v>0.76774032344121346</c:v>
                </c:pt>
                <c:pt idx="39">
                  <c:v>0.81588735937082479</c:v>
                </c:pt>
                <c:pt idx="40">
                  <c:v>0.81810855271406402</c:v>
                </c:pt>
                <c:pt idx="41">
                  <c:v>0.79050876761687183</c:v>
                </c:pt>
                <c:pt idx="42">
                  <c:v>0.86738484406585159</c:v>
                </c:pt>
                <c:pt idx="43">
                  <c:v>0.98200126659076836</c:v>
                </c:pt>
                <c:pt idx="44">
                  <c:v>1.3325554322113302</c:v>
                </c:pt>
                <c:pt idx="45">
                  <c:v>1.3242705761934961</c:v>
                </c:pt>
                <c:pt idx="46">
                  <c:v>1.422303608575314</c:v>
                </c:pt>
                <c:pt idx="47">
                  <c:v>1.5155599613253141</c:v>
                </c:pt>
                <c:pt idx="48">
                  <c:v>1.5175333514264813</c:v>
                </c:pt>
                <c:pt idx="49">
                  <c:v>1.4509453024724679</c:v>
                </c:pt>
                <c:pt idx="50">
                  <c:v>1.3605690403139512</c:v>
                </c:pt>
                <c:pt idx="51">
                  <c:v>1.2438660361632368</c:v>
                </c:pt>
                <c:pt idx="52">
                  <c:v>1.2002506283304839</c:v>
                </c:pt>
                <c:pt idx="53">
                  <c:v>1.149613442509458</c:v>
                </c:pt>
                <c:pt idx="54">
                  <c:v>1.1838183529401554</c:v>
                </c:pt>
                <c:pt idx="55">
                  <c:v>1.1384395764778323</c:v>
                </c:pt>
                <c:pt idx="56">
                  <c:v>1.0894719526805841</c:v>
                </c:pt>
                <c:pt idx="57">
                  <c:v>1.0991988961794554</c:v>
                </c:pt>
                <c:pt idx="58">
                  <c:v>1.1159878937597023</c:v>
                </c:pt>
                <c:pt idx="59">
                  <c:v>1.0942927577897399</c:v>
                </c:pt>
                <c:pt idx="60">
                  <c:v>1.0822210695505055</c:v>
                </c:pt>
                <c:pt idx="61">
                  <c:v>1.0580268194380991</c:v>
                </c:pt>
                <c:pt idx="62">
                  <c:v>1.0638170973853285</c:v>
                </c:pt>
                <c:pt idx="63">
                  <c:v>1.1046710942985118</c:v>
                </c:pt>
                <c:pt idx="64">
                  <c:v>1.1099498346969694</c:v>
                </c:pt>
                <c:pt idx="65">
                  <c:v>1.1356386080958767</c:v>
                </c:pt>
                <c:pt idx="66">
                  <c:v>1.0920118220032637</c:v>
                </c:pt>
                <c:pt idx="67">
                  <c:v>1.1050303012733562</c:v>
                </c:pt>
                <c:pt idx="68">
                  <c:v>1.1024955376005063</c:v>
                </c:pt>
                <c:pt idx="69">
                  <c:v>1.0616888655543781</c:v>
                </c:pt>
                <c:pt idx="70">
                  <c:v>1.0207110603193352</c:v>
                </c:pt>
                <c:pt idx="71">
                  <c:v>1.0660906917780879</c:v>
                </c:pt>
                <c:pt idx="72">
                  <c:v>1.0810567714213462</c:v>
                </c:pt>
                <c:pt idx="73">
                  <c:v>1.1311148830635143</c:v>
                </c:pt>
                <c:pt idx="74">
                  <c:v>1.1830608744999549</c:v>
                </c:pt>
                <c:pt idx="75">
                  <c:v>1.1174917995652289</c:v>
                </c:pt>
                <c:pt idx="76">
                  <c:v>1.1146840342652291</c:v>
                </c:pt>
                <c:pt idx="77">
                  <c:v>1.163145309262946</c:v>
                </c:pt>
                <c:pt idx="78">
                  <c:v>1.0930010439734055</c:v>
                </c:pt>
                <c:pt idx="79">
                  <c:v>1.1061885978959862</c:v>
                </c:pt>
                <c:pt idx="80">
                  <c:v>1.0723253436830029</c:v>
                </c:pt>
                <c:pt idx="81">
                  <c:v>1.0184365219363689</c:v>
                </c:pt>
                <c:pt idx="82">
                  <c:v>1.0136615664707818</c:v>
                </c:pt>
                <c:pt idx="83">
                  <c:v>1.0128512470852395</c:v>
                </c:pt>
                <c:pt idx="84">
                  <c:v>1.0379925587643357</c:v>
                </c:pt>
                <c:pt idx="85">
                  <c:v>1.0758845963268355</c:v>
                </c:pt>
                <c:pt idx="86">
                  <c:v>1.0377477891609241</c:v>
                </c:pt>
                <c:pt idx="87">
                  <c:v>1.0446578963867634</c:v>
                </c:pt>
                <c:pt idx="88">
                  <c:v>1.0719774089585177</c:v>
                </c:pt>
                <c:pt idx="89">
                  <c:v>1.0750609729360034</c:v>
                </c:pt>
                <c:pt idx="90">
                  <c:v>1.114761716777898</c:v>
                </c:pt>
                <c:pt idx="91">
                  <c:v>1.0502472343422544</c:v>
                </c:pt>
                <c:pt idx="92">
                  <c:v>1.095736681803561</c:v>
                </c:pt>
                <c:pt idx="93">
                  <c:v>1.2141954900748269</c:v>
                </c:pt>
                <c:pt idx="94">
                  <c:v>1.2786070143242296</c:v>
                </c:pt>
                <c:pt idx="95">
                  <c:v>1.0406227346634698</c:v>
                </c:pt>
                <c:pt idx="96">
                  <c:v>1.0255776712258173</c:v>
                </c:pt>
                <c:pt idx="97">
                  <c:v>0.98937949407349923</c:v>
                </c:pt>
                <c:pt idx="98">
                  <c:v>1.0266409711153601</c:v>
                </c:pt>
                <c:pt idx="99">
                  <c:v>0.94604661413853852</c:v>
                </c:pt>
                <c:pt idx="100">
                  <c:v>0.88904252757603885</c:v>
                </c:pt>
                <c:pt idx="101">
                  <c:v>0.84182622670296192</c:v>
                </c:pt>
                <c:pt idx="102">
                  <c:v>0.82378914375903667</c:v>
                </c:pt>
                <c:pt idx="103">
                  <c:v>0.83268772636773225</c:v>
                </c:pt>
                <c:pt idx="104">
                  <c:v>0.85408438578878509</c:v>
                </c:pt>
                <c:pt idx="105">
                  <c:v>0.88215276882582194</c:v>
                </c:pt>
                <c:pt idx="106">
                  <c:v>0.81030894433643852</c:v>
                </c:pt>
                <c:pt idx="107">
                  <c:v>0.78679474308189301</c:v>
                </c:pt>
                <c:pt idx="108">
                  <c:v>0.74369961290452302</c:v>
                </c:pt>
                <c:pt idx="109">
                  <c:v>0.76380787195330357</c:v>
                </c:pt>
                <c:pt idx="110">
                  <c:v>0.81630640023205869</c:v>
                </c:pt>
                <c:pt idx="111">
                  <c:v>0.84218236830898185</c:v>
                </c:pt>
                <c:pt idx="112">
                  <c:v>0.92495374643664163</c:v>
                </c:pt>
                <c:pt idx="113">
                  <c:v>0.84191261423664154</c:v>
                </c:pt>
                <c:pt idx="114">
                  <c:v>0.78945297975388296</c:v>
                </c:pt>
                <c:pt idx="115">
                  <c:v>0.76623094983001749</c:v>
                </c:pt>
                <c:pt idx="116">
                  <c:v>0.80904879486420544</c:v>
                </c:pt>
                <c:pt idx="117">
                  <c:v>0.8195448785927123</c:v>
                </c:pt>
                <c:pt idx="118">
                  <c:v>0.84501146145694206</c:v>
                </c:pt>
                <c:pt idx="119">
                  <c:v>0.73061163176482991</c:v>
                </c:pt>
                <c:pt idx="120">
                  <c:v>0.66229803090315209</c:v>
                </c:pt>
                <c:pt idx="121">
                  <c:v>0.72506263666917459</c:v>
                </c:pt>
                <c:pt idx="122">
                  <c:v>0.80136187765617073</c:v>
                </c:pt>
                <c:pt idx="123">
                  <c:v>0.88232507218203271</c:v>
                </c:pt>
                <c:pt idx="124">
                  <c:v>0.83695771803388463</c:v>
                </c:pt>
                <c:pt idx="125">
                  <c:v>0.92259129640850379</c:v>
                </c:pt>
                <c:pt idx="126">
                  <c:v>1.0367009541952841</c:v>
                </c:pt>
                <c:pt idx="127">
                  <c:v>0.88912322813714462</c:v>
                </c:pt>
                <c:pt idx="128">
                  <c:v>0.74851707100350406</c:v>
                </c:pt>
                <c:pt idx="129">
                  <c:v>0.87872821033924431</c:v>
                </c:pt>
                <c:pt idx="130">
                  <c:v>1.021323307312719</c:v>
                </c:pt>
                <c:pt idx="131">
                  <c:v>0.91070352660343701</c:v>
                </c:pt>
                <c:pt idx="132">
                  <c:v>0.86323528309779374</c:v>
                </c:pt>
                <c:pt idx="133">
                  <c:v>0.89858536131975386</c:v>
                </c:pt>
                <c:pt idx="134">
                  <c:v>0.93130613003131257</c:v>
                </c:pt>
                <c:pt idx="135">
                  <c:v>0.9022104039924087</c:v>
                </c:pt>
                <c:pt idx="136">
                  <c:v>0.92155874095638657</c:v>
                </c:pt>
                <c:pt idx="137">
                  <c:v>0.96101014865249434</c:v>
                </c:pt>
                <c:pt idx="138">
                  <c:v>0.98763774793053327</c:v>
                </c:pt>
                <c:pt idx="139">
                  <c:v>1.0782630908361936</c:v>
                </c:pt>
                <c:pt idx="140">
                  <c:v>0.94033660766836524</c:v>
                </c:pt>
                <c:pt idx="141">
                  <c:v>1.3345718390825239</c:v>
                </c:pt>
                <c:pt idx="142">
                  <c:v>0.78768894485574914</c:v>
                </c:pt>
                <c:pt idx="143">
                  <c:v>0.21056939040797332</c:v>
                </c:pt>
                <c:pt idx="144">
                  <c:v>0.20616440039376877</c:v>
                </c:pt>
                <c:pt idx="145">
                  <c:v>0.15631670745759857</c:v>
                </c:pt>
                <c:pt idx="146">
                  <c:v>0.20894788624274444</c:v>
                </c:pt>
                <c:pt idx="147">
                  <c:v>0.21333664886435399</c:v>
                </c:pt>
                <c:pt idx="148">
                  <c:v>0.23591889146650455</c:v>
                </c:pt>
                <c:pt idx="149">
                  <c:v>0.2008655481159892</c:v>
                </c:pt>
                <c:pt idx="150">
                  <c:v>0.21534329929232329</c:v>
                </c:pt>
                <c:pt idx="151">
                  <c:v>0.29377255618223158</c:v>
                </c:pt>
                <c:pt idx="152">
                  <c:v>0.44931153446525013</c:v>
                </c:pt>
                <c:pt idx="153">
                  <c:v>0.36490352017838695</c:v>
                </c:pt>
                <c:pt idx="154">
                  <c:v>0.28252398459528477</c:v>
                </c:pt>
                <c:pt idx="155">
                  <c:v>0.39464642666865535</c:v>
                </c:pt>
                <c:pt idx="156">
                  <c:v>0.26496877293910387</c:v>
                </c:pt>
                <c:pt idx="157">
                  <c:v>0.34108976582411754</c:v>
                </c:pt>
                <c:pt idx="158">
                  <c:v>0.40590853681722849</c:v>
                </c:pt>
                <c:pt idx="159">
                  <c:v>0.49413153629329309</c:v>
                </c:pt>
                <c:pt idx="160">
                  <c:v>0.26505107314070714</c:v>
                </c:pt>
                <c:pt idx="161">
                  <c:v>0.29235311008039594</c:v>
                </c:pt>
                <c:pt idx="162">
                  <c:v>0.29538353157634806</c:v>
                </c:pt>
                <c:pt idx="163">
                  <c:v>0.10621331959823818</c:v>
                </c:pt>
                <c:pt idx="164">
                  <c:v>7.7876412799099945E-2</c:v>
                </c:pt>
                <c:pt idx="165">
                  <c:v>4.0748593224249251E-2</c:v>
                </c:pt>
                <c:pt idx="166">
                  <c:v>1.7187969541699812E-3</c:v>
                </c:pt>
                <c:pt idx="167">
                  <c:v>2.495478969805897E-2</c:v>
                </c:pt>
                <c:pt idx="168">
                  <c:v>-4.2636952586838975E-4</c:v>
                </c:pt>
                <c:pt idx="169">
                  <c:v>-8.8291753025273617E-2</c:v>
                </c:pt>
                <c:pt idx="170">
                  <c:v>-0.11082502373248232</c:v>
                </c:pt>
                <c:pt idx="171">
                  <c:v>-0.14312418085290263</c:v>
                </c:pt>
                <c:pt idx="172">
                  <c:v>-0.17272896052203665</c:v>
                </c:pt>
                <c:pt idx="173">
                  <c:v>-0.12713005345120504</c:v>
                </c:pt>
                <c:pt idx="174">
                  <c:v>-0.219675188062085</c:v>
                </c:pt>
                <c:pt idx="175">
                  <c:v>-0.23068509123580755</c:v>
                </c:pt>
                <c:pt idx="176">
                  <c:v>-0.25834260624951394</c:v>
                </c:pt>
                <c:pt idx="177">
                  <c:v>-0.29005088871449086</c:v>
                </c:pt>
                <c:pt idx="178">
                  <c:v>-0.3035781703138668</c:v>
                </c:pt>
                <c:pt idx="179">
                  <c:v>-0.27706574096099978</c:v>
                </c:pt>
                <c:pt idx="180">
                  <c:v>-0.22819576947716616</c:v>
                </c:pt>
                <c:pt idx="181">
                  <c:v>-0.22545582983366283</c:v>
                </c:pt>
                <c:pt idx="182">
                  <c:v>-0.25519098368261622</c:v>
                </c:pt>
                <c:pt idx="183">
                  <c:v>-0.25995810720269658</c:v>
                </c:pt>
                <c:pt idx="184">
                  <c:v>-0.26394254885393142</c:v>
                </c:pt>
                <c:pt idx="185">
                  <c:v>-0.275945461353167</c:v>
                </c:pt>
                <c:pt idx="186">
                  <c:v>-0.17227217304504913</c:v>
                </c:pt>
                <c:pt idx="187">
                  <c:v>-0.15984473756293111</c:v>
                </c:pt>
                <c:pt idx="188">
                  <c:v>-0.20447124005737752</c:v>
                </c:pt>
                <c:pt idx="189">
                  <c:v>-0.23795034751764085</c:v>
                </c:pt>
                <c:pt idx="190">
                  <c:v>-0.28094662435375822</c:v>
                </c:pt>
                <c:pt idx="191">
                  <c:v>-0.32773976222314599</c:v>
                </c:pt>
                <c:pt idx="192">
                  <c:v>-0.34422456899847304</c:v>
                </c:pt>
                <c:pt idx="193">
                  <c:v>-0.29779875943640755</c:v>
                </c:pt>
                <c:pt idx="194">
                  <c:v>-0.2874206634717596</c:v>
                </c:pt>
                <c:pt idx="195">
                  <c:v>-0.29888473598011389</c:v>
                </c:pt>
                <c:pt idx="196">
                  <c:v>-0.25731750409464177</c:v>
                </c:pt>
                <c:pt idx="197">
                  <c:v>-0.2406215228599371</c:v>
                </c:pt>
                <c:pt idx="198">
                  <c:v>-0.24957312851214009</c:v>
                </c:pt>
                <c:pt idx="199">
                  <c:v>-0.22622324145130726</c:v>
                </c:pt>
                <c:pt idx="200">
                  <c:v>-0.21437765731181063</c:v>
                </c:pt>
                <c:pt idx="201">
                  <c:v>-0.22117416691991873</c:v>
                </c:pt>
                <c:pt idx="202">
                  <c:v>-0.23593681430832991</c:v>
                </c:pt>
                <c:pt idx="203">
                  <c:v>-0.25070964836950621</c:v>
                </c:pt>
                <c:pt idx="204">
                  <c:v>-0.22059059075539567</c:v>
                </c:pt>
                <c:pt idx="205">
                  <c:v>-0.21283223458960293</c:v>
                </c:pt>
                <c:pt idx="206">
                  <c:v>-0.21949648560227089</c:v>
                </c:pt>
                <c:pt idx="207">
                  <c:v>-0.1972219352554471</c:v>
                </c:pt>
                <c:pt idx="208">
                  <c:v>-0.21790333029161729</c:v>
                </c:pt>
                <c:pt idx="209">
                  <c:v>-0.26575221527317755</c:v>
                </c:pt>
                <c:pt idx="210">
                  <c:v>-0.28789052834378343</c:v>
                </c:pt>
                <c:pt idx="211">
                  <c:v>-0.30406287938298732</c:v>
                </c:pt>
                <c:pt idx="212">
                  <c:v>-0.34786101073862646</c:v>
                </c:pt>
                <c:pt idx="213">
                  <c:v>-0.36064848599774529</c:v>
                </c:pt>
                <c:pt idx="214">
                  <c:v>-0.34784169665200448</c:v>
                </c:pt>
                <c:pt idx="215">
                  <c:v>-0.39791956656974742</c:v>
                </c:pt>
                <c:pt idx="216">
                  <c:v>-0.4551178698484537</c:v>
                </c:pt>
                <c:pt idx="217">
                  <c:v>-0.37278872645786743</c:v>
                </c:pt>
                <c:pt idx="218">
                  <c:v>-0.39022783375155595</c:v>
                </c:pt>
                <c:pt idx="219">
                  <c:v>-0.35766421951666366</c:v>
                </c:pt>
                <c:pt idx="220">
                  <c:v>-0.34347339534464444</c:v>
                </c:pt>
                <c:pt idx="221">
                  <c:v>-0.26324780075057497</c:v>
                </c:pt>
                <c:pt idx="222">
                  <c:v>-0.29629216837176398</c:v>
                </c:pt>
                <c:pt idx="223">
                  <c:v>-0.26753566433423603</c:v>
                </c:pt>
                <c:pt idx="224">
                  <c:v>-0.2000353262604557</c:v>
                </c:pt>
                <c:pt idx="225">
                  <c:v>-0.19599577784165564</c:v>
                </c:pt>
                <c:pt idx="226">
                  <c:v>-0.18490547638780372</c:v>
                </c:pt>
                <c:pt idx="227">
                  <c:v>-0.17285991267896034</c:v>
                </c:pt>
                <c:pt idx="228">
                  <c:v>-0.17686842732227745</c:v>
                </c:pt>
                <c:pt idx="229">
                  <c:v>-0.20138399175668173</c:v>
                </c:pt>
                <c:pt idx="230">
                  <c:v>-0.2061550380483167</c:v>
                </c:pt>
                <c:pt idx="231">
                  <c:v>-0.19610653728268651</c:v>
                </c:pt>
                <c:pt idx="232">
                  <c:v>-0.16606221667481769</c:v>
                </c:pt>
                <c:pt idx="233">
                  <c:v>-0.2178633249454964</c:v>
                </c:pt>
                <c:pt idx="234">
                  <c:v>-0.24104986227000655</c:v>
                </c:pt>
                <c:pt idx="235">
                  <c:v>-0.19738306381650431</c:v>
                </c:pt>
                <c:pt idx="236">
                  <c:v>-0.19512610635245933</c:v>
                </c:pt>
                <c:pt idx="237">
                  <c:v>-0.21852417685546763</c:v>
                </c:pt>
                <c:pt idx="238">
                  <c:v>-0.18301719547420545</c:v>
                </c:pt>
                <c:pt idx="239">
                  <c:v>-0.24532115919792</c:v>
                </c:pt>
                <c:pt idx="240">
                  <c:v>-0.22503958469950694</c:v>
                </c:pt>
                <c:pt idx="241">
                  <c:v>-0.24831928243555559</c:v>
                </c:pt>
                <c:pt idx="242">
                  <c:v>-0.3486672061295682</c:v>
                </c:pt>
                <c:pt idx="243">
                  <c:v>-0.40590961680893861</c:v>
                </c:pt>
                <c:pt idx="244">
                  <c:v>-0.38516694142893404</c:v>
                </c:pt>
                <c:pt idx="245">
                  <c:v>-0.34879372945873072</c:v>
                </c:pt>
                <c:pt idx="246">
                  <c:v>-0.33557896242503138</c:v>
                </c:pt>
                <c:pt idx="247">
                  <c:v>-0.39945533900321933</c:v>
                </c:pt>
                <c:pt idx="248">
                  <c:v>-0.47260369923828283</c:v>
                </c:pt>
                <c:pt idx="249">
                  <c:v>-0.59395277998271789</c:v>
                </c:pt>
                <c:pt idx="250">
                  <c:v>-0.55658545566869921</c:v>
                </c:pt>
                <c:pt idx="251">
                  <c:v>-0.52808023759494027</c:v>
                </c:pt>
                <c:pt idx="252">
                  <c:v>-0.47571198457588082</c:v>
                </c:pt>
                <c:pt idx="253">
                  <c:v>-0.57651684909883127</c:v>
                </c:pt>
                <c:pt idx="254">
                  <c:v>-0.45535257412883834</c:v>
                </c:pt>
                <c:pt idx="255">
                  <c:v>-0.40950744448922916</c:v>
                </c:pt>
                <c:pt idx="256">
                  <c:v>-0.47196126068711863</c:v>
                </c:pt>
                <c:pt idx="257">
                  <c:v>-0.42826908361898758</c:v>
                </c:pt>
                <c:pt idx="258">
                  <c:v>-0.27194300811049749</c:v>
                </c:pt>
                <c:pt idx="259">
                  <c:v>-0.28721830207875093</c:v>
                </c:pt>
                <c:pt idx="260">
                  <c:v>-0.38081325651253267</c:v>
                </c:pt>
                <c:pt idx="261">
                  <c:v>-0.2538581607899113</c:v>
                </c:pt>
                <c:pt idx="262">
                  <c:v>-0.28756773015961024</c:v>
                </c:pt>
                <c:pt idx="263">
                  <c:v>-0.27427737654734052</c:v>
                </c:pt>
                <c:pt idx="264">
                  <c:v>-0.27155983835585112</c:v>
                </c:pt>
                <c:pt idx="265">
                  <c:v>-0.24289481345156938</c:v>
                </c:pt>
                <c:pt idx="266">
                  <c:v>-0.25755997984290524</c:v>
                </c:pt>
                <c:pt idx="267">
                  <c:v>-0.23246918286903673</c:v>
                </c:pt>
                <c:pt idx="268">
                  <c:v>-0.27413782476903675</c:v>
                </c:pt>
                <c:pt idx="269">
                  <c:v>-0.21631362228302875</c:v>
                </c:pt>
                <c:pt idx="270">
                  <c:v>-0.23589771112541322</c:v>
                </c:pt>
                <c:pt idx="271">
                  <c:v>-0.22353952131567817</c:v>
                </c:pt>
                <c:pt idx="272">
                  <c:v>-0.21649645320068941</c:v>
                </c:pt>
                <c:pt idx="273">
                  <c:v>-0.20321649923834273</c:v>
                </c:pt>
                <c:pt idx="274">
                  <c:v>-0.27317354540656713</c:v>
                </c:pt>
                <c:pt idx="275">
                  <c:v>-0.25979436339389267</c:v>
                </c:pt>
                <c:pt idx="276">
                  <c:v>-0.31105459766362958</c:v>
                </c:pt>
                <c:pt idx="277">
                  <c:v>-0.33300452631535704</c:v>
                </c:pt>
                <c:pt idx="278">
                  <c:v>-0.34796073657424598</c:v>
                </c:pt>
                <c:pt idx="279">
                  <c:v>-0.32680827264159579</c:v>
                </c:pt>
                <c:pt idx="280">
                  <c:v>-0.36576072325237596</c:v>
                </c:pt>
                <c:pt idx="281">
                  <c:v>-0.3010486670549567</c:v>
                </c:pt>
                <c:pt idx="282">
                  <c:v>-0.2738699958732152</c:v>
                </c:pt>
                <c:pt idx="283">
                  <c:v>-0.29731738877738367</c:v>
                </c:pt>
                <c:pt idx="284">
                  <c:v>-0.25936482341570044</c:v>
                </c:pt>
                <c:pt idx="285">
                  <c:v>-0.28449782723722838</c:v>
                </c:pt>
                <c:pt idx="286">
                  <c:v>-0.26310469263770569</c:v>
                </c:pt>
                <c:pt idx="287">
                  <c:v>-0.20877806162791093</c:v>
                </c:pt>
                <c:pt idx="288">
                  <c:v>-0.19695198241320122</c:v>
                </c:pt>
                <c:pt idx="289">
                  <c:v>-0.16805688545953973</c:v>
                </c:pt>
                <c:pt idx="290">
                  <c:v>-0.13916528062289235</c:v>
                </c:pt>
                <c:pt idx="291">
                  <c:v>-0.10037782667425256</c:v>
                </c:pt>
                <c:pt idx="292">
                  <c:v>-7.2895616590547177E-2</c:v>
                </c:pt>
                <c:pt idx="293">
                  <c:v>-5.9713103786248299E-2</c:v>
                </c:pt>
                <c:pt idx="294">
                  <c:v>-4.0106111463779605E-2</c:v>
                </c:pt>
                <c:pt idx="295">
                  <c:v>-9.5795860547586806E-2</c:v>
                </c:pt>
                <c:pt idx="296">
                  <c:v>-6.7188127985692139E-2</c:v>
                </c:pt>
                <c:pt idx="297">
                  <c:v>-7.3659498166560672E-2</c:v>
                </c:pt>
                <c:pt idx="298">
                  <c:v>-8.2819977083330429E-2</c:v>
                </c:pt>
                <c:pt idx="299">
                  <c:v>-0.11499687999386668</c:v>
                </c:pt>
                <c:pt idx="300">
                  <c:v>-8.2947269684712291E-2</c:v>
                </c:pt>
                <c:pt idx="301">
                  <c:v>-7.5354489111085846E-2</c:v>
                </c:pt>
                <c:pt idx="302">
                  <c:v>-6.1226829019094486E-2</c:v>
                </c:pt>
                <c:pt idx="303">
                  <c:v>-5.6912829699694752E-2</c:v>
                </c:pt>
                <c:pt idx="304">
                  <c:v>-7.9194608038812675E-2</c:v>
                </c:pt>
                <c:pt idx="305">
                  <c:v>-9.2050501069539589E-2</c:v>
                </c:pt>
                <c:pt idx="306">
                  <c:v>-8.8222331054609221E-2</c:v>
                </c:pt>
                <c:pt idx="307">
                  <c:v>-6.9323567453497256E-2</c:v>
                </c:pt>
                <c:pt idx="308">
                  <c:v>-0.1010037929627042</c:v>
                </c:pt>
                <c:pt idx="309">
                  <c:v>-0.10528354086945563</c:v>
                </c:pt>
                <c:pt idx="310">
                  <c:v>-6.3210923149924408E-2</c:v>
                </c:pt>
                <c:pt idx="311">
                  <c:v>-4.2275958538082373E-2</c:v>
                </c:pt>
                <c:pt idx="312">
                  <c:v>-1.3261712172399395E-2</c:v>
                </c:pt>
                <c:pt idx="313">
                  <c:v>-1.0896207596039409E-2</c:v>
                </c:pt>
                <c:pt idx="314">
                  <c:v>6.4932779596227786E-4</c:v>
                </c:pt>
                <c:pt idx="315">
                  <c:v>-5.0486380851430361E-4</c:v>
                </c:pt>
                <c:pt idx="316">
                  <c:v>2.9297397209801224E-2</c:v>
                </c:pt>
                <c:pt idx="317">
                  <c:v>2.4345338484775575E-2</c:v>
                </c:pt>
                <c:pt idx="318">
                  <c:v>1.1477654616950536E-2</c:v>
                </c:pt>
                <c:pt idx="319">
                  <c:v>8.0444351962093111E-2</c:v>
                </c:pt>
                <c:pt idx="320">
                  <c:v>0.13550192332075778</c:v>
                </c:pt>
                <c:pt idx="321">
                  <c:v>8.5603724403574846E-2</c:v>
                </c:pt>
                <c:pt idx="322">
                  <c:v>4.0828616159987868E-2</c:v>
                </c:pt>
                <c:pt idx="323">
                  <c:v>-3.6263174954871309E-2</c:v>
                </c:pt>
                <c:pt idx="324">
                  <c:v>2.5467712742437275E-2</c:v>
                </c:pt>
                <c:pt idx="325">
                  <c:v>-2.5620648428282683E-2</c:v>
                </c:pt>
                <c:pt idx="326">
                  <c:v>-5.920519377244312E-2</c:v>
                </c:pt>
                <c:pt idx="327">
                  <c:v>-6.8063116130498438E-2</c:v>
                </c:pt>
                <c:pt idx="328">
                  <c:v>-6.1932502932790193E-2</c:v>
                </c:pt>
                <c:pt idx="329">
                  <c:v>-3.5630362816721557E-2</c:v>
                </c:pt>
                <c:pt idx="330">
                  <c:v>-8.0047885512460837E-2</c:v>
                </c:pt>
                <c:pt idx="331">
                  <c:v>-8.5521848934093286E-2</c:v>
                </c:pt>
                <c:pt idx="332">
                  <c:v>-8.3629877469198574E-2</c:v>
                </c:pt>
                <c:pt idx="333">
                  <c:v>-0.1121035115982181</c:v>
                </c:pt>
                <c:pt idx="334">
                  <c:v>-0.13912920862717068</c:v>
                </c:pt>
                <c:pt idx="335">
                  <c:v>-0.10020264070980138</c:v>
                </c:pt>
                <c:pt idx="336">
                  <c:v>-6.3767405816383529E-2</c:v>
                </c:pt>
                <c:pt idx="337">
                  <c:v>-2.9011931530847527E-2</c:v>
                </c:pt>
                <c:pt idx="338">
                  <c:v>-6.9453807158849107E-2</c:v>
                </c:pt>
                <c:pt idx="339">
                  <c:v>-0.11146727855731994</c:v>
                </c:pt>
                <c:pt idx="340">
                  <c:v>-0.14622057042242539</c:v>
                </c:pt>
                <c:pt idx="341">
                  <c:v>-0.16378472132102051</c:v>
                </c:pt>
                <c:pt idx="342">
                  <c:v>-0.13220938440298774</c:v>
                </c:pt>
                <c:pt idx="343">
                  <c:v>-0.14363445680298781</c:v>
                </c:pt>
                <c:pt idx="344">
                  <c:v>-0.1607337390042354</c:v>
                </c:pt>
                <c:pt idx="345">
                  <c:v>-0.1846584507596073</c:v>
                </c:pt>
                <c:pt idx="346">
                  <c:v>-0.17225792955192015</c:v>
                </c:pt>
                <c:pt idx="347">
                  <c:v>-0.19415148205378674</c:v>
                </c:pt>
                <c:pt idx="348">
                  <c:v>-0.16034178983476724</c:v>
                </c:pt>
                <c:pt idx="349">
                  <c:v>-0.10466216636214112</c:v>
                </c:pt>
                <c:pt idx="350">
                  <c:v>-0.22324057727921362</c:v>
                </c:pt>
                <c:pt idx="351">
                  <c:v>-0.26396596656436933</c:v>
                </c:pt>
                <c:pt idx="352">
                  <c:v>-0.18622228351350367</c:v>
                </c:pt>
                <c:pt idx="353">
                  <c:v>-0.16832021890999999</c:v>
                </c:pt>
                <c:pt idx="354">
                  <c:v>-0.22438093390091227</c:v>
                </c:pt>
                <c:pt idx="355">
                  <c:v>-0.33132451955566139</c:v>
                </c:pt>
                <c:pt idx="356">
                  <c:v>-0.32480860722731786</c:v>
                </c:pt>
                <c:pt idx="357">
                  <c:v>-0.37461391626634871</c:v>
                </c:pt>
                <c:pt idx="358">
                  <c:v>-0.34908229942586083</c:v>
                </c:pt>
                <c:pt idx="359">
                  <c:v>-0.37329157767323334</c:v>
                </c:pt>
                <c:pt idx="360">
                  <c:v>-0.42254066924258676</c:v>
                </c:pt>
                <c:pt idx="361">
                  <c:v>-0.48025842433013521</c:v>
                </c:pt>
                <c:pt idx="362">
                  <c:v>-0.44204017543632984</c:v>
                </c:pt>
                <c:pt idx="363">
                  <c:v>-0.45018870537398753</c:v>
                </c:pt>
                <c:pt idx="364">
                  <c:v>-0.43792937975651974</c:v>
                </c:pt>
                <c:pt idx="365">
                  <c:v>-0.47243595835651975</c:v>
                </c:pt>
                <c:pt idx="366">
                  <c:v>-0.40744766162036677</c:v>
                </c:pt>
                <c:pt idx="367">
                  <c:v>-0.41099323134205606</c:v>
                </c:pt>
                <c:pt idx="368">
                  <c:v>-0.38257839503070362</c:v>
                </c:pt>
                <c:pt idx="369">
                  <c:v>-0.38647311949680108</c:v>
                </c:pt>
                <c:pt idx="370">
                  <c:v>-0.37177718558066736</c:v>
                </c:pt>
                <c:pt idx="371">
                  <c:v>-0.39999229326889169</c:v>
                </c:pt>
                <c:pt idx="372">
                  <c:v>-0.32107908903792504</c:v>
                </c:pt>
                <c:pt idx="373">
                  <c:v>-0.39380915156877061</c:v>
                </c:pt>
                <c:pt idx="374">
                  <c:v>-0.34010094039107081</c:v>
                </c:pt>
                <c:pt idx="375">
                  <c:v>-0.30828679596611797</c:v>
                </c:pt>
                <c:pt idx="376">
                  <c:v>-0.36212549944939715</c:v>
                </c:pt>
                <c:pt idx="377">
                  <c:v>-0.38136180331299696</c:v>
                </c:pt>
                <c:pt idx="378">
                  <c:v>-0.40847997587199919</c:v>
                </c:pt>
                <c:pt idx="379">
                  <c:v>-0.44083814182346587</c:v>
                </c:pt>
                <c:pt idx="380">
                  <c:v>-0.4844608318949743</c:v>
                </c:pt>
                <c:pt idx="381">
                  <c:v>-0.4215212026336605</c:v>
                </c:pt>
                <c:pt idx="382">
                  <c:v>-0.39077416194192499</c:v>
                </c:pt>
                <c:pt idx="383">
                  <c:v>-0.36111001940050125</c:v>
                </c:pt>
                <c:pt idx="384">
                  <c:v>-0.39454573219990663</c:v>
                </c:pt>
                <c:pt idx="385">
                  <c:v>-0.42593859438626763</c:v>
                </c:pt>
                <c:pt idx="386">
                  <c:v>-0.408289119748732</c:v>
                </c:pt>
                <c:pt idx="387">
                  <c:v>-0.43525144946546279</c:v>
                </c:pt>
                <c:pt idx="388">
                  <c:v>-0.50393462287753643</c:v>
                </c:pt>
                <c:pt idx="389">
                  <c:v>-0.46988241880209652</c:v>
                </c:pt>
                <c:pt idx="390">
                  <c:v>-0.43755535484114622</c:v>
                </c:pt>
                <c:pt idx="391">
                  <c:v>-0.4870602222314504</c:v>
                </c:pt>
                <c:pt idx="392">
                  <c:v>-0.45489463830297483</c:v>
                </c:pt>
                <c:pt idx="393">
                  <c:v>-0.51357332969865477</c:v>
                </c:pt>
                <c:pt idx="394">
                  <c:v>-0.50661044049467474</c:v>
                </c:pt>
                <c:pt idx="395">
                  <c:v>-0.50126029258322768</c:v>
                </c:pt>
                <c:pt idx="396">
                  <c:v>-0.53709454501113452</c:v>
                </c:pt>
                <c:pt idx="397">
                  <c:v>-0.60429059925852402</c:v>
                </c:pt>
                <c:pt idx="398">
                  <c:v>-0.60549717049475404</c:v>
                </c:pt>
                <c:pt idx="399">
                  <c:v>-0.58906831398811965</c:v>
                </c:pt>
                <c:pt idx="400">
                  <c:v>-0.6337256100849411</c:v>
                </c:pt>
                <c:pt idx="401">
                  <c:v>-0.57221456818327809</c:v>
                </c:pt>
                <c:pt idx="402">
                  <c:v>-0.58229873049589698</c:v>
                </c:pt>
                <c:pt idx="403">
                  <c:v>-0.36162746385898187</c:v>
                </c:pt>
                <c:pt idx="404">
                  <c:v>-0.37051638643426837</c:v>
                </c:pt>
                <c:pt idx="405">
                  <c:v>-0.36301311890083143</c:v>
                </c:pt>
                <c:pt idx="406">
                  <c:v>-0.37103209705062035</c:v>
                </c:pt>
                <c:pt idx="407">
                  <c:v>-0.33291235529203683</c:v>
                </c:pt>
                <c:pt idx="408">
                  <c:v>-0.37027552288100463</c:v>
                </c:pt>
                <c:pt idx="409">
                  <c:v>-0.38239920537351046</c:v>
                </c:pt>
                <c:pt idx="410">
                  <c:v>-0.39467228229667767</c:v>
                </c:pt>
                <c:pt idx="411">
                  <c:v>-0.39781313759733672</c:v>
                </c:pt>
                <c:pt idx="412">
                  <c:v>-0.41863410203015711</c:v>
                </c:pt>
                <c:pt idx="413">
                  <c:v>-0.37096213434810027</c:v>
                </c:pt>
                <c:pt idx="414">
                  <c:v>-0.33066037813336574</c:v>
                </c:pt>
                <c:pt idx="415">
                  <c:v>-0.38337877652533087</c:v>
                </c:pt>
                <c:pt idx="416">
                  <c:v>-0.34102074922607506</c:v>
                </c:pt>
                <c:pt idx="417">
                  <c:v>-0.30382114003755062</c:v>
                </c:pt>
                <c:pt idx="418">
                  <c:v>-0.27167646066662737</c:v>
                </c:pt>
                <c:pt idx="419">
                  <c:v>-0.33717943987500815</c:v>
                </c:pt>
                <c:pt idx="420">
                  <c:v>-0.26584100578311615</c:v>
                </c:pt>
                <c:pt idx="421">
                  <c:v>-0.2539105135294577</c:v>
                </c:pt>
                <c:pt idx="422">
                  <c:v>-0.29324936486201175</c:v>
                </c:pt>
                <c:pt idx="423">
                  <c:v>-0.29717347382068948</c:v>
                </c:pt>
                <c:pt idx="424">
                  <c:v>-0.33389539739881835</c:v>
                </c:pt>
                <c:pt idx="425">
                  <c:v>-0.32908881404434082</c:v>
                </c:pt>
                <c:pt idx="426">
                  <c:v>-0.35203435435707964</c:v>
                </c:pt>
                <c:pt idx="427">
                  <c:v>-0.3522931089266999</c:v>
                </c:pt>
                <c:pt idx="428">
                  <c:v>-0.34550259134094269</c:v>
                </c:pt>
                <c:pt idx="429">
                  <c:v>-0.25325934148740636</c:v>
                </c:pt>
                <c:pt idx="430">
                  <c:v>-0.29368223703421487</c:v>
                </c:pt>
                <c:pt idx="431">
                  <c:v>-0.3281353873638807</c:v>
                </c:pt>
                <c:pt idx="432">
                  <c:v>-0.30388721331981811</c:v>
                </c:pt>
                <c:pt idx="433">
                  <c:v>-0.52141565054974504</c:v>
                </c:pt>
                <c:pt idx="434">
                  <c:v>-0.61433324253455646</c:v>
                </c:pt>
                <c:pt idx="435">
                  <c:v>-0.62012566577508532</c:v>
                </c:pt>
                <c:pt idx="436">
                  <c:v>-0.54788710186452638</c:v>
                </c:pt>
                <c:pt idx="437">
                  <c:v>-0.56436820090412709</c:v>
                </c:pt>
                <c:pt idx="438">
                  <c:v>-0.58557912361452613</c:v>
                </c:pt>
                <c:pt idx="439">
                  <c:v>-0.54828959218111784</c:v>
                </c:pt>
                <c:pt idx="440">
                  <c:v>-0.56447168231307898</c:v>
                </c:pt>
                <c:pt idx="441">
                  <c:v>-0.66125727499451781</c:v>
                </c:pt>
                <c:pt idx="442">
                  <c:v>-0.60913445791572485</c:v>
                </c:pt>
                <c:pt idx="443">
                  <c:v>-0.50326067027105037</c:v>
                </c:pt>
                <c:pt idx="444">
                  <c:v>-0.5529953125165048</c:v>
                </c:pt>
                <c:pt idx="445">
                  <c:v>-0.65485402921650482</c:v>
                </c:pt>
                <c:pt idx="446">
                  <c:v>-0.71747650774798755</c:v>
                </c:pt>
                <c:pt idx="447">
                  <c:v>-0.63262704408070036</c:v>
                </c:pt>
                <c:pt idx="448">
                  <c:v>-0.6089042593648355</c:v>
                </c:pt>
                <c:pt idx="449">
                  <c:v>-0.71451339409907322</c:v>
                </c:pt>
                <c:pt idx="450">
                  <c:v>-0.67724106910460113</c:v>
                </c:pt>
                <c:pt idx="451">
                  <c:v>-0.629169644285692</c:v>
                </c:pt>
                <c:pt idx="452">
                  <c:v>-0.51915847845020258</c:v>
                </c:pt>
                <c:pt idx="453">
                  <c:v>-0.53910928824104754</c:v>
                </c:pt>
                <c:pt idx="454">
                  <c:v>-0.5415379080378897</c:v>
                </c:pt>
                <c:pt idx="455">
                  <c:v>-0.49647354940783511</c:v>
                </c:pt>
                <c:pt idx="456">
                  <c:v>-0.48032451558687916</c:v>
                </c:pt>
                <c:pt idx="457">
                  <c:v>-0.44524272638431495</c:v>
                </c:pt>
                <c:pt idx="458">
                  <c:v>-0.42045308238077228</c:v>
                </c:pt>
                <c:pt idx="459">
                  <c:v>-0.39456333778043068</c:v>
                </c:pt>
                <c:pt idx="460">
                  <c:v>-0.48690348147717755</c:v>
                </c:pt>
                <c:pt idx="461">
                  <c:v>-0.49570735278486983</c:v>
                </c:pt>
                <c:pt idx="462">
                  <c:v>-0.50383864845723236</c:v>
                </c:pt>
                <c:pt idx="463">
                  <c:v>-0.50689844619859104</c:v>
                </c:pt>
                <c:pt idx="464">
                  <c:v>-0.49537071969993501</c:v>
                </c:pt>
                <c:pt idx="465">
                  <c:v>-0.42635807000364923</c:v>
                </c:pt>
                <c:pt idx="466">
                  <c:v>-0.40665478843553604</c:v>
                </c:pt>
                <c:pt idx="467">
                  <c:v>-0.45650792382427596</c:v>
                </c:pt>
                <c:pt idx="468">
                  <c:v>-0.48043602814042508</c:v>
                </c:pt>
                <c:pt idx="469">
                  <c:v>-0.30111264771686458</c:v>
                </c:pt>
                <c:pt idx="470">
                  <c:v>-0.24241710583108428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4F-40BF-821B-02990462B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6772895"/>
        <c:axId val="1306773727"/>
      </c:lineChart>
      <c:dateAx>
        <c:axId val="130677289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773727"/>
        <c:crosses val="autoZero"/>
        <c:auto val="1"/>
        <c:lblOffset val="100"/>
        <c:baseTimeUnit val="days"/>
      </c:dateAx>
      <c:valAx>
        <c:axId val="130677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772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0046015-D74E-418C-AF99-F3826671CCF1}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C70B99-14A1-4724-984A-ADC239A2532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topLeftCell="B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20.597000000000001</v>
      </c>
      <c r="D2" s="4">
        <f>MIN(D3:D1912)</f>
        <v>0.52459999999999996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11.298</v>
      </c>
      <c r="C5">
        <v>11.44</v>
      </c>
      <c r="D5">
        <v>10.752000000000001</v>
      </c>
      <c r="E5">
        <v>10.789</v>
      </c>
      <c r="F5">
        <v>1415100.6</v>
      </c>
      <c r="G5">
        <v>10.789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-0.89244186046511886</v>
      </c>
      <c r="Q5">
        <f t="shared" ref="Q5" si="1">F5*P5</f>
        <v>-1262895.012209306</v>
      </c>
      <c r="R5">
        <f t="shared" ref="R5" si="2">R6+Q5</f>
        <v>149767389.7562843</v>
      </c>
      <c r="S5">
        <f t="shared" ref="S5" si="3">R5/100000</f>
        <v>1497.673897562843</v>
      </c>
      <c r="T5">
        <f t="shared" ref="T5" si="4">S5/1000</f>
        <v>1.497673897562843</v>
      </c>
    </row>
    <row r="6" spans="1:20" x14ac:dyDescent="0.25">
      <c r="A6" s="5">
        <v>44587</v>
      </c>
      <c r="B6">
        <v>12.131</v>
      </c>
      <c r="C6">
        <v>12.936999999999999</v>
      </c>
      <c r="D6">
        <v>10.734999999999999</v>
      </c>
      <c r="E6">
        <v>11.302</v>
      </c>
      <c r="F6">
        <v>23614921.699999999</v>
      </c>
      <c r="G6">
        <v>11.302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-0.48501362397820147</v>
      </c>
      <c r="Q6">
        <f t="shared" ref="Q6" si="6">F6*P6</f>
        <v>-11453558.753678469</v>
      </c>
      <c r="R6">
        <f t="shared" ref="R6" si="7">R7+Q6</f>
        <v>151030284.76849359</v>
      </c>
      <c r="S6">
        <f t="shared" ref="S6" si="8">R6/100000</f>
        <v>1510.3028476849358</v>
      </c>
      <c r="T6">
        <f t="shared" ref="T6" si="9">S6/1000</f>
        <v>1.5103028476849358</v>
      </c>
    </row>
    <row r="7" spans="1:20" x14ac:dyDescent="0.25">
      <c r="A7" s="5">
        <v>44586</v>
      </c>
      <c r="B7">
        <v>10.718999999999999</v>
      </c>
      <c r="C7">
        <v>12.497999999999999</v>
      </c>
      <c r="D7">
        <v>9.9730000000000008</v>
      </c>
      <c r="E7">
        <v>12.135</v>
      </c>
      <c r="F7">
        <v>17682492.5</v>
      </c>
      <c r="G7">
        <v>12.135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0.71247524752475266</v>
      </c>
      <c r="Q7">
        <f t="shared" ref="Q7" si="11">F7*P7</f>
        <v>12598338.220792083</v>
      </c>
      <c r="R7">
        <f t="shared" ref="R7" si="12">R8+Q7</f>
        <v>162483843.52217206</v>
      </c>
      <c r="S7">
        <f t="shared" ref="S7" si="13">R7/100000</f>
        <v>1624.8384352217206</v>
      </c>
      <c r="T7">
        <f t="shared" ref="T7" si="14">S7/1000</f>
        <v>1.6248384352217207</v>
      </c>
    </row>
    <row r="8" spans="1:20" x14ac:dyDescent="0.25">
      <c r="A8" s="5">
        <v>44585</v>
      </c>
      <c r="B8">
        <v>11.7</v>
      </c>
      <c r="C8">
        <v>11.712</v>
      </c>
      <c r="D8">
        <v>9.5090000000000003</v>
      </c>
      <c r="E8">
        <v>10.718999999999999</v>
      </c>
      <c r="F8">
        <v>25040201.5</v>
      </c>
      <c r="G8">
        <v>10.718999999999999</v>
      </c>
      <c r="L8" t="s">
        <v>7</v>
      </c>
      <c r="M8" t="s">
        <v>7</v>
      </c>
      <c r="N8" t="s">
        <v>7</v>
      </c>
      <c r="P8">
        <f t="shared" ref="P8" si="15">IF(C8=D8,0,((E8-D8)-(C8-E8))/(C8-D8))</f>
        <v>9.8502042669087062E-2</v>
      </c>
      <c r="Q8">
        <f t="shared" ref="Q8" si="16">F8*P8</f>
        <v>2466510.9965955378</v>
      </c>
      <c r="R8">
        <f t="shared" ref="R8" si="17">R9+Q8</f>
        <v>149885505.30137998</v>
      </c>
      <c r="S8">
        <f t="shared" ref="S8" si="18">R8/100000</f>
        <v>1498.8550530137998</v>
      </c>
      <c r="T8">
        <f t="shared" ref="T8" si="19">S8/1000</f>
        <v>1.4988550530137998</v>
      </c>
    </row>
    <row r="9" spans="1:20" x14ac:dyDescent="0.25">
      <c r="A9" s="5">
        <v>44584</v>
      </c>
      <c r="B9">
        <v>11.407999999999999</v>
      </c>
      <c r="C9">
        <v>12.585000000000001</v>
      </c>
      <c r="D9">
        <v>10.823</v>
      </c>
      <c r="E9">
        <v>11.696</v>
      </c>
      <c r="F9">
        <v>18776863.300000001</v>
      </c>
      <c r="G9">
        <v>11.696</v>
      </c>
      <c r="L9" t="s">
        <v>8</v>
      </c>
      <c r="M9" t="s">
        <v>8</v>
      </c>
      <c r="N9" t="s">
        <v>7</v>
      </c>
      <c r="P9">
        <f t="shared" ref="P9" si="20">IF(C9=D9,0,((E9-D9)-(C9-E9))/(C9-D9))</f>
        <v>-9.0805902383665083E-3</v>
      </c>
      <c r="Q9">
        <f t="shared" ref="Q9" si="21">F9*P9</f>
        <v>-170505.00158912234</v>
      </c>
      <c r="R9">
        <f t="shared" ref="R9" si="22">R10+Q9</f>
        <v>147418994.30478445</v>
      </c>
      <c r="S9">
        <f t="shared" ref="S9" si="23">R9/100000</f>
        <v>1474.1899430478445</v>
      </c>
      <c r="T9">
        <f t="shared" ref="T9" si="24">S9/1000</f>
        <v>1.4741899430478445</v>
      </c>
    </row>
    <row r="10" spans="1:20" x14ac:dyDescent="0.25">
      <c r="A10" s="5">
        <v>44583</v>
      </c>
      <c r="B10">
        <v>13.224</v>
      </c>
      <c r="C10">
        <v>13.538</v>
      </c>
      <c r="D10">
        <v>10.092000000000001</v>
      </c>
      <c r="E10">
        <v>11.407</v>
      </c>
      <c r="F10">
        <v>27432919.199999999</v>
      </c>
      <c r="G10">
        <v>11.407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-0.23679628554846222</v>
      </c>
      <c r="Q10">
        <f t="shared" ref="Q10" si="26">F10*P10</f>
        <v>-6496013.3683110913</v>
      </c>
      <c r="R10">
        <f t="shared" ref="R10" si="27">R11+Q10</f>
        <v>147589499.30637357</v>
      </c>
      <c r="S10">
        <f t="shared" ref="S10" si="28">R10/100000</f>
        <v>1475.8949930637357</v>
      </c>
      <c r="T10">
        <f t="shared" ref="T10" si="29">S10/1000</f>
        <v>1.4758949930637357</v>
      </c>
    </row>
    <row r="11" spans="1:20" x14ac:dyDescent="0.25">
      <c r="A11" s="5">
        <v>44582</v>
      </c>
      <c r="B11">
        <v>15.254</v>
      </c>
      <c r="C11">
        <v>15.706</v>
      </c>
      <c r="D11">
        <v>11.93</v>
      </c>
      <c r="E11">
        <v>13.224</v>
      </c>
      <c r="F11">
        <v>27700767.600000001</v>
      </c>
      <c r="G11">
        <v>13.224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-0.31461864406779633</v>
      </c>
      <c r="Q11">
        <f t="shared" ref="Q11" si="31">F11*P11</f>
        <v>-8715177.9419491459</v>
      </c>
      <c r="R11">
        <f t="shared" ref="R11" si="32">R12+Q11</f>
        <v>154085512.67468464</v>
      </c>
      <c r="S11">
        <f t="shared" ref="S11" si="33">R11/100000</f>
        <v>1540.8551267468465</v>
      </c>
      <c r="T11">
        <f t="shared" ref="T11" si="34">S11/1000</f>
        <v>1.5408551267468464</v>
      </c>
    </row>
    <row r="12" spans="1:20" x14ac:dyDescent="0.25">
      <c r="A12" s="5">
        <v>44581</v>
      </c>
      <c r="B12">
        <v>16.207999999999998</v>
      </c>
      <c r="C12">
        <v>17.579000000000001</v>
      </c>
      <c r="D12">
        <v>15.15</v>
      </c>
      <c r="E12">
        <v>15.259</v>
      </c>
      <c r="F12">
        <v>11565497.5</v>
      </c>
      <c r="G12">
        <v>15.259</v>
      </c>
      <c r="L12" t="s">
        <v>7</v>
      </c>
      <c r="M12" t="s">
        <v>7</v>
      </c>
      <c r="N12" t="s">
        <v>8</v>
      </c>
      <c r="P12">
        <f t="shared" ref="P12" si="35">IF(C12=D12,0,((E12-D12)-(C12-E12))/(C12-D12))</f>
        <v>-0.91025113215314946</v>
      </c>
      <c r="Q12">
        <f t="shared" ref="Q12" si="36">F12*P12</f>
        <v>-10527507.19328942</v>
      </c>
      <c r="R12">
        <f t="shared" ref="R12" si="37">R13+Q12</f>
        <v>162800690.6166338</v>
      </c>
      <c r="S12">
        <f t="shared" ref="S12" si="38">R12/100000</f>
        <v>1628.006906166338</v>
      </c>
      <c r="T12">
        <f t="shared" ref="T12" si="39">S12/1000</f>
        <v>1.628006906166338</v>
      </c>
    </row>
    <row r="13" spans="1:20" x14ac:dyDescent="0.25">
      <c r="A13" s="5">
        <v>44580</v>
      </c>
      <c r="B13">
        <v>17.704000000000001</v>
      </c>
      <c r="C13">
        <v>17.856999999999999</v>
      </c>
      <c r="D13">
        <v>16.164999999999999</v>
      </c>
      <c r="E13">
        <v>16.21</v>
      </c>
      <c r="F13">
        <v>11754017.800000001</v>
      </c>
      <c r="G13">
        <v>16.21</v>
      </c>
      <c r="L13" t="s">
        <v>7</v>
      </c>
      <c r="M13" t="s">
        <v>7</v>
      </c>
      <c r="N13" t="s">
        <v>8</v>
      </c>
      <c r="P13">
        <f t="shared" ref="P13" si="40">IF(C13=D13,0,((E13-D13)-(C13-E13))/(C13-D13))</f>
        <v>-0.94680851063829585</v>
      </c>
      <c r="Q13">
        <f t="shared" ref="Q13" si="41">F13*P13</f>
        <v>-11128804.08723402</v>
      </c>
      <c r="R13">
        <f t="shared" ref="R13" si="42">R14+Q13</f>
        <v>173328197.80992323</v>
      </c>
      <c r="S13">
        <f t="shared" ref="S13" si="43">R13/100000</f>
        <v>1733.2819780992322</v>
      </c>
      <c r="T13">
        <f t="shared" ref="T13" si="44">S13/1000</f>
        <v>1.7332819780992321</v>
      </c>
    </row>
    <row r="14" spans="1:20" x14ac:dyDescent="0.25">
      <c r="A14" s="5">
        <v>44579</v>
      </c>
      <c r="B14">
        <v>17.692</v>
      </c>
      <c r="C14">
        <v>18.222999999999999</v>
      </c>
      <c r="D14">
        <v>16.757999999999999</v>
      </c>
      <c r="E14">
        <v>17.704000000000001</v>
      </c>
      <c r="F14">
        <v>12486073.1</v>
      </c>
      <c r="G14">
        <v>17.704000000000001</v>
      </c>
      <c r="L14" t="s">
        <v>7</v>
      </c>
      <c r="M14" t="s">
        <v>7</v>
      </c>
      <c r="N14" t="s">
        <v>8</v>
      </c>
      <c r="P14">
        <f t="shared" ref="P14" si="45">IF(C14=D14,0,((E14-D14)-(C14-E14))/(C14-D14))</f>
        <v>0.29146757679181107</v>
      </c>
      <c r="Q14">
        <f t="shared" ref="Q14" si="46">F14*P14</f>
        <v>3639285.4701024164</v>
      </c>
      <c r="R14">
        <f t="shared" ref="R14" si="47">R15+Q14</f>
        <v>184457001.89715725</v>
      </c>
      <c r="S14">
        <f t="shared" ref="S14" si="48">R14/100000</f>
        <v>1844.5700189715726</v>
      </c>
      <c r="T14">
        <f t="shared" ref="T14" si="49">S14/1000</f>
        <v>1.8445700189715726</v>
      </c>
    </row>
    <row r="15" spans="1:20" x14ac:dyDescent="0.25">
      <c r="A15" s="5">
        <v>44578</v>
      </c>
      <c r="B15">
        <v>20.141999999999999</v>
      </c>
      <c r="C15">
        <v>20.181999999999999</v>
      </c>
      <c r="D15">
        <v>17.358000000000001</v>
      </c>
      <c r="E15">
        <v>17.692</v>
      </c>
      <c r="F15">
        <v>11529269</v>
      </c>
      <c r="G15">
        <v>17.692</v>
      </c>
      <c r="L15" t="s">
        <v>7</v>
      </c>
      <c r="M15" t="s">
        <v>7</v>
      </c>
      <c r="N15" t="s">
        <v>8</v>
      </c>
      <c r="P15">
        <f t="shared" ref="P15" si="50">IF(C15=D15,0,((E15-D15)-(C15-E15))/(C15-D15))</f>
        <v>-0.76345609065155817</v>
      </c>
      <c r="Q15">
        <f t="shared" ref="Q15" si="51">F15*P15</f>
        <v>-8802090.6388101988</v>
      </c>
      <c r="R15">
        <f t="shared" ref="R15" si="52">R16+Q15</f>
        <v>180817716.42705482</v>
      </c>
      <c r="S15">
        <f t="shared" ref="S15" si="53">R15/100000</f>
        <v>1808.1771642705482</v>
      </c>
      <c r="T15">
        <f t="shared" ref="T15" si="54">S15/1000</f>
        <v>1.8081771642705482</v>
      </c>
    </row>
    <row r="16" spans="1:20" x14ac:dyDescent="0.25">
      <c r="A16" s="5">
        <v>44577</v>
      </c>
      <c r="B16">
        <v>19.280999999999999</v>
      </c>
      <c r="C16">
        <v>20.456</v>
      </c>
      <c r="D16">
        <v>18.751000000000001</v>
      </c>
      <c r="E16">
        <v>20.141999999999999</v>
      </c>
      <c r="F16">
        <v>9327904.6999999993</v>
      </c>
      <c r="G16">
        <v>20.141999999999999</v>
      </c>
      <c r="L16" t="s">
        <v>8</v>
      </c>
      <c r="M16" t="s">
        <v>8</v>
      </c>
      <c r="N16" t="s">
        <v>8</v>
      </c>
      <c r="P16">
        <f t="shared" ref="P16" si="55">IF(C16=D16,0,((E16-D16)-(C16-E16))/(C16-D16))</f>
        <v>0.63167155425219901</v>
      </c>
      <c r="Q16">
        <f t="shared" ref="Q16" si="56">F16*P16</f>
        <v>5892172.059765392</v>
      </c>
      <c r="R16">
        <f t="shared" ref="R16" si="57">R17+Q16</f>
        <v>189619807.06586501</v>
      </c>
      <c r="S16">
        <f t="shared" ref="S16" si="58">R16/100000</f>
        <v>1896.1980706586501</v>
      </c>
      <c r="T16">
        <f t="shared" ref="T16" si="59">S16/1000</f>
        <v>1.8961980706586501</v>
      </c>
    </row>
    <row r="17" spans="1:20" x14ac:dyDescent="0.25">
      <c r="A17" s="5">
        <v>44576</v>
      </c>
      <c r="B17">
        <v>20.193000000000001</v>
      </c>
      <c r="C17">
        <v>20.298999999999999</v>
      </c>
      <c r="D17">
        <v>19.032</v>
      </c>
      <c r="E17">
        <v>19.283000000000001</v>
      </c>
      <c r="F17">
        <v>6770365.2000000002</v>
      </c>
      <c r="G17">
        <v>19.283000000000001</v>
      </c>
      <c r="L17" t="s">
        <v>7</v>
      </c>
      <c r="M17" t="s">
        <v>8</v>
      </c>
      <c r="N17" t="s">
        <v>8</v>
      </c>
      <c r="P17">
        <f t="shared" ref="P17" si="60">IF(C17=D17,0,((E17-D17)-(C17-E17))/(C17-D17))</f>
        <v>-0.60378847671665137</v>
      </c>
      <c r="Q17">
        <f t="shared" ref="Q17" si="61">F17*P17</f>
        <v>-4087868.4909234266</v>
      </c>
      <c r="R17">
        <f t="shared" ref="R17" si="62">R18+Q17</f>
        <v>183727635.00609961</v>
      </c>
      <c r="S17">
        <f t="shared" ref="S17" si="63">R17/100000</f>
        <v>1837.276350060996</v>
      </c>
      <c r="T17">
        <f t="shared" ref="T17" si="64">S17/1000</f>
        <v>1.8372763500609961</v>
      </c>
    </row>
    <row r="18" spans="1:20" x14ac:dyDescent="0.25">
      <c r="A18" s="5">
        <v>44575</v>
      </c>
      <c r="B18">
        <v>19.625</v>
      </c>
      <c r="C18">
        <v>20.597000000000001</v>
      </c>
      <c r="D18">
        <v>18.451000000000001</v>
      </c>
      <c r="E18">
        <v>20.184000000000001</v>
      </c>
      <c r="F18">
        <v>18119207.949999999</v>
      </c>
      <c r="G18">
        <v>20.184000000000001</v>
      </c>
      <c r="L18" t="s">
        <v>8</v>
      </c>
      <c r="M18" t="s">
        <v>8</v>
      </c>
      <c r="N18" t="s">
        <v>8</v>
      </c>
      <c r="P18">
        <f t="shared" ref="P18" si="65">IF(C18=D18,0,((E18-D18)-(C18-E18))/(C18-D18))</f>
        <v>0.61509785647716675</v>
      </c>
      <c r="Q18">
        <f t="shared" ref="Q18" si="66">F18*P18</f>
        <v>11145085.971109038</v>
      </c>
      <c r="R18">
        <f t="shared" ref="R18" si="67">R19+Q18</f>
        <v>187815503.49702305</v>
      </c>
      <c r="S18">
        <f t="shared" ref="S18" si="68">R18/100000</f>
        <v>1878.1550349702304</v>
      </c>
      <c r="T18">
        <f t="shared" ref="T18" si="69">S18/1000</f>
        <v>1.8781550349702305</v>
      </c>
    </row>
    <row r="19" spans="1:20" x14ac:dyDescent="0.25">
      <c r="A19" s="5">
        <v>44574</v>
      </c>
      <c r="B19">
        <v>17.574000000000002</v>
      </c>
      <c r="C19">
        <v>19.876999999999999</v>
      </c>
      <c r="D19">
        <v>17.172000000000001</v>
      </c>
      <c r="E19">
        <v>19.623000000000001</v>
      </c>
      <c r="F19">
        <v>20613100.57</v>
      </c>
      <c r="G19">
        <v>19.623000000000001</v>
      </c>
      <c r="L19" t="s">
        <v>8</v>
      </c>
      <c r="M19" t="s">
        <v>8</v>
      </c>
      <c r="N19" t="s">
        <v>8</v>
      </c>
      <c r="P19">
        <f t="shared" ref="P19" si="70">IF(C19=D19,0,((E19-D19)-(C19-E19))/(C19-D19))</f>
        <v>0.81219963031423448</v>
      </c>
      <c r="Q19">
        <f t="shared" ref="Q19" si="71">F19*P19</f>
        <v>16741952.662584135</v>
      </c>
      <c r="R19">
        <f t="shared" ref="R19" si="72">R20+Q19</f>
        <v>176670417.52591401</v>
      </c>
      <c r="S19">
        <f t="shared" ref="S19" si="73">R19/100000</f>
        <v>1766.7041752591401</v>
      </c>
      <c r="T19">
        <f t="shared" ref="T19" si="74">S19/1000</f>
        <v>1.7667041752591401</v>
      </c>
    </row>
    <row r="20" spans="1:20" x14ac:dyDescent="0.25">
      <c r="A20" s="5">
        <v>44573</v>
      </c>
      <c r="B20">
        <v>18.04</v>
      </c>
      <c r="C20">
        <v>18.838000000000001</v>
      </c>
      <c r="D20">
        <v>17.391999999999999</v>
      </c>
      <c r="E20">
        <v>17.573</v>
      </c>
      <c r="F20">
        <v>15768190.800000001</v>
      </c>
      <c r="G20">
        <v>17.573</v>
      </c>
      <c r="L20" t="s">
        <v>8</v>
      </c>
      <c r="M20" t="s">
        <v>8</v>
      </c>
      <c r="N20" t="s">
        <v>8</v>
      </c>
      <c r="P20">
        <f t="shared" ref="P20" si="75">IF(C20=D20,0,((E20-D20)-(C20-E20))/(C20-D20))</f>
        <v>-0.74965421853388559</v>
      </c>
      <c r="Q20">
        <f t="shared" ref="Q20" si="76">F20*P20</f>
        <v>-11820690.751867205</v>
      </c>
      <c r="R20">
        <f t="shared" ref="R20" si="77">R21+Q20</f>
        <v>159928464.86332989</v>
      </c>
      <c r="S20">
        <f t="shared" ref="S20" si="78">R20/100000</f>
        <v>1599.284648633299</v>
      </c>
      <c r="T20">
        <f t="shared" ref="T20" si="79">S20/1000</f>
        <v>1.599284648633299</v>
      </c>
    </row>
    <row r="21" spans="1:20" x14ac:dyDescent="0.25">
      <c r="A21" s="5">
        <v>44572</v>
      </c>
      <c r="B21">
        <v>15.474</v>
      </c>
      <c r="C21">
        <v>18.440999999999999</v>
      </c>
      <c r="D21">
        <v>15.292</v>
      </c>
      <c r="E21">
        <v>18.045000000000002</v>
      </c>
      <c r="F21">
        <v>22842154.899999999</v>
      </c>
      <c r="G21">
        <v>18.045000000000002</v>
      </c>
      <c r="L21" t="s">
        <v>8</v>
      </c>
      <c r="M21" t="s">
        <v>8</v>
      </c>
      <c r="N21" t="s">
        <v>8</v>
      </c>
      <c r="P21">
        <f t="shared" ref="P21" si="80">IF(C21=D21,0,((E21-D21)-(C21-E21))/(C21-D21))</f>
        <v>0.74849158463004295</v>
      </c>
      <c r="Q21">
        <f t="shared" ref="Q21" si="81">F21*P21</f>
        <v>17097160.7174659</v>
      </c>
      <c r="R21">
        <f t="shared" ref="R21" si="82">R22+Q21</f>
        <v>171749155.61519709</v>
      </c>
      <c r="S21">
        <f t="shared" ref="S21" si="83">R21/100000</f>
        <v>1717.4915561519708</v>
      </c>
      <c r="T21">
        <f t="shared" ref="T21" si="84">S21/1000</f>
        <v>1.7174915561519708</v>
      </c>
    </row>
    <row r="22" spans="1:20" x14ac:dyDescent="0.25">
      <c r="A22" s="5">
        <v>44571</v>
      </c>
      <c r="B22">
        <v>13.513999999999999</v>
      </c>
      <c r="C22">
        <v>15.555</v>
      </c>
      <c r="D22">
        <v>13.2</v>
      </c>
      <c r="E22">
        <v>15.474</v>
      </c>
      <c r="F22">
        <v>21510045.800000001</v>
      </c>
      <c r="G22">
        <v>15.474</v>
      </c>
      <c r="L22" t="s">
        <v>8</v>
      </c>
      <c r="M22" t="s">
        <v>8</v>
      </c>
      <c r="N22" t="s">
        <v>7</v>
      </c>
      <c r="P22">
        <f t="shared" ref="P22" si="85">IF(C22=D22,0,((E22-D22)-(C22-E22))/(C22-D22))</f>
        <v>0.93121019108280301</v>
      </c>
      <c r="Q22">
        <f t="shared" ref="Q22" si="86">F22*P22</f>
        <v>20030373.859617844</v>
      </c>
      <c r="R22">
        <f t="shared" ref="R22" si="87">R23+Q22</f>
        <v>154651994.89773118</v>
      </c>
      <c r="S22">
        <f t="shared" ref="S22" si="88">R22/100000</f>
        <v>1546.5199489773117</v>
      </c>
      <c r="T22">
        <f t="shared" ref="T22" si="89">S22/1000</f>
        <v>1.5465199489773118</v>
      </c>
    </row>
    <row r="23" spans="1:20" x14ac:dyDescent="0.25">
      <c r="A23" s="5">
        <v>44570</v>
      </c>
      <c r="B23">
        <v>13.82</v>
      </c>
      <c r="C23">
        <v>14.316000000000001</v>
      </c>
      <c r="D23">
        <v>13.103</v>
      </c>
      <c r="E23">
        <v>13.519</v>
      </c>
      <c r="F23">
        <v>7801429.7000000002</v>
      </c>
      <c r="G23">
        <v>13.519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-0.31409727947238247</v>
      </c>
      <c r="Q23">
        <f t="shared" ref="Q23" si="91">F23*P23</f>
        <v>-2450407.8447650452</v>
      </c>
      <c r="R23">
        <f t="shared" ref="R23" si="92">R24+Q23</f>
        <v>134621621.03811333</v>
      </c>
      <c r="S23">
        <f t="shared" ref="S23" si="93">R23/100000</f>
        <v>1346.2162103811334</v>
      </c>
      <c r="T23">
        <f t="shared" ref="T23" si="94">S23/1000</f>
        <v>1.3462162103811333</v>
      </c>
    </row>
    <row r="24" spans="1:20" x14ac:dyDescent="0.25">
      <c r="A24" s="5">
        <v>44569</v>
      </c>
      <c r="B24">
        <v>15.058999999999999</v>
      </c>
      <c r="C24">
        <v>15.561</v>
      </c>
      <c r="D24">
        <v>13.31</v>
      </c>
      <c r="E24">
        <v>13.82</v>
      </c>
      <c r="F24">
        <v>12265867.699999999</v>
      </c>
      <c r="G24">
        <v>13.82</v>
      </c>
      <c r="L24" t="s">
        <v>7</v>
      </c>
      <c r="M24" t="s">
        <v>7</v>
      </c>
      <c r="N24" t="s">
        <v>8</v>
      </c>
      <c r="P24">
        <f t="shared" ref="P24" si="95">IF(C24=D24,0,((E24-D24)-(C24-E24))/(C24-D24))</f>
        <v>-0.54686805864060428</v>
      </c>
      <c r="Q24">
        <f t="shared" ref="Q24" si="96">F24*P24</f>
        <v>-6707811.2566414932</v>
      </c>
      <c r="R24">
        <f t="shared" ref="R24" si="97">R25+Q24</f>
        <v>137072028.88287836</v>
      </c>
      <c r="S24">
        <f t="shared" ref="S24" si="98">R24/100000</f>
        <v>1370.7202888287836</v>
      </c>
      <c r="T24">
        <f t="shared" ref="T24" si="99">S24/1000</f>
        <v>1.3707202888287837</v>
      </c>
    </row>
    <row r="25" spans="1:20" x14ac:dyDescent="0.25">
      <c r="A25" s="5">
        <v>44568</v>
      </c>
      <c r="B25">
        <v>15.935</v>
      </c>
      <c r="C25">
        <v>16.05</v>
      </c>
      <c r="D25">
        <v>14.278</v>
      </c>
      <c r="E25">
        <v>15.057</v>
      </c>
      <c r="F25">
        <v>16078326.800000001</v>
      </c>
      <c r="G25">
        <v>15.057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-0.12076749435665936</v>
      </c>
      <c r="Q25">
        <f t="shared" ref="Q25" si="101">F25*P25</f>
        <v>-1941739.2410835249</v>
      </c>
      <c r="R25">
        <f t="shared" ref="R25" si="102">R26+Q25</f>
        <v>143779840.13951987</v>
      </c>
      <c r="S25">
        <f t="shared" ref="S25" si="103">R25/100000</f>
        <v>1437.7984013951987</v>
      </c>
      <c r="T25">
        <f t="shared" ref="T25" si="104">S25/1000</f>
        <v>1.4377984013951985</v>
      </c>
    </row>
    <row r="26" spans="1:20" x14ac:dyDescent="0.25">
      <c r="A26" s="5">
        <v>44567</v>
      </c>
      <c r="B26">
        <v>15.305</v>
      </c>
      <c r="C26">
        <v>16.3</v>
      </c>
      <c r="D26">
        <v>14.750999999999999</v>
      </c>
      <c r="E26">
        <v>15.935</v>
      </c>
      <c r="F26">
        <v>17682247</v>
      </c>
      <c r="G26">
        <v>15.935</v>
      </c>
      <c r="L26" t="s">
        <v>8</v>
      </c>
      <c r="M26" t="s">
        <v>7</v>
      </c>
      <c r="N26" t="s">
        <v>8</v>
      </c>
      <c r="P26">
        <f t="shared" ref="P26" si="105">IF(C26=D26,0,((E26-D26)-(C26-E26))/(C26-D26))</f>
        <v>0.5287282117495159</v>
      </c>
      <c r="Q26">
        <f t="shared" ref="Q26" si="106">F26*P26</f>
        <v>9349102.8360232431</v>
      </c>
      <c r="R26">
        <f t="shared" ref="R26" si="107">R27+Q26</f>
        <v>145721579.3806034</v>
      </c>
      <c r="S26">
        <f t="shared" ref="S26" si="108">R26/100000</f>
        <v>1457.2157938060341</v>
      </c>
      <c r="T26">
        <f t="shared" ref="T26" si="109">S26/1000</f>
        <v>1.4572157938060342</v>
      </c>
    </row>
    <row r="27" spans="1:20" x14ac:dyDescent="0.25">
      <c r="A27" s="5">
        <v>44566</v>
      </c>
      <c r="B27">
        <v>16.029</v>
      </c>
      <c r="C27">
        <v>17.297999999999998</v>
      </c>
      <c r="D27">
        <v>14</v>
      </c>
      <c r="E27">
        <v>15.308999999999999</v>
      </c>
      <c r="F27">
        <v>18198848.5</v>
      </c>
      <c r="G27">
        <v>15.308999999999999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-0.2061855670103093</v>
      </c>
      <c r="Q27">
        <f t="shared" ref="Q27" si="111">F27*P27</f>
        <v>-3752339.8969072169</v>
      </c>
      <c r="R27">
        <f t="shared" ref="R27" si="112">R28+Q27</f>
        <v>136372476.54458016</v>
      </c>
      <c r="S27">
        <f t="shared" ref="S27" si="113">R27/100000</f>
        <v>1363.7247654458017</v>
      </c>
      <c r="T27">
        <f t="shared" ref="T27" si="114">S27/1000</f>
        <v>1.3637247654458018</v>
      </c>
    </row>
    <row r="28" spans="1:20" x14ac:dyDescent="0.25">
      <c r="A28" s="5">
        <v>44565</v>
      </c>
      <c r="B28">
        <v>16.48</v>
      </c>
      <c r="C28">
        <v>17.664000000000001</v>
      </c>
      <c r="D28">
        <v>15.92</v>
      </c>
      <c r="E28">
        <v>16.027999999999999</v>
      </c>
      <c r="F28">
        <v>21452398.300000001</v>
      </c>
      <c r="G28">
        <v>16.027999999999999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-0.87614678899082721</v>
      </c>
      <c r="Q28">
        <f t="shared" ref="Q28" si="116">F28*P28</f>
        <v>-18795449.886697281</v>
      </c>
      <c r="R28">
        <f t="shared" ref="R28" si="117">R29+Q28</f>
        <v>140124816.44148737</v>
      </c>
      <c r="S28">
        <f t="shared" ref="S28" si="118">R28/100000</f>
        <v>1401.2481644148738</v>
      </c>
      <c r="T28">
        <f t="shared" ref="T28" si="119">S28/1000</f>
        <v>1.4012481644148738</v>
      </c>
    </row>
    <row r="29" spans="1:20" x14ac:dyDescent="0.25">
      <c r="A29" s="5">
        <v>44564</v>
      </c>
      <c r="B29">
        <v>14.387</v>
      </c>
      <c r="C29">
        <v>16.489999999999998</v>
      </c>
      <c r="D29">
        <v>13.906000000000001</v>
      </c>
      <c r="E29">
        <v>16.484999999999999</v>
      </c>
      <c r="F29">
        <v>13822823.199999999</v>
      </c>
      <c r="G29">
        <v>16.484999999999999</v>
      </c>
      <c r="L29" t="s">
        <v>7</v>
      </c>
      <c r="M29" t="s">
        <v>8</v>
      </c>
      <c r="N29" t="s">
        <v>8</v>
      </c>
      <c r="P29">
        <f t="shared" ref="P29" si="120">IF(C29=D29,0,((E29-D29)-(C29-E29))/(C29-D29))</f>
        <v>0.99613003095975305</v>
      </c>
      <c r="Q29">
        <f t="shared" ref="Q29" si="121">F29*P29</f>
        <v>13769329.302167192</v>
      </c>
      <c r="R29">
        <f t="shared" ref="R29" si="122">R30+Q29</f>
        <v>158920266.32818466</v>
      </c>
      <c r="S29">
        <f t="shared" ref="S29" si="123">R29/100000</f>
        <v>1589.2026632818468</v>
      </c>
      <c r="T29">
        <f t="shared" ref="T29" si="124">S29/1000</f>
        <v>1.5892026632818468</v>
      </c>
    </row>
    <row r="30" spans="1:20" x14ac:dyDescent="0.25">
      <c r="A30" s="5">
        <v>44563</v>
      </c>
      <c r="B30">
        <v>15.170999999999999</v>
      </c>
      <c r="C30">
        <v>15.268000000000001</v>
      </c>
      <c r="D30">
        <v>14.218999999999999</v>
      </c>
      <c r="E30">
        <v>14.384</v>
      </c>
      <c r="F30">
        <v>5634754</v>
      </c>
      <c r="G30">
        <v>14.384</v>
      </c>
      <c r="L30" t="s">
        <v>7</v>
      </c>
      <c r="M30" t="s">
        <v>8</v>
      </c>
      <c r="N30" t="s">
        <v>8</v>
      </c>
      <c r="P30">
        <f t="shared" ref="P30" si="125">IF(C30=D30,0,((E30-D30)-(C30-E30))/(C30-D30))</f>
        <v>-0.68541468064823508</v>
      </c>
      <c r="Q30">
        <f t="shared" ref="Q30" si="126">F30*P30</f>
        <v>-3862143.1134413653</v>
      </c>
      <c r="R30">
        <f t="shared" ref="R30" si="127">R31+Q30</f>
        <v>145150937.02601749</v>
      </c>
      <c r="S30">
        <f t="shared" ref="S30" si="128">R30/100000</f>
        <v>1451.5093702601748</v>
      </c>
      <c r="T30">
        <f t="shared" ref="T30" si="129">S30/1000</f>
        <v>1.4515093702601749</v>
      </c>
    </row>
    <row r="31" spans="1:20" x14ac:dyDescent="0.25">
      <c r="A31" s="5">
        <v>44562</v>
      </c>
      <c r="B31">
        <v>14.619</v>
      </c>
      <c r="C31">
        <v>15.326000000000001</v>
      </c>
      <c r="D31">
        <v>14.43</v>
      </c>
      <c r="E31">
        <v>15.175000000000001</v>
      </c>
      <c r="F31">
        <v>5338109.4000000004</v>
      </c>
      <c r="G31">
        <v>15.175000000000001</v>
      </c>
      <c r="L31" t="s">
        <v>7</v>
      </c>
      <c r="M31" t="s">
        <v>8</v>
      </c>
      <c r="N31" t="s">
        <v>8</v>
      </c>
      <c r="P31">
        <f t="shared" ref="P31" si="130">IF(C31=D31,0,((E31-D31)-(C31-E31))/(C31-D31))</f>
        <v>0.66294642857142927</v>
      </c>
      <c r="Q31">
        <f t="shared" ref="Q31" si="131">F31*P31</f>
        <v>3538880.5620535752</v>
      </c>
      <c r="R31">
        <f t="shared" ref="R31" si="132">R32+Q31</f>
        <v>149013080.13945886</v>
      </c>
      <c r="S31">
        <f t="shared" ref="S31" si="133">R31/100000</f>
        <v>1490.1308013945886</v>
      </c>
      <c r="T31">
        <f t="shared" ref="T31" si="134">S31/1000</f>
        <v>1.4901308013945886</v>
      </c>
    </row>
    <row r="32" spans="1:20" x14ac:dyDescent="0.25">
      <c r="A32" s="5">
        <v>44561</v>
      </c>
      <c r="B32">
        <v>15.43</v>
      </c>
      <c r="C32">
        <v>15.715999999999999</v>
      </c>
      <c r="D32">
        <v>14.146000000000001</v>
      </c>
      <c r="E32">
        <v>14.625</v>
      </c>
      <c r="F32">
        <v>9136497.5999999996</v>
      </c>
      <c r="G32">
        <v>14.625</v>
      </c>
      <c r="L32" t="s">
        <v>8</v>
      </c>
      <c r="M32" t="s">
        <v>8</v>
      </c>
      <c r="N32" t="s">
        <v>8</v>
      </c>
      <c r="P32">
        <f t="shared" ref="P32" si="135">IF(C32=D32,0,((E32-D32)-(C32-E32))/(C32-D32))</f>
        <v>-0.38980891719745264</v>
      </c>
      <c r="Q32">
        <f t="shared" ref="Q32" si="136">F32*P32</f>
        <v>-3561488.2364331246</v>
      </c>
      <c r="R32">
        <f t="shared" ref="R32" si="137">R33+Q32</f>
        <v>145474199.5774053</v>
      </c>
      <c r="S32">
        <f t="shared" ref="S32" si="138">R32/100000</f>
        <v>1454.7419957740531</v>
      </c>
      <c r="T32">
        <f t="shared" ref="T32" si="139">S32/1000</f>
        <v>1.4547419957740531</v>
      </c>
    </row>
    <row r="33" spans="1:20" x14ac:dyDescent="0.25">
      <c r="A33" s="5">
        <v>44560</v>
      </c>
      <c r="B33">
        <v>14.907</v>
      </c>
      <c r="C33">
        <v>15.531000000000001</v>
      </c>
      <c r="D33">
        <v>14.055999999999999</v>
      </c>
      <c r="E33">
        <v>15.43</v>
      </c>
      <c r="F33">
        <v>17366223.800000001</v>
      </c>
      <c r="G33">
        <v>15.43</v>
      </c>
      <c r="L33" t="s">
        <v>8</v>
      </c>
      <c r="M33" t="s">
        <v>8</v>
      </c>
      <c r="N33" t="s">
        <v>8</v>
      </c>
      <c r="P33">
        <f t="shared" ref="P33" si="140">IF(C33=D33,0,((E33-D33)-(C33-E33))/(C33-D33))</f>
        <v>0.86305084745762606</v>
      </c>
      <c r="Q33">
        <f t="shared" ref="Q33" si="141">F33*P33</f>
        <v>14987934.167728797</v>
      </c>
      <c r="R33">
        <f t="shared" ref="R33" si="142">R34+Q33</f>
        <v>149035687.81383842</v>
      </c>
      <c r="S33">
        <f t="shared" ref="S33" si="143">R33/100000</f>
        <v>1490.3568781383842</v>
      </c>
      <c r="T33">
        <f t="shared" ref="T33" si="144">S33/1000</f>
        <v>1.4903568781383842</v>
      </c>
    </row>
    <row r="34" spans="1:20" x14ac:dyDescent="0.25">
      <c r="A34" s="5">
        <v>44559</v>
      </c>
      <c r="B34">
        <v>13.333</v>
      </c>
      <c r="C34">
        <v>15.228</v>
      </c>
      <c r="D34">
        <v>13.135</v>
      </c>
      <c r="E34">
        <v>14.904</v>
      </c>
      <c r="F34">
        <v>20101784.800000001</v>
      </c>
      <c r="G34">
        <v>14.904</v>
      </c>
      <c r="L34" t="s">
        <v>8</v>
      </c>
      <c r="M34" t="s">
        <v>7</v>
      </c>
      <c r="N34" t="s">
        <v>8</v>
      </c>
      <c r="P34">
        <f t="shared" ref="P34" si="145">IF(C34=D34,0,((E34-D34)-(C34-E34))/(C34-D34))</f>
        <v>0.69039655996177751</v>
      </c>
      <c r="Q34">
        <f t="shared" ref="Q34" si="146">F34*P34</f>
        <v>13878203.075011948</v>
      </c>
      <c r="R34">
        <f t="shared" ref="R34" si="147">R35+Q34</f>
        <v>134047753.64610963</v>
      </c>
      <c r="S34">
        <f t="shared" ref="S34" si="148">R34/100000</f>
        <v>1340.4775364610962</v>
      </c>
      <c r="T34">
        <f t="shared" ref="T34" si="149">S34/1000</f>
        <v>1.3404775364610961</v>
      </c>
    </row>
    <row r="35" spans="1:20" x14ac:dyDescent="0.25">
      <c r="A35" s="5">
        <v>44558</v>
      </c>
      <c r="B35">
        <v>14.754</v>
      </c>
      <c r="C35">
        <v>14.824999999999999</v>
      </c>
      <c r="D35">
        <v>13.036</v>
      </c>
      <c r="E35">
        <v>13.335000000000001</v>
      </c>
      <c r="F35">
        <v>17918983.5</v>
      </c>
      <c r="G35">
        <v>13.335000000000001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-0.6657350475125754</v>
      </c>
      <c r="Q35">
        <f t="shared" ref="Q35" si="151">F35*P35</f>
        <v>-11929295.331749555</v>
      </c>
      <c r="R35">
        <f t="shared" ref="R35" si="152">R36+Q35</f>
        <v>120169550.57109767</v>
      </c>
      <c r="S35">
        <f t="shared" ref="S35" si="153">R35/100000</f>
        <v>1201.6955057109767</v>
      </c>
      <c r="T35">
        <f t="shared" ref="T35" si="154">S35/1000</f>
        <v>1.2016955057109766</v>
      </c>
    </row>
    <row r="36" spans="1:20" x14ac:dyDescent="0.25">
      <c r="A36" s="5">
        <v>44557</v>
      </c>
      <c r="B36">
        <v>16.266999999999999</v>
      </c>
      <c r="C36">
        <v>16.489999999999998</v>
      </c>
      <c r="D36">
        <v>14.571</v>
      </c>
      <c r="E36">
        <v>14.752000000000001</v>
      </c>
      <c r="F36">
        <v>12980034.800000001</v>
      </c>
      <c r="G36">
        <v>14.752000000000001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-0.81136008337675758</v>
      </c>
      <c r="Q36">
        <f t="shared" ref="Q36" si="156">F36*P36</f>
        <v>-10531482.117561216</v>
      </c>
      <c r="R36">
        <f t="shared" ref="R36" si="157">R37+Q36</f>
        <v>132098845.90284723</v>
      </c>
      <c r="S36">
        <f t="shared" ref="S36" si="158">R36/100000</f>
        <v>1320.9884590284723</v>
      </c>
      <c r="T36">
        <f t="shared" ref="T36" si="159">S36/1000</f>
        <v>1.3209884590284724</v>
      </c>
    </row>
    <row r="37" spans="1:20" x14ac:dyDescent="0.25">
      <c r="A37" s="5">
        <v>44556</v>
      </c>
      <c r="B37">
        <v>15.226000000000001</v>
      </c>
      <c r="C37">
        <v>16.300999999999998</v>
      </c>
      <c r="D37">
        <v>14.513999999999999</v>
      </c>
      <c r="E37">
        <v>16.260999999999999</v>
      </c>
      <c r="F37">
        <v>12543856</v>
      </c>
      <c r="G37">
        <v>16.260999999999999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0.95523223279239045</v>
      </c>
      <c r="Q37">
        <f t="shared" ref="Q37" si="161">F37*P37</f>
        <v>11982295.574706223</v>
      </c>
      <c r="R37">
        <f t="shared" ref="R37" si="162">R38+Q37</f>
        <v>142630328.02040845</v>
      </c>
      <c r="S37">
        <f t="shared" ref="S37" si="163">R37/100000</f>
        <v>1426.3032802040846</v>
      </c>
      <c r="T37">
        <f t="shared" ref="T37" si="164">S37/1000</f>
        <v>1.4263032802040845</v>
      </c>
    </row>
    <row r="38" spans="1:20" x14ac:dyDescent="0.25">
      <c r="A38" s="5">
        <v>44555</v>
      </c>
      <c r="B38">
        <v>14.949</v>
      </c>
      <c r="C38">
        <v>15.696</v>
      </c>
      <c r="D38">
        <v>14.207000000000001</v>
      </c>
      <c r="E38">
        <v>15.221</v>
      </c>
      <c r="F38">
        <v>17066993.100000001</v>
      </c>
      <c r="G38">
        <v>15.221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0.36198791134989933</v>
      </c>
      <c r="Q38">
        <f t="shared" ref="Q38" si="166">F38*P38</f>
        <v>6178045.1852921443</v>
      </c>
      <c r="R38">
        <f t="shared" ref="R38" si="167">R39+Q38</f>
        <v>130648032.44570224</v>
      </c>
      <c r="S38">
        <f t="shared" ref="S38" si="168">R38/100000</f>
        <v>1306.4803244570223</v>
      </c>
      <c r="T38">
        <f t="shared" ref="T38" si="169">S38/1000</f>
        <v>1.3064803244570222</v>
      </c>
    </row>
    <row r="39" spans="1:20" x14ac:dyDescent="0.25">
      <c r="A39" s="5">
        <v>44554</v>
      </c>
      <c r="B39">
        <v>13.724</v>
      </c>
      <c r="C39">
        <v>15.939</v>
      </c>
      <c r="D39">
        <v>13.507999999999999</v>
      </c>
      <c r="E39">
        <v>14.95</v>
      </c>
      <c r="F39">
        <v>29249621.600000001</v>
      </c>
      <c r="G39">
        <v>14.95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0.18634306869600956</v>
      </c>
      <c r="Q39">
        <f t="shared" ref="Q39" si="171">F39*P39</f>
        <v>5450464.2471410856</v>
      </c>
      <c r="R39">
        <f t="shared" ref="R39" si="172">R40+Q39</f>
        <v>124469987.2604101</v>
      </c>
      <c r="S39">
        <f t="shared" ref="S39" si="173">R39/100000</f>
        <v>1244.6998726041011</v>
      </c>
      <c r="T39">
        <f t="shared" ref="T39" si="174">S39/1000</f>
        <v>1.244699872604101</v>
      </c>
    </row>
    <row r="40" spans="1:20" x14ac:dyDescent="0.25">
      <c r="A40" s="5">
        <v>44553</v>
      </c>
      <c r="B40">
        <v>10.824999999999999</v>
      </c>
      <c r="C40">
        <v>14.273</v>
      </c>
      <c r="D40">
        <v>10.695</v>
      </c>
      <c r="E40">
        <v>13.723000000000001</v>
      </c>
      <c r="F40">
        <v>40321532.5</v>
      </c>
      <c r="G40">
        <v>13.723000000000001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0.69256567915036382</v>
      </c>
      <c r="Q40">
        <f t="shared" ref="Q40" si="176">F40*P40</f>
        <v>27925309.540245969</v>
      </c>
      <c r="R40">
        <f t="shared" ref="R40" si="177">R41+Q40</f>
        <v>119019523.01326902</v>
      </c>
      <c r="S40">
        <f t="shared" ref="S40" si="178">R40/100000</f>
        <v>1190.1952301326903</v>
      </c>
      <c r="T40">
        <f t="shared" ref="T40" si="179">S40/1000</f>
        <v>1.1901952301326904</v>
      </c>
    </row>
    <row r="41" spans="1:20" x14ac:dyDescent="0.25">
      <c r="A41" s="5">
        <v>44552</v>
      </c>
      <c r="B41">
        <v>9.2460000000000004</v>
      </c>
      <c r="C41">
        <v>11.8</v>
      </c>
      <c r="D41">
        <v>9.0779999999999994</v>
      </c>
      <c r="E41">
        <v>10.824999999999999</v>
      </c>
      <c r="F41">
        <v>27615235.100000001</v>
      </c>
      <c r="G41">
        <v>10.824999999999999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0.28361498897869142</v>
      </c>
      <c r="Q41">
        <f t="shared" ref="Q41" si="181">F41*P41</f>
        <v>7832094.5985304732</v>
      </c>
      <c r="R41">
        <f t="shared" ref="R41" si="182">R42+Q41</f>
        <v>91094213.473023057</v>
      </c>
      <c r="S41">
        <f t="shared" ref="S41" si="183">R41/100000</f>
        <v>910.94213473023058</v>
      </c>
      <c r="T41">
        <f t="shared" ref="T41" si="184">S41/1000</f>
        <v>0.91094213473023056</v>
      </c>
    </row>
    <row r="42" spans="1:20" x14ac:dyDescent="0.25">
      <c r="A42" s="5">
        <v>44551</v>
      </c>
      <c r="B42">
        <v>8.5120000000000005</v>
      </c>
      <c r="C42">
        <v>9.3829999999999991</v>
      </c>
      <c r="D42">
        <v>8.4939999999999998</v>
      </c>
      <c r="E42">
        <v>9.2460000000000004</v>
      </c>
      <c r="F42">
        <v>9378713.6999999993</v>
      </c>
      <c r="G42">
        <v>9.2460000000000004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0.69178852643419853</v>
      </c>
      <c r="Q42">
        <f t="shared" ref="Q42" si="186">F42*P42</f>
        <v>6488086.5303712292</v>
      </c>
      <c r="R42">
        <f t="shared" ref="R42" si="187">R43+Q42</f>
        <v>83262118.874492586</v>
      </c>
      <c r="S42">
        <f t="shared" ref="S42" si="188">R42/100000</f>
        <v>832.6211887449258</v>
      </c>
      <c r="T42">
        <f t="shared" ref="T42" si="189">S42/1000</f>
        <v>0.83262118874492586</v>
      </c>
    </row>
    <row r="43" spans="1:20" x14ac:dyDescent="0.25">
      <c r="A43" s="5">
        <v>44550</v>
      </c>
      <c r="B43">
        <v>9.016</v>
      </c>
      <c r="C43">
        <v>9.0879999999999992</v>
      </c>
      <c r="D43">
        <v>8.2639999999999993</v>
      </c>
      <c r="E43">
        <v>8.5090000000000003</v>
      </c>
      <c r="F43">
        <v>11878190.9</v>
      </c>
      <c r="G43">
        <v>8.5090000000000003</v>
      </c>
      <c r="L43" t="s">
        <v>7</v>
      </c>
      <c r="M43" t="s">
        <v>8</v>
      </c>
      <c r="N43" t="s">
        <v>7</v>
      </c>
      <c r="P43">
        <f t="shared" ref="P43" si="190">IF(C43=D43,0,((E43-D43)-(C43-E43))/(C43-D43))</f>
        <v>-0.40533980582524021</v>
      </c>
      <c r="Q43">
        <f t="shared" ref="Q43" si="191">F43*P43</f>
        <v>-4814703.5929611353</v>
      </c>
      <c r="R43">
        <f t="shared" ref="R43" si="192">R44+Q43</f>
        <v>76774032.344121352</v>
      </c>
      <c r="S43">
        <f t="shared" ref="S43" si="193">R43/100000</f>
        <v>767.74032344121349</v>
      </c>
      <c r="T43">
        <f t="shared" ref="T43" si="194">S43/1000</f>
        <v>0.76774032344121346</v>
      </c>
    </row>
    <row r="44" spans="1:20" x14ac:dyDescent="0.25">
      <c r="A44" s="5">
        <v>44549</v>
      </c>
      <c r="B44">
        <v>8.4130000000000003</v>
      </c>
      <c r="C44">
        <v>9.6959999999999997</v>
      </c>
      <c r="D44">
        <v>8.35</v>
      </c>
      <c r="E44">
        <v>9.0129999999999999</v>
      </c>
      <c r="F44">
        <v>14948631.199999999</v>
      </c>
      <c r="G44">
        <v>9.0129999999999999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-1.4858841010400871E-2</v>
      </c>
      <c r="Q44">
        <f t="shared" ref="Q44" si="196">F44*P44</f>
        <v>-222119.33432391795</v>
      </c>
      <c r="R44">
        <f t="shared" ref="R44" si="197">R45+Q44</f>
        <v>81588735.937082484</v>
      </c>
      <c r="S44">
        <f t="shared" ref="S44" si="198">R44/100000</f>
        <v>815.88735937082481</v>
      </c>
      <c r="T44">
        <f t="shared" ref="T44" si="199">S44/1000</f>
        <v>0.81588735937082479</v>
      </c>
    </row>
    <row r="45" spans="1:20" x14ac:dyDescent="0.25">
      <c r="A45" s="5">
        <v>44548</v>
      </c>
      <c r="B45">
        <v>8.3989999999999991</v>
      </c>
      <c r="C45">
        <v>8.5470000000000006</v>
      </c>
      <c r="D45">
        <v>8.0839999999999996</v>
      </c>
      <c r="E45">
        <v>8.4139999999999997</v>
      </c>
      <c r="F45">
        <v>6486650</v>
      </c>
      <c r="G45">
        <v>8.4139999999999997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0.42548596112310749</v>
      </c>
      <c r="Q45">
        <f t="shared" ref="Q45" si="201">F45*P45</f>
        <v>2759978.5097192051</v>
      </c>
      <c r="R45">
        <f t="shared" ref="R45" si="202">R46+Q45</f>
        <v>81810855.271406397</v>
      </c>
      <c r="S45">
        <f t="shared" ref="S45" si="203">R45/100000</f>
        <v>818.10855271406399</v>
      </c>
      <c r="T45">
        <f t="shared" ref="T45" si="204">S45/1000</f>
        <v>0.81810855271406402</v>
      </c>
    </row>
    <row r="46" spans="1:20" x14ac:dyDescent="0.25">
      <c r="A46" s="5">
        <v>44547</v>
      </c>
      <c r="B46">
        <v>9.2349999999999994</v>
      </c>
      <c r="C46">
        <v>9.3480000000000008</v>
      </c>
      <c r="D46">
        <v>8.27</v>
      </c>
      <c r="E46">
        <v>8.4019999999999992</v>
      </c>
      <c r="F46">
        <v>10180885.800000001</v>
      </c>
      <c r="G46">
        <v>8.4019999999999992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-0.75510204081632737</v>
      </c>
      <c r="Q46">
        <f t="shared" ref="Q46" si="206">F46*P46</f>
        <v>-7687607.6448979685</v>
      </c>
      <c r="R46">
        <f t="shared" ref="R46" si="207">R47+Q46</f>
        <v>79050876.761687189</v>
      </c>
      <c r="S46">
        <f t="shared" ref="S46" si="208">R46/100000</f>
        <v>790.50876761687186</v>
      </c>
      <c r="T46">
        <f t="shared" ref="T46" si="209">S46/1000</f>
        <v>0.79050876761687183</v>
      </c>
    </row>
    <row r="47" spans="1:20" x14ac:dyDescent="0.25">
      <c r="A47" s="5">
        <v>44546</v>
      </c>
      <c r="B47">
        <v>9.8469999999999995</v>
      </c>
      <c r="C47">
        <v>11.006</v>
      </c>
      <c r="D47">
        <v>9.1999999999999993</v>
      </c>
      <c r="E47">
        <v>9.2330000000000005</v>
      </c>
      <c r="F47">
        <v>11896394.199999999</v>
      </c>
      <c r="G47">
        <v>9.2330000000000005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-0.96345514950165978</v>
      </c>
      <c r="Q47">
        <f t="shared" ref="Q47" si="211">F47*P47</f>
        <v>-11461642.252491677</v>
      </c>
      <c r="R47">
        <f t="shared" ref="R47" si="212">R48+Q47</f>
        <v>86738484.406585157</v>
      </c>
      <c r="S47">
        <f t="shared" ref="S47" si="213">R47/100000</f>
        <v>867.38484406585155</v>
      </c>
      <c r="T47">
        <f t="shared" ref="T47" si="214">S47/1000</f>
        <v>0.86738484406585159</v>
      </c>
    </row>
    <row r="48" spans="1:20" x14ac:dyDescent="0.25">
      <c r="A48" s="5">
        <v>44545</v>
      </c>
      <c r="B48">
        <v>9.3290000000000006</v>
      </c>
      <c r="C48">
        <v>17.95</v>
      </c>
      <c r="D48">
        <v>9.0500000000000007</v>
      </c>
      <c r="E48">
        <v>9.8450000000000006</v>
      </c>
      <c r="F48">
        <v>42680329.329999998</v>
      </c>
      <c r="G48">
        <v>9.8450000000000006</v>
      </c>
      <c r="L48" t="s">
        <v>8</v>
      </c>
      <c r="M48" t="s">
        <v>8</v>
      </c>
      <c r="N48" t="s">
        <v>8</v>
      </c>
      <c r="P48">
        <f t="shared" ref="P48" si="215">IF(C48=D48,0,((E48-D48)-(C48-E48))/(C48-D48))</f>
        <v>-0.82134831460674151</v>
      </c>
      <c r="Q48">
        <f t="shared" ref="Q48" si="216">F48*P48</f>
        <v>-35055416.562056176</v>
      </c>
      <c r="R48">
        <f t="shared" ref="R48" si="217">R49+Q48</f>
        <v>98200126.65907684</v>
      </c>
      <c r="S48">
        <f t="shared" ref="S48" si="218">R48/100000</f>
        <v>982.00126659076841</v>
      </c>
      <c r="T48">
        <f t="shared" ref="T48" si="219">S48/1000</f>
        <v>0.98200126659076836</v>
      </c>
    </row>
    <row r="49" spans="1:20" x14ac:dyDescent="0.25">
      <c r="A49" s="5">
        <v>44544</v>
      </c>
      <c r="B49">
        <v>9.1029999999999998</v>
      </c>
      <c r="C49">
        <v>9.6880000000000006</v>
      </c>
      <c r="D49">
        <v>8.9030000000000005</v>
      </c>
      <c r="E49">
        <v>9.33</v>
      </c>
      <c r="F49">
        <v>9425524.5999999996</v>
      </c>
      <c r="G49">
        <v>9.33</v>
      </c>
      <c r="L49" t="s">
        <v>8</v>
      </c>
      <c r="M49" t="s">
        <v>7</v>
      </c>
      <c r="N49" t="s">
        <v>8</v>
      </c>
      <c r="P49">
        <f t="shared" ref="P49" si="220">IF(C49=D49,0,((E49-D49)-(C49-E49))/(C49-D49))</f>
        <v>8.7898089171973309E-2</v>
      </c>
      <c r="Q49">
        <f t="shared" ref="Q49" si="221">F49*P49</f>
        <v>828485.60178342799</v>
      </c>
      <c r="R49">
        <f t="shared" ref="R49" si="222">R50+Q49</f>
        <v>133255543.22113302</v>
      </c>
      <c r="S49">
        <f t="shared" ref="S49" si="223">R49/100000</f>
        <v>1332.5554322113303</v>
      </c>
      <c r="T49">
        <f t="shared" ref="T49" si="224">S49/1000</f>
        <v>1.3325554322113302</v>
      </c>
    </row>
    <row r="50" spans="1:20" x14ac:dyDescent="0.25">
      <c r="A50" s="5">
        <v>44543</v>
      </c>
      <c r="B50">
        <v>10.565</v>
      </c>
      <c r="C50">
        <v>10.717000000000001</v>
      </c>
      <c r="D50">
        <v>8.9019999999999992</v>
      </c>
      <c r="E50">
        <v>9.1010000000000009</v>
      </c>
      <c r="F50">
        <v>12556806.9</v>
      </c>
      <c r="G50">
        <v>9.1010000000000009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-0.78071625344352458</v>
      </c>
      <c r="Q50">
        <f t="shared" ref="Q50" si="226">F50*P50</f>
        <v>-9803303.2381817978</v>
      </c>
      <c r="R50">
        <f t="shared" ref="R50" si="227">R51+Q50</f>
        <v>132427057.6193496</v>
      </c>
      <c r="S50">
        <f t="shared" ref="S50" si="228">R50/100000</f>
        <v>1324.270576193496</v>
      </c>
      <c r="T50">
        <f t="shared" ref="T50" si="229">S50/1000</f>
        <v>1.3242705761934961</v>
      </c>
    </row>
    <row r="51" spans="1:20" x14ac:dyDescent="0.25">
      <c r="A51" s="5">
        <v>44542</v>
      </c>
      <c r="B51">
        <v>11.638999999999999</v>
      </c>
      <c r="C51">
        <v>11.86</v>
      </c>
      <c r="D51">
        <v>10.516</v>
      </c>
      <c r="E51">
        <v>10.571999999999999</v>
      </c>
      <c r="F51">
        <v>10173420.300000001</v>
      </c>
      <c r="G51">
        <v>10.571999999999999</v>
      </c>
      <c r="L51" t="s">
        <v>8</v>
      </c>
      <c r="M51" t="s">
        <v>8</v>
      </c>
      <c r="N51" t="s">
        <v>8</v>
      </c>
      <c r="P51">
        <f t="shared" ref="P51" si="230">IF(C51=D51,0,((E51-D51)-(C51-E51))/(C51-D51))</f>
        <v>-0.91666666666666785</v>
      </c>
      <c r="Q51">
        <f t="shared" ref="Q51" si="231">F51*P51</f>
        <v>-9325635.2750000134</v>
      </c>
      <c r="R51">
        <f t="shared" ref="R51" si="232">R52+Q51</f>
        <v>142230360.8575314</v>
      </c>
      <c r="S51">
        <f t="shared" ref="S51" si="233">R51/100000</f>
        <v>1422.303608575314</v>
      </c>
      <c r="T51">
        <f t="shared" ref="T51" si="234">S51/1000</f>
        <v>1.422303608575314</v>
      </c>
    </row>
    <row r="52" spans="1:20" x14ac:dyDescent="0.25">
      <c r="A52" s="5">
        <v>44541</v>
      </c>
      <c r="B52">
        <v>10.006</v>
      </c>
      <c r="C52">
        <v>10.507999999999999</v>
      </c>
      <c r="D52">
        <v>9.9939999999999998</v>
      </c>
      <c r="E52">
        <v>10.195</v>
      </c>
      <c r="F52">
        <v>905645.1</v>
      </c>
      <c r="G52">
        <v>10.195</v>
      </c>
      <c r="L52" t="s">
        <v>8</v>
      </c>
      <c r="M52" t="s">
        <v>8</v>
      </c>
      <c r="N52" t="s">
        <v>8</v>
      </c>
      <c r="P52">
        <f t="shared" ref="P52" si="235">IF(C52=D52,0,((E52-D52)-(C52-E52))/(C52-D52))</f>
        <v>-0.21789883268482191</v>
      </c>
      <c r="Q52">
        <f t="shared" ref="Q52" si="236">F52*P52</f>
        <v>-197339.01011672881</v>
      </c>
      <c r="R52">
        <f t="shared" ref="R52" si="237">R53+Q52</f>
        <v>151555996.1325314</v>
      </c>
      <c r="S52">
        <f t="shared" ref="S52" si="238">R52/100000</f>
        <v>1515.5599613253141</v>
      </c>
      <c r="T52">
        <f t="shared" ref="T52" si="239">S52/1000</f>
        <v>1.5155599613253141</v>
      </c>
    </row>
    <row r="53" spans="1:20" x14ac:dyDescent="0.25">
      <c r="A53" s="5">
        <v>44540</v>
      </c>
      <c r="B53">
        <v>9.7609999999999992</v>
      </c>
      <c r="C53">
        <v>10.384</v>
      </c>
      <c r="D53">
        <v>9.1010000000000009</v>
      </c>
      <c r="E53">
        <v>10.007999999999999</v>
      </c>
      <c r="F53">
        <v>16088976.800000001</v>
      </c>
      <c r="G53">
        <v>10.007999999999999</v>
      </c>
      <c r="L53" t="s">
        <v>8</v>
      </c>
      <c r="M53" t="s">
        <v>8</v>
      </c>
      <c r="N53" t="s">
        <v>8</v>
      </c>
      <c r="P53">
        <f t="shared" ref="P53" si="240">IF(C53=D53,0,((E53-D53)-(C53-E53))/(C53-D53))</f>
        <v>0.41387373343725431</v>
      </c>
      <c r="Q53">
        <f t="shared" ref="Q53" si="241">F53*P53</f>
        <v>6658804.8954013688</v>
      </c>
      <c r="R53">
        <f t="shared" ref="R53" si="242">R54+Q53</f>
        <v>151753335.14264813</v>
      </c>
      <c r="S53">
        <f t="shared" ref="S53" si="243">R53/100000</f>
        <v>1517.5333514264812</v>
      </c>
      <c r="T53">
        <f t="shared" ref="T53" si="244">S53/1000</f>
        <v>1.5175333514264813</v>
      </c>
    </row>
    <row r="54" spans="1:20" x14ac:dyDescent="0.25">
      <c r="A54" s="5">
        <v>44539</v>
      </c>
      <c r="B54">
        <v>9.34</v>
      </c>
      <c r="C54">
        <v>10.081</v>
      </c>
      <c r="D54">
        <v>8.8949999999999996</v>
      </c>
      <c r="E54">
        <v>9.7650000000000006</v>
      </c>
      <c r="F54">
        <v>19347698</v>
      </c>
      <c r="G54">
        <v>9.7650000000000006</v>
      </c>
      <c r="L54" t="s">
        <v>8</v>
      </c>
      <c r="M54" t="s">
        <v>8</v>
      </c>
      <c r="N54" t="s">
        <v>8</v>
      </c>
      <c r="P54">
        <f t="shared" ref="P54" si="245">IF(C54=D54,0,((E54-D54)-(C54-E54))/(C54-D54))</f>
        <v>0.46711635750421759</v>
      </c>
      <c r="Q54">
        <f t="shared" ref="Q54" si="246">F54*P54</f>
        <v>9037626.2158516366</v>
      </c>
      <c r="R54">
        <f t="shared" ref="R54" si="247">R55+Q54</f>
        <v>145094530.24724677</v>
      </c>
      <c r="S54">
        <f t="shared" ref="S54" si="248">R54/100000</f>
        <v>1450.9453024724678</v>
      </c>
      <c r="T54">
        <f t="shared" ref="T54" si="249">S54/1000</f>
        <v>1.4509453024724679</v>
      </c>
    </row>
    <row r="55" spans="1:20" x14ac:dyDescent="0.25">
      <c r="A55" s="5">
        <v>44538</v>
      </c>
      <c r="B55">
        <v>7.6</v>
      </c>
      <c r="C55">
        <v>9.8000000000000007</v>
      </c>
      <c r="D55">
        <v>7.4909999999999997</v>
      </c>
      <c r="E55">
        <v>9.3390000000000004</v>
      </c>
      <c r="F55">
        <v>19428063.199999999</v>
      </c>
      <c r="G55">
        <v>9.3390000000000004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0.60069294066695533</v>
      </c>
      <c r="Q55">
        <f t="shared" ref="Q55" si="251">F55*P55</f>
        <v>11670300.415071458</v>
      </c>
      <c r="R55">
        <f t="shared" ref="R55" si="252">R56+Q55</f>
        <v>136056904.03139514</v>
      </c>
      <c r="S55">
        <f t="shared" ref="S55" si="253">R55/100000</f>
        <v>1360.5690403139513</v>
      </c>
      <c r="T55">
        <f t="shared" ref="T55" si="254">S55/1000</f>
        <v>1.3605690403139512</v>
      </c>
    </row>
    <row r="56" spans="1:20" x14ac:dyDescent="0.25">
      <c r="A56" s="5">
        <v>44537</v>
      </c>
      <c r="B56">
        <v>7.2629999999999999</v>
      </c>
      <c r="C56">
        <v>7.694</v>
      </c>
      <c r="D56">
        <v>7.12</v>
      </c>
      <c r="E56">
        <v>7.5949999999999998</v>
      </c>
      <c r="F56">
        <v>6658309.5999999996</v>
      </c>
      <c r="G56">
        <v>7.5949999999999998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0.65505226480836154</v>
      </c>
      <c r="Q56">
        <f t="shared" ref="Q56" si="256">F56*P56</f>
        <v>4361540.7832752559</v>
      </c>
      <c r="R56">
        <f t="shared" ref="R56" si="257">R57+Q56</f>
        <v>124386603.61632366</v>
      </c>
      <c r="S56">
        <f t="shared" ref="S56" si="258">R56/100000</f>
        <v>1243.8660361632367</v>
      </c>
      <c r="T56">
        <f t="shared" ref="T56" si="259">S56/1000</f>
        <v>1.2438660361632368</v>
      </c>
    </row>
    <row r="57" spans="1:20" x14ac:dyDescent="0.25">
      <c r="A57" s="5">
        <v>44536</v>
      </c>
      <c r="B57">
        <v>7.3440000000000003</v>
      </c>
      <c r="C57">
        <v>7.4290000000000003</v>
      </c>
      <c r="D57">
        <v>6.63</v>
      </c>
      <c r="E57">
        <v>7.2629999999999999</v>
      </c>
      <c r="F57">
        <v>8663621.3000000007</v>
      </c>
      <c r="G57">
        <v>7.2629999999999999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0.584480600750938</v>
      </c>
      <c r="Q57">
        <f t="shared" ref="Q57" si="261">F57*P57</f>
        <v>5063718.5821026228</v>
      </c>
      <c r="R57">
        <f t="shared" ref="R57" si="262">R58+Q57</f>
        <v>120025062.8330484</v>
      </c>
      <c r="S57">
        <f t="shared" ref="S57" si="263">R57/100000</f>
        <v>1200.250628330484</v>
      </c>
      <c r="T57">
        <f t="shared" ref="T57" si="264">S57/1000</f>
        <v>1.2002506283304839</v>
      </c>
    </row>
    <row r="58" spans="1:20" x14ac:dyDescent="0.25">
      <c r="A58" s="5">
        <v>44535</v>
      </c>
      <c r="B58">
        <v>7.9720000000000004</v>
      </c>
      <c r="C58">
        <v>8.1750000000000007</v>
      </c>
      <c r="D58">
        <v>7.1</v>
      </c>
      <c r="E58">
        <v>7.343</v>
      </c>
      <c r="F58">
        <v>6242831.7000000002</v>
      </c>
      <c r="G58">
        <v>7.343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-0.54790697674418587</v>
      </c>
      <c r="Q58">
        <f t="shared" ref="Q58" si="266">F58*P58</f>
        <v>-3420491.0430697664</v>
      </c>
      <c r="R58">
        <f t="shared" ref="R58" si="267">R59+Q58</f>
        <v>114961344.25094578</v>
      </c>
      <c r="S58">
        <f t="shared" ref="S58" si="268">R58/100000</f>
        <v>1149.6134425094579</v>
      </c>
      <c r="T58">
        <f t="shared" ref="T58" si="269">S58/1000</f>
        <v>1.149613442509458</v>
      </c>
    </row>
    <row r="59" spans="1:20" x14ac:dyDescent="0.25">
      <c r="A59" s="5">
        <v>44534</v>
      </c>
      <c r="B59">
        <v>9.125</v>
      </c>
      <c r="C59">
        <v>9.1620000000000008</v>
      </c>
      <c r="D59">
        <v>6.1230000000000002</v>
      </c>
      <c r="E59">
        <v>7.9729999999999999</v>
      </c>
      <c r="F59">
        <v>20863252.899999999</v>
      </c>
      <c r="G59">
        <v>7.9729999999999999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0.21750575847318149</v>
      </c>
      <c r="Q59">
        <f t="shared" ref="Q59" si="271">F59*P59</f>
        <v>4537877.6462323032</v>
      </c>
      <c r="R59">
        <f t="shared" ref="R59" si="272">R60+Q59</f>
        <v>118381835.29401554</v>
      </c>
      <c r="S59">
        <f t="shared" ref="S59" si="273">R59/100000</f>
        <v>1183.8183529401554</v>
      </c>
      <c r="T59">
        <f t="shared" ref="T59" si="274">S59/1000</f>
        <v>1.1838183529401554</v>
      </c>
    </row>
    <row r="60" spans="1:20" x14ac:dyDescent="0.25">
      <c r="A60" s="5">
        <v>44533</v>
      </c>
      <c r="B60">
        <v>8.2309999999999999</v>
      </c>
      <c r="C60">
        <v>9.5809999999999995</v>
      </c>
      <c r="D60">
        <v>8.1999999999999993</v>
      </c>
      <c r="E60">
        <v>9.1259999999999994</v>
      </c>
      <c r="F60">
        <v>14357598.4</v>
      </c>
      <c r="G60">
        <v>9.1259999999999994</v>
      </c>
      <c r="L60" t="s">
        <v>8</v>
      </c>
      <c r="M60" t="s">
        <v>8</v>
      </c>
      <c r="N60" t="s">
        <v>7</v>
      </c>
      <c r="P60">
        <f t="shared" ref="P60" si="275">IF(C60=D60,0,((E60-D60)-(C60-E60))/(C60-D60))</f>
        <v>0.34105720492396813</v>
      </c>
      <c r="Q60">
        <f t="shared" ref="Q60" si="276">F60*P60</f>
        <v>4896762.3797248369</v>
      </c>
      <c r="R60">
        <f t="shared" ref="R60" si="277">R61+Q60</f>
        <v>113843957.64778323</v>
      </c>
      <c r="S60">
        <f t="shared" ref="S60" si="278">R60/100000</f>
        <v>1138.4395764778324</v>
      </c>
      <c r="T60">
        <f t="shared" ref="T60" si="279">S60/1000</f>
        <v>1.1384395764778323</v>
      </c>
    </row>
    <row r="61" spans="1:20" x14ac:dyDescent="0.25">
      <c r="A61" s="5">
        <v>44532</v>
      </c>
      <c r="B61">
        <v>8.5020000000000007</v>
      </c>
      <c r="C61">
        <v>8.5109999999999992</v>
      </c>
      <c r="D61">
        <v>8.0679999999999996</v>
      </c>
      <c r="E61">
        <v>8.2319999999999993</v>
      </c>
      <c r="F61">
        <v>3746987.8</v>
      </c>
      <c r="G61">
        <v>8.2319999999999993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-0.25959367945823997</v>
      </c>
      <c r="Q61">
        <f t="shared" ref="Q61" si="281">F61*P61</f>
        <v>-972694.34988713567</v>
      </c>
      <c r="R61">
        <f t="shared" ref="R61" si="282">R62+Q61</f>
        <v>108947195.2680584</v>
      </c>
      <c r="S61">
        <f t="shared" ref="S61" si="283">R61/100000</f>
        <v>1089.4719526805841</v>
      </c>
      <c r="T61">
        <f t="shared" ref="T61" si="284">S61/1000</f>
        <v>1.0894719526805841</v>
      </c>
    </row>
    <row r="62" spans="1:20" x14ac:dyDescent="0.25">
      <c r="A62" s="5">
        <v>44531</v>
      </c>
      <c r="B62">
        <v>8.75</v>
      </c>
      <c r="C62">
        <v>8.9190000000000005</v>
      </c>
      <c r="D62">
        <v>8.3520000000000003</v>
      </c>
      <c r="E62">
        <v>8.5060000000000002</v>
      </c>
      <c r="F62">
        <v>3675429.2</v>
      </c>
      <c r="G62">
        <v>8.5060000000000002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-0.4567901234567906</v>
      </c>
      <c r="Q62">
        <f t="shared" ref="Q62" si="286">F62*P62</f>
        <v>-1678899.7580246932</v>
      </c>
      <c r="R62">
        <f t="shared" ref="R62" si="287">R63+Q62</f>
        <v>109919889.61794554</v>
      </c>
      <c r="S62">
        <f t="shared" ref="S62" si="288">R62/100000</f>
        <v>1099.1988961794555</v>
      </c>
      <c r="T62">
        <f t="shared" ref="T62" si="289">S62/1000</f>
        <v>1.0991988961794554</v>
      </c>
    </row>
    <row r="63" spans="1:20" x14ac:dyDescent="0.25">
      <c r="A63" s="5">
        <v>44530</v>
      </c>
      <c r="B63">
        <v>8.4239999999999995</v>
      </c>
      <c r="C63">
        <v>9</v>
      </c>
      <c r="D63">
        <v>8.2010000000000005</v>
      </c>
      <c r="E63">
        <v>8.7430000000000003</v>
      </c>
      <c r="F63">
        <v>6082250.4000000004</v>
      </c>
      <c r="G63">
        <v>8.7430000000000003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0.35669586983729701</v>
      </c>
      <c r="Q63">
        <f t="shared" ref="Q63" si="291">F63*P63</f>
        <v>2169513.5969962478</v>
      </c>
      <c r="R63">
        <f t="shared" ref="R63" si="292">R64+Q63</f>
        <v>111598789.37597023</v>
      </c>
      <c r="S63">
        <f t="shared" ref="S63" si="293">R63/100000</f>
        <v>1115.9878937597023</v>
      </c>
      <c r="T63">
        <f t="shared" ref="T63" si="294">S63/1000</f>
        <v>1.1159878937597023</v>
      </c>
    </row>
    <row r="64" spans="1:20" x14ac:dyDescent="0.25">
      <c r="A64" s="5">
        <v>44529</v>
      </c>
      <c r="B64">
        <v>8.391</v>
      </c>
      <c r="C64">
        <v>8.5380000000000003</v>
      </c>
      <c r="D64">
        <v>8.1199999999999992</v>
      </c>
      <c r="E64">
        <v>8.423</v>
      </c>
      <c r="F64">
        <v>2684024.2999999998</v>
      </c>
      <c r="G64">
        <v>8.423</v>
      </c>
      <c r="L64" t="s">
        <v>7</v>
      </c>
      <c r="M64" t="s">
        <v>7</v>
      </c>
      <c r="N64" t="s">
        <v>7</v>
      </c>
      <c r="P64">
        <f t="shared" ref="P64" si="295">IF(C64=D64,0,((E64-D64)-(C64-E64))/(C64-D64))</f>
        <v>0.44976076555023958</v>
      </c>
      <c r="Q64">
        <f t="shared" ref="Q64" si="296">F64*P64</f>
        <v>1207168.8239234458</v>
      </c>
      <c r="R64">
        <f t="shared" ref="R64" si="297">R65+Q64</f>
        <v>109429275.77897398</v>
      </c>
      <c r="S64">
        <f t="shared" ref="S64" si="298">R64/100000</f>
        <v>1094.2927577897399</v>
      </c>
      <c r="T64">
        <f t="shared" ref="T64" si="299">S64/1000</f>
        <v>1.0942927577897399</v>
      </c>
    </row>
    <row r="65" spans="1:20" x14ac:dyDescent="0.25">
      <c r="A65" s="5">
        <v>44528</v>
      </c>
      <c r="B65">
        <v>8.3109999999999999</v>
      </c>
      <c r="C65">
        <v>8.7309999999999999</v>
      </c>
      <c r="D65">
        <v>7.53</v>
      </c>
      <c r="E65">
        <v>8.3960000000000008</v>
      </c>
      <c r="F65">
        <v>5472183.5</v>
      </c>
      <c r="G65">
        <v>8.3960000000000008</v>
      </c>
      <c r="L65" t="s">
        <v>8</v>
      </c>
      <c r="M65" t="s">
        <v>7</v>
      </c>
      <c r="N65" t="s">
        <v>7</v>
      </c>
      <c r="P65">
        <f t="shared" ref="P65" si="300">IF(C65=D65,0,((E65-D65)-(C65-E65))/(C65-D65))</f>
        <v>0.44213155703580487</v>
      </c>
      <c r="Q65">
        <f t="shared" ref="Q65" si="301">F65*P65</f>
        <v>2419425.0112406402</v>
      </c>
      <c r="R65">
        <f t="shared" ref="R65" si="302">R66+Q65</f>
        <v>108222106.95505054</v>
      </c>
      <c r="S65">
        <f t="shared" ref="S65" si="303">R65/100000</f>
        <v>1082.2210695505055</v>
      </c>
      <c r="T65">
        <f t="shared" ref="T65" si="304">S65/1000</f>
        <v>1.0822210695505055</v>
      </c>
    </row>
    <row r="66" spans="1:20" x14ac:dyDescent="0.25">
      <c r="A66" s="5">
        <v>44527</v>
      </c>
      <c r="B66">
        <v>8.27</v>
      </c>
      <c r="C66">
        <v>8.5389999999999997</v>
      </c>
      <c r="D66">
        <v>8.16</v>
      </c>
      <c r="E66">
        <v>8.3089999999999993</v>
      </c>
      <c r="F66">
        <v>2709278.2</v>
      </c>
      <c r="G66">
        <v>8.3089999999999993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-0.21372031662269494</v>
      </c>
      <c r="Q66">
        <f t="shared" ref="Q66" si="306">F66*P66</f>
        <v>-579027.7947229651</v>
      </c>
      <c r="R66">
        <f t="shared" ref="R66" si="307">R67+Q66</f>
        <v>105802681.9438099</v>
      </c>
      <c r="S66">
        <f t="shared" ref="S66" si="308">R66/100000</f>
        <v>1058.026819438099</v>
      </c>
      <c r="T66">
        <f t="shared" ref="T66" si="309">S66/1000</f>
        <v>1.0580268194380991</v>
      </c>
    </row>
    <row r="67" spans="1:20" x14ac:dyDescent="0.25">
      <c r="A67" s="5">
        <v>44526</v>
      </c>
      <c r="B67">
        <v>9.2789999999999999</v>
      </c>
      <c r="C67">
        <v>9.3849999999999998</v>
      </c>
      <c r="D67">
        <v>7.83</v>
      </c>
      <c r="E67">
        <v>8.27</v>
      </c>
      <c r="F67">
        <v>9411550.4000000004</v>
      </c>
      <c r="G67">
        <v>8.27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-0.43408360128617418</v>
      </c>
      <c r="Q67">
        <f t="shared" ref="Q67" si="311">F67*P67</f>
        <v>-4085399.6913183331</v>
      </c>
      <c r="R67">
        <f t="shared" ref="R67" si="312">R68+Q67</f>
        <v>106381709.73853286</v>
      </c>
      <c r="S67">
        <f t="shared" ref="S67" si="313">R67/100000</f>
        <v>1063.8170973853285</v>
      </c>
      <c r="T67">
        <f t="shared" ref="T67" si="314">S67/1000</f>
        <v>1.0638170973853285</v>
      </c>
    </row>
    <row r="68" spans="1:20" x14ac:dyDescent="0.25">
      <c r="A68" s="5">
        <v>44525</v>
      </c>
      <c r="B68">
        <v>9.282</v>
      </c>
      <c r="C68">
        <v>9.4969999999999999</v>
      </c>
      <c r="D68">
        <v>9.1080000000000005</v>
      </c>
      <c r="E68">
        <v>9.2780000000000005</v>
      </c>
      <c r="F68">
        <v>4190673.5</v>
      </c>
      <c r="G68">
        <v>9.2780000000000005</v>
      </c>
      <c r="L68" t="s">
        <v>7</v>
      </c>
      <c r="M68" t="s">
        <v>8</v>
      </c>
      <c r="N68" t="s">
        <v>7</v>
      </c>
      <c r="P68">
        <f t="shared" ref="P68" si="315">IF(C68=D68,0,((E68-D68)-(C68-E68))/(C68-D68))</f>
        <v>-0.12596401028277524</v>
      </c>
      <c r="Q68">
        <f t="shared" ref="Q68" si="316">F68*P68</f>
        <v>-527874.03984575369</v>
      </c>
      <c r="R68">
        <f t="shared" ref="R68" si="317">R69+Q68</f>
        <v>110467109.42985119</v>
      </c>
      <c r="S68">
        <f t="shared" ref="S68" si="318">R68/100000</f>
        <v>1104.6710942985119</v>
      </c>
      <c r="T68">
        <f t="shared" ref="T68" si="319">S68/1000</f>
        <v>1.1046710942985118</v>
      </c>
    </row>
    <row r="69" spans="1:20" x14ac:dyDescent="0.25">
      <c r="A69" s="5">
        <v>44524</v>
      </c>
      <c r="B69">
        <v>9.9740000000000002</v>
      </c>
      <c r="C69">
        <v>10.319000000000001</v>
      </c>
      <c r="D69">
        <v>9.5869999999999997</v>
      </c>
      <c r="E69">
        <v>9.6609999999999996</v>
      </c>
      <c r="F69">
        <v>3219894.2</v>
      </c>
      <c r="G69">
        <v>9.6609999999999996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-0.797814207650274</v>
      </c>
      <c r="Q69">
        <f t="shared" ref="Q69" si="321">F69*P69</f>
        <v>-2568877.3398907129</v>
      </c>
      <c r="R69">
        <f t="shared" ref="R69" si="322">R70+Q69</f>
        <v>110994983.46969694</v>
      </c>
      <c r="S69">
        <f t="shared" ref="S69" si="323">R69/100000</f>
        <v>1109.9498346969694</v>
      </c>
      <c r="T69">
        <f t="shared" ref="T69" si="324">S69/1000</f>
        <v>1.1099498346969694</v>
      </c>
    </row>
    <row r="70" spans="1:20" x14ac:dyDescent="0.25">
      <c r="A70" s="5">
        <v>44523</v>
      </c>
      <c r="B70">
        <v>9.2690000000000001</v>
      </c>
      <c r="C70">
        <v>9.9890000000000008</v>
      </c>
      <c r="D70">
        <v>9.0820000000000007</v>
      </c>
      <c r="E70">
        <v>9.9719999999999995</v>
      </c>
      <c r="F70">
        <v>4532588.2</v>
      </c>
      <c r="G70">
        <v>9.9719999999999995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0.96251378169790247</v>
      </c>
      <c r="Q70">
        <f t="shared" ref="Q70" si="326">F70*P70</f>
        <v>4362678.6092612892</v>
      </c>
      <c r="R70">
        <f t="shared" ref="R70" si="327">R71+Q70</f>
        <v>113563860.80958766</v>
      </c>
      <c r="S70">
        <f t="shared" ref="S70" si="328">R70/100000</f>
        <v>1135.6386080958766</v>
      </c>
      <c r="T70">
        <f t="shared" ref="T70" si="329">S70/1000</f>
        <v>1.1356386080958767</v>
      </c>
    </row>
    <row r="71" spans="1:20" x14ac:dyDescent="0.25">
      <c r="A71" s="5">
        <v>44522</v>
      </c>
      <c r="B71">
        <v>9.6709999999999994</v>
      </c>
      <c r="C71">
        <v>9.7590000000000003</v>
      </c>
      <c r="D71">
        <v>9</v>
      </c>
      <c r="E71">
        <v>9.2739999999999991</v>
      </c>
      <c r="F71">
        <v>4682950.5999999996</v>
      </c>
      <c r="G71">
        <v>9.2739999999999991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-0.27799736495388933</v>
      </c>
      <c r="Q71">
        <f t="shared" ref="Q71" si="331">F71*P71</f>
        <v>-1301847.9270092349</v>
      </c>
      <c r="R71">
        <f t="shared" ref="R71" si="332">R72+Q71</f>
        <v>109201182.20032637</v>
      </c>
      <c r="S71">
        <f t="shared" ref="S71" si="333">R71/100000</f>
        <v>1092.0118220032637</v>
      </c>
      <c r="T71">
        <f t="shared" ref="T71" si="334">S71/1000</f>
        <v>1.0920118220032637</v>
      </c>
    </row>
    <row r="72" spans="1:20" x14ac:dyDescent="0.25">
      <c r="A72" s="5">
        <v>44521</v>
      </c>
      <c r="B72">
        <v>9.8049999999999997</v>
      </c>
      <c r="C72">
        <v>9.9410000000000007</v>
      </c>
      <c r="D72">
        <v>9.3480000000000008</v>
      </c>
      <c r="E72">
        <v>9.6649999999999991</v>
      </c>
      <c r="F72">
        <v>3666133.8</v>
      </c>
      <c r="G72">
        <v>9.6649999999999991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6.9139966273181822E-2</v>
      </c>
      <c r="Q72">
        <f t="shared" ref="Q72" si="336">F72*P72</f>
        <v>253476.3672849719</v>
      </c>
      <c r="R72">
        <f t="shared" ref="R72" si="337">R73+Q72</f>
        <v>110503030.12733561</v>
      </c>
      <c r="S72">
        <f t="shared" ref="S72" si="338">R72/100000</f>
        <v>1105.0303012733561</v>
      </c>
      <c r="T72">
        <f t="shared" ref="T72" si="339">S72/1000</f>
        <v>1.1050303012733562</v>
      </c>
    </row>
    <row r="73" spans="1:20" x14ac:dyDescent="0.25">
      <c r="A73" s="5">
        <v>44520</v>
      </c>
      <c r="B73">
        <v>9.4209999999999994</v>
      </c>
      <c r="C73">
        <v>9.8770000000000007</v>
      </c>
      <c r="D73">
        <v>9.27</v>
      </c>
      <c r="E73">
        <v>9.8049999999999997</v>
      </c>
      <c r="F73">
        <v>5349816.4000000004</v>
      </c>
      <c r="G73">
        <v>9.8049999999999997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0.76276771004942068</v>
      </c>
      <c r="Q73">
        <f t="shared" ref="Q73" si="341">F73*P73</f>
        <v>4080667.2046128358</v>
      </c>
      <c r="R73">
        <f t="shared" ref="R73" si="342">R74+Q73</f>
        <v>110249553.76005064</v>
      </c>
      <c r="S73">
        <f t="shared" ref="S73" si="343">R73/100000</f>
        <v>1102.4955376005064</v>
      </c>
      <c r="T73">
        <f t="shared" ref="T73" si="344">S73/1000</f>
        <v>1.1024955376005063</v>
      </c>
    </row>
    <row r="74" spans="1:20" x14ac:dyDescent="0.25">
      <c r="A74" s="5">
        <v>44519</v>
      </c>
      <c r="B74">
        <v>8.7989999999999995</v>
      </c>
      <c r="C74">
        <v>9.5790000000000006</v>
      </c>
      <c r="D74">
        <v>8.6430000000000007</v>
      </c>
      <c r="E74">
        <v>9.4220000000000006</v>
      </c>
      <c r="F74">
        <v>6166435</v>
      </c>
      <c r="G74">
        <v>9.4220000000000006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0.6645299145299145</v>
      </c>
      <c r="Q74">
        <f t="shared" ref="Q74" si="346">F74*P74</f>
        <v>4097780.5235042735</v>
      </c>
      <c r="R74">
        <f t="shared" ref="R74" si="347">R75+Q74</f>
        <v>106168886.5554378</v>
      </c>
      <c r="S74">
        <f t="shared" ref="S74" si="348">R74/100000</f>
        <v>1061.688865554378</v>
      </c>
      <c r="T74">
        <f t="shared" ref="T74" si="349">S74/1000</f>
        <v>1.0616888655543781</v>
      </c>
    </row>
    <row r="75" spans="1:20" x14ac:dyDescent="0.25">
      <c r="A75" s="5">
        <v>44518</v>
      </c>
      <c r="B75">
        <v>9.4169999999999998</v>
      </c>
      <c r="C75">
        <v>9.89</v>
      </c>
      <c r="D75">
        <v>8.3989999999999991</v>
      </c>
      <c r="E75">
        <v>8.7989999999999995</v>
      </c>
      <c r="F75">
        <v>9791755.5</v>
      </c>
      <c r="G75">
        <v>8.7989999999999995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-0.46344735077129445</v>
      </c>
      <c r="Q75">
        <f t="shared" ref="Q75" si="351">F75*P75</f>
        <v>-4537963.1458752519</v>
      </c>
      <c r="R75">
        <f t="shared" ref="R75" si="352">R76+Q75</f>
        <v>102071106.03193353</v>
      </c>
      <c r="S75">
        <f t="shared" ref="S75" si="353">R75/100000</f>
        <v>1020.7110603193353</v>
      </c>
      <c r="T75">
        <f t="shared" ref="T75" si="354">S75/1000</f>
        <v>1.0207110603193352</v>
      </c>
    </row>
    <row r="76" spans="1:20" x14ac:dyDescent="0.25">
      <c r="A76" s="5">
        <v>44517</v>
      </c>
      <c r="B76">
        <v>9.6739999999999995</v>
      </c>
      <c r="C76">
        <v>9.8379999999999992</v>
      </c>
      <c r="D76">
        <v>9.1259999999999994</v>
      </c>
      <c r="E76">
        <v>9.4149999999999991</v>
      </c>
      <c r="F76">
        <v>7952125.9000000004</v>
      </c>
      <c r="G76">
        <v>9.4149999999999991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-0.18820224719101178</v>
      </c>
      <c r="Q76">
        <f t="shared" ref="Q76" si="356">F76*P76</f>
        <v>-1496607.9643258471</v>
      </c>
      <c r="R76">
        <f t="shared" ref="R76" si="357">R77+Q76</f>
        <v>106609069.17780878</v>
      </c>
      <c r="S76">
        <f t="shared" ref="S76" si="358">R76/100000</f>
        <v>1066.0906917780878</v>
      </c>
      <c r="T76">
        <f t="shared" ref="T76" si="359">S76/1000</f>
        <v>1.0660906917780879</v>
      </c>
    </row>
    <row r="77" spans="1:20" x14ac:dyDescent="0.25">
      <c r="A77" s="5">
        <v>44516</v>
      </c>
      <c r="B77">
        <v>11.077</v>
      </c>
      <c r="C77">
        <v>11.146000000000001</v>
      </c>
      <c r="D77">
        <v>8.9689999999999994</v>
      </c>
      <c r="E77">
        <v>9.6750000000000007</v>
      </c>
      <c r="F77">
        <v>14245295.300000001</v>
      </c>
      <c r="G77">
        <v>9.6750000000000007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-0.35140101056499695</v>
      </c>
      <c r="Q77">
        <f t="shared" ref="Q77" si="361">F77*P77</f>
        <v>-5005811.1642168015</v>
      </c>
      <c r="R77">
        <f t="shared" ref="R77" si="362">R78+Q77</f>
        <v>108105677.14213462</v>
      </c>
      <c r="S77">
        <f t="shared" ref="S77" si="363">R77/100000</f>
        <v>1081.0567714213462</v>
      </c>
      <c r="T77">
        <f t="shared" ref="T77" si="364">S77/1000</f>
        <v>1.0810567714213462</v>
      </c>
    </row>
    <row r="78" spans="1:20" x14ac:dyDescent="0.25">
      <c r="A78" s="5">
        <v>44515</v>
      </c>
      <c r="B78">
        <v>11.87</v>
      </c>
      <c r="C78">
        <v>11.978</v>
      </c>
      <c r="D78">
        <v>11.034000000000001</v>
      </c>
      <c r="E78">
        <v>11.08</v>
      </c>
      <c r="F78">
        <v>5755518.2999999998</v>
      </c>
      <c r="G78">
        <v>11.08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-0.90254237288135719</v>
      </c>
      <c r="Q78">
        <f t="shared" ref="Q78" si="366">F78*P78</f>
        <v>-5194599.1436440749</v>
      </c>
      <c r="R78">
        <f t="shared" ref="R78" si="367">R79+Q78</f>
        <v>113111488.30635142</v>
      </c>
      <c r="S78">
        <f t="shared" ref="S78" si="368">R78/100000</f>
        <v>1131.1148830635143</v>
      </c>
      <c r="T78">
        <f t="shared" ref="T78" si="369">S78/1000</f>
        <v>1.1311148830635143</v>
      </c>
    </row>
    <row r="79" spans="1:20" x14ac:dyDescent="0.25">
      <c r="A79" s="5">
        <v>44514</v>
      </c>
      <c r="B79">
        <v>11.151</v>
      </c>
      <c r="C79">
        <v>11.9</v>
      </c>
      <c r="D79">
        <v>11.134</v>
      </c>
      <c r="E79">
        <v>11.867000000000001</v>
      </c>
      <c r="F79">
        <v>7175130.2000000002</v>
      </c>
      <c r="G79">
        <v>11.867000000000001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0.91383812010443999</v>
      </c>
      <c r="Q79">
        <f t="shared" ref="Q79" si="371">F79*P79</f>
        <v>6556907.4934725948</v>
      </c>
      <c r="R79">
        <f t="shared" ref="R79" si="372">R80+Q79</f>
        <v>118306087.4499955</v>
      </c>
      <c r="S79">
        <f t="shared" ref="S79" si="373">R79/100000</f>
        <v>1183.0608744999549</v>
      </c>
      <c r="T79">
        <f t="shared" ref="T79" si="374">S79/1000</f>
        <v>1.1830608744999549</v>
      </c>
    </row>
    <row r="80" spans="1:20" x14ac:dyDescent="0.25">
      <c r="A80" s="5">
        <v>44513</v>
      </c>
      <c r="B80">
        <v>11.404999999999999</v>
      </c>
      <c r="C80">
        <v>11.436999999999999</v>
      </c>
      <c r="D80">
        <v>10.837</v>
      </c>
      <c r="E80">
        <v>11.151999999999999</v>
      </c>
      <c r="F80">
        <v>5615530.5999999996</v>
      </c>
      <c r="G80">
        <v>11.151999999999999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4.9999999999998962E-2</v>
      </c>
      <c r="Q80">
        <f t="shared" ref="Q80" si="376">F80*P80</f>
        <v>280776.52999999415</v>
      </c>
      <c r="R80">
        <f t="shared" ref="R80" si="377">R81+Q80</f>
        <v>111749179.95652291</v>
      </c>
      <c r="S80">
        <f t="shared" ref="S80" si="378">R80/100000</f>
        <v>1117.491799565229</v>
      </c>
      <c r="T80">
        <f t="shared" ref="T80" si="379">S80/1000</f>
        <v>1.1174917995652289</v>
      </c>
    </row>
    <row r="81" spans="1:20" x14ac:dyDescent="0.25">
      <c r="A81" s="5">
        <v>44512</v>
      </c>
      <c r="B81">
        <v>12.038</v>
      </c>
      <c r="C81">
        <v>12.657</v>
      </c>
      <c r="D81">
        <v>10.904999999999999</v>
      </c>
      <c r="E81">
        <v>11.407</v>
      </c>
      <c r="F81">
        <v>11350822.699999999</v>
      </c>
      <c r="G81">
        <v>11.407</v>
      </c>
      <c r="L81" t="s">
        <v>8</v>
      </c>
      <c r="M81" t="s">
        <v>8</v>
      </c>
      <c r="N81" t="s">
        <v>7</v>
      </c>
      <c r="P81">
        <f t="shared" ref="P81" si="380">IF(C81=D81,0,((E81-D81)-(C81-E81))/(C81-D81))</f>
        <v>-0.42694063926940584</v>
      </c>
      <c r="Q81">
        <f t="shared" ref="Q81" si="381">F81*P81</f>
        <v>-4846127.4997716825</v>
      </c>
      <c r="R81">
        <f t="shared" ref="R81" si="382">R82+Q81</f>
        <v>111468403.42652291</v>
      </c>
      <c r="S81">
        <f t="shared" ref="S81" si="383">R81/100000</f>
        <v>1114.684034265229</v>
      </c>
      <c r="T81">
        <f t="shared" ref="T81" si="384">S81/1000</f>
        <v>1.1146840342652291</v>
      </c>
    </row>
    <row r="82" spans="1:20" x14ac:dyDescent="0.25">
      <c r="A82" s="5">
        <v>44511</v>
      </c>
      <c r="B82">
        <v>10.766</v>
      </c>
      <c r="C82">
        <v>12.54</v>
      </c>
      <c r="D82">
        <v>10.561</v>
      </c>
      <c r="E82">
        <v>12.042</v>
      </c>
      <c r="F82">
        <v>14121617.6</v>
      </c>
      <c r="G82">
        <v>12.042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0.49671551288529608</v>
      </c>
      <c r="Q82">
        <f t="shared" ref="Q82" si="386">F82*P82</f>
        <v>7014426.5289540235</v>
      </c>
      <c r="R82">
        <f t="shared" ref="R82" si="387">R83+Q82</f>
        <v>116314530.9262946</v>
      </c>
      <c r="S82">
        <f t="shared" ref="S82" si="388">R82/100000</f>
        <v>1163.1453092629461</v>
      </c>
      <c r="T82">
        <f t="shared" ref="T82" si="389">S82/1000</f>
        <v>1.163145309262946</v>
      </c>
    </row>
    <row r="83" spans="1:20" x14ac:dyDescent="0.25">
      <c r="A83" s="5">
        <v>44510</v>
      </c>
      <c r="B83">
        <v>11.378</v>
      </c>
      <c r="C83">
        <v>11.8</v>
      </c>
      <c r="D83">
        <v>9.94</v>
      </c>
      <c r="E83">
        <v>10.778</v>
      </c>
      <c r="F83">
        <v>13330896.9</v>
      </c>
      <c r="G83">
        <v>10.778</v>
      </c>
      <c r="L83" t="s">
        <v>7</v>
      </c>
      <c r="M83" t="s">
        <v>8</v>
      </c>
      <c r="N83" t="s">
        <v>7</v>
      </c>
      <c r="P83">
        <f t="shared" ref="P83" si="390">IF(C83=D83,0,((E83-D83)-(C83-E83))/(C83-D83))</f>
        <v>-9.8924731182795239E-2</v>
      </c>
      <c r="Q83">
        <f t="shared" ref="Q83" si="391">F83*P83</f>
        <v>-1318755.3922580585</v>
      </c>
      <c r="R83">
        <f t="shared" ref="R83" si="392">R84+Q83</f>
        <v>109300104.39734057</v>
      </c>
      <c r="S83">
        <f t="shared" ref="S83" si="393">R83/100000</f>
        <v>1093.0010439734056</v>
      </c>
      <c r="T83">
        <f t="shared" ref="T83" si="394">S83/1000</f>
        <v>1.0930010439734055</v>
      </c>
    </row>
    <row r="84" spans="1:20" x14ac:dyDescent="0.25">
      <c r="A84" s="5">
        <v>44509</v>
      </c>
      <c r="B84">
        <v>10.717000000000001</v>
      </c>
      <c r="C84">
        <v>11.85</v>
      </c>
      <c r="D84">
        <v>10.478999999999999</v>
      </c>
      <c r="E84">
        <v>11.374000000000001</v>
      </c>
      <c r="F84">
        <v>11080315.4</v>
      </c>
      <c r="G84">
        <v>11.374000000000001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0.30561633843909708</v>
      </c>
      <c r="Q84">
        <f t="shared" ref="Q84" si="396">F84*P84</f>
        <v>3386325.4212983395</v>
      </c>
      <c r="R84">
        <f t="shared" ref="R84" si="397">R85+Q84</f>
        <v>110618859.78959863</v>
      </c>
      <c r="S84">
        <f t="shared" ref="S84" si="398">R84/100000</f>
        <v>1106.1885978959863</v>
      </c>
      <c r="T84">
        <f t="shared" ref="T84" si="399">S84/1000</f>
        <v>1.1061885978959862</v>
      </c>
    </row>
    <row r="85" spans="1:20" x14ac:dyDescent="0.25">
      <c r="A85" s="5">
        <v>44508</v>
      </c>
      <c r="B85">
        <v>10.331</v>
      </c>
      <c r="C85">
        <v>10.817</v>
      </c>
      <c r="D85">
        <v>10</v>
      </c>
      <c r="E85">
        <v>10.715</v>
      </c>
      <c r="F85">
        <v>7182245.9000000004</v>
      </c>
      <c r="G85">
        <v>10.715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0.75030599755201888</v>
      </c>
      <c r="Q85">
        <f t="shared" ref="Q85" si="401">F85*P85</f>
        <v>5388882.1746633975</v>
      </c>
      <c r="R85">
        <f t="shared" ref="R85" si="402">R86+Q85</f>
        <v>107232534.36830029</v>
      </c>
      <c r="S85">
        <f t="shared" ref="S85" si="403">R85/100000</f>
        <v>1072.325343683003</v>
      </c>
      <c r="T85">
        <f t="shared" ref="T85" si="404">S85/1000</f>
        <v>1.0723253436830029</v>
      </c>
    </row>
    <row r="86" spans="1:20" x14ac:dyDescent="0.25">
      <c r="A86" s="5">
        <v>44507</v>
      </c>
      <c r="B86">
        <v>10.194000000000001</v>
      </c>
      <c r="C86">
        <v>10.555</v>
      </c>
      <c r="D86">
        <v>10.061</v>
      </c>
      <c r="E86">
        <v>10.332000000000001</v>
      </c>
      <c r="F86">
        <v>4914225</v>
      </c>
      <c r="G86">
        <v>10.332000000000001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9.7165991902837728E-2</v>
      </c>
      <c r="Q86">
        <f t="shared" ref="Q86" si="406">F86*P86</f>
        <v>477495.54655872274</v>
      </c>
      <c r="R86">
        <f t="shared" ref="R86" si="407">R87+Q86</f>
        <v>101843652.19363689</v>
      </c>
      <c r="S86">
        <f t="shared" ref="S86" si="408">R86/100000</f>
        <v>1018.436521936369</v>
      </c>
      <c r="T86">
        <f t="shared" ref="T86" si="409">S86/1000</f>
        <v>1.0184365219363689</v>
      </c>
    </row>
    <row r="87" spans="1:20" x14ac:dyDescent="0.25">
      <c r="A87" s="5">
        <v>44506</v>
      </c>
      <c r="B87">
        <v>10.362</v>
      </c>
      <c r="C87">
        <v>10.6</v>
      </c>
      <c r="D87">
        <v>9.77</v>
      </c>
      <c r="E87">
        <v>10.19</v>
      </c>
      <c r="F87">
        <v>6725650.9000000004</v>
      </c>
      <c r="G87">
        <v>10.19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1.204819277108408E-2</v>
      </c>
      <c r="Q87">
        <f t="shared" ref="Q87" si="411">F87*P87</f>
        <v>81031.938554215143</v>
      </c>
      <c r="R87">
        <f t="shared" ref="R87" si="412">R88+Q87</f>
        <v>101366156.64707817</v>
      </c>
      <c r="S87">
        <f t="shared" ref="S87" si="413">R87/100000</f>
        <v>1013.6615664707817</v>
      </c>
      <c r="T87">
        <f t="shared" ref="T87" si="414">S87/1000</f>
        <v>1.0136615664707818</v>
      </c>
    </row>
    <row r="88" spans="1:20" x14ac:dyDescent="0.25">
      <c r="A88" s="5">
        <v>44505</v>
      </c>
      <c r="B88">
        <v>10.6</v>
      </c>
      <c r="C88">
        <v>11.007</v>
      </c>
      <c r="D88">
        <v>10.122</v>
      </c>
      <c r="E88">
        <v>10.364000000000001</v>
      </c>
      <c r="F88">
        <v>5548643.5999999996</v>
      </c>
      <c r="G88">
        <v>10.364000000000001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-0.45310734463276625</v>
      </c>
      <c r="Q88">
        <f t="shared" ref="Q88" si="416">F88*P88</f>
        <v>-2514131.1679095929</v>
      </c>
      <c r="R88">
        <f t="shared" ref="R88" si="417">R89+Q88</f>
        <v>101285124.70852396</v>
      </c>
      <c r="S88">
        <f t="shared" ref="S88" si="418">R88/100000</f>
        <v>1012.8512470852396</v>
      </c>
      <c r="T88">
        <f t="shared" ref="T88" si="419">S88/1000</f>
        <v>1.0128512470852395</v>
      </c>
    </row>
    <row r="89" spans="1:20" x14ac:dyDescent="0.25">
      <c r="A89" s="5">
        <v>44504</v>
      </c>
      <c r="B89">
        <v>10.962</v>
      </c>
      <c r="C89">
        <v>11.5</v>
      </c>
      <c r="D89">
        <v>10.284000000000001</v>
      </c>
      <c r="E89">
        <v>10.601000000000001</v>
      </c>
      <c r="F89">
        <v>7916961.7999999998</v>
      </c>
      <c r="G89">
        <v>10.601000000000001</v>
      </c>
      <c r="L89" t="s">
        <v>8</v>
      </c>
      <c r="M89" t="s">
        <v>8</v>
      </c>
      <c r="N89" t="s">
        <v>7</v>
      </c>
      <c r="P89">
        <f t="shared" ref="P89" si="420">IF(C89=D89,0,((E89-D89)-(C89-E89))/(C89-D89))</f>
        <v>-0.47861842105263103</v>
      </c>
      <c r="Q89">
        <f t="shared" ref="Q89" si="421">F89*P89</f>
        <v>-3789203.7562499954</v>
      </c>
      <c r="R89">
        <f t="shared" ref="R89" si="422">R90+Q89</f>
        <v>103799255.87643355</v>
      </c>
      <c r="S89">
        <f t="shared" ref="S89" si="423">R89/100000</f>
        <v>1037.9925587643356</v>
      </c>
      <c r="T89">
        <f t="shared" ref="T89" si="424">S89/1000</f>
        <v>1.0379925587643357</v>
      </c>
    </row>
    <row r="90" spans="1:20" x14ac:dyDescent="0.25">
      <c r="A90" s="5">
        <v>44503</v>
      </c>
      <c r="B90">
        <v>10.462</v>
      </c>
      <c r="C90">
        <v>11.297000000000001</v>
      </c>
      <c r="D90">
        <v>10.194000000000001</v>
      </c>
      <c r="E90">
        <v>10.96</v>
      </c>
      <c r="F90">
        <v>9805337.5999999996</v>
      </c>
      <c r="G90">
        <v>10.96</v>
      </c>
      <c r="L90" t="s">
        <v>8</v>
      </c>
      <c r="M90" t="s">
        <v>7</v>
      </c>
      <c r="N90" t="s">
        <v>7</v>
      </c>
      <c r="P90">
        <f t="shared" ref="P90" si="425">IF(C90=D90,0,((E90-D90)-(C90-E90))/(C90-D90))</f>
        <v>0.38893925657298312</v>
      </c>
      <c r="Q90">
        <f t="shared" ref="Q90" si="426">F90*P90</f>
        <v>3813680.7165911184</v>
      </c>
      <c r="R90">
        <f t="shared" ref="R90" si="427">R91+Q90</f>
        <v>107588459.63268355</v>
      </c>
      <c r="S90">
        <f t="shared" ref="S90" si="428">R90/100000</f>
        <v>1075.8845963268354</v>
      </c>
      <c r="T90">
        <f t="shared" ref="T90" si="429">S90/1000</f>
        <v>1.0758845963268355</v>
      </c>
    </row>
    <row r="91" spans="1:20" x14ac:dyDescent="0.25">
      <c r="A91" s="5">
        <v>44502</v>
      </c>
      <c r="B91">
        <v>10.147</v>
      </c>
      <c r="C91">
        <v>10.996</v>
      </c>
      <c r="D91">
        <v>10.013</v>
      </c>
      <c r="E91">
        <v>10.461</v>
      </c>
      <c r="F91">
        <v>7807626.9000000004</v>
      </c>
      <c r="G91">
        <v>10.461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-8.8504577822990538E-2</v>
      </c>
      <c r="Q91">
        <f t="shared" ref="Q91" si="431">F91*P91</f>
        <v>-691010.72258392442</v>
      </c>
      <c r="R91">
        <f t="shared" ref="R91" si="432">R92+Q91</f>
        <v>103774778.91609243</v>
      </c>
      <c r="S91">
        <f t="shared" ref="S91" si="433">R91/100000</f>
        <v>1037.7477891609242</v>
      </c>
      <c r="T91">
        <f t="shared" ref="T91" si="434">S91/1000</f>
        <v>1.0377477891609241</v>
      </c>
    </row>
    <row r="92" spans="1:20" x14ac:dyDescent="0.25">
      <c r="A92" s="5">
        <v>44501</v>
      </c>
      <c r="B92">
        <v>10.157999999999999</v>
      </c>
      <c r="C92">
        <v>10.714</v>
      </c>
      <c r="D92">
        <v>9.8360000000000003</v>
      </c>
      <c r="E92">
        <v>10.144</v>
      </c>
      <c r="F92">
        <v>9155164.9000000004</v>
      </c>
      <c r="G92">
        <v>10.144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-0.29840546697038772</v>
      </c>
      <c r="Q92">
        <f t="shared" ref="Q92" si="436">F92*P92</f>
        <v>-2731951.2571754032</v>
      </c>
      <c r="R92">
        <f t="shared" ref="R92" si="437">R93+Q92</f>
        <v>104465789.63867635</v>
      </c>
      <c r="S92">
        <f t="shared" ref="S92" si="438">R92/100000</f>
        <v>1044.6578963867635</v>
      </c>
      <c r="T92">
        <f t="shared" ref="T92" si="439">S92/1000</f>
        <v>1.0446578963867634</v>
      </c>
    </row>
    <row r="93" spans="1:20" x14ac:dyDescent="0.25">
      <c r="A93" s="5">
        <v>44500</v>
      </c>
      <c r="B93">
        <v>10.494999999999999</v>
      </c>
      <c r="C93">
        <v>10.71</v>
      </c>
      <c r="D93">
        <v>9.6440000000000001</v>
      </c>
      <c r="E93">
        <v>10.157</v>
      </c>
      <c r="F93">
        <v>8217698</v>
      </c>
      <c r="G93">
        <v>10.157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-3.7523452157599342E-2</v>
      </c>
      <c r="Q93">
        <f t="shared" ref="Q93" si="441">F93*P93</f>
        <v>-308356.39774859982</v>
      </c>
      <c r="R93">
        <f t="shared" ref="R93" si="442">R94+Q93</f>
        <v>107197740.89585175</v>
      </c>
      <c r="S93">
        <f t="shared" ref="S93" si="443">R93/100000</f>
        <v>1071.9774089585176</v>
      </c>
      <c r="T93">
        <f t="shared" ref="T93" si="444">S93/1000</f>
        <v>1.0719774089585177</v>
      </c>
    </row>
    <row r="94" spans="1:20" x14ac:dyDescent="0.25">
      <c r="A94" s="5">
        <v>44499</v>
      </c>
      <c r="B94">
        <v>11.585000000000001</v>
      </c>
      <c r="C94">
        <v>11.59</v>
      </c>
      <c r="D94">
        <v>10.090999999999999</v>
      </c>
      <c r="E94">
        <v>10.481</v>
      </c>
      <c r="F94">
        <v>8276970.0999999996</v>
      </c>
      <c r="G94">
        <v>10.481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-0.47965310206804479</v>
      </c>
      <c r="Q94">
        <f t="shared" ref="Q94" si="446">F94*P94</f>
        <v>-3970074.3841894548</v>
      </c>
      <c r="R94">
        <f t="shared" ref="R94" si="447">R95+Q94</f>
        <v>107506097.29360035</v>
      </c>
      <c r="S94">
        <f t="shared" ref="S94" si="448">R94/100000</f>
        <v>1075.0609729360035</v>
      </c>
      <c r="T94">
        <f t="shared" ref="T94" si="449">S94/1000</f>
        <v>1.0750609729360034</v>
      </c>
    </row>
    <row r="95" spans="1:20" x14ac:dyDescent="0.25">
      <c r="A95" s="5">
        <v>44498</v>
      </c>
      <c r="B95">
        <v>11.351000000000001</v>
      </c>
      <c r="C95">
        <v>11.606</v>
      </c>
      <c r="D95">
        <v>11</v>
      </c>
      <c r="E95">
        <v>11.576000000000001</v>
      </c>
      <c r="F95">
        <v>7160398.5999999996</v>
      </c>
      <c r="G95">
        <v>11.576000000000001</v>
      </c>
      <c r="L95" t="s">
        <v>7</v>
      </c>
      <c r="M95" t="s">
        <v>8</v>
      </c>
      <c r="N95" t="s">
        <v>8</v>
      </c>
      <c r="P95">
        <f t="shared" ref="P95" si="450">IF(C95=D95,0,((E95-D95)-(C95-E95))/(C95-D95))</f>
        <v>0.90099009900990312</v>
      </c>
      <c r="Q95">
        <f t="shared" ref="Q95" si="451">F95*P95</f>
        <v>6451448.243564371</v>
      </c>
      <c r="R95">
        <f t="shared" ref="R95" si="452">R96+Q95</f>
        <v>111476171.67778981</v>
      </c>
      <c r="S95">
        <f t="shared" ref="S95" si="453">R95/100000</f>
        <v>1114.7617167778981</v>
      </c>
      <c r="T95">
        <f t="shared" ref="T95" si="454">S95/1000</f>
        <v>1.114761716777898</v>
      </c>
    </row>
    <row r="96" spans="1:20" x14ac:dyDescent="0.25">
      <c r="A96" s="5">
        <v>44497</v>
      </c>
      <c r="B96">
        <v>10.855</v>
      </c>
      <c r="C96">
        <v>12.641</v>
      </c>
      <c r="D96">
        <v>10.651</v>
      </c>
      <c r="E96">
        <v>11.358000000000001</v>
      </c>
      <c r="F96">
        <v>15715972.300000001</v>
      </c>
      <c r="G96">
        <v>11.358000000000001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-0.28944723618090384</v>
      </c>
      <c r="Q96">
        <f t="shared" ref="Q96" si="456">F96*P96</f>
        <v>-4548944.7461306425</v>
      </c>
      <c r="R96">
        <f t="shared" ref="R96" si="457">R97+Q96</f>
        <v>105024723.43422544</v>
      </c>
      <c r="S96">
        <f t="shared" ref="S96" si="458">R96/100000</f>
        <v>1050.2472343422544</v>
      </c>
      <c r="T96">
        <f t="shared" ref="T96" si="459">S96/1000</f>
        <v>1.0502472343422544</v>
      </c>
    </row>
    <row r="97" spans="1:20" x14ac:dyDescent="0.25">
      <c r="A97" s="5">
        <v>44496</v>
      </c>
      <c r="B97">
        <v>12.31</v>
      </c>
      <c r="C97">
        <v>12.84</v>
      </c>
      <c r="D97">
        <v>10.289</v>
      </c>
      <c r="E97">
        <v>10.849</v>
      </c>
      <c r="F97">
        <v>21117290</v>
      </c>
      <c r="G97">
        <v>10.849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-0.56095648765190087</v>
      </c>
      <c r="Q97">
        <f t="shared" ref="Q97" si="461">F97*P97</f>
        <v>-11845880.827126609</v>
      </c>
      <c r="R97">
        <f t="shared" ref="R97" si="462">R98+Q97</f>
        <v>109573668.18035609</v>
      </c>
      <c r="S97">
        <f t="shared" ref="S97" si="463">R97/100000</f>
        <v>1095.7366818035609</v>
      </c>
      <c r="T97">
        <f t="shared" ref="T97" si="464">S97/1000</f>
        <v>1.095736681803561</v>
      </c>
    </row>
    <row r="98" spans="1:20" x14ac:dyDescent="0.25">
      <c r="A98" s="5">
        <v>44495</v>
      </c>
      <c r="B98">
        <v>12.32</v>
      </c>
      <c r="C98">
        <v>13.23</v>
      </c>
      <c r="D98">
        <v>11.807</v>
      </c>
      <c r="E98">
        <v>12.31</v>
      </c>
      <c r="F98">
        <v>21980239.57</v>
      </c>
      <c r="G98">
        <v>12.31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-0.29304286718200973</v>
      </c>
      <c r="Q98">
        <f t="shared" ref="Q98" si="466">F98*P98</f>
        <v>-6441152.4249402648</v>
      </c>
      <c r="R98">
        <f t="shared" ref="R98" si="467">R99+Q98</f>
        <v>121419549.00748269</v>
      </c>
      <c r="S98">
        <f t="shared" ref="S98" si="468">R98/100000</f>
        <v>1214.1954900748269</v>
      </c>
      <c r="T98">
        <f t="shared" ref="T98" si="469">S98/1000</f>
        <v>1.2141954900748269</v>
      </c>
    </row>
    <row r="99" spans="1:20" x14ac:dyDescent="0.25">
      <c r="A99" s="5">
        <v>44494</v>
      </c>
      <c r="B99">
        <v>9.6029999999999998</v>
      </c>
      <c r="C99">
        <v>12.7</v>
      </c>
      <c r="D99">
        <v>9.5399999999999991</v>
      </c>
      <c r="E99">
        <v>12.321</v>
      </c>
      <c r="F99">
        <v>31308506.399999999</v>
      </c>
      <c r="G99">
        <v>12.321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0.76012658227848129</v>
      </c>
      <c r="Q99">
        <f t="shared" ref="Q99" si="471">F99*P99</f>
        <v>23798427.966075957</v>
      </c>
      <c r="R99">
        <f t="shared" ref="R99" si="472">R100+Q99</f>
        <v>127860701.43242295</v>
      </c>
      <c r="S99">
        <f t="shared" ref="S99" si="473">R99/100000</f>
        <v>1278.6070143242296</v>
      </c>
      <c r="T99">
        <f t="shared" ref="T99" si="474">S99/1000</f>
        <v>1.2786070143242296</v>
      </c>
    </row>
    <row r="100" spans="1:20" x14ac:dyDescent="0.25">
      <c r="A100" s="5">
        <v>44493</v>
      </c>
      <c r="B100">
        <v>9.3089999999999993</v>
      </c>
      <c r="C100">
        <v>9.9540000000000006</v>
      </c>
      <c r="D100">
        <v>9.1359999999999992</v>
      </c>
      <c r="E100">
        <v>9.6029999999999998</v>
      </c>
      <c r="F100">
        <v>10609363.699999999</v>
      </c>
      <c r="G100">
        <v>9.6029999999999998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0.14180929095354458</v>
      </c>
      <c r="Q100">
        <f t="shared" ref="Q100" si="476">F100*P100</f>
        <v>1504506.3437652742</v>
      </c>
      <c r="R100">
        <f t="shared" ref="R100" si="477">R101+Q100</f>
        <v>104062273.46634699</v>
      </c>
      <c r="S100">
        <f t="shared" ref="S100" si="478">R100/100000</f>
        <v>1040.6227346634698</v>
      </c>
      <c r="T100">
        <f t="shared" ref="T100" si="479">S100/1000</f>
        <v>1.0406227346634698</v>
      </c>
    </row>
    <row r="101" spans="1:20" x14ac:dyDescent="0.25">
      <c r="A101" s="5">
        <v>44492</v>
      </c>
      <c r="B101">
        <v>9.1039999999999992</v>
      </c>
      <c r="C101">
        <v>9.4250000000000007</v>
      </c>
      <c r="D101">
        <v>8.8209999999999997</v>
      </c>
      <c r="E101">
        <v>9.3130000000000006</v>
      </c>
      <c r="F101">
        <v>5753605</v>
      </c>
      <c r="G101">
        <v>9.3130000000000006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0.62913907284768245</v>
      </c>
      <c r="Q101">
        <f t="shared" ref="Q101" si="481">F101*P101</f>
        <v>3619817.7152317897</v>
      </c>
      <c r="R101">
        <f t="shared" ref="R101" si="482">R102+Q101</f>
        <v>102557767.12258172</v>
      </c>
      <c r="S101">
        <f t="shared" ref="S101" si="483">R101/100000</f>
        <v>1025.5776712258173</v>
      </c>
      <c r="T101">
        <f t="shared" ref="T101" si="484">S101/1000</f>
        <v>1.0255776712258173</v>
      </c>
    </row>
    <row r="102" spans="1:20" x14ac:dyDescent="0.25">
      <c r="A102" s="5">
        <v>44491</v>
      </c>
      <c r="B102">
        <v>9.4719999999999995</v>
      </c>
      <c r="C102">
        <v>9.673</v>
      </c>
      <c r="D102">
        <v>8.8130000000000006</v>
      </c>
      <c r="E102">
        <v>9.1069999999999993</v>
      </c>
      <c r="F102">
        <v>11781202.300000001</v>
      </c>
      <c r="G102">
        <v>9.1069999999999993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-0.31627906976744441</v>
      </c>
      <c r="Q102">
        <f t="shared" ref="Q102" si="486">F102*P102</f>
        <v>-3726147.7041860768</v>
      </c>
      <c r="R102">
        <f t="shared" ref="R102" si="487">R103+Q102</f>
        <v>98937949.407349929</v>
      </c>
      <c r="S102">
        <f t="shared" ref="S102" si="488">R102/100000</f>
        <v>989.37949407349925</v>
      </c>
      <c r="T102">
        <f t="shared" ref="T102" si="489">S102/1000</f>
        <v>0.98937949407349923</v>
      </c>
    </row>
    <row r="103" spans="1:20" x14ac:dyDescent="0.25">
      <c r="A103" s="5">
        <v>44490</v>
      </c>
      <c r="B103">
        <v>8.7319999999999993</v>
      </c>
      <c r="C103">
        <v>9.7769999999999992</v>
      </c>
      <c r="D103">
        <v>8.5690000000000008</v>
      </c>
      <c r="E103">
        <v>9.4760000000000009</v>
      </c>
      <c r="F103">
        <v>16065673.800000001</v>
      </c>
      <c r="G103">
        <v>9.4760000000000009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0.50165562913907491</v>
      </c>
      <c r="Q103">
        <f t="shared" ref="Q103" si="491">F103*P103</f>
        <v>8059435.6976821525</v>
      </c>
      <c r="R103">
        <f t="shared" ref="R103" si="492">R104+Q103</f>
        <v>102664097.11153601</v>
      </c>
      <c r="S103">
        <f t="shared" ref="S103" si="493">R103/100000</f>
        <v>1026.6409711153601</v>
      </c>
      <c r="T103">
        <f t="shared" ref="T103" si="494">S103/1000</f>
        <v>1.0266409711153601</v>
      </c>
    </row>
    <row r="104" spans="1:20" x14ac:dyDescent="0.25">
      <c r="A104" s="5">
        <v>44489</v>
      </c>
      <c r="B104">
        <v>8.1859999999999999</v>
      </c>
      <c r="C104">
        <v>8.8960000000000008</v>
      </c>
      <c r="D104">
        <v>8.1280000000000001</v>
      </c>
      <c r="E104">
        <v>8.7319999999999993</v>
      </c>
      <c r="F104">
        <v>9949804.1999999993</v>
      </c>
      <c r="G104">
        <v>8.7319999999999993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0.57291666666666319</v>
      </c>
      <c r="Q104">
        <f t="shared" ref="Q104" si="496">F104*P104</f>
        <v>5700408.6562499646</v>
      </c>
      <c r="R104">
        <f t="shared" ref="R104" si="497">R105+Q104</f>
        <v>94604661.413853854</v>
      </c>
      <c r="S104">
        <f t="shared" ref="S104" si="498">R104/100000</f>
        <v>946.04661413853853</v>
      </c>
      <c r="T104">
        <f t="shared" ref="T104" si="499">S104/1000</f>
        <v>0.94604661413853852</v>
      </c>
    </row>
    <row r="105" spans="1:20" x14ac:dyDescent="0.25">
      <c r="A105" s="5">
        <v>44488</v>
      </c>
      <c r="B105">
        <v>7.843</v>
      </c>
      <c r="C105">
        <v>8.2629999999999999</v>
      </c>
      <c r="D105">
        <v>7.7430000000000003</v>
      </c>
      <c r="E105">
        <v>8.1859999999999999</v>
      </c>
      <c r="F105">
        <v>6708326.9000000004</v>
      </c>
      <c r="G105">
        <v>8.1859999999999999</v>
      </c>
      <c r="L105" t="s">
        <v>8</v>
      </c>
      <c r="M105" t="s">
        <v>8</v>
      </c>
      <c r="N105" t="s">
        <v>7</v>
      </c>
      <c r="P105">
        <f t="shared" ref="P105" si="500">IF(C105=D105,0,((E105-D105)-(C105-E105))/(C105-D105))</f>
        <v>0.70384615384615379</v>
      </c>
      <c r="Q105">
        <f t="shared" ref="Q105" si="501">F105*P105</f>
        <v>4721630.0873076925</v>
      </c>
      <c r="R105">
        <f t="shared" ref="R105" si="502">R106+Q105</f>
        <v>88904252.757603884</v>
      </c>
      <c r="S105">
        <f t="shared" ref="S105" si="503">R105/100000</f>
        <v>889.04252757603888</v>
      </c>
      <c r="T105">
        <f t="shared" ref="T105" si="504">S105/1000</f>
        <v>0.88904252757603885</v>
      </c>
    </row>
    <row r="106" spans="1:20" x14ac:dyDescent="0.25">
      <c r="A106" s="5">
        <v>44487</v>
      </c>
      <c r="B106">
        <v>7.7939999999999996</v>
      </c>
      <c r="C106">
        <v>7.9370000000000003</v>
      </c>
      <c r="D106">
        <v>7.6159999999999997</v>
      </c>
      <c r="E106">
        <v>7.8440000000000003</v>
      </c>
      <c r="F106">
        <v>4288817.5</v>
      </c>
      <c r="G106">
        <v>7.8440000000000003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0.42056074766355267</v>
      </c>
      <c r="Q106">
        <f t="shared" ref="Q106" si="506">F106*P106</f>
        <v>1803708.2943925287</v>
      </c>
      <c r="R106">
        <f t="shared" ref="R106" si="507">R107+Q106</f>
        <v>84182622.670296192</v>
      </c>
      <c r="S106">
        <f t="shared" ref="S106" si="508">R106/100000</f>
        <v>841.82622670296189</v>
      </c>
      <c r="T106">
        <f t="shared" ref="T106" si="509">S106/1000</f>
        <v>0.84182622670296192</v>
      </c>
    </row>
    <row r="107" spans="1:20" x14ac:dyDescent="0.25">
      <c r="A107" s="5">
        <v>44486</v>
      </c>
      <c r="B107">
        <v>7.859</v>
      </c>
      <c r="C107">
        <v>8.0830000000000002</v>
      </c>
      <c r="D107">
        <v>7.6</v>
      </c>
      <c r="E107">
        <v>7.7889999999999997</v>
      </c>
      <c r="F107">
        <v>4093348</v>
      </c>
      <c r="G107">
        <v>7.7889999999999997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-0.21739130434782672</v>
      </c>
      <c r="Q107">
        <f t="shared" ref="Q107" si="511">F107*P107</f>
        <v>-889858.26086956775</v>
      </c>
      <c r="R107">
        <f t="shared" ref="R107" si="512">R108+Q107</f>
        <v>82378914.375903666</v>
      </c>
      <c r="S107">
        <f t="shared" ref="S107" si="513">R107/100000</f>
        <v>823.78914375903662</v>
      </c>
      <c r="T107">
        <f t="shared" ref="T107" si="514">S107/1000</f>
        <v>0.82378914375903667</v>
      </c>
    </row>
    <row r="108" spans="1:20" x14ac:dyDescent="0.25">
      <c r="A108" s="5">
        <v>44485</v>
      </c>
      <c r="B108">
        <v>7.8680000000000003</v>
      </c>
      <c r="C108">
        <v>8.1859999999999999</v>
      </c>
      <c r="D108">
        <v>7.7110000000000003</v>
      </c>
      <c r="E108">
        <v>7.8609999999999998</v>
      </c>
      <c r="F108">
        <v>5807664.7000000002</v>
      </c>
      <c r="G108">
        <v>7.8609999999999998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-0.3684210526315807</v>
      </c>
      <c r="Q108">
        <f t="shared" ref="Q108" si="516">F108*P108</f>
        <v>-2139665.9421052733</v>
      </c>
      <c r="R108">
        <f t="shared" ref="R108" si="517">R109+Q108</f>
        <v>83268772.636773229</v>
      </c>
      <c r="S108">
        <f t="shared" ref="S108" si="518">R108/100000</f>
        <v>832.68772636773224</v>
      </c>
      <c r="T108">
        <f t="shared" ref="T108" si="519">S108/1000</f>
        <v>0.83268772636773225</v>
      </c>
    </row>
    <row r="109" spans="1:20" x14ac:dyDescent="0.25">
      <c r="A109" s="5">
        <v>44484</v>
      </c>
      <c r="B109">
        <v>8.0449999999999999</v>
      </c>
      <c r="C109">
        <v>8.2799999999999994</v>
      </c>
      <c r="D109">
        <v>7.6319999999999997</v>
      </c>
      <c r="E109">
        <v>7.8680000000000003</v>
      </c>
      <c r="F109">
        <v>10334268.300000001</v>
      </c>
      <c r="G109">
        <v>7.8680000000000003</v>
      </c>
      <c r="L109" t="s">
        <v>7</v>
      </c>
      <c r="M109" t="s">
        <v>8</v>
      </c>
      <c r="N109" t="s">
        <v>7</v>
      </c>
      <c r="P109">
        <f t="shared" ref="P109" si="520">IF(C109=D109,0,((E109-D109)-(C109-E109))/(C109-D109))</f>
        <v>-0.27160493827160259</v>
      </c>
      <c r="Q109">
        <f t="shared" ref="Q109" si="521">F109*P109</f>
        <v>-2806838.3037036797</v>
      </c>
      <c r="R109">
        <f t="shared" ref="R109" si="522">R110+Q109</f>
        <v>85408438.578878507</v>
      </c>
      <c r="S109">
        <f t="shared" ref="S109" si="523">R109/100000</f>
        <v>854.08438578878508</v>
      </c>
      <c r="T109">
        <f t="shared" ref="T109" si="524">S109/1000</f>
        <v>0.85408438578878509</v>
      </c>
    </row>
    <row r="110" spans="1:20" x14ac:dyDescent="0.25">
      <c r="A110" s="5">
        <v>44483</v>
      </c>
      <c r="B110">
        <v>7.2430000000000003</v>
      </c>
      <c r="C110">
        <v>8.1880000000000006</v>
      </c>
      <c r="D110">
        <v>7.1989999999999998</v>
      </c>
      <c r="E110">
        <v>8.0470000000000006</v>
      </c>
      <c r="F110">
        <v>10050006</v>
      </c>
      <c r="G110">
        <v>8.0470000000000006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0.71486349848331665</v>
      </c>
      <c r="Q110">
        <f t="shared" ref="Q110" si="526">F110*P110</f>
        <v>7184382.4489383232</v>
      </c>
      <c r="R110">
        <f t="shared" ref="R110" si="527">R111+Q110</f>
        <v>88215276.882582188</v>
      </c>
      <c r="S110">
        <f t="shared" ref="S110" si="528">R110/100000</f>
        <v>882.15276882582191</v>
      </c>
      <c r="T110">
        <f t="shared" ref="T110" si="529">S110/1000</f>
        <v>0.88215276882582194</v>
      </c>
    </row>
    <row r="111" spans="1:20" x14ac:dyDescent="0.25">
      <c r="A111" s="5">
        <v>44482</v>
      </c>
      <c r="B111">
        <v>7.2729999999999997</v>
      </c>
      <c r="C111">
        <v>7.399</v>
      </c>
      <c r="D111">
        <v>6.9039999999999999</v>
      </c>
      <c r="E111">
        <v>7.2430000000000003</v>
      </c>
      <c r="F111">
        <v>6360398.7000000002</v>
      </c>
      <c r="G111">
        <v>7.2430000000000003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0.36969696969697108</v>
      </c>
      <c r="Q111">
        <f t="shared" ref="Q111" si="531">F111*P111</f>
        <v>2351420.1254545543</v>
      </c>
      <c r="R111">
        <f t="shared" ref="R111" si="532">R112+Q111</f>
        <v>81030894.433643863</v>
      </c>
      <c r="S111">
        <f t="shared" ref="S111" si="533">R111/100000</f>
        <v>810.30894433643857</v>
      </c>
      <c r="T111">
        <f t="shared" ref="T111" si="534">S111/1000</f>
        <v>0.81030894433643852</v>
      </c>
    </row>
    <row r="112" spans="1:20" x14ac:dyDescent="0.25">
      <c r="A112" s="5">
        <v>44481</v>
      </c>
      <c r="B112">
        <v>7.42</v>
      </c>
      <c r="C112">
        <v>7.42</v>
      </c>
      <c r="D112">
        <v>6.766</v>
      </c>
      <c r="E112">
        <v>7.2690000000000001</v>
      </c>
      <c r="F112">
        <v>8006879.2999999998</v>
      </c>
      <c r="G112">
        <v>7.2690000000000001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0.53822629969419011</v>
      </c>
      <c r="Q112">
        <f t="shared" ref="Q112" si="536">F112*P112</f>
        <v>4309513.0177370068</v>
      </c>
      <c r="R112">
        <f t="shared" ref="R112" si="537">R113+Q112</f>
        <v>78679474.308189303</v>
      </c>
      <c r="S112">
        <f t="shared" ref="S112" si="538">R112/100000</f>
        <v>786.79474308189299</v>
      </c>
      <c r="T112">
        <f t="shared" ref="T112" si="539">S112/1000</f>
        <v>0.78679474308189301</v>
      </c>
    </row>
    <row r="113" spans="1:20" x14ac:dyDescent="0.25">
      <c r="A113" s="5">
        <v>44480</v>
      </c>
      <c r="B113">
        <v>7.39</v>
      </c>
      <c r="C113">
        <v>7.8609999999999998</v>
      </c>
      <c r="D113">
        <v>7.2050000000000001</v>
      </c>
      <c r="E113">
        <v>7.42</v>
      </c>
      <c r="F113">
        <v>5836733.5999999996</v>
      </c>
      <c r="G113">
        <v>7.42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-0.34451219512195136</v>
      </c>
      <c r="Q113">
        <f t="shared" ref="Q113" si="541">F113*P113</f>
        <v>-2010825.9048780494</v>
      </c>
      <c r="R113">
        <f t="shared" ref="R113" si="542">R114+Q113</f>
        <v>74369961.290452302</v>
      </c>
      <c r="S113">
        <f t="shared" ref="S113" si="543">R113/100000</f>
        <v>743.69961290452306</v>
      </c>
      <c r="T113">
        <f t="shared" ref="T113" si="544">S113/1000</f>
        <v>0.74369961290452302</v>
      </c>
    </row>
    <row r="114" spans="1:20" x14ac:dyDescent="0.25">
      <c r="A114" s="5">
        <v>44479</v>
      </c>
      <c r="B114">
        <v>8.0429999999999993</v>
      </c>
      <c r="C114">
        <v>8.0470000000000006</v>
      </c>
      <c r="D114">
        <v>7.3079999999999998</v>
      </c>
      <c r="E114">
        <v>7.391</v>
      </c>
      <c r="F114">
        <v>6770752.5999999996</v>
      </c>
      <c r="G114">
        <v>7.391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-0.77537212449255721</v>
      </c>
      <c r="Q114">
        <f t="shared" ref="Q114" si="546">F114*P114</f>
        <v>-5249852.8278755052</v>
      </c>
      <c r="R114">
        <f t="shared" ref="R114" si="547">R115+Q114</f>
        <v>76380787.195330352</v>
      </c>
      <c r="S114">
        <f t="shared" ref="S114" si="548">R114/100000</f>
        <v>763.80787195330356</v>
      </c>
      <c r="T114">
        <f t="shared" ref="T114" si="549">S114/1000</f>
        <v>0.76380787195330357</v>
      </c>
    </row>
    <row r="115" spans="1:20" x14ac:dyDescent="0.25">
      <c r="A115" s="5">
        <v>44478</v>
      </c>
      <c r="B115">
        <v>8.1039999999999992</v>
      </c>
      <c r="C115">
        <v>8.42</v>
      </c>
      <c r="D115">
        <v>7.9130000000000003</v>
      </c>
      <c r="E115">
        <v>8.0389999999999997</v>
      </c>
      <c r="F115">
        <v>5144751.3</v>
      </c>
      <c r="G115">
        <v>8.0389999999999997</v>
      </c>
      <c r="L115" t="s">
        <v>7</v>
      </c>
      <c r="M115" t="s">
        <v>8</v>
      </c>
      <c r="N115" t="s">
        <v>7</v>
      </c>
      <c r="P115">
        <f t="shared" ref="P115" si="550">IF(C115=D115,0,((E115-D115)-(C115-E115))/(C115-D115))</f>
        <v>-0.50295857988165871</v>
      </c>
      <c r="Q115">
        <f t="shared" ref="Q115" si="551">F115*P115</f>
        <v>-2587596.8076923173</v>
      </c>
      <c r="R115">
        <f t="shared" ref="R115" si="552">R116+Q115</f>
        <v>81630640.023205861</v>
      </c>
      <c r="S115">
        <f t="shared" ref="S115" si="553">R115/100000</f>
        <v>816.30640023205865</v>
      </c>
      <c r="T115">
        <f t="shared" ref="T115" si="554">S115/1000</f>
        <v>0.81630640023205869</v>
      </c>
    </row>
    <row r="116" spans="1:20" x14ac:dyDescent="0.25">
      <c r="A116" s="5">
        <v>44477</v>
      </c>
      <c r="B116">
        <v>8.2799999999999994</v>
      </c>
      <c r="C116">
        <v>8.7520000000000007</v>
      </c>
      <c r="D116">
        <v>8</v>
      </c>
      <c r="E116">
        <v>8.1039999999999992</v>
      </c>
      <c r="F116">
        <v>11441925.800000001</v>
      </c>
      <c r="G116">
        <v>8.1039999999999992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-0.72340425531915131</v>
      </c>
      <c r="Q116">
        <f t="shared" ref="Q116" si="556">F116*P116</f>
        <v>-8277137.8127659848</v>
      </c>
      <c r="R116">
        <f t="shared" ref="R116" si="557">R117+Q116</f>
        <v>84218236.830898181</v>
      </c>
      <c r="S116">
        <f t="shared" ref="S116" si="558">R116/100000</f>
        <v>842.18236830898184</v>
      </c>
      <c r="T116">
        <f t="shared" ref="T116" si="559">S116/1000</f>
        <v>0.84218236830898185</v>
      </c>
    </row>
    <row r="117" spans="1:20" x14ac:dyDescent="0.25">
      <c r="A117" s="5">
        <v>44476</v>
      </c>
      <c r="B117">
        <v>7.7930000000000001</v>
      </c>
      <c r="C117">
        <v>8.48</v>
      </c>
      <c r="D117">
        <v>7.5</v>
      </c>
      <c r="E117">
        <v>8.2840000000000007</v>
      </c>
      <c r="F117">
        <v>13840188.699999999</v>
      </c>
      <c r="G117">
        <v>8.2840000000000007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0.60000000000000075</v>
      </c>
      <c r="Q117">
        <f t="shared" ref="Q117" si="561">F117*P117</f>
        <v>8304113.22000001</v>
      </c>
      <c r="R117">
        <f t="shared" ref="R117" si="562">R118+Q117</f>
        <v>92495374.643664166</v>
      </c>
      <c r="S117">
        <f t="shared" ref="S117" si="563">R117/100000</f>
        <v>924.95374643664161</v>
      </c>
      <c r="T117">
        <f t="shared" ref="T117" si="564">S117/1000</f>
        <v>0.92495374643664163</v>
      </c>
    </row>
    <row r="118" spans="1:20" x14ac:dyDescent="0.25">
      <c r="A118" s="5">
        <v>44475</v>
      </c>
      <c r="B118">
        <v>7.9859999999999998</v>
      </c>
      <c r="C118">
        <v>8.0069999999999997</v>
      </c>
      <c r="D118">
        <v>7.1369999999999996</v>
      </c>
      <c r="E118">
        <v>7.7969999999999997</v>
      </c>
      <c r="F118">
        <v>10142196</v>
      </c>
      <c r="G118">
        <v>7.7969999999999997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0.51724137931034497</v>
      </c>
      <c r="Q118">
        <f t="shared" ref="Q118" si="566">F118*P118</f>
        <v>5245963.4482758632</v>
      </c>
      <c r="R118">
        <f t="shared" ref="R118" si="567">R119+Q118</f>
        <v>84191261.423664153</v>
      </c>
      <c r="S118">
        <f t="shared" ref="S118" si="568">R118/100000</f>
        <v>841.9126142366415</v>
      </c>
      <c r="T118">
        <f t="shared" ref="T118" si="569">S118/1000</f>
        <v>0.84191261423664154</v>
      </c>
    </row>
    <row r="119" spans="1:20" x14ac:dyDescent="0.25">
      <c r="A119" s="5">
        <v>44474</v>
      </c>
      <c r="B119">
        <v>7.6289999999999996</v>
      </c>
      <c r="C119">
        <v>8.25</v>
      </c>
      <c r="D119">
        <v>7.5670000000000002</v>
      </c>
      <c r="E119">
        <v>7.9820000000000002</v>
      </c>
      <c r="F119">
        <v>10789555.4</v>
      </c>
      <c r="G119">
        <v>7.9820000000000002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0.21522693997071782</v>
      </c>
      <c r="Q119">
        <f t="shared" ref="Q119" si="571">F119*P119</f>
        <v>2322202.9923865343</v>
      </c>
      <c r="R119">
        <f t="shared" ref="R119" si="572">R120+Q119</f>
        <v>78945297.975388288</v>
      </c>
      <c r="S119">
        <f t="shared" ref="S119" si="573">R119/100000</f>
        <v>789.45297975388291</v>
      </c>
      <c r="T119">
        <f t="shared" ref="T119" si="574">S119/1000</f>
        <v>0.78945297975388296</v>
      </c>
    </row>
    <row r="120" spans="1:20" x14ac:dyDescent="0.25">
      <c r="A120" s="5">
        <v>44473</v>
      </c>
      <c r="B120">
        <v>8.0340000000000007</v>
      </c>
      <c r="C120">
        <v>8.1999999999999993</v>
      </c>
      <c r="D120">
        <v>7.3810000000000002</v>
      </c>
      <c r="E120">
        <v>7.6470000000000002</v>
      </c>
      <c r="F120">
        <v>12218750.9</v>
      </c>
      <c r="G120">
        <v>7.6470000000000002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-0.35042735042734963</v>
      </c>
      <c r="Q120">
        <f t="shared" ref="Q120" si="576">F120*P120</f>
        <v>-4281784.5034187939</v>
      </c>
      <c r="R120">
        <f t="shared" ref="R120" si="577">R121+Q120</f>
        <v>76623094.983001754</v>
      </c>
      <c r="S120">
        <f t="shared" ref="S120" si="578">R120/100000</f>
        <v>766.23094983001749</v>
      </c>
      <c r="T120">
        <f t="shared" ref="T120" si="579">S120/1000</f>
        <v>0.76623094983001749</v>
      </c>
    </row>
    <row r="121" spans="1:20" x14ac:dyDescent="0.25">
      <c r="A121" s="5">
        <v>44472</v>
      </c>
      <c r="B121">
        <v>7.8049999999999997</v>
      </c>
      <c r="C121">
        <v>8.4930000000000003</v>
      </c>
      <c r="D121">
        <v>7.609</v>
      </c>
      <c r="E121">
        <v>8.0069999999999997</v>
      </c>
      <c r="F121">
        <v>10543793.199999999</v>
      </c>
      <c r="G121">
        <v>8.0069999999999997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-9.9547511312218243E-2</v>
      </c>
      <c r="Q121">
        <f t="shared" ref="Q121" si="581">F121*P121</f>
        <v>-1049608.3728506898</v>
      </c>
      <c r="R121">
        <f t="shared" ref="R121" si="582">R122+Q121</f>
        <v>80904879.486420542</v>
      </c>
      <c r="S121">
        <f t="shared" ref="S121" si="583">R121/100000</f>
        <v>809.04879486420543</v>
      </c>
      <c r="T121">
        <f t="shared" ref="T121" si="584">S121/1000</f>
        <v>0.80904879486420544</v>
      </c>
    </row>
    <row r="122" spans="1:20" x14ac:dyDescent="0.25">
      <c r="A122" s="5">
        <v>44471</v>
      </c>
      <c r="B122">
        <v>7.835</v>
      </c>
      <c r="C122">
        <v>8.2859999999999996</v>
      </c>
      <c r="D122">
        <v>7.52</v>
      </c>
      <c r="E122">
        <v>7.806</v>
      </c>
      <c r="F122">
        <v>10055362.1</v>
      </c>
      <c r="G122">
        <v>7.806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-0.25326370757180033</v>
      </c>
      <c r="Q122">
        <f t="shared" ref="Q122" si="586">F122*P122</f>
        <v>-2546658.2864229642</v>
      </c>
      <c r="R122">
        <f t="shared" ref="R122" si="587">R123+Q122</f>
        <v>81954487.859271228</v>
      </c>
      <c r="S122">
        <f t="shared" ref="S122" si="588">R122/100000</f>
        <v>819.54487859271228</v>
      </c>
      <c r="T122">
        <f t="shared" ref="T122" si="589">S122/1000</f>
        <v>0.8195448785927123</v>
      </c>
    </row>
    <row r="123" spans="1:20" x14ac:dyDescent="0.25">
      <c r="A123" s="5">
        <v>44470</v>
      </c>
      <c r="B123">
        <v>6.9240000000000004</v>
      </c>
      <c r="C123">
        <v>8</v>
      </c>
      <c r="D123">
        <v>6.8209999999999997</v>
      </c>
      <c r="E123">
        <v>7.83</v>
      </c>
      <c r="F123">
        <v>16075971.300000001</v>
      </c>
      <c r="G123">
        <v>7.83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0.71162001696352861</v>
      </c>
      <c r="Q123">
        <f t="shared" ref="Q123" si="591">F123*P123</f>
        <v>11439982.9692112</v>
      </c>
      <c r="R123">
        <f t="shared" ref="R123" si="592">R124+Q123</f>
        <v>84501146.145694196</v>
      </c>
      <c r="S123">
        <f t="shared" ref="S123" si="593">R123/100000</f>
        <v>845.01146145694202</v>
      </c>
      <c r="T123">
        <f t="shared" ref="T123" si="594">S123/1000</f>
        <v>0.84501146145694206</v>
      </c>
    </row>
    <row r="124" spans="1:20" x14ac:dyDescent="0.25">
      <c r="A124" s="5">
        <v>44469</v>
      </c>
      <c r="B124">
        <v>6.6449999999999996</v>
      </c>
      <c r="C124">
        <v>7</v>
      </c>
      <c r="D124">
        <v>6.5590000000000002</v>
      </c>
      <c r="E124">
        <v>6.9269999999999996</v>
      </c>
      <c r="F124">
        <v>10212304.4</v>
      </c>
      <c r="G124">
        <v>6.9269999999999996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0.66893424036280991</v>
      </c>
      <c r="Q124">
        <f t="shared" ref="Q124" si="596">F124*P124</f>
        <v>6831360.0861677816</v>
      </c>
      <c r="R124">
        <f t="shared" ref="R124" si="597">R125+Q124</f>
        <v>73061163.17648299</v>
      </c>
      <c r="S124">
        <f t="shared" ref="S124" si="598">R124/100000</f>
        <v>730.61163176482989</v>
      </c>
      <c r="T124">
        <f t="shared" ref="T124" si="599">S124/1000</f>
        <v>0.73061163176482991</v>
      </c>
    </row>
    <row r="125" spans="1:20" x14ac:dyDescent="0.25">
      <c r="A125" s="5">
        <v>44468</v>
      </c>
      <c r="B125">
        <v>6.42</v>
      </c>
      <c r="C125">
        <v>7.3460000000000001</v>
      </c>
      <c r="D125">
        <v>6.3630000000000004</v>
      </c>
      <c r="E125">
        <v>6.641</v>
      </c>
      <c r="F125">
        <v>14449088.4</v>
      </c>
      <c r="G125">
        <v>6.641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-0.4343845371312316</v>
      </c>
      <c r="Q125">
        <f t="shared" ref="Q125" si="601">F125*P125</f>
        <v>-6276460.5766022475</v>
      </c>
      <c r="R125">
        <f t="shared" ref="R125" si="602">R126+Q125</f>
        <v>66229803.090315208</v>
      </c>
      <c r="S125">
        <f t="shared" ref="S125" si="603">R125/100000</f>
        <v>662.29803090315204</v>
      </c>
      <c r="T125">
        <f t="shared" ref="T125" si="604">S125/1000</f>
        <v>0.66229803090315209</v>
      </c>
    </row>
    <row r="126" spans="1:20" x14ac:dyDescent="0.25">
      <c r="A126" s="5">
        <v>44467</v>
      </c>
      <c r="B126">
        <v>6.89</v>
      </c>
      <c r="C126">
        <v>7.1319999999999997</v>
      </c>
      <c r="D126">
        <v>6.3630000000000004</v>
      </c>
      <c r="E126">
        <v>6.4160000000000004</v>
      </c>
      <c r="F126">
        <v>8849791.3000000007</v>
      </c>
      <c r="G126">
        <v>6.4160000000000004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-0.86215864759427829</v>
      </c>
      <c r="Q126">
        <f t="shared" ref="Q126" si="606">F126*P126</f>
        <v>-7629924.0986996107</v>
      </c>
      <c r="R126">
        <f t="shared" ref="R126" si="607">R127+Q126</f>
        <v>72506263.666917458</v>
      </c>
      <c r="S126">
        <f t="shared" ref="S126" si="608">R126/100000</f>
        <v>725.06263666917459</v>
      </c>
      <c r="T126">
        <f t="shared" ref="T126" si="609">S126/1000</f>
        <v>0.72506263666917459</v>
      </c>
    </row>
    <row r="127" spans="1:20" x14ac:dyDescent="0.25">
      <c r="A127" s="5">
        <v>44466</v>
      </c>
      <c r="B127">
        <v>7.29</v>
      </c>
      <c r="C127">
        <v>7.7779999999999996</v>
      </c>
      <c r="D127">
        <v>6.85</v>
      </c>
      <c r="E127">
        <v>6.8940000000000001</v>
      </c>
      <c r="F127">
        <v>8944505.3000000007</v>
      </c>
      <c r="G127">
        <v>6.8940000000000001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-0.90517241379310243</v>
      </c>
      <c r="Q127">
        <f t="shared" ref="Q127" si="611">F127*P127</f>
        <v>-8096319.4525861982</v>
      </c>
      <c r="R127">
        <f t="shared" ref="R127" si="612">R128+Q127</f>
        <v>80136187.765617073</v>
      </c>
      <c r="S127">
        <f t="shared" ref="S127" si="613">R127/100000</f>
        <v>801.36187765617069</v>
      </c>
      <c r="T127">
        <f t="shared" ref="T127" si="614">S127/1000</f>
        <v>0.80136187765617073</v>
      </c>
    </row>
    <row r="128" spans="1:20" x14ac:dyDescent="0.25">
      <c r="A128" s="5">
        <v>44465</v>
      </c>
      <c r="B128">
        <v>7.6130000000000004</v>
      </c>
      <c r="C128">
        <v>7.6779999999999999</v>
      </c>
      <c r="D128">
        <v>6.5979999999999999</v>
      </c>
      <c r="E128">
        <v>7.2930000000000001</v>
      </c>
      <c r="F128">
        <v>15805400.800000001</v>
      </c>
      <c r="G128">
        <v>7.2930000000000001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0.28703703703703748</v>
      </c>
      <c r="Q128">
        <f t="shared" ref="Q128" si="616">F128*P128</f>
        <v>4536735.4148148224</v>
      </c>
      <c r="R128">
        <f t="shared" ref="R128" si="617">R129+Q128</f>
        <v>88232507.218203276</v>
      </c>
      <c r="S128">
        <f t="shared" ref="S128" si="618">R128/100000</f>
        <v>882.32507218203273</v>
      </c>
      <c r="T128">
        <f t="shared" ref="T128" si="619">S128/1000</f>
        <v>0.88232507218203271</v>
      </c>
    </row>
    <row r="129" spans="1:20" x14ac:dyDescent="0.25">
      <c r="A129" s="5">
        <v>44464</v>
      </c>
      <c r="B129">
        <v>7.9720000000000004</v>
      </c>
      <c r="C129">
        <v>8.44</v>
      </c>
      <c r="D129">
        <v>7.4550000000000001</v>
      </c>
      <c r="E129">
        <v>7.6180000000000003</v>
      </c>
      <c r="F129">
        <v>12799556.1</v>
      </c>
      <c r="G129">
        <v>7.6180000000000003</v>
      </c>
      <c r="L129" t="s">
        <v>8</v>
      </c>
      <c r="M129" t="s">
        <v>7</v>
      </c>
      <c r="N129" t="s">
        <v>8</v>
      </c>
      <c r="P129">
        <f t="shared" ref="P129" si="620">IF(C129=D129,0,((E129-D129)-(C129-E129))/(C129-D129))</f>
        <v>-0.66903553299492313</v>
      </c>
      <c r="Q129">
        <f t="shared" ref="Q129" si="621">F129*P129</f>
        <v>-8563357.8374619186</v>
      </c>
      <c r="R129">
        <f t="shared" ref="R129" si="622">R130+Q129</f>
        <v>83695771.803388461</v>
      </c>
      <c r="S129">
        <f t="shared" ref="S129" si="623">R129/100000</f>
        <v>836.95771803388459</v>
      </c>
      <c r="T129">
        <f t="shared" ref="T129" si="624">S129/1000</f>
        <v>0.83695771803388463</v>
      </c>
    </row>
    <row r="130" spans="1:20" x14ac:dyDescent="0.25">
      <c r="A130" s="5">
        <v>44463</v>
      </c>
      <c r="B130">
        <v>9.1809999999999992</v>
      </c>
      <c r="C130">
        <v>9.2899999999999991</v>
      </c>
      <c r="D130">
        <v>7.4139999999999997</v>
      </c>
      <c r="E130">
        <v>7.9729999999999999</v>
      </c>
      <c r="F130">
        <v>28241387.600000001</v>
      </c>
      <c r="G130">
        <v>7.9729999999999999</v>
      </c>
      <c r="L130" t="s">
        <v>7</v>
      </c>
      <c r="M130" t="s">
        <v>7</v>
      </c>
      <c r="N130" t="s">
        <v>8</v>
      </c>
      <c r="P130">
        <f t="shared" ref="P130" si="625">IF(C130=D130,0,((E130-D130)-(C130-E130))/(C130-D130))</f>
        <v>-0.40405117270788876</v>
      </c>
      <c r="Q130">
        <f t="shared" ref="Q130" si="626">F130*P130</f>
        <v>-11410965.778678028</v>
      </c>
      <c r="R130">
        <f t="shared" ref="R130" si="627">R131+Q130</f>
        <v>92259129.64085038</v>
      </c>
      <c r="S130">
        <f t="shared" ref="S130" si="628">R130/100000</f>
        <v>922.59129640850381</v>
      </c>
      <c r="T130">
        <f t="shared" ref="T130" si="629">S130/1000</f>
        <v>0.92259129640850379</v>
      </c>
    </row>
    <row r="131" spans="1:20" x14ac:dyDescent="0.25">
      <c r="A131" s="5">
        <v>44462</v>
      </c>
      <c r="B131">
        <v>7.7709999999999999</v>
      </c>
      <c r="C131">
        <v>9.42</v>
      </c>
      <c r="D131">
        <v>7.3559999999999999</v>
      </c>
      <c r="E131">
        <v>9.17</v>
      </c>
      <c r="F131">
        <v>19475730.600000001</v>
      </c>
      <c r="G131">
        <v>9.17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0.75775193798449614</v>
      </c>
      <c r="Q131">
        <f t="shared" ref="Q131" si="631">F131*P131</f>
        <v>14757772.605813954</v>
      </c>
      <c r="R131">
        <f t="shared" ref="R131" si="632">R132+Q131</f>
        <v>103670095.41952841</v>
      </c>
      <c r="S131">
        <f t="shared" ref="S131" si="633">R131/100000</f>
        <v>1036.7009541952841</v>
      </c>
      <c r="T131">
        <f t="shared" ref="T131" si="634">S131/1000</f>
        <v>1.0367009541952841</v>
      </c>
    </row>
    <row r="132" spans="1:20" x14ac:dyDescent="0.25">
      <c r="A132" s="5">
        <v>44461</v>
      </c>
      <c r="B132">
        <v>6.7039999999999997</v>
      </c>
      <c r="C132">
        <v>7.8250000000000002</v>
      </c>
      <c r="D132">
        <v>6.5229999999999997</v>
      </c>
      <c r="E132">
        <v>7.7709999999999999</v>
      </c>
      <c r="F132">
        <v>15332430.199999999</v>
      </c>
      <c r="G132">
        <v>7.7709999999999999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0.91705069124423921</v>
      </c>
      <c r="Q132">
        <f t="shared" ref="Q132" si="636">F132*P132</f>
        <v>14060615.713364048</v>
      </c>
      <c r="R132">
        <f t="shared" ref="R132" si="637">R133+Q132</f>
        <v>88912322.81371446</v>
      </c>
      <c r="S132">
        <f t="shared" ref="S132" si="638">R132/100000</f>
        <v>889.12322813714457</v>
      </c>
      <c r="T132">
        <f t="shared" ref="T132" si="639">S132/1000</f>
        <v>0.88912322813714462</v>
      </c>
    </row>
    <row r="133" spans="1:20" x14ac:dyDescent="0.25">
      <c r="A133" s="5">
        <v>44460</v>
      </c>
      <c r="B133">
        <v>7.6859999999999999</v>
      </c>
      <c r="C133">
        <v>8</v>
      </c>
      <c r="D133">
        <v>6.3380000000000001</v>
      </c>
      <c r="E133">
        <v>6.7009999999999996</v>
      </c>
      <c r="F133">
        <v>23120824.100000001</v>
      </c>
      <c r="G133">
        <v>6.7009999999999996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-0.56317689530685977</v>
      </c>
      <c r="Q133">
        <f t="shared" ref="Q133" si="641">F133*P133</f>
        <v>-13021113.933574021</v>
      </c>
      <c r="R133">
        <f t="shared" ref="R133" si="642">R134+Q133</f>
        <v>74851707.10035041</v>
      </c>
      <c r="S133">
        <f t="shared" ref="S133" si="643">R133/100000</f>
        <v>748.51707100350404</v>
      </c>
      <c r="T133">
        <f t="shared" ref="T133" si="644">S133/1000</f>
        <v>0.74851707100350406</v>
      </c>
    </row>
    <row r="134" spans="1:20" x14ac:dyDescent="0.25">
      <c r="A134" s="5">
        <v>44459</v>
      </c>
      <c r="B134">
        <v>10.058999999999999</v>
      </c>
      <c r="C134">
        <v>10.439</v>
      </c>
      <c r="D134">
        <v>8.1769999999999996</v>
      </c>
      <c r="E134">
        <v>8.3870000000000005</v>
      </c>
      <c r="F134">
        <v>17510863.699999999</v>
      </c>
      <c r="G134">
        <v>8.3870000000000005</v>
      </c>
      <c r="L134" t="s">
        <v>7</v>
      </c>
      <c r="M134" t="s">
        <v>8</v>
      </c>
      <c r="N134" t="s">
        <v>7</v>
      </c>
      <c r="P134">
        <f t="shared" ref="P134" si="645">IF(C134=D134,0,((E134-D134)-(C134-E134))/(C134-D134))</f>
        <v>-0.81432360742705501</v>
      </c>
      <c r="Q134">
        <f t="shared" ref="Q134" si="646">F134*P134</f>
        <v>-14259509.697347468</v>
      </c>
      <c r="R134">
        <f t="shared" ref="R134" si="647">R135+Q134</f>
        <v>87872821.033924431</v>
      </c>
      <c r="S134">
        <f t="shared" ref="S134" si="648">R134/100000</f>
        <v>878.72821033924436</v>
      </c>
      <c r="T134">
        <f t="shared" ref="T134" si="649">S134/1000</f>
        <v>0.87872821033924431</v>
      </c>
    </row>
    <row r="135" spans="1:20" x14ac:dyDescent="0.25">
      <c r="A135" s="5">
        <v>44458</v>
      </c>
      <c r="B135">
        <v>9.0679999999999996</v>
      </c>
      <c r="C135">
        <v>10.4</v>
      </c>
      <c r="D135">
        <v>8.6869999999999994</v>
      </c>
      <c r="E135">
        <v>10.061</v>
      </c>
      <c r="F135">
        <v>18308375.300000001</v>
      </c>
      <c r="G135">
        <v>10.061</v>
      </c>
      <c r="L135" t="s">
        <v>8</v>
      </c>
      <c r="M135" t="s">
        <v>8</v>
      </c>
      <c r="N135" t="s">
        <v>7</v>
      </c>
      <c r="P135">
        <f t="shared" ref="P135" si="650">IF(C135=D135,0,((E135-D135)-(C135-E135))/(C135-D135))</f>
        <v>0.60420315236427291</v>
      </c>
      <c r="Q135">
        <f t="shared" ref="Q135" si="651">F135*P135</f>
        <v>11061978.070928192</v>
      </c>
      <c r="R135">
        <f t="shared" ref="R135" si="652">R136+Q135</f>
        <v>102132330.73127189</v>
      </c>
      <c r="S135">
        <f t="shared" ref="S135" si="653">R135/100000</f>
        <v>1021.323307312719</v>
      </c>
      <c r="T135">
        <f t="shared" ref="T135" si="654">S135/1000</f>
        <v>1.021323307312719</v>
      </c>
    </row>
    <row r="136" spans="1:20" x14ac:dyDescent="0.25">
      <c r="A136" s="5">
        <v>44457</v>
      </c>
      <c r="B136">
        <v>8.3230000000000004</v>
      </c>
      <c r="C136">
        <v>9.44</v>
      </c>
      <c r="D136">
        <v>8.1110000000000007</v>
      </c>
      <c r="E136">
        <v>9.0709999999999997</v>
      </c>
      <c r="F136">
        <v>10674330.9</v>
      </c>
      <c r="G136">
        <v>9.0709999999999997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0.44469525959367934</v>
      </c>
      <c r="Q136">
        <f t="shared" ref="Q136" si="656">F136*P136</f>
        <v>4746824.3505643327</v>
      </c>
      <c r="R136">
        <f t="shared" ref="R136" si="657">R137+Q136</f>
        <v>91070352.660343707</v>
      </c>
      <c r="S136">
        <f t="shared" ref="S136" si="658">R136/100000</f>
        <v>910.70352660343701</v>
      </c>
      <c r="T136">
        <f t="shared" ref="T136" si="659">S136/1000</f>
        <v>0.91070352660343701</v>
      </c>
    </row>
    <row r="137" spans="1:20" x14ac:dyDescent="0.25">
      <c r="A137" s="5">
        <v>44456</v>
      </c>
      <c r="B137">
        <v>8.7240000000000002</v>
      </c>
      <c r="C137">
        <v>8.9550000000000001</v>
      </c>
      <c r="D137">
        <v>8.1080000000000005</v>
      </c>
      <c r="E137">
        <v>8.3219999999999992</v>
      </c>
      <c r="F137">
        <v>7145946.5999999996</v>
      </c>
      <c r="G137">
        <v>8.3219999999999992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-0.49468713105077033</v>
      </c>
      <c r="Q137">
        <f t="shared" ref="Q137" si="661">F137*P137</f>
        <v>-3535007.8221960063</v>
      </c>
      <c r="R137">
        <f t="shared" ref="R137" si="662">R138+Q137</f>
        <v>86323528.309779376</v>
      </c>
      <c r="S137">
        <f t="shared" ref="S137" si="663">R137/100000</f>
        <v>863.23528309779374</v>
      </c>
      <c r="T137">
        <f t="shared" ref="T137" si="664">S137/1000</f>
        <v>0.86323528309779374</v>
      </c>
    </row>
    <row r="138" spans="1:20" x14ac:dyDescent="0.25">
      <c r="A138" s="5">
        <v>44455</v>
      </c>
      <c r="B138">
        <v>9.24</v>
      </c>
      <c r="C138">
        <v>9.3729999999999993</v>
      </c>
      <c r="D138">
        <v>8.43</v>
      </c>
      <c r="E138">
        <v>8.73</v>
      </c>
      <c r="F138">
        <v>8995826.5</v>
      </c>
      <c r="G138">
        <v>8.73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-0.36373276776245844</v>
      </c>
      <c r="Q138">
        <f t="shared" ref="Q138" si="666">F138*P138</f>
        <v>-3272076.8711558692</v>
      </c>
      <c r="R138">
        <f t="shared" ref="R138" si="667">R139+Q138</f>
        <v>89858536.131975383</v>
      </c>
      <c r="S138">
        <f t="shared" ref="S138" si="668">R138/100000</f>
        <v>898.58536131975382</v>
      </c>
      <c r="T138">
        <f t="shared" ref="T138" si="669">S138/1000</f>
        <v>0.89858536131975386</v>
      </c>
    </row>
    <row r="139" spans="1:20" x14ac:dyDescent="0.25">
      <c r="A139" s="5">
        <v>44454</v>
      </c>
      <c r="B139">
        <v>8.609</v>
      </c>
      <c r="C139">
        <v>9.67</v>
      </c>
      <c r="D139">
        <v>8.5389999999999997</v>
      </c>
      <c r="E139">
        <v>9.2420000000000009</v>
      </c>
      <c r="F139">
        <v>11966278.6</v>
      </c>
      <c r="G139">
        <v>9.2420000000000009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0.24314765694076224</v>
      </c>
      <c r="Q139">
        <f t="shared" ref="Q139" si="671">F139*P139</f>
        <v>2909572.6038903845</v>
      </c>
      <c r="R139">
        <f t="shared" ref="R139" si="672">R140+Q139</f>
        <v>93130613.003131256</v>
      </c>
      <c r="S139">
        <f t="shared" ref="S139" si="673">R139/100000</f>
        <v>931.30613003131259</v>
      </c>
      <c r="T139">
        <f t="shared" ref="T139" si="674">S139/1000</f>
        <v>0.93130613003131257</v>
      </c>
    </row>
    <row r="140" spans="1:20" x14ac:dyDescent="0.25">
      <c r="A140" s="5">
        <v>44453</v>
      </c>
      <c r="B140">
        <v>8.2040000000000006</v>
      </c>
      <c r="C140">
        <v>9.3390000000000004</v>
      </c>
      <c r="D140">
        <v>8.0619999999999994</v>
      </c>
      <c r="E140">
        <v>8.6120000000000001</v>
      </c>
      <c r="F140">
        <v>13959223.9</v>
      </c>
      <c r="G140">
        <v>8.6120000000000001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-0.13860610806577875</v>
      </c>
      <c r="Q140">
        <f t="shared" ref="Q140" si="676">F140*P140</f>
        <v>-1934833.6963978016</v>
      </c>
      <c r="R140">
        <f t="shared" ref="R140" si="677">R141+Q140</f>
        <v>90221040.399240866</v>
      </c>
      <c r="S140">
        <f t="shared" ref="S140" si="678">R140/100000</f>
        <v>902.21040399240871</v>
      </c>
      <c r="T140">
        <f t="shared" ref="T140" si="679">S140/1000</f>
        <v>0.9022104039924087</v>
      </c>
    </row>
    <row r="141" spans="1:20" x14ac:dyDescent="0.25">
      <c r="A141" s="5">
        <v>44452</v>
      </c>
      <c r="B141">
        <v>8.9440000000000008</v>
      </c>
      <c r="C141">
        <v>9.0399999999999991</v>
      </c>
      <c r="D141">
        <v>7.7039999999999997</v>
      </c>
      <c r="E141">
        <v>8.2010000000000005</v>
      </c>
      <c r="F141">
        <v>15411427.1</v>
      </c>
      <c r="G141">
        <v>8.2010000000000005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-0.2559880239520943</v>
      </c>
      <c r="Q141">
        <f t="shared" ref="Q141" si="681">F141*P141</f>
        <v>-3945140.7696107551</v>
      </c>
      <c r="R141">
        <f t="shared" ref="R141" si="682">R142+Q141</f>
        <v>92155874.095638663</v>
      </c>
      <c r="S141">
        <f t="shared" ref="S141" si="683">R141/100000</f>
        <v>921.5587409563866</v>
      </c>
      <c r="T141">
        <f t="shared" ref="T141" si="684">S141/1000</f>
        <v>0.92155874095638657</v>
      </c>
    </row>
    <row r="142" spans="1:20" x14ac:dyDescent="0.25">
      <c r="A142" s="5">
        <v>44451</v>
      </c>
      <c r="B142">
        <v>9.0549999999999997</v>
      </c>
      <c r="C142">
        <v>9.8000000000000007</v>
      </c>
      <c r="D142">
        <v>8.3109999999999999</v>
      </c>
      <c r="E142">
        <v>8.9420000000000002</v>
      </c>
      <c r="F142">
        <v>17466297.5</v>
      </c>
      <c r="G142">
        <v>8.9420000000000002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-0.15245130960376105</v>
      </c>
      <c r="Q142">
        <f t="shared" ref="Q142" si="686">F142*P142</f>
        <v>-2662759.9278038978</v>
      </c>
      <c r="R142">
        <f t="shared" ref="R142" si="687">R143+Q142</f>
        <v>96101014.865249425</v>
      </c>
      <c r="S142">
        <f t="shared" ref="S142" si="688">R142/100000</f>
        <v>961.01014865249431</v>
      </c>
      <c r="T142">
        <f t="shared" ref="T142" si="689">S142/1000</f>
        <v>0.96101014865249434</v>
      </c>
    </row>
    <row r="143" spans="1:20" x14ac:dyDescent="0.25">
      <c r="A143" s="5">
        <v>44450</v>
      </c>
      <c r="B143">
        <v>9.9359999999999999</v>
      </c>
      <c r="C143">
        <v>9.9949999999999992</v>
      </c>
      <c r="D143">
        <v>8.7230000000000008</v>
      </c>
      <c r="E143">
        <v>9.0500000000000007</v>
      </c>
      <c r="F143">
        <v>18652983.199999999</v>
      </c>
      <c r="G143">
        <v>9.0500000000000007</v>
      </c>
      <c r="L143" t="s">
        <v>8</v>
      </c>
      <c r="M143" t="s">
        <v>7</v>
      </c>
      <c r="N143" t="s">
        <v>8</v>
      </c>
      <c r="P143">
        <f t="shared" ref="P143" si="690">IF(C143=D143,0,((E143-D143)-(C143-E143))/(C143-D143))</f>
        <v>-0.48584905660377303</v>
      </c>
      <c r="Q143">
        <f t="shared" ref="Q143" si="691">F143*P143</f>
        <v>-9062534.2905660272</v>
      </c>
      <c r="R143">
        <f t="shared" ref="R143" si="692">R144+Q143</f>
        <v>98763774.793053329</v>
      </c>
      <c r="S143">
        <f t="shared" ref="S143" si="693">R143/100000</f>
        <v>987.63774793053324</v>
      </c>
      <c r="T143">
        <f t="shared" ref="T143" si="694">S143/1000</f>
        <v>0.98763774793053327</v>
      </c>
    </row>
    <row r="144" spans="1:20" x14ac:dyDescent="0.25">
      <c r="A144" s="5">
        <v>44449</v>
      </c>
      <c r="B144">
        <v>9.73</v>
      </c>
      <c r="C144">
        <v>10.426</v>
      </c>
      <c r="D144">
        <v>8.5609999999999999</v>
      </c>
      <c r="E144">
        <v>9.9329999999999998</v>
      </c>
      <c r="F144">
        <v>29264265.199999999</v>
      </c>
      <c r="G144">
        <v>9.9329999999999998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0.47131367292225174</v>
      </c>
      <c r="Q144">
        <f t="shared" ref="Q144" si="696">F144*P144</f>
        <v>13792648.316782834</v>
      </c>
      <c r="R144">
        <f t="shared" ref="R144" si="697">R145+Q144</f>
        <v>107826309.08361936</v>
      </c>
      <c r="S144">
        <f t="shared" ref="S144" si="698">R144/100000</f>
        <v>1078.2630908361937</v>
      </c>
      <c r="T144">
        <f t="shared" ref="T144" si="699">S144/1000</f>
        <v>1.0782630908361936</v>
      </c>
    </row>
    <row r="145" spans="1:20" x14ac:dyDescent="0.25">
      <c r="A145" s="5">
        <v>44448</v>
      </c>
      <c r="B145">
        <v>10.371</v>
      </c>
      <c r="C145">
        <v>11.88</v>
      </c>
      <c r="D145">
        <v>9.6199999999999992</v>
      </c>
      <c r="E145">
        <v>9.7200000000000006</v>
      </c>
      <c r="F145">
        <v>43251049.659999996</v>
      </c>
      <c r="G145">
        <v>9.7200000000000006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-0.91150442477875981</v>
      </c>
      <c r="Q145">
        <f t="shared" ref="Q145" si="701">F145*P145</f>
        <v>-39423523.141415872</v>
      </c>
      <c r="R145">
        <f t="shared" ref="R145" si="702">R146+Q145</f>
        <v>94033660.766836524</v>
      </c>
      <c r="S145">
        <f t="shared" ref="S145" si="703">R145/100000</f>
        <v>940.33660766836522</v>
      </c>
      <c r="T145">
        <f t="shared" ref="T145" si="704">S145/1000</f>
        <v>0.94033660766836524</v>
      </c>
    </row>
    <row r="146" spans="1:20" x14ac:dyDescent="0.25">
      <c r="A146" s="5">
        <v>44447</v>
      </c>
      <c r="B146">
        <v>8.67</v>
      </c>
      <c r="C146">
        <v>11.05</v>
      </c>
      <c r="D146">
        <v>7.36</v>
      </c>
      <c r="E146">
        <v>10.391</v>
      </c>
      <c r="F146">
        <v>85075795.939999998</v>
      </c>
      <c r="G146">
        <v>10.391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0.64281842818428148</v>
      </c>
      <c r="Q146">
        <f t="shared" ref="Q146" si="706">F146*P146</f>
        <v>54688289.422677472</v>
      </c>
      <c r="R146">
        <f t="shared" ref="R146" si="707">R147+Q146</f>
        <v>133457183.90825239</v>
      </c>
      <c r="S146">
        <f t="shared" ref="S146" si="708">R146/100000</f>
        <v>1334.5718390825239</v>
      </c>
      <c r="T146">
        <f t="shared" ref="T146" si="709">S146/1000</f>
        <v>1.3345718390825239</v>
      </c>
    </row>
    <row r="147" spans="1:20" x14ac:dyDescent="0.25">
      <c r="A147" s="5">
        <v>44446</v>
      </c>
      <c r="B147">
        <v>6.1</v>
      </c>
      <c r="C147">
        <v>8.8787000000000003</v>
      </c>
      <c r="D147">
        <v>5.45</v>
      </c>
      <c r="E147">
        <v>8.6739999999999995</v>
      </c>
      <c r="F147">
        <v>65537370.130000003</v>
      </c>
      <c r="G147">
        <v>8.6739999999999995</v>
      </c>
      <c r="L147" t="s">
        <v>7</v>
      </c>
      <c r="M147" t="s">
        <v>7</v>
      </c>
      <c r="N147" t="s">
        <v>8</v>
      </c>
      <c r="P147">
        <f t="shared" ref="P147" si="710">IF(C147=D147,0,((E147-D147)-(C147-E147))/(C147-D147))</f>
        <v>0.88059614431125455</v>
      </c>
      <c r="Q147">
        <f t="shared" ref="Q147" si="711">F147*P147</f>
        <v>57711955.444777586</v>
      </c>
      <c r="R147">
        <f t="shared" ref="R147" si="712">R148+Q147</f>
        <v>78768894.485574916</v>
      </c>
      <c r="S147">
        <f t="shared" ref="S147" si="713">R147/100000</f>
        <v>787.68894485574913</v>
      </c>
      <c r="T147">
        <f t="shared" ref="T147" si="714">S147/1000</f>
        <v>0.78768894485574914</v>
      </c>
    </row>
    <row r="148" spans="1:20" x14ac:dyDescent="0.25">
      <c r="A148" s="5">
        <v>44445</v>
      </c>
      <c r="B148">
        <v>6.14</v>
      </c>
      <c r="C148">
        <v>6.4349999999999996</v>
      </c>
      <c r="D148">
        <v>5.7309999999999999</v>
      </c>
      <c r="E148">
        <v>6.1</v>
      </c>
      <c r="F148">
        <v>9120920.5</v>
      </c>
      <c r="G148">
        <v>6.1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4.8295454545454294E-2</v>
      </c>
      <c r="Q148">
        <f t="shared" ref="Q148" si="716">F148*P148</f>
        <v>440499.00142045226</v>
      </c>
      <c r="R148">
        <f t="shared" ref="R148" si="717">R149+Q148</f>
        <v>21056939.04079733</v>
      </c>
      <c r="S148">
        <f t="shared" ref="S148" si="718">R148/100000</f>
        <v>210.56939040797332</v>
      </c>
      <c r="T148">
        <f t="shared" ref="T148" si="719">S148/1000</f>
        <v>0.21056939040797332</v>
      </c>
    </row>
    <row r="149" spans="1:20" x14ac:dyDescent="0.25">
      <c r="A149" s="5">
        <v>44444</v>
      </c>
      <c r="B149">
        <v>6.077</v>
      </c>
      <c r="C149">
        <v>6.1929999999999996</v>
      </c>
      <c r="D149">
        <v>5.8639999999999999</v>
      </c>
      <c r="E149">
        <v>6.14</v>
      </c>
      <c r="F149">
        <v>7354211.2000000002</v>
      </c>
      <c r="G149">
        <v>6.14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0.67781155015197581</v>
      </c>
      <c r="Q149">
        <f t="shared" ref="Q149" si="721">F149*P149</f>
        <v>4984769.2936170222</v>
      </c>
      <c r="R149">
        <f t="shared" ref="R149" si="722">R150+Q149</f>
        <v>20616440.039376877</v>
      </c>
      <c r="S149">
        <f t="shared" ref="S149" si="723">R149/100000</f>
        <v>206.16440039376877</v>
      </c>
      <c r="T149">
        <f t="shared" ref="T149" si="724">S149/1000</f>
        <v>0.20616440039376877</v>
      </c>
    </row>
    <row r="150" spans="1:20" x14ac:dyDescent="0.25">
      <c r="A150" s="5">
        <v>44443</v>
      </c>
      <c r="B150">
        <v>6.1710000000000003</v>
      </c>
      <c r="C150">
        <v>6.3769999999999998</v>
      </c>
      <c r="D150">
        <v>6</v>
      </c>
      <c r="E150">
        <v>6.077</v>
      </c>
      <c r="F150">
        <v>8897737.4000000004</v>
      </c>
      <c r="G150">
        <v>6.077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-0.59151193633952248</v>
      </c>
      <c r="Q150">
        <f t="shared" ref="Q150" si="726">F150*P150</f>
        <v>-5263117.8785145888</v>
      </c>
      <c r="R150">
        <f t="shared" ref="R150" si="727">R151+Q150</f>
        <v>15631670.745759856</v>
      </c>
      <c r="S150">
        <f t="shared" ref="S150" si="728">R150/100000</f>
        <v>156.31670745759857</v>
      </c>
      <c r="T150">
        <f t="shared" ref="T150" si="729">S150/1000</f>
        <v>0.15631670745759857</v>
      </c>
    </row>
    <row r="151" spans="1:20" x14ac:dyDescent="0.25">
      <c r="A151" s="5">
        <v>44442</v>
      </c>
      <c r="B151">
        <v>5.49</v>
      </c>
      <c r="C151">
        <v>6.8817000000000004</v>
      </c>
      <c r="D151">
        <v>5.48</v>
      </c>
      <c r="E151">
        <v>6.1680000000000001</v>
      </c>
      <c r="F151">
        <v>23936687.030000001</v>
      </c>
      <c r="G151">
        <v>6.1680000000000001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-1.8334879075408789E-2</v>
      </c>
      <c r="Q151">
        <f t="shared" ref="Q151" si="731">F151*P151</f>
        <v>-438876.26216095599</v>
      </c>
      <c r="R151">
        <f t="shared" ref="R151" si="732">R152+Q151</f>
        <v>20894788.624274444</v>
      </c>
      <c r="S151">
        <f t="shared" ref="S151" si="733">R151/100000</f>
        <v>208.94788624274443</v>
      </c>
      <c r="T151">
        <f t="shared" ref="T151" si="734">S151/1000</f>
        <v>0.20894788624274444</v>
      </c>
    </row>
    <row r="152" spans="1:20" x14ac:dyDescent="0.25">
      <c r="A152" s="5">
        <v>44441</v>
      </c>
      <c r="B152">
        <v>5.4930000000000003</v>
      </c>
      <c r="C152">
        <v>5.6840000000000002</v>
      </c>
      <c r="D152">
        <v>5.4050000000000002</v>
      </c>
      <c r="E152">
        <v>5.49</v>
      </c>
      <c r="F152">
        <v>5780225.4000000004</v>
      </c>
      <c r="G152">
        <v>5.49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-0.39068100358422947</v>
      </c>
      <c r="Q152">
        <f t="shared" ref="Q152" si="736">F152*P152</f>
        <v>-2258224.2602150543</v>
      </c>
      <c r="R152">
        <f t="shared" ref="R152" si="737">R153+Q152</f>
        <v>21333664.886435401</v>
      </c>
      <c r="S152">
        <f t="shared" ref="S152" si="738">R152/100000</f>
        <v>213.336648864354</v>
      </c>
      <c r="T152">
        <f t="shared" ref="T152" si="739">S152/1000</f>
        <v>0.21333664886435399</v>
      </c>
    </row>
    <row r="153" spans="1:20" x14ac:dyDescent="0.25">
      <c r="A153" s="5">
        <v>44440</v>
      </c>
      <c r="B153">
        <v>5.2759999999999998</v>
      </c>
      <c r="C153">
        <v>5.6020000000000003</v>
      </c>
      <c r="D153">
        <v>5.117</v>
      </c>
      <c r="E153">
        <v>5.4969999999999999</v>
      </c>
      <c r="F153">
        <v>6182135.0999999996</v>
      </c>
      <c r="G153">
        <v>5.4969999999999999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0.56701030927834906</v>
      </c>
      <c r="Q153">
        <f t="shared" ref="Q153" si="741">F153*P153</f>
        <v>3505334.335051537</v>
      </c>
      <c r="R153">
        <f t="shared" ref="R153" si="742">R154+Q153</f>
        <v>23591889.146650456</v>
      </c>
      <c r="S153">
        <f t="shared" ref="S153" si="743">R153/100000</f>
        <v>235.91889146650456</v>
      </c>
      <c r="T153">
        <f t="shared" ref="T153" si="744">S153/1000</f>
        <v>0.23591889146650455</v>
      </c>
    </row>
    <row r="154" spans="1:20" x14ac:dyDescent="0.25">
      <c r="A154" s="5">
        <v>44439</v>
      </c>
      <c r="B154">
        <v>5.3239999999999998</v>
      </c>
      <c r="C154">
        <v>5.5279999999999996</v>
      </c>
      <c r="D154">
        <v>5.0970000000000004</v>
      </c>
      <c r="E154">
        <v>5.2770000000000001</v>
      </c>
      <c r="F154">
        <v>8788606.6999999993</v>
      </c>
      <c r="G154">
        <v>5.2770000000000001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-0.16473317865429205</v>
      </c>
      <c r="Q154">
        <f t="shared" ref="Q154" si="746">F154*P154</f>
        <v>-1447775.1176334079</v>
      </c>
      <c r="R154">
        <f t="shared" ref="R154" si="747">R155+Q154</f>
        <v>20086554.811598919</v>
      </c>
      <c r="S154">
        <f t="shared" ref="S154" si="748">R154/100000</f>
        <v>200.86554811598918</v>
      </c>
      <c r="T154">
        <f t="shared" ref="T154" si="749">S154/1000</f>
        <v>0.2008655481159892</v>
      </c>
    </row>
    <row r="155" spans="1:20" x14ac:dyDescent="0.25">
      <c r="A155" s="5">
        <v>44438</v>
      </c>
      <c r="B155">
        <v>5.548</v>
      </c>
      <c r="C155">
        <v>5.8879999999999999</v>
      </c>
      <c r="D155">
        <v>5.234</v>
      </c>
      <c r="E155">
        <v>5.3239999999999998</v>
      </c>
      <c r="F155">
        <v>10821251.9</v>
      </c>
      <c r="G155">
        <v>5.3239999999999998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-0.72477064220183529</v>
      </c>
      <c r="Q155">
        <f t="shared" ref="Q155" si="751">F155*P155</f>
        <v>-7842925.6889908304</v>
      </c>
      <c r="R155">
        <f t="shared" ref="R155" si="752">R156+Q155</f>
        <v>21534329.929232329</v>
      </c>
      <c r="S155">
        <f t="shared" ref="S155" si="753">R155/100000</f>
        <v>215.34329929232328</v>
      </c>
      <c r="T155">
        <f t="shared" ref="T155" si="754">S155/1000</f>
        <v>0.21534329929232329</v>
      </c>
    </row>
    <row r="156" spans="1:20" x14ac:dyDescent="0.25">
      <c r="A156" s="5">
        <v>44437</v>
      </c>
      <c r="B156">
        <v>5.7190000000000003</v>
      </c>
      <c r="C156">
        <v>6.2249999999999996</v>
      </c>
      <c r="D156">
        <v>5.5359999999999996</v>
      </c>
      <c r="E156">
        <v>5.5460000000000003</v>
      </c>
      <c r="F156">
        <v>16018887.300000001</v>
      </c>
      <c r="G156">
        <v>5.5460000000000003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-0.97097242380261051</v>
      </c>
      <c r="Q156">
        <f t="shared" ref="Q156" si="756">F156*P156</f>
        <v>-15553897.828301856</v>
      </c>
      <c r="R156">
        <f t="shared" ref="R156" si="757">R157+Q156</f>
        <v>29377255.618223161</v>
      </c>
      <c r="S156">
        <f t="shared" ref="S156" si="758">R156/100000</f>
        <v>293.7725561822316</v>
      </c>
      <c r="T156">
        <f t="shared" ref="T156" si="759">S156/1000</f>
        <v>0.29377255618223158</v>
      </c>
    </row>
    <row r="157" spans="1:20" x14ac:dyDescent="0.25">
      <c r="A157" s="5">
        <v>44436</v>
      </c>
      <c r="B157">
        <v>5.3170000000000002</v>
      </c>
      <c r="C157">
        <v>5.8</v>
      </c>
      <c r="D157">
        <v>5.0540000000000003</v>
      </c>
      <c r="E157">
        <v>5.7169999999999996</v>
      </c>
      <c r="F157">
        <v>10856617.01</v>
      </c>
      <c r="G157">
        <v>5.7169999999999996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0.77747989276139351</v>
      </c>
      <c r="Q157">
        <f t="shared" ref="Q157" si="761">F157*P157</f>
        <v>8440801.4286863208</v>
      </c>
      <c r="R157">
        <f t="shared" ref="R157" si="762">R158+Q157</f>
        <v>44931153.446525015</v>
      </c>
      <c r="S157">
        <f t="shared" ref="S157" si="763">R157/100000</f>
        <v>449.31153446525013</v>
      </c>
      <c r="T157">
        <f t="shared" ref="T157" si="764">S157/1000</f>
        <v>0.44931153446525013</v>
      </c>
    </row>
    <row r="158" spans="1:20" x14ac:dyDescent="0.25">
      <c r="A158" s="5">
        <v>44435</v>
      </c>
      <c r="B158">
        <v>4.8659999999999997</v>
      </c>
      <c r="C158">
        <v>5.3979999999999997</v>
      </c>
      <c r="D158">
        <v>4.6050000000000004</v>
      </c>
      <c r="E158">
        <v>5.3159999999999998</v>
      </c>
      <c r="F158">
        <v>10385846.060000001</v>
      </c>
      <c r="G158">
        <v>5.3159999999999998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0.79319041614123598</v>
      </c>
      <c r="Q158">
        <f t="shared" ref="Q158" si="766">F158*P158</f>
        <v>8237953.5583102163</v>
      </c>
      <c r="R158">
        <f t="shared" ref="R158" si="767">R159+Q158</f>
        <v>36490352.017838694</v>
      </c>
      <c r="S158">
        <f t="shared" ref="S158" si="768">R158/100000</f>
        <v>364.90352017838694</v>
      </c>
      <c r="T158">
        <f t="shared" ref="T158" si="769">S158/1000</f>
        <v>0.36490352017838695</v>
      </c>
    </row>
    <row r="159" spans="1:20" x14ac:dyDescent="0.25">
      <c r="A159" s="5">
        <v>44434</v>
      </c>
      <c r="B159">
        <v>5.5871000000000004</v>
      </c>
      <c r="C159">
        <v>5.7675999999999998</v>
      </c>
      <c r="D159">
        <v>4.8010000000000002</v>
      </c>
      <c r="E159">
        <v>4.87</v>
      </c>
      <c r="F159">
        <v>13079598.42</v>
      </c>
      <c r="G159">
        <v>4.87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-0.85723153320918688</v>
      </c>
      <c r="Q159">
        <f t="shared" ref="Q159" si="771">F159*P159</f>
        <v>-11212244.207337059</v>
      </c>
      <c r="R159">
        <f t="shared" ref="R159" si="772">R160+Q159</f>
        <v>28252398.459528476</v>
      </c>
      <c r="S159">
        <f t="shared" ref="S159" si="773">R159/100000</f>
        <v>282.52398459528479</v>
      </c>
      <c r="T159">
        <f t="shared" ref="T159" si="774">S159/1000</f>
        <v>0.28252398459528477</v>
      </c>
    </row>
    <row r="160" spans="1:20" x14ac:dyDescent="0.25">
      <c r="A160" s="5">
        <v>44433</v>
      </c>
      <c r="B160">
        <v>5.0434000000000001</v>
      </c>
      <c r="C160">
        <v>5.6059999999999999</v>
      </c>
      <c r="D160">
        <v>4.8101000000000003</v>
      </c>
      <c r="E160">
        <v>5.5808</v>
      </c>
      <c r="F160">
        <v>13844459.369999999</v>
      </c>
      <c r="G160">
        <v>5.5808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0.93667546174142502</v>
      </c>
      <c r="Q160">
        <f t="shared" ref="Q160" si="776">F160*P160</f>
        <v>12967765.372955147</v>
      </c>
      <c r="R160">
        <f t="shared" ref="R160" si="777">R161+Q160</f>
        <v>39464642.666865535</v>
      </c>
      <c r="S160">
        <f t="shared" ref="S160" si="778">R160/100000</f>
        <v>394.64642666865535</v>
      </c>
      <c r="T160">
        <f t="shared" ref="T160" si="779">S160/1000</f>
        <v>0.39464642666865535</v>
      </c>
    </row>
    <row r="161" spans="1:20" x14ac:dyDescent="0.25">
      <c r="A161" s="5">
        <v>44432</v>
      </c>
      <c r="B161">
        <v>5.4913999999999996</v>
      </c>
      <c r="C161">
        <v>5.75</v>
      </c>
      <c r="D161">
        <v>4.8692000000000002</v>
      </c>
      <c r="E161">
        <v>5.0472000000000001</v>
      </c>
      <c r="F161">
        <v>12775794.689999999</v>
      </c>
      <c r="G161">
        <v>5.0472000000000001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-0.59582198001816533</v>
      </c>
      <c r="Q161">
        <f t="shared" ref="Q161" si="781">F161*P161</f>
        <v>-7612099.2885013623</v>
      </c>
      <c r="R161">
        <f t="shared" ref="R161" si="782">R162+Q161</f>
        <v>26496877.293910388</v>
      </c>
      <c r="S161">
        <f t="shared" ref="S161" si="783">R161/100000</f>
        <v>264.96877293910387</v>
      </c>
      <c r="T161">
        <f t="shared" ref="T161" si="784">S161/1000</f>
        <v>0.26496877293910387</v>
      </c>
    </row>
    <row r="162" spans="1:20" x14ac:dyDescent="0.25">
      <c r="A162" s="5">
        <v>44431</v>
      </c>
      <c r="B162">
        <v>5.4535999999999998</v>
      </c>
      <c r="C162">
        <v>5.8952</v>
      </c>
      <c r="D162">
        <v>5.3667999999999996</v>
      </c>
      <c r="E162">
        <v>5.4911000000000003</v>
      </c>
      <c r="F162">
        <v>12240971.619999999</v>
      </c>
      <c r="G162">
        <v>5.4911000000000003</v>
      </c>
      <c r="L162" t="s">
        <v>7</v>
      </c>
      <c r="M162" t="s">
        <v>7</v>
      </c>
      <c r="N162" t="s">
        <v>8</v>
      </c>
      <c r="P162">
        <f t="shared" ref="P162" si="785">IF(C162=D162,0,((E162-D162)-(C162-E162))/(C162-D162))</f>
        <v>-0.52952308856926322</v>
      </c>
      <c r="Q162">
        <f t="shared" ref="Q162" si="786">F162*P162</f>
        <v>-6481877.0993110975</v>
      </c>
      <c r="R162">
        <f t="shared" ref="R162" si="787">R163+Q162</f>
        <v>34108976.582411751</v>
      </c>
      <c r="S162">
        <f t="shared" ref="S162" si="788">R162/100000</f>
        <v>341.08976582411753</v>
      </c>
      <c r="T162">
        <f t="shared" ref="T162" si="789">S162/1000</f>
        <v>0.34108976582411754</v>
      </c>
    </row>
    <row r="163" spans="1:20" x14ac:dyDescent="0.25">
      <c r="A163" s="5">
        <v>44430</v>
      </c>
      <c r="B163">
        <v>6.1802999999999999</v>
      </c>
      <c r="C163">
        <v>6.5960999999999999</v>
      </c>
      <c r="D163">
        <v>5.7412999999999998</v>
      </c>
      <c r="E163">
        <v>5.8395999999999999</v>
      </c>
      <c r="F163">
        <v>11457462.77</v>
      </c>
      <c r="G163">
        <v>5.8395999999999999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-0.77000467945718287</v>
      </c>
      <c r="Q163">
        <f t="shared" ref="Q163" si="791">F163*P163</f>
        <v>-8822299.9476064555</v>
      </c>
      <c r="R163">
        <f t="shared" ref="R163" si="792">R164+Q163</f>
        <v>40590853.68172285</v>
      </c>
      <c r="S163">
        <f t="shared" ref="S163" si="793">R163/100000</f>
        <v>405.90853681722848</v>
      </c>
      <c r="T163">
        <f t="shared" ref="T163" si="794">S163/1000</f>
        <v>0.40590853681722849</v>
      </c>
    </row>
    <row r="164" spans="1:20" x14ac:dyDescent="0.25">
      <c r="A164" s="5">
        <v>44429</v>
      </c>
      <c r="B164">
        <v>4.4126000000000003</v>
      </c>
      <c r="C164">
        <v>6.25</v>
      </c>
      <c r="D164">
        <v>4.3106999999999998</v>
      </c>
      <c r="E164">
        <v>6.1849999999999996</v>
      </c>
      <c r="F164">
        <v>24554012.170000002</v>
      </c>
      <c r="G164">
        <v>6.1849999999999996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0.93296550301655201</v>
      </c>
      <c r="Q164">
        <f t="shared" ref="Q164" si="796">F164*P164</f>
        <v>22908046.315258592</v>
      </c>
      <c r="R164">
        <f t="shared" ref="R164" si="797">R165+Q164</f>
        <v>49413153.629329309</v>
      </c>
      <c r="S164">
        <f t="shared" ref="S164" si="798">R164/100000</f>
        <v>494.1315362932931</v>
      </c>
      <c r="T164">
        <f t="shared" ref="T164" si="799">S164/1000</f>
        <v>0.49413153629329309</v>
      </c>
    </row>
    <row r="165" spans="1:20" x14ac:dyDescent="0.25">
      <c r="A165" s="5">
        <v>44428</v>
      </c>
      <c r="B165">
        <v>4.4874000000000001</v>
      </c>
      <c r="C165">
        <v>4.6177000000000001</v>
      </c>
      <c r="D165">
        <v>4.3093000000000004</v>
      </c>
      <c r="E165">
        <v>4.41</v>
      </c>
      <c r="F165">
        <v>7869110.46</v>
      </c>
      <c r="G165">
        <v>4.41</v>
      </c>
      <c r="L165" t="s">
        <v>7</v>
      </c>
      <c r="M165" t="s">
        <v>8</v>
      </c>
      <c r="N165" t="s">
        <v>8</v>
      </c>
      <c r="P165">
        <f t="shared" ref="P165" si="800">IF(C165=D165,0,((E165-D165)-(C165-E165))/(C165-D165))</f>
        <v>-0.34695201037613582</v>
      </c>
      <c r="Q165">
        <f t="shared" ref="Q165" si="801">F165*P165</f>
        <v>-2730203.6939688791</v>
      </c>
      <c r="R165">
        <f t="shared" ref="R165" si="802">R166+Q165</f>
        <v>26505107.314070717</v>
      </c>
      <c r="S165">
        <f t="shared" ref="S165" si="803">R165/100000</f>
        <v>265.05107314070716</v>
      </c>
      <c r="T165">
        <f t="shared" ref="T165" si="804">S165/1000</f>
        <v>0.26505107314070714</v>
      </c>
    </row>
    <row r="166" spans="1:20" x14ac:dyDescent="0.25">
      <c r="A166" s="5">
        <v>44427</v>
      </c>
      <c r="B166">
        <v>4.4377000000000004</v>
      </c>
      <c r="C166">
        <v>4.82</v>
      </c>
      <c r="D166">
        <v>4.1529999999999996</v>
      </c>
      <c r="E166">
        <v>4.4798999999999998</v>
      </c>
      <c r="F166">
        <v>15312811.65</v>
      </c>
      <c r="G166">
        <v>4.4798999999999998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-1.9790104947526699E-2</v>
      </c>
      <c r="Q166">
        <f t="shared" ref="Q166" si="806">F166*P166</f>
        <v>-303042.14959520946</v>
      </c>
      <c r="R166">
        <f t="shared" ref="R166" si="807">R167+Q166</f>
        <v>29235311.008039594</v>
      </c>
      <c r="S166">
        <f t="shared" ref="S166" si="808">R166/100000</f>
        <v>292.35311008039594</v>
      </c>
      <c r="T166">
        <f t="shared" ref="T166" si="809">S166/1000</f>
        <v>0.29235311008039594</v>
      </c>
    </row>
    <row r="167" spans="1:20" x14ac:dyDescent="0.25">
      <c r="A167" s="5">
        <v>44426</v>
      </c>
      <c r="B167">
        <v>3.7311999999999999</v>
      </c>
      <c r="C167">
        <v>4.5648999999999997</v>
      </c>
      <c r="D167">
        <v>3.6000999999999999</v>
      </c>
      <c r="E167">
        <v>4.4377000000000004</v>
      </c>
      <c r="F167">
        <v>25691359.870000001</v>
      </c>
      <c r="G167">
        <v>4.4377000000000004</v>
      </c>
      <c r="L167" t="s">
        <v>8</v>
      </c>
      <c r="M167" t="s">
        <v>8</v>
      </c>
      <c r="N167" t="s">
        <v>8</v>
      </c>
      <c r="P167">
        <f t="shared" ref="P167" si="810">IF(C167=D167,0,((E167-D167)-(C167-E167))/(C167-D167))</f>
        <v>0.73631840796020043</v>
      </c>
      <c r="Q167">
        <f t="shared" ref="Q167" si="811">F167*P167</f>
        <v>18917021.197810981</v>
      </c>
      <c r="R167">
        <f t="shared" ref="R167" si="812">R168+Q167</f>
        <v>29538353.157634802</v>
      </c>
      <c r="S167">
        <f t="shared" ref="S167" si="813">R167/100000</f>
        <v>295.38353157634805</v>
      </c>
      <c r="T167">
        <f t="shared" ref="T167" si="814">S167/1000</f>
        <v>0.29538353157634806</v>
      </c>
    </row>
    <row r="168" spans="1:20" x14ac:dyDescent="0.25">
      <c r="A168" s="5">
        <v>44425</v>
      </c>
      <c r="B168">
        <v>3.4613999999999998</v>
      </c>
      <c r="C168">
        <v>4</v>
      </c>
      <c r="D168">
        <v>3.3733</v>
      </c>
      <c r="E168">
        <v>3.7311999999999999</v>
      </c>
      <c r="F168">
        <v>19931245.219999999</v>
      </c>
      <c r="G168">
        <v>3.7311999999999999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0.14217328865485834</v>
      </c>
      <c r="Q168">
        <f t="shared" ref="Q168" si="816">F168*P168</f>
        <v>2833690.6799138254</v>
      </c>
      <c r="R168">
        <f t="shared" ref="R168" si="817">R169+Q168</f>
        <v>10621331.959823819</v>
      </c>
      <c r="S168">
        <f t="shared" ref="S168" si="818">R168/100000</f>
        <v>106.21331959823819</v>
      </c>
      <c r="T168">
        <f t="shared" ref="T168" si="819">S168/1000</f>
        <v>0.10621331959823818</v>
      </c>
    </row>
    <row r="169" spans="1:20" x14ac:dyDescent="0.25">
      <c r="A169" s="5">
        <v>44424</v>
      </c>
      <c r="B169">
        <v>3.2258</v>
      </c>
      <c r="C169">
        <v>3.5659000000000001</v>
      </c>
      <c r="D169">
        <v>3.214</v>
      </c>
      <c r="E169">
        <v>3.4613999999999998</v>
      </c>
      <c r="F169">
        <v>9142952.9100000001</v>
      </c>
      <c r="G169">
        <v>3.4613999999999998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0.40608127308894443</v>
      </c>
      <c r="Q169">
        <f t="shared" ref="Q169" si="821">F169*P169</f>
        <v>3712781.9574850691</v>
      </c>
      <c r="R169">
        <f t="shared" ref="R169" si="822">R170+Q169</f>
        <v>7787641.2799099935</v>
      </c>
      <c r="S169">
        <f t="shared" ref="S169" si="823">R169/100000</f>
        <v>77.876412799099938</v>
      </c>
      <c r="T169">
        <f t="shared" ref="T169" si="824">S169/1000</f>
        <v>7.7876412799099945E-2</v>
      </c>
    </row>
    <row r="170" spans="1:20" x14ac:dyDescent="0.25">
      <c r="A170" s="5">
        <v>44423</v>
      </c>
      <c r="B170">
        <v>3.2446000000000002</v>
      </c>
      <c r="C170">
        <v>3.2768999999999999</v>
      </c>
      <c r="D170">
        <v>3.0122</v>
      </c>
      <c r="E170">
        <v>3.2256999999999998</v>
      </c>
      <c r="F170">
        <v>6365488.0300000003</v>
      </c>
      <c r="G170">
        <v>3.2256999999999998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0.61314695882130599</v>
      </c>
      <c r="Q170">
        <f t="shared" ref="Q170" si="826">F170*P170</f>
        <v>3902979.6270079263</v>
      </c>
      <c r="R170">
        <f t="shared" ref="R170" si="827">R171+Q170</f>
        <v>4074859.3224249245</v>
      </c>
      <c r="S170">
        <f t="shared" ref="S170" si="828">R170/100000</f>
        <v>40.748593224249248</v>
      </c>
      <c r="T170">
        <f t="shared" ref="T170" si="829">S170/1000</f>
        <v>4.0748593224249251E-2</v>
      </c>
    </row>
    <row r="171" spans="1:20" x14ac:dyDescent="0.25">
      <c r="A171" s="5">
        <v>44422</v>
      </c>
      <c r="B171">
        <v>3.4125000000000001</v>
      </c>
      <c r="C171">
        <v>3.4380000000000002</v>
      </c>
      <c r="D171">
        <v>3.15</v>
      </c>
      <c r="E171">
        <v>3.2458999999999998</v>
      </c>
      <c r="F171">
        <v>6956305.5199999996</v>
      </c>
      <c r="G171">
        <v>3.2458999999999998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-0.33402777777777926</v>
      </c>
      <c r="Q171">
        <f t="shared" ref="Q171" si="831">F171*P171</f>
        <v>-2323599.2743888991</v>
      </c>
      <c r="R171">
        <f t="shared" ref="R171" si="832">R172+Q171</f>
        <v>171879.69541699812</v>
      </c>
      <c r="S171">
        <f t="shared" ref="S171" si="833">R171/100000</f>
        <v>1.7187969541699812</v>
      </c>
      <c r="T171">
        <f t="shared" ref="T171" si="834">S171/1000</f>
        <v>1.7187969541699812E-3</v>
      </c>
    </row>
    <row r="172" spans="1:20" x14ac:dyDescent="0.25">
      <c r="A172" s="5">
        <v>44421</v>
      </c>
      <c r="B172">
        <v>3.3380999999999998</v>
      </c>
      <c r="C172">
        <v>3.4860000000000002</v>
      </c>
      <c r="D172">
        <v>3.2435999999999998</v>
      </c>
      <c r="E172">
        <v>3.415</v>
      </c>
      <c r="F172">
        <v>6127881.4699999997</v>
      </c>
      <c r="G172">
        <v>3.415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0.41419141914191371</v>
      </c>
      <c r="Q172">
        <f t="shared" ref="Q172" si="836">F172*P172</f>
        <v>2538115.9223927362</v>
      </c>
      <c r="R172">
        <f t="shared" ref="R172" si="837">R173+Q172</f>
        <v>2495478.9698058972</v>
      </c>
      <c r="S172">
        <f t="shared" ref="S172" si="838">R172/100000</f>
        <v>24.954789698058971</v>
      </c>
      <c r="T172">
        <f t="shared" ref="T172" si="839">S172/1000</f>
        <v>2.495478969805897E-2</v>
      </c>
    </row>
    <row r="173" spans="1:20" x14ac:dyDescent="0.25">
      <c r="A173" s="5">
        <v>44420</v>
      </c>
      <c r="B173">
        <v>2.9731000000000001</v>
      </c>
      <c r="C173">
        <v>3.4643999999999999</v>
      </c>
      <c r="D173">
        <v>2.9601000000000002</v>
      </c>
      <c r="E173">
        <v>3.3435000000000001</v>
      </c>
      <c r="F173">
        <v>16880195.390000001</v>
      </c>
      <c r="G173">
        <v>3.3435000000000001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0.52052349791790664</v>
      </c>
      <c r="Q173">
        <f t="shared" ref="Q173" si="841">F173*P173</f>
        <v>8786538.3499405235</v>
      </c>
      <c r="R173">
        <f t="shared" ref="R173" si="842">R174+Q173</f>
        <v>-42636.952586838976</v>
      </c>
      <c r="S173">
        <f t="shared" ref="S173" si="843">R173/100000</f>
        <v>-0.42636952586838978</v>
      </c>
      <c r="T173">
        <f t="shared" ref="T173" si="844">S173/1000</f>
        <v>-4.2636952586838975E-4</v>
      </c>
    </row>
    <row r="174" spans="1:20" x14ac:dyDescent="0.25">
      <c r="A174" s="5">
        <v>44419</v>
      </c>
      <c r="B174">
        <v>2.8611</v>
      </c>
      <c r="C174">
        <v>3.0453000000000001</v>
      </c>
      <c r="D174">
        <v>2.8178000000000001</v>
      </c>
      <c r="E174">
        <v>2.9722</v>
      </c>
      <c r="F174">
        <v>6305435.5300000003</v>
      </c>
      <c r="G174">
        <v>2.9722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0.35736263736263602</v>
      </c>
      <c r="Q174">
        <f t="shared" ref="Q174" si="846">F174*P174</f>
        <v>2253327.0707208705</v>
      </c>
      <c r="R174">
        <f t="shared" ref="R174" si="847">R175+Q174</f>
        <v>-8829175.3025273625</v>
      </c>
      <c r="S174">
        <f t="shared" ref="S174" si="848">R174/100000</f>
        <v>-88.291753025273621</v>
      </c>
      <c r="T174">
        <f t="shared" ref="T174" si="849">S174/1000</f>
        <v>-8.8291753025273617E-2</v>
      </c>
    </row>
    <row r="175" spans="1:20" x14ac:dyDescent="0.25">
      <c r="A175" s="5">
        <v>44418</v>
      </c>
      <c r="B175">
        <v>2.6880000000000002</v>
      </c>
      <c r="C175">
        <v>2.9468000000000001</v>
      </c>
      <c r="D175">
        <v>2.6471</v>
      </c>
      <c r="E175">
        <v>2.8580999999999999</v>
      </c>
      <c r="F175">
        <v>7915010.1299999999</v>
      </c>
      <c r="G175">
        <v>2.8580999999999999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0.40807474140807343</v>
      </c>
      <c r="Q175">
        <f t="shared" ref="Q175" si="851">F175*P175</f>
        <v>3229915.7120420318</v>
      </c>
      <c r="R175">
        <f t="shared" ref="R175" si="852">R176+Q175</f>
        <v>-11082502.373248233</v>
      </c>
      <c r="S175">
        <f t="shared" ref="S175" si="853">R175/100000</f>
        <v>-110.82502373248232</v>
      </c>
      <c r="T175">
        <f t="shared" ref="T175" si="854">S175/1000</f>
        <v>-0.11082502373248232</v>
      </c>
    </row>
    <row r="176" spans="1:20" x14ac:dyDescent="0.25">
      <c r="A176" s="5">
        <v>44417</v>
      </c>
      <c r="B176">
        <v>2.5609000000000002</v>
      </c>
      <c r="C176">
        <v>2.75</v>
      </c>
      <c r="D176">
        <v>2.4636</v>
      </c>
      <c r="E176">
        <v>2.6888999999999998</v>
      </c>
      <c r="F176">
        <v>5163708.22</v>
      </c>
      <c r="G176">
        <v>2.6888999999999998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0.57332402234636759</v>
      </c>
      <c r="Q176">
        <f t="shared" ref="Q176" si="856">F176*P176</f>
        <v>2960477.9669134021</v>
      </c>
      <c r="R176">
        <f t="shared" ref="R176" si="857">R177+Q176</f>
        <v>-14312418.085290264</v>
      </c>
      <c r="S176">
        <f t="shared" ref="S176" si="858">R176/100000</f>
        <v>-143.12418085290264</v>
      </c>
      <c r="T176">
        <f t="shared" ref="T176" si="859">S176/1000</f>
        <v>-0.14312418085290263</v>
      </c>
    </row>
    <row r="177" spans="1:20" x14ac:dyDescent="0.25">
      <c r="A177" s="5">
        <v>44416</v>
      </c>
      <c r="B177">
        <v>2.7814999999999999</v>
      </c>
      <c r="C177">
        <v>2.7827999999999999</v>
      </c>
      <c r="D177">
        <v>2.5194999999999999</v>
      </c>
      <c r="E177">
        <v>2.5594000000000001</v>
      </c>
      <c r="F177">
        <v>6542884.0499999998</v>
      </c>
      <c r="G177">
        <v>2.5594000000000001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-0.6969236612229377</v>
      </c>
      <c r="Q177">
        <f t="shared" ref="Q177" si="861">F177*P177</f>
        <v>-4559890.7070831629</v>
      </c>
      <c r="R177">
        <f t="shared" ref="R177" si="862">R178+Q177</f>
        <v>-17272896.052203666</v>
      </c>
      <c r="S177">
        <f t="shared" ref="S177" si="863">R177/100000</f>
        <v>-172.72896052203666</v>
      </c>
      <c r="T177">
        <f t="shared" ref="T177" si="864">S177/1000</f>
        <v>-0.17272896052203665</v>
      </c>
    </row>
    <row r="178" spans="1:20" x14ac:dyDescent="0.25">
      <c r="A178" s="5">
        <v>44415</v>
      </c>
      <c r="B178">
        <v>2.5249999999999999</v>
      </c>
      <c r="C178">
        <v>2.7905000000000002</v>
      </c>
      <c r="D178">
        <v>2.4780000000000002</v>
      </c>
      <c r="E178">
        <v>2.7810000000000001</v>
      </c>
      <c r="F178">
        <v>9853613.1400000006</v>
      </c>
      <c r="G178">
        <v>2.7810000000000001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0.93919999999999959</v>
      </c>
      <c r="Q178">
        <f t="shared" ref="Q178" si="866">F178*P178</f>
        <v>9254513.4610879961</v>
      </c>
      <c r="R178">
        <f t="shared" ref="R178" si="867">R179+Q178</f>
        <v>-12713005.345120503</v>
      </c>
      <c r="S178">
        <f t="shared" ref="S178" si="868">R178/100000</f>
        <v>-127.13005345120503</v>
      </c>
      <c r="T178">
        <f t="shared" ref="T178" si="869">S178/1000</f>
        <v>-0.12713005345120504</v>
      </c>
    </row>
    <row r="179" spans="1:20" x14ac:dyDescent="0.25">
      <c r="A179" s="5">
        <v>44414</v>
      </c>
      <c r="B179">
        <v>2.5167999999999999</v>
      </c>
      <c r="C179">
        <v>2.59</v>
      </c>
      <c r="D179">
        <v>2.4256000000000002</v>
      </c>
      <c r="E179">
        <v>2.5249999999999999</v>
      </c>
      <c r="F179">
        <v>5261709.54</v>
      </c>
      <c r="G179">
        <v>2.5249999999999999</v>
      </c>
      <c r="L179" t="s">
        <v>7</v>
      </c>
      <c r="M179" t="s">
        <v>8</v>
      </c>
      <c r="N179" t="s">
        <v>8</v>
      </c>
      <c r="P179">
        <f t="shared" ref="P179" si="870">IF(C179=D179,0,((E179-D179)-(C179-E179))/(C179-D179))</f>
        <v>0.20924574209245642</v>
      </c>
      <c r="Q179">
        <f t="shared" ref="Q179" si="871">F179*P179</f>
        <v>1100990.3173722576</v>
      </c>
      <c r="R179">
        <f t="shared" ref="R179" si="872">R180+Q179</f>
        <v>-21967518.806208499</v>
      </c>
      <c r="S179">
        <f t="shared" ref="S179" si="873">R179/100000</f>
        <v>-219.675188062085</v>
      </c>
      <c r="T179">
        <f t="shared" ref="T179" si="874">S179/1000</f>
        <v>-0.219675188062085</v>
      </c>
    </row>
    <row r="180" spans="1:20" x14ac:dyDescent="0.25">
      <c r="A180" s="5">
        <v>44413</v>
      </c>
      <c r="B180">
        <v>2.4579</v>
      </c>
      <c r="C180">
        <v>2.5924</v>
      </c>
      <c r="D180">
        <v>2.3260999999999998</v>
      </c>
      <c r="E180">
        <v>2.516</v>
      </c>
      <c r="F180">
        <v>6489159.6900000004</v>
      </c>
      <c r="G180">
        <v>2.516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0.42621104018024808</v>
      </c>
      <c r="Q180">
        <f t="shared" ref="Q180" si="876">F180*P180</f>
        <v>2765751.5013706363</v>
      </c>
      <c r="R180">
        <f t="shared" ref="R180" si="877">R181+Q180</f>
        <v>-23068509.123580758</v>
      </c>
      <c r="S180">
        <f t="shared" ref="S180" si="878">R180/100000</f>
        <v>-230.68509123580756</v>
      </c>
      <c r="T180">
        <f t="shared" ref="T180" si="879">S180/1000</f>
        <v>-0.23068509123580755</v>
      </c>
    </row>
    <row r="181" spans="1:20" x14ac:dyDescent="0.25">
      <c r="A181" s="5">
        <v>44412</v>
      </c>
      <c r="B181">
        <v>2.3386999999999998</v>
      </c>
      <c r="C181">
        <v>2.4950000000000001</v>
      </c>
      <c r="D181">
        <v>2.2563</v>
      </c>
      <c r="E181">
        <v>2.4542999999999999</v>
      </c>
      <c r="F181">
        <v>4811676.43</v>
      </c>
      <c r="G181">
        <v>2.4542999999999999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0.65898617511520607</v>
      </c>
      <c r="Q181">
        <f t="shared" ref="Q181" si="881">F181*P181</f>
        <v>3170828.2464976893</v>
      </c>
      <c r="R181">
        <f t="shared" ref="R181" si="882">R182+Q181</f>
        <v>-25834260.624951392</v>
      </c>
      <c r="S181">
        <f t="shared" ref="S181" si="883">R181/100000</f>
        <v>-258.34260624951395</v>
      </c>
      <c r="T181">
        <f t="shared" ref="T181" si="884">S181/1000</f>
        <v>-0.25834260624951394</v>
      </c>
    </row>
    <row r="182" spans="1:20" x14ac:dyDescent="0.25">
      <c r="A182" s="5">
        <v>44411</v>
      </c>
      <c r="B182">
        <v>2.3517000000000001</v>
      </c>
      <c r="C182">
        <v>2.3971</v>
      </c>
      <c r="D182">
        <v>2.2208000000000001</v>
      </c>
      <c r="E182">
        <v>2.3403999999999998</v>
      </c>
      <c r="F182">
        <v>3791509.93</v>
      </c>
      <c r="G182">
        <v>2.3403999999999998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0.35677821894497758</v>
      </c>
      <c r="Q182">
        <f t="shared" ref="Q182" si="886">F182*P182</f>
        <v>1352728.1599375966</v>
      </c>
      <c r="R182">
        <f t="shared" ref="R182" si="887">R183+Q182</f>
        <v>-29005088.871449083</v>
      </c>
      <c r="S182">
        <f t="shared" ref="S182" si="888">R182/100000</f>
        <v>-290.05088871449084</v>
      </c>
      <c r="T182">
        <f t="shared" ref="T182" si="889">S182/1000</f>
        <v>-0.29005088871449086</v>
      </c>
    </row>
    <row r="183" spans="1:20" x14ac:dyDescent="0.25">
      <c r="A183" s="5">
        <v>44410</v>
      </c>
      <c r="B183">
        <v>2.3917999999999999</v>
      </c>
      <c r="C183">
        <v>2.4641000000000002</v>
      </c>
      <c r="D183">
        <v>2.3210999999999999</v>
      </c>
      <c r="E183">
        <v>2.3513000000000002</v>
      </c>
      <c r="F183">
        <v>4589924.21</v>
      </c>
      <c r="G183">
        <v>2.3513000000000002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-0.57762237762237512</v>
      </c>
      <c r="Q183">
        <f t="shared" ref="Q183" si="891">F183*P183</f>
        <v>-2651242.9352867017</v>
      </c>
      <c r="R183">
        <f t="shared" ref="R183" si="892">R184+Q183</f>
        <v>-30357817.031386681</v>
      </c>
      <c r="S183">
        <f t="shared" ref="S183" si="893">R183/100000</f>
        <v>-303.57817031386679</v>
      </c>
      <c r="T183">
        <f t="shared" ref="T183" si="894">S183/1000</f>
        <v>-0.3035781703138668</v>
      </c>
    </row>
    <row r="184" spans="1:20" x14ac:dyDescent="0.25">
      <c r="A184" s="5">
        <v>44409</v>
      </c>
      <c r="B184">
        <v>2.4022999999999999</v>
      </c>
      <c r="C184">
        <v>2.5499999999999998</v>
      </c>
      <c r="D184">
        <v>2.3767999999999998</v>
      </c>
      <c r="E184">
        <v>2.3915999999999999</v>
      </c>
      <c r="F184">
        <v>5894344.75</v>
      </c>
      <c r="G184">
        <v>2.3915999999999999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-0.82909930715935165</v>
      </c>
      <c r="Q184">
        <f t="shared" ref="Q184" si="896">F184*P184</f>
        <v>-4886997.1483833622</v>
      </c>
      <c r="R184">
        <f t="shared" ref="R184" si="897">R185+Q184</f>
        <v>-27706574.09609998</v>
      </c>
      <c r="S184">
        <f t="shared" ref="S184" si="898">R184/100000</f>
        <v>-277.06574096099979</v>
      </c>
      <c r="T184">
        <f t="shared" ref="T184" si="899">S184/1000</f>
        <v>-0.27706574096099978</v>
      </c>
    </row>
    <row r="185" spans="1:20" x14ac:dyDescent="0.25">
      <c r="A185" s="5">
        <v>44408</v>
      </c>
      <c r="B185">
        <v>2.3264</v>
      </c>
      <c r="C185">
        <v>2.5085999999999999</v>
      </c>
      <c r="D185">
        <v>2.3008000000000002</v>
      </c>
      <c r="E185">
        <v>2.4003000000000001</v>
      </c>
      <c r="F185">
        <v>6469993.8399999999</v>
      </c>
      <c r="G185">
        <v>2.4003000000000001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-4.2348411934552112E-2</v>
      </c>
      <c r="Q185">
        <f t="shared" ref="Q185" si="901">F185*P185</f>
        <v>-273993.96435033466</v>
      </c>
      <c r="R185">
        <f t="shared" ref="R185" si="902">R186+Q185</f>
        <v>-22819576.947716616</v>
      </c>
      <c r="S185">
        <f t="shared" ref="S185" si="903">R185/100000</f>
        <v>-228.19576947716615</v>
      </c>
      <c r="T185">
        <f t="shared" ref="T185" si="904">S185/1000</f>
        <v>-0.22819576947716616</v>
      </c>
    </row>
    <row r="186" spans="1:20" x14ac:dyDescent="0.25">
      <c r="A186" s="5">
        <v>44407</v>
      </c>
      <c r="B186">
        <v>2.2566000000000002</v>
      </c>
      <c r="C186">
        <v>2.3656000000000001</v>
      </c>
      <c r="D186">
        <v>2.1457999999999999</v>
      </c>
      <c r="E186">
        <v>2.3224999999999998</v>
      </c>
      <c r="F186">
        <v>4892056</v>
      </c>
      <c r="G186">
        <v>2.3224999999999998</v>
      </c>
      <c r="L186" t="s">
        <v>8</v>
      </c>
      <c r="M186" t="s">
        <v>7</v>
      </c>
      <c r="N186" t="s">
        <v>8</v>
      </c>
      <c r="P186">
        <f t="shared" ref="P186" si="905">IF(C186=D186,0,((E186-D186)-(C186-E186))/(C186-D186))</f>
        <v>0.60782529572338195</v>
      </c>
      <c r="Q186">
        <f t="shared" ref="Q186" si="906">F186*P186</f>
        <v>2973515.3848953452</v>
      </c>
      <c r="R186">
        <f t="shared" ref="R186" si="907">R187+Q186</f>
        <v>-22545582.983366281</v>
      </c>
      <c r="S186">
        <f t="shared" ref="S186" si="908">R186/100000</f>
        <v>-225.45582983366282</v>
      </c>
      <c r="T186">
        <f t="shared" ref="T186" si="909">S186/1000</f>
        <v>-0.22545582983366283</v>
      </c>
    </row>
    <row r="187" spans="1:20" x14ac:dyDescent="0.25">
      <c r="A187" s="5">
        <v>44406</v>
      </c>
      <c r="B187">
        <v>2.2248999999999999</v>
      </c>
      <c r="C187">
        <v>2.31</v>
      </c>
      <c r="D187">
        <v>2.1855000000000002</v>
      </c>
      <c r="E187">
        <v>2.2549000000000001</v>
      </c>
      <c r="F187">
        <v>4150397.75</v>
      </c>
      <c r="G187">
        <v>2.2549000000000001</v>
      </c>
      <c r="L187" t="s">
        <v>8</v>
      </c>
      <c r="M187" t="s">
        <v>7</v>
      </c>
      <c r="N187" t="s">
        <v>8</v>
      </c>
      <c r="P187">
        <f t="shared" ref="P187" si="910">IF(C187=D187,0,((E187-D187)-(C187-E187))/(C187-D187))</f>
        <v>0.114859437751004</v>
      </c>
      <c r="Q187">
        <f t="shared" ref="Q187" si="911">F187*P187</f>
        <v>476712.35200803209</v>
      </c>
      <c r="R187">
        <f t="shared" ref="R187" si="912">R188+Q187</f>
        <v>-25519098.368261624</v>
      </c>
      <c r="S187">
        <f t="shared" ref="S187" si="913">R187/100000</f>
        <v>-255.19098368261623</v>
      </c>
      <c r="T187">
        <f t="shared" ref="T187" si="914">S187/1000</f>
        <v>-0.25519098368261622</v>
      </c>
    </row>
    <row r="188" spans="1:20" x14ac:dyDescent="0.25">
      <c r="A188" s="5">
        <v>44405</v>
      </c>
      <c r="B188">
        <v>2.2349000000000001</v>
      </c>
      <c r="C188">
        <v>2.3073999999999999</v>
      </c>
      <c r="D188">
        <v>2.1333000000000002</v>
      </c>
      <c r="E188">
        <v>2.2263999999999999</v>
      </c>
      <c r="F188">
        <v>5732985.8799999999</v>
      </c>
      <c r="G188">
        <v>2.2263999999999999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6.9500287191268231E-2</v>
      </c>
      <c r="Q188">
        <f t="shared" ref="Q188" si="916">F188*P188</f>
        <v>398444.16512348561</v>
      </c>
      <c r="R188">
        <f t="shared" ref="R188" si="917">R189+Q188</f>
        <v>-25995810.720269658</v>
      </c>
      <c r="S188">
        <f t="shared" ref="S188" si="918">R188/100000</f>
        <v>-259.95810720269657</v>
      </c>
      <c r="T188">
        <f t="shared" ref="T188" si="919">S188/1000</f>
        <v>-0.25995810720269658</v>
      </c>
    </row>
    <row r="189" spans="1:20" x14ac:dyDescent="0.25">
      <c r="A189" s="5">
        <v>44404</v>
      </c>
      <c r="B189">
        <v>2.1465999999999998</v>
      </c>
      <c r="C189">
        <v>2.3544999999999998</v>
      </c>
      <c r="D189">
        <v>2.0667</v>
      </c>
      <c r="E189">
        <v>2.2353999999999998</v>
      </c>
      <c r="F189">
        <v>6964593.1799999997</v>
      </c>
      <c r="G189">
        <v>2.2353999999999998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0.17234190410006914</v>
      </c>
      <c r="Q189">
        <f t="shared" ref="Q189" si="921">F189*P189</f>
        <v>1200291.2499235554</v>
      </c>
      <c r="R189">
        <f t="shared" ref="R189" si="922">R190+Q189</f>
        <v>-26394254.885393143</v>
      </c>
      <c r="S189">
        <f t="shared" ref="S189" si="923">R189/100000</f>
        <v>-263.94254885393144</v>
      </c>
      <c r="T189">
        <f t="shared" ref="T189" si="924">S189/1000</f>
        <v>-0.26394254885393142</v>
      </c>
    </row>
    <row r="190" spans="1:20" x14ac:dyDescent="0.25">
      <c r="A190" s="5">
        <v>44403</v>
      </c>
      <c r="B190">
        <v>2.1593</v>
      </c>
      <c r="C190">
        <v>2.5146000000000002</v>
      </c>
      <c r="D190">
        <v>2.1315</v>
      </c>
      <c r="E190">
        <v>2.1476000000000002</v>
      </c>
      <c r="F190">
        <v>11318676.76</v>
      </c>
      <c r="G190">
        <v>2.1476000000000002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-0.91594883842338704</v>
      </c>
      <c r="Q190">
        <f t="shared" ref="Q190" si="926">F190*P190</f>
        <v>-10367328.830811786</v>
      </c>
      <c r="R190">
        <f t="shared" ref="R190" si="927">R191+Q190</f>
        <v>-27594546.1353167</v>
      </c>
      <c r="S190">
        <f t="shared" ref="S190" si="928">R190/100000</f>
        <v>-275.94546135316699</v>
      </c>
      <c r="T190">
        <f t="shared" ref="T190" si="929">S190/1000</f>
        <v>-0.275945461353167</v>
      </c>
    </row>
    <row r="191" spans="1:20" x14ac:dyDescent="0.25">
      <c r="A191" s="5">
        <v>44402</v>
      </c>
      <c r="B191">
        <v>2.1375999999999999</v>
      </c>
      <c r="C191">
        <v>2.3129</v>
      </c>
      <c r="D191">
        <v>2.04</v>
      </c>
      <c r="E191">
        <v>2.1577999999999999</v>
      </c>
      <c r="F191">
        <v>9092351.5899999999</v>
      </c>
      <c r="G191">
        <v>2.1577999999999999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-0.13668010260168603</v>
      </c>
      <c r="Q191">
        <f t="shared" ref="Q191" si="931">F191*P191</f>
        <v>-1242743.5482118032</v>
      </c>
      <c r="R191">
        <f t="shared" ref="R191" si="932">R192+Q191</f>
        <v>-17227217.304504912</v>
      </c>
      <c r="S191">
        <f t="shared" ref="S191" si="933">R191/100000</f>
        <v>-172.27217304504913</v>
      </c>
      <c r="T191">
        <f t="shared" ref="T191:T197" si="934">S191/1000</f>
        <v>-0.17227217304504913</v>
      </c>
    </row>
    <row r="192" spans="1:20" x14ac:dyDescent="0.25">
      <c r="A192" s="5">
        <v>44401</v>
      </c>
      <c r="B192">
        <v>1.9382999999999999</v>
      </c>
      <c r="C192">
        <v>2.1983999999999999</v>
      </c>
      <c r="D192">
        <v>1.9175</v>
      </c>
      <c r="E192">
        <v>2.1379999999999999</v>
      </c>
      <c r="F192">
        <v>7829846.6900000004</v>
      </c>
      <c r="G192">
        <v>2.1379999999999999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0.56995372018511903</v>
      </c>
      <c r="Q192">
        <f t="shared" ref="Q192" si="936">F192*P192</f>
        <v>4462650.2494446402</v>
      </c>
      <c r="R192">
        <f t="shared" ref="R192" si="937">R193+Q192</f>
        <v>-15984473.756293111</v>
      </c>
      <c r="S192">
        <f t="shared" ref="S192" si="938">R192/100000</f>
        <v>-159.8447375629311</v>
      </c>
      <c r="T192">
        <f t="shared" si="934"/>
        <v>-0.15984473756293111</v>
      </c>
    </row>
    <row r="193" spans="1:20" x14ac:dyDescent="0.25">
      <c r="A193" s="5">
        <v>44400</v>
      </c>
      <c r="B193">
        <v>1.9352</v>
      </c>
      <c r="C193">
        <v>1.9450000000000001</v>
      </c>
      <c r="D193">
        <v>1.8159000000000001</v>
      </c>
      <c r="E193">
        <v>1.9396</v>
      </c>
      <c r="F193">
        <v>3653552.64</v>
      </c>
      <c r="G193">
        <v>1.9396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0.91634391944229165</v>
      </c>
      <c r="Q193">
        <f t="shared" ref="Q193" si="940">F193*P193</f>
        <v>3347910.746026332</v>
      </c>
      <c r="R193">
        <f t="shared" ref="R193" si="941">R194+Q193</f>
        <v>-20447124.005737752</v>
      </c>
      <c r="S193">
        <f t="shared" ref="S193" si="942">R193/100000</f>
        <v>-204.47124005737751</v>
      </c>
      <c r="T193">
        <f t="shared" si="934"/>
        <v>-0.20447124005737752</v>
      </c>
    </row>
    <row r="194" spans="1:20" x14ac:dyDescent="0.25">
      <c r="A194" s="5">
        <v>44399</v>
      </c>
      <c r="B194">
        <v>1.8273999999999999</v>
      </c>
      <c r="C194">
        <v>1.9455</v>
      </c>
      <c r="D194">
        <v>1.7683</v>
      </c>
      <c r="E194">
        <v>1.9353</v>
      </c>
      <c r="F194">
        <v>4859018.0199999996</v>
      </c>
      <c r="G194">
        <v>1.9353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0.88487584650112883</v>
      </c>
      <c r="Q194">
        <f t="shared" ref="Q194" si="944">F194*P194</f>
        <v>4299627.6836117385</v>
      </c>
      <c r="R194">
        <f t="shared" ref="R194" si="945">R195+Q194</f>
        <v>-23795034.751764085</v>
      </c>
      <c r="S194">
        <f t="shared" ref="S194" si="946">R194/100000</f>
        <v>-237.95034751764086</v>
      </c>
      <c r="T194">
        <f t="shared" si="934"/>
        <v>-0.23795034751764085</v>
      </c>
    </row>
    <row r="195" spans="1:20" x14ac:dyDescent="0.25">
      <c r="A195" s="5">
        <v>44398</v>
      </c>
      <c r="B195">
        <v>1.6793</v>
      </c>
      <c r="C195">
        <v>1.8384</v>
      </c>
      <c r="D195">
        <v>1.6228</v>
      </c>
      <c r="E195">
        <v>1.8273999999999999</v>
      </c>
      <c r="F195">
        <v>5211053.99</v>
      </c>
      <c r="G195">
        <v>1.8273999999999999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0.89795918367346828</v>
      </c>
      <c r="Q195">
        <f t="shared" ref="Q195" si="948">F195*P195</f>
        <v>4679313.7869387697</v>
      </c>
      <c r="R195">
        <f t="shared" ref="R195" si="949">R196+Q195</f>
        <v>-28094662.435375825</v>
      </c>
      <c r="S195">
        <f t="shared" ref="S195" si="950">R195/100000</f>
        <v>-280.94662435375824</v>
      </c>
      <c r="T195">
        <f t="shared" si="934"/>
        <v>-0.28094662435375822</v>
      </c>
    </row>
    <row r="196" spans="1:20" x14ac:dyDescent="0.25">
      <c r="A196" s="5">
        <v>44397</v>
      </c>
      <c r="B196">
        <v>1.7303999999999999</v>
      </c>
      <c r="C196">
        <v>1.76</v>
      </c>
      <c r="D196">
        <v>1.546</v>
      </c>
      <c r="E196">
        <v>1.6794</v>
      </c>
      <c r="F196">
        <v>6681342.1399999997</v>
      </c>
      <c r="G196">
        <v>1.6794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0.24672897196261667</v>
      </c>
      <c r="Q196">
        <f t="shared" ref="Q196" si="952">F196*P196</f>
        <v>1648480.6775327092</v>
      </c>
      <c r="R196">
        <f t="shared" ref="R196" si="953">R197+Q196</f>
        <v>-32773976.222314596</v>
      </c>
      <c r="S196">
        <f t="shared" ref="S196" si="954">R196/100000</f>
        <v>-327.73976222314599</v>
      </c>
      <c r="T196">
        <f t="shared" si="934"/>
        <v>-0.32773976222314599</v>
      </c>
    </row>
    <row r="197" spans="1:20" x14ac:dyDescent="0.25">
      <c r="A197" s="5">
        <v>44396</v>
      </c>
      <c r="B197">
        <v>1.9078999999999999</v>
      </c>
      <c r="C197">
        <v>1.917</v>
      </c>
      <c r="D197">
        <v>1.7156</v>
      </c>
      <c r="E197">
        <v>1.7304999999999999</v>
      </c>
      <c r="F197">
        <v>5448810.0499999998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-0.85203574975173868</v>
      </c>
      <c r="Q197">
        <f t="shared" ref="Q197" si="956">F197*P197</f>
        <v>-4642580.9562065583</v>
      </c>
      <c r="R197">
        <f t="shared" ref="R197" si="957">R198+Q197</f>
        <v>-34422456.899847306</v>
      </c>
      <c r="S197">
        <f t="shared" ref="S197" si="958">R197/100000</f>
        <v>-344.22456899847305</v>
      </c>
      <c r="T197">
        <f t="shared" si="934"/>
        <v>-0.34422456899847304</v>
      </c>
    </row>
    <row r="198" spans="1:20" x14ac:dyDescent="0.25">
      <c r="A198" s="5">
        <v>44395</v>
      </c>
      <c r="B198">
        <v>1.9382999999999999</v>
      </c>
      <c r="C198">
        <v>1.994</v>
      </c>
      <c r="D198">
        <v>1.8520000000000001</v>
      </c>
      <c r="E198">
        <v>1.9071</v>
      </c>
      <c r="F198">
        <v>4634244.1100000003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-0.22394366197183149</v>
      </c>
      <c r="Q198">
        <f t="shared" ref="Q198:Q261" si="960">F198*P198</f>
        <v>-1037809.5964647911</v>
      </c>
      <c r="R198">
        <f t="shared" ref="R198:R261" si="961">R199+Q198</f>
        <v>-29779875.94364075</v>
      </c>
      <c r="S198">
        <f t="shared" ref="S198:S261" si="962">R198/100000</f>
        <v>-297.79875943640752</v>
      </c>
      <c r="T198">
        <f t="shared" ref="T198:T261" si="963">S198/1000</f>
        <v>-0.29779875943640755</v>
      </c>
    </row>
    <row r="199" spans="1:20" x14ac:dyDescent="0.25">
      <c r="A199" s="5">
        <v>44394</v>
      </c>
      <c r="B199">
        <v>1.8422000000000001</v>
      </c>
      <c r="C199">
        <v>2.0398000000000001</v>
      </c>
      <c r="D199">
        <v>1.8004</v>
      </c>
      <c r="E199">
        <v>1.9368000000000001</v>
      </c>
      <c r="F199">
        <v>8217062.75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0.13951545530492937</v>
      </c>
      <c r="Q199">
        <f t="shared" si="960"/>
        <v>1146407.250835425</v>
      </c>
      <c r="R199">
        <f t="shared" si="961"/>
        <v>-28742066.347175959</v>
      </c>
      <c r="S199">
        <f t="shared" si="962"/>
        <v>-287.42066347175961</v>
      </c>
      <c r="T199">
        <f t="shared" si="963"/>
        <v>-0.2874206634717596</v>
      </c>
    </row>
    <row r="200" spans="1:20" x14ac:dyDescent="0.25">
      <c r="A200" s="5">
        <v>44393</v>
      </c>
      <c r="B200">
        <v>1.9278999999999999</v>
      </c>
      <c r="C200">
        <v>1.9846999999999999</v>
      </c>
      <c r="D200">
        <v>1.8194999999999999</v>
      </c>
      <c r="E200">
        <v>1.8404</v>
      </c>
      <c r="F200">
        <v>5564754.2199999997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-0.74697336561743177</v>
      </c>
      <c r="Q200">
        <f t="shared" si="960"/>
        <v>-4156723.1885472061</v>
      </c>
      <c r="R200">
        <f t="shared" si="961"/>
        <v>-29888473.598011386</v>
      </c>
      <c r="S200">
        <f t="shared" si="962"/>
        <v>-298.88473598011387</v>
      </c>
      <c r="T200">
        <f t="shared" si="963"/>
        <v>-0.29888473598011389</v>
      </c>
    </row>
    <row r="201" spans="1:20" x14ac:dyDescent="0.25">
      <c r="A201" s="5">
        <v>44392</v>
      </c>
      <c r="B201">
        <v>1.994</v>
      </c>
      <c r="C201">
        <v>2.0251999999999999</v>
      </c>
      <c r="D201">
        <v>1.8574999999999999</v>
      </c>
      <c r="E201">
        <v>1.9249000000000001</v>
      </c>
      <c r="F201">
        <v>8510383.1400000006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-0.19618366129993867</v>
      </c>
      <c r="Q201">
        <f t="shared" si="960"/>
        <v>-1669598.1234704687</v>
      </c>
      <c r="R201">
        <f t="shared" si="961"/>
        <v>-25731750.40946418</v>
      </c>
      <c r="S201">
        <f t="shared" si="962"/>
        <v>-257.31750409464178</v>
      </c>
      <c r="T201">
        <f t="shared" si="963"/>
        <v>-0.25731750409464177</v>
      </c>
    </row>
    <row r="202" spans="1:20" x14ac:dyDescent="0.25">
      <c r="A202" s="5">
        <v>44391</v>
      </c>
      <c r="B202">
        <v>1.9449000000000001</v>
      </c>
      <c r="C202">
        <v>2.0865</v>
      </c>
      <c r="D202">
        <v>1.8617999999999999</v>
      </c>
      <c r="E202">
        <v>1.9939</v>
      </c>
      <c r="F202">
        <v>5092217.1900000004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0.17578994214508264</v>
      </c>
      <c r="Q202">
        <f t="shared" si="960"/>
        <v>895160.56522029534</v>
      </c>
      <c r="R202">
        <f t="shared" si="961"/>
        <v>-24062152.28599371</v>
      </c>
      <c r="S202">
        <f t="shared" si="962"/>
        <v>-240.6215228599371</v>
      </c>
      <c r="T202">
        <f t="shared" si="963"/>
        <v>-0.2406215228599371</v>
      </c>
    </row>
    <row r="203" spans="1:20" x14ac:dyDescent="0.25">
      <c r="A203" s="5">
        <v>44390</v>
      </c>
      <c r="B203">
        <v>2.09</v>
      </c>
      <c r="C203">
        <v>2.0979000000000001</v>
      </c>
      <c r="D203">
        <v>1.9201999999999999</v>
      </c>
      <c r="E203">
        <v>1.9486000000000001</v>
      </c>
      <c r="F203">
        <v>3431989.19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-0.68036015756893442</v>
      </c>
      <c r="Q203">
        <f t="shared" si="960"/>
        <v>-2334988.7060832796</v>
      </c>
      <c r="R203">
        <f t="shared" si="961"/>
        <v>-24957312.851214007</v>
      </c>
      <c r="S203">
        <f t="shared" si="962"/>
        <v>-249.57312851214007</v>
      </c>
      <c r="T203">
        <f t="shared" si="963"/>
        <v>-0.24957312851214009</v>
      </c>
    </row>
    <row r="204" spans="1:20" x14ac:dyDescent="0.25">
      <c r="A204" s="5">
        <v>44389</v>
      </c>
      <c r="B204">
        <v>2.1732999999999998</v>
      </c>
      <c r="C204">
        <v>2.2292000000000001</v>
      </c>
      <c r="D204">
        <v>2.0345</v>
      </c>
      <c r="E204">
        <v>2.0920000000000001</v>
      </c>
      <c r="F204">
        <v>2893770.68</v>
      </c>
      <c r="G204">
        <v>0</v>
      </c>
      <c r="L204" t="s">
        <v>7</v>
      </c>
      <c r="M204" t="s">
        <v>8</v>
      </c>
      <c r="N204" t="s">
        <v>8</v>
      </c>
      <c r="P204">
        <f t="shared" si="959"/>
        <v>-0.40934771443245938</v>
      </c>
      <c r="Q204">
        <f t="shared" si="960"/>
        <v>-1184558.4139496638</v>
      </c>
      <c r="R204">
        <f t="shared" si="961"/>
        <v>-22622324.145130727</v>
      </c>
      <c r="S204">
        <f t="shared" si="962"/>
        <v>-226.22324145130727</v>
      </c>
      <c r="T204">
        <f t="shared" si="963"/>
        <v>-0.22622324145130726</v>
      </c>
    </row>
    <row r="205" spans="1:20" x14ac:dyDescent="0.25">
      <c r="A205" s="5">
        <v>44388</v>
      </c>
      <c r="B205">
        <v>2.1128</v>
      </c>
      <c r="C205">
        <v>2.2477</v>
      </c>
      <c r="D205">
        <v>2.0775000000000001</v>
      </c>
      <c r="E205">
        <v>2.1749000000000001</v>
      </c>
      <c r="F205">
        <v>4702300.55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0.14453584018801391</v>
      </c>
      <c r="Q205">
        <f t="shared" si="960"/>
        <v>679650.96081080986</v>
      </c>
      <c r="R205">
        <f t="shared" si="961"/>
        <v>-21437765.731181063</v>
      </c>
      <c r="S205">
        <f t="shared" si="962"/>
        <v>-214.37765731181062</v>
      </c>
      <c r="T205">
        <f t="shared" si="963"/>
        <v>-0.21437765731181063</v>
      </c>
    </row>
    <row r="206" spans="1:20" x14ac:dyDescent="0.25">
      <c r="A206" s="5">
        <v>44387</v>
      </c>
      <c r="B206">
        <v>2.0903</v>
      </c>
      <c r="C206">
        <v>2.1377999999999999</v>
      </c>
      <c r="D206">
        <v>2.0308000000000002</v>
      </c>
      <c r="E206">
        <v>2.1116999999999999</v>
      </c>
      <c r="F206">
        <v>2882487.72</v>
      </c>
      <c r="G206">
        <v>0</v>
      </c>
      <c r="L206" t="s">
        <v>7</v>
      </c>
      <c r="M206" t="s">
        <v>8</v>
      </c>
      <c r="N206" t="s">
        <v>8</v>
      </c>
      <c r="P206">
        <f t="shared" si="959"/>
        <v>0.51214953271027908</v>
      </c>
      <c r="Q206">
        <f t="shared" si="960"/>
        <v>1476264.7388411178</v>
      </c>
      <c r="R206">
        <f t="shared" si="961"/>
        <v>-22117416.691991873</v>
      </c>
      <c r="S206">
        <f t="shared" si="962"/>
        <v>-221.17416691991872</v>
      </c>
      <c r="T206">
        <f t="shared" si="963"/>
        <v>-0.22117416691991873</v>
      </c>
    </row>
    <row r="207" spans="1:20" x14ac:dyDescent="0.25">
      <c r="A207" s="5">
        <v>44386</v>
      </c>
      <c r="B207">
        <v>2.0981999999999998</v>
      </c>
      <c r="C207">
        <v>2.1206</v>
      </c>
      <c r="D207">
        <v>2.0101</v>
      </c>
      <c r="E207">
        <v>2.0886999999999998</v>
      </c>
      <c r="F207">
        <v>3495499.28</v>
      </c>
      <c r="G207">
        <v>0</v>
      </c>
      <c r="L207" t="s">
        <v>7</v>
      </c>
      <c r="M207" t="s">
        <v>8</v>
      </c>
      <c r="N207" t="s">
        <v>8</v>
      </c>
      <c r="P207">
        <f t="shared" si="959"/>
        <v>0.42262443438913577</v>
      </c>
      <c r="Q207">
        <f t="shared" si="960"/>
        <v>1477283.4061176314</v>
      </c>
      <c r="R207">
        <f t="shared" si="961"/>
        <v>-23593681.43083299</v>
      </c>
      <c r="S207">
        <f t="shared" si="962"/>
        <v>-235.9368143083299</v>
      </c>
      <c r="T207">
        <f t="shared" si="963"/>
        <v>-0.23593681430832991</v>
      </c>
    </row>
    <row r="208" spans="1:20" x14ac:dyDescent="0.25">
      <c r="A208" s="5">
        <v>44385</v>
      </c>
      <c r="B208">
        <v>2.3077999999999999</v>
      </c>
      <c r="C208">
        <v>2.3142999999999998</v>
      </c>
      <c r="D208">
        <v>2.0449999999999999</v>
      </c>
      <c r="E208">
        <v>2.0996000000000001</v>
      </c>
      <c r="F208">
        <v>5066247.4800000004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-0.5945042703304847</v>
      </c>
      <c r="Q208">
        <f t="shared" si="960"/>
        <v>-3011905.7614110573</v>
      </c>
      <c r="R208">
        <f t="shared" si="961"/>
        <v>-25070964.836950622</v>
      </c>
      <c r="S208">
        <f t="shared" si="962"/>
        <v>-250.70964836950623</v>
      </c>
      <c r="T208">
        <f t="shared" si="963"/>
        <v>-0.25070964836950621</v>
      </c>
    </row>
    <row r="209" spans="1:20" x14ac:dyDescent="0.25">
      <c r="A209" s="5">
        <v>44384</v>
      </c>
      <c r="B209">
        <v>2.2557999999999998</v>
      </c>
      <c r="C209">
        <v>2.4049</v>
      </c>
      <c r="D209">
        <v>2.2370999999999999</v>
      </c>
      <c r="E209">
        <v>2.3102999999999998</v>
      </c>
      <c r="F209">
        <v>6083421.3300000001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-0.12753277711561553</v>
      </c>
      <c r="Q209">
        <f t="shared" si="960"/>
        <v>-775835.61657927139</v>
      </c>
      <c r="R209">
        <f t="shared" si="961"/>
        <v>-22059059.075539567</v>
      </c>
      <c r="S209">
        <f t="shared" si="962"/>
        <v>-220.59059075539565</v>
      </c>
      <c r="T209">
        <f t="shared" si="963"/>
        <v>-0.22059059075539567</v>
      </c>
    </row>
    <row r="210" spans="1:20" x14ac:dyDescent="0.25">
      <c r="A210" s="5">
        <v>44383</v>
      </c>
      <c r="B210">
        <v>2.1714000000000002</v>
      </c>
      <c r="C210">
        <v>2.3260999999999998</v>
      </c>
      <c r="D210">
        <v>2.1698</v>
      </c>
      <c r="E210">
        <v>2.2572999999999999</v>
      </c>
      <c r="F210">
        <v>5570173.4400000004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0.11964171465131128</v>
      </c>
      <c r="Q210">
        <f t="shared" si="960"/>
        <v>666425.10126679298</v>
      </c>
      <c r="R210">
        <f t="shared" si="961"/>
        <v>-21283223.458960295</v>
      </c>
      <c r="S210">
        <f t="shared" si="962"/>
        <v>-212.83223458960293</v>
      </c>
      <c r="T210">
        <f t="shared" si="963"/>
        <v>-0.21283223458960293</v>
      </c>
    </row>
    <row r="211" spans="1:20" x14ac:dyDescent="0.25">
      <c r="A211" s="5">
        <v>44382</v>
      </c>
      <c r="B211">
        <v>2.2917000000000001</v>
      </c>
      <c r="C211">
        <v>2.3077000000000001</v>
      </c>
      <c r="D211">
        <v>2.1124999999999998</v>
      </c>
      <c r="E211">
        <v>2.1705999999999999</v>
      </c>
      <c r="F211">
        <v>5503787.6299999999</v>
      </c>
      <c r="G211">
        <v>0</v>
      </c>
      <c r="L211" t="s">
        <v>7</v>
      </c>
      <c r="M211" t="s">
        <v>8</v>
      </c>
      <c r="N211" t="s">
        <v>7</v>
      </c>
      <c r="P211">
        <f t="shared" si="959"/>
        <v>-0.40471311475409877</v>
      </c>
      <c r="Q211">
        <f t="shared" si="960"/>
        <v>-2227455.0346823791</v>
      </c>
      <c r="R211">
        <f t="shared" si="961"/>
        <v>-21949648.560227089</v>
      </c>
      <c r="S211">
        <f t="shared" si="962"/>
        <v>-219.49648560227089</v>
      </c>
      <c r="T211">
        <f t="shared" si="963"/>
        <v>-0.21949648560227089</v>
      </c>
    </row>
    <row r="212" spans="1:20" x14ac:dyDescent="0.25">
      <c r="A212" s="5">
        <v>44381</v>
      </c>
      <c r="B212">
        <v>2.2587000000000002</v>
      </c>
      <c r="C212">
        <v>2.3485</v>
      </c>
      <c r="D212">
        <v>2.1604999999999999</v>
      </c>
      <c r="E212">
        <v>2.2930999999999999</v>
      </c>
      <c r="F212">
        <v>5036401.9000000004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0.41063829787233974</v>
      </c>
      <c r="Q212">
        <f t="shared" si="960"/>
        <v>2068139.503617018</v>
      </c>
      <c r="R212">
        <f t="shared" si="961"/>
        <v>-19722193.52554471</v>
      </c>
      <c r="S212">
        <f t="shared" si="962"/>
        <v>-197.22193525544711</v>
      </c>
      <c r="T212">
        <f t="shared" si="963"/>
        <v>-0.1972219352554471</v>
      </c>
    </row>
    <row r="213" spans="1:20" x14ac:dyDescent="0.25">
      <c r="A213" s="5">
        <v>44380</v>
      </c>
      <c r="B213">
        <v>2.1049000000000002</v>
      </c>
      <c r="C213">
        <v>2.2926000000000002</v>
      </c>
      <c r="D213">
        <v>2.0952000000000002</v>
      </c>
      <c r="E213">
        <v>2.2583000000000002</v>
      </c>
      <c r="F213">
        <v>7333361.7199999997</v>
      </c>
      <c r="G213">
        <v>0</v>
      </c>
      <c r="L213" t="s">
        <v>8</v>
      </c>
      <c r="M213" t="s">
        <v>8</v>
      </c>
      <c r="N213" t="s">
        <v>7</v>
      </c>
      <c r="P213">
        <f t="shared" si="959"/>
        <v>0.65248226950354615</v>
      </c>
      <c r="Q213">
        <f t="shared" si="960"/>
        <v>4784888.4981560288</v>
      </c>
      <c r="R213">
        <f t="shared" si="961"/>
        <v>-21790333.029161729</v>
      </c>
      <c r="S213">
        <f t="shared" si="962"/>
        <v>-217.90333029161729</v>
      </c>
      <c r="T213">
        <f t="shared" si="963"/>
        <v>-0.21790333029161729</v>
      </c>
    </row>
    <row r="214" spans="1:20" x14ac:dyDescent="0.25">
      <c r="A214" s="5">
        <v>44379</v>
      </c>
      <c r="B214">
        <v>2.0712999999999999</v>
      </c>
      <c r="C214">
        <v>2.2000000000000002</v>
      </c>
      <c r="D214">
        <v>1.9359999999999999</v>
      </c>
      <c r="E214">
        <v>2.1025999999999998</v>
      </c>
      <c r="F214">
        <v>8445830.4199999999</v>
      </c>
      <c r="G214">
        <v>0</v>
      </c>
      <c r="L214" t="s">
        <v>7</v>
      </c>
      <c r="M214" t="s">
        <v>8</v>
      </c>
      <c r="N214" t="s">
        <v>7</v>
      </c>
      <c r="P214">
        <f t="shared" si="959"/>
        <v>0.26212121212120992</v>
      </c>
      <c r="Q214">
        <f t="shared" si="960"/>
        <v>2213831.3070605877</v>
      </c>
      <c r="R214">
        <f t="shared" si="961"/>
        <v>-26575221.527317759</v>
      </c>
      <c r="S214">
        <f t="shared" si="962"/>
        <v>-265.75221527317757</v>
      </c>
      <c r="T214">
        <f t="shared" si="963"/>
        <v>-0.26575221527317755</v>
      </c>
    </row>
    <row r="215" spans="1:20" x14ac:dyDescent="0.25">
      <c r="A215" s="5">
        <v>44378</v>
      </c>
      <c r="B215">
        <v>2.0916999999999999</v>
      </c>
      <c r="C215">
        <v>2.1688999999999998</v>
      </c>
      <c r="D215">
        <v>1.9201999999999999</v>
      </c>
      <c r="E215">
        <v>2.0737999999999999</v>
      </c>
      <c r="F215">
        <v>6875322.5700000003</v>
      </c>
      <c r="G215">
        <v>0</v>
      </c>
      <c r="L215" t="s">
        <v>8</v>
      </c>
      <c r="M215" t="s">
        <v>8</v>
      </c>
      <c r="N215" t="s">
        <v>7</v>
      </c>
      <c r="P215">
        <f t="shared" si="959"/>
        <v>0.2352231604342582</v>
      </c>
      <c r="Q215">
        <f t="shared" si="960"/>
        <v>1617235.1039203864</v>
      </c>
      <c r="R215">
        <f t="shared" si="961"/>
        <v>-28789052.834378347</v>
      </c>
      <c r="S215">
        <f t="shared" si="962"/>
        <v>-287.89052834378344</v>
      </c>
      <c r="T215">
        <f t="shared" si="963"/>
        <v>-0.28789052834378343</v>
      </c>
    </row>
    <row r="216" spans="1:20" x14ac:dyDescent="0.25">
      <c r="A216" s="5">
        <v>44377</v>
      </c>
      <c r="B216">
        <v>2.0971000000000002</v>
      </c>
      <c r="C216">
        <v>2.1196999999999999</v>
      </c>
      <c r="D216">
        <v>1.9201999999999999</v>
      </c>
      <c r="E216">
        <v>2.0907</v>
      </c>
      <c r="F216">
        <v>6175072.2300000004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0.70927318295739439</v>
      </c>
      <c r="Q216">
        <f t="shared" si="960"/>
        <v>4379813.1355639156</v>
      </c>
      <c r="R216">
        <f t="shared" si="961"/>
        <v>-30406287.938298732</v>
      </c>
      <c r="S216">
        <f t="shared" si="962"/>
        <v>-304.06287938298732</v>
      </c>
      <c r="T216">
        <f t="shared" si="963"/>
        <v>-0.30406287938298732</v>
      </c>
    </row>
    <row r="217" spans="1:20" x14ac:dyDescent="0.25">
      <c r="A217" s="5">
        <v>44376</v>
      </c>
      <c r="B217">
        <v>1.9766999999999999</v>
      </c>
      <c r="C217">
        <v>2.1901000000000002</v>
      </c>
      <c r="D217">
        <v>1.9631000000000001</v>
      </c>
      <c r="E217">
        <v>2.0956999999999999</v>
      </c>
      <c r="F217">
        <v>7598840.0099999998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0.16828193832598923</v>
      </c>
      <c r="Q217">
        <f t="shared" si="960"/>
        <v>1278747.5259118793</v>
      </c>
      <c r="R217">
        <f t="shared" si="961"/>
        <v>-34786101.07386265</v>
      </c>
      <c r="S217">
        <f t="shared" si="962"/>
        <v>-347.86101073862648</v>
      </c>
      <c r="T217">
        <f t="shared" si="963"/>
        <v>-0.34786101073862646</v>
      </c>
    </row>
    <row r="218" spans="1:20" x14ac:dyDescent="0.25">
      <c r="A218" s="5">
        <v>44375</v>
      </c>
      <c r="B218">
        <v>1.9649000000000001</v>
      </c>
      <c r="C218">
        <v>2.0619000000000001</v>
      </c>
      <c r="D218">
        <v>1.9221999999999999</v>
      </c>
      <c r="E218">
        <v>1.9773000000000001</v>
      </c>
      <c r="F218">
        <v>6064774.4800000004</v>
      </c>
      <c r="G218">
        <v>0</v>
      </c>
      <c r="L218" t="s">
        <v>8</v>
      </c>
      <c r="M218" t="s">
        <v>7</v>
      </c>
      <c r="N218" t="s">
        <v>7</v>
      </c>
      <c r="P218">
        <f t="shared" si="959"/>
        <v>-0.21116678596993432</v>
      </c>
      <c r="Q218">
        <f t="shared" si="960"/>
        <v>-1280678.9345740799</v>
      </c>
      <c r="R218">
        <f t="shared" si="961"/>
        <v>-36064848.599774532</v>
      </c>
      <c r="S218">
        <f t="shared" si="962"/>
        <v>-360.6484859977453</v>
      </c>
      <c r="T218">
        <f t="shared" si="963"/>
        <v>-0.36064848599774529</v>
      </c>
    </row>
    <row r="219" spans="1:20" x14ac:dyDescent="0.25">
      <c r="A219" s="5">
        <v>44374</v>
      </c>
      <c r="B219">
        <v>1.8875</v>
      </c>
      <c r="C219">
        <v>1.97</v>
      </c>
      <c r="D219">
        <v>1.8105</v>
      </c>
      <c r="E219">
        <v>1.9642999999999999</v>
      </c>
      <c r="F219">
        <v>5393261.4800000004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0.92852664576802457</v>
      </c>
      <c r="Q219">
        <f t="shared" si="960"/>
        <v>5007786.9917742927</v>
      </c>
      <c r="R219">
        <f t="shared" si="961"/>
        <v>-34784169.66520045</v>
      </c>
      <c r="S219">
        <f t="shared" si="962"/>
        <v>-347.84169665200449</v>
      </c>
      <c r="T219">
        <f t="shared" si="963"/>
        <v>-0.34784169665200448</v>
      </c>
    </row>
    <row r="220" spans="1:20" x14ac:dyDescent="0.25">
      <c r="A220" s="5">
        <v>44373</v>
      </c>
      <c r="B220">
        <v>1.8942000000000001</v>
      </c>
      <c r="C220">
        <v>1.9219999999999999</v>
      </c>
      <c r="D220">
        <v>1.7473000000000001</v>
      </c>
      <c r="E220">
        <v>1.89</v>
      </c>
      <c r="F220">
        <v>9026687.9700000007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0.63365769891242063</v>
      </c>
      <c r="Q220">
        <f t="shared" si="960"/>
        <v>5719830.3278706297</v>
      </c>
      <c r="R220">
        <f t="shared" si="961"/>
        <v>-39791956.65697474</v>
      </c>
      <c r="S220">
        <f t="shared" si="962"/>
        <v>-397.91956656974742</v>
      </c>
      <c r="T220">
        <f t="shared" si="963"/>
        <v>-0.39791956656974742</v>
      </c>
    </row>
    <row r="221" spans="1:20" x14ac:dyDescent="0.25">
      <c r="A221" s="5">
        <v>44372</v>
      </c>
      <c r="B221">
        <v>2.1709000000000001</v>
      </c>
      <c r="C221">
        <v>2.2330000000000001</v>
      </c>
      <c r="D221">
        <v>1.8782000000000001</v>
      </c>
      <c r="E221">
        <v>1.8947000000000001</v>
      </c>
      <c r="F221">
        <v>9077184.6099999994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-0.9069898534385572</v>
      </c>
      <c r="Q221">
        <f t="shared" si="960"/>
        <v>-8232914.3390586264</v>
      </c>
      <c r="R221">
        <f t="shared" si="961"/>
        <v>-45511786.98484537</v>
      </c>
      <c r="S221">
        <f t="shared" si="962"/>
        <v>-455.11786984845372</v>
      </c>
      <c r="T221">
        <f t="shared" si="963"/>
        <v>-0.4551178698484537</v>
      </c>
    </row>
    <row r="222" spans="1:20" x14ac:dyDescent="0.25">
      <c r="A222" s="5">
        <v>44371</v>
      </c>
      <c r="B222">
        <v>2.1484999999999999</v>
      </c>
      <c r="C222">
        <v>2.2572000000000001</v>
      </c>
      <c r="D222">
        <v>2.0226999999999999</v>
      </c>
      <c r="E222">
        <v>2.1709999999999998</v>
      </c>
      <c r="F222">
        <v>6585298.9699999997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0.26481876332622412</v>
      </c>
      <c r="Q222">
        <f t="shared" si="960"/>
        <v>1743910.7293688573</v>
      </c>
      <c r="R222">
        <f t="shared" si="961"/>
        <v>-37278872.64578674</v>
      </c>
      <c r="S222">
        <f t="shared" si="962"/>
        <v>-372.78872645786743</v>
      </c>
      <c r="T222">
        <f t="shared" si="963"/>
        <v>-0.37278872645786743</v>
      </c>
    </row>
    <row r="223" spans="1:20" x14ac:dyDescent="0.25">
      <c r="A223" s="5">
        <v>44370</v>
      </c>
      <c r="B223">
        <v>2.1307</v>
      </c>
      <c r="C223">
        <v>2.4014000000000002</v>
      </c>
      <c r="D223">
        <v>2.0207999999999999</v>
      </c>
      <c r="E223">
        <v>2.1480999999999999</v>
      </c>
      <c r="F223">
        <v>9836279.0299999993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-0.33105622700998488</v>
      </c>
      <c r="Q223">
        <f t="shared" si="960"/>
        <v>-3256361.4234892335</v>
      </c>
      <c r="R223">
        <f t="shared" si="961"/>
        <v>-39022783.375155598</v>
      </c>
      <c r="S223">
        <f t="shared" si="962"/>
        <v>-390.22783375155598</v>
      </c>
      <c r="T223">
        <f t="shared" si="963"/>
        <v>-0.39022783375155595</v>
      </c>
    </row>
    <row r="224" spans="1:20" x14ac:dyDescent="0.25">
      <c r="A224" s="5">
        <v>44369</v>
      </c>
      <c r="B224">
        <v>2.2448999999999999</v>
      </c>
      <c r="C224">
        <v>2.4016999999999999</v>
      </c>
      <c r="D224">
        <v>1.9228000000000001</v>
      </c>
      <c r="E224">
        <v>2.1316999999999999</v>
      </c>
      <c r="F224">
        <v>11122726.18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-0.1275840467738571</v>
      </c>
      <c r="Q224">
        <f t="shared" si="960"/>
        <v>-1419082.4172019248</v>
      </c>
      <c r="R224">
        <f t="shared" si="961"/>
        <v>-35766421.951666363</v>
      </c>
      <c r="S224">
        <f t="shared" si="962"/>
        <v>-357.66421951666365</v>
      </c>
      <c r="T224">
        <f t="shared" si="963"/>
        <v>-0.35766421951666366</v>
      </c>
    </row>
    <row r="225" spans="1:20" x14ac:dyDescent="0.25">
      <c r="A225" s="5">
        <v>44368</v>
      </c>
      <c r="B225">
        <v>2.8856999999999999</v>
      </c>
      <c r="C225">
        <v>2.9346000000000001</v>
      </c>
      <c r="D225">
        <v>2.2399</v>
      </c>
      <c r="E225">
        <v>2.2435999999999998</v>
      </c>
      <c r="F225">
        <v>8108936.5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-0.98934791996545324</v>
      </c>
      <c r="Q225">
        <f t="shared" si="960"/>
        <v>-8022559.4594069421</v>
      </c>
      <c r="R225">
        <f t="shared" si="961"/>
        <v>-34347339.534464441</v>
      </c>
      <c r="S225">
        <f t="shared" si="962"/>
        <v>-343.47339534464442</v>
      </c>
      <c r="T225">
        <f t="shared" si="963"/>
        <v>-0.34347339534464444</v>
      </c>
    </row>
    <row r="226" spans="1:20" x14ac:dyDescent="0.25">
      <c r="A226" s="5">
        <v>44367</v>
      </c>
      <c r="B226">
        <v>2.8618000000000001</v>
      </c>
      <c r="C226">
        <v>2.9159000000000002</v>
      </c>
      <c r="D226">
        <v>2.6535000000000002</v>
      </c>
      <c r="E226">
        <v>2.8853</v>
      </c>
      <c r="F226">
        <v>4309563.6500000004</v>
      </c>
      <c r="G226">
        <v>0</v>
      </c>
      <c r="L226" t="s">
        <v>7</v>
      </c>
      <c r="M226" t="s">
        <v>7</v>
      </c>
      <c r="N226" t="s">
        <v>8</v>
      </c>
      <c r="P226">
        <f t="shared" si="959"/>
        <v>0.76676829268292546</v>
      </c>
      <c r="Q226">
        <f t="shared" si="960"/>
        <v>3304436.7621188969</v>
      </c>
      <c r="R226">
        <f t="shared" si="961"/>
        <v>-26324780.075057499</v>
      </c>
      <c r="S226">
        <f t="shared" si="962"/>
        <v>-263.24780075057498</v>
      </c>
      <c r="T226">
        <f t="shared" si="963"/>
        <v>-0.26324780075057497</v>
      </c>
    </row>
    <row r="227" spans="1:20" x14ac:dyDescent="0.25">
      <c r="A227" s="5">
        <v>44366</v>
      </c>
      <c r="B227">
        <v>2.9293999999999998</v>
      </c>
      <c r="C227">
        <v>2.9830000000000001</v>
      </c>
      <c r="D227">
        <v>2.8487</v>
      </c>
      <c r="E227">
        <v>2.8639000000000001</v>
      </c>
      <c r="F227">
        <v>3717034.16</v>
      </c>
      <c r="G227">
        <v>0</v>
      </c>
      <c r="L227" t="s">
        <v>7</v>
      </c>
      <c r="M227" t="s">
        <v>8</v>
      </c>
      <c r="N227" t="s">
        <v>8</v>
      </c>
      <c r="P227">
        <f t="shared" si="959"/>
        <v>-0.77364110201042302</v>
      </c>
      <c r="Q227">
        <f t="shared" si="960"/>
        <v>-2875650.403752787</v>
      </c>
      <c r="R227">
        <f t="shared" si="961"/>
        <v>-29629216.837176397</v>
      </c>
      <c r="S227">
        <f t="shared" si="962"/>
        <v>-296.29216837176398</v>
      </c>
      <c r="T227">
        <f t="shared" si="963"/>
        <v>-0.29629216837176398</v>
      </c>
    </row>
    <row r="228" spans="1:20" x14ac:dyDescent="0.25">
      <c r="A228" s="5">
        <v>44365</v>
      </c>
      <c r="B228">
        <v>3.089</v>
      </c>
      <c r="C228">
        <v>3.3418000000000001</v>
      </c>
      <c r="D228">
        <v>2.8601000000000001</v>
      </c>
      <c r="E228">
        <v>2.9316</v>
      </c>
      <c r="F228">
        <v>9599915.2200000007</v>
      </c>
      <c r="G228">
        <v>0</v>
      </c>
      <c r="L228" t="s">
        <v>7</v>
      </c>
      <c r="M228" t="s">
        <v>8</v>
      </c>
      <c r="N228" t="s">
        <v>8</v>
      </c>
      <c r="P228">
        <f t="shared" si="959"/>
        <v>-0.70313473116047376</v>
      </c>
      <c r="Q228">
        <f t="shared" si="960"/>
        <v>-6750033.8073780406</v>
      </c>
      <c r="R228">
        <f t="shared" si="961"/>
        <v>-26753566.433423609</v>
      </c>
      <c r="S228">
        <f t="shared" si="962"/>
        <v>-267.53566433423606</v>
      </c>
      <c r="T228">
        <f t="shared" si="963"/>
        <v>-0.26753566433423603</v>
      </c>
    </row>
    <row r="229" spans="1:20" x14ac:dyDescent="0.25">
      <c r="A229" s="5">
        <v>44364</v>
      </c>
      <c r="B229">
        <v>3.0748000000000002</v>
      </c>
      <c r="C229">
        <v>3.2</v>
      </c>
      <c r="D229">
        <v>3</v>
      </c>
      <c r="E229">
        <v>3.0891999999999999</v>
      </c>
      <c r="F229">
        <v>3740322.61</v>
      </c>
      <c r="G229">
        <v>0</v>
      </c>
      <c r="L229" t="s">
        <v>7</v>
      </c>
      <c r="M229" t="s">
        <v>8</v>
      </c>
      <c r="N229" t="s">
        <v>8</v>
      </c>
      <c r="P229">
        <f t="shared" si="959"/>
        <v>-0.10800000000000133</v>
      </c>
      <c r="Q229">
        <f t="shared" si="960"/>
        <v>-403954.84188000497</v>
      </c>
      <c r="R229">
        <f t="shared" si="961"/>
        <v>-20003532.62604557</v>
      </c>
      <c r="S229">
        <f t="shared" si="962"/>
        <v>-200.03532626045569</v>
      </c>
      <c r="T229">
        <f t="shared" si="963"/>
        <v>-0.2000353262604557</v>
      </c>
    </row>
    <row r="230" spans="1:20" x14ac:dyDescent="0.25">
      <c r="A230" s="5">
        <v>44363</v>
      </c>
      <c r="B230">
        <v>3.2181999999999999</v>
      </c>
      <c r="C230">
        <v>3.2431999999999999</v>
      </c>
      <c r="D230">
        <v>2.9809999999999999</v>
      </c>
      <c r="E230">
        <v>3.0811000000000002</v>
      </c>
      <c r="F230">
        <v>4690124.26</v>
      </c>
      <c r="G230">
        <v>0</v>
      </c>
      <c r="L230" t="s">
        <v>7</v>
      </c>
      <c r="M230" t="s">
        <v>8</v>
      </c>
      <c r="N230" t="s">
        <v>8</v>
      </c>
      <c r="P230">
        <f t="shared" si="959"/>
        <v>-0.23646071700991378</v>
      </c>
      <c r="Q230">
        <f t="shared" si="960"/>
        <v>-1109030.1453851913</v>
      </c>
      <c r="R230">
        <f t="shared" si="961"/>
        <v>-19599577.784165565</v>
      </c>
      <c r="S230">
        <f t="shared" si="962"/>
        <v>-195.99577784165564</v>
      </c>
      <c r="T230">
        <f t="shared" si="963"/>
        <v>-0.19599577784165564</v>
      </c>
    </row>
    <row r="231" spans="1:20" x14ac:dyDescent="0.25">
      <c r="A231" s="5">
        <v>44362</v>
      </c>
      <c r="B231">
        <v>3.2246000000000001</v>
      </c>
      <c r="C231">
        <v>3.3224</v>
      </c>
      <c r="D231">
        <v>3.1606999999999998</v>
      </c>
      <c r="E231">
        <v>3.2185000000000001</v>
      </c>
      <c r="F231">
        <v>4225092.5199999996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-0.2850958565244251</v>
      </c>
      <c r="Q231">
        <f t="shared" si="960"/>
        <v>-1204556.3708843417</v>
      </c>
      <c r="R231">
        <f t="shared" si="961"/>
        <v>-18490547.638780374</v>
      </c>
      <c r="S231">
        <f t="shared" si="962"/>
        <v>-184.90547638780373</v>
      </c>
      <c r="T231">
        <f t="shared" si="963"/>
        <v>-0.18490547638780372</v>
      </c>
    </row>
    <row r="232" spans="1:20" x14ac:dyDescent="0.25">
      <c r="A232" s="5">
        <v>44361</v>
      </c>
      <c r="B232">
        <v>3.1355</v>
      </c>
      <c r="C232">
        <v>3.3654999999999999</v>
      </c>
      <c r="D232">
        <v>3.0550000000000002</v>
      </c>
      <c r="E232">
        <v>3.2216999999999998</v>
      </c>
      <c r="F232">
        <v>5435125.75</v>
      </c>
      <c r="G232">
        <v>0</v>
      </c>
      <c r="L232" t="s">
        <v>8</v>
      </c>
      <c r="M232" t="s">
        <v>8</v>
      </c>
      <c r="N232" t="s">
        <v>8</v>
      </c>
      <c r="P232">
        <f t="shared" si="959"/>
        <v>7.3752012882446039E-2</v>
      </c>
      <c r="Q232">
        <f t="shared" si="960"/>
        <v>400851.4643317142</v>
      </c>
      <c r="R232">
        <f t="shared" si="961"/>
        <v>-17285991.267896034</v>
      </c>
      <c r="S232">
        <f t="shared" si="962"/>
        <v>-172.85991267896034</v>
      </c>
      <c r="T232">
        <f t="shared" si="963"/>
        <v>-0.17285991267896034</v>
      </c>
    </row>
    <row r="233" spans="1:20" x14ac:dyDescent="0.25">
      <c r="A233" s="5">
        <v>44360</v>
      </c>
      <c r="B233">
        <v>2.9159999999999999</v>
      </c>
      <c r="C233">
        <v>3.16</v>
      </c>
      <c r="D233">
        <v>2.8612000000000002</v>
      </c>
      <c r="E233">
        <v>3.1375999999999999</v>
      </c>
      <c r="F233">
        <v>2883956.95</v>
      </c>
      <c r="G233">
        <v>0</v>
      </c>
      <c r="L233" t="s">
        <v>8</v>
      </c>
      <c r="M233" t="s">
        <v>7</v>
      </c>
      <c r="N233" t="s">
        <v>8</v>
      </c>
      <c r="P233">
        <f t="shared" si="959"/>
        <v>0.85006693440428249</v>
      </c>
      <c r="Q233">
        <f t="shared" si="960"/>
        <v>2451556.4434404247</v>
      </c>
      <c r="R233">
        <f t="shared" si="961"/>
        <v>-17686842.732227746</v>
      </c>
      <c r="S233">
        <f t="shared" si="962"/>
        <v>-176.86842732227746</v>
      </c>
      <c r="T233">
        <f t="shared" si="963"/>
        <v>-0.17686842732227745</v>
      </c>
    </row>
    <row r="234" spans="1:20" x14ac:dyDescent="0.25">
      <c r="A234" s="5">
        <v>44359</v>
      </c>
      <c r="B234">
        <v>3.0221</v>
      </c>
      <c r="C234">
        <v>3.0224000000000002</v>
      </c>
      <c r="D234">
        <v>2.7856999999999998</v>
      </c>
      <c r="E234">
        <v>2.9171</v>
      </c>
      <c r="F234">
        <v>4326845.43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0.11026615969581738</v>
      </c>
      <c r="Q234">
        <f t="shared" si="960"/>
        <v>477104.62916349759</v>
      </c>
      <c r="R234">
        <f t="shared" si="961"/>
        <v>-20138399.175668173</v>
      </c>
      <c r="S234">
        <f t="shared" si="962"/>
        <v>-201.38399175668172</v>
      </c>
      <c r="T234">
        <f t="shared" si="963"/>
        <v>-0.20138399175668173</v>
      </c>
    </row>
    <row r="235" spans="1:20" x14ac:dyDescent="0.25">
      <c r="A235" s="5">
        <v>44358</v>
      </c>
      <c r="B235">
        <v>2.9693000000000001</v>
      </c>
      <c r="C235">
        <v>3.1987999999999999</v>
      </c>
      <c r="D235">
        <v>2.8965000000000001</v>
      </c>
      <c r="E235">
        <v>3.0207999999999999</v>
      </c>
      <c r="F235">
        <v>5656725.8499999996</v>
      </c>
      <c r="G235">
        <v>0</v>
      </c>
      <c r="L235" t="s">
        <v>8</v>
      </c>
      <c r="M235" t="s">
        <v>8</v>
      </c>
      <c r="N235" t="s">
        <v>8</v>
      </c>
      <c r="P235">
        <f t="shared" si="959"/>
        <v>-0.17763810783989453</v>
      </c>
      <c r="Q235">
        <f t="shared" si="960"/>
        <v>-1004850.076563019</v>
      </c>
      <c r="R235">
        <f t="shared" si="961"/>
        <v>-20615503.804831669</v>
      </c>
      <c r="S235">
        <f t="shared" si="962"/>
        <v>-206.1550380483167</v>
      </c>
      <c r="T235">
        <f t="shared" si="963"/>
        <v>-0.2061550380483167</v>
      </c>
    </row>
    <row r="236" spans="1:20" x14ac:dyDescent="0.25">
      <c r="A236" s="5">
        <v>44357</v>
      </c>
      <c r="B236">
        <v>3.2244999999999999</v>
      </c>
      <c r="C236">
        <v>3.2471000000000001</v>
      </c>
      <c r="D236">
        <v>2.8811</v>
      </c>
      <c r="E236">
        <v>2.9685000000000001</v>
      </c>
      <c r="F236">
        <v>5751161.79</v>
      </c>
      <c r="G236">
        <v>0</v>
      </c>
      <c r="L236" t="s">
        <v>7</v>
      </c>
      <c r="M236" t="s">
        <v>8</v>
      </c>
      <c r="N236" t="s">
        <v>8</v>
      </c>
      <c r="P236">
        <f t="shared" si="959"/>
        <v>-0.52240437158469877</v>
      </c>
      <c r="Q236">
        <f t="shared" si="960"/>
        <v>-3004432.0607868815</v>
      </c>
      <c r="R236">
        <f t="shared" si="961"/>
        <v>-19610653.728268649</v>
      </c>
      <c r="S236">
        <f t="shared" si="962"/>
        <v>-196.1065372826865</v>
      </c>
      <c r="T236">
        <f t="shared" si="963"/>
        <v>-0.19610653728268651</v>
      </c>
    </row>
    <row r="237" spans="1:20" x14ac:dyDescent="0.25">
      <c r="A237" s="5">
        <v>44356</v>
      </c>
      <c r="B237">
        <v>2.9</v>
      </c>
      <c r="C237">
        <v>3.3334999999999999</v>
      </c>
      <c r="D237">
        <v>2.7810000000000001</v>
      </c>
      <c r="E237">
        <v>3.2244999999999999</v>
      </c>
      <c r="F237">
        <v>8556087.3900000006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0.60542986425339351</v>
      </c>
      <c r="Q237">
        <f t="shared" si="960"/>
        <v>5180110.8270678725</v>
      </c>
      <c r="R237">
        <f t="shared" si="961"/>
        <v>-16606221.667481767</v>
      </c>
      <c r="S237">
        <f t="shared" si="962"/>
        <v>-166.06221667481768</v>
      </c>
      <c r="T237">
        <f t="shared" si="963"/>
        <v>-0.16606221667481769</v>
      </c>
    </row>
    <row r="238" spans="1:20" x14ac:dyDescent="0.25">
      <c r="A238" s="5">
        <v>44355</v>
      </c>
      <c r="B238">
        <v>2.9247999999999998</v>
      </c>
      <c r="C238">
        <v>2.9910999999999999</v>
      </c>
      <c r="D238">
        <v>2.69</v>
      </c>
      <c r="E238">
        <v>2.9</v>
      </c>
      <c r="F238">
        <v>5871712.6900000004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0.39488542012620403</v>
      </c>
      <c r="Q238">
        <f t="shared" si="960"/>
        <v>2318653.7324510138</v>
      </c>
      <c r="R238">
        <f t="shared" si="961"/>
        <v>-21786332.49454964</v>
      </c>
      <c r="S238">
        <f t="shared" si="962"/>
        <v>-217.8633249454964</v>
      </c>
      <c r="T238">
        <f t="shared" si="963"/>
        <v>-0.2178633249454964</v>
      </c>
    </row>
    <row r="239" spans="1:20" x14ac:dyDescent="0.25">
      <c r="A239" s="5">
        <v>44354</v>
      </c>
      <c r="B239">
        <v>3.2052</v>
      </c>
      <c r="C239">
        <v>3.3126000000000002</v>
      </c>
      <c r="D239">
        <v>2.91</v>
      </c>
      <c r="E239">
        <v>2.9256000000000002</v>
      </c>
      <c r="F239">
        <v>4733509.17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-0.92250372578241402</v>
      </c>
      <c r="Q239">
        <f t="shared" si="960"/>
        <v>-4366679.8453502217</v>
      </c>
      <c r="R239">
        <f t="shared" si="961"/>
        <v>-24104986.227000654</v>
      </c>
      <c r="S239">
        <f t="shared" si="962"/>
        <v>-241.04986227000654</v>
      </c>
      <c r="T239">
        <f t="shared" si="963"/>
        <v>-0.24104986227000655</v>
      </c>
    </row>
    <row r="240" spans="1:20" x14ac:dyDescent="0.25">
      <c r="A240" s="5">
        <v>44353</v>
      </c>
      <c r="B240">
        <v>3.2835999999999999</v>
      </c>
      <c r="C240">
        <v>3.3184</v>
      </c>
      <c r="D240">
        <v>3.1048</v>
      </c>
      <c r="E240">
        <v>3.2046999999999999</v>
      </c>
      <c r="F240">
        <v>3493377.64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-6.4606741573034907E-2</v>
      </c>
      <c r="Q240">
        <f t="shared" si="960"/>
        <v>-225695.74640449858</v>
      </c>
      <c r="R240">
        <f t="shared" si="961"/>
        <v>-19738306.381650433</v>
      </c>
      <c r="S240">
        <f t="shared" si="962"/>
        <v>-197.38306381650432</v>
      </c>
      <c r="T240">
        <f t="shared" si="963"/>
        <v>-0.19738306381650431</v>
      </c>
    </row>
    <row r="241" spans="1:20" x14ac:dyDescent="0.25">
      <c r="A241" s="5">
        <v>44352</v>
      </c>
      <c r="B241">
        <v>3.177</v>
      </c>
      <c r="C241">
        <v>3.4325999999999999</v>
      </c>
      <c r="D241">
        <v>2.9937999999999998</v>
      </c>
      <c r="E241">
        <v>3.2835000000000001</v>
      </c>
      <c r="F241">
        <v>7302328.1200000001</v>
      </c>
      <c r="G241">
        <v>0</v>
      </c>
      <c r="L241" t="s">
        <v>8</v>
      </c>
      <c r="M241" t="s">
        <v>7</v>
      </c>
      <c r="N241" t="s">
        <v>8</v>
      </c>
      <c r="P241">
        <f t="shared" si="959"/>
        <v>0.32041932543300017</v>
      </c>
      <c r="Q241">
        <f t="shared" si="960"/>
        <v>2339807.0503008282</v>
      </c>
      <c r="R241">
        <f t="shared" si="961"/>
        <v>-19512610.635245934</v>
      </c>
      <c r="S241">
        <f t="shared" si="962"/>
        <v>-195.12610635245935</v>
      </c>
      <c r="T241">
        <f t="shared" si="963"/>
        <v>-0.19512610635245933</v>
      </c>
    </row>
    <row r="242" spans="1:20" x14ac:dyDescent="0.25">
      <c r="A242" s="5">
        <v>44351</v>
      </c>
      <c r="B242">
        <v>3.6116000000000001</v>
      </c>
      <c r="C242">
        <v>3.6177000000000001</v>
      </c>
      <c r="D242">
        <v>3.0028999999999999</v>
      </c>
      <c r="E242">
        <v>3.1698</v>
      </c>
      <c r="F242">
        <v>7768573.7199999997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-0.45705920624593371</v>
      </c>
      <c r="Q242">
        <f t="shared" si="960"/>
        <v>-3550698.1381262206</v>
      </c>
      <c r="R242">
        <f t="shared" si="961"/>
        <v>-21852417.685546763</v>
      </c>
      <c r="S242">
        <f t="shared" si="962"/>
        <v>-218.52417685546763</v>
      </c>
      <c r="T242">
        <f t="shared" si="963"/>
        <v>-0.21852417685546763</v>
      </c>
    </row>
    <row r="243" spans="1:20" x14ac:dyDescent="0.25">
      <c r="A243" s="5">
        <v>44350</v>
      </c>
      <c r="B243">
        <v>3.3117000000000001</v>
      </c>
      <c r="C243">
        <v>3.65</v>
      </c>
      <c r="D243">
        <v>3.2688000000000001</v>
      </c>
      <c r="E243">
        <v>3.6095999999999999</v>
      </c>
      <c r="F243">
        <v>7906215.3700000001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0.78803777544595999</v>
      </c>
      <c r="Q243">
        <f t="shared" si="960"/>
        <v>6230396.3723714575</v>
      </c>
      <c r="R243">
        <f t="shared" si="961"/>
        <v>-18301719.547420543</v>
      </c>
      <c r="S243">
        <f t="shared" si="962"/>
        <v>-183.01719547420544</v>
      </c>
      <c r="T243">
        <f t="shared" si="963"/>
        <v>-0.18301719547420545</v>
      </c>
    </row>
    <row r="244" spans="1:20" x14ac:dyDescent="0.25">
      <c r="A244" s="5">
        <v>44349</v>
      </c>
      <c r="B244">
        <v>3.2357999999999998</v>
      </c>
      <c r="C244">
        <v>3.5893000000000002</v>
      </c>
      <c r="D244">
        <v>3.1482000000000001</v>
      </c>
      <c r="E244">
        <v>3.3134000000000001</v>
      </c>
      <c r="F244">
        <v>8081483.75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-0.25096350034005899</v>
      </c>
      <c r="Q244">
        <f t="shared" si="960"/>
        <v>-2028157.4498413061</v>
      </c>
      <c r="R244">
        <f t="shared" si="961"/>
        <v>-24532115.919792</v>
      </c>
      <c r="S244">
        <f t="shared" si="962"/>
        <v>-245.32115919792</v>
      </c>
      <c r="T244">
        <f t="shared" si="963"/>
        <v>-0.24532115919792</v>
      </c>
    </row>
    <row r="245" spans="1:20" x14ac:dyDescent="0.25">
      <c r="A245" s="5">
        <v>44348</v>
      </c>
      <c r="B245">
        <v>3.3548</v>
      </c>
      <c r="C245">
        <v>3.3828999999999998</v>
      </c>
      <c r="D245">
        <v>2.9876</v>
      </c>
      <c r="E245">
        <v>3.2351000000000001</v>
      </c>
      <c r="F245">
        <v>9230154.9800000004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0.25221350872754972</v>
      </c>
      <c r="Q245">
        <f t="shared" si="960"/>
        <v>2327969.7736048666</v>
      </c>
      <c r="R245">
        <f t="shared" si="961"/>
        <v>-22503958.469950695</v>
      </c>
      <c r="S245">
        <f t="shared" si="962"/>
        <v>-225.03958469950695</v>
      </c>
      <c r="T245">
        <f t="shared" si="963"/>
        <v>-0.22503958469950694</v>
      </c>
    </row>
    <row r="246" spans="1:20" x14ac:dyDescent="0.25">
      <c r="A246" s="5">
        <v>44347</v>
      </c>
      <c r="B246">
        <v>3.1135000000000002</v>
      </c>
      <c r="C246">
        <v>3.3761999999999999</v>
      </c>
      <c r="D246">
        <v>2.8784999999999998</v>
      </c>
      <c r="E246">
        <v>3.3548</v>
      </c>
      <c r="F246">
        <v>10978931.99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0.91400442033353479</v>
      </c>
      <c r="Q246">
        <f t="shared" si="960"/>
        <v>10034792.369401252</v>
      </c>
      <c r="R246">
        <f t="shared" si="961"/>
        <v>-24831928.243555561</v>
      </c>
      <c r="S246">
        <f t="shared" si="962"/>
        <v>-248.31928243555561</v>
      </c>
      <c r="T246">
        <f t="shared" si="963"/>
        <v>-0.24831928243555559</v>
      </c>
    </row>
    <row r="247" spans="1:20" x14ac:dyDescent="0.25">
      <c r="A247" s="5">
        <v>44346</v>
      </c>
      <c r="B247">
        <v>2.6987000000000001</v>
      </c>
      <c r="C247">
        <v>3.3</v>
      </c>
      <c r="D247">
        <v>2.5312000000000001</v>
      </c>
      <c r="E247">
        <v>3.1149</v>
      </c>
      <c r="F247">
        <v>11040633.550000001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0.51847034339230003</v>
      </c>
      <c r="Q247">
        <f t="shared" si="960"/>
        <v>5724241.0679370491</v>
      </c>
      <c r="R247">
        <f t="shared" si="961"/>
        <v>-34866720.612956814</v>
      </c>
      <c r="S247">
        <f t="shared" si="962"/>
        <v>-348.66720612956817</v>
      </c>
      <c r="T247">
        <f t="shared" si="963"/>
        <v>-0.3486672061295682</v>
      </c>
    </row>
    <row r="248" spans="1:20" x14ac:dyDescent="0.25">
      <c r="A248" s="5">
        <v>44345</v>
      </c>
      <c r="B248">
        <v>2.92</v>
      </c>
      <c r="C248">
        <v>2.97</v>
      </c>
      <c r="D248">
        <v>2.5278999999999998</v>
      </c>
      <c r="E248">
        <v>2.6966999999999999</v>
      </c>
      <c r="F248">
        <v>8775441.9000000004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-0.23637186156978099</v>
      </c>
      <c r="Q248">
        <f t="shared" si="960"/>
        <v>-2074267.5380004561</v>
      </c>
      <c r="R248">
        <f t="shared" si="961"/>
        <v>-40590961.680893861</v>
      </c>
      <c r="S248">
        <f t="shared" si="962"/>
        <v>-405.90961680893861</v>
      </c>
      <c r="T248">
        <f t="shared" si="963"/>
        <v>-0.40590961680893861</v>
      </c>
    </row>
    <row r="249" spans="1:20" x14ac:dyDescent="0.25">
      <c r="A249" s="5">
        <v>44344</v>
      </c>
      <c r="B249">
        <v>3.3018000000000001</v>
      </c>
      <c r="C249">
        <v>3.3346</v>
      </c>
      <c r="D249">
        <v>2.7050000000000001</v>
      </c>
      <c r="E249">
        <v>2.9211999999999998</v>
      </c>
      <c r="F249">
        <v>11612867.27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-0.31321473951715456</v>
      </c>
      <c r="Q249">
        <f t="shared" si="960"/>
        <v>-3637321.1970203398</v>
      </c>
      <c r="R249">
        <f t="shared" si="961"/>
        <v>-38516694.142893404</v>
      </c>
      <c r="S249">
        <f t="shared" si="962"/>
        <v>-385.16694142893402</v>
      </c>
      <c r="T249">
        <f t="shared" si="963"/>
        <v>-0.38516694142893404</v>
      </c>
    </row>
    <row r="250" spans="1:20" x14ac:dyDescent="0.25">
      <c r="A250" s="5">
        <v>44343</v>
      </c>
      <c r="B250">
        <v>3.5388000000000002</v>
      </c>
      <c r="C250">
        <v>3.5402999999999998</v>
      </c>
      <c r="D250">
        <v>3.1213000000000002</v>
      </c>
      <c r="E250">
        <v>3.3048999999999999</v>
      </c>
      <c r="F250">
        <v>10689164.84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-0.12362768496420076</v>
      </c>
      <c r="Q250">
        <f t="shared" si="960"/>
        <v>-1321476.7033699313</v>
      </c>
      <c r="R250">
        <f t="shared" si="961"/>
        <v>-34879372.945873067</v>
      </c>
      <c r="S250">
        <f t="shared" si="962"/>
        <v>-348.7937294587307</v>
      </c>
      <c r="T250">
        <f t="shared" si="963"/>
        <v>-0.34879372945873072</v>
      </c>
    </row>
    <row r="251" spans="1:20" x14ac:dyDescent="0.25">
      <c r="A251" s="5">
        <v>44342</v>
      </c>
      <c r="B251">
        <v>3.3338000000000001</v>
      </c>
      <c r="C251">
        <v>3.65</v>
      </c>
      <c r="D251">
        <v>3.2383000000000002</v>
      </c>
      <c r="E251">
        <v>3.5369999999999999</v>
      </c>
      <c r="F251">
        <v>14161499.32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0.45105659460772379</v>
      </c>
      <c r="Q251">
        <f t="shared" si="960"/>
        <v>6387637.6578187961</v>
      </c>
      <c r="R251">
        <f t="shared" si="961"/>
        <v>-33557896.242503136</v>
      </c>
      <c r="S251">
        <f t="shared" si="962"/>
        <v>-335.57896242503136</v>
      </c>
      <c r="T251">
        <f t="shared" si="963"/>
        <v>-0.33557896242503138</v>
      </c>
    </row>
    <row r="252" spans="1:20" x14ac:dyDescent="0.25">
      <c r="A252" s="5">
        <v>44341</v>
      </c>
      <c r="B252">
        <v>3.2684000000000002</v>
      </c>
      <c r="C252">
        <v>3.4340000000000002</v>
      </c>
      <c r="D252">
        <v>2.8214000000000001</v>
      </c>
      <c r="E252">
        <v>3.3344999999999998</v>
      </c>
      <c r="F252">
        <v>10834305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0.67515507672216668</v>
      </c>
      <c r="Q252">
        <f t="shared" si="960"/>
        <v>7314836.0235063545</v>
      </c>
      <c r="R252">
        <f t="shared" si="961"/>
        <v>-39945533.900321931</v>
      </c>
      <c r="S252">
        <f t="shared" si="962"/>
        <v>-399.45533900321931</v>
      </c>
      <c r="T252">
        <f t="shared" si="963"/>
        <v>-0.39945533900321933</v>
      </c>
    </row>
    <row r="253" spans="1:20" x14ac:dyDescent="0.25">
      <c r="A253" s="5">
        <v>44340</v>
      </c>
      <c r="B253">
        <v>2.6551999999999998</v>
      </c>
      <c r="C253">
        <v>3.28</v>
      </c>
      <c r="D253">
        <v>2.5701999999999998</v>
      </c>
      <c r="E253">
        <v>3.2660999999999998</v>
      </c>
      <c r="F253">
        <v>12629556.82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0.96083403775711462</v>
      </c>
      <c r="Q253">
        <f t="shared" si="960"/>
        <v>12134908.074443504</v>
      </c>
      <c r="R253">
        <f t="shared" si="961"/>
        <v>-47260369.923828281</v>
      </c>
      <c r="S253">
        <f t="shared" si="962"/>
        <v>-472.60369923828284</v>
      </c>
      <c r="T253">
        <f t="shared" si="963"/>
        <v>-0.47260369923828283</v>
      </c>
    </row>
    <row r="254" spans="1:20" x14ac:dyDescent="0.25">
      <c r="A254" s="5">
        <v>44339</v>
      </c>
      <c r="B254">
        <v>3.1663999999999999</v>
      </c>
      <c r="C254">
        <v>3.37</v>
      </c>
      <c r="D254">
        <v>2.2037</v>
      </c>
      <c r="E254">
        <v>2.6575000000000002</v>
      </c>
      <c r="F254">
        <v>16846351.120000001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-0.22181256966475152</v>
      </c>
      <c r="Q254">
        <f t="shared" si="960"/>
        <v>-3736732.4314018651</v>
      </c>
      <c r="R254">
        <f t="shared" si="961"/>
        <v>-59395277.998271786</v>
      </c>
      <c r="S254">
        <f t="shared" si="962"/>
        <v>-593.95277998271786</v>
      </c>
      <c r="T254">
        <f t="shared" si="963"/>
        <v>-0.59395277998271789</v>
      </c>
    </row>
    <row r="255" spans="1:20" x14ac:dyDescent="0.25">
      <c r="A255" s="5">
        <v>44338</v>
      </c>
      <c r="B255">
        <v>3.4624000000000001</v>
      </c>
      <c r="C255">
        <v>3.5318999999999998</v>
      </c>
      <c r="D255">
        <v>2.9679000000000002</v>
      </c>
      <c r="E255">
        <v>3.1638999999999999</v>
      </c>
      <c r="F255">
        <v>9347059.8800000008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-0.30496453900709269</v>
      </c>
      <c r="Q255">
        <f t="shared" si="960"/>
        <v>-2850521.8073758916</v>
      </c>
      <c r="R255">
        <f t="shared" si="961"/>
        <v>-55658545.566869922</v>
      </c>
      <c r="S255">
        <f t="shared" si="962"/>
        <v>-556.58545566869918</v>
      </c>
      <c r="T255">
        <f t="shared" si="963"/>
        <v>-0.55658545566869921</v>
      </c>
    </row>
    <row r="256" spans="1:20" x14ac:dyDescent="0.25">
      <c r="A256" s="5">
        <v>44337</v>
      </c>
      <c r="B256">
        <v>4.1923000000000004</v>
      </c>
      <c r="C256">
        <v>4.3888999999999996</v>
      </c>
      <c r="D256">
        <v>3.03</v>
      </c>
      <c r="E256">
        <v>3.4615</v>
      </c>
      <c r="F256">
        <v>14350316.4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-0.36492751490175834</v>
      </c>
      <c r="Q256">
        <f t="shared" si="960"/>
        <v>-5236825.3019059477</v>
      </c>
      <c r="R256">
        <f t="shared" si="961"/>
        <v>-52808023.759494029</v>
      </c>
      <c r="S256">
        <f t="shared" si="962"/>
        <v>-528.08023759494029</v>
      </c>
      <c r="T256">
        <f t="shared" si="963"/>
        <v>-0.52808023759494027</v>
      </c>
    </row>
    <row r="257" spans="1:20" x14ac:dyDescent="0.25">
      <c r="A257" s="5">
        <v>44336</v>
      </c>
      <c r="B257">
        <v>3.6059000000000001</v>
      </c>
      <c r="C257">
        <v>4.3781999999999996</v>
      </c>
      <c r="D257">
        <v>3.2</v>
      </c>
      <c r="E257">
        <v>4.1900000000000004</v>
      </c>
      <c r="F257">
        <v>14812707.83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0.68052962145646012</v>
      </c>
      <c r="Q257">
        <f t="shared" si="960"/>
        <v>10080486.452295043</v>
      </c>
      <c r="R257">
        <f t="shared" si="961"/>
        <v>-47571198.457588084</v>
      </c>
      <c r="S257">
        <f t="shared" si="962"/>
        <v>-475.71198457588082</v>
      </c>
      <c r="T257">
        <f t="shared" si="963"/>
        <v>-0.47571198457588082</v>
      </c>
    </row>
    <row r="258" spans="1:20" x14ac:dyDescent="0.25">
      <c r="A258" s="5">
        <v>44335</v>
      </c>
      <c r="B258">
        <v>5.6791999999999998</v>
      </c>
      <c r="C258">
        <v>5.8742999999999999</v>
      </c>
      <c r="D258">
        <v>2.9</v>
      </c>
      <c r="E258">
        <v>3.6013999999999999</v>
      </c>
      <c r="F258">
        <v>22932160.550000001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-0.52835961402682985</v>
      </c>
      <c r="Q258">
        <f t="shared" si="960"/>
        <v>-12116427.496999295</v>
      </c>
      <c r="R258">
        <f t="shared" si="961"/>
        <v>-57651684.909883127</v>
      </c>
      <c r="S258">
        <f t="shared" si="962"/>
        <v>-576.51684909883124</v>
      </c>
      <c r="T258">
        <f t="shared" si="963"/>
        <v>-0.57651684909883127</v>
      </c>
    </row>
    <row r="259" spans="1:20" x14ac:dyDescent="0.25">
      <c r="A259" s="5">
        <v>44334</v>
      </c>
      <c r="B259">
        <v>5.7244000000000002</v>
      </c>
      <c r="C259">
        <v>6.2988</v>
      </c>
      <c r="D259">
        <v>5.4851000000000001</v>
      </c>
      <c r="E259">
        <v>5.6737000000000002</v>
      </c>
      <c r="F259">
        <v>8546204.3499999996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-0.53643849084429118</v>
      </c>
      <c r="Q259">
        <f t="shared" si="960"/>
        <v>-4584512.9639609167</v>
      </c>
      <c r="R259">
        <f t="shared" si="961"/>
        <v>-45535257.412883833</v>
      </c>
      <c r="S259">
        <f t="shared" si="962"/>
        <v>-455.35257412883834</v>
      </c>
      <c r="T259">
        <f t="shared" si="963"/>
        <v>-0.45535257412883834</v>
      </c>
    </row>
    <row r="260" spans="1:20" x14ac:dyDescent="0.25">
      <c r="A260" s="5">
        <v>44333</v>
      </c>
      <c r="B260">
        <v>5.8728999999999996</v>
      </c>
      <c r="C260">
        <v>5.9671000000000003</v>
      </c>
      <c r="D260">
        <v>5.01</v>
      </c>
      <c r="E260">
        <v>5.7248000000000001</v>
      </c>
      <c r="F260">
        <v>12650697.880000001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0.49367882143976582</v>
      </c>
      <c r="Q260">
        <f t="shared" si="960"/>
        <v>6245381.6197889447</v>
      </c>
      <c r="R260">
        <f t="shared" si="961"/>
        <v>-40950744.448922917</v>
      </c>
      <c r="S260">
        <f t="shared" si="962"/>
        <v>-409.50744448922916</v>
      </c>
      <c r="T260">
        <f t="shared" si="963"/>
        <v>-0.40950744448922916</v>
      </c>
    </row>
    <row r="261" spans="1:20" x14ac:dyDescent="0.25">
      <c r="A261" s="5">
        <v>44332</v>
      </c>
      <c r="B261">
        <v>5.9436999999999998</v>
      </c>
      <c r="C261">
        <v>6.6098999999999997</v>
      </c>
      <c r="D261">
        <v>5.5354999999999999</v>
      </c>
      <c r="E261">
        <v>5.8716999999999997</v>
      </c>
      <c r="F261">
        <v>11677332.1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-0.37416232315711112</v>
      </c>
      <c r="Q261">
        <f t="shared" si="960"/>
        <v>-4369217.7068131072</v>
      </c>
      <c r="R261">
        <f t="shared" si="961"/>
        <v>-47196126.068711862</v>
      </c>
      <c r="S261">
        <f t="shared" si="962"/>
        <v>-471.96126068711862</v>
      </c>
      <c r="T261">
        <f t="shared" si="963"/>
        <v>-0.47196126068711863</v>
      </c>
    </row>
    <row r="262" spans="1:20" x14ac:dyDescent="0.25">
      <c r="A262" s="5">
        <v>44331</v>
      </c>
      <c r="B262">
        <v>5.7393000000000001</v>
      </c>
      <c r="C262">
        <v>7.3354999999999997</v>
      </c>
      <c r="D262">
        <v>5.6193999999999997</v>
      </c>
      <c r="E262">
        <v>5.9420999999999999</v>
      </c>
      <c r="F262">
        <v>25055681.16</v>
      </c>
      <c r="G262">
        <v>0</v>
      </c>
      <c r="L262" t="s">
        <v>8</v>
      </c>
      <c r="M262" t="s">
        <v>8</v>
      </c>
      <c r="N262" t="s">
        <v>8</v>
      </c>
      <c r="P262">
        <f t="shared" ref="P262:P325" si="964">IF(C262=D262,0,((E262-D262)-(C262-E262))/(C262-D262))</f>
        <v>-0.62391469028611357</v>
      </c>
      <c r="Q262">
        <f t="shared" ref="Q262:Q325" si="965">F262*P262</f>
        <v>-15632607.550849011</v>
      </c>
      <c r="R262">
        <f t="shared" ref="R262:R325" si="966">R263+Q262</f>
        <v>-42826908.361898758</v>
      </c>
      <c r="S262">
        <f t="shared" ref="S262:S325" si="967">R262/100000</f>
        <v>-428.26908361898757</v>
      </c>
      <c r="T262">
        <f t="shared" ref="T262:T325" si="968">S262/1000</f>
        <v>-0.42826908361898758</v>
      </c>
    </row>
    <row r="263" spans="1:20" x14ac:dyDescent="0.25">
      <c r="A263" s="5">
        <v>44330</v>
      </c>
      <c r="B263">
        <v>5.4844999999999997</v>
      </c>
      <c r="C263">
        <v>5.9499000000000004</v>
      </c>
      <c r="D263">
        <v>5.45</v>
      </c>
      <c r="E263">
        <v>5.7382999999999997</v>
      </c>
      <c r="F263">
        <v>9955827.1899999995</v>
      </c>
      <c r="G263">
        <v>0</v>
      </c>
      <c r="L263" t="s">
        <v>8</v>
      </c>
      <c r="M263" t="s">
        <v>8</v>
      </c>
      <c r="N263" t="s">
        <v>8</v>
      </c>
      <c r="P263">
        <f t="shared" si="964"/>
        <v>0.15343068613722513</v>
      </c>
      <c r="Q263">
        <f t="shared" si="965"/>
        <v>1527529.396825342</v>
      </c>
      <c r="R263">
        <f t="shared" si="966"/>
        <v>-27194300.811049748</v>
      </c>
      <c r="S263">
        <f t="shared" si="967"/>
        <v>-271.94300811049749</v>
      </c>
      <c r="T263">
        <f t="shared" si="968"/>
        <v>-0.27194300811049749</v>
      </c>
    </row>
    <row r="264" spans="1:20" x14ac:dyDescent="0.25">
      <c r="A264" s="5">
        <v>44329</v>
      </c>
      <c r="B264">
        <v>4.7637</v>
      </c>
      <c r="C264">
        <v>5.6398999999999999</v>
      </c>
      <c r="D264">
        <v>4.51</v>
      </c>
      <c r="E264">
        <v>5.4843999999999999</v>
      </c>
      <c r="F264">
        <v>12914023.57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0.72475440304451733</v>
      </c>
      <c r="Q264">
        <f t="shared" si="965"/>
        <v>9359495.4433781765</v>
      </c>
      <c r="R264">
        <f t="shared" si="966"/>
        <v>-28721830.207875092</v>
      </c>
      <c r="S264">
        <f t="shared" si="967"/>
        <v>-287.21830207875092</v>
      </c>
      <c r="T264">
        <f t="shared" si="968"/>
        <v>-0.28721830207875093</v>
      </c>
    </row>
    <row r="265" spans="1:20" x14ac:dyDescent="0.25">
      <c r="A265" s="5">
        <v>44328</v>
      </c>
      <c r="B265">
        <v>4.944</v>
      </c>
      <c r="C265">
        <v>5.9850000000000003</v>
      </c>
      <c r="D265">
        <v>4.6040000000000001</v>
      </c>
      <c r="E265">
        <v>4.7423999999999999</v>
      </c>
      <c r="F265">
        <v>15878010.07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-0.79956553222302706</v>
      </c>
      <c r="Q265">
        <f t="shared" si="965"/>
        <v>-12695509.572262133</v>
      </c>
      <c r="R265">
        <f t="shared" si="966"/>
        <v>-38081325.651253268</v>
      </c>
      <c r="S265">
        <f t="shared" si="967"/>
        <v>-380.81325651253269</v>
      </c>
      <c r="T265">
        <f t="shared" si="968"/>
        <v>-0.38081325651253267</v>
      </c>
    </row>
    <row r="266" spans="1:20" x14ac:dyDescent="0.25">
      <c r="A266" s="5">
        <v>44327</v>
      </c>
      <c r="B266">
        <v>4.6962999999999999</v>
      </c>
      <c r="C266">
        <v>4.9593999999999996</v>
      </c>
      <c r="D266">
        <v>4.6142000000000003</v>
      </c>
      <c r="E266">
        <v>4.9431000000000003</v>
      </c>
      <c r="F266">
        <v>3722502.67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0.9055619930475125</v>
      </c>
      <c r="Q266">
        <f t="shared" si="965"/>
        <v>3370956.9369698865</v>
      </c>
      <c r="R266">
        <f t="shared" si="966"/>
        <v>-25385816.078991134</v>
      </c>
      <c r="S266">
        <f t="shared" si="967"/>
        <v>-253.85816078991132</v>
      </c>
      <c r="T266">
        <f t="shared" si="968"/>
        <v>-0.2538581607899113</v>
      </c>
    </row>
    <row r="267" spans="1:20" x14ac:dyDescent="0.25">
      <c r="A267" s="5">
        <v>44326</v>
      </c>
      <c r="B267">
        <v>5.0641999999999996</v>
      </c>
      <c r="C267">
        <v>5.2826000000000004</v>
      </c>
      <c r="D267">
        <v>4.3600000000000003</v>
      </c>
      <c r="E267">
        <v>4.6959</v>
      </c>
      <c r="F267">
        <v>4889027.21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-0.27184045089963232</v>
      </c>
      <c r="Q267">
        <f t="shared" si="965"/>
        <v>-1329035.3612269715</v>
      </c>
      <c r="R267">
        <f t="shared" si="966"/>
        <v>-28756773.015961021</v>
      </c>
      <c r="S267">
        <f t="shared" si="967"/>
        <v>-287.56773015961022</v>
      </c>
      <c r="T267">
        <f t="shared" si="968"/>
        <v>-0.28756773015961024</v>
      </c>
    </row>
    <row r="268" spans="1:20" x14ac:dyDescent="0.25">
      <c r="A268" s="5">
        <v>44325</v>
      </c>
      <c r="B268">
        <v>5.2350000000000003</v>
      </c>
      <c r="C268">
        <v>5.2686000000000002</v>
      </c>
      <c r="D268">
        <v>4.8832000000000004</v>
      </c>
      <c r="E268">
        <v>5.0636000000000001</v>
      </c>
      <c r="F268">
        <v>4257476.5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-6.3829787234043631E-2</v>
      </c>
      <c r="Q268">
        <f t="shared" si="965"/>
        <v>-271753.81914894073</v>
      </c>
      <c r="R268">
        <f t="shared" si="966"/>
        <v>-27427737.654734049</v>
      </c>
      <c r="S268">
        <f t="shared" si="967"/>
        <v>-274.27737654734051</v>
      </c>
      <c r="T268">
        <f t="shared" si="968"/>
        <v>-0.27427737654734052</v>
      </c>
    </row>
    <row r="269" spans="1:20" x14ac:dyDescent="0.25">
      <c r="A269" s="5">
        <v>44324</v>
      </c>
      <c r="B269">
        <v>5.3201000000000001</v>
      </c>
      <c r="C269">
        <v>5.5678999999999998</v>
      </c>
      <c r="D269">
        <v>5.1475</v>
      </c>
      <c r="E269">
        <v>5.2337999999999996</v>
      </c>
      <c r="F269">
        <v>4863105.92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-0.58943862987631013</v>
      </c>
      <c r="Q269">
        <f t="shared" si="965"/>
        <v>-2866502.4904281725</v>
      </c>
      <c r="R269">
        <f t="shared" si="966"/>
        <v>-27155983.83558511</v>
      </c>
      <c r="S269">
        <f t="shared" si="967"/>
        <v>-271.55983835585113</v>
      </c>
      <c r="T269">
        <f t="shared" si="968"/>
        <v>-0.27155983835585112</v>
      </c>
    </row>
    <row r="270" spans="1:20" x14ac:dyDescent="0.25">
      <c r="A270" s="5">
        <v>44323</v>
      </c>
      <c r="B270">
        <v>5.2107000000000001</v>
      </c>
      <c r="C270">
        <v>5.5</v>
      </c>
      <c r="D270">
        <v>5.0441000000000003</v>
      </c>
      <c r="E270">
        <v>5.32</v>
      </c>
      <c r="F270">
        <v>6971688.5899999999</v>
      </c>
      <c r="G270">
        <v>0</v>
      </c>
      <c r="L270" t="s">
        <v>7</v>
      </c>
      <c r="M270" t="s">
        <v>8</v>
      </c>
      <c r="N270" t="s">
        <v>8</v>
      </c>
      <c r="P270">
        <f t="shared" si="964"/>
        <v>0.21035314762009294</v>
      </c>
      <c r="Q270">
        <f t="shared" si="965"/>
        <v>1466516.6391335875</v>
      </c>
      <c r="R270">
        <f t="shared" si="966"/>
        <v>-24289481.345156938</v>
      </c>
      <c r="S270">
        <f t="shared" si="967"/>
        <v>-242.89481345156938</v>
      </c>
      <c r="T270">
        <f t="shared" si="968"/>
        <v>-0.24289481345156938</v>
      </c>
    </row>
    <row r="271" spans="1:20" x14ac:dyDescent="0.25">
      <c r="A271" s="5">
        <v>44322</v>
      </c>
      <c r="B271">
        <v>5.2469999999999999</v>
      </c>
      <c r="C271">
        <v>5.5860000000000003</v>
      </c>
      <c r="D271">
        <v>5.0204000000000004</v>
      </c>
      <c r="E271">
        <v>5.2065000000000001</v>
      </c>
      <c r="F271">
        <v>7337825.6299999999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-0.34193776520509284</v>
      </c>
      <c r="Q271">
        <f t="shared" si="965"/>
        <v>-2509079.6973868525</v>
      </c>
      <c r="R271">
        <f t="shared" si="966"/>
        <v>-25755997.984290525</v>
      </c>
      <c r="S271">
        <f t="shared" si="967"/>
        <v>-257.55997984290525</v>
      </c>
      <c r="T271">
        <f t="shared" si="968"/>
        <v>-0.25755997984290524</v>
      </c>
    </row>
    <row r="272" spans="1:20" x14ac:dyDescent="0.25">
      <c r="A272" s="5">
        <v>44321</v>
      </c>
      <c r="B272">
        <v>4.8169000000000004</v>
      </c>
      <c r="C272">
        <v>5.25</v>
      </c>
      <c r="D272">
        <v>4.7641</v>
      </c>
      <c r="E272">
        <v>5.25</v>
      </c>
      <c r="F272">
        <v>4166864.19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1</v>
      </c>
      <c r="Q272">
        <f t="shared" si="965"/>
        <v>4166864.19</v>
      </c>
      <c r="R272">
        <f t="shared" si="966"/>
        <v>-23246918.286903672</v>
      </c>
      <c r="S272">
        <f t="shared" si="967"/>
        <v>-232.46918286903673</v>
      </c>
      <c r="T272">
        <f t="shared" si="968"/>
        <v>-0.23246918286903673</v>
      </c>
    </row>
    <row r="273" spans="1:20" x14ac:dyDescent="0.25">
      <c r="A273" s="5">
        <v>44320</v>
      </c>
      <c r="B273">
        <v>5.4833999999999996</v>
      </c>
      <c r="C273">
        <v>5.4930000000000003</v>
      </c>
      <c r="D273">
        <v>4.7926000000000002</v>
      </c>
      <c r="E273">
        <v>4.8169000000000004</v>
      </c>
      <c r="F273">
        <v>6213573.4000000004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-0.93061107938320897</v>
      </c>
      <c r="Q273">
        <f t="shared" si="965"/>
        <v>-5782420.2486007959</v>
      </c>
      <c r="R273">
        <f t="shared" si="966"/>
        <v>-27413782.476903673</v>
      </c>
      <c r="S273">
        <f t="shared" si="967"/>
        <v>-274.13782476903674</v>
      </c>
      <c r="T273">
        <f t="shared" si="968"/>
        <v>-0.27413782476903675</v>
      </c>
    </row>
    <row r="274" spans="1:20" x14ac:dyDescent="0.25">
      <c r="A274" s="5">
        <v>44319</v>
      </c>
      <c r="B274">
        <v>5.2759</v>
      </c>
      <c r="C274">
        <v>5.5582000000000003</v>
      </c>
      <c r="D274">
        <v>5.2679999999999998</v>
      </c>
      <c r="E274">
        <v>5.4783999999999997</v>
      </c>
      <c r="F274">
        <v>4351686.51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0.45003445899379457</v>
      </c>
      <c r="Q274">
        <f t="shared" si="965"/>
        <v>1958408.8842384438</v>
      </c>
      <c r="R274">
        <f t="shared" si="966"/>
        <v>-21631362.228302877</v>
      </c>
      <c r="S274">
        <f t="shared" si="967"/>
        <v>-216.31362228302876</v>
      </c>
      <c r="T274">
        <f t="shared" si="968"/>
        <v>-0.21631362228302875</v>
      </c>
    </row>
    <row r="275" spans="1:20" x14ac:dyDescent="0.25">
      <c r="A275" s="5">
        <v>44318</v>
      </c>
      <c r="B275">
        <v>5.5080999999999998</v>
      </c>
      <c r="C275">
        <v>5.5148000000000001</v>
      </c>
      <c r="D275">
        <v>5.1449999999999996</v>
      </c>
      <c r="E275">
        <v>5.2756999999999996</v>
      </c>
      <c r="F275">
        <v>4215921.21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-0.29313142239048223</v>
      </c>
      <c r="Q275">
        <f t="shared" si="965"/>
        <v>-1235818.9809735029</v>
      </c>
      <c r="R275">
        <f t="shared" si="966"/>
        <v>-23589771.112541322</v>
      </c>
      <c r="S275">
        <f t="shared" si="967"/>
        <v>-235.89771112541322</v>
      </c>
      <c r="T275">
        <f t="shared" si="968"/>
        <v>-0.23589771112541322</v>
      </c>
    </row>
    <row r="276" spans="1:20" x14ac:dyDescent="0.25">
      <c r="A276" s="5">
        <v>44317</v>
      </c>
      <c r="B276">
        <v>5.5625</v>
      </c>
      <c r="C276">
        <v>5.78</v>
      </c>
      <c r="D276">
        <v>5.2923</v>
      </c>
      <c r="E276">
        <v>5.5042</v>
      </c>
      <c r="F276">
        <v>5375437.1200000001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-0.13102316998154656</v>
      </c>
      <c r="Q276">
        <f t="shared" si="965"/>
        <v>-704306.81149887515</v>
      </c>
      <c r="R276">
        <f t="shared" si="966"/>
        <v>-22353952.131567817</v>
      </c>
      <c r="S276">
        <f t="shared" si="967"/>
        <v>-223.53952131567817</v>
      </c>
      <c r="T276">
        <f t="shared" si="968"/>
        <v>-0.22353952131567817</v>
      </c>
    </row>
    <row r="277" spans="1:20" x14ac:dyDescent="0.25">
      <c r="A277" s="5">
        <v>44316</v>
      </c>
      <c r="B277">
        <v>5.4888000000000003</v>
      </c>
      <c r="C277">
        <v>6</v>
      </c>
      <c r="D277">
        <v>5.2576999999999998</v>
      </c>
      <c r="E277">
        <v>5.5601000000000003</v>
      </c>
      <c r="F277">
        <v>7169243.5099999998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-0.18523508015627005</v>
      </c>
      <c r="Q277">
        <f t="shared" si="965"/>
        <v>-1327995.3962346688</v>
      </c>
      <c r="R277">
        <f t="shared" si="966"/>
        <v>-21649645.320068941</v>
      </c>
      <c r="S277">
        <f t="shared" si="967"/>
        <v>-216.49645320068942</v>
      </c>
      <c r="T277">
        <f t="shared" si="968"/>
        <v>-0.21649645320068941</v>
      </c>
    </row>
    <row r="278" spans="1:20" x14ac:dyDescent="0.25">
      <c r="A278" s="5">
        <v>44315</v>
      </c>
      <c r="B278">
        <v>4.9184000000000001</v>
      </c>
      <c r="C278">
        <v>5.6285999999999996</v>
      </c>
      <c r="D278">
        <v>4.7511999999999999</v>
      </c>
      <c r="E278">
        <v>5.4892000000000003</v>
      </c>
      <c r="F278">
        <v>10253978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0.68224299065420713</v>
      </c>
      <c r="Q278">
        <f t="shared" si="965"/>
        <v>6995704.6168224458</v>
      </c>
      <c r="R278">
        <f t="shared" si="966"/>
        <v>-20321649.923834272</v>
      </c>
      <c r="S278">
        <f t="shared" si="967"/>
        <v>-203.21649923834272</v>
      </c>
      <c r="T278">
        <f t="shared" si="968"/>
        <v>-0.20321649923834273</v>
      </c>
    </row>
    <row r="279" spans="1:20" x14ac:dyDescent="0.25">
      <c r="A279" s="5">
        <v>44314</v>
      </c>
      <c r="B279">
        <v>5.1502999999999997</v>
      </c>
      <c r="C279">
        <v>5.21</v>
      </c>
      <c r="D279">
        <v>4.7224000000000004</v>
      </c>
      <c r="E279">
        <v>4.9090999999999996</v>
      </c>
      <c r="F279">
        <v>5712512.3899999997</v>
      </c>
      <c r="G279">
        <v>0</v>
      </c>
      <c r="L279" t="s">
        <v>7</v>
      </c>
      <c r="M279" t="s">
        <v>8</v>
      </c>
      <c r="N279" t="s">
        <v>7</v>
      </c>
      <c r="P279">
        <f t="shared" si="964"/>
        <v>-0.23420836751435867</v>
      </c>
      <c r="Q279">
        <f t="shared" si="965"/>
        <v>-1337918.2012674473</v>
      </c>
      <c r="R279">
        <f t="shared" si="966"/>
        <v>-27317354.540656716</v>
      </c>
      <c r="S279">
        <f t="shared" si="967"/>
        <v>-273.17354540656714</v>
      </c>
      <c r="T279">
        <f t="shared" si="968"/>
        <v>-0.27317354540656713</v>
      </c>
    </row>
    <row r="280" spans="1:20" x14ac:dyDescent="0.25">
      <c r="A280" s="5">
        <v>44313</v>
      </c>
      <c r="B280">
        <v>5.0202</v>
      </c>
      <c r="C280">
        <v>5.25</v>
      </c>
      <c r="D280">
        <v>4.7939999999999996</v>
      </c>
      <c r="E280">
        <v>5.157</v>
      </c>
      <c r="F280">
        <v>8657284.0099999998</v>
      </c>
      <c r="G280">
        <v>0</v>
      </c>
      <c r="L280" t="s">
        <v>7</v>
      </c>
      <c r="M280" t="s">
        <v>8</v>
      </c>
      <c r="N280" t="s">
        <v>7</v>
      </c>
      <c r="P280">
        <f t="shared" si="964"/>
        <v>0.59210526315789525</v>
      </c>
      <c r="Q280">
        <f t="shared" si="965"/>
        <v>5126023.4269736884</v>
      </c>
      <c r="R280">
        <f t="shared" si="966"/>
        <v>-25979436.339389268</v>
      </c>
      <c r="S280">
        <f t="shared" si="967"/>
        <v>-259.7943633938927</v>
      </c>
      <c r="T280">
        <f t="shared" si="968"/>
        <v>-0.25979436339389267</v>
      </c>
    </row>
    <row r="281" spans="1:20" x14ac:dyDescent="0.25">
      <c r="A281" s="5">
        <v>44312</v>
      </c>
      <c r="B281">
        <v>4.6483999999999996</v>
      </c>
      <c r="C281">
        <v>5.1999000000000004</v>
      </c>
      <c r="D281">
        <v>4.5921000000000003</v>
      </c>
      <c r="E281">
        <v>5.0202</v>
      </c>
      <c r="F281">
        <v>5370840.0300000003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0.40868706811451011</v>
      </c>
      <c r="Q281">
        <f t="shared" si="965"/>
        <v>2194992.8651727475</v>
      </c>
      <c r="R281">
        <f t="shared" si="966"/>
        <v>-31105459.766362958</v>
      </c>
      <c r="S281">
        <f t="shared" si="967"/>
        <v>-311.05459766362958</v>
      </c>
      <c r="T281">
        <f t="shared" si="968"/>
        <v>-0.31105459766362958</v>
      </c>
    </row>
    <row r="282" spans="1:20" x14ac:dyDescent="0.25">
      <c r="A282" s="5">
        <v>44311</v>
      </c>
      <c r="B282">
        <v>4.2447999999999997</v>
      </c>
      <c r="C282">
        <v>4.8688000000000002</v>
      </c>
      <c r="D282">
        <v>4.2207999999999997</v>
      </c>
      <c r="E282">
        <v>4.6462000000000003</v>
      </c>
      <c r="F282">
        <v>4778907.42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0.31296296296296383</v>
      </c>
      <c r="Q282">
        <f t="shared" si="965"/>
        <v>1495621.0258888931</v>
      </c>
      <c r="R282">
        <f t="shared" si="966"/>
        <v>-33300452.631535705</v>
      </c>
      <c r="S282">
        <f t="shared" si="967"/>
        <v>-333.00452631535705</v>
      </c>
      <c r="T282">
        <f t="shared" si="968"/>
        <v>-0.33300452631535704</v>
      </c>
    </row>
    <row r="283" spans="1:20" x14ac:dyDescent="0.25">
      <c r="A283" s="5">
        <v>44310</v>
      </c>
      <c r="B283">
        <v>4.6544999999999996</v>
      </c>
      <c r="C283">
        <v>4.6660000000000004</v>
      </c>
      <c r="D283">
        <v>4.0999999999999996</v>
      </c>
      <c r="E283">
        <v>4.2420999999999998</v>
      </c>
      <c r="F283">
        <v>4248507.66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-0.49787985865724405</v>
      </c>
      <c r="Q283">
        <f t="shared" si="965"/>
        <v>-2115246.3932650187</v>
      </c>
      <c r="R283">
        <f t="shared" si="966"/>
        <v>-34796073.657424599</v>
      </c>
      <c r="S283">
        <f t="shared" si="967"/>
        <v>-347.96073657424597</v>
      </c>
      <c r="T283">
        <f t="shared" si="968"/>
        <v>-0.34796073657424598</v>
      </c>
    </row>
    <row r="284" spans="1:20" x14ac:dyDescent="0.25">
      <c r="A284" s="5">
        <v>44309</v>
      </c>
      <c r="B284">
        <v>4.7868000000000004</v>
      </c>
      <c r="C284">
        <v>4.9619999999999997</v>
      </c>
      <c r="D284">
        <v>4.0084</v>
      </c>
      <c r="E284">
        <v>4.6548999999999996</v>
      </c>
      <c r="F284">
        <v>10944330.26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0.35591442953020086</v>
      </c>
      <c r="Q284">
        <f t="shared" si="965"/>
        <v>3895245.0610780148</v>
      </c>
      <c r="R284">
        <f t="shared" si="966"/>
        <v>-32680827.264159579</v>
      </c>
      <c r="S284">
        <f t="shared" si="967"/>
        <v>-326.80827264159581</v>
      </c>
      <c r="T284">
        <f t="shared" si="968"/>
        <v>-0.32680827264159579</v>
      </c>
    </row>
    <row r="285" spans="1:20" x14ac:dyDescent="0.25">
      <c r="A285" s="5">
        <v>44308</v>
      </c>
      <c r="B285">
        <v>4.7756999999999996</v>
      </c>
      <c r="C285">
        <v>5.7568999999999999</v>
      </c>
      <c r="D285">
        <v>4.6642000000000001</v>
      </c>
      <c r="E285">
        <v>4.7945000000000002</v>
      </c>
      <c r="F285">
        <v>8497880.5199999996</v>
      </c>
      <c r="G285">
        <v>0</v>
      </c>
      <c r="L285" t="s">
        <v>8</v>
      </c>
      <c r="M285" t="s">
        <v>8</v>
      </c>
      <c r="N285" t="s">
        <v>8</v>
      </c>
      <c r="P285">
        <f t="shared" si="964"/>
        <v>-0.76150819072023412</v>
      </c>
      <c r="Q285">
        <f t="shared" si="965"/>
        <v>-6471205.6197419222</v>
      </c>
      <c r="R285">
        <f t="shared" si="966"/>
        <v>-36576072.325237595</v>
      </c>
      <c r="S285">
        <f t="shared" si="967"/>
        <v>-365.76072325237595</v>
      </c>
      <c r="T285">
        <f t="shared" si="968"/>
        <v>-0.36576072325237596</v>
      </c>
    </row>
    <row r="286" spans="1:20" x14ac:dyDescent="0.25">
      <c r="A286" s="5">
        <v>44307</v>
      </c>
      <c r="B286">
        <v>4.9370000000000003</v>
      </c>
      <c r="C286">
        <v>5.2</v>
      </c>
      <c r="D286">
        <v>4.6315</v>
      </c>
      <c r="E286">
        <v>4.7756999999999996</v>
      </c>
      <c r="F286">
        <v>5516270.8200000003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-0.49270008795074899</v>
      </c>
      <c r="Q286">
        <f t="shared" si="965"/>
        <v>-2717867.1181741506</v>
      </c>
      <c r="R286">
        <f t="shared" si="966"/>
        <v>-30104866.70549567</v>
      </c>
      <c r="S286">
        <f t="shared" si="967"/>
        <v>-301.0486670549567</v>
      </c>
      <c r="T286">
        <f t="shared" si="968"/>
        <v>-0.3010486670549567</v>
      </c>
    </row>
    <row r="287" spans="1:20" x14ac:dyDescent="0.25">
      <c r="A287" s="5">
        <v>44306</v>
      </c>
      <c r="B287">
        <v>4.7319000000000004</v>
      </c>
      <c r="C287">
        <v>5.1421999999999999</v>
      </c>
      <c r="D287">
        <v>4.4321000000000002</v>
      </c>
      <c r="E287">
        <v>4.9324000000000003</v>
      </c>
      <c r="F287">
        <v>5731495.25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0.40909731023799573</v>
      </c>
      <c r="Q287">
        <f t="shared" si="965"/>
        <v>2344739.2904168488</v>
      </c>
      <c r="R287">
        <f t="shared" si="966"/>
        <v>-27386999.58732152</v>
      </c>
      <c r="S287">
        <f t="shared" si="967"/>
        <v>-273.8699958732152</v>
      </c>
      <c r="T287">
        <f t="shared" si="968"/>
        <v>-0.2738699958732152</v>
      </c>
    </row>
    <row r="288" spans="1:20" x14ac:dyDescent="0.25">
      <c r="A288" s="5">
        <v>44305</v>
      </c>
      <c r="B288">
        <v>5.1562999999999999</v>
      </c>
      <c r="C288">
        <v>5.35</v>
      </c>
      <c r="D288">
        <v>4.5848000000000004</v>
      </c>
      <c r="E288">
        <v>4.7332000000000001</v>
      </c>
      <c r="F288">
        <v>6200107.3899999997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-0.61212754835337224</v>
      </c>
      <c r="Q288">
        <f t="shared" si="965"/>
        <v>-3795256.5361683252</v>
      </c>
      <c r="R288">
        <f t="shared" si="966"/>
        <v>-29731738.877738368</v>
      </c>
      <c r="S288">
        <f t="shared" si="967"/>
        <v>-297.31738877738366</v>
      </c>
      <c r="T288">
        <f t="shared" si="968"/>
        <v>-0.29731738877738367</v>
      </c>
    </row>
    <row r="289" spans="1:20" x14ac:dyDescent="0.25">
      <c r="A289" s="5">
        <v>44304</v>
      </c>
      <c r="B289">
        <v>5.8754</v>
      </c>
      <c r="C289">
        <v>5.9325000000000001</v>
      </c>
      <c r="D289">
        <v>4.0122</v>
      </c>
      <c r="E289">
        <v>5.1534000000000004</v>
      </c>
      <c r="F289">
        <v>13328612.880000001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0.18856428683018317</v>
      </c>
      <c r="Q289">
        <f t="shared" si="965"/>
        <v>2513300.3821527939</v>
      </c>
      <c r="R289">
        <f t="shared" si="966"/>
        <v>-25936482.341570042</v>
      </c>
      <c r="S289">
        <f t="shared" si="967"/>
        <v>-259.36482341570041</v>
      </c>
      <c r="T289">
        <f t="shared" si="968"/>
        <v>-0.25936482341570044</v>
      </c>
    </row>
    <row r="290" spans="1:20" x14ac:dyDescent="0.25">
      <c r="A290" s="5">
        <v>44303</v>
      </c>
      <c r="B290">
        <v>5.9368999999999996</v>
      </c>
      <c r="C290">
        <v>6.3018999999999998</v>
      </c>
      <c r="D290">
        <v>5.7153</v>
      </c>
      <c r="E290">
        <v>5.8743999999999996</v>
      </c>
      <c r="F290">
        <v>4675563.62</v>
      </c>
      <c r="G290">
        <v>0</v>
      </c>
      <c r="L290" t="s">
        <v>7</v>
      </c>
      <c r="M290" t="s">
        <v>7</v>
      </c>
      <c r="N290" t="s">
        <v>8</v>
      </c>
      <c r="P290">
        <f t="shared" si="964"/>
        <v>-0.45755199454483592</v>
      </c>
      <c r="Q290">
        <f t="shared" si="965"/>
        <v>-2139313.4599522734</v>
      </c>
      <c r="R290">
        <f t="shared" si="966"/>
        <v>-28449782.723722838</v>
      </c>
      <c r="S290">
        <f t="shared" si="967"/>
        <v>-284.49782723722836</v>
      </c>
      <c r="T290">
        <f t="shared" si="968"/>
        <v>-0.28449782723722838</v>
      </c>
    </row>
    <row r="291" spans="1:20" x14ac:dyDescent="0.25">
      <c r="A291" s="5">
        <v>44302</v>
      </c>
      <c r="B291">
        <v>6.5189000000000004</v>
      </c>
      <c r="C291">
        <v>6.5620000000000003</v>
      </c>
      <c r="D291">
        <v>5.88</v>
      </c>
      <c r="E291">
        <v>5.9344000000000001</v>
      </c>
      <c r="F291">
        <v>6463845.4900000002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-0.84046920821114313</v>
      </c>
      <c r="Q291">
        <f t="shared" si="965"/>
        <v>-5432663.1009794688</v>
      </c>
      <c r="R291">
        <f t="shared" si="966"/>
        <v>-26310469.263770565</v>
      </c>
      <c r="S291">
        <f t="shared" si="967"/>
        <v>-263.10469263770568</v>
      </c>
      <c r="T291">
        <f t="shared" si="968"/>
        <v>-0.26310469263770569</v>
      </c>
    </row>
    <row r="292" spans="1:20" x14ac:dyDescent="0.25">
      <c r="A292" s="5">
        <v>44301</v>
      </c>
      <c r="B292">
        <v>6.3349000000000002</v>
      </c>
      <c r="C292">
        <v>7</v>
      </c>
      <c r="D292">
        <v>6.2385999999999999</v>
      </c>
      <c r="E292">
        <v>6.5225</v>
      </c>
      <c r="F292">
        <v>4651021.03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-0.25426845285001309</v>
      </c>
      <c r="Q292">
        <f t="shared" si="965"/>
        <v>-1182607.9214709743</v>
      </c>
      <c r="R292">
        <f t="shared" si="966"/>
        <v>-20877806.162791096</v>
      </c>
      <c r="S292">
        <f t="shared" si="967"/>
        <v>-208.77806162791094</v>
      </c>
      <c r="T292">
        <f t="shared" si="968"/>
        <v>-0.20877806162791093</v>
      </c>
    </row>
    <row r="293" spans="1:20" x14ac:dyDescent="0.25">
      <c r="A293" s="5">
        <v>44300</v>
      </c>
      <c r="B293">
        <v>6.508</v>
      </c>
      <c r="C293">
        <v>6.8262</v>
      </c>
      <c r="D293">
        <v>6.1557000000000004</v>
      </c>
      <c r="E293">
        <v>6.3349000000000002</v>
      </c>
      <c r="F293">
        <v>6207677.8300000001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-0.46547352721849394</v>
      </c>
      <c r="Q293">
        <f t="shared" si="965"/>
        <v>-2889509.6953661465</v>
      </c>
      <c r="R293">
        <f t="shared" si="966"/>
        <v>-19695198.241320122</v>
      </c>
      <c r="S293">
        <f t="shared" si="967"/>
        <v>-196.95198241320122</v>
      </c>
      <c r="T293">
        <f t="shared" si="968"/>
        <v>-0.19695198241320122</v>
      </c>
    </row>
    <row r="294" spans="1:20" x14ac:dyDescent="0.25">
      <c r="A294" s="5">
        <v>44299</v>
      </c>
      <c r="B294">
        <v>6.7257999999999996</v>
      </c>
      <c r="C294">
        <v>6.9198000000000004</v>
      </c>
      <c r="D294">
        <v>6.3625999999999996</v>
      </c>
      <c r="E294">
        <v>6.5029000000000003</v>
      </c>
      <c r="F294">
        <v>5820102.0300000003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-0.49641062455132606</v>
      </c>
      <c r="Q294">
        <f t="shared" si="965"/>
        <v>-2889160.4836647408</v>
      </c>
      <c r="R294">
        <f t="shared" si="966"/>
        <v>-16805688.545953974</v>
      </c>
      <c r="S294">
        <f t="shared" si="967"/>
        <v>-168.05688545953973</v>
      </c>
      <c r="T294">
        <f t="shared" si="968"/>
        <v>-0.16805688545953973</v>
      </c>
    </row>
    <row r="295" spans="1:20" x14ac:dyDescent="0.25">
      <c r="A295" s="5">
        <v>44298</v>
      </c>
      <c r="B295">
        <v>6.7694000000000001</v>
      </c>
      <c r="C295">
        <v>7.4</v>
      </c>
      <c r="D295">
        <v>6.5728999999999997</v>
      </c>
      <c r="E295">
        <v>6.7259000000000002</v>
      </c>
      <c r="F295">
        <v>6156419.7199999997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-0.63003264417845395</v>
      </c>
      <c r="Q295">
        <f t="shared" si="965"/>
        <v>-3878745.3948639771</v>
      </c>
      <c r="R295">
        <f t="shared" si="966"/>
        <v>-13916528.062289234</v>
      </c>
      <c r="S295">
        <f t="shared" si="967"/>
        <v>-139.16528062289234</v>
      </c>
      <c r="T295">
        <f t="shared" si="968"/>
        <v>-0.13916528062289235</v>
      </c>
    </row>
    <row r="296" spans="1:20" x14ac:dyDescent="0.25">
      <c r="A296" s="5">
        <v>44297</v>
      </c>
      <c r="B296">
        <v>6.5021000000000004</v>
      </c>
      <c r="C296">
        <v>7.4333</v>
      </c>
      <c r="D296">
        <v>6.4703999999999997</v>
      </c>
      <c r="E296">
        <v>6.7628000000000004</v>
      </c>
      <c r="F296">
        <v>6998841.5999999996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-0.39266798213729243</v>
      </c>
      <c r="Q296">
        <f t="shared" si="965"/>
        <v>-2748221.0083705392</v>
      </c>
      <c r="R296">
        <f t="shared" si="966"/>
        <v>-10037782.667425256</v>
      </c>
      <c r="S296">
        <f t="shared" si="967"/>
        <v>-100.37782667425256</v>
      </c>
      <c r="T296">
        <f t="shared" si="968"/>
        <v>-0.10037782667425256</v>
      </c>
    </row>
    <row r="297" spans="1:20" x14ac:dyDescent="0.25">
      <c r="A297" s="5">
        <v>44296</v>
      </c>
      <c r="B297">
        <v>6.4222000000000001</v>
      </c>
      <c r="C297">
        <v>6.8710000000000004</v>
      </c>
      <c r="D297">
        <v>6.3127000000000004</v>
      </c>
      <c r="E297">
        <v>6.5031999999999996</v>
      </c>
      <c r="F297">
        <v>4151041.68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-0.31757119828049718</v>
      </c>
      <c r="Q297">
        <f t="shared" si="965"/>
        <v>-1318251.2804298883</v>
      </c>
      <c r="R297">
        <f t="shared" si="966"/>
        <v>-7289561.659054718</v>
      </c>
      <c r="S297">
        <f t="shared" si="967"/>
        <v>-72.895616590547178</v>
      </c>
      <c r="T297">
        <f t="shared" si="968"/>
        <v>-7.2895616590547177E-2</v>
      </c>
    </row>
    <row r="298" spans="1:20" x14ac:dyDescent="0.25">
      <c r="A298" s="5">
        <v>44295</v>
      </c>
      <c r="B298">
        <v>6.8056999999999999</v>
      </c>
      <c r="C298">
        <v>6.9452999999999996</v>
      </c>
      <c r="D298">
        <v>6.3141999999999996</v>
      </c>
      <c r="E298">
        <v>6.4215999999999998</v>
      </c>
      <c r="F298">
        <v>2972369.17</v>
      </c>
      <c r="G298">
        <v>0</v>
      </c>
      <c r="L298" t="s">
        <v>7</v>
      </c>
      <c r="M298" t="s">
        <v>8</v>
      </c>
      <c r="N298" t="s">
        <v>8</v>
      </c>
      <c r="P298">
        <f t="shared" si="964"/>
        <v>-0.65964189510378657</v>
      </c>
      <c r="Q298">
        <f t="shared" si="965"/>
        <v>-1960699.232246869</v>
      </c>
      <c r="R298">
        <f t="shared" si="966"/>
        <v>-5971310.3786248295</v>
      </c>
      <c r="S298">
        <f t="shared" si="967"/>
        <v>-59.713103786248297</v>
      </c>
      <c r="T298">
        <f t="shared" si="968"/>
        <v>-5.9713103786248299E-2</v>
      </c>
    </row>
    <row r="299" spans="1:20" x14ac:dyDescent="0.25">
      <c r="A299" s="5">
        <v>44294</v>
      </c>
      <c r="B299">
        <v>6.1273999999999997</v>
      </c>
      <c r="C299">
        <v>6.8728999999999996</v>
      </c>
      <c r="D299">
        <v>6.0182000000000002</v>
      </c>
      <c r="E299">
        <v>6.8163999999999998</v>
      </c>
      <c r="F299">
        <v>6417423.29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0.86778986778986822</v>
      </c>
      <c r="Q299">
        <f t="shared" si="965"/>
        <v>5568974.9083807208</v>
      </c>
      <c r="R299">
        <f t="shared" si="966"/>
        <v>-4010611.1463779602</v>
      </c>
      <c r="S299">
        <f t="shared" si="967"/>
        <v>-40.106111463779605</v>
      </c>
      <c r="T299">
        <f t="shared" si="968"/>
        <v>-4.0106111463779605E-2</v>
      </c>
    </row>
    <row r="300" spans="1:20" x14ac:dyDescent="0.25">
      <c r="A300" s="5">
        <v>44293</v>
      </c>
      <c r="B300">
        <v>6.7690000000000001</v>
      </c>
      <c r="C300">
        <v>6.9793000000000003</v>
      </c>
      <c r="D300">
        <v>5.6967999999999996</v>
      </c>
      <c r="E300">
        <v>6.1245000000000003</v>
      </c>
      <c r="F300">
        <v>8590357.5299999993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-0.33302144249512605</v>
      </c>
      <c r="Q300">
        <f t="shared" si="965"/>
        <v>-2860773.2561894679</v>
      </c>
      <c r="R300">
        <f t="shared" si="966"/>
        <v>-9579586.054758681</v>
      </c>
      <c r="S300">
        <f t="shared" si="967"/>
        <v>-95.795860547586813</v>
      </c>
      <c r="T300">
        <f t="shared" si="968"/>
        <v>-9.5795860547586806E-2</v>
      </c>
    </row>
    <row r="301" spans="1:20" x14ac:dyDescent="0.25">
      <c r="A301" s="5">
        <v>44292</v>
      </c>
      <c r="B301">
        <v>6.1317000000000004</v>
      </c>
      <c r="C301">
        <v>7.35</v>
      </c>
      <c r="D301">
        <v>6.1247999999999996</v>
      </c>
      <c r="E301">
        <v>6.7694000000000001</v>
      </c>
      <c r="F301">
        <v>12388629.289999999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5.2236369572315491E-2</v>
      </c>
      <c r="Q301">
        <f t="shared" si="965"/>
        <v>647137.01808685239</v>
      </c>
      <c r="R301">
        <f t="shared" si="966"/>
        <v>-6718812.7985692136</v>
      </c>
      <c r="S301">
        <f t="shared" si="967"/>
        <v>-67.188127985692134</v>
      </c>
      <c r="T301">
        <f t="shared" si="968"/>
        <v>-6.7188127985692139E-2</v>
      </c>
    </row>
    <row r="302" spans="1:20" x14ac:dyDescent="0.25">
      <c r="A302" s="5">
        <v>44291</v>
      </c>
      <c r="B302">
        <v>6.0867000000000004</v>
      </c>
      <c r="C302">
        <v>6.31</v>
      </c>
      <c r="D302">
        <v>5.8413000000000004</v>
      </c>
      <c r="E302">
        <v>6.1326999999999998</v>
      </c>
      <c r="F302">
        <v>3762941.69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0.24343930019202012</v>
      </c>
      <c r="Q302">
        <f t="shared" si="965"/>
        <v>916047.89167697751</v>
      </c>
      <c r="R302">
        <f t="shared" si="966"/>
        <v>-7365949.8166560661</v>
      </c>
      <c r="S302">
        <f t="shared" si="967"/>
        <v>-73.659498166560667</v>
      </c>
      <c r="T302">
        <f t="shared" si="968"/>
        <v>-7.3659498166560672E-2</v>
      </c>
    </row>
    <row r="303" spans="1:20" x14ac:dyDescent="0.25">
      <c r="A303" s="5">
        <v>44290</v>
      </c>
      <c r="B303">
        <v>5.6844999999999999</v>
      </c>
      <c r="C303">
        <v>6.1048999999999998</v>
      </c>
      <c r="D303">
        <v>5.5734000000000004</v>
      </c>
      <c r="E303">
        <v>6.0884</v>
      </c>
      <c r="F303">
        <v>3430696.87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0.93791157102540068</v>
      </c>
      <c r="Q303">
        <f t="shared" si="965"/>
        <v>3217690.2910536248</v>
      </c>
      <c r="R303">
        <f t="shared" si="966"/>
        <v>-8281997.7083330434</v>
      </c>
      <c r="S303">
        <f t="shared" si="967"/>
        <v>-82.819977083330429</v>
      </c>
      <c r="T303">
        <f t="shared" si="968"/>
        <v>-8.2819977083330429E-2</v>
      </c>
    </row>
    <row r="304" spans="1:20" x14ac:dyDescent="0.25">
      <c r="A304" s="5">
        <v>44289</v>
      </c>
      <c r="B304">
        <v>5.9886999999999997</v>
      </c>
      <c r="C304">
        <v>6.4100999999999999</v>
      </c>
      <c r="D304">
        <v>5.5514999999999999</v>
      </c>
      <c r="E304">
        <v>5.6862000000000004</v>
      </c>
      <c r="F304">
        <v>4670365.82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-0.68623340321453419</v>
      </c>
      <c r="Q304">
        <f t="shared" si="965"/>
        <v>-3204961.0309154387</v>
      </c>
      <c r="R304">
        <f t="shared" si="966"/>
        <v>-11499687.999386668</v>
      </c>
      <c r="S304">
        <f t="shared" si="967"/>
        <v>-114.99687999386668</v>
      </c>
      <c r="T304">
        <f t="shared" si="968"/>
        <v>-0.11499687999386668</v>
      </c>
    </row>
    <row r="305" spans="1:20" x14ac:dyDescent="0.25">
      <c r="A305" s="5">
        <v>44288</v>
      </c>
      <c r="B305">
        <v>5.9747000000000003</v>
      </c>
      <c r="C305">
        <v>6.1657999999999999</v>
      </c>
      <c r="D305">
        <v>5.8746</v>
      </c>
      <c r="E305">
        <v>5.9833999999999996</v>
      </c>
      <c r="F305">
        <v>3004100.14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-0.25274725274725551</v>
      </c>
      <c r="Q305">
        <f t="shared" si="965"/>
        <v>-759278.05736264575</v>
      </c>
      <c r="R305">
        <f t="shared" si="966"/>
        <v>-8294726.96847123</v>
      </c>
      <c r="S305">
        <f t="shared" si="967"/>
        <v>-82.947269684712296</v>
      </c>
      <c r="T305">
        <f t="shared" si="968"/>
        <v>-8.2947269684712291E-2</v>
      </c>
    </row>
    <row r="306" spans="1:20" x14ac:dyDescent="0.25">
      <c r="A306" s="5">
        <v>44287</v>
      </c>
      <c r="B306">
        <v>5.9957000000000003</v>
      </c>
      <c r="C306">
        <v>6.2945000000000002</v>
      </c>
      <c r="D306">
        <v>5.83</v>
      </c>
      <c r="E306">
        <v>5.9728000000000003</v>
      </c>
      <c r="F306">
        <v>3668137.57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-0.38514531754574716</v>
      </c>
      <c r="Q306">
        <f t="shared" si="965"/>
        <v>-1412766.0091991352</v>
      </c>
      <c r="R306">
        <f t="shared" si="966"/>
        <v>-7535448.9111085841</v>
      </c>
      <c r="S306">
        <f t="shared" si="967"/>
        <v>-75.35448911108584</v>
      </c>
      <c r="T306">
        <f t="shared" si="968"/>
        <v>-7.5354489111085846E-2</v>
      </c>
    </row>
    <row r="307" spans="1:20" x14ac:dyDescent="0.25">
      <c r="A307" s="5">
        <v>44286</v>
      </c>
      <c r="B307">
        <v>6.3521000000000001</v>
      </c>
      <c r="C307">
        <v>6.3940000000000001</v>
      </c>
      <c r="D307">
        <v>5.6744000000000003</v>
      </c>
      <c r="E307">
        <v>5.9932999999999996</v>
      </c>
      <c r="F307">
        <v>3795053.68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-0.11367426347971266</v>
      </c>
      <c r="Q307">
        <f t="shared" si="965"/>
        <v>-431399.93193997315</v>
      </c>
      <c r="R307">
        <f t="shared" si="966"/>
        <v>-6122682.9019094491</v>
      </c>
      <c r="S307">
        <f t="shared" si="967"/>
        <v>-61.226829019094488</v>
      </c>
      <c r="T307">
        <f t="shared" si="968"/>
        <v>-6.1226829019094486E-2</v>
      </c>
    </row>
    <row r="308" spans="1:20" x14ac:dyDescent="0.25">
      <c r="A308" s="5">
        <v>44285</v>
      </c>
      <c r="B308">
        <v>5.8070000000000004</v>
      </c>
      <c r="C308">
        <v>6.6989999999999998</v>
      </c>
      <c r="D308">
        <v>5.7286000000000001</v>
      </c>
      <c r="E308">
        <v>6.3460000000000001</v>
      </c>
      <c r="F308">
        <v>8177850.8700000001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0.27246496290189642</v>
      </c>
      <c r="Q308">
        <f t="shared" si="965"/>
        <v>2228177.8339117914</v>
      </c>
      <c r="R308">
        <f t="shared" si="966"/>
        <v>-5691282.9699694756</v>
      </c>
      <c r="S308">
        <f t="shared" si="967"/>
        <v>-56.912829699694754</v>
      </c>
      <c r="T308">
        <f t="shared" si="968"/>
        <v>-5.6912829699694752E-2</v>
      </c>
    </row>
    <row r="309" spans="1:20" x14ac:dyDescent="0.25">
      <c r="A309" s="5">
        <v>44284</v>
      </c>
      <c r="B309">
        <v>5.5995999999999997</v>
      </c>
      <c r="C309">
        <v>5.95</v>
      </c>
      <c r="D309">
        <v>5.5138999999999996</v>
      </c>
      <c r="E309">
        <v>5.8090000000000002</v>
      </c>
      <c r="F309">
        <v>3638192.7</v>
      </c>
      <c r="G309">
        <v>0</v>
      </c>
      <c r="L309" t="s">
        <v>7</v>
      </c>
      <c r="M309" t="s">
        <v>8</v>
      </c>
      <c r="N309" t="s">
        <v>7</v>
      </c>
      <c r="P309">
        <f t="shared" si="964"/>
        <v>0.35335932125659336</v>
      </c>
      <c r="Q309">
        <f t="shared" si="965"/>
        <v>1285589.3030726928</v>
      </c>
      <c r="R309">
        <f t="shared" si="966"/>
        <v>-7919460.8038812671</v>
      </c>
      <c r="S309">
        <f t="shared" si="967"/>
        <v>-79.194608038812675</v>
      </c>
      <c r="T309">
        <f t="shared" si="968"/>
        <v>-7.9194608038812675E-2</v>
      </c>
    </row>
    <row r="310" spans="1:20" x14ac:dyDescent="0.25">
      <c r="A310" s="5">
        <v>44283</v>
      </c>
      <c r="B310">
        <v>5.3333000000000004</v>
      </c>
      <c r="C310">
        <v>5.99</v>
      </c>
      <c r="D310">
        <v>5.2720000000000002</v>
      </c>
      <c r="E310">
        <v>5.6028000000000002</v>
      </c>
      <c r="F310">
        <v>4873450.4800000004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-7.85515320334262E-2</v>
      </c>
      <c r="Q310">
        <f t="shared" si="965"/>
        <v>-382817.00149303634</v>
      </c>
      <c r="R310">
        <f t="shared" si="966"/>
        <v>-9205050.1069539599</v>
      </c>
      <c r="S310">
        <f t="shared" si="967"/>
        <v>-92.050501069539592</v>
      </c>
      <c r="T310">
        <f t="shared" si="968"/>
        <v>-9.2050501069539589E-2</v>
      </c>
    </row>
    <row r="311" spans="1:20" x14ac:dyDescent="0.25">
      <c r="A311" s="5">
        <v>44282</v>
      </c>
      <c r="B311">
        <v>5.4755000000000003</v>
      </c>
      <c r="C311">
        <v>5.6510999999999996</v>
      </c>
      <c r="D311">
        <v>5.2464000000000004</v>
      </c>
      <c r="E311">
        <v>5.3273999999999999</v>
      </c>
      <c r="F311">
        <v>3151351.31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-0.59970348406226992</v>
      </c>
      <c r="Q311">
        <f t="shared" si="965"/>
        <v>-1889876.3601111984</v>
      </c>
      <c r="R311">
        <f t="shared" si="966"/>
        <v>-8822233.1054609232</v>
      </c>
      <c r="S311">
        <f t="shared" si="967"/>
        <v>-88.222331054609228</v>
      </c>
      <c r="T311">
        <f t="shared" si="968"/>
        <v>-8.8222331054609221E-2</v>
      </c>
    </row>
    <row r="312" spans="1:20" x14ac:dyDescent="0.25">
      <c r="A312" s="5">
        <v>44281</v>
      </c>
      <c r="B312">
        <v>4.8109999999999999</v>
      </c>
      <c r="C312">
        <v>5.5807000000000002</v>
      </c>
      <c r="D312">
        <v>4.8052000000000001</v>
      </c>
      <c r="E312">
        <v>5.4809999999999999</v>
      </c>
      <c r="F312">
        <v>4264539.99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0.74287556415215905</v>
      </c>
      <c r="Q312">
        <f t="shared" si="965"/>
        <v>3168022.5509206927</v>
      </c>
      <c r="R312">
        <f t="shared" si="966"/>
        <v>-6932356.7453497257</v>
      </c>
      <c r="S312">
        <f t="shared" si="967"/>
        <v>-69.323567453497262</v>
      </c>
      <c r="T312">
        <f t="shared" si="968"/>
        <v>-6.9323567453497256E-2</v>
      </c>
    </row>
    <row r="313" spans="1:20" x14ac:dyDescent="0.25">
      <c r="A313" s="5">
        <v>44280</v>
      </c>
      <c r="B313">
        <v>4.8578000000000001</v>
      </c>
      <c r="C313">
        <v>5.0922999999999998</v>
      </c>
      <c r="D313">
        <v>4.4627999999999997</v>
      </c>
      <c r="E313">
        <v>4.8068</v>
      </c>
      <c r="F313">
        <v>4605301.38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9.2930897537729026E-2</v>
      </c>
      <c r="Q313">
        <f t="shared" si="965"/>
        <v>427974.79067514208</v>
      </c>
      <c r="R313">
        <f t="shared" si="966"/>
        <v>-10100379.296270419</v>
      </c>
      <c r="S313">
        <f t="shared" si="967"/>
        <v>-101.0037929627042</v>
      </c>
      <c r="T313">
        <f t="shared" si="968"/>
        <v>-0.1010037929627042</v>
      </c>
    </row>
    <row r="314" spans="1:20" x14ac:dyDescent="0.25">
      <c r="A314" s="5">
        <v>44279</v>
      </c>
      <c r="B314">
        <v>5.3086000000000002</v>
      </c>
      <c r="C314">
        <v>5.69</v>
      </c>
      <c r="D314">
        <v>4.7939999999999996</v>
      </c>
      <c r="E314">
        <v>4.8521000000000001</v>
      </c>
      <c r="F314">
        <v>4834196.6500000004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-0.87031249999999905</v>
      </c>
      <c r="Q314">
        <f t="shared" si="965"/>
        <v>-4207261.7719531208</v>
      </c>
      <c r="R314">
        <f t="shared" si="966"/>
        <v>-10528354.086945562</v>
      </c>
      <c r="S314">
        <f t="shared" si="967"/>
        <v>-105.28354086945562</v>
      </c>
      <c r="T314">
        <f t="shared" si="968"/>
        <v>-0.10528354086945563</v>
      </c>
    </row>
    <row r="315" spans="1:20" x14ac:dyDescent="0.25">
      <c r="A315" s="5">
        <v>44278</v>
      </c>
      <c r="B315">
        <v>5.4069000000000003</v>
      </c>
      <c r="C315">
        <v>5.8494000000000002</v>
      </c>
      <c r="D315">
        <v>5.1045999999999996</v>
      </c>
      <c r="E315">
        <v>5.3055000000000003</v>
      </c>
      <c r="F315">
        <v>4545878.03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-0.46052631578947212</v>
      </c>
      <c r="Q315">
        <f t="shared" si="965"/>
        <v>-2093496.4611842036</v>
      </c>
      <c r="R315">
        <f t="shared" si="966"/>
        <v>-6321092.3149924409</v>
      </c>
      <c r="S315">
        <f t="shared" si="967"/>
        <v>-63.210923149924412</v>
      </c>
      <c r="T315">
        <f t="shared" si="968"/>
        <v>-6.3210923149924408E-2</v>
      </c>
    </row>
    <row r="316" spans="1:20" x14ac:dyDescent="0.25">
      <c r="A316" s="5">
        <v>44277</v>
      </c>
      <c r="B316">
        <v>6.0388999999999999</v>
      </c>
      <c r="C316">
        <v>6.0561999999999996</v>
      </c>
      <c r="D316">
        <v>5.27</v>
      </c>
      <c r="E316">
        <v>5.4066000000000001</v>
      </c>
      <c r="F316">
        <v>4446588.79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-0.65250572373441751</v>
      </c>
      <c r="Q316">
        <f t="shared" si="965"/>
        <v>-2901424.6365682976</v>
      </c>
      <c r="R316">
        <f t="shared" si="966"/>
        <v>-4227595.8538082372</v>
      </c>
      <c r="S316">
        <f t="shared" si="967"/>
        <v>-42.275958538082371</v>
      </c>
      <c r="T316">
        <f t="shared" si="968"/>
        <v>-4.2275958538082373E-2</v>
      </c>
    </row>
    <row r="317" spans="1:20" x14ac:dyDescent="0.25">
      <c r="A317" s="5">
        <v>44276</v>
      </c>
      <c r="B317">
        <v>6.2714999999999996</v>
      </c>
      <c r="C317">
        <v>6.3037000000000001</v>
      </c>
      <c r="D317">
        <v>5.8037000000000001</v>
      </c>
      <c r="E317">
        <v>6.0388000000000002</v>
      </c>
      <c r="F317">
        <v>3968967.41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-5.9599999999999653E-2</v>
      </c>
      <c r="Q317">
        <f t="shared" si="965"/>
        <v>-236550.45763599864</v>
      </c>
      <c r="R317">
        <f t="shared" si="966"/>
        <v>-1326171.2172399396</v>
      </c>
      <c r="S317">
        <f t="shared" si="967"/>
        <v>-13.261712172399395</v>
      </c>
      <c r="T317">
        <f t="shared" si="968"/>
        <v>-1.3261712172399395E-2</v>
      </c>
    </row>
    <row r="318" spans="1:20" x14ac:dyDescent="0.25">
      <c r="A318" s="5">
        <v>44275</v>
      </c>
      <c r="B318">
        <v>6.1714000000000002</v>
      </c>
      <c r="C318">
        <v>6.5987999999999998</v>
      </c>
      <c r="D318">
        <v>6.1162000000000001</v>
      </c>
      <c r="E318">
        <v>6.2721999999999998</v>
      </c>
      <c r="F318">
        <v>3266046.53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-0.35350186489846752</v>
      </c>
      <c r="Q318">
        <f t="shared" si="965"/>
        <v>-1154553.5392001686</v>
      </c>
      <c r="R318">
        <f t="shared" si="966"/>
        <v>-1089620.7596039409</v>
      </c>
      <c r="S318">
        <f t="shared" si="967"/>
        <v>-10.896207596039408</v>
      </c>
      <c r="T318">
        <f t="shared" si="968"/>
        <v>-1.0896207596039409E-2</v>
      </c>
    </row>
    <row r="319" spans="1:20" x14ac:dyDescent="0.25">
      <c r="A319" s="5">
        <v>44274</v>
      </c>
      <c r="B319">
        <v>6.0598999999999998</v>
      </c>
      <c r="C319">
        <v>6.4463999999999997</v>
      </c>
      <c r="D319">
        <v>5.8655999999999997</v>
      </c>
      <c r="E319">
        <v>6.1662999999999997</v>
      </c>
      <c r="F319">
        <v>3254147.98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3.5468319559228571E-2</v>
      </c>
      <c r="Q319">
        <f t="shared" si="965"/>
        <v>115419.16044765814</v>
      </c>
      <c r="R319">
        <f t="shared" si="966"/>
        <v>64932.779596227789</v>
      </c>
      <c r="S319">
        <f t="shared" si="967"/>
        <v>0.64932779596227785</v>
      </c>
      <c r="T319">
        <f t="shared" si="968"/>
        <v>6.4932779596227786E-4</v>
      </c>
    </row>
    <row r="320" spans="1:20" x14ac:dyDescent="0.25">
      <c r="A320" s="5">
        <v>44273</v>
      </c>
      <c r="B320">
        <v>6.2370999999999999</v>
      </c>
      <c r="C320">
        <v>6.5983999999999998</v>
      </c>
      <c r="D320">
        <v>6</v>
      </c>
      <c r="E320">
        <v>6.05</v>
      </c>
      <c r="F320">
        <v>3578184.79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-0.83288770053475991</v>
      </c>
      <c r="Q320">
        <f t="shared" si="965"/>
        <v>-2980226.101831553</v>
      </c>
      <c r="R320">
        <f t="shared" si="966"/>
        <v>-50486.380851430353</v>
      </c>
      <c r="S320">
        <f t="shared" si="967"/>
        <v>-0.50486380851430357</v>
      </c>
      <c r="T320">
        <f t="shared" si="968"/>
        <v>-5.0486380851430361E-4</v>
      </c>
    </row>
    <row r="321" spans="1:20" x14ac:dyDescent="0.25">
      <c r="A321" s="5">
        <v>44272</v>
      </c>
      <c r="B321">
        <v>6.3898000000000001</v>
      </c>
      <c r="C321">
        <v>6.4371</v>
      </c>
      <c r="D321">
        <v>5.95</v>
      </c>
      <c r="E321">
        <v>6.2294</v>
      </c>
      <c r="F321">
        <v>3364222.88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0.14719770067747875</v>
      </c>
      <c r="Q321">
        <f t="shared" si="965"/>
        <v>495205.8725025655</v>
      </c>
      <c r="R321">
        <f t="shared" si="966"/>
        <v>2929739.7209801227</v>
      </c>
      <c r="S321">
        <f t="shared" si="967"/>
        <v>29.297397209801225</v>
      </c>
      <c r="T321">
        <f t="shared" si="968"/>
        <v>2.9297397209801224E-2</v>
      </c>
    </row>
    <row r="322" spans="1:20" x14ac:dyDescent="0.25">
      <c r="A322" s="5">
        <v>44271</v>
      </c>
      <c r="B322">
        <v>5.8936999999999999</v>
      </c>
      <c r="C322">
        <v>6.9</v>
      </c>
      <c r="D322">
        <v>5.5877999999999997</v>
      </c>
      <c r="E322">
        <v>6.3833000000000002</v>
      </c>
      <c r="F322">
        <v>6056303.7199999997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0.21246761164456657</v>
      </c>
      <c r="Q322">
        <f t="shared" si="965"/>
        <v>1286768.3867825037</v>
      </c>
      <c r="R322">
        <f t="shared" si="966"/>
        <v>2434533.8484775573</v>
      </c>
      <c r="S322">
        <f t="shared" si="967"/>
        <v>24.345338484775574</v>
      </c>
      <c r="T322">
        <f t="shared" si="968"/>
        <v>2.4345338484775575E-2</v>
      </c>
    </row>
    <row r="323" spans="1:20" x14ac:dyDescent="0.25">
      <c r="A323" s="5">
        <v>44270</v>
      </c>
      <c r="B323">
        <v>6.6092000000000004</v>
      </c>
      <c r="C323">
        <v>6.8594999999999997</v>
      </c>
      <c r="D323">
        <v>5.86</v>
      </c>
      <c r="E323">
        <v>5.9027000000000003</v>
      </c>
      <c r="F323">
        <v>7540992.6699999999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-0.91455727863931968</v>
      </c>
      <c r="Q323">
        <f t="shared" si="965"/>
        <v>-6896669.7345142569</v>
      </c>
      <c r="R323">
        <f t="shared" si="966"/>
        <v>1147765.4616950536</v>
      </c>
      <c r="S323">
        <f t="shared" si="967"/>
        <v>11.477654616950536</v>
      </c>
      <c r="T323">
        <f t="shared" si="968"/>
        <v>1.1477654616950536E-2</v>
      </c>
    </row>
    <row r="324" spans="1:20" x14ac:dyDescent="0.25">
      <c r="A324" s="5">
        <v>44269</v>
      </c>
      <c r="B324">
        <v>7.399</v>
      </c>
      <c r="C324">
        <v>7.4</v>
      </c>
      <c r="D324">
        <v>6.6077000000000004</v>
      </c>
      <c r="E324">
        <v>6.6135000000000002</v>
      </c>
      <c r="F324">
        <v>5587564.21</v>
      </c>
      <c r="G324">
        <v>0</v>
      </c>
      <c r="L324" t="s">
        <v>7</v>
      </c>
      <c r="M324" t="s">
        <v>8</v>
      </c>
      <c r="N324" t="s">
        <v>8</v>
      </c>
      <c r="P324">
        <f t="shared" si="964"/>
        <v>-0.98535908115612825</v>
      </c>
      <c r="Q324">
        <f t="shared" si="965"/>
        <v>-5505757.1358664678</v>
      </c>
      <c r="R324">
        <f t="shared" si="966"/>
        <v>8044435.1962093106</v>
      </c>
      <c r="S324">
        <f t="shared" si="967"/>
        <v>80.444351962093108</v>
      </c>
      <c r="T324">
        <f t="shared" si="968"/>
        <v>8.0444351962093111E-2</v>
      </c>
    </row>
    <row r="325" spans="1:20" x14ac:dyDescent="0.25">
      <c r="A325" s="5">
        <v>44268</v>
      </c>
      <c r="B325">
        <v>6.9230999999999998</v>
      </c>
      <c r="C325">
        <v>7.58</v>
      </c>
      <c r="D325">
        <v>6.5114999999999998</v>
      </c>
      <c r="E325">
        <v>7.3990999999999998</v>
      </c>
      <c r="F325">
        <v>7544393.0300000003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0.66139447824052366</v>
      </c>
      <c r="Q325">
        <f t="shared" si="965"/>
        <v>4989819.8917182935</v>
      </c>
      <c r="R325">
        <f t="shared" si="966"/>
        <v>13550192.332075778</v>
      </c>
      <c r="S325">
        <f t="shared" si="967"/>
        <v>135.50192332075778</v>
      </c>
      <c r="T325">
        <f t="shared" si="968"/>
        <v>0.13550192332075778</v>
      </c>
    </row>
    <row r="326" spans="1:20" x14ac:dyDescent="0.25">
      <c r="A326" s="5">
        <v>44267</v>
      </c>
      <c r="B326">
        <v>6.0637999999999996</v>
      </c>
      <c r="C326">
        <v>7.45</v>
      </c>
      <c r="D326">
        <v>5.9</v>
      </c>
      <c r="E326">
        <v>6.9147999999999996</v>
      </c>
      <c r="F326">
        <v>14470687.609999999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0.30941935483870886</v>
      </c>
      <c r="Q326">
        <f t="shared" ref="Q326:Q389" si="970">F326*P326</f>
        <v>4477510.824358698</v>
      </c>
      <c r="R326">
        <f t="shared" ref="R326:R389" si="971">R327+Q326</f>
        <v>8560372.4403574839</v>
      </c>
      <c r="S326">
        <f t="shared" ref="S326:S389" si="972">R326/100000</f>
        <v>85.603724403574844</v>
      </c>
      <c r="T326">
        <f t="shared" ref="T326:T389" si="973">S326/1000</f>
        <v>8.5603724403574846E-2</v>
      </c>
    </row>
    <row r="327" spans="1:20" x14ac:dyDescent="0.25">
      <c r="A327" s="5">
        <v>44266</v>
      </c>
      <c r="B327">
        <v>5.3086000000000002</v>
      </c>
      <c r="C327">
        <v>6.2919999999999998</v>
      </c>
      <c r="D327">
        <v>5.1062000000000003</v>
      </c>
      <c r="E327">
        <v>6.0766</v>
      </c>
      <c r="F327">
        <v>12108006.08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0.63670096137628618</v>
      </c>
      <c r="Q327">
        <f t="shared" si="970"/>
        <v>7709179.1114859181</v>
      </c>
      <c r="R327">
        <f t="shared" si="971"/>
        <v>4082861.6159987869</v>
      </c>
      <c r="S327">
        <f t="shared" si="972"/>
        <v>40.828616159987867</v>
      </c>
      <c r="T327">
        <f t="shared" si="973"/>
        <v>4.0828616159987868E-2</v>
      </c>
    </row>
    <row r="328" spans="1:20" x14ac:dyDescent="0.25">
      <c r="A328" s="5">
        <v>44265</v>
      </c>
      <c r="B328">
        <v>5.4043000000000001</v>
      </c>
      <c r="C328">
        <v>6.24</v>
      </c>
      <c r="D328">
        <v>4.9097999999999997</v>
      </c>
      <c r="E328">
        <v>5.3063000000000002</v>
      </c>
      <c r="F328">
        <v>15285634.18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-0.40384904525635185</v>
      </c>
      <c r="Q328">
        <f t="shared" si="970"/>
        <v>-6173088.7697308585</v>
      </c>
      <c r="R328">
        <f t="shared" si="971"/>
        <v>-3626317.4954871312</v>
      </c>
      <c r="S328">
        <f t="shared" si="972"/>
        <v>-36.26317495487131</v>
      </c>
      <c r="T328">
        <f t="shared" si="973"/>
        <v>-3.6263174954871309E-2</v>
      </c>
    </row>
    <row r="329" spans="1:20" x14ac:dyDescent="0.25">
      <c r="A329" s="5">
        <v>44264</v>
      </c>
      <c r="B329">
        <v>4.5780000000000003</v>
      </c>
      <c r="C329">
        <v>5.8067000000000002</v>
      </c>
      <c r="D329">
        <v>4.5608000000000004</v>
      </c>
      <c r="E329">
        <v>5.4092000000000002</v>
      </c>
      <c r="F329">
        <v>14116431.4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0.36190705514086197</v>
      </c>
      <c r="Q329">
        <f t="shared" si="970"/>
        <v>5108836.1170719955</v>
      </c>
      <c r="R329">
        <f t="shared" si="971"/>
        <v>2546771.2742437273</v>
      </c>
      <c r="S329">
        <f t="shared" si="972"/>
        <v>25.467712742437275</v>
      </c>
      <c r="T329">
        <f t="shared" si="973"/>
        <v>2.5467712742437275E-2</v>
      </c>
    </row>
    <row r="330" spans="1:20" x14ac:dyDescent="0.25">
      <c r="A330" s="5">
        <v>44263</v>
      </c>
      <c r="B330">
        <v>4.2801999999999998</v>
      </c>
      <c r="C330">
        <v>4.6304999999999996</v>
      </c>
      <c r="D330">
        <v>4.1219000000000001</v>
      </c>
      <c r="E330">
        <v>4.5759999999999996</v>
      </c>
      <c r="F330">
        <v>4274549.49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0.78568619740463996</v>
      </c>
      <c r="Q330">
        <f t="shared" si="970"/>
        <v>3358454.5344160432</v>
      </c>
      <c r="R330">
        <f t="shared" si="971"/>
        <v>-2562064.8428282682</v>
      </c>
      <c r="S330">
        <f t="shared" si="972"/>
        <v>-25.620648428282681</v>
      </c>
      <c r="T330">
        <f t="shared" si="973"/>
        <v>-2.5620648428282683E-2</v>
      </c>
    </row>
    <row r="331" spans="1:20" x14ac:dyDescent="0.25">
      <c r="A331" s="5">
        <v>44262</v>
      </c>
      <c r="B331">
        <v>4.0519999999999996</v>
      </c>
      <c r="C331">
        <v>4.4043000000000001</v>
      </c>
      <c r="D331">
        <v>4.0505000000000004</v>
      </c>
      <c r="E331">
        <v>4.2755999999999998</v>
      </c>
      <c r="F331">
        <v>3250967.77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0.27247032221593909</v>
      </c>
      <c r="Q331">
        <f t="shared" si="970"/>
        <v>885792.23580553301</v>
      </c>
      <c r="R331">
        <f t="shared" si="971"/>
        <v>-5920519.3772443114</v>
      </c>
      <c r="S331">
        <f t="shared" si="972"/>
        <v>-59.205193772443117</v>
      </c>
      <c r="T331">
        <f t="shared" si="973"/>
        <v>-5.920519377244312E-2</v>
      </c>
    </row>
    <row r="332" spans="1:20" x14ac:dyDescent="0.25">
      <c r="A332" s="5">
        <v>44261</v>
      </c>
      <c r="B332">
        <v>4.1581999999999999</v>
      </c>
      <c r="C332">
        <v>4.2499000000000002</v>
      </c>
      <c r="D332">
        <v>3.927</v>
      </c>
      <c r="E332">
        <v>4.0525000000000002</v>
      </c>
      <c r="F332">
        <v>2753233.66</v>
      </c>
      <c r="G332">
        <v>0</v>
      </c>
      <c r="L332" t="s">
        <v>7</v>
      </c>
      <c r="M332" t="s">
        <v>8</v>
      </c>
      <c r="N332" t="s">
        <v>8</v>
      </c>
      <c r="P332">
        <f t="shared" si="969"/>
        <v>-0.22266955713843237</v>
      </c>
      <c r="Q332">
        <f t="shared" si="970"/>
        <v>-613061.31977082533</v>
      </c>
      <c r="R332">
        <f t="shared" si="971"/>
        <v>-6806311.6130498443</v>
      </c>
      <c r="S332">
        <f t="shared" si="972"/>
        <v>-68.063116130498443</v>
      </c>
      <c r="T332">
        <f t="shared" si="973"/>
        <v>-6.8063116130498438E-2</v>
      </c>
    </row>
    <row r="333" spans="1:20" x14ac:dyDescent="0.25">
      <c r="A333" s="5">
        <v>44260</v>
      </c>
      <c r="B333">
        <v>4.5338000000000003</v>
      </c>
      <c r="C333">
        <v>4.6018999999999997</v>
      </c>
      <c r="D333">
        <v>4.0250000000000004</v>
      </c>
      <c r="E333">
        <v>4.1615000000000002</v>
      </c>
      <c r="F333">
        <v>4992992.6399999997</v>
      </c>
      <c r="G333">
        <v>0</v>
      </c>
      <c r="L333" t="s">
        <v>7</v>
      </c>
      <c r="M333" t="s">
        <v>8</v>
      </c>
      <c r="N333" t="s">
        <v>8</v>
      </c>
      <c r="P333">
        <f t="shared" si="969"/>
        <v>-0.52678107124284967</v>
      </c>
      <c r="Q333">
        <f t="shared" si="970"/>
        <v>-2630214.0116068637</v>
      </c>
      <c r="R333">
        <f t="shared" si="971"/>
        <v>-6193250.2932790192</v>
      </c>
      <c r="S333">
        <f t="shared" si="972"/>
        <v>-61.932502932790193</v>
      </c>
      <c r="T333">
        <f t="shared" si="973"/>
        <v>-6.1932502932790193E-2</v>
      </c>
    </row>
    <row r="334" spans="1:20" x14ac:dyDescent="0.25">
      <c r="A334" s="5">
        <v>44259</v>
      </c>
      <c r="B334">
        <v>4.1654</v>
      </c>
      <c r="C334">
        <v>4.6599000000000004</v>
      </c>
      <c r="D334">
        <v>4.1106999999999996</v>
      </c>
      <c r="E334">
        <v>4.5338000000000003</v>
      </c>
      <c r="F334">
        <v>8213502.8499999996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0.54078659868900247</v>
      </c>
      <c r="Q334">
        <f t="shared" si="970"/>
        <v>4441752.2695739279</v>
      </c>
      <c r="R334">
        <f t="shared" si="971"/>
        <v>-3563036.2816721555</v>
      </c>
      <c r="S334">
        <f t="shared" si="972"/>
        <v>-35.630362816721558</v>
      </c>
      <c r="T334">
        <f t="shared" si="973"/>
        <v>-3.5630362816721557E-2</v>
      </c>
    </row>
    <row r="335" spans="1:20" x14ac:dyDescent="0.25">
      <c r="A335" s="5">
        <v>44258</v>
      </c>
      <c r="B335">
        <v>4.0350000000000001</v>
      </c>
      <c r="C335">
        <v>4.2990000000000004</v>
      </c>
      <c r="D335">
        <v>3.9975999999999998</v>
      </c>
      <c r="E335">
        <v>4.1679000000000004</v>
      </c>
      <c r="F335">
        <v>4208807.59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0.13005972130059887</v>
      </c>
      <c r="Q335">
        <f t="shared" si="970"/>
        <v>547396.34216324519</v>
      </c>
      <c r="R335">
        <f t="shared" si="971"/>
        <v>-8004788.5512460833</v>
      </c>
      <c r="S335">
        <f t="shared" si="972"/>
        <v>-80.047885512460837</v>
      </c>
      <c r="T335">
        <f t="shared" si="973"/>
        <v>-8.0047885512460837E-2</v>
      </c>
    </row>
    <row r="336" spans="1:20" x14ac:dyDescent="0.25">
      <c r="A336" s="5">
        <v>44257</v>
      </c>
      <c r="B336">
        <v>4.1971999999999996</v>
      </c>
      <c r="C336">
        <v>4.2446999999999999</v>
      </c>
      <c r="D336">
        <v>3.8458999999999999</v>
      </c>
      <c r="E336">
        <v>4.0362999999999998</v>
      </c>
      <c r="F336">
        <v>4191767.89</v>
      </c>
      <c r="G336">
        <v>0</v>
      </c>
      <c r="L336" t="s">
        <v>7</v>
      </c>
      <c r="M336" t="s">
        <v>8</v>
      </c>
      <c r="N336" t="s">
        <v>7</v>
      </c>
      <c r="P336">
        <f t="shared" si="969"/>
        <v>-4.5135406218656561E-2</v>
      </c>
      <c r="Q336">
        <f t="shared" si="970"/>
        <v>-189197.14648947091</v>
      </c>
      <c r="R336">
        <f t="shared" si="971"/>
        <v>-8552184.8934093285</v>
      </c>
      <c r="S336">
        <f t="shared" si="972"/>
        <v>-85.521848934093285</v>
      </c>
      <c r="T336">
        <f t="shared" si="973"/>
        <v>-8.5521848934093286E-2</v>
      </c>
    </row>
    <row r="337" spans="1:20" x14ac:dyDescent="0.25">
      <c r="A337" s="5">
        <v>44256</v>
      </c>
      <c r="B337">
        <v>3.8231999999999999</v>
      </c>
      <c r="C337">
        <v>4.3</v>
      </c>
      <c r="D337">
        <v>3.7930999999999999</v>
      </c>
      <c r="E337">
        <v>4.1932999999999998</v>
      </c>
      <c r="F337">
        <v>4917644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0.57900966660090736</v>
      </c>
      <c r="Q337">
        <f t="shared" si="970"/>
        <v>2847363.4129019524</v>
      </c>
      <c r="R337">
        <f t="shared" si="971"/>
        <v>-8362987.7469198573</v>
      </c>
      <c r="S337">
        <f t="shared" si="972"/>
        <v>-83.629877469198576</v>
      </c>
      <c r="T337">
        <f t="shared" si="973"/>
        <v>-8.3629877469198574E-2</v>
      </c>
    </row>
    <row r="338" spans="1:20" x14ac:dyDescent="0.25">
      <c r="A338" s="5">
        <v>44255</v>
      </c>
      <c r="B338">
        <v>4.0011999999999999</v>
      </c>
      <c r="C338">
        <v>4.0144000000000002</v>
      </c>
      <c r="D338">
        <v>3.4148000000000001</v>
      </c>
      <c r="E338">
        <v>3.8233999999999999</v>
      </c>
      <c r="F338">
        <v>7446970.5599999996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0.36290860573715733</v>
      </c>
      <c r="Q338">
        <f t="shared" si="970"/>
        <v>2702569.7028952576</v>
      </c>
      <c r="R338">
        <f t="shared" si="971"/>
        <v>-11210351.15982181</v>
      </c>
      <c r="S338">
        <f t="shared" si="972"/>
        <v>-112.10351159821811</v>
      </c>
      <c r="T338">
        <f t="shared" si="973"/>
        <v>-0.1121035115982181</v>
      </c>
    </row>
    <row r="339" spans="1:20" x14ac:dyDescent="0.25">
      <c r="A339" s="5">
        <v>44254</v>
      </c>
      <c r="B339">
        <v>4.2350000000000003</v>
      </c>
      <c r="C339">
        <v>4.4859999999999998</v>
      </c>
      <c r="D339">
        <v>3.8906999999999998</v>
      </c>
      <c r="E339">
        <v>4.0010000000000003</v>
      </c>
      <c r="F339">
        <v>6184410.4299999997</v>
      </c>
      <c r="G339">
        <v>0</v>
      </c>
      <c r="L339" t="s">
        <v>7</v>
      </c>
      <c r="M339" t="s">
        <v>7</v>
      </c>
      <c r="N339" t="s">
        <v>8</v>
      </c>
      <c r="P339">
        <f t="shared" si="969"/>
        <v>-0.62943053922391901</v>
      </c>
      <c r="Q339">
        <f t="shared" si="970"/>
        <v>-3892656.7917369287</v>
      </c>
      <c r="R339">
        <f t="shared" si="971"/>
        <v>-13912920.862717068</v>
      </c>
      <c r="S339">
        <f t="shared" si="972"/>
        <v>-139.12920862717067</v>
      </c>
      <c r="T339">
        <f t="shared" si="973"/>
        <v>-0.13912920862717068</v>
      </c>
    </row>
    <row r="340" spans="1:20" x14ac:dyDescent="0.25">
      <c r="A340" s="5">
        <v>44253</v>
      </c>
      <c r="B340">
        <v>3.8915000000000002</v>
      </c>
      <c r="C340">
        <v>4.8899999999999997</v>
      </c>
      <c r="D340">
        <v>3.7869999999999999</v>
      </c>
      <c r="E340">
        <v>4.2309000000000001</v>
      </c>
      <c r="F340">
        <v>18674750.969999999</v>
      </c>
      <c r="G340">
        <v>0</v>
      </c>
      <c r="L340" t="s">
        <v>8</v>
      </c>
      <c r="M340" t="s">
        <v>8</v>
      </c>
      <c r="N340" t="s">
        <v>8</v>
      </c>
      <c r="P340">
        <f t="shared" si="969"/>
        <v>-0.19510426110607385</v>
      </c>
      <c r="Q340">
        <f t="shared" si="970"/>
        <v>-3643523.4893417857</v>
      </c>
      <c r="R340">
        <f t="shared" si="971"/>
        <v>-10020264.070980139</v>
      </c>
      <c r="S340">
        <f t="shared" si="972"/>
        <v>-100.20264070980139</v>
      </c>
      <c r="T340">
        <f t="shared" si="973"/>
        <v>-0.10020264070980138</v>
      </c>
    </row>
    <row r="341" spans="1:20" x14ac:dyDescent="0.25">
      <c r="A341" s="5">
        <v>44252</v>
      </c>
      <c r="B341">
        <v>3.5768</v>
      </c>
      <c r="C341">
        <v>4.6963999999999997</v>
      </c>
      <c r="D341">
        <v>3.4622999999999999</v>
      </c>
      <c r="E341">
        <v>3.8976999999999999</v>
      </c>
      <c r="F341">
        <v>11806146.66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-0.29438457175269411</v>
      </c>
      <c r="Q341">
        <f t="shared" si="970"/>
        <v>-3475547.4285535999</v>
      </c>
      <c r="R341">
        <f t="shared" si="971"/>
        <v>-6376740.5816383529</v>
      </c>
      <c r="S341">
        <f t="shared" si="972"/>
        <v>-63.76740581638353</v>
      </c>
      <c r="T341">
        <f t="shared" si="973"/>
        <v>-6.3767405816383529E-2</v>
      </c>
    </row>
    <row r="342" spans="1:20" x14ac:dyDescent="0.25">
      <c r="A342" s="5">
        <v>44251</v>
      </c>
      <c r="B342">
        <v>3.3715999999999999</v>
      </c>
      <c r="C342">
        <v>3.66</v>
      </c>
      <c r="D342">
        <v>3.1686000000000001</v>
      </c>
      <c r="E342">
        <v>3.5712999999999999</v>
      </c>
      <c r="F342">
        <v>6329024.7400000002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0.63899063899063813</v>
      </c>
      <c r="Q342">
        <f t="shared" si="970"/>
        <v>4044187.5628001573</v>
      </c>
      <c r="R342">
        <f t="shared" si="971"/>
        <v>-2901193.1530847526</v>
      </c>
      <c r="S342">
        <f t="shared" si="972"/>
        <v>-29.011931530847527</v>
      </c>
      <c r="T342">
        <f t="shared" si="973"/>
        <v>-2.9011931530847527E-2</v>
      </c>
    </row>
    <row r="343" spans="1:20" x14ac:dyDescent="0.25">
      <c r="A343" s="5">
        <v>44250</v>
      </c>
      <c r="B343">
        <v>3.734</v>
      </c>
      <c r="C343">
        <v>3.7688000000000001</v>
      </c>
      <c r="D343">
        <v>2.6440000000000001</v>
      </c>
      <c r="E343">
        <v>3.3799000000000001</v>
      </c>
      <c r="F343">
        <v>13618660.699999999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0.30849928876244664</v>
      </c>
      <c r="Q343">
        <f t="shared" si="970"/>
        <v>4201347.1398470839</v>
      </c>
      <c r="R343">
        <f t="shared" si="971"/>
        <v>-6945380.71588491</v>
      </c>
      <c r="S343">
        <f t="shared" si="972"/>
        <v>-69.453807158849102</v>
      </c>
      <c r="T343">
        <f t="shared" si="973"/>
        <v>-6.9453807158849107E-2</v>
      </c>
    </row>
    <row r="344" spans="1:20" x14ac:dyDescent="0.25">
      <c r="A344" s="5">
        <v>44249</v>
      </c>
      <c r="B344">
        <v>4.1014999999999997</v>
      </c>
      <c r="C344">
        <v>4.1071999999999997</v>
      </c>
      <c r="D344">
        <v>2.9735</v>
      </c>
      <c r="E344">
        <v>3.7383000000000002</v>
      </c>
      <c r="F344">
        <v>9951959.3300000001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0.34921054952809444</v>
      </c>
      <c r="Q344">
        <f t="shared" si="970"/>
        <v>3475329.1865105466</v>
      </c>
      <c r="R344">
        <f t="shared" si="971"/>
        <v>-11146727.855731994</v>
      </c>
      <c r="S344">
        <f t="shared" si="972"/>
        <v>-111.46727855731994</v>
      </c>
      <c r="T344">
        <f t="shared" si="973"/>
        <v>-0.11146727855731994</v>
      </c>
    </row>
    <row r="345" spans="1:20" x14ac:dyDescent="0.25">
      <c r="A345" s="5">
        <v>44248</v>
      </c>
      <c r="B345">
        <v>3.9977</v>
      </c>
      <c r="C345">
        <v>4.1999000000000004</v>
      </c>
      <c r="D345">
        <v>3.8582000000000001</v>
      </c>
      <c r="E345">
        <v>4.0999999999999996</v>
      </c>
      <c r="F345">
        <v>4229506.95</v>
      </c>
      <c r="G345">
        <v>0</v>
      </c>
      <c r="L345" t="s">
        <v>8</v>
      </c>
      <c r="M345" t="s">
        <v>7</v>
      </c>
      <c r="N345" t="s">
        <v>7</v>
      </c>
      <c r="P345">
        <f t="shared" si="969"/>
        <v>0.41527655838454391</v>
      </c>
      <c r="Q345">
        <f t="shared" si="970"/>
        <v>1756415.0898595094</v>
      </c>
      <c r="R345">
        <f t="shared" si="971"/>
        <v>-14622057.04224254</v>
      </c>
      <c r="S345">
        <f t="shared" si="972"/>
        <v>-146.2205704224254</v>
      </c>
      <c r="T345">
        <f t="shared" si="973"/>
        <v>-0.14622057042242539</v>
      </c>
    </row>
    <row r="346" spans="1:20" x14ac:dyDescent="0.25">
      <c r="A346" s="5">
        <v>44247</v>
      </c>
      <c r="B346">
        <v>4.3860999999999999</v>
      </c>
      <c r="C346">
        <v>4.7382999999999997</v>
      </c>
      <c r="D346">
        <v>3.7256999999999998</v>
      </c>
      <c r="E346">
        <v>4</v>
      </c>
      <c r="F346">
        <v>6890772.8799999999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-0.45822634801501044</v>
      </c>
      <c r="Q346">
        <f t="shared" si="970"/>
        <v>-3157533.6918032756</v>
      </c>
      <c r="R346">
        <f t="shared" si="971"/>
        <v>-16378472.13210205</v>
      </c>
      <c r="S346">
        <f t="shared" si="972"/>
        <v>-163.7847213210205</v>
      </c>
      <c r="T346">
        <f t="shared" si="973"/>
        <v>-0.16378472132102051</v>
      </c>
    </row>
    <row r="347" spans="1:20" x14ac:dyDescent="0.25">
      <c r="A347" s="5">
        <v>44246</v>
      </c>
      <c r="B347">
        <v>4.4450000000000003</v>
      </c>
      <c r="C347">
        <v>4.5667999999999997</v>
      </c>
      <c r="D347">
        <v>4.0982000000000003</v>
      </c>
      <c r="E347">
        <v>4.3833000000000002</v>
      </c>
      <c r="F347">
        <v>5269477.29</v>
      </c>
      <c r="G347">
        <v>0</v>
      </c>
      <c r="L347" t="s">
        <v>7</v>
      </c>
      <c r="M347" t="s">
        <v>8</v>
      </c>
      <c r="N347" t="s">
        <v>7</v>
      </c>
      <c r="P347">
        <f t="shared" si="969"/>
        <v>0.21681604780196431</v>
      </c>
      <c r="Q347">
        <f t="shared" si="970"/>
        <v>1142507.2400000053</v>
      </c>
      <c r="R347">
        <f t="shared" si="971"/>
        <v>-13220938.440298775</v>
      </c>
      <c r="S347">
        <f t="shared" si="972"/>
        <v>-132.20938440298775</v>
      </c>
      <c r="T347">
        <f t="shared" si="973"/>
        <v>-0.13220938440298774</v>
      </c>
    </row>
    <row r="348" spans="1:20" x14ac:dyDescent="0.25">
      <c r="A348" s="5">
        <v>44245</v>
      </c>
      <c r="B348">
        <v>4.2298999999999998</v>
      </c>
      <c r="C348">
        <v>4.6684999999999999</v>
      </c>
      <c r="D348">
        <v>4.0273000000000003</v>
      </c>
      <c r="E348">
        <v>4.4417999999999997</v>
      </c>
      <c r="F348">
        <v>5838157.4800000004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0.29288833437304962</v>
      </c>
      <c r="Q348">
        <f t="shared" si="970"/>
        <v>1709928.2201247609</v>
      </c>
      <c r="R348">
        <f t="shared" si="971"/>
        <v>-14363445.680298781</v>
      </c>
      <c r="S348">
        <f t="shared" si="972"/>
        <v>-143.63445680298781</v>
      </c>
      <c r="T348">
        <f t="shared" si="973"/>
        <v>-0.14363445680298781</v>
      </c>
    </row>
    <row r="349" spans="1:20" x14ac:dyDescent="0.25">
      <c r="A349" s="5">
        <v>44244</v>
      </c>
      <c r="B349">
        <v>4.0890000000000004</v>
      </c>
      <c r="C349">
        <v>4.3963000000000001</v>
      </c>
      <c r="D349">
        <v>3.8155000000000001</v>
      </c>
      <c r="E349">
        <v>4.2324999999999999</v>
      </c>
      <c r="F349">
        <v>5487943.3600000003</v>
      </c>
      <c r="G349">
        <v>0</v>
      </c>
      <c r="L349" t="s">
        <v>7</v>
      </c>
      <c r="M349" t="s">
        <v>8</v>
      </c>
      <c r="N349" t="s">
        <v>7</v>
      </c>
      <c r="P349">
        <f t="shared" si="969"/>
        <v>0.43595041322313988</v>
      </c>
      <c r="Q349">
        <f t="shared" si="970"/>
        <v>2392471.1755371867</v>
      </c>
      <c r="R349">
        <f t="shared" si="971"/>
        <v>-16073373.900423542</v>
      </c>
      <c r="S349">
        <f t="shared" si="972"/>
        <v>-160.73373900423542</v>
      </c>
      <c r="T349">
        <f t="shared" si="973"/>
        <v>-0.1607337390042354</v>
      </c>
    </row>
    <row r="350" spans="1:20" x14ac:dyDescent="0.25">
      <c r="A350" s="5">
        <v>44243</v>
      </c>
      <c r="B350">
        <v>4.0326000000000004</v>
      </c>
      <c r="C350">
        <v>4.4480000000000004</v>
      </c>
      <c r="D350">
        <v>3.8613</v>
      </c>
      <c r="E350">
        <v>4.0888999999999998</v>
      </c>
      <c r="F350">
        <v>5532612.7699999996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-0.22413499232998252</v>
      </c>
      <c r="Q350">
        <f t="shared" si="970"/>
        <v>-1240052.1207687133</v>
      </c>
      <c r="R350">
        <f t="shared" si="971"/>
        <v>-18465845.075960729</v>
      </c>
      <c r="S350">
        <f t="shared" si="972"/>
        <v>-184.65845075960729</v>
      </c>
      <c r="T350">
        <f t="shared" si="973"/>
        <v>-0.1846584507596073</v>
      </c>
    </row>
    <row r="351" spans="1:20" x14ac:dyDescent="0.25">
      <c r="A351" s="5">
        <v>44242</v>
      </c>
      <c r="B351">
        <v>4.3098999999999998</v>
      </c>
      <c r="C351">
        <v>4.3861999999999997</v>
      </c>
      <c r="D351">
        <v>3.4540000000000002</v>
      </c>
      <c r="E351">
        <v>4.0255000000000001</v>
      </c>
      <c r="F351">
        <v>9681769.2799999993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0.2261317313881146</v>
      </c>
      <c r="Q351">
        <f t="shared" si="970"/>
        <v>2189355.2501866594</v>
      </c>
      <c r="R351">
        <f t="shared" si="971"/>
        <v>-17225792.955192015</v>
      </c>
      <c r="S351">
        <f t="shared" si="972"/>
        <v>-172.25792955192014</v>
      </c>
      <c r="T351">
        <f t="shared" si="973"/>
        <v>-0.17225792955192015</v>
      </c>
    </row>
    <row r="352" spans="1:20" x14ac:dyDescent="0.25">
      <c r="A352" s="5">
        <v>44241</v>
      </c>
      <c r="B352">
        <v>4.8125</v>
      </c>
      <c r="C352">
        <v>4.8598999999999997</v>
      </c>
      <c r="D352">
        <v>4.1501000000000001</v>
      </c>
      <c r="E352">
        <v>4.3098999999999998</v>
      </c>
      <c r="F352">
        <v>6150210.0300000003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-0.54973231896308872</v>
      </c>
      <c r="Q352">
        <f t="shared" si="970"/>
        <v>-3380969.2219019476</v>
      </c>
      <c r="R352">
        <f t="shared" si="971"/>
        <v>-19415148.205378674</v>
      </c>
      <c r="S352">
        <f t="shared" si="972"/>
        <v>-194.15148205378674</v>
      </c>
      <c r="T352">
        <f t="shared" si="973"/>
        <v>-0.19415148205378674</v>
      </c>
    </row>
    <row r="353" spans="1:20" x14ac:dyDescent="0.25">
      <c r="A353" s="5">
        <v>44240</v>
      </c>
      <c r="B353">
        <v>4.7182000000000004</v>
      </c>
      <c r="C353">
        <v>5.5929000000000002</v>
      </c>
      <c r="D353">
        <v>4.4786999999999999</v>
      </c>
      <c r="E353">
        <v>4.8193999999999999</v>
      </c>
      <c r="F353">
        <v>14334158.15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-0.38844013642075048</v>
      </c>
      <c r="Q353">
        <f t="shared" si="970"/>
        <v>-5567962.3472626125</v>
      </c>
      <c r="R353">
        <f t="shared" si="971"/>
        <v>-16034178.983476724</v>
      </c>
      <c r="S353">
        <f t="shared" si="972"/>
        <v>-160.34178983476724</v>
      </c>
      <c r="T353">
        <f t="shared" si="973"/>
        <v>-0.16034178983476724</v>
      </c>
    </row>
    <row r="354" spans="1:20" x14ac:dyDescent="0.25">
      <c r="A354" s="5">
        <v>44239</v>
      </c>
      <c r="B354">
        <v>3.4567999999999999</v>
      </c>
      <c r="C354">
        <v>4.9546999999999999</v>
      </c>
      <c r="D354">
        <v>3.4142000000000001</v>
      </c>
      <c r="E354">
        <v>4.7182000000000004</v>
      </c>
      <c r="F354">
        <v>17111947.73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0.69295683219733917</v>
      </c>
      <c r="Q354">
        <f t="shared" si="970"/>
        <v>11857841.09170725</v>
      </c>
      <c r="R354">
        <f t="shared" si="971"/>
        <v>-10466216.636214113</v>
      </c>
      <c r="S354">
        <f t="shared" si="972"/>
        <v>-104.66216636214112</v>
      </c>
      <c r="T354">
        <f t="shared" si="973"/>
        <v>-0.10466216636214112</v>
      </c>
    </row>
    <row r="355" spans="1:20" x14ac:dyDescent="0.25">
      <c r="A355" s="5">
        <v>44238</v>
      </c>
      <c r="B355">
        <v>3.2461000000000002</v>
      </c>
      <c r="C355">
        <v>3.5367000000000002</v>
      </c>
      <c r="D355">
        <v>3.1581000000000001</v>
      </c>
      <c r="E355">
        <v>3.4504999999999999</v>
      </c>
      <c r="F355">
        <v>7477513.2800000003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0.54463814051769532</v>
      </c>
      <c r="Q355">
        <f t="shared" si="970"/>
        <v>4072538.928515573</v>
      </c>
      <c r="R355">
        <f t="shared" si="971"/>
        <v>-22324057.727921363</v>
      </c>
      <c r="S355">
        <f t="shared" si="972"/>
        <v>-223.24057727921362</v>
      </c>
      <c r="T355">
        <f t="shared" si="973"/>
        <v>-0.22324057727921362</v>
      </c>
    </row>
    <row r="356" spans="1:20" x14ac:dyDescent="0.25">
      <c r="A356" s="5">
        <v>44237</v>
      </c>
      <c r="B356">
        <v>3.3086000000000002</v>
      </c>
      <c r="C356">
        <v>3.7025999999999999</v>
      </c>
      <c r="D356">
        <v>3.125</v>
      </c>
      <c r="E356">
        <v>3.2441</v>
      </c>
      <c r="F356">
        <v>13230627.970000001</v>
      </c>
      <c r="G356">
        <v>0</v>
      </c>
      <c r="L356" t="s">
        <v>7</v>
      </c>
      <c r="M356" t="s">
        <v>8</v>
      </c>
      <c r="N356" t="s">
        <v>8</v>
      </c>
      <c r="P356">
        <f t="shared" si="969"/>
        <v>-0.58760387811634351</v>
      </c>
      <c r="Q356">
        <f t="shared" si="970"/>
        <v>-7774368.3050865661</v>
      </c>
      <c r="R356">
        <f t="shared" si="971"/>
        <v>-26396596.656436935</v>
      </c>
      <c r="S356">
        <f t="shared" si="972"/>
        <v>-263.96596656436935</v>
      </c>
      <c r="T356">
        <f t="shared" si="973"/>
        <v>-0.26396596656436933</v>
      </c>
    </row>
    <row r="357" spans="1:20" x14ac:dyDescent="0.25">
      <c r="A357" s="5">
        <v>44236</v>
      </c>
      <c r="B357">
        <v>3.4649000000000001</v>
      </c>
      <c r="C357">
        <v>3.4929999999999999</v>
      </c>
      <c r="D357">
        <v>3.2132999999999998</v>
      </c>
      <c r="E357">
        <v>3.3039000000000001</v>
      </c>
      <c r="F357">
        <v>5083459.3600000003</v>
      </c>
      <c r="G357">
        <v>0</v>
      </c>
      <c r="L357" t="s">
        <v>7</v>
      </c>
      <c r="M357" t="s">
        <v>8</v>
      </c>
      <c r="N357" t="s">
        <v>8</v>
      </c>
      <c r="P357">
        <f t="shared" si="969"/>
        <v>-0.35216303181980541</v>
      </c>
      <c r="Q357">
        <f t="shared" si="970"/>
        <v>-1790206.4603503677</v>
      </c>
      <c r="R357">
        <f t="shared" si="971"/>
        <v>-18622228.351350367</v>
      </c>
      <c r="S357">
        <f t="shared" si="972"/>
        <v>-186.22228351350367</v>
      </c>
      <c r="T357">
        <f t="shared" si="973"/>
        <v>-0.18622228351350367</v>
      </c>
    </row>
    <row r="358" spans="1:20" x14ac:dyDescent="0.25">
      <c r="A358" s="5">
        <v>44235</v>
      </c>
      <c r="B358">
        <v>3.4016999999999999</v>
      </c>
      <c r="C358">
        <v>3.6</v>
      </c>
      <c r="D358">
        <v>3.0388000000000002</v>
      </c>
      <c r="E358">
        <v>3.4626999999999999</v>
      </c>
      <c r="F358">
        <v>10977415.65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0.51069137562366285</v>
      </c>
      <c r="Q358">
        <f t="shared" si="970"/>
        <v>5606071.4990912257</v>
      </c>
      <c r="R358">
        <f t="shared" si="971"/>
        <v>-16832021.890999999</v>
      </c>
      <c r="S358">
        <f t="shared" si="972"/>
        <v>-168.32021890999999</v>
      </c>
      <c r="T358">
        <f t="shared" si="973"/>
        <v>-0.16832021890999999</v>
      </c>
    </row>
    <row r="359" spans="1:20" x14ac:dyDescent="0.25">
      <c r="A359" s="5">
        <v>44234</v>
      </c>
      <c r="B359">
        <v>2.69</v>
      </c>
      <c r="C359">
        <v>3.5270000000000001</v>
      </c>
      <c r="D359">
        <v>2.59</v>
      </c>
      <c r="E359">
        <v>3.4</v>
      </c>
      <c r="F359">
        <v>14671469.949999999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0.72892209178228351</v>
      </c>
      <c r="Q359">
        <f t="shared" si="970"/>
        <v>10694358.565474914</v>
      </c>
      <c r="R359">
        <f t="shared" si="971"/>
        <v>-22438093.390091226</v>
      </c>
      <c r="S359">
        <f t="shared" si="972"/>
        <v>-224.38093390091225</v>
      </c>
      <c r="T359">
        <f t="shared" si="973"/>
        <v>-0.22438093390091227</v>
      </c>
    </row>
    <row r="360" spans="1:20" x14ac:dyDescent="0.25">
      <c r="A360" s="5">
        <v>44233</v>
      </c>
      <c r="B360">
        <v>2.8595000000000002</v>
      </c>
      <c r="C360">
        <v>2.89</v>
      </c>
      <c r="D360">
        <v>2.5139</v>
      </c>
      <c r="E360">
        <v>2.6854</v>
      </c>
      <c r="F360">
        <v>7403729.9900000002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-8.8008508375432393E-2</v>
      </c>
      <c r="Q360">
        <f t="shared" si="970"/>
        <v>-651591.23283435497</v>
      </c>
      <c r="R360">
        <f t="shared" si="971"/>
        <v>-33132451.955566138</v>
      </c>
      <c r="S360">
        <f t="shared" si="972"/>
        <v>-331.32451955566137</v>
      </c>
      <c r="T360">
        <f t="shared" si="973"/>
        <v>-0.33132451955566139</v>
      </c>
    </row>
    <row r="361" spans="1:20" x14ac:dyDescent="0.25">
      <c r="A361" s="5">
        <v>44232</v>
      </c>
      <c r="B361">
        <v>2.4950999999999999</v>
      </c>
      <c r="C361">
        <v>2.948</v>
      </c>
      <c r="D361">
        <v>2.4940000000000002</v>
      </c>
      <c r="E361">
        <v>2.8576000000000001</v>
      </c>
      <c r="F361">
        <v>8276577.71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0.60176211453744555</v>
      </c>
      <c r="Q361">
        <f t="shared" si="970"/>
        <v>4980530.9039030885</v>
      </c>
      <c r="R361">
        <f t="shared" si="971"/>
        <v>-32480860.722731784</v>
      </c>
      <c r="S361">
        <f t="shared" si="972"/>
        <v>-324.80860722731785</v>
      </c>
      <c r="T361">
        <f t="shared" si="973"/>
        <v>-0.32480860722731786</v>
      </c>
    </row>
    <row r="362" spans="1:20" x14ac:dyDescent="0.25">
      <c r="A362" s="5">
        <v>44231</v>
      </c>
      <c r="B362">
        <v>2.5579999999999998</v>
      </c>
      <c r="C362">
        <v>2.6665000000000001</v>
      </c>
      <c r="D362">
        <v>2.4</v>
      </c>
      <c r="E362">
        <v>2.4916999999999998</v>
      </c>
      <c r="F362">
        <v>8187937.29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-0.31181988742964478</v>
      </c>
      <c r="Q362">
        <f t="shared" si="970"/>
        <v>-2553161.684048791</v>
      </c>
      <c r="R362">
        <f t="shared" si="971"/>
        <v>-37461391.626634873</v>
      </c>
      <c r="S362">
        <f t="shared" si="972"/>
        <v>-374.61391626634872</v>
      </c>
      <c r="T362">
        <f t="shared" si="973"/>
        <v>-0.37461391626634871</v>
      </c>
    </row>
    <row r="363" spans="1:20" x14ac:dyDescent="0.25">
      <c r="A363" s="5">
        <v>44230</v>
      </c>
      <c r="B363">
        <v>2.4603000000000002</v>
      </c>
      <c r="C363">
        <v>2.6471</v>
      </c>
      <c r="D363">
        <v>2.3921000000000001</v>
      </c>
      <c r="E363">
        <v>2.5575000000000001</v>
      </c>
      <c r="F363">
        <v>8144282.2599999998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0.2972549019607848</v>
      </c>
      <c r="Q363">
        <f t="shared" si="970"/>
        <v>2420927.8247372587</v>
      </c>
      <c r="R363">
        <f t="shared" si="971"/>
        <v>-34908229.942586079</v>
      </c>
      <c r="S363">
        <f t="shared" si="972"/>
        <v>-349.08229942586081</v>
      </c>
      <c r="T363">
        <f t="shared" si="973"/>
        <v>-0.34908229942586083</v>
      </c>
    </row>
    <row r="364" spans="1:20" x14ac:dyDescent="0.25">
      <c r="A364" s="5">
        <v>44229</v>
      </c>
      <c r="B364">
        <v>2.2639999999999998</v>
      </c>
      <c r="C364">
        <v>2.56</v>
      </c>
      <c r="D364">
        <v>2.2212999999999998</v>
      </c>
      <c r="E364">
        <v>2.46</v>
      </c>
      <c r="F364">
        <v>12026436.42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0.4095069382934749</v>
      </c>
      <c r="Q364">
        <f t="shared" si="970"/>
        <v>4924909.1569353389</v>
      </c>
      <c r="R364">
        <f t="shared" si="971"/>
        <v>-37329157.767323337</v>
      </c>
      <c r="S364">
        <f t="shared" si="972"/>
        <v>-373.29157767323335</v>
      </c>
      <c r="T364">
        <f t="shared" si="973"/>
        <v>-0.37329157767323334</v>
      </c>
    </row>
    <row r="365" spans="1:20" x14ac:dyDescent="0.25">
      <c r="A365" s="5">
        <v>44228</v>
      </c>
      <c r="B365">
        <v>2.1436000000000002</v>
      </c>
      <c r="C365">
        <v>2.3715000000000002</v>
      </c>
      <c r="D365">
        <v>2.0872000000000002</v>
      </c>
      <c r="E365">
        <v>2.2665000000000002</v>
      </c>
      <c r="F365">
        <v>22085003.73</v>
      </c>
      <c r="G365">
        <v>0</v>
      </c>
      <c r="L365" t="s">
        <v>7</v>
      </c>
      <c r="M365" t="s">
        <v>8</v>
      </c>
      <c r="N365" t="s">
        <v>8</v>
      </c>
      <c r="P365">
        <f t="shared" si="969"/>
        <v>0.26134365107281055</v>
      </c>
      <c r="Q365">
        <f t="shared" si="970"/>
        <v>5771775.5087548392</v>
      </c>
      <c r="R365">
        <f t="shared" si="971"/>
        <v>-42254066.924258679</v>
      </c>
      <c r="S365">
        <f t="shared" si="972"/>
        <v>-422.54066924258677</v>
      </c>
      <c r="T365">
        <f t="shared" si="973"/>
        <v>-0.42254066924258676</v>
      </c>
    </row>
    <row r="366" spans="1:20" x14ac:dyDescent="0.25">
      <c r="A366" s="5">
        <v>44227</v>
      </c>
      <c r="B366">
        <v>2.1705999999999999</v>
      </c>
      <c r="C366">
        <v>2.4243000000000001</v>
      </c>
      <c r="D366">
        <v>2.0514000000000001</v>
      </c>
      <c r="E366">
        <v>2.1440999999999999</v>
      </c>
      <c r="F366">
        <v>7600845.3399999999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-0.50281576830249519</v>
      </c>
      <c r="Q366">
        <f t="shared" si="970"/>
        <v>-3821824.8893805402</v>
      </c>
      <c r="R366">
        <f t="shared" si="971"/>
        <v>-48025842.433013521</v>
      </c>
      <c r="S366">
        <f t="shared" si="972"/>
        <v>-480.2584243301352</v>
      </c>
      <c r="T366">
        <f t="shared" si="973"/>
        <v>-0.48025842433013521</v>
      </c>
    </row>
    <row r="367" spans="1:20" x14ac:dyDescent="0.25">
      <c r="A367" s="5">
        <v>44226</v>
      </c>
      <c r="B367">
        <v>2.202</v>
      </c>
      <c r="C367">
        <v>2.2562000000000002</v>
      </c>
      <c r="D367">
        <v>2.0581</v>
      </c>
      <c r="E367">
        <v>2.1705000000000001</v>
      </c>
      <c r="F367">
        <v>6045781.9500000002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0.13478041393235701</v>
      </c>
      <c r="Q367">
        <f t="shared" si="970"/>
        <v>814852.99376577255</v>
      </c>
      <c r="R367">
        <f t="shared" si="971"/>
        <v>-44204017.543632984</v>
      </c>
      <c r="S367">
        <f t="shared" si="972"/>
        <v>-442.04017543632983</v>
      </c>
      <c r="T367">
        <f t="shared" si="973"/>
        <v>-0.44204017543632984</v>
      </c>
    </row>
    <row r="368" spans="1:20" x14ac:dyDescent="0.25">
      <c r="A368" s="5">
        <v>44225</v>
      </c>
      <c r="B368">
        <v>2.2446999999999999</v>
      </c>
      <c r="C368">
        <v>2.3498999999999999</v>
      </c>
      <c r="D368">
        <v>2.1002999999999998</v>
      </c>
      <c r="E368">
        <v>2.1989000000000001</v>
      </c>
      <c r="F368">
        <v>5839556.6299999999</v>
      </c>
      <c r="G368">
        <v>0</v>
      </c>
      <c r="L368" t="s">
        <v>8</v>
      </c>
      <c r="M368" t="s">
        <v>7</v>
      </c>
      <c r="N368" t="s">
        <v>8</v>
      </c>
      <c r="P368">
        <f t="shared" si="969"/>
        <v>-0.20993589743589564</v>
      </c>
      <c r="Q368">
        <f t="shared" si="970"/>
        <v>-1225932.5617467843</v>
      </c>
      <c r="R368">
        <f t="shared" si="971"/>
        <v>-45018870.537398756</v>
      </c>
      <c r="S368">
        <f t="shared" si="972"/>
        <v>-450.18870537398755</v>
      </c>
      <c r="T368">
        <f t="shared" si="973"/>
        <v>-0.45018870537398753</v>
      </c>
    </row>
    <row r="369" spans="1:20" x14ac:dyDescent="0.25">
      <c r="A369" s="5">
        <v>44224</v>
      </c>
      <c r="B369">
        <v>2.0312000000000001</v>
      </c>
      <c r="C369">
        <v>2.3159999999999998</v>
      </c>
      <c r="D369">
        <v>2.0055000000000001</v>
      </c>
      <c r="E369">
        <v>2.2484999999999999</v>
      </c>
      <c r="F369">
        <v>6105010.0599999996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0.56521739130434823</v>
      </c>
      <c r="Q369">
        <f t="shared" si="970"/>
        <v>3450657.8600000022</v>
      </c>
      <c r="R369">
        <f t="shared" si="971"/>
        <v>-43792937.975651972</v>
      </c>
      <c r="S369">
        <f t="shared" si="972"/>
        <v>-437.92937975651972</v>
      </c>
      <c r="T369">
        <f t="shared" si="973"/>
        <v>-0.43792937975651974</v>
      </c>
    </row>
    <row r="370" spans="1:20" x14ac:dyDescent="0.25">
      <c r="A370" s="5">
        <v>44223</v>
      </c>
      <c r="B370">
        <v>2.3818999999999999</v>
      </c>
      <c r="C370">
        <v>2.3818999999999999</v>
      </c>
      <c r="D370">
        <v>2.0154000000000001</v>
      </c>
      <c r="E370">
        <v>2.0318999999999998</v>
      </c>
      <c r="F370">
        <v>7141892.2800000003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-0.90995907230559481</v>
      </c>
      <c r="Q370">
        <f t="shared" si="970"/>
        <v>-6498829.6736152899</v>
      </c>
      <c r="R370">
        <f t="shared" si="971"/>
        <v>-47243595.835651971</v>
      </c>
      <c r="S370">
        <f t="shared" si="972"/>
        <v>-472.43595835651973</v>
      </c>
      <c r="T370">
        <f t="shared" si="973"/>
        <v>-0.47243595835651975</v>
      </c>
    </row>
    <row r="371" spans="1:20" x14ac:dyDescent="0.25">
      <c r="A371" s="5">
        <v>44222</v>
      </c>
      <c r="B371">
        <v>2.4409000000000001</v>
      </c>
      <c r="C371">
        <v>2.5621999999999998</v>
      </c>
      <c r="D371">
        <v>2.1785999999999999</v>
      </c>
      <c r="E371">
        <v>2.3809999999999998</v>
      </c>
      <c r="F371">
        <v>6415474.2699999996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5.5265901981230159E-2</v>
      </c>
      <c r="Q371">
        <f t="shared" si="970"/>
        <v>354556.97216892405</v>
      </c>
      <c r="R371">
        <f t="shared" si="971"/>
        <v>-40744766.16203668</v>
      </c>
      <c r="S371">
        <f t="shared" si="972"/>
        <v>-407.44766162036677</v>
      </c>
      <c r="T371">
        <f t="shared" si="973"/>
        <v>-0.40744766162036677</v>
      </c>
    </row>
    <row r="372" spans="1:20" x14ac:dyDescent="0.25">
      <c r="A372" s="5">
        <v>44221</v>
      </c>
      <c r="B372">
        <v>2.5581999999999998</v>
      </c>
      <c r="C372">
        <v>2.6819999999999999</v>
      </c>
      <c r="D372">
        <v>2.4195000000000002</v>
      </c>
      <c r="E372">
        <v>2.4466000000000001</v>
      </c>
      <c r="F372">
        <v>3580842.31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-0.79352380952381008</v>
      </c>
      <c r="Q372">
        <f t="shared" si="970"/>
        <v>-2841483.6311352402</v>
      </c>
      <c r="R372">
        <f t="shared" si="971"/>
        <v>-41099323.134205602</v>
      </c>
      <c r="S372">
        <f t="shared" si="972"/>
        <v>-410.99323134205605</v>
      </c>
      <c r="T372">
        <f t="shared" si="973"/>
        <v>-0.41099323134205606</v>
      </c>
    </row>
    <row r="373" spans="1:20" x14ac:dyDescent="0.25">
      <c r="A373" s="5">
        <v>44220</v>
      </c>
      <c r="B373">
        <v>2.3841999999999999</v>
      </c>
      <c r="C373">
        <v>2.75</v>
      </c>
      <c r="D373">
        <v>2.3517999999999999</v>
      </c>
      <c r="E373">
        <v>2.5613999999999999</v>
      </c>
      <c r="F373">
        <v>7385139.4400000004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5.2737317930687852E-2</v>
      </c>
      <c r="Q373">
        <f t="shared" si="970"/>
        <v>389472.44660974207</v>
      </c>
      <c r="R373">
        <f t="shared" si="971"/>
        <v>-38257839.503070362</v>
      </c>
      <c r="S373">
        <f t="shared" si="972"/>
        <v>-382.57839503070363</v>
      </c>
      <c r="T373">
        <f t="shared" si="973"/>
        <v>-0.38257839503070362</v>
      </c>
    </row>
    <row r="374" spans="1:20" x14ac:dyDescent="0.25">
      <c r="A374" s="5">
        <v>44219</v>
      </c>
      <c r="B374">
        <v>2.3712</v>
      </c>
      <c r="C374">
        <v>2.524</v>
      </c>
      <c r="D374">
        <v>2.3083</v>
      </c>
      <c r="E374">
        <v>2.3849999999999998</v>
      </c>
      <c r="F374">
        <v>5088142.7699999996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-0.28882707464070684</v>
      </c>
      <c r="Q374">
        <f t="shared" si="970"/>
        <v>-1469593.3916133628</v>
      </c>
      <c r="R374">
        <f t="shared" si="971"/>
        <v>-38647311.949680105</v>
      </c>
      <c r="S374">
        <f t="shared" si="972"/>
        <v>-386.47311949680108</v>
      </c>
      <c r="T374">
        <f t="shared" si="973"/>
        <v>-0.38647311949680108</v>
      </c>
    </row>
    <row r="375" spans="1:20" x14ac:dyDescent="0.25">
      <c r="A375" s="5">
        <v>44218</v>
      </c>
      <c r="B375">
        <v>2.1631</v>
      </c>
      <c r="C375">
        <v>2.5299</v>
      </c>
      <c r="D375">
        <v>2</v>
      </c>
      <c r="E375">
        <v>2.3683000000000001</v>
      </c>
      <c r="F375">
        <v>7233277.9699999997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0.39007359879222514</v>
      </c>
      <c r="Q375">
        <f t="shared" si="970"/>
        <v>2821510.7688224204</v>
      </c>
      <c r="R375">
        <f t="shared" si="971"/>
        <v>-37177718.558066741</v>
      </c>
      <c r="S375">
        <f t="shared" si="972"/>
        <v>-371.77718558066738</v>
      </c>
      <c r="T375">
        <f t="shared" si="973"/>
        <v>-0.37177718558066736</v>
      </c>
    </row>
    <row r="376" spans="1:20" x14ac:dyDescent="0.25">
      <c r="A376" s="5">
        <v>44217</v>
      </c>
      <c r="B376">
        <v>2.4868999999999999</v>
      </c>
      <c r="C376">
        <v>2.5666000000000002</v>
      </c>
      <c r="D376">
        <v>2.13</v>
      </c>
      <c r="E376">
        <v>2.1591999999999998</v>
      </c>
      <c r="F376">
        <v>9109863.8200000003</v>
      </c>
      <c r="G376">
        <v>0</v>
      </c>
      <c r="L376" t="s">
        <v>8</v>
      </c>
      <c r="M376" t="s">
        <v>7</v>
      </c>
      <c r="N376" t="s">
        <v>8</v>
      </c>
      <c r="P376">
        <f t="shared" si="969"/>
        <v>-0.86623912047640916</v>
      </c>
      <c r="Q376">
        <f t="shared" si="970"/>
        <v>-7891320.4230966615</v>
      </c>
      <c r="R376">
        <f t="shared" si="971"/>
        <v>-39999229.326889165</v>
      </c>
      <c r="S376">
        <f t="shared" si="972"/>
        <v>-399.99229326889167</v>
      </c>
      <c r="T376">
        <f t="shared" si="973"/>
        <v>-0.39999229326889169</v>
      </c>
    </row>
    <row r="377" spans="1:20" x14ac:dyDescent="0.25">
      <c r="A377" s="5">
        <v>44216</v>
      </c>
      <c r="B377">
        <v>2.1636000000000002</v>
      </c>
      <c r="C377">
        <v>2.5929000000000002</v>
      </c>
      <c r="D377">
        <v>2.1105</v>
      </c>
      <c r="E377">
        <v>2.4824999999999999</v>
      </c>
      <c r="F377">
        <v>13411690.43</v>
      </c>
      <c r="G377">
        <v>0</v>
      </c>
      <c r="L377" t="s">
        <v>7</v>
      </c>
      <c r="M377" t="s">
        <v>8</v>
      </c>
      <c r="N377" t="s">
        <v>8</v>
      </c>
      <c r="P377">
        <f t="shared" si="969"/>
        <v>0.54228855721392932</v>
      </c>
      <c r="Q377">
        <f t="shared" si="970"/>
        <v>7273006.2530845637</v>
      </c>
      <c r="R377">
        <f t="shared" si="971"/>
        <v>-32107908.9037925</v>
      </c>
      <c r="S377">
        <f t="shared" si="972"/>
        <v>-321.07908903792503</v>
      </c>
      <c r="T377">
        <f t="shared" si="973"/>
        <v>-0.32107908903792504</v>
      </c>
    </row>
    <row r="378" spans="1:20" x14ac:dyDescent="0.25">
      <c r="A378" s="5">
        <v>44215</v>
      </c>
      <c r="B378">
        <v>2.4085999999999999</v>
      </c>
      <c r="C378">
        <v>2.4742999999999999</v>
      </c>
      <c r="D378">
        <v>2.1613000000000002</v>
      </c>
      <c r="E378">
        <v>2.1637</v>
      </c>
      <c r="F378">
        <v>5454467.9100000001</v>
      </c>
      <c r="G378">
        <v>0</v>
      </c>
      <c r="L378" t="s">
        <v>7</v>
      </c>
      <c r="M378" t="s">
        <v>7</v>
      </c>
      <c r="N378" t="s">
        <v>8</v>
      </c>
      <c r="P378">
        <f t="shared" si="969"/>
        <v>-0.98466453674121568</v>
      </c>
      <c r="Q378">
        <f t="shared" si="970"/>
        <v>-5370821.1177699771</v>
      </c>
      <c r="R378">
        <f t="shared" si="971"/>
        <v>-39380915.156877063</v>
      </c>
      <c r="S378">
        <f t="shared" si="972"/>
        <v>-393.80915156877063</v>
      </c>
      <c r="T378">
        <f t="shared" si="973"/>
        <v>-0.39380915156877061</v>
      </c>
    </row>
    <row r="379" spans="1:20" x14ac:dyDescent="0.25">
      <c r="A379" s="5">
        <v>44214</v>
      </c>
      <c r="B379">
        <v>2.5013000000000001</v>
      </c>
      <c r="C379">
        <v>2.6635</v>
      </c>
      <c r="D379">
        <v>2.2919999999999998</v>
      </c>
      <c r="E379">
        <v>2.4085999999999999</v>
      </c>
      <c r="F379">
        <v>8545881.8900000006</v>
      </c>
      <c r="G379">
        <v>0</v>
      </c>
      <c r="L379" t="s">
        <v>7</v>
      </c>
      <c r="M379" t="s">
        <v>7</v>
      </c>
      <c r="N379" t="s">
        <v>8</v>
      </c>
      <c r="P379">
        <f t="shared" si="969"/>
        <v>-0.37227456258411851</v>
      </c>
      <c r="Q379">
        <f t="shared" si="970"/>
        <v>-3181414.4424952902</v>
      </c>
      <c r="R379">
        <f t="shared" si="971"/>
        <v>-34010094.039107084</v>
      </c>
      <c r="S379">
        <f t="shared" si="972"/>
        <v>-340.10094039107082</v>
      </c>
      <c r="T379">
        <f t="shared" si="973"/>
        <v>-0.34010094039107081</v>
      </c>
    </row>
    <row r="380" spans="1:20" x14ac:dyDescent="0.25">
      <c r="A380" s="5">
        <v>44213</v>
      </c>
      <c r="B380">
        <v>2.0842000000000001</v>
      </c>
      <c r="C380">
        <v>2.7763</v>
      </c>
      <c r="D380">
        <v>2.0078</v>
      </c>
      <c r="E380">
        <v>2.5013000000000001</v>
      </c>
      <c r="F380">
        <v>18935946.739999998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0.28432010409889413</v>
      </c>
      <c r="Q380">
        <f t="shared" si="970"/>
        <v>5383870.3483279143</v>
      </c>
      <c r="R380">
        <f t="shared" si="971"/>
        <v>-30828679.596611798</v>
      </c>
      <c r="S380">
        <f t="shared" si="972"/>
        <v>-308.28679596611795</v>
      </c>
      <c r="T380">
        <f t="shared" si="973"/>
        <v>-0.30828679596611797</v>
      </c>
    </row>
    <row r="381" spans="1:20" x14ac:dyDescent="0.25">
      <c r="A381" s="5">
        <v>44212</v>
      </c>
      <c r="B381">
        <v>1.8335999999999999</v>
      </c>
      <c r="C381">
        <v>2.2570000000000001</v>
      </c>
      <c r="D381">
        <v>1.8331</v>
      </c>
      <c r="E381">
        <v>2.0871</v>
      </c>
      <c r="F381">
        <v>9695920.5800000001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0.19839584807737629</v>
      </c>
      <c r="Q381">
        <f t="shared" si="970"/>
        <v>1923630.3863599862</v>
      </c>
      <c r="R381">
        <f t="shared" si="971"/>
        <v>-36212549.94493971</v>
      </c>
      <c r="S381">
        <f t="shared" si="972"/>
        <v>-362.12549944939713</v>
      </c>
      <c r="T381">
        <f t="shared" si="973"/>
        <v>-0.36212549944939715</v>
      </c>
    </row>
    <row r="382" spans="1:20" x14ac:dyDescent="0.25">
      <c r="A382" s="5">
        <v>44211</v>
      </c>
      <c r="B382">
        <v>1.7279</v>
      </c>
      <c r="C382">
        <v>1.9155</v>
      </c>
      <c r="D382">
        <v>1.6850000000000001</v>
      </c>
      <c r="E382">
        <v>1.8320000000000001</v>
      </c>
      <c r="F382">
        <v>9843683.1099999994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0.27548806941431725</v>
      </c>
      <c r="Q382">
        <f t="shared" si="970"/>
        <v>2711817.2559002223</v>
      </c>
      <c r="R382">
        <f t="shared" si="971"/>
        <v>-38136180.3312997</v>
      </c>
      <c r="S382">
        <f t="shared" si="972"/>
        <v>-381.36180331299698</v>
      </c>
      <c r="T382">
        <f t="shared" si="973"/>
        <v>-0.38136180331299696</v>
      </c>
    </row>
    <row r="383" spans="1:20" x14ac:dyDescent="0.25">
      <c r="A383" s="5">
        <v>44210</v>
      </c>
      <c r="B383">
        <v>1.6073999999999999</v>
      </c>
      <c r="C383">
        <v>1.7688999999999999</v>
      </c>
      <c r="D383">
        <v>1.5813999999999999</v>
      </c>
      <c r="E383">
        <v>1.7274</v>
      </c>
      <c r="F383">
        <v>5805891.0199999996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0.55733333333333468</v>
      </c>
      <c r="Q383">
        <f t="shared" si="970"/>
        <v>3235816.5951466742</v>
      </c>
      <c r="R383">
        <f t="shared" si="971"/>
        <v>-40847997.587199919</v>
      </c>
      <c r="S383">
        <f t="shared" si="972"/>
        <v>-408.47997587199922</v>
      </c>
      <c r="T383">
        <f t="shared" si="973"/>
        <v>-0.40847997587199919</v>
      </c>
    </row>
    <row r="384" spans="1:20" x14ac:dyDescent="0.25">
      <c r="A384" s="5">
        <v>44209</v>
      </c>
      <c r="B384">
        <v>1.4319999999999999</v>
      </c>
      <c r="C384">
        <v>1.6074999999999999</v>
      </c>
      <c r="D384">
        <v>1.3927</v>
      </c>
      <c r="E384">
        <v>1.6060000000000001</v>
      </c>
      <c r="F384">
        <v>4424057.5199999996</v>
      </c>
      <c r="G384">
        <v>0</v>
      </c>
      <c r="L384" t="s">
        <v>7</v>
      </c>
      <c r="M384" t="s">
        <v>7</v>
      </c>
      <c r="N384" t="s">
        <v>7</v>
      </c>
      <c r="P384">
        <f t="shared" si="969"/>
        <v>0.98603351955307417</v>
      </c>
      <c r="Q384">
        <f t="shared" si="970"/>
        <v>4362269.0071508447</v>
      </c>
      <c r="R384">
        <f t="shared" si="971"/>
        <v>-44083814.18234659</v>
      </c>
      <c r="S384">
        <f t="shared" si="972"/>
        <v>-440.83814182346589</v>
      </c>
      <c r="T384">
        <f t="shared" si="973"/>
        <v>-0.44083814182346587</v>
      </c>
    </row>
    <row r="385" spans="1:20" x14ac:dyDescent="0.25">
      <c r="A385" s="5">
        <v>44208</v>
      </c>
      <c r="B385">
        <v>1.4834000000000001</v>
      </c>
      <c r="C385">
        <v>1.6160000000000001</v>
      </c>
      <c r="D385">
        <v>1.4241999999999999</v>
      </c>
      <c r="E385">
        <v>1.4319</v>
      </c>
      <c r="F385">
        <v>6843435.8799999999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-0.91970802919707995</v>
      </c>
      <c r="Q385">
        <f t="shared" si="970"/>
        <v>-6293962.9261313844</v>
      </c>
      <c r="R385">
        <f t="shared" si="971"/>
        <v>-48446083.189497434</v>
      </c>
      <c r="S385">
        <f t="shared" si="972"/>
        <v>-484.46083189497432</v>
      </c>
      <c r="T385">
        <f t="shared" si="973"/>
        <v>-0.4844608318949743</v>
      </c>
    </row>
    <row r="386" spans="1:20" x14ac:dyDescent="0.25">
      <c r="A386" s="5">
        <v>44207</v>
      </c>
      <c r="B386">
        <v>1.7421</v>
      </c>
      <c r="C386">
        <v>1.7599</v>
      </c>
      <c r="D386">
        <v>1.3485</v>
      </c>
      <c r="E386">
        <v>1.4833000000000001</v>
      </c>
      <c r="F386">
        <v>8920544.8100000005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-0.34467671366067071</v>
      </c>
      <c r="Q386">
        <f t="shared" si="970"/>
        <v>-3074704.0691735526</v>
      </c>
      <c r="R386">
        <f t="shared" si="971"/>
        <v>-42152120.263366051</v>
      </c>
      <c r="S386">
        <f t="shared" si="972"/>
        <v>-421.52120263366049</v>
      </c>
      <c r="T386">
        <f t="shared" si="973"/>
        <v>-0.4215212026336605</v>
      </c>
    </row>
    <row r="387" spans="1:20" x14ac:dyDescent="0.25">
      <c r="A387" s="5">
        <v>44206</v>
      </c>
      <c r="B387">
        <v>1.7596000000000001</v>
      </c>
      <c r="C387">
        <v>1.9494</v>
      </c>
      <c r="D387">
        <v>1.6234999999999999</v>
      </c>
      <c r="E387">
        <v>1.7421</v>
      </c>
      <c r="F387">
        <v>10899147.75</v>
      </c>
      <c r="G387">
        <v>0</v>
      </c>
      <c r="L387" t="s">
        <v>8</v>
      </c>
      <c r="M387" t="s">
        <v>7</v>
      </c>
      <c r="N387" t="s">
        <v>8</v>
      </c>
      <c r="P387">
        <f t="shared" si="969"/>
        <v>-0.27216937710954275</v>
      </c>
      <c r="Q387">
        <f t="shared" si="970"/>
        <v>-2966414.2541423743</v>
      </c>
      <c r="R387">
        <f t="shared" si="971"/>
        <v>-39077416.194192499</v>
      </c>
      <c r="S387">
        <f t="shared" si="972"/>
        <v>-390.774161941925</v>
      </c>
      <c r="T387">
        <f t="shared" si="973"/>
        <v>-0.39077416194192499</v>
      </c>
    </row>
    <row r="388" spans="1:20" x14ac:dyDescent="0.25">
      <c r="A388" s="5">
        <v>44205</v>
      </c>
      <c r="B388">
        <v>1.7375</v>
      </c>
      <c r="C388">
        <v>1.8435999999999999</v>
      </c>
      <c r="D388">
        <v>1.6417999999999999</v>
      </c>
      <c r="E388">
        <v>1.7585999999999999</v>
      </c>
      <c r="F388">
        <v>21218008.940000001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0.15758176412289421</v>
      </c>
      <c r="Q388">
        <f t="shared" si="970"/>
        <v>3343571.2799405409</v>
      </c>
      <c r="R388">
        <f t="shared" si="971"/>
        <v>-36111001.940050125</v>
      </c>
      <c r="S388">
        <f t="shared" si="972"/>
        <v>-361.11001940050124</v>
      </c>
      <c r="T388">
        <f t="shared" si="973"/>
        <v>-0.36111001940050125</v>
      </c>
    </row>
    <row r="389" spans="1:20" x14ac:dyDescent="0.25">
      <c r="A389" s="5">
        <v>44204</v>
      </c>
      <c r="B389">
        <v>1.4993000000000001</v>
      </c>
      <c r="C389">
        <v>1.9507000000000001</v>
      </c>
      <c r="D389">
        <v>1.4272</v>
      </c>
      <c r="E389">
        <v>1.7376</v>
      </c>
      <c r="F389">
        <v>16890198.719999999</v>
      </c>
      <c r="G389">
        <v>0</v>
      </c>
      <c r="L389" t="s">
        <v>7</v>
      </c>
      <c r="M389" t="s">
        <v>8</v>
      </c>
      <c r="N389" t="s">
        <v>8</v>
      </c>
      <c r="P389">
        <f t="shared" si="969"/>
        <v>0.18586437440305623</v>
      </c>
      <c r="Q389">
        <f t="shared" si="970"/>
        <v>3139286.2186361006</v>
      </c>
      <c r="R389">
        <f t="shared" si="971"/>
        <v>-39454573.219990663</v>
      </c>
      <c r="S389">
        <f t="shared" si="972"/>
        <v>-394.54573219990664</v>
      </c>
      <c r="T389">
        <f t="shared" si="973"/>
        <v>-0.39454573219990663</v>
      </c>
    </row>
    <row r="390" spans="1:20" x14ac:dyDescent="0.25">
      <c r="A390" s="5">
        <v>44203</v>
      </c>
      <c r="B390">
        <v>1.5412999999999999</v>
      </c>
      <c r="C390">
        <v>1.5647</v>
      </c>
      <c r="D390">
        <v>1.46</v>
      </c>
      <c r="E390">
        <v>1.4972000000000001</v>
      </c>
      <c r="F390">
        <v>6098679.8499999996</v>
      </c>
      <c r="G390">
        <v>0</v>
      </c>
      <c r="L390" t="s">
        <v>7</v>
      </c>
      <c r="M390" t="s">
        <v>8</v>
      </c>
      <c r="N390" t="s">
        <v>8</v>
      </c>
      <c r="P390">
        <f t="shared" ref="P390:P453" si="974">IF(C390=D390,0,((E390-D390)-(C390-E390))/(C390-D390))</f>
        <v>-0.28939828080229002</v>
      </c>
      <c r="Q390">
        <f t="shared" ref="Q390:Q453" si="975">F390*P390</f>
        <v>-1764947.4637535678</v>
      </c>
      <c r="R390">
        <f t="shared" ref="R390:R453" si="976">R391+Q390</f>
        <v>-42593859.438626766</v>
      </c>
      <c r="S390">
        <f t="shared" ref="S390:S453" si="977">R390/100000</f>
        <v>-425.93859438626765</v>
      </c>
      <c r="T390">
        <f t="shared" ref="T390:T453" si="978">S390/1000</f>
        <v>-0.42593859438626763</v>
      </c>
    </row>
    <row r="391" spans="1:20" x14ac:dyDescent="0.25">
      <c r="A391" s="5">
        <v>44202</v>
      </c>
      <c r="B391">
        <v>1.4956</v>
      </c>
      <c r="C391">
        <v>1.5960000000000001</v>
      </c>
      <c r="D391">
        <v>1.4142999999999999</v>
      </c>
      <c r="E391">
        <v>1.5412999999999999</v>
      </c>
      <c r="F391">
        <v>6776010.1100000003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0.39790864061639919</v>
      </c>
      <c r="Q391">
        <f t="shared" si="975"/>
        <v>2696232.9716730779</v>
      </c>
      <c r="R391">
        <f t="shared" si="976"/>
        <v>-40828911.9748732</v>
      </c>
      <c r="S391">
        <f t="shared" si="977"/>
        <v>-408.28911974873199</v>
      </c>
      <c r="T391">
        <f t="shared" si="978"/>
        <v>-0.408289119748732</v>
      </c>
    </row>
    <row r="392" spans="1:20" x14ac:dyDescent="0.25">
      <c r="A392" s="5">
        <v>44201</v>
      </c>
      <c r="B392">
        <v>1.3874</v>
      </c>
      <c r="C392">
        <v>1.5229999999999999</v>
      </c>
      <c r="D392">
        <v>1.3325</v>
      </c>
      <c r="E392">
        <v>1.4953000000000001</v>
      </c>
      <c r="F392">
        <v>9684785</v>
      </c>
      <c r="G392">
        <v>0</v>
      </c>
      <c r="L392" t="s">
        <v>8</v>
      </c>
      <c r="M392" t="s">
        <v>7</v>
      </c>
      <c r="N392" t="s">
        <v>8</v>
      </c>
      <c r="P392">
        <f t="shared" si="974"/>
        <v>0.70918635170603828</v>
      </c>
      <c r="Q392">
        <f t="shared" si="975"/>
        <v>6868317.3412073636</v>
      </c>
      <c r="R392">
        <f t="shared" si="976"/>
        <v>-43525144.946546279</v>
      </c>
      <c r="S392">
        <f t="shared" si="977"/>
        <v>-435.25144946546277</v>
      </c>
      <c r="T392">
        <f t="shared" si="978"/>
        <v>-0.43525144946546279</v>
      </c>
    </row>
    <row r="393" spans="1:20" x14ac:dyDescent="0.25">
      <c r="A393" s="5">
        <v>44200</v>
      </c>
      <c r="B393">
        <v>1.4731000000000001</v>
      </c>
      <c r="C393">
        <v>1.5670999999999999</v>
      </c>
      <c r="D393">
        <v>1.3</v>
      </c>
      <c r="E393">
        <v>1.3868</v>
      </c>
      <c r="F393">
        <v>9727640.3300000001</v>
      </c>
      <c r="G393">
        <v>0</v>
      </c>
      <c r="L393" t="s">
        <v>7</v>
      </c>
      <c r="M393" t="s">
        <v>7</v>
      </c>
      <c r="N393" t="s">
        <v>8</v>
      </c>
      <c r="P393">
        <f t="shared" si="974"/>
        <v>-0.35005615874204399</v>
      </c>
      <c r="Q393">
        <f t="shared" si="975"/>
        <v>-3405220.4075439894</v>
      </c>
      <c r="R393">
        <f t="shared" si="976"/>
        <v>-50393462.287753642</v>
      </c>
      <c r="S393">
        <f t="shared" si="977"/>
        <v>-503.93462287753641</v>
      </c>
      <c r="T393">
        <f t="shared" si="978"/>
        <v>-0.50393462287753643</v>
      </c>
    </row>
    <row r="394" spans="1:20" x14ac:dyDescent="0.25">
      <c r="A394" s="5">
        <v>44199</v>
      </c>
      <c r="B394">
        <v>1.4124000000000001</v>
      </c>
      <c r="C394">
        <v>1.5925</v>
      </c>
      <c r="D394">
        <v>1.4094</v>
      </c>
      <c r="E394">
        <v>1.4706999999999999</v>
      </c>
      <c r="F394">
        <v>9783612.25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-0.33042053522665321</v>
      </c>
      <c r="Q394">
        <f t="shared" si="975"/>
        <v>-3232706.3960950407</v>
      </c>
      <c r="R394">
        <f t="shared" si="976"/>
        <v>-46988241.880209655</v>
      </c>
      <c r="S394">
        <f t="shared" si="977"/>
        <v>-469.88241880209654</v>
      </c>
      <c r="T394">
        <f t="shared" si="978"/>
        <v>-0.46988241880209652</v>
      </c>
    </row>
    <row r="395" spans="1:20" x14ac:dyDescent="0.25">
      <c r="A395" s="5">
        <v>44198</v>
      </c>
      <c r="B395">
        <v>1.3593999999999999</v>
      </c>
      <c r="C395">
        <v>1.4279999999999999</v>
      </c>
      <c r="D395">
        <v>1.3063</v>
      </c>
      <c r="E395">
        <v>1.4124000000000001</v>
      </c>
      <c r="F395">
        <v>6657173.8799999999</v>
      </c>
      <c r="G395">
        <v>0</v>
      </c>
      <c r="L395" t="s">
        <v>7</v>
      </c>
      <c r="M395" t="s">
        <v>8</v>
      </c>
      <c r="N395" t="s">
        <v>8</v>
      </c>
      <c r="P395">
        <f t="shared" si="974"/>
        <v>0.7436318816762556</v>
      </c>
      <c r="Q395">
        <f t="shared" si="975"/>
        <v>4950486.7390304189</v>
      </c>
      <c r="R395">
        <f t="shared" si="976"/>
        <v>-43755535.484114617</v>
      </c>
      <c r="S395">
        <f t="shared" si="977"/>
        <v>-437.5553548411462</v>
      </c>
      <c r="T395">
        <f t="shared" si="978"/>
        <v>-0.43755535484114622</v>
      </c>
    </row>
    <row r="396" spans="1:20" x14ac:dyDescent="0.25">
      <c r="A396" s="5">
        <v>44197</v>
      </c>
      <c r="B396">
        <v>1.3907</v>
      </c>
      <c r="C396">
        <v>1.4947999999999999</v>
      </c>
      <c r="D396">
        <v>1.2862</v>
      </c>
      <c r="E396">
        <v>1.3587</v>
      </c>
      <c r="F396">
        <v>10549906.93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-0.30488974113135142</v>
      </c>
      <c r="Q396">
        <f t="shared" si="975"/>
        <v>-3216558.3928475501</v>
      </c>
      <c r="R396">
        <f t="shared" si="976"/>
        <v>-48706022.223145038</v>
      </c>
      <c r="S396">
        <f t="shared" si="977"/>
        <v>-487.06022223145038</v>
      </c>
      <c r="T396">
        <f t="shared" si="978"/>
        <v>-0.4870602222314504</v>
      </c>
    </row>
    <row r="397" spans="1:20" x14ac:dyDescent="0.25">
      <c r="A397" s="5">
        <v>44196</v>
      </c>
      <c r="B397">
        <v>1.2098</v>
      </c>
      <c r="C397">
        <v>1.4174</v>
      </c>
      <c r="D397">
        <v>1.1674</v>
      </c>
      <c r="E397">
        <v>1.3916999999999999</v>
      </c>
      <c r="F397">
        <v>7386542.2199999997</v>
      </c>
      <c r="G397">
        <v>0</v>
      </c>
      <c r="L397" t="s">
        <v>8</v>
      </c>
      <c r="M397" t="s">
        <v>8</v>
      </c>
      <c r="N397" t="s">
        <v>8</v>
      </c>
      <c r="P397">
        <f t="shared" si="974"/>
        <v>0.79439999999999955</v>
      </c>
      <c r="Q397">
        <f t="shared" si="975"/>
        <v>5867869.1395679964</v>
      </c>
      <c r="R397">
        <f t="shared" si="976"/>
        <v>-45489463.830297485</v>
      </c>
      <c r="S397">
        <f t="shared" si="977"/>
        <v>-454.89463830297484</v>
      </c>
      <c r="T397">
        <f t="shared" si="978"/>
        <v>-0.45489463830297483</v>
      </c>
    </row>
    <row r="398" spans="1:20" x14ac:dyDescent="0.25">
      <c r="A398" s="5">
        <v>44195</v>
      </c>
      <c r="B398">
        <v>1.1659999999999999</v>
      </c>
      <c r="C398">
        <v>1.2665</v>
      </c>
      <c r="D398">
        <v>1.1659999999999999</v>
      </c>
      <c r="E398">
        <v>1.21</v>
      </c>
      <c r="F398">
        <v>5598162.9199999999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-0.12437810945273584</v>
      </c>
      <c r="Q398">
        <f t="shared" si="975"/>
        <v>-696288.92039800726</v>
      </c>
      <c r="R398">
        <f t="shared" si="976"/>
        <v>-51357332.969865479</v>
      </c>
      <c r="S398">
        <f t="shared" si="977"/>
        <v>-513.57332969865479</v>
      </c>
      <c r="T398">
        <f t="shared" si="978"/>
        <v>-0.51357332969865477</v>
      </c>
    </row>
    <row r="399" spans="1:20" x14ac:dyDescent="0.25">
      <c r="A399" s="5">
        <v>44194</v>
      </c>
      <c r="B399">
        <v>1.2217</v>
      </c>
      <c r="C399">
        <v>1.24</v>
      </c>
      <c r="D399">
        <v>1.1011</v>
      </c>
      <c r="E399">
        <v>1.1653</v>
      </c>
      <c r="F399">
        <v>7077481.3799999999</v>
      </c>
      <c r="G399">
        <v>0</v>
      </c>
      <c r="L399" t="s">
        <v>7</v>
      </c>
      <c r="M399" t="s">
        <v>8</v>
      </c>
      <c r="N399" t="s">
        <v>8</v>
      </c>
      <c r="P399">
        <f t="shared" si="974"/>
        <v>-7.559395248380095E-2</v>
      </c>
      <c r="Q399">
        <f t="shared" si="975"/>
        <v>-535014.79114470596</v>
      </c>
      <c r="R399">
        <f t="shared" si="976"/>
        <v>-50661044.049467474</v>
      </c>
      <c r="S399">
        <f t="shared" si="977"/>
        <v>-506.61044049467472</v>
      </c>
      <c r="T399">
        <f t="shared" si="978"/>
        <v>-0.50661044049467474</v>
      </c>
    </row>
    <row r="400" spans="1:20" x14ac:dyDescent="0.25">
      <c r="A400" s="5">
        <v>44193</v>
      </c>
      <c r="B400">
        <v>1.1989000000000001</v>
      </c>
      <c r="C400">
        <v>1.2514000000000001</v>
      </c>
      <c r="D400">
        <v>1.1568000000000001</v>
      </c>
      <c r="E400">
        <v>1.2217</v>
      </c>
      <c r="F400">
        <v>9630455.3399999999</v>
      </c>
      <c r="G400">
        <v>0</v>
      </c>
      <c r="L400" t="s">
        <v>7</v>
      </c>
      <c r="M400" t="s">
        <v>8</v>
      </c>
      <c r="N400" t="s">
        <v>8</v>
      </c>
      <c r="P400">
        <f t="shared" si="974"/>
        <v>0.37209302325581278</v>
      </c>
      <c r="Q400">
        <f t="shared" si="975"/>
        <v>3583425.2427906864</v>
      </c>
      <c r="R400">
        <f t="shared" si="976"/>
        <v>-50126029.258322768</v>
      </c>
      <c r="S400">
        <f t="shared" si="977"/>
        <v>-501.26029258322768</v>
      </c>
      <c r="T400">
        <f t="shared" si="978"/>
        <v>-0.50126029258322768</v>
      </c>
    </row>
    <row r="401" spans="1:20" x14ac:dyDescent="0.25">
      <c r="A401" s="5">
        <v>44192</v>
      </c>
      <c r="B401">
        <v>1.0253000000000001</v>
      </c>
      <c r="C401">
        <v>1.2487999999999999</v>
      </c>
      <c r="D401">
        <v>0.99790000000000001</v>
      </c>
      <c r="E401">
        <v>1.1990000000000001</v>
      </c>
      <c r="F401">
        <v>11143086.59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0.6030290952570756</v>
      </c>
      <c r="Q401">
        <f t="shared" si="975"/>
        <v>6719605.424738952</v>
      </c>
      <c r="R401">
        <f t="shared" si="976"/>
        <v>-53709454.501113452</v>
      </c>
      <c r="S401">
        <f t="shared" si="977"/>
        <v>-537.09454501113453</v>
      </c>
      <c r="T401">
        <f t="shared" si="978"/>
        <v>-0.53709454501113452</v>
      </c>
    </row>
    <row r="402" spans="1:20" x14ac:dyDescent="0.25">
      <c r="A402" s="5">
        <v>44191</v>
      </c>
      <c r="B402">
        <v>1.0189999999999999</v>
      </c>
      <c r="C402">
        <v>1.0642</v>
      </c>
      <c r="D402">
        <v>0.98250000000000004</v>
      </c>
      <c r="E402">
        <v>1.0246</v>
      </c>
      <c r="F402">
        <v>3943074.8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3.0599755201956375E-2</v>
      </c>
      <c r="Q402">
        <f t="shared" si="975"/>
        <v>120657.12362300309</v>
      </c>
      <c r="R402">
        <f t="shared" si="976"/>
        <v>-60429059.925852403</v>
      </c>
      <c r="S402">
        <f t="shared" si="977"/>
        <v>-604.29059925852403</v>
      </c>
      <c r="T402">
        <f t="shared" si="978"/>
        <v>-0.60429059925852402</v>
      </c>
    </row>
    <row r="403" spans="1:20" x14ac:dyDescent="0.25">
      <c r="A403" s="5">
        <v>44190</v>
      </c>
      <c r="B403">
        <v>1.0637000000000001</v>
      </c>
      <c r="C403">
        <v>1.0784</v>
      </c>
      <c r="D403">
        <v>0.99550000000000005</v>
      </c>
      <c r="E403">
        <v>1.0201</v>
      </c>
      <c r="F403">
        <v>4041401.2</v>
      </c>
      <c r="G403">
        <v>0</v>
      </c>
      <c r="L403" t="s">
        <v>7</v>
      </c>
      <c r="M403" t="s">
        <v>8</v>
      </c>
      <c r="N403" t="s">
        <v>7</v>
      </c>
      <c r="P403">
        <f t="shared" si="974"/>
        <v>-0.40651387213510343</v>
      </c>
      <c r="Q403">
        <f t="shared" si="975"/>
        <v>-1642885.6506634536</v>
      </c>
      <c r="R403">
        <f t="shared" si="976"/>
        <v>-60549717.049475409</v>
      </c>
      <c r="S403">
        <f t="shared" si="977"/>
        <v>-605.49717049475407</v>
      </c>
      <c r="T403">
        <f t="shared" si="978"/>
        <v>-0.60549717049475404</v>
      </c>
    </row>
    <row r="404" spans="1:20" x14ac:dyDescent="0.25">
      <c r="A404" s="5">
        <v>44189</v>
      </c>
      <c r="B404">
        <v>0.96279999999999999</v>
      </c>
      <c r="C404">
        <v>1.0773999999999999</v>
      </c>
      <c r="D404">
        <v>0.91379999999999995</v>
      </c>
      <c r="E404">
        <v>1.0634999999999999</v>
      </c>
      <c r="F404">
        <v>5379921.6799999997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0.83007334963325152</v>
      </c>
      <c r="Q404">
        <f t="shared" si="975"/>
        <v>4465729.6096821493</v>
      </c>
      <c r="R404">
        <f t="shared" si="976"/>
        <v>-58906831.398811959</v>
      </c>
      <c r="S404">
        <f t="shared" si="977"/>
        <v>-589.0683139881196</v>
      </c>
      <c r="T404">
        <f t="shared" si="978"/>
        <v>-0.58906831398811965</v>
      </c>
    </row>
    <row r="405" spans="1:20" x14ac:dyDescent="0.25">
      <c r="A405" s="5">
        <v>44188</v>
      </c>
      <c r="B405">
        <v>1.1609</v>
      </c>
      <c r="C405">
        <v>1.1819999999999999</v>
      </c>
      <c r="D405">
        <v>0.90539999999999998</v>
      </c>
      <c r="E405">
        <v>0.96189999999999998</v>
      </c>
      <c r="F405">
        <v>10399727.5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-0.59146782357194505</v>
      </c>
      <c r="Q405">
        <f t="shared" si="975"/>
        <v>-6151104.1901663048</v>
      </c>
      <c r="R405">
        <f t="shared" si="976"/>
        <v>-63372561.008494109</v>
      </c>
      <c r="S405">
        <f t="shared" si="977"/>
        <v>-633.72561008494108</v>
      </c>
      <c r="T405">
        <f t="shared" si="978"/>
        <v>-0.6337256100849411</v>
      </c>
    </row>
    <row r="406" spans="1:20" x14ac:dyDescent="0.25">
      <c r="A406" s="5">
        <v>44187</v>
      </c>
      <c r="B406">
        <v>1.2191000000000001</v>
      </c>
      <c r="C406">
        <v>1.2357</v>
      </c>
      <c r="D406">
        <v>1.0780000000000001</v>
      </c>
      <c r="E406">
        <v>1.1611</v>
      </c>
      <c r="F406">
        <v>18709087.02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5.3899809765377012E-2</v>
      </c>
      <c r="Q406">
        <f t="shared" si="975"/>
        <v>1008416.2312618843</v>
      </c>
      <c r="R406">
        <f t="shared" si="976"/>
        <v>-57221456.818327807</v>
      </c>
      <c r="S406">
        <f t="shared" si="977"/>
        <v>-572.21456818327806</v>
      </c>
      <c r="T406">
        <f t="shared" si="978"/>
        <v>-0.57221456818327809</v>
      </c>
    </row>
    <row r="407" spans="1:20" x14ac:dyDescent="0.25">
      <c r="A407" s="5">
        <v>44186</v>
      </c>
      <c r="B407">
        <v>1.0577000000000001</v>
      </c>
      <c r="C407">
        <v>1.6631</v>
      </c>
      <c r="D407">
        <v>1.0432999999999999</v>
      </c>
      <c r="E407">
        <v>1.2182999999999999</v>
      </c>
      <c r="F407">
        <v>50693866.219999999</v>
      </c>
      <c r="G407">
        <v>0</v>
      </c>
      <c r="L407" t="s">
        <v>8</v>
      </c>
      <c r="M407" t="s">
        <v>8</v>
      </c>
      <c r="N407" t="s">
        <v>8</v>
      </c>
      <c r="P407">
        <f t="shared" si="974"/>
        <v>-0.43530171022910613</v>
      </c>
      <c r="Q407">
        <f t="shared" si="975"/>
        <v>-22067126.66369151</v>
      </c>
      <c r="R407">
        <f t="shared" si="976"/>
        <v>-58229873.049589694</v>
      </c>
      <c r="S407">
        <f t="shared" si="977"/>
        <v>-582.29873049589696</v>
      </c>
      <c r="T407">
        <f t="shared" si="978"/>
        <v>-0.58229873049589698</v>
      </c>
    </row>
    <row r="408" spans="1:20" x14ac:dyDescent="0.25">
      <c r="A408" s="5">
        <v>44185</v>
      </c>
      <c r="B408">
        <v>1.0479000000000001</v>
      </c>
      <c r="C408">
        <v>1.081</v>
      </c>
      <c r="D408">
        <v>1.0199</v>
      </c>
      <c r="E408">
        <v>1.0583</v>
      </c>
      <c r="F408">
        <v>3459319.55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0.25695581014730057</v>
      </c>
      <c r="Q408">
        <f t="shared" si="975"/>
        <v>888892.25752864522</v>
      </c>
      <c r="R408">
        <f t="shared" si="976"/>
        <v>-36162746.385898188</v>
      </c>
      <c r="S408">
        <f t="shared" si="977"/>
        <v>-361.62746385898186</v>
      </c>
      <c r="T408">
        <f t="shared" si="978"/>
        <v>-0.36162746385898187</v>
      </c>
    </row>
    <row r="409" spans="1:20" x14ac:dyDescent="0.25">
      <c r="A409" s="5">
        <v>44184</v>
      </c>
      <c r="B409">
        <v>1.0047999999999999</v>
      </c>
      <c r="C409">
        <v>1.1226</v>
      </c>
      <c r="D409">
        <v>0.99399999999999999</v>
      </c>
      <c r="E409">
        <v>1.0477000000000001</v>
      </c>
      <c r="F409">
        <v>4551510.4000000004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-0.16485225505443141</v>
      </c>
      <c r="Q409">
        <f t="shared" si="975"/>
        <v>-750326.75334369717</v>
      </c>
      <c r="R409">
        <f t="shared" si="976"/>
        <v>-37051638.643426836</v>
      </c>
      <c r="S409">
        <f t="shared" si="977"/>
        <v>-370.51638643426838</v>
      </c>
      <c r="T409">
        <f t="shared" si="978"/>
        <v>-0.37051638643426837</v>
      </c>
    </row>
    <row r="410" spans="1:20" x14ac:dyDescent="0.25">
      <c r="A410" s="5">
        <v>44183</v>
      </c>
      <c r="B410">
        <v>0.99439999999999995</v>
      </c>
      <c r="C410">
        <v>1.02</v>
      </c>
      <c r="D410">
        <v>0.97260000000000002</v>
      </c>
      <c r="E410">
        <v>1.0047999999999999</v>
      </c>
      <c r="F410">
        <v>2235879.79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0.35864978902953154</v>
      </c>
      <c r="Q410">
        <f t="shared" si="975"/>
        <v>801897.81497889326</v>
      </c>
      <c r="R410">
        <f t="shared" si="976"/>
        <v>-36301311.890083142</v>
      </c>
      <c r="S410">
        <f t="shared" si="977"/>
        <v>-363.01311890083144</v>
      </c>
      <c r="T410">
        <f t="shared" si="978"/>
        <v>-0.36301311890083143</v>
      </c>
    </row>
    <row r="411" spans="1:20" x14ac:dyDescent="0.25">
      <c r="A411" s="5">
        <v>44182</v>
      </c>
      <c r="B411">
        <v>1.0470999999999999</v>
      </c>
      <c r="C411">
        <v>1.0690999999999999</v>
      </c>
      <c r="D411">
        <v>0.98580000000000001</v>
      </c>
      <c r="E411">
        <v>0.99339999999999995</v>
      </c>
      <c r="F411">
        <v>4662811.29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-0.817527010804323</v>
      </c>
      <c r="Q411">
        <f t="shared" si="975"/>
        <v>-3811974.1758583491</v>
      </c>
      <c r="R411">
        <f t="shared" si="976"/>
        <v>-37103209.705062032</v>
      </c>
      <c r="S411">
        <f t="shared" si="977"/>
        <v>-371.03209705062034</v>
      </c>
      <c r="T411">
        <f t="shared" si="978"/>
        <v>-0.37103209705062035</v>
      </c>
    </row>
    <row r="412" spans="1:20" x14ac:dyDescent="0.25">
      <c r="A412" s="5">
        <v>44181</v>
      </c>
      <c r="B412">
        <v>1.0067999999999999</v>
      </c>
      <c r="C412">
        <v>1.0479000000000001</v>
      </c>
      <c r="D412">
        <v>0.96360000000000001</v>
      </c>
      <c r="E412">
        <v>1.0468999999999999</v>
      </c>
      <c r="F412">
        <v>3827114.25</v>
      </c>
      <c r="G412">
        <v>0</v>
      </c>
      <c r="L412" t="s">
        <v>8</v>
      </c>
      <c r="M412" t="s">
        <v>7</v>
      </c>
      <c r="N412" t="s">
        <v>7</v>
      </c>
      <c r="P412">
        <f t="shared" si="974"/>
        <v>0.97627520759193098</v>
      </c>
      <c r="Q412">
        <f t="shared" si="975"/>
        <v>3736316.7588967872</v>
      </c>
      <c r="R412">
        <f t="shared" si="976"/>
        <v>-33291235.529203679</v>
      </c>
      <c r="S412">
        <f t="shared" si="977"/>
        <v>-332.91235529203681</v>
      </c>
      <c r="T412">
        <f t="shared" si="978"/>
        <v>-0.33291235529203683</v>
      </c>
    </row>
    <row r="413" spans="1:20" x14ac:dyDescent="0.25">
      <c r="A413" s="5">
        <v>44180</v>
      </c>
      <c r="B413">
        <v>0.99329999999999996</v>
      </c>
      <c r="C413">
        <v>1.0185999999999999</v>
      </c>
      <c r="D413">
        <v>0.97589999999999999</v>
      </c>
      <c r="E413">
        <v>1.0065999999999999</v>
      </c>
      <c r="F413">
        <v>2768348.89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0.4379391100702566</v>
      </c>
      <c r="Q413">
        <f t="shared" si="975"/>
        <v>1212368.2492505827</v>
      </c>
      <c r="R413">
        <f t="shared" si="976"/>
        <v>-37027552.288100466</v>
      </c>
      <c r="S413">
        <f t="shared" si="977"/>
        <v>-370.27552288100463</v>
      </c>
      <c r="T413">
        <f t="shared" si="978"/>
        <v>-0.37027552288100463</v>
      </c>
    </row>
    <row r="414" spans="1:20" x14ac:dyDescent="0.25">
      <c r="A414" s="5">
        <v>44179</v>
      </c>
      <c r="B414">
        <v>0.95240000000000002</v>
      </c>
      <c r="C414">
        <v>1.0109999999999999</v>
      </c>
      <c r="D414">
        <v>0.94279999999999997</v>
      </c>
      <c r="E414">
        <v>0.99329999999999996</v>
      </c>
      <c r="F414">
        <v>2551901.9700000002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0.48093841642228863</v>
      </c>
      <c r="Q414">
        <f t="shared" si="975"/>
        <v>1227307.6923167189</v>
      </c>
      <c r="R414">
        <f t="shared" si="976"/>
        <v>-38239920.537351049</v>
      </c>
      <c r="S414">
        <f t="shared" si="977"/>
        <v>-382.39920537351048</v>
      </c>
      <c r="T414">
        <f t="shared" si="978"/>
        <v>-0.38239920537351046</v>
      </c>
    </row>
    <row r="415" spans="1:20" x14ac:dyDescent="0.25">
      <c r="A415" s="5">
        <v>44178</v>
      </c>
      <c r="B415">
        <v>0.91900000000000004</v>
      </c>
      <c r="C415">
        <v>0.97929999999999995</v>
      </c>
      <c r="D415">
        <v>0.91859999999999997</v>
      </c>
      <c r="E415">
        <v>0.95269999999999999</v>
      </c>
      <c r="F415">
        <v>2541998.89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0.12355848434925973</v>
      </c>
      <c r="Q415">
        <f t="shared" si="975"/>
        <v>314085.53006590065</v>
      </c>
      <c r="R415">
        <f t="shared" si="976"/>
        <v>-39467228.229667768</v>
      </c>
      <c r="S415">
        <f t="shared" si="977"/>
        <v>-394.67228229667768</v>
      </c>
      <c r="T415">
        <f t="shared" si="978"/>
        <v>-0.39467228229667767</v>
      </c>
    </row>
    <row r="416" spans="1:20" x14ac:dyDescent="0.25">
      <c r="A416" s="5">
        <v>44177</v>
      </c>
      <c r="B416">
        <v>0.86939999999999995</v>
      </c>
      <c r="C416">
        <v>0.92700000000000005</v>
      </c>
      <c r="D416">
        <v>0.86850000000000005</v>
      </c>
      <c r="E416">
        <v>0.9194</v>
      </c>
      <c r="F416">
        <v>2812994.04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0.74017094017093843</v>
      </c>
      <c r="Q416">
        <f t="shared" si="975"/>
        <v>2082096.4432820464</v>
      </c>
      <c r="R416">
        <f t="shared" si="976"/>
        <v>-39781313.759733669</v>
      </c>
      <c r="S416">
        <f t="shared" si="977"/>
        <v>-397.81313759733672</v>
      </c>
      <c r="T416">
        <f t="shared" si="978"/>
        <v>-0.39781313759733672</v>
      </c>
    </row>
    <row r="417" spans="1:20" x14ac:dyDescent="0.25">
      <c r="A417" s="5">
        <v>44176</v>
      </c>
      <c r="B417">
        <v>0.95579999999999998</v>
      </c>
      <c r="C417">
        <v>0.95860000000000001</v>
      </c>
      <c r="D417">
        <v>0.86719999999999997</v>
      </c>
      <c r="E417">
        <v>0.86919999999999997</v>
      </c>
      <c r="F417">
        <v>4985375.1100000003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-0.9562363238512035</v>
      </c>
      <c r="Q417">
        <f t="shared" si="975"/>
        <v>-4767196.7682056893</v>
      </c>
      <c r="R417">
        <f t="shared" si="976"/>
        <v>-41863410.203015715</v>
      </c>
      <c r="S417">
        <f t="shared" si="977"/>
        <v>-418.63410203015712</v>
      </c>
      <c r="T417">
        <f t="shared" si="978"/>
        <v>-0.41863410203015711</v>
      </c>
    </row>
    <row r="418" spans="1:20" x14ac:dyDescent="0.25">
      <c r="A418" s="5">
        <v>44175</v>
      </c>
      <c r="B418">
        <v>0.99729999999999996</v>
      </c>
      <c r="C418">
        <v>1.0471999999999999</v>
      </c>
      <c r="D418">
        <v>0.95489999999999997</v>
      </c>
      <c r="E418">
        <v>0.95589999999999997</v>
      </c>
      <c r="F418">
        <v>4119437.54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-0.97833152762730224</v>
      </c>
      <c r="Q418">
        <f t="shared" si="975"/>
        <v>-4030175.6214734558</v>
      </c>
      <c r="R418">
        <f t="shared" si="976"/>
        <v>-37096213.434810027</v>
      </c>
      <c r="S418">
        <f t="shared" si="977"/>
        <v>-370.96213434810028</v>
      </c>
      <c r="T418">
        <f t="shared" si="978"/>
        <v>-0.37096213434810027</v>
      </c>
    </row>
    <row r="419" spans="1:20" x14ac:dyDescent="0.25">
      <c r="A419" s="5">
        <v>44174</v>
      </c>
      <c r="B419">
        <v>0.93369999999999997</v>
      </c>
      <c r="C419">
        <v>1.0141</v>
      </c>
      <c r="D419">
        <v>0.91080000000000005</v>
      </c>
      <c r="E419">
        <v>0.995</v>
      </c>
      <c r="F419">
        <v>8365300.3899999997</v>
      </c>
      <c r="G419">
        <v>0</v>
      </c>
      <c r="L419" t="s">
        <v>8</v>
      </c>
      <c r="M419" t="s">
        <v>7</v>
      </c>
      <c r="N419" t="s">
        <v>8</v>
      </c>
      <c r="P419">
        <f t="shared" si="974"/>
        <v>0.63020329138431719</v>
      </c>
      <c r="Q419">
        <f t="shared" si="975"/>
        <v>5271839.8391965115</v>
      </c>
      <c r="R419">
        <f t="shared" si="976"/>
        <v>-33066037.813336574</v>
      </c>
      <c r="S419">
        <f t="shared" si="977"/>
        <v>-330.66037813336573</v>
      </c>
      <c r="T419">
        <f t="shared" si="978"/>
        <v>-0.33066037813336574</v>
      </c>
    </row>
    <row r="420" spans="1:20" x14ac:dyDescent="0.25">
      <c r="A420" s="5">
        <v>44173</v>
      </c>
      <c r="B420">
        <v>1.012</v>
      </c>
      <c r="C420">
        <v>1.0225</v>
      </c>
      <c r="D420">
        <v>0.91500000000000004</v>
      </c>
      <c r="E420">
        <v>0.93310000000000004</v>
      </c>
      <c r="F420">
        <v>6386378.5899999999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-0.66325581395348809</v>
      </c>
      <c r="Q420">
        <f t="shared" si="975"/>
        <v>-4235802.7299255794</v>
      </c>
      <c r="R420">
        <f t="shared" si="976"/>
        <v>-38337877.652533084</v>
      </c>
      <c r="S420">
        <f t="shared" si="977"/>
        <v>-383.37877652533086</v>
      </c>
      <c r="T420">
        <f t="shared" si="978"/>
        <v>-0.38337877652533087</v>
      </c>
    </row>
    <row r="421" spans="1:20" x14ac:dyDescent="0.25">
      <c r="A421" s="5">
        <v>44172</v>
      </c>
      <c r="B421">
        <v>1.0341</v>
      </c>
      <c r="C421">
        <v>1.0533999999999999</v>
      </c>
      <c r="D421">
        <v>1.0106999999999999</v>
      </c>
      <c r="E421">
        <v>1.0118</v>
      </c>
      <c r="F421">
        <v>3922032.87</v>
      </c>
      <c r="G421">
        <v>0</v>
      </c>
      <c r="L421" t="s">
        <v>7</v>
      </c>
      <c r="M421" t="s">
        <v>7</v>
      </c>
      <c r="N421" t="s">
        <v>8</v>
      </c>
      <c r="P421">
        <f t="shared" si="974"/>
        <v>-0.94847775175643556</v>
      </c>
      <c r="Q421">
        <f t="shared" si="975"/>
        <v>-3719960.9188524405</v>
      </c>
      <c r="R421">
        <f t="shared" si="976"/>
        <v>-34102074.922607504</v>
      </c>
      <c r="S421">
        <f t="shared" si="977"/>
        <v>-341.02074922607505</v>
      </c>
      <c r="T421">
        <f t="shared" si="978"/>
        <v>-0.34102074922607506</v>
      </c>
    </row>
    <row r="422" spans="1:20" x14ac:dyDescent="0.25">
      <c r="A422" s="5">
        <v>44171</v>
      </c>
      <c r="B422">
        <v>1.1125</v>
      </c>
      <c r="C422">
        <v>1.125</v>
      </c>
      <c r="D422">
        <v>1.0091000000000001</v>
      </c>
      <c r="E422">
        <v>1.0339</v>
      </c>
      <c r="F422">
        <v>5619258.4299999997</v>
      </c>
      <c r="G422">
        <v>0</v>
      </c>
      <c r="L422" t="s">
        <v>7</v>
      </c>
      <c r="M422" t="s">
        <v>7</v>
      </c>
      <c r="N422" t="s">
        <v>8</v>
      </c>
      <c r="P422">
        <f t="shared" si="974"/>
        <v>-0.57204486626402151</v>
      </c>
      <c r="Q422">
        <f t="shared" si="975"/>
        <v>-3214467.9370923252</v>
      </c>
      <c r="R422">
        <f t="shared" si="976"/>
        <v>-30382114.003755063</v>
      </c>
      <c r="S422">
        <f t="shared" si="977"/>
        <v>-303.82114003755061</v>
      </c>
      <c r="T422">
        <f t="shared" si="978"/>
        <v>-0.30382114003755062</v>
      </c>
    </row>
    <row r="423" spans="1:20" x14ac:dyDescent="0.25">
      <c r="A423" s="5">
        <v>44170</v>
      </c>
      <c r="B423">
        <v>1.1012</v>
      </c>
      <c r="C423">
        <v>1.1429</v>
      </c>
      <c r="D423">
        <v>1.02</v>
      </c>
      <c r="E423">
        <v>1.1126</v>
      </c>
      <c r="F423">
        <v>12921855.77</v>
      </c>
      <c r="G423">
        <v>0</v>
      </c>
      <c r="L423" t="s">
        <v>7</v>
      </c>
      <c r="M423" t="s">
        <v>7</v>
      </c>
      <c r="N423" t="s">
        <v>8</v>
      </c>
      <c r="P423">
        <f t="shared" si="974"/>
        <v>0.50691619202603755</v>
      </c>
      <c r="Q423">
        <f t="shared" si="975"/>
        <v>6550297.9208380813</v>
      </c>
      <c r="R423">
        <f t="shared" si="976"/>
        <v>-27167646.066662736</v>
      </c>
      <c r="S423">
        <f t="shared" si="977"/>
        <v>-271.67646066662735</v>
      </c>
      <c r="T423">
        <f t="shared" si="978"/>
        <v>-0.27167646066662737</v>
      </c>
    </row>
    <row r="424" spans="1:20" x14ac:dyDescent="0.25">
      <c r="A424" s="5">
        <v>44169</v>
      </c>
      <c r="B424">
        <v>1.1537999999999999</v>
      </c>
      <c r="C424">
        <v>1.2222</v>
      </c>
      <c r="D424">
        <v>1.0927</v>
      </c>
      <c r="E424">
        <v>1.1016999999999999</v>
      </c>
      <c r="F424">
        <v>8285495.2599999998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-0.8610038610038625</v>
      </c>
      <c r="Q424">
        <f t="shared" si="975"/>
        <v>-7133843.409189201</v>
      </c>
      <c r="R424">
        <f t="shared" si="976"/>
        <v>-33717943.987500817</v>
      </c>
      <c r="S424">
        <f t="shared" si="977"/>
        <v>-337.17943987500814</v>
      </c>
      <c r="T424">
        <f t="shared" si="978"/>
        <v>-0.33717943987500815</v>
      </c>
    </row>
    <row r="425" spans="1:20" x14ac:dyDescent="0.25">
      <c r="A425" s="5">
        <v>44168</v>
      </c>
      <c r="B425">
        <v>1.1756</v>
      </c>
      <c r="C425">
        <v>1.1923999999999999</v>
      </c>
      <c r="D425">
        <v>1.135</v>
      </c>
      <c r="E425">
        <v>1.1549</v>
      </c>
      <c r="F425">
        <v>3890967.36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-0.30662020905923121</v>
      </c>
      <c r="Q425">
        <f t="shared" si="975"/>
        <v>-1193049.2253658448</v>
      </c>
      <c r="R425">
        <f t="shared" si="976"/>
        <v>-26584100.578311615</v>
      </c>
      <c r="S425">
        <f t="shared" si="977"/>
        <v>-265.84100578311615</v>
      </c>
      <c r="T425">
        <f t="shared" si="978"/>
        <v>-0.26584100578311615</v>
      </c>
    </row>
    <row r="426" spans="1:20" x14ac:dyDescent="0.25">
      <c r="A426" s="5">
        <v>44167</v>
      </c>
      <c r="B426">
        <v>1.0608</v>
      </c>
      <c r="C426">
        <v>1.2111000000000001</v>
      </c>
      <c r="D426">
        <v>1.04</v>
      </c>
      <c r="E426">
        <v>1.1768000000000001</v>
      </c>
      <c r="F426">
        <v>6566709.7199999997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0.59906487434248989</v>
      </c>
      <c r="Q426">
        <f t="shared" si="975"/>
        <v>3933885.1332554067</v>
      </c>
      <c r="R426">
        <f t="shared" si="976"/>
        <v>-25391051.352945771</v>
      </c>
      <c r="S426">
        <f t="shared" si="977"/>
        <v>-253.91051352945772</v>
      </c>
      <c r="T426">
        <f t="shared" si="978"/>
        <v>-0.2539105135294577</v>
      </c>
    </row>
    <row r="427" spans="1:20" x14ac:dyDescent="0.25">
      <c r="A427" s="5">
        <v>44166</v>
      </c>
      <c r="B427">
        <v>1.0780000000000001</v>
      </c>
      <c r="C427">
        <v>1.1302000000000001</v>
      </c>
      <c r="D427">
        <v>0.98499999999999999</v>
      </c>
      <c r="E427">
        <v>1.06</v>
      </c>
      <c r="F427">
        <v>11870429.6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3.3057851239669582E-2</v>
      </c>
      <c r="Q427">
        <f t="shared" si="975"/>
        <v>392410.89586777048</v>
      </c>
      <c r="R427">
        <f t="shared" si="976"/>
        <v>-29324936.486201178</v>
      </c>
      <c r="S427">
        <f t="shared" si="977"/>
        <v>-293.24936486201176</v>
      </c>
      <c r="T427">
        <f t="shared" si="978"/>
        <v>-0.29324936486201175</v>
      </c>
    </row>
    <row r="428" spans="1:20" x14ac:dyDescent="0.25">
      <c r="A428" s="5">
        <v>44165</v>
      </c>
      <c r="B428">
        <v>1.0144</v>
      </c>
      <c r="C428">
        <v>1.0967</v>
      </c>
      <c r="D428">
        <v>1.0144</v>
      </c>
      <c r="E428">
        <v>1.0779000000000001</v>
      </c>
      <c r="F428">
        <v>6761105.8399999999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0.54313487241798497</v>
      </c>
      <c r="Q428">
        <f t="shared" si="975"/>
        <v>3672192.3578128931</v>
      </c>
      <c r="R428">
        <f t="shared" si="976"/>
        <v>-29717347.382068947</v>
      </c>
      <c r="S428">
        <f t="shared" si="977"/>
        <v>-297.17347382068948</v>
      </c>
      <c r="T428">
        <f t="shared" si="978"/>
        <v>-0.29717347382068948</v>
      </c>
    </row>
    <row r="429" spans="1:20" x14ac:dyDescent="0.25">
      <c r="A429" s="5">
        <v>44164</v>
      </c>
      <c r="B429">
        <v>1.0213000000000001</v>
      </c>
      <c r="C429">
        <v>1.0448</v>
      </c>
      <c r="D429">
        <v>0.99119999999999997</v>
      </c>
      <c r="E429">
        <v>1.0138</v>
      </c>
      <c r="F429">
        <v>3067057.95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-0.15671641791044505</v>
      </c>
      <c r="Q429">
        <f t="shared" si="975"/>
        <v>-480658.33544775291</v>
      </c>
      <c r="R429">
        <f t="shared" si="976"/>
        <v>-33389539.73988184</v>
      </c>
      <c r="S429">
        <f t="shared" si="977"/>
        <v>-333.89539739881837</v>
      </c>
      <c r="T429">
        <f t="shared" si="978"/>
        <v>-0.33389539739881835</v>
      </c>
    </row>
    <row r="430" spans="1:20" x14ac:dyDescent="0.25">
      <c r="A430" s="5">
        <v>44163</v>
      </c>
      <c r="B430">
        <v>0.99680000000000002</v>
      </c>
      <c r="C430">
        <v>1.0378000000000001</v>
      </c>
      <c r="D430">
        <v>0.95930000000000004</v>
      </c>
      <c r="E430">
        <v>1.0203</v>
      </c>
      <c r="F430">
        <v>4140746.93</v>
      </c>
      <c r="G430">
        <v>0</v>
      </c>
      <c r="L430" t="s">
        <v>7</v>
      </c>
      <c r="M430" t="s">
        <v>8</v>
      </c>
      <c r="N430" t="s">
        <v>7</v>
      </c>
      <c r="P430">
        <f t="shared" si="974"/>
        <v>0.55414012738853335</v>
      </c>
      <c r="Q430">
        <f t="shared" si="975"/>
        <v>2294554.0312738786</v>
      </c>
      <c r="R430">
        <f t="shared" si="976"/>
        <v>-32908881.404434085</v>
      </c>
      <c r="S430">
        <f t="shared" si="977"/>
        <v>-329.08881404434084</v>
      </c>
      <c r="T430">
        <f t="shared" si="978"/>
        <v>-0.32908881404434082</v>
      </c>
    </row>
    <row r="431" spans="1:20" x14ac:dyDescent="0.25">
      <c r="A431" s="5">
        <v>44162</v>
      </c>
      <c r="B431">
        <v>1.0103</v>
      </c>
      <c r="C431">
        <v>1.0509999999999999</v>
      </c>
      <c r="D431">
        <v>0.94040000000000001</v>
      </c>
      <c r="E431">
        <v>0.99590000000000001</v>
      </c>
      <c r="F431">
        <v>7154563.8499999996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3.616636528029541E-3</v>
      </c>
      <c r="Q431">
        <f t="shared" si="975"/>
        <v>25875.456962029664</v>
      </c>
      <c r="R431">
        <f t="shared" si="976"/>
        <v>-35203435.435707964</v>
      </c>
      <c r="S431">
        <f t="shared" si="977"/>
        <v>-352.03435435707962</v>
      </c>
      <c r="T431">
        <f t="shared" si="978"/>
        <v>-0.35203435435707964</v>
      </c>
    </row>
    <row r="432" spans="1:20" x14ac:dyDescent="0.25">
      <c r="A432" s="5">
        <v>44161</v>
      </c>
      <c r="B432">
        <v>1.1042000000000001</v>
      </c>
      <c r="C432">
        <v>1.1303000000000001</v>
      </c>
      <c r="D432">
        <v>0.8972</v>
      </c>
      <c r="E432">
        <v>1.0101</v>
      </c>
      <c r="F432">
        <v>21683145.879999999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-3.1317031317031667E-2</v>
      </c>
      <c r="Q432">
        <f t="shared" si="975"/>
        <v>-679051.75857572618</v>
      </c>
      <c r="R432">
        <f t="shared" si="976"/>
        <v>-35229310.892669991</v>
      </c>
      <c r="S432">
        <f t="shared" si="977"/>
        <v>-352.29310892669992</v>
      </c>
      <c r="T432">
        <f t="shared" si="978"/>
        <v>-0.3522931089266999</v>
      </c>
    </row>
    <row r="433" spans="1:20" x14ac:dyDescent="0.25">
      <c r="A433" s="5">
        <v>44160</v>
      </c>
      <c r="B433">
        <v>1.2427999999999999</v>
      </c>
      <c r="C433">
        <v>1.3</v>
      </c>
      <c r="D433">
        <v>1.0766</v>
      </c>
      <c r="E433">
        <v>1.1051</v>
      </c>
      <c r="F433">
        <v>12384099.77</v>
      </c>
      <c r="G433">
        <v>0</v>
      </c>
      <c r="L433" t="s">
        <v>8</v>
      </c>
      <c r="M433" t="s">
        <v>7</v>
      </c>
      <c r="N433" t="s">
        <v>8</v>
      </c>
      <c r="P433">
        <f t="shared" si="974"/>
        <v>-0.74485228290062699</v>
      </c>
      <c r="Q433">
        <f t="shared" si="975"/>
        <v>-9224324.98535363</v>
      </c>
      <c r="R433">
        <f t="shared" si="976"/>
        <v>-34550259.134094268</v>
      </c>
      <c r="S433">
        <f t="shared" si="977"/>
        <v>-345.50259134094267</v>
      </c>
      <c r="T433">
        <f t="shared" si="978"/>
        <v>-0.34550259134094269</v>
      </c>
    </row>
    <row r="434" spans="1:20" x14ac:dyDescent="0.25">
      <c r="A434" s="5">
        <v>44159</v>
      </c>
      <c r="B434">
        <v>1.1702999999999999</v>
      </c>
      <c r="C434">
        <v>1.2914000000000001</v>
      </c>
      <c r="D434">
        <v>1.141</v>
      </c>
      <c r="E434">
        <v>1.2434000000000001</v>
      </c>
      <c r="F434">
        <v>11175741.710000001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0.36170212765957427</v>
      </c>
      <c r="Q434">
        <f t="shared" si="975"/>
        <v>4042289.554680849</v>
      </c>
      <c r="R434">
        <f t="shared" si="976"/>
        <v>-25325934.148740638</v>
      </c>
      <c r="S434">
        <f t="shared" si="977"/>
        <v>-253.25934148740637</v>
      </c>
      <c r="T434">
        <f t="shared" si="978"/>
        <v>-0.25325934148740636</v>
      </c>
    </row>
    <row r="435" spans="1:20" x14ac:dyDescent="0.25">
      <c r="A435" s="5">
        <v>44158</v>
      </c>
      <c r="B435">
        <v>1.0779000000000001</v>
      </c>
      <c r="C435">
        <v>1.2218</v>
      </c>
      <c r="D435">
        <v>1.0572999999999999</v>
      </c>
      <c r="E435">
        <v>1.1706000000000001</v>
      </c>
      <c r="F435">
        <v>9126478.6300000008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0.37750759878419593</v>
      </c>
      <c r="Q435">
        <f t="shared" si="975"/>
        <v>3445315.0329665784</v>
      </c>
      <c r="R435">
        <f t="shared" si="976"/>
        <v>-29368223.703421488</v>
      </c>
      <c r="S435">
        <f t="shared" si="977"/>
        <v>-293.68223703421489</v>
      </c>
      <c r="T435">
        <f t="shared" si="978"/>
        <v>-0.29368223703421487</v>
      </c>
    </row>
    <row r="436" spans="1:20" x14ac:dyDescent="0.25">
      <c r="A436" s="5">
        <v>44157</v>
      </c>
      <c r="B436">
        <v>1.1865000000000001</v>
      </c>
      <c r="C436">
        <v>1.1890000000000001</v>
      </c>
      <c r="D436">
        <v>0.997</v>
      </c>
      <c r="E436">
        <v>1.0770999999999999</v>
      </c>
      <c r="F436">
        <v>14640406.970000001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-0.1656250000000008</v>
      </c>
      <c r="Q436">
        <f t="shared" si="975"/>
        <v>-2424817.4044062616</v>
      </c>
      <c r="R436">
        <f t="shared" si="976"/>
        <v>-32813538.736388069</v>
      </c>
      <c r="S436">
        <f t="shared" si="977"/>
        <v>-328.13538736388068</v>
      </c>
      <c r="T436">
        <f t="shared" si="978"/>
        <v>-0.3281353873638807</v>
      </c>
    </row>
    <row r="437" spans="1:20" x14ac:dyDescent="0.25">
      <c r="A437" s="5">
        <v>44156</v>
      </c>
      <c r="B437">
        <v>0.94850000000000001</v>
      </c>
      <c r="C437">
        <v>1.2173</v>
      </c>
      <c r="D437">
        <v>0.94330000000000003</v>
      </c>
      <c r="E437">
        <v>1.1853</v>
      </c>
      <c r="F437">
        <v>28382281.809999999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0.76642335766423342</v>
      </c>
      <c r="Q437">
        <f t="shared" si="975"/>
        <v>21752843.722992696</v>
      </c>
      <c r="R437">
        <f t="shared" si="976"/>
        <v>-30388721.331981808</v>
      </c>
      <c r="S437">
        <f t="shared" si="977"/>
        <v>-303.8872133198181</v>
      </c>
      <c r="T437">
        <f t="shared" si="978"/>
        <v>-0.30388721331981811</v>
      </c>
    </row>
    <row r="438" spans="1:20" x14ac:dyDescent="0.25">
      <c r="A438" s="5">
        <v>44155</v>
      </c>
      <c r="B438">
        <v>0.84619999999999995</v>
      </c>
      <c r="C438">
        <v>0.95</v>
      </c>
      <c r="D438">
        <v>0.83609999999999995</v>
      </c>
      <c r="E438">
        <v>0.94710000000000005</v>
      </c>
      <c r="F438">
        <v>9790299.4700000007</v>
      </c>
      <c r="G438">
        <v>0</v>
      </c>
      <c r="L438" t="s">
        <v>8</v>
      </c>
      <c r="M438" t="s">
        <v>7</v>
      </c>
      <c r="N438" t="s">
        <v>8</v>
      </c>
      <c r="P438">
        <f t="shared" si="974"/>
        <v>0.94907813871817559</v>
      </c>
      <c r="Q438">
        <f t="shared" si="975"/>
        <v>9291759.1984811425</v>
      </c>
      <c r="R438">
        <f t="shared" si="976"/>
        <v>-52141565.054974504</v>
      </c>
      <c r="S438">
        <f t="shared" si="977"/>
        <v>-521.41565054974501</v>
      </c>
      <c r="T438">
        <f t="shared" si="978"/>
        <v>-0.52141565054974504</v>
      </c>
    </row>
    <row r="439" spans="1:20" x14ac:dyDescent="0.25">
      <c r="A439" s="5">
        <v>44154</v>
      </c>
      <c r="B439">
        <v>0.83320000000000005</v>
      </c>
      <c r="C439">
        <v>0.87690000000000001</v>
      </c>
      <c r="D439">
        <v>0.80879999999999996</v>
      </c>
      <c r="E439">
        <v>0.84540000000000004</v>
      </c>
      <c r="F439">
        <v>7734588.6799999997</v>
      </c>
      <c r="G439">
        <v>0</v>
      </c>
      <c r="L439" t="s">
        <v>8</v>
      </c>
      <c r="M439" t="s">
        <v>7</v>
      </c>
      <c r="N439" t="s">
        <v>8</v>
      </c>
      <c r="P439">
        <f t="shared" si="974"/>
        <v>7.4889867841411176E-2</v>
      </c>
      <c r="Q439">
        <f t="shared" si="975"/>
        <v>579242.32405287493</v>
      </c>
      <c r="R439">
        <f t="shared" si="976"/>
        <v>-61433324.253455646</v>
      </c>
      <c r="S439">
        <f t="shared" si="977"/>
        <v>-614.33324253455646</v>
      </c>
      <c r="T439">
        <f t="shared" si="978"/>
        <v>-0.61433324253455646</v>
      </c>
    </row>
    <row r="440" spans="1:20" x14ac:dyDescent="0.25">
      <c r="A440" s="5">
        <v>44153</v>
      </c>
      <c r="B440">
        <v>0.93189999999999995</v>
      </c>
      <c r="C440">
        <v>0.94550000000000001</v>
      </c>
      <c r="D440">
        <v>0.80059999999999998</v>
      </c>
      <c r="E440">
        <v>0.83240000000000003</v>
      </c>
      <c r="F440">
        <v>12874991.279999999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-0.56107660455486486</v>
      </c>
      <c r="Q440">
        <f t="shared" si="975"/>
        <v>-7223856.3910558932</v>
      </c>
      <c r="R440">
        <f t="shared" si="976"/>
        <v>-62012566.577508524</v>
      </c>
      <c r="S440">
        <f t="shared" si="977"/>
        <v>-620.12566577508528</v>
      </c>
      <c r="T440">
        <f t="shared" si="978"/>
        <v>-0.62012566577508532</v>
      </c>
    </row>
    <row r="441" spans="1:20" x14ac:dyDescent="0.25">
      <c r="A441" s="5">
        <v>44152</v>
      </c>
      <c r="B441">
        <v>0.86570000000000003</v>
      </c>
      <c r="C441">
        <v>0.98450000000000004</v>
      </c>
      <c r="D441">
        <v>0.86429999999999996</v>
      </c>
      <c r="E441">
        <v>0.93130000000000002</v>
      </c>
      <c r="F441">
        <v>14355276.119999999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0.11480865224625644</v>
      </c>
      <c r="Q441">
        <f t="shared" si="975"/>
        <v>1648109.9039600694</v>
      </c>
      <c r="R441">
        <f t="shared" si="976"/>
        <v>-54788710.186452635</v>
      </c>
      <c r="S441">
        <f t="shared" si="977"/>
        <v>-547.88710186452636</v>
      </c>
      <c r="T441">
        <f t="shared" si="978"/>
        <v>-0.54788710186452638</v>
      </c>
    </row>
    <row r="442" spans="1:20" x14ac:dyDescent="0.25">
      <c r="A442" s="5">
        <v>44151</v>
      </c>
      <c r="B442">
        <v>0.82930000000000004</v>
      </c>
      <c r="C442">
        <v>0.89939999999999998</v>
      </c>
      <c r="D442">
        <v>0.81669999999999998</v>
      </c>
      <c r="E442">
        <v>0.86599999999999999</v>
      </c>
      <c r="F442">
        <v>11032347.85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0.19226118500604628</v>
      </c>
      <c r="Q442">
        <f t="shared" si="975"/>
        <v>2121092.2710399069</v>
      </c>
      <c r="R442">
        <f t="shared" si="976"/>
        <v>-56436820.090412706</v>
      </c>
      <c r="S442">
        <f t="shared" si="977"/>
        <v>-564.36820090412709</v>
      </c>
      <c r="T442">
        <f t="shared" si="978"/>
        <v>-0.56436820090412709</v>
      </c>
    </row>
    <row r="443" spans="1:20" x14ac:dyDescent="0.25">
      <c r="A443" s="5">
        <v>44150</v>
      </c>
      <c r="B443">
        <v>0.86850000000000005</v>
      </c>
      <c r="C443">
        <v>0.88670000000000004</v>
      </c>
      <c r="D443">
        <v>0.79779999999999995</v>
      </c>
      <c r="E443">
        <v>0.8296</v>
      </c>
      <c r="F443">
        <v>13102922.310000001</v>
      </c>
      <c r="G443">
        <v>0</v>
      </c>
      <c r="L443" t="s">
        <v>7</v>
      </c>
      <c r="M443" t="s">
        <v>8</v>
      </c>
      <c r="N443" t="s">
        <v>8</v>
      </c>
      <c r="P443">
        <f t="shared" si="974"/>
        <v>-0.28458942632170936</v>
      </c>
      <c r="Q443">
        <f t="shared" si="975"/>
        <v>-3728953.143340827</v>
      </c>
      <c r="R443">
        <f t="shared" si="976"/>
        <v>-58557912.361452617</v>
      </c>
      <c r="S443">
        <f t="shared" si="977"/>
        <v>-585.57912361452611</v>
      </c>
      <c r="T443">
        <f t="shared" si="978"/>
        <v>-0.58557912361452613</v>
      </c>
    </row>
    <row r="444" spans="1:20" x14ac:dyDescent="0.25">
      <c r="A444" s="5">
        <v>44149</v>
      </c>
      <c r="B444">
        <v>0.8992</v>
      </c>
      <c r="C444">
        <v>0.90390000000000004</v>
      </c>
      <c r="D444">
        <v>0.82130000000000003</v>
      </c>
      <c r="E444">
        <v>0.86809999999999998</v>
      </c>
      <c r="F444">
        <v>12151278.59</v>
      </c>
      <c r="G444">
        <v>0</v>
      </c>
      <c r="L444" t="s">
        <v>7</v>
      </c>
      <c r="M444" t="s">
        <v>8</v>
      </c>
      <c r="N444" t="s">
        <v>8</v>
      </c>
      <c r="P444">
        <f t="shared" si="974"/>
        <v>0.13317191283292854</v>
      </c>
      <c r="Q444">
        <f t="shared" si="975"/>
        <v>1618209.0131961107</v>
      </c>
      <c r="R444">
        <f t="shared" si="976"/>
        <v>-54828959.218111791</v>
      </c>
      <c r="S444">
        <f t="shared" si="977"/>
        <v>-548.28959218111788</v>
      </c>
      <c r="T444">
        <f t="shared" si="978"/>
        <v>-0.54828959218111784</v>
      </c>
    </row>
    <row r="445" spans="1:20" x14ac:dyDescent="0.25">
      <c r="A445" s="5">
        <v>44148</v>
      </c>
      <c r="B445">
        <v>0.78959999999999997</v>
      </c>
      <c r="C445">
        <v>0.91800000000000004</v>
      </c>
      <c r="D445">
        <v>0.77900000000000003</v>
      </c>
      <c r="E445">
        <v>0.89810000000000001</v>
      </c>
      <c r="F445">
        <v>13561690.91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0.71366906474820102</v>
      </c>
      <c r="Q445">
        <f t="shared" si="975"/>
        <v>9678559.2681438792</v>
      </c>
      <c r="R445">
        <f t="shared" si="976"/>
        <v>-56447168.231307901</v>
      </c>
      <c r="S445">
        <f t="shared" si="977"/>
        <v>-564.47168231307899</v>
      </c>
      <c r="T445">
        <f t="shared" si="978"/>
        <v>-0.56447168231307898</v>
      </c>
    </row>
    <row r="446" spans="1:20" x14ac:dyDescent="0.25">
      <c r="A446" s="5">
        <v>44147</v>
      </c>
      <c r="B446">
        <v>0.8599</v>
      </c>
      <c r="C446">
        <v>0.87960000000000005</v>
      </c>
      <c r="D446">
        <v>0.76029999999999998</v>
      </c>
      <c r="E446">
        <v>0.7893</v>
      </c>
      <c r="F446">
        <v>10143967.5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-0.51383067896060342</v>
      </c>
      <c r="Q446">
        <f t="shared" si="975"/>
        <v>-5212281.7078792946</v>
      </c>
      <c r="R446">
        <f t="shared" si="976"/>
        <v>-66125727.499451779</v>
      </c>
      <c r="S446">
        <f t="shared" si="977"/>
        <v>-661.25727499451784</v>
      </c>
      <c r="T446">
        <f t="shared" si="978"/>
        <v>-0.66125727499451781</v>
      </c>
    </row>
    <row r="447" spans="1:20" x14ac:dyDescent="0.25">
      <c r="A447" s="5">
        <v>44146</v>
      </c>
      <c r="B447">
        <v>0.9456</v>
      </c>
      <c r="C447">
        <v>0.99229999999999996</v>
      </c>
      <c r="D447">
        <v>0.85709999999999997</v>
      </c>
      <c r="E447">
        <v>0.86040000000000005</v>
      </c>
      <c r="F447">
        <v>11130743.460000001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-0.95118343195266153</v>
      </c>
      <c r="Q447">
        <f t="shared" si="975"/>
        <v>-10587378.764467442</v>
      </c>
      <c r="R447">
        <f t="shared" si="976"/>
        <v>-60913445.791572481</v>
      </c>
      <c r="S447">
        <f t="shared" si="977"/>
        <v>-609.13445791572485</v>
      </c>
      <c r="T447">
        <f t="shared" si="978"/>
        <v>-0.60913445791572485</v>
      </c>
    </row>
    <row r="448" spans="1:20" x14ac:dyDescent="0.25">
      <c r="A448" s="5">
        <v>44145</v>
      </c>
      <c r="B448">
        <v>0.92949999999999999</v>
      </c>
      <c r="C448">
        <v>0.97440000000000004</v>
      </c>
      <c r="D448">
        <v>0.88200000000000001</v>
      </c>
      <c r="E448">
        <v>0.9456</v>
      </c>
      <c r="F448">
        <v>13205405.01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0.37662337662337586</v>
      </c>
      <c r="Q448">
        <f t="shared" si="975"/>
        <v>4973464.2245454444</v>
      </c>
      <c r="R448">
        <f t="shared" si="976"/>
        <v>-50326067.027105041</v>
      </c>
      <c r="S448">
        <f t="shared" si="977"/>
        <v>-503.2606702710504</v>
      </c>
      <c r="T448">
        <f t="shared" si="978"/>
        <v>-0.50326067027105037</v>
      </c>
    </row>
    <row r="449" spans="1:20" x14ac:dyDescent="0.25">
      <c r="A449" s="5">
        <v>44144</v>
      </c>
      <c r="B449">
        <v>0.8165</v>
      </c>
      <c r="C449">
        <v>0.92889999999999995</v>
      </c>
      <c r="D449">
        <v>0.79720000000000002</v>
      </c>
      <c r="E449">
        <v>0.92889999999999995</v>
      </c>
      <c r="F449">
        <v>10185871.67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1</v>
      </c>
      <c r="Q449">
        <f t="shared" si="975"/>
        <v>10185871.67</v>
      </c>
      <c r="R449">
        <f t="shared" si="976"/>
        <v>-55299531.251650482</v>
      </c>
      <c r="S449">
        <f t="shared" si="977"/>
        <v>-552.99531251650478</v>
      </c>
      <c r="T449">
        <f t="shared" si="978"/>
        <v>-0.5529953125165048</v>
      </c>
    </row>
    <row r="450" spans="1:20" x14ac:dyDescent="0.25">
      <c r="A450" s="5">
        <v>44143</v>
      </c>
      <c r="B450">
        <v>0.69569999999999999</v>
      </c>
      <c r="C450">
        <v>0.82969999999999999</v>
      </c>
      <c r="D450">
        <v>0.68200000000000005</v>
      </c>
      <c r="E450">
        <v>0.81689999999999996</v>
      </c>
      <c r="F450">
        <v>7575217.0999999996</v>
      </c>
      <c r="G450">
        <v>0</v>
      </c>
      <c r="L450" t="s">
        <v>8</v>
      </c>
      <c r="M450" t="s">
        <v>8</v>
      </c>
      <c r="N450" t="s">
        <v>8</v>
      </c>
      <c r="P450">
        <f t="shared" si="974"/>
        <v>0.82667569397427165</v>
      </c>
      <c r="Q450">
        <f t="shared" si="975"/>
        <v>6262247.8531482695</v>
      </c>
      <c r="R450">
        <f t="shared" si="976"/>
        <v>-65485402.921650484</v>
      </c>
      <c r="S450">
        <f t="shared" si="977"/>
        <v>-654.85402921650484</v>
      </c>
      <c r="T450">
        <f t="shared" si="978"/>
        <v>-0.65485402921650482</v>
      </c>
    </row>
    <row r="451" spans="1:20" x14ac:dyDescent="0.25">
      <c r="A451" s="5">
        <v>44142</v>
      </c>
      <c r="B451">
        <v>0.7198</v>
      </c>
      <c r="C451">
        <v>0.79320000000000002</v>
      </c>
      <c r="D451">
        <v>0.66969999999999996</v>
      </c>
      <c r="E451">
        <v>0.69610000000000005</v>
      </c>
      <c r="F451">
        <v>14821653.130000001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-0.57246963562752906</v>
      </c>
      <c r="Q451">
        <f t="shared" si="975"/>
        <v>-8484946.3667287268</v>
      </c>
      <c r="R451">
        <f t="shared" si="976"/>
        <v>-71747650.774798751</v>
      </c>
      <c r="S451">
        <f t="shared" si="977"/>
        <v>-717.47650774798751</v>
      </c>
      <c r="T451">
        <f t="shared" si="978"/>
        <v>-0.71747650774798755</v>
      </c>
    </row>
    <row r="452" spans="1:20" x14ac:dyDescent="0.25">
      <c r="A452" s="5">
        <v>44141</v>
      </c>
      <c r="B452">
        <v>0.69140000000000001</v>
      </c>
      <c r="C452">
        <v>0.76500000000000001</v>
      </c>
      <c r="D452">
        <v>0.68810000000000004</v>
      </c>
      <c r="E452">
        <v>0.71930000000000005</v>
      </c>
      <c r="F452">
        <v>12581256.17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-0.18855656697009054</v>
      </c>
      <c r="Q452">
        <f t="shared" si="975"/>
        <v>-2372278.47158647</v>
      </c>
      <c r="R452">
        <f t="shared" si="976"/>
        <v>-63262704.408070028</v>
      </c>
      <c r="S452">
        <f t="shared" si="977"/>
        <v>-632.62704408070033</v>
      </c>
      <c r="T452">
        <f t="shared" si="978"/>
        <v>-0.63262704408070036</v>
      </c>
    </row>
    <row r="453" spans="1:20" x14ac:dyDescent="0.25">
      <c r="A453" s="5">
        <v>44140</v>
      </c>
      <c r="B453">
        <v>0.53420000000000001</v>
      </c>
      <c r="C453">
        <v>0.71789999999999998</v>
      </c>
      <c r="D453">
        <v>0.53359999999999996</v>
      </c>
      <c r="E453">
        <v>0.69120000000000004</v>
      </c>
      <c r="F453">
        <v>14869185.279999999</v>
      </c>
      <c r="G453">
        <v>0</v>
      </c>
      <c r="L453" t="s">
        <v>8</v>
      </c>
      <c r="M453" t="s">
        <v>8</v>
      </c>
      <c r="N453" t="s">
        <v>7</v>
      </c>
      <c r="P453">
        <f t="shared" si="974"/>
        <v>0.71025501899077648</v>
      </c>
      <c r="Q453">
        <f t="shared" si="975"/>
        <v>10560913.473423773</v>
      </c>
      <c r="R453">
        <f t="shared" si="976"/>
        <v>-60890425.936483555</v>
      </c>
      <c r="S453">
        <f t="shared" si="977"/>
        <v>-608.90425936483553</v>
      </c>
      <c r="T453">
        <f t="shared" si="978"/>
        <v>-0.6089042593648355</v>
      </c>
    </row>
    <row r="454" spans="1:20" x14ac:dyDescent="0.25">
      <c r="A454" s="5">
        <v>44139</v>
      </c>
      <c r="B454">
        <v>0.56289999999999996</v>
      </c>
      <c r="C454">
        <v>0.56440000000000001</v>
      </c>
      <c r="D454">
        <v>0.52459999999999996</v>
      </c>
      <c r="E454">
        <v>0.53380000000000005</v>
      </c>
      <c r="F454">
        <v>6931955.7699999996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-0.53768844221105105</v>
      </c>
      <c r="Q454">
        <f t="shared" ref="Q454:Q517" si="980">F454*P454</f>
        <v>-3727232.4994472065</v>
      </c>
      <c r="R454">
        <f t="shared" ref="R454:R517" si="981">R455+Q454</f>
        <v>-71451339.409907326</v>
      </c>
      <c r="S454">
        <f t="shared" ref="S454:S517" si="982">R454/100000</f>
        <v>-714.51339409907325</v>
      </c>
      <c r="T454">
        <f t="shared" ref="T454:T517" si="983">S454/1000</f>
        <v>-0.71451339409907322</v>
      </c>
    </row>
    <row r="455" spans="1:20" x14ac:dyDescent="0.25">
      <c r="A455" s="5">
        <v>44138</v>
      </c>
      <c r="B455">
        <v>0.60589999999999999</v>
      </c>
      <c r="C455">
        <v>0.61229999999999996</v>
      </c>
      <c r="D455">
        <v>0.55730000000000002</v>
      </c>
      <c r="E455">
        <v>0.56210000000000004</v>
      </c>
      <c r="F455">
        <v>5823630.7599999998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-0.82545454545454433</v>
      </c>
      <c r="Q455">
        <f t="shared" si="980"/>
        <v>-4807142.4818909019</v>
      </c>
      <c r="R455">
        <f t="shared" si="981"/>
        <v>-67724106.910460114</v>
      </c>
      <c r="S455">
        <f t="shared" si="982"/>
        <v>-677.24106910460114</v>
      </c>
      <c r="T455">
        <f t="shared" si="983"/>
        <v>-0.67724106910460113</v>
      </c>
    </row>
    <row r="456" spans="1:20" x14ac:dyDescent="0.25">
      <c r="A456" s="5">
        <v>44137</v>
      </c>
      <c r="B456">
        <v>0.6361</v>
      </c>
      <c r="C456">
        <v>0.65169999999999995</v>
      </c>
      <c r="D456">
        <v>0.59760000000000002</v>
      </c>
      <c r="E456">
        <v>0.60640000000000005</v>
      </c>
      <c r="F456">
        <v>16305764.58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-0.67467652495378772</v>
      </c>
      <c r="Q456">
        <f t="shared" si="980"/>
        <v>-11001116.583548957</v>
      </c>
      <c r="R456">
        <f t="shared" si="981"/>
        <v>-62916964.428569205</v>
      </c>
      <c r="S456">
        <f t="shared" si="982"/>
        <v>-629.16964428569202</v>
      </c>
      <c r="T456">
        <f t="shared" si="983"/>
        <v>-0.629169644285692</v>
      </c>
    </row>
    <row r="457" spans="1:20" x14ac:dyDescent="0.25">
      <c r="A457" s="5">
        <v>44136</v>
      </c>
      <c r="B457">
        <v>0.63859999999999995</v>
      </c>
      <c r="C457">
        <v>0.65680000000000005</v>
      </c>
      <c r="D457">
        <v>0.6</v>
      </c>
      <c r="E457">
        <v>0.63500000000000001</v>
      </c>
      <c r="F457">
        <v>8584893.9100000001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0.23239436619718262</v>
      </c>
      <c r="Q457">
        <f t="shared" si="980"/>
        <v>1995080.9790845029</v>
      </c>
      <c r="R457">
        <f t="shared" si="981"/>
        <v>-51915847.845020249</v>
      </c>
      <c r="S457">
        <f t="shared" si="982"/>
        <v>-519.15847845020255</v>
      </c>
      <c r="T457">
        <f t="shared" si="983"/>
        <v>-0.51915847845020258</v>
      </c>
    </row>
    <row r="458" spans="1:20" x14ac:dyDescent="0.25">
      <c r="A458" s="5">
        <v>44135</v>
      </c>
      <c r="B458">
        <v>0.63039999999999996</v>
      </c>
      <c r="C458">
        <v>0.65639999999999998</v>
      </c>
      <c r="D458">
        <v>0.61839999999999995</v>
      </c>
      <c r="E458">
        <v>0.63849999999999996</v>
      </c>
      <c r="F458">
        <v>4194888.74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5.789473684210468E-2</v>
      </c>
      <c r="Q458">
        <f t="shared" si="980"/>
        <v>242861.97968420808</v>
      </c>
      <c r="R458">
        <f t="shared" si="981"/>
        <v>-53910928.824104756</v>
      </c>
      <c r="S458">
        <f t="shared" si="982"/>
        <v>-539.10928824104758</v>
      </c>
      <c r="T458">
        <f t="shared" si="983"/>
        <v>-0.53910928824104754</v>
      </c>
    </row>
    <row r="459" spans="1:20" x14ac:dyDescent="0.25">
      <c r="A459" s="5">
        <v>44134</v>
      </c>
      <c r="B459">
        <v>0.69</v>
      </c>
      <c r="C459">
        <v>0.70420000000000005</v>
      </c>
      <c r="D459">
        <v>0.61270000000000002</v>
      </c>
      <c r="E459">
        <v>0.63060000000000005</v>
      </c>
      <c r="F459">
        <v>7402852.4500000002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-0.6087431693989066</v>
      </c>
      <c r="Q459">
        <f t="shared" si="980"/>
        <v>-4506435.8630054612</v>
      </c>
      <c r="R459">
        <f t="shared" si="981"/>
        <v>-54153790.803788967</v>
      </c>
      <c r="S459">
        <f t="shared" si="982"/>
        <v>-541.53790803788968</v>
      </c>
      <c r="T459">
        <f t="shared" si="983"/>
        <v>-0.5415379080378897</v>
      </c>
    </row>
    <row r="460" spans="1:20" x14ac:dyDescent="0.25">
      <c r="A460" s="5">
        <v>44133</v>
      </c>
      <c r="B460">
        <v>0.7006</v>
      </c>
      <c r="C460">
        <v>0.72460000000000002</v>
      </c>
      <c r="D460">
        <v>0.67020000000000002</v>
      </c>
      <c r="E460">
        <v>0.6895</v>
      </c>
      <c r="F460">
        <v>5560173.6699999999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-0.29044117647058887</v>
      </c>
      <c r="Q460">
        <f t="shared" si="980"/>
        <v>-1614903.3820955916</v>
      </c>
      <c r="R460">
        <f t="shared" si="981"/>
        <v>-49647354.940783508</v>
      </c>
      <c r="S460">
        <f t="shared" si="982"/>
        <v>-496.47354940783509</v>
      </c>
      <c r="T460">
        <f t="shared" si="983"/>
        <v>-0.49647354940783511</v>
      </c>
    </row>
    <row r="461" spans="1:20" x14ac:dyDescent="0.25">
      <c r="A461" s="5">
        <v>44132</v>
      </c>
      <c r="B461">
        <v>0.76090000000000002</v>
      </c>
      <c r="C461">
        <v>0.77849999999999997</v>
      </c>
      <c r="D461">
        <v>0.68100000000000005</v>
      </c>
      <c r="E461">
        <v>0.7</v>
      </c>
      <c r="F461">
        <v>5748696.5499999998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-0.61025641025641186</v>
      </c>
      <c r="Q461">
        <f t="shared" si="980"/>
        <v>-3508178.9202564196</v>
      </c>
      <c r="R461">
        <f t="shared" si="981"/>
        <v>-48032451.558687918</v>
      </c>
      <c r="S461">
        <f t="shared" si="982"/>
        <v>-480.32451558687916</v>
      </c>
      <c r="T461">
        <f t="shared" si="983"/>
        <v>-0.48032451558687916</v>
      </c>
    </row>
    <row r="462" spans="1:20" x14ac:dyDescent="0.25">
      <c r="A462" s="5">
        <v>44131</v>
      </c>
      <c r="B462">
        <v>0.78029999999999999</v>
      </c>
      <c r="C462">
        <v>0.80679999999999996</v>
      </c>
      <c r="D462">
        <v>0.74470000000000003</v>
      </c>
      <c r="E462">
        <v>0.75980000000000003</v>
      </c>
      <c r="F462">
        <v>4825820.9800000004</v>
      </c>
      <c r="G462">
        <v>0</v>
      </c>
      <c r="L462" t="s">
        <v>8</v>
      </c>
      <c r="M462" t="s">
        <v>8</v>
      </c>
      <c r="N462" t="s">
        <v>7</v>
      </c>
      <c r="P462">
        <f t="shared" si="979"/>
        <v>-0.51368760064412178</v>
      </c>
      <c r="Q462">
        <f t="shared" si="980"/>
        <v>-2478964.4003542648</v>
      </c>
      <c r="R462">
        <f t="shared" si="981"/>
        <v>-44524272.638431497</v>
      </c>
      <c r="S462">
        <f t="shared" si="982"/>
        <v>-445.24272638431495</v>
      </c>
      <c r="T462">
        <f t="shared" si="983"/>
        <v>-0.44524272638431495</v>
      </c>
    </row>
    <row r="463" spans="1:20" x14ac:dyDescent="0.25">
      <c r="A463" s="5">
        <v>44130</v>
      </c>
      <c r="B463">
        <v>0.84560000000000002</v>
      </c>
      <c r="C463">
        <v>0.85670000000000002</v>
      </c>
      <c r="D463">
        <v>0.73960000000000004</v>
      </c>
      <c r="E463">
        <v>0.77839999999999998</v>
      </c>
      <c r="F463">
        <v>7675162.2599999998</v>
      </c>
      <c r="G463">
        <v>0</v>
      </c>
      <c r="L463" t="s">
        <v>7</v>
      </c>
      <c r="M463" t="s">
        <v>8</v>
      </c>
      <c r="N463" t="s">
        <v>7</v>
      </c>
      <c r="P463">
        <f t="shared" si="979"/>
        <v>-0.33731853116994104</v>
      </c>
      <c r="Q463">
        <f t="shared" si="980"/>
        <v>-2588974.4600341651</v>
      </c>
      <c r="R463">
        <f t="shared" si="981"/>
        <v>-42045308.238077231</v>
      </c>
      <c r="S463">
        <f t="shared" si="982"/>
        <v>-420.45308238077229</v>
      </c>
      <c r="T463">
        <f t="shared" si="983"/>
        <v>-0.42045308238077228</v>
      </c>
    </row>
    <row r="464" spans="1:20" x14ac:dyDescent="0.25">
      <c r="A464" s="5">
        <v>44129</v>
      </c>
      <c r="B464">
        <v>0.7389</v>
      </c>
      <c r="C464">
        <v>0.85809999999999997</v>
      </c>
      <c r="D464">
        <v>0.72899999999999998</v>
      </c>
      <c r="E464">
        <v>0.84440000000000004</v>
      </c>
      <c r="F464">
        <v>11721841.25</v>
      </c>
      <c r="G464">
        <v>0</v>
      </c>
      <c r="L464" t="s">
        <v>8</v>
      </c>
      <c r="M464" t="s">
        <v>8</v>
      </c>
      <c r="N464" t="s">
        <v>7</v>
      </c>
      <c r="P464">
        <f t="shared" si="979"/>
        <v>0.78776142525174386</v>
      </c>
      <c r="Q464">
        <f t="shared" si="980"/>
        <v>9234014.3696746826</v>
      </c>
      <c r="R464">
        <f t="shared" si="981"/>
        <v>-39456333.778043069</v>
      </c>
      <c r="S464">
        <f t="shared" si="982"/>
        <v>-394.56333778043069</v>
      </c>
      <c r="T464">
        <f t="shared" si="983"/>
        <v>-0.39456333778043068</v>
      </c>
    </row>
    <row r="465" spans="1:20" x14ac:dyDescent="0.25">
      <c r="A465" s="5">
        <v>44128</v>
      </c>
      <c r="B465">
        <v>0.72629999999999995</v>
      </c>
      <c r="C465">
        <v>0.75849999999999995</v>
      </c>
      <c r="D465">
        <v>0.70520000000000005</v>
      </c>
      <c r="E465">
        <v>0.73909999999999998</v>
      </c>
      <c r="F465">
        <v>3236181.66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0.2720450281425888</v>
      </c>
      <c r="Q465">
        <f t="shared" si="980"/>
        <v>880387.13076922973</v>
      </c>
      <c r="R465">
        <f t="shared" si="981"/>
        <v>-48690348.147717752</v>
      </c>
      <c r="S465">
        <f t="shared" si="982"/>
        <v>-486.90348147717754</v>
      </c>
      <c r="T465">
        <f t="shared" si="983"/>
        <v>-0.48690348147717755</v>
      </c>
    </row>
    <row r="466" spans="1:20" x14ac:dyDescent="0.25">
      <c r="A466" s="5">
        <v>44127</v>
      </c>
      <c r="B466">
        <v>0.74790000000000001</v>
      </c>
      <c r="C466">
        <v>0.75349999999999995</v>
      </c>
      <c r="D466">
        <v>0.68620000000000003</v>
      </c>
      <c r="E466">
        <v>0.72709999999999997</v>
      </c>
      <c r="F466">
        <v>3774042.75</v>
      </c>
      <c r="G466">
        <v>0</v>
      </c>
      <c r="L466" t="s">
        <v>7</v>
      </c>
      <c r="M466" t="s">
        <v>8</v>
      </c>
      <c r="N466" t="s">
        <v>7</v>
      </c>
      <c r="P466">
        <f t="shared" si="979"/>
        <v>0.21545319465081689</v>
      </c>
      <c r="Q466">
        <f t="shared" si="980"/>
        <v>813129.56723625422</v>
      </c>
      <c r="R466">
        <f t="shared" si="981"/>
        <v>-49570735.278486982</v>
      </c>
      <c r="S466">
        <f t="shared" si="982"/>
        <v>-495.70735278486984</v>
      </c>
      <c r="T466">
        <f t="shared" si="983"/>
        <v>-0.49570735278486983</v>
      </c>
    </row>
    <row r="467" spans="1:20" x14ac:dyDescent="0.25">
      <c r="A467" s="5">
        <v>44126</v>
      </c>
      <c r="B467">
        <v>0.70450000000000002</v>
      </c>
      <c r="C467">
        <v>0.78810000000000002</v>
      </c>
      <c r="D467">
        <v>0.70420000000000005</v>
      </c>
      <c r="E467">
        <v>0.74839999999999995</v>
      </c>
      <c r="F467">
        <v>5704822.9000000004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5.3635280095349687E-2</v>
      </c>
      <c r="Q467">
        <f t="shared" si="980"/>
        <v>305979.7741358651</v>
      </c>
      <c r="R467">
        <f t="shared" si="981"/>
        <v>-50383864.845723234</v>
      </c>
      <c r="S467">
        <f t="shared" si="982"/>
        <v>-503.83864845723235</v>
      </c>
      <c r="T467">
        <f t="shared" si="983"/>
        <v>-0.50383864845723236</v>
      </c>
    </row>
    <row r="468" spans="1:20" x14ac:dyDescent="0.25">
      <c r="A468" s="5">
        <v>44125</v>
      </c>
      <c r="B468">
        <v>0.6774</v>
      </c>
      <c r="C468">
        <v>0.74750000000000005</v>
      </c>
      <c r="D468">
        <v>0.67310000000000003</v>
      </c>
      <c r="E468">
        <v>0.70440000000000003</v>
      </c>
      <c r="F468">
        <v>7268329.25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-0.1586021505376348</v>
      </c>
      <c r="Q468">
        <f t="shared" si="980"/>
        <v>-1152772.6498655942</v>
      </c>
      <c r="R468">
        <f t="shared" si="981"/>
        <v>-50689844.619859099</v>
      </c>
      <c r="S468">
        <f t="shared" si="982"/>
        <v>-506.89844619859099</v>
      </c>
      <c r="T468">
        <f t="shared" si="983"/>
        <v>-0.50689844619859104</v>
      </c>
    </row>
    <row r="469" spans="1:20" x14ac:dyDescent="0.25">
      <c r="A469" s="5">
        <v>44124</v>
      </c>
      <c r="B469">
        <v>0.79930000000000001</v>
      </c>
      <c r="C469">
        <v>0.81</v>
      </c>
      <c r="D469">
        <v>0.67</v>
      </c>
      <c r="E469">
        <v>0.67569999999999997</v>
      </c>
      <c r="F469">
        <v>7513041.1799999997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-0.91857142857142959</v>
      </c>
      <c r="Q469">
        <f t="shared" si="980"/>
        <v>-6901264.969628579</v>
      </c>
      <c r="R469">
        <f t="shared" si="981"/>
        <v>-49537071.969993502</v>
      </c>
      <c r="S469">
        <f t="shared" si="982"/>
        <v>-495.37071969993502</v>
      </c>
      <c r="T469">
        <f t="shared" si="983"/>
        <v>-0.49537071969993501</v>
      </c>
    </row>
    <row r="470" spans="1:20" x14ac:dyDescent="0.25">
      <c r="A470" s="5">
        <v>44123</v>
      </c>
      <c r="B470">
        <v>0.87029999999999996</v>
      </c>
      <c r="C470">
        <v>0.871</v>
      </c>
      <c r="D470">
        <v>0.76500000000000001</v>
      </c>
      <c r="E470">
        <v>0.79930000000000001</v>
      </c>
      <c r="F470">
        <v>5584352.5300000003</v>
      </c>
      <c r="G470">
        <v>0</v>
      </c>
      <c r="L470" t="s">
        <v>7</v>
      </c>
      <c r="M470" t="s">
        <v>8</v>
      </c>
      <c r="N470" t="s">
        <v>7</v>
      </c>
      <c r="P470">
        <f t="shared" si="979"/>
        <v>-0.35283018867924526</v>
      </c>
      <c r="Q470">
        <f t="shared" si="980"/>
        <v>-1970328.1568113207</v>
      </c>
      <c r="R470">
        <f t="shared" si="981"/>
        <v>-42635807.000364922</v>
      </c>
      <c r="S470">
        <f t="shared" si="982"/>
        <v>-426.35807000364923</v>
      </c>
      <c r="T470">
        <f t="shared" si="983"/>
        <v>-0.42635807000364923</v>
      </c>
    </row>
    <row r="471" spans="1:20" x14ac:dyDescent="0.25">
      <c r="A471" s="5">
        <v>44122</v>
      </c>
      <c r="B471">
        <v>0.80740000000000001</v>
      </c>
      <c r="C471">
        <v>0.87529999999999997</v>
      </c>
      <c r="D471">
        <v>0.80069999999999997</v>
      </c>
      <c r="E471">
        <v>0.86919999999999997</v>
      </c>
      <c r="F471">
        <v>5960006.25</v>
      </c>
      <c r="G471">
        <v>0</v>
      </c>
      <c r="L471" t="s">
        <v>8</v>
      </c>
      <c r="M471" t="s">
        <v>8</v>
      </c>
      <c r="N471" t="s">
        <v>7</v>
      </c>
      <c r="P471">
        <f t="shared" si="979"/>
        <v>0.83646112600536204</v>
      </c>
      <c r="Q471">
        <f t="shared" si="980"/>
        <v>4985313.5388739957</v>
      </c>
      <c r="R471">
        <f t="shared" si="981"/>
        <v>-40665478.843553603</v>
      </c>
      <c r="S471">
        <f t="shared" si="982"/>
        <v>-406.65478843553603</v>
      </c>
      <c r="T471">
        <f t="shared" si="983"/>
        <v>-0.40665478843553604</v>
      </c>
    </row>
    <row r="472" spans="1:20" x14ac:dyDescent="0.25">
      <c r="A472" s="5">
        <v>44121</v>
      </c>
      <c r="B472">
        <v>0.81710000000000005</v>
      </c>
      <c r="C472">
        <v>0.8649</v>
      </c>
      <c r="D472">
        <v>0.72</v>
      </c>
      <c r="E472">
        <v>0.80730000000000002</v>
      </c>
      <c r="F472">
        <v>11674014.529999999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0.20496894409937924</v>
      </c>
      <c r="Q472">
        <f t="shared" si="980"/>
        <v>2392810.4316149107</v>
      </c>
      <c r="R472">
        <f t="shared" si="981"/>
        <v>-45650792.382427596</v>
      </c>
      <c r="S472">
        <f t="shared" si="982"/>
        <v>-456.50792382427596</v>
      </c>
      <c r="T472">
        <f t="shared" si="983"/>
        <v>-0.45650792382427596</v>
      </c>
    </row>
    <row r="473" spans="1:20" x14ac:dyDescent="0.25">
      <c r="A473" s="5">
        <v>44120</v>
      </c>
      <c r="B473">
        <v>1.1222000000000001</v>
      </c>
      <c r="C473">
        <v>1.1524000000000001</v>
      </c>
      <c r="D473">
        <v>0.81200000000000006</v>
      </c>
      <c r="E473">
        <v>0.81710000000000005</v>
      </c>
      <c r="F473">
        <v>18486274.59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-0.9700352526439483</v>
      </c>
      <c r="Q473">
        <f t="shared" si="980"/>
        <v>-17932338.042356052</v>
      </c>
      <c r="R473">
        <f t="shared" si="981"/>
        <v>-48043602.814042509</v>
      </c>
      <c r="S473">
        <f t="shared" si="982"/>
        <v>-480.43602814042509</v>
      </c>
      <c r="T473">
        <f t="shared" si="983"/>
        <v>-0.48043602814042508</v>
      </c>
    </row>
    <row r="474" spans="1:20" x14ac:dyDescent="0.25">
      <c r="A474" s="5">
        <v>44119</v>
      </c>
      <c r="B474">
        <v>1.1685000000000001</v>
      </c>
      <c r="C474">
        <v>1.2522</v>
      </c>
      <c r="D474">
        <v>1.0791999999999999</v>
      </c>
      <c r="E474">
        <v>1.1209</v>
      </c>
      <c r="F474">
        <v>11332956.189999999</v>
      </c>
      <c r="G474">
        <v>0</v>
      </c>
      <c r="L474" t="s">
        <v>8</v>
      </c>
      <c r="M474" t="s">
        <v>8</v>
      </c>
      <c r="N474" t="s">
        <v>8</v>
      </c>
      <c r="P474">
        <f t="shared" si="979"/>
        <v>-0.51791907514450797</v>
      </c>
      <c r="Q474">
        <f t="shared" si="980"/>
        <v>-5869554.1885780264</v>
      </c>
      <c r="R474">
        <f t="shared" si="981"/>
        <v>-30111264.771686457</v>
      </c>
      <c r="S474">
        <f t="shared" si="982"/>
        <v>-301.11264771686456</v>
      </c>
      <c r="T474">
        <f t="shared" si="983"/>
        <v>-0.30111264771686458</v>
      </c>
    </row>
    <row r="475" spans="1:20" x14ac:dyDescent="0.25">
      <c r="A475" s="5">
        <v>44118</v>
      </c>
      <c r="B475">
        <v>1.3</v>
      </c>
      <c r="C475">
        <v>1.88</v>
      </c>
      <c r="D475">
        <v>1.05</v>
      </c>
      <c r="E475">
        <v>1.1685000000000001</v>
      </c>
      <c r="F475">
        <v>33930218.859999999</v>
      </c>
      <c r="G475">
        <v>0</v>
      </c>
      <c r="P475">
        <f t="shared" si="979"/>
        <v>-0.71445783132530105</v>
      </c>
      <c r="Q475">
        <f t="shared" si="980"/>
        <v>-24241710.583108429</v>
      </c>
      <c r="R475">
        <f t="shared" si="981"/>
        <v>-24241710.583108429</v>
      </c>
      <c r="S475">
        <f t="shared" si="982"/>
        <v>-242.41710583108429</v>
      </c>
      <c r="T475">
        <f t="shared" si="983"/>
        <v>-0.24241710583108428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T467" sqref="IT46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$A$466</v>
      </c>
      <c r="D111" s="1" t="str">
        <f>ADDRESS(C121-1,D121,1,1)</f>
        <v>$IT$466</v>
      </c>
      <c r="E111"/>
    </row>
    <row r="112" spans="1:5" x14ac:dyDescent="0.25">
      <c r="A112" s="7">
        <v>12164.144957890772</v>
      </c>
      <c r="C112" s="1" t="str">
        <f>ADDRESS(C121,1,1,1)</f>
        <v>$A$467</v>
      </c>
      <c r="D112" s="1" t="str">
        <f>ADDRESS(C121,D121-1,1,1)</f>
        <v>$IS$467</v>
      </c>
      <c r="E112"/>
    </row>
    <row r="113" spans="1:5" x14ac:dyDescent="0.25">
      <c r="A113" s="7">
        <v>11925.63231165762</v>
      </c>
      <c r="C113" s="1" t="str">
        <f>ADDRESS(C121+1,1,1,1)</f>
        <v>$A$468</v>
      </c>
      <c r="D113" s="1" t="str">
        <f>ADDRESS(C121-1,D121+1,1,1)</f>
        <v>$IU$466</v>
      </c>
    </row>
    <row r="114" spans="1:5" x14ac:dyDescent="0.25">
      <c r="A114" s="7">
        <v>11691.796383978059</v>
      </c>
      <c r="C114" s="1" t="str">
        <f>ADDRESS(C121,D121,1,1)</f>
        <v>$IT$467</v>
      </c>
      <c r="D114" s="1" t="str">
        <f>ADDRESS(C121+1,D121+1,1,1)</f>
        <v>$IU$468</v>
      </c>
    </row>
    <row r="115" spans="1:5" x14ac:dyDescent="0.25">
      <c r="A115" s="7">
        <v>11462.545474488292</v>
      </c>
      <c r="C115" s="1" t="str">
        <f>ADDRESS(C121+1,D121,1,1)</f>
        <v>$IT$468</v>
      </c>
    </row>
    <row r="116" spans="1:5" x14ac:dyDescent="0.25">
      <c r="A116" s="7">
        <v>11237.789680870874</v>
      </c>
      <c r="C116" s="1">
        <f>C117-1</f>
        <v>466</v>
      </c>
    </row>
    <row r="117" spans="1:5" x14ac:dyDescent="0.25">
      <c r="A117" s="7">
        <v>11017.440863598895</v>
      </c>
      <c r="C117" s="1">
        <f>C121</f>
        <v>467</v>
      </c>
      <c r="D117" s="1">
        <f>D121</f>
        <v>254</v>
      </c>
    </row>
    <row r="118" spans="1:5" x14ac:dyDescent="0.25">
      <c r="A118" s="7">
        <v>10801.412611371465</v>
      </c>
      <c r="C118" s="1">
        <f>C117+1</f>
        <v>468</v>
      </c>
      <c r="D118" s="1">
        <f>D117+1</f>
        <v>255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467</v>
      </c>
      <c r="D121" s="19">
        <v>254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R467</v>
      </c>
      <c r="D123" s="1" t="str">
        <f>"C"&amp;D121</f>
        <v>C254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10.765163034201771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250" x14ac:dyDescent="0.25">
      <c r="A433" s="7">
        <v>21.106997141968804</v>
      </c>
      <c r="B433"/>
      <c r="C433"/>
      <c r="D433"/>
      <c r="E433"/>
    </row>
    <row r="434" spans="1:250" x14ac:dyDescent="0.25">
      <c r="A434" s="7">
        <v>20.693134452910591</v>
      </c>
      <c r="B434"/>
      <c r="C434"/>
      <c r="D434"/>
      <c r="E434"/>
    </row>
    <row r="435" spans="1:250" x14ac:dyDescent="0.25">
      <c r="A435" s="7">
        <v>20.287386718539796</v>
      </c>
      <c r="B435"/>
      <c r="C435"/>
      <c r="D435"/>
      <c r="E435"/>
      <c r="IM435" s="27" t="s">
        <v>8</v>
      </c>
      <c r="IO435" s="27" t="s">
        <v>8</v>
      </c>
    </row>
    <row r="436" spans="1:250" x14ac:dyDescent="0.25">
      <c r="A436" s="7">
        <v>19.889594822097838</v>
      </c>
      <c r="B436"/>
      <c r="C436"/>
      <c r="D436"/>
      <c r="E436"/>
      <c r="IM436" s="27" t="s">
        <v>8</v>
      </c>
      <c r="IN436" s="27" t="s">
        <v>7</v>
      </c>
      <c r="IO436" s="27" t="s">
        <v>8</v>
      </c>
      <c r="IP436" s="27" t="s">
        <v>7</v>
      </c>
    </row>
    <row r="437" spans="1:250" x14ac:dyDescent="0.25">
      <c r="A437" s="7">
        <v>19.499602766762585</v>
      </c>
      <c r="B437"/>
      <c r="C437"/>
      <c r="D437"/>
      <c r="E437"/>
      <c r="IM437" s="27" t="s">
        <v>8</v>
      </c>
      <c r="IN437" s="27" t="s">
        <v>7</v>
      </c>
      <c r="IO437" s="27" t="s">
        <v>8</v>
      </c>
      <c r="IP437" s="27" t="s">
        <v>7</v>
      </c>
    </row>
    <row r="438" spans="1:250" x14ac:dyDescent="0.25">
      <c r="A438" s="7">
        <v>19.117257614473122</v>
      </c>
      <c r="B438"/>
      <c r="C438"/>
      <c r="D438"/>
      <c r="E438"/>
      <c r="IM438" s="27" t="s">
        <v>8</v>
      </c>
      <c r="IN438" s="27" t="s">
        <v>7</v>
      </c>
      <c r="IP438" s="27" t="s">
        <v>7</v>
      </c>
    </row>
    <row r="439" spans="1:250" x14ac:dyDescent="0.25">
      <c r="A439" s="7">
        <v>18.74240942595404</v>
      </c>
      <c r="B439"/>
      <c r="C439"/>
      <c r="D439"/>
      <c r="E439"/>
      <c r="IM439" s="27" t="s">
        <v>8</v>
      </c>
      <c r="IP439" s="27" t="s">
        <v>7</v>
      </c>
    </row>
    <row r="440" spans="1:250" x14ac:dyDescent="0.25">
      <c r="A440" s="7">
        <v>18.374911201915726</v>
      </c>
      <c r="B440"/>
      <c r="C440"/>
      <c r="D440"/>
      <c r="E440"/>
      <c r="IM440" s="27" t="s">
        <v>8</v>
      </c>
      <c r="IP440" s="27" t="s">
        <v>7</v>
      </c>
    </row>
    <row r="441" spans="1:250" x14ac:dyDescent="0.25">
      <c r="A441" s="7">
        <v>18.014618825407574</v>
      </c>
      <c r="B441"/>
      <c r="C441"/>
      <c r="D441"/>
      <c r="E441"/>
      <c r="IM441" s="27" t="s">
        <v>8</v>
      </c>
      <c r="IP441" s="27" t="s">
        <v>7</v>
      </c>
    </row>
    <row r="442" spans="1:250" x14ac:dyDescent="0.25">
      <c r="A442" s="7">
        <v>17.661391005301542</v>
      </c>
      <c r="B442"/>
      <c r="C442"/>
      <c r="D442"/>
      <c r="E442"/>
      <c r="HY442" s="27" t="s">
        <v>8</v>
      </c>
      <c r="II442" s="27" t="s">
        <v>8</v>
      </c>
      <c r="IM442" s="27" t="s">
        <v>8</v>
      </c>
      <c r="IP442" s="27" t="s">
        <v>7</v>
      </c>
    </row>
    <row r="443" spans="1:250" x14ac:dyDescent="0.25">
      <c r="A443" s="7">
        <v>17.315089220883866</v>
      </c>
      <c r="B443"/>
      <c r="C443"/>
      <c r="D443"/>
      <c r="E443"/>
      <c r="HY443" s="27" t="s">
        <v>8</v>
      </c>
      <c r="HZ443" s="27" t="s">
        <v>7</v>
      </c>
      <c r="II443" s="27" t="s">
        <v>8</v>
      </c>
      <c r="IJ443" s="27" t="s">
        <v>7</v>
      </c>
      <c r="IM443" s="27" t="s">
        <v>8</v>
      </c>
      <c r="IP443" s="27" t="s">
        <v>7</v>
      </c>
    </row>
    <row r="444" spans="1:250" x14ac:dyDescent="0.25">
      <c r="A444" s="7">
        <v>16.975577667533202</v>
      </c>
      <c r="B444"/>
      <c r="C444"/>
      <c r="D444"/>
      <c r="E444"/>
      <c r="HY444" s="27" t="s">
        <v>8</v>
      </c>
      <c r="HZ444" s="27" t="s">
        <v>7</v>
      </c>
      <c r="II444" s="27" t="s">
        <v>8</v>
      </c>
      <c r="IJ444" s="27" t="s">
        <v>7</v>
      </c>
      <c r="IM444" s="27" t="s">
        <v>8</v>
      </c>
      <c r="IP444" s="27" t="s">
        <v>7</v>
      </c>
    </row>
    <row r="445" spans="1:250" x14ac:dyDescent="0.25">
      <c r="A445" s="7">
        <v>16.642723203463923</v>
      </c>
      <c r="B445"/>
      <c r="C445"/>
      <c r="D445"/>
      <c r="E445"/>
      <c r="HY445" s="27" t="s">
        <v>8</v>
      </c>
      <c r="HZ445" s="27" t="s">
        <v>7</v>
      </c>
      <c r="II445" s="27" t="s">
        <v>8</v>
      </c>
      <c r="IJ445" s="27" t="s">
        <v>7</v>
      </c>
      <c r="IM445" s="27" t="s">
        <v>8</v>
      </c>
      <c r="IP445" s="27" t="s">
        <v>7</v>
      </c>
    </row>
    <row r="446" spans="1:250" x14ac:dyDescent="0.25">
      <c r="A446" s="7">
        <v>16.316395297513651</v>
      </c>
      <c r="B446"/>
      <c r="C446"/>
      <c r="D446"/>
      <c r="E446"/>
      <c r="HY446" s="27" t="s">
        <v>8</v>
      </c>
      <c r="HZ446" s="27" t="s">
        <v>7</v>
      </c>
      <c r="IE446" s="27" t="s">
        <v>8</v>
      </c>
      <c r="II446" s="27" t="s">
        <v>8</v>
      </c>
      <c r="IJ446" s="27" t="s">
        <v>7</v>
      </c>
      <c r="IM446" s="27" t="s">
        <v>8</v>
      </c>
      <c r="IP446" s="27" t="s">
        <v>7</v>
      </c>
    </row>
    <row r="447" spans="1:250" x14ac:dyDescent="0.25">
      <c r="A447" s="7">
        <v>15.996465977954561</v>
      </c>
      <c r="B447"/>
      <c r="C447"/>
      <c r="D447"/>
      <c r="E447"/>
      <c r="HY447" s="27" t="s">
        <v>8</v>
      </c>
      <c r="HZ447" s="27" t="s">
        <v>7</v>
      </c>
      <c r="IE447" s="27" t="s">
        <v>8</v>
      </c>
      <c r="IF447" s="27" t="s">
        <v>7</v>
      </c>
      <c r="II447" s="27" t="s">
        <v>8</v>
      </c>
      <c r="IJ447" s="27" t="s">
        <v>7</v>
      </c>
      <c r="IK447" s="27" t="s">
        <v>8</v>
      </c>
      <c r="IM447" s="27" t="s">
        <v>8</v>
      </c>
      <c r="IP447" s="27" t="s">
        <v>7</v>
      </c>
    </row>
    <row r="448" spans="1:250" x14ac:dyDescent="0.25">
      <c r="A448" s="7">
        <v>15.682809782308393</v>
      </c>
      <c r="B448"/>
      <c r="C448"/>
      <c r="D448"/>
      <c r="E448"/>
      <c r="HY448" s="27" t="s">
        <v>8</v>
      </c>
      <c r="HZ448" s="27" t="s">
        <v>7</v>
      </c>
      <c r="IC448" s="27" t="s">
        <v>8</v>
      </c>
      <c r="IE448" s="27" t="s">
        <v>8</v>
      </c>
      <c r="IF448" s="27" t="s">
        <v>7</v>
      </c>
      <c r="IG448" s="27" t="s">
        <v>8</v>
      </c>
      <c r="II448" s="27" t="s">
        <v>8</v>
      </c>
      <c r="IJ448" s="27" t="s">
        <v>7</v>
      </c>
      <c r="IK448" s="27" t="s">
        <v>8</v>
      </c>
      <c r="IL448" s="27" t="s">
        <v>7</v>
      </c>
      <c r="IM448" s="27" t="s">
        <v>8</v>
      </c>
      <c r="IP448" s="27" t="s">
        <v>7</v>
      </c>
    </row>
    <row r="449" spans="1:254" x14ac:dyDescent="0.25">
      <c r="A449" s="7">
        <v>15.375303708145482</v>
      </c>
      <c r="B449"/>
      <c r="C449"/>
      <c r="D449"/>
      <c r="E449"/>
      <c r="HY449" s="27" t="s">
        <v>8</v>
      </c>
      <c r="HZ449" s="27" t="s">
        <v>7</v>
      </c>
      <c r="IC449" s="27" t="s">
        <v>8</v>
      </c>
      <c r="ID449" s="27" t="s">
        <v>7</v>
      </c>
      <c r="IE449" s="27" t="s">
        <v>8</v>
      </c>
      <c r="IF449" s="27" t="s">
        <v>7</v>
      </c>
      <c r="IG449" s="27" t="s">
        <v>8</v>
      </c>
      <c r="IH449" s="27" t="s">
        <v>7</v>
      </c>
      <c r="II449" s="27" t="s">
        <v>8</v>
      </c>
      <c r="IJ449" s="27" t="s">
        <v>7</v>
      </c>
      <c r="IK449" s="27" t="s">
        <v>8</v>
      </c>
      <c r="IL449" s="27" t="s">
        <v>7</v>
      </c>
      <c r="IM449" s="27" t="s">
        <v>8</v>
      </c>
      <c r="IP449" s="27" t="s">
        <v>7</v>
      </c>
    </row>
    <row r="450" spans="1:254" x14ac:dyDescent="0.25">
      <c r="A450" s="7">
        <v>15.073827164848511</v>
      </c>
      <c r="B450"/>
      <c r="C450"/>
      <c r="D450"/>
      <c r="E450"/>
      <c r="HY450" s="27" t="s">
        <v>8</v>
      </c>
      <c r="HZ450" s="27" t="s">
        <v>7</v>
      </c>
      <c r="IC450" s="27" t="s">
        <v>8</v>
      </c>
      <c r="ID450" s="27" t="s">
        <v>7</v>
      </c>
      <c r="IE450" s="27" t="s">
        <v>8</v>
      </c>
      <c r="IF450" s="27" t="s">
        <v>7</v>
      </c>
      <c r="IG450" s="27" t="s">
        <v>8</v>
      </c>
      <c r="IH450" s="27" t="s">
        <v>7</v>
      </c>
      <c r="II450" s="27" t="s">
        <v>8</v>
      </c>
      <c r="IJ450" s="27" t="s">
        <v>7</v>
      </c>
      <c r="IK450" s="27" t="s">
        <v>8</v>
      </c>
      <c r="IL450" s="27" t="s">
        <v>7</v>
      </c>
      <c r="IM450" s="27" t="s">
        <v>8</v>
      </c>
      <c r="IP450" s="27" t="s">
        <v>7</v>
      </c>
    </row>
    <row r="451" spans="1:254" x14ac:dyDescent="0.25">
      <c r="A451" s="7">
        <v>14.77826192632207</v>
      </c>
      <c r="B451"/>
      <c r="C451"/>
      <c r="D451"/>
      <c r="E451"/>
      <c r="HY451" s="27" t="s">
        <v>8</v>
      </c>
      <c r="HZ451" s="27" t="s">
        <v>7</v>
      </c>
      <c r="IC451" s="27" t="s">
        <v>8</v>
      </c>
      <c r="ID451" s="27" t="s">
        <v>7</v>
      </c>
      <c r="IE451" s="27" t="s">
        <v>8</v>
      </c>
      <c r="IF451" s="27" t="s">
        <v>7</v>
      </c>
      <c r="IG451" s="27" t="s">
        <v>8</v>
      </c>
      <c r="IH451" s="27" t="s">
        <v>7</v>
      </c>
      <c r="II451" s="27" t="s">
        <v>8</v>
      </c>
      <c r="IJ451" s="27" t="s">
        <v>7</v>
      </c>
      <c r="IK451" s="27" t="s">
        <v>8</v>
      </c>
      <c r="IL451" s="27" t="s">
        <v>7</v>
      </c>
      <c r="IM451" s="27" t="s">
        <v>8</v>
      </c>
      <c r="IP451" s="27" t="s">
        <v>7</v>
      </c>
    </row>
    <row r="452" spans="1:254" x14ac:dyDescent="0.25">
      <c r="A452" s="7">
        <v>14.488492084629481</v>
      </c>
      <c r="B452"/>
      <c r="C452"/>
      <c r="D452"/>
      <c r="E452"/>
      <c r="HY452" s="27" t="s">
        <v>8</v>
      </c>
      <c r="HZ452" s="27" t="s">
        <v>7</v>
      </c>
      <c r="IC452" s="27" t="s">
        <v>8</v>
      </c>
      <c r="ID452" s="27" t="s">
        <v>7</v>
      </c>
      <c r="IF452" s="27" t="s">
        <v>7</v>
      </c>
      <c r="IG452" s="27" t="s">
        <v>8</v>
      </c>
      <c r="IH452" s="27" t="s">
        <v>7</v>
      </c>
      <c r="II452" s="27" t="s">
        <v>8</v>
      </c>
      <c r="IJ452" s="27" t="s">
        <v>7</v>
      </c>
      <c r="IK452" s="27" t="s">
        <v>8</v>
      </c>
      <c r="IL452" s="27" t="s">
        <v>7</v>
      </c>
      <c r="IM452" s="27" t="s">
        <v>8</v>
      </c>
      <c r="IP452" s="27" t="s">
        <v>7</v>
      </c>
    </row>
    <row r="453" spans="1:254" x14ac:dyDescent="0.25">
      <c r="A453" s="7">
        <v>14.204404004538707</v>
      </c>
      <c r="B453"/>
      <c r="C453"/>
      <c r="D453"/>
      <c r="E453"/>
      <c r="HY453" s="27" t="s">
        <v>8</v>
      </c>
      <c r="HZ453" s="27" t="s">
        <v>7</v>
      </c>
      <c r="IC453" s="27" t="s">
        <v>8</v>
      </c>
      <c r="IF453" s="27" t="s">
        <v>7</v>
      </c>
      <c r="IG453" s="27" t="s">
        <v>8</v>
      </c>
      <c r="IH453" s="27" t="s">
        <v>7</v>
      </c>
      <c r="II453" s="27" t="s">
        <v>8</v>
      </c>
      <c r="IJ453" s="27" t="s">
        <v>7</v>
      </c>
      <c r="IL453" s="27" t="s">
        <v>7</v>
      </c>
      <c r="IM453" s="27" t="s">
        <v>8</v>
      </c>
      <c r="IP453" s="27" t="s">
        <v>7</v>
      </c>
    </row>
    <row r="454" spans="1:254" x14ac:dyDescent="0.25">
      <c r="A454" s="7">
        <v>13.925886278959517</v>
      </c>
      <c r="B454"/>
      <c r="C454"/>
      <c r="D454"/>
      <c r="E454"/>
      <c r="HY454" s="27" t="s">
        <v>8</v>
      </c>
      <c r="HZ454" s="27" t="s">
        <v>7</v>
      </c>
      <c r="IC454" s="27" t="s">
        <v>8</v>
      </c>
      <c r="IF454" s="27" t="s">
        <v>7</v>
      </c>
      <c r="IG454" s="27" t="s">
        <v>8</v>
      </c>
      <c r="IH454" s="27" t="s">
        <v>7</v>
      </c>
      <c r="IL454" s="27" t="s">
        <v>7</v>
      </c>
      <c r="IM454" s="27" t="s">
        <v>8</v>
      </c>
      <c r="IP454" s="27" t="s">
        <v>7</v>
      </c>
    </row>
    <row r="455" spans="1:254" x14ac:dyDescent="0.25">
      <c r="A455" s="7">
        <v>13.652829685254428</v>
      </c>
      <c r="B455"/>
      <c r="C455"/>
      <c r="D455"/>
      <c r="E455"/>
      <c r="HY455" s="27" t="s">
        <v>8</v>
      </c>
      <c r="HZ455" s="27" t="s">
        <v>7</v>
      </c>
      <c r="IC455" s="27" t="s">
        <v>8</v>
      </c>
      <c r="IF455" s="27" t="s">
        <v>7</v>
      </c>
      <c r="IG455" s="27" t="s">
        <v>8</v>
      </c>
      <c r="IL455" s="27" t="s">
        <v>7</v>
      </c>
      <c r="IM455" s="27" t="s">
        <v>8</v>
      </c>
      <c r="IP455" s="27" t="s">
        <v>7</v>
      </c>
    </row>
    <row r="456" spans="1:254" x14ac:dyDescent="0.25">
      <c r="A456" s="7">
        <v>13.385127142406303</v>
      </c>
      <c r="B456"/>
      <c r="C456"/>
      <c r="D456"/>
      <c r="E456"/>
      <c r="HY456" s="27" t="s">
        <v>8</v>
      </c>
      <c r="HZ456" s="27" t="s">
        <v>7</v>
      </c>
      <c r="IC456" s="27" t="s">
        <v>8</v>
      </c>
      <c r="IF456" s="27" t="s">
        <v>7</v>
      </c>
      <c r="IG456" s="27" t="s">
        <v>8</v>
      </c>
      <c r="IL456" s="27" t="s">
        <v>7</v>
      </c>
      <c r="IM456" s="27" t="s">
        <v>8</v>
      </c>
      <c r="IP456" s="27" t="s">
        <v>7</v>
      </c>
    </row>
    <row r="457" spans="1:254" x14ac:dyDescent="0.25">
      <c r="A457" s="7">
        <v>13.122673669025787</v>
      </c>
      <c r="B457"/>
      <c r="C457"/>
      <c r="D457"/>
      <c r="E457"/>
      <c r="GW457" s="27" t="s">
        <v>8</v>
      </c>
      <c r="HY457" s="27" t="s">
        <v>8</v>
      </c>
      <c r="HZ457" s="27" t="s">
        <v>7</v>
      </c>
      <c r="IC457" s="27" t="s">
        <v>8</v>
      </c>
      <c r="IF457" s="27" t="s">
        <v>7</v>
      </c>
      <c r="IL457" s="27" t="s">
        <v>7</v>
      </c>
      <c r="IP457" s="27" t="s">
        <v>7</v>
      </c>
    </row>
    <row r="458" spans="1:254" x14ac:dyDescent="0.25">
      <c r="A458" s="7">
        <v>12.865366342182144</v>
      </c>
      <c r="B458"/>
      <c r="C458"/>
      <c r="D458"/>
      <c r="E458"/>
      <c r="GW458" s="27" t="s">
        <v>8</v>
      </c>
      <c r="GX458" s="27" t="s">
        <v>7</v>
      </c>
      <c r="HY458" s="27" t="s">
        <v>8</v>
      </c>
      <c r="HZ458" s="27" t="s">
        <v>7</v>
      </c>
      <c r="IC458" s="27" t="s">
        <v>8</v>
      </c>
      <c r="IP458" s="27" t="s">
        <v>7</v>
      </c>
      <c r="IS458" s="27" t="s">
        <v>8</v>
      </c>
    </row>
    <row r="459" spans="1:254" x14ac:dyDescent="0.25">
      <c r="A459" s="7">
        <v>12.613104257041318</v>
      </c>
      <c r="B459"/>
      <c r="C459"/>
      <c r="D459"/>
      <c r="E459"/>
      <c r="GW459" s="27" t="s">
        <v>8</v>
      </c>
      <c r="GX459" s="27" t="s">
        <v>7</v>
      </c>
      <c r="GY459" s="27" t="s">
        <v>8</v>
      </c>
      <c r="HE459" s="27" t="s">
        <v>8</v>
      </c>
      <c r="HY459" s="27" t="s">
        <v>8</v>
      </c>
      <c r="HZ459" s="27" t="s">
        <v>7</v>
      </c>
      <c r="IC459" s="27" t="s">
        <v>8</v>
      </c>
      <c r="IP459" s="27" t="s">
        <v>7</v>
      </c>
      <c r="IS459" s="27" t="s">
        <v>8</v>
      </c>
      <c r="IT459" s="27" t="s">
        <v>7</v>
      </c>
    </row>
    <row r="460" spans="1:254" x14ac:dyDescent="0.25">
      <c r="A460" s="7">
        <v>12.36578848729541</v>
      </c>
      <c r="B460"/>
      <c r="C460"/>
      <c r="D460"/>
      <c r="E460"/>
      <c r="GW460" s="27" t="s">
        <v>8</v>
      </c>
      <c r="GX460" s="27" t="s">
        <v>7</v>
      </c>
      <c r="GY460" s="27" t="s">
        <v>8</v>
      </c>
      <c r="GZ460" s="27" t="s">
        <v>7</v>
      </c>
      <c r="HE460" s="27" t="s">
        <v>8</v>
      </c>
      <c r="HF460" s="27" t="s">
        <v>7</v>
      </c>
      <c r="HY460" s="27" t="s">
        <v>8</v>
      </c>
      <c r="HZ460" s="27" t="s">
        <v>7</v>
      </c>
      <c r="IC460" s="27" t="s">
        <v>8</v>
      </c>
      <c r="IP460" s="27" t="s">
        <v>7</v>
      </c>
      <c r="IQ460" s="27" t="s">
        <v>8</v>
      </c>
      <c r="IS460" s="27" t="s">
        <v>8</v>
      </c>
      <c r="IT460" s="27" t="s">
        <v>7</v>
      </c>
    </row>
    <row r="461" spans="1:254" x14ac:dyDescent="0.25">
      <c r="A461" s="7">
        <v>12.123322046368049</v>
      </c>
      <c r="B461"/>
      <c r="C461"/>
      <c r="D461"/>
      <c r="E461"/>
      <c r="GW461" s="27" t="s">
        <v>8</v>
      </c>
      <c r="GX461" s="27" t="s">
        <v>7</v>
      </c>
      <c r="GY461" s="27" t="s">
        <v>8</v>
      </c>
      <c r="GZ461" s="27" t="s">
        <v>7</v>
      </c>
      <c r="HE461" s="27" t="s">
        <v>8</v>
      </c>
      <c r="HF461" s="27" t="s">
        <v>7</v>
      </c>
      <c r="HY461" s="27" t="s">
        <v>8</v>
      </c>
      <c r="HZ461" s="27" t="s">
        <v>7</v>
      </c>
      <c r="IC461" s="27" t="s">
        <v>8</v>
      </c>
      <c r="IP461" s="27" t="s">
        <v>7</v>
      </c>
      <c r="IQ461" s="27" t="s">
        <v>8</v>
      </c>
      <c r="IR461" s="27" t="s">
        <v>7</v>
      </c>
      <c r="IS461" s="27" t="s">
        <v>8</v>
      </c>
      <c r="IT461" s="27" t="s">
        <v>7</v>
      </c>
    </row>
    <row r="462" spans="1:254" x14ac:dyDescent="0.25">
      <c r="A462" s="7">
        <v>11.88560984938044</v>
      </c>
      <c r="B462"/>
      <c r="C462"/>
      <c r="D462"/>
      <c r="E462"/>
      <c r="GW462" s="27" t="s">
        <v>8</v>
      </c>
      <c r="GX462" s="27" t="s">
        <v>7</v>
      </c>
      <c r="GY462" s="27" t="s">
        <v>8</v>
      </c>
      <c r="GZ462" s="27" t="s">
        <v>7</v>
      </c>
      <c r="HE462" s="27" t="s">
        <v>8</v>
      </c>
      <c r="HF462" s="27" t="s">
        <v>7</v>
      </c>
      <c r="HG462" s="27" t="s">
        <v>8</v>
      </c>
      <c r="HY462" s="27" t="s">
        <v>8</v>
      </c>
      <c r="HZ462" s="27" t="s">
        <v>7</v>
      </c>
      <c r="IC462" s="27" t="s">
        <v>8</v>
      </c>
      <c r="IP462" s="27" t="s">
        <v>7</v>
      </c>
      <c r="IQ462" s="27" t="s">
        <v>8</v>
      </c>
      <c r="IR462" s="27" t="s">
        <v>7</v>
      </c>
      <c r="IS462" s="27" t="s">
        <v>8</v>
      </c>
      <c r="IT462" s="27" t="s">
        <v>7</v>
      </c>
    </row>
    <row r="463" spans="1:254" x14ac:dyDescent="0.25">
      <c r="A463" s="7">
        <v>11.652558675863176</v>
      </c>
      <c r="B463"/>
      <c r="C463"/>
      <c r="D463"/>
      <c r="E463"/>
      <c r="FU463" s="27" t="s">
        <v>8</v>
      </c>
      <c r="GW463" s="27" t="s">
        <v>8</v>
      </c>
      <c r="GX463" s="27" t="s">
        <v>7</v>
      </c>
      <c r="GY463" s="27" t="s">
        <v>8</v>
      </c>
      <c r="GZ463" s="27" t="s">
        <v>7</v>
      </c>
      <c r="HC463" s="27" t="s">
        <v>8</v>
      </c>
      <c r="HE463" s="27" t="s">
        <v>8</v>
      </c>
      <c r="HF463" s="27" t="s">
        <v>7</v>
      </c>
      <c r="HG463" s="27" t="s">
        <v>8</v>
      </c>
      <c r="HH463" s="27" t="s">
        <v>7</v>
      </c>
      <c r="HW463" s="27" t="s">
        <v>8</v>
      </c>
      <c r="HY463" s="27" t="s">
        <v>8</v>
      </c>
      <c r="HZ463" s="27" t="s">
        <v>7</v>
      </c>
      <c r="IC463" s="27" t="s">
        <v>8</v>
      </c>
      <c r="IP463" s="27" t="s">
        <v>7</v>
      </c>
      <c r="IQ463" s="27" t="s">
        <v>8</v>
      </c>
      <c r="IR463" s="27" t="s">
        <v>7</v>
      </c>
      <c r="IS463" s="27" t="s">
        <v>8</v>
      </c>
      <c r="IT463" s="27" t="s">
        <v>7</v>
      </c>
    </row>
    <row r="464" spans="1:254" x14ac:dyDescent="0.25">
      <c r="A464" s="7">
        <v>11.424077133199193</v>
      </c>
      <c r="B464"/>
      <c r="C464"/>
      <c r="D464"/>
      <c r="E464"/>
      <c r="FU464" s="27" t="s">
        <v>8</v>
      </c>
      <c r="FV464" s="27" t="s">
        <v>7</v>
      </c>
      <c r="GW464" s="27" t="s">
        <v>8</v>
      </c>
      <c r="GX464" s="27" t="s">
        <v>7</v>
      </c>
      <c r="GY464" s="27" t="s">
        <v>8</v>
      </c>
      <c r="GZ464" s="27" t="s">
        <v>7</v>
      </c>
      <c r="HA464" s="27" t="s">
        <v>8</v>
      </c>
      <c r="HC464" s="27" t="s">
        <v>8</v>
      </c>
      <c r="HD464" s="27" t="s">
        <v>7</v>
      </c>
      <c r="HE464" s="27" t="s">
        <v>8</v>
      </c>
      <c r="HF464" s="27" t="s">
        <v>7</v>
      </c>
      <c r="HG464" s="27" t="s">
        <v>8</v>
      </c>
      <c r="HH464" s="27" t="s">
        <v>7</v>
      </c>
      <c r="HW464" s="27" t="s">
        <v>8</v>
      </c>
      <c r="HX464" s="27" t="s">
        <v>7</v>
      </c>
      <c r="HY464" s="27" t="s">
        <v>8</v>
      </c>
      <c r="HZ464" s="27" t="s">
        <v>7</v>
      </c>
      <c r="IC464" s="27" t="s">
        <v>8</v>
      </c>
      <c r="IP464" s="27" t="s">
        <v>7</v>
      </c>
      <c r="IQ464" s="27" t="s">
        <v>8</v>
      </c>
      <c r="IR464" s="27" t="s">
        <v>7</v>
      </c>
      <c r="IS464" s="27" t="s">
        <v>8</v>
      </c>
      <c r="IT464" s="27" t="s">
        <v>7</v>
      </c>
    </row>
    <row r="465" spans="1:254" x14ac:dyDescent="0.25">
      <c r="A465" s="7">
        <v>11.200075620783522</v>
      </c>
      <c r="B465"/>
      <c r="C465"/>
      <c r="D465"/>
      <c r="E465"/>
      <c r="FU465" s="27" t="s">
        <v>8</v>
      </c>
      <c r="FV465" s="27" t="s">
        <v>7</v>
      </c>
      <c r="GW465" s="27" t="s">
        <v>8</v>
      </c>
      <c r="GX465" s="27" t="s">
        <v>7</v>
      </c>
      <c r="GY465" s="27" t="s">
        <v>8</v>
      </c>
      <c r="GZ465" s="27" t="s">
        <v>7</v>
      </c>
      <c r="HA465" s="27" t="s">
        <v>8</v>
      </c>
      <c r="HB465" s="27" t="s">
        <v>7</v>
      </c>
      <c r="HC465" s="27" t="s">
        <v>8</v>
      </c>
      <c r="HD465" s="27" t="s">
        <v>7</v>
      </c>
      <c r="HE465" s="27" t="s">
        <v>8</v>
      </c>
      <c r="HF465" s="27" t="s">
        <v>7</v>
      </c>
      <c r="HG465" s="27" t="s">
        <v>8</v>
      </c>
      <c r="HH465" s="27" t="s">
        <v>7</v>
      </c>
      <c r="HW465" s="27" t="s">
        <v>8</v>
      </c>
      <c r="HX465" s="27" t="s">
        <v>7</v>
      </c>
      <c r="HY465" s="27" t="s">
        <v>8</v>
      </c>
      <c r="HZ465" s="27" t="s">
        <v>7</v>
      </c>
      <c r="IC465" s="27" t="s">
        <v>8</v>
      </c>
      <c r="IP465" s="27" t="s">
        <v>7</v>
      </c>
      <c r="IQ465" s="27" t="s">
        <v>8</v>
      </c>
      <c r="IR465" s="27" t="s">
        <v>7</v>
      </c>
      <c r="IS465" s="27" t="s">
        <v>8</v>
      </c>
      <c r="IT465" s="27" t="s">
        <v>7</v>
      </c>
    </row>
    <row r="466" spans="1:254" x14ac:dyDescent="0.25">
      <c r="A466" s="7">
        <v>10.980466294885806</v>
      </c>
      <c r="B466"/>
      <c r="C466"/>
      <c r="D466"/>
      <c r="E466"/>
      <c r="FU466" s="27" t="s">
        <v>8</v>
      </c>
      <c r="FV466" s="27" t="s">
        <v>7</v>
      </c>
      <c r="GW466" s="27" t="s">
        <v>8</v>
      </c>
      <c r="GX466" s="27" t="s">
        <v>7</v>
      </c>
      <c r="GY466" s="27" t="s">
        <v>8</v>
      </c>
      <c r="GZ466" s="27" t="s">
        <v>7</v>
      </c>
      <c r="HA466" s="27" t="s">
        <v>8</v>
      </c>
      <c r="HB466" s="27" t="s">
        <v>7</v>
      </c>
      <c r="HC466" s="27" t="s">
        <v>8</v>
      </c>
      <c r="HD466" s="27" t="s">
        <v>7</v>
      </c>
      <c r="HE466" s="27" t="s">
        <v>8</v>
      </c>
      <c r="HF466" s="27" t="s">
        <v>7</v>
      </c>
      <c r="HH466" s="27" t="s">
        <v>7</v>
      </c>
      <c r="HW466" s="27" t="s">
        <v>8</v>
      </c>
      <c r="HX466" s="27" t="s">
        <v>7</v>
      </c>
      <c r="HY466" s="27" t="s">
        <v>8</v>
      </c>
      <c r="HZ466" s="27" t="s">
        <v>7</v>
      </c>
      <c r="IC466" s="27" t="s">
        <v>8</v>
      </c>
      <c r="IP466" s="27" t="s">
        <v>7</v>
      </c>
      <c r="IQ466" s="27" t="s">
        <v>8</v>
      </c>
      <c r="IR466" s="27" t="s">
        <v>7</v>
      </c>
      <c r="IS466" s="27" t="s">
        <v>8</v>
      </c>
      <c r="IT466" s="27" t="s">
        <v>7</v>
      </c>
    </row>
    <row r="467" spans="1:254" x14ac:dyDescent="0.25">
      <c r="A467" s="7">
        <v>10.765163034201771</v>
      </c>
      <c r="B467"/>
      <c r="C467"/>
      <c r="D467"/>
      <c r="E467"/>
      <c r="FU467" s="27" t="s">
        <v>8</v>
      </c>
      <c r="FV467" s="27" t="s">
        <v>7</v>
      </c>
      <c r="GW467" s="27" t="s">
        <v>8</v>
      </c>
      <c r="GX467" s="27" t="s">
        <v>7</v>
      </c>
      <c r="GY467" s="27" t="s">
        <v>8</v>
      </c>
      <c r="GZ467" s="27" t="s">
        <v>7</v>
      </c>
      <c r="HA467" s="27" t="s">
        <v>8</v>
      </c>
      <c r="HB467" s="27" t="s">
        <v>7</v>
      </c>
      <c r="HC467" s="27" t="s">
        <v>8</v>
      </c>
      <c r="HD467" s="27" t="s">
        <v>7</v>
      </c>
      <c r="HE467" s="27" t="s">
        <v>8</v>
      </c>
      <c r="HH467" s="27" t="s">
        <v>7</v>
      </c>
      <c r="HW467" s="27" t="s">
        <v>8</v>
      </c>
      <c r="HX467" s="27" t="s">
        <v>7</v>
      </c>
      <c r="HY467" s="27" t="s">
        <v>8</v>
      </c>
      <c r="HZ467" s="27" t="s">
        <v>7</v>
      </c>
      <c r="IC467" s="27" t="s">
        <v>8</v>
      </c>
      <c r="IP467" s="27" t="s">
        <v>7</v>
      </c>
      <c r="IQ467" s="27" t="s">
        <v>8</v>
      </c>
      <c r="IR467" s="27" t="s">
        <v>7</v>
      </c>
      <c r="IS467" s="27" t="s">
        <v>8</v>
      </c>
      <c r="IT467" s="27" t="s">
        <v>7</v>
      </c>
    </row>
    <row r="468" spans="1:254" x14ac:dyDescent="0.25">
      <c r="A468" s="7">
        <v>10.554081406080169</v>
      </c>
      <c r="B468"/>
      <c r="C468"/>
      <c r="D468"/>
      <c r="E468"/>
      <c r="FU468" s="27" t="s">
        <v>8</v>
      </c>
      <c r="FV468" s="27" t="s">
        <v>7</v>
      </c>
      <c r="GW468" s="27" t="s">
        <v>8</v>
      </c>
      <c r="GX468" s="27" t="s">
        <v>7</v>
      </c>
      <c r="GY468" s="27" t="s">
        <v>8</v>
      </c>
      <c r="GZ468" s="27" t="s">
        <v>7</v>
      </c>
      <c r="HA468" s="27" t="s">
        <v>8</v>
      </c>
      <c r="HB468" s="27" t="s">
        <v>7</v>
      </c>
      <c r="HC468" s="27" t="s">
        <v>8</v>
      </c>
      <c r="HD468" s="27" t="s">
        <v>7</v>
      </c>
      <c r="HE468" s="27" t="s">
        <v>8</v>
      </c>
      <c r="HH468" s="27" t="s">
        <v>7</v>
      </c>
      <c r="HW468" s="27" t="s">
        <v>8</v>
      </c>
      <c r="HX468" s="27" t="s">
        <v>7</v>
      </c>
      <c r="HY468" s="27" t="s">
        <v>8</v>
      </c>
      <c r="HZ468" s="27" t="s">
        <v>7</v>
      </c>
      <c r="IC468" s="27" t="s">
        <v>8</v>
      </c>
      <c r="IP468" s="27" t="s">
        <v>7</v>
      </c>
      <c r="IQ468" s="27" t="s">
        <v>8</v>
      </c>
      <c r="IR468" s="27" t="s">
        <v>7</v>
      </c>
      <c r="IS468" s="27" t="s">
        <v>8</v>
      </c>
    </row>
    <row r="469" spans="1:254" x14ac:dyDescent="0.25">
      <c r="A469" s="7">
        <v>10.34713863341193</v>
      </c>
      <c r="B469"/>
      <c r="C469"/>
      <c r="D469"/>
      <c r="E469"/>
      <c r="FU469" s="27" t="s">
        <v>8</v>
      </c>
      <c r="FV469" s="27" t="s">
        <v>7</v>
      </c>
      <c r="GA469" s="27" t="s">
        <v>8</v>
      </c>
      <c r="GW469" s="27" t="s">
        <v>8</v>
      </c>
      <c r="GX469" s="27" t="s">
        <v>7</v>
      </c>
      <c r="GZ469" s="27" t="s">
        <v>7</v>
      </c>
      <c r="HA469" s="27" t="s">
        <v>8</v>
      </c>
      <c r="HB469" s="27" t="s">
        <v>7</v>
      </c>
      <c r="HC469" s="27" t="s">
        <v>8</v>
      </c>
      <c r="HD469" s="27" t="s">
        <v>7</v>
      </c>
      <c r="HE469" s="27" t="s">
        <v>8</v>
      </c>
      <c r="HH469" s="27" t="s">
        <v>7</v>
      </c>
      <c r="HW469" s="27" t="s">
        <v>8</v>
      </c>
      <c r="HX469" s="27" t="s">
        <v>7</v>
      </c>
      <c r="HY469" s="27" t="s">
        <v>8</v>
      </c>
      <c r="HZ469" s="27" t="s">
        <v>7</v>
      </c>
      <c r="IC469" s="27" t="s">
        <v>8</v>
      </c>
      <c r="IP469" s="27" t="s">
        <v>7</v>
      </c>
      <c r="IQ469" s="27" t="s">
        <v>8</v>
      </c>
      <c r="IR469" s="27" t="s">
        <v>7</v>
      </c>
      <c r="IS469" s="27" t="s">
        <v>8</v>
      </c>
    </row>
    <row r="470" spans="1:254" x14ac:dyDescent="0.25">
      <c r="A470" s="7">
        <v>10.14425356216856</v>
      </c>
      <c r="B470"/>
      <c r="C470"/>
      <c r="D470"/>
      <c r="E470"/>
      <c r="FU470" s="27" t="s">
        <v>8</v>
      </c>
      <c r="FV470" s="27" t="s">
        <v>7</v>
      </c>
      <c r="GA470" s="27" t="s">
        <v>8</v>
      </c>
      <c r="GB470" s="27" t="s">
        <v>7</v>
      </c>
      <c r="GW470" s="27" t="s">
        <v>8</v>
      </c>
      <c r="GZ470" s="27" t="s">
        <v>7</v>
      </c>
      <c r="HA470" s="27" t="s">
        <v>8</v>
      </c>
      <c r="HB470" s="27" t="s">
        <v>7</v>
      </c>
      <c r="HC470" s="27" t="s">
        <v>8</v>
      </c>
      <c r="HD470" s="27" t="s">
        <v>7</v>
      </c>
      <c r="HE470" s="27" t="s">
        <v>8</v>
      </c>
      <c r="HH470" s="27" t="s">
        <v>7</v>
      </c>
      <c r="HM470" s="27" t="s">
        <v>8</v>
      </c>
      <c r="HW470" s="27" t="s">
        <v>8</v>
      </c>
      <c r="HX470" s="27" t="s">
        <v>7</v>
      </c>
      <c r="HY470" s="27" t="s">
        <v>8</v>
      </c>
      <c r="HZ470" s="27" t="s">
        <v>7</v>
      </c>
      <c r="IC470" s="27" t="s">
        <v>8</v>
      </c>
      <c r="IP470" s="27" t="s">
        <v>7</v>
      </c>
      <c r="IR470" s="27" t="s">
        <v>7</v>
      </c>
      <c r="IS470" s="27" t="s">
        <v>8</v>
      </c>
    </row>
    <row r="471" spans="1:254" x14ac:dyDescent="0.25">
      <c r="A471" s="7">
        <v>9.9453466295770188</v>
      </c>
      <c r="B471"/>
      <c r="C471"/>
      <c r="D471"/>
      <c r="E471"/>
      <c r="FU471" s="27" t="s">
        <v>8</v>
      </c>
      <c r="FV471" s="27" t="s">
        <v>7</v>
      </c>
      <c r="FW471" s="27" t="s">
        <v>8</v>
      </c>
      <c r="GA471" s="27" t="s">
        <v>8</v>
      </c>
      <c r="GB471" s="27" t="s">
        <v>7</v>
      </c>
      <c r="GW471" s="27" t="s">
        <v>8</v>
      </c>
      <c r="GZ471" s="27" t="s">
        <v>7</v>
      </c>
      <c r="HA471" s="27" t="s">
        <v>8</v>
      </c>
      <c r="HB471" s="27" t="s">
        <v>7</v>
      </c>
      <c r="HD471" s="27" t="s">
        <v>7</v>
      </c>
      <c r="HH471" s="27" t="s">
        <v>7</v>
      </c>
      <c r="HM471" s="27" t="s">
        <v>8</v>
      </c>
      <c r="HN471" s="27" t="s">
        <v>7</v>
      </c>
      <c r="HW471" s="27" t="s">
        <v>8</v>
      </c>
      <c r="HX471" s="27" t="s">
        <v>7</v>
      </c>
      <c r="HY471" s="27" t="s">
        <v>8</v>
      </c>
      <c r="HZ471" s="27" t="s">
        <v>7</v>
      </c>
      <c r="IC471" s="27" t="s">
        <v>8</v>
      </c>
      <c r="IR471" s="27" t="s">
        <v>7</v>
      </c>
      <c r="IS471" s="27" t="s">
        <v>8</v>
      </c>
    </row>
    <row r="472" spans="1:254" x14ac:dyDescent="0.25">
      <c r="A472" s="7">
        <v>9.7503398329186464</v>
      </c>
      <c r="B472"/>
      <c r="C472"/>
      <c r="D472"/>
      <c r="E472"/>
      <c r="FU472" s="27" t="s">
        <v>8</v>
      </c>
      <c r="FV472" s="27" t="s">
        <v>7</v>
      </c>
      <c r="FW472" s="27" t="s">
        <v>8</v>
      </c>
      <c r="FX472" s="27" t="s">
        <v>7</v>
      </c>
      <c r="GA472" s="27" t="s">
        <v>8</v>
      </c>
      <c r="GB472" s="27" t="s">
        <v>7</v>
      </c>
      <c r="GU472" s="27" t="s">
        <v>8</v>
      </c>
      <c r="GW472" s="27" t="s">
        <v>8</v>
      </c>
      <c r="GZ472" s="27" t="s">
        <v>7</v>
      </c>
      <c r="HH472" s="27" t="s">
        <v>7</v>
      </c>
      <c r="HI472" s="27" t="s">
        <v>8</v>
      </c>
      <c r="HK472" s="27" t="s">
        <v>8</v>
      </c>
      <c r="HM472" s="27" t="s">
        <v>8</v>
      </c>
      <c r="HN472" s="27" t="s">
        <v>7</v>
      </c>
      <c r="HW472" s="27" t="s">
        <v>8</v>
      </c>
      <c r="HX472" s="27" t="s">
        <v>7</v>
      </c>
      <c r="HY472" s="27" t="s">
        <v>8</v>
      </c>
      <c r="HZ472" s="27" t="s">
        <v>7</v>
      </c>
      <c r="IC472" s="27" t="s">
        <v>8</v>
      </c>
      <c r="IR472" s="27" t="s">
        <v>7</v>
      </c>
      <c r="IS472" s="27" t="s">
        <v>8</v>
      </c>
    </row>
    <row r="473" spans="1:254" x14ac:dyDescent="0.25">
      <c r="A473" s="7">
        <v>9.5591566989398498</v>
      </c>
      <c r="B473"/>
      <c r="C473"/>
      <c r="D473"/>
      <c r="E473"/>
      <c r="FU473" s="27" t="s">
        <v>8</v>
      </c>
      <c r="FV473" s="27" t="s">
        <v>7</v>
      </c>
      <c r="FW473" s="27" t="s">
        <v>8</v>
      </c>
      <c r="FX473" s="27" t="s">
        <v>7</v>
      </c>
      <c r="FY473" s="27" t="s">
        <v>8</v>
      </c>
      <c r="GA473" s="27" t="s">
        <v>8</v>
      </c>
      <c r="GB473" s="27" t="s">
        <v>7</v>
      </c>
      <c r="GU473" s="27" t="s">
        <v>8</v>
      </c>
      <c r="GV473" s="27" t="s">
        <v>7</v>
      </c>
      <c r="GW473" s="27" t="s">
        <v>8</v>
      </c>
      <c r="HH473" s="27" t="s">
        <v>7</v>
      </c>
      <c r="HI473" s="27" t="s">
        <v>8</v>
      </c>
      <c r="HJ473" s="27" t="s">
        <v>7</v>
      </c>
      <c r="HK473" s="27" t="s">
        <v>8</v>
      </c>
      <c r="HL473" s="27" t="s">
        <v>7</v>
      </c>
      <c r="HM473" s="27" t="s">
        <v>8</v>
      </c>
      <c r="HN473" s="27" t="s">
        <v>7</v>
      </c>
      <c r="HS473" s="27" t="s">
        <v>8</v>
      </c>
      <c r="HW473" s="27" t="s">
        <v>8</v>
      </c>
      <c r="HX473" s="27" t="s">
        <v>7</v>
      </c>
      <c r="HY473" s="27" t="s">
        <v>8</v>
      </c>
      <c r="HZ473" s="27" t="s">
        <v>7</v>
      </c>
      <c r="IA473" s="27" t="s">
        <v>8</v>
      </c>
      <c r="IC473" s="27" t="s">
        <v>8</v>
      </c>
      <c r="IR473" s="27" t="s">
        <v>7</v>
      </c>
    </row>
    <row r="474" spans="1:254" x14ac:dyDescent="0.25">
      <c r="A474" s="7">
        <v>9.3717222538625968</v>
      </c>
      <c r="B474"/>
      <c r="C474"/>
      <c r="D474"/>
      <c r="E474"/>
      <c r="FU474" s="27" t="s">
        <v>8</v>
      </c>
      <c r="FV474" s="27" t="s">
        <v>7</v>
      </c>
      <c r="FW474" s="27" t="s">
        <v>8</v>
      </c>
      <c r="FX474" s="27" t="s">
        <v>7</v>
      </c>
      <c r="FY474" s="27" t="s">
        <v>8</v>
      </c>
      <c r="FZ474" s="27" t="s">
        <v>7</v>
      </c>
      <c r="GA474" s="27" t="s">
        <v>8</v>
      </c>
      <c r="GB474" s="27" t="s">
        <v>7</v>
      </c>
      <c r="GC474" s="27" t="s">
        <v>8</v>
      </c>
      <c r="GU474" s="27" t="s">
        <v>8</v>
      </c>
      <c r="GV474" s="27" t="s">
        <v>7</v>
      </c>
      <c r="GW474" s="27" t="s">
        <v>8</v>
      </c>
      <c r="HH474" s="27" t="s">
        <v>7</v>
      </c>
      <c r="HI474" s="27" t="s">
        <v>8</v>
      </c>
      <c r="HJ474" s="27" t="s">
        <v>7</v>
      </c>
      <c r="HK474" s="27" t="s">
        <v>8</v>
      </c>
      <c r="HL474" s="27" t="s">
        <v>7</v>
      </c>
      <c r="HM474" s="27" t="s">
        <v>8</v>
      </c>
      <c r="HN474" s="27" t="s">
        <v>7</v>
      </c>
      <c r="HS474" s="27" t="s">
        <v>8</v>
      </c>
      <c r="HT474" s="27" t="s">
        <v>7</v>
      </c>
      <c r="HW474" s="27" t="s">
        <v>8</v>
      </c>
      <c r="HX474" s="27" t="s">
        <v>7</v>
      </c>
      <c r="HY474" s="27" t="s">
        <v>8</v>
      </c>
      <c r="HZ474" s="27" t="s">
        <v>7</v>
      </c>
      <c r="IA474" s="27" t="s">
        <v>8</v>
      </c>
      <c r="IB474" s="27" t="s">
        <v>7</v>
      </c>
      <c r="IC474" s="27" t="s">
        <v>8</v>
      </c>
    </row>
    <row r="475" spans="1:254" x14ac:dyDescent="0.25">
      <c r="A475" s="7">
        <v>9.1879629939829375</v>
      </c>
      <c r="B475"/>
      <c r="C475"/>
      <c r="D475"/>
      <c r="E475"/>
      <c r="FU475" s="27" t="s">
        <v>8</v>
      </c>
      <c r="FV475" s="27" t="s">
        <v>7</v>
      </c>
      <c r="FW475" s="27" t="s">
        <v>8</v>
      </c>
      <c r="FX475" s="27" t="s">
        <v>7</v>
      </c>
      <c r="FY475" s="27" t="s">
        <v>8</v>
      </c>
      <c r="FZ475" s="27" t="s">
        <v>7</v>
      </c>
      <c r="GA475" s="27" t="s">
        <v>8</v>
      </c>
      <c r="GB475" s="27" t="s">
        <v>7</v>
      </c>
      <c r="GC475" s="27" t="s">
        <v>8</v>
      </c>
      <c r="GD475" s="27" t="s">
        <v>7</v>
      </c>
      <c r="GU475" s="27" t="s">
        <v>8</v>
      </c>
      <c r="GV475" s="27" t="s">
        <v>7</v>
      </c>
      <c r="GW475" s="27" t="s">
        <v>8</v>
      </c>
      <c r="HH475" s="27" t="s">
        <v>7</v>
      </c>
      <c r="HI475" s="27" t="s">
        <v>8</v>
      </c>
      <c r="HJ475" s="27" t="s">
        <v>7</v>
      </c>
      <c r="HK475" s="27" t="s">
        <v>8</v>
      </c>
      <c r="HL475" s="27" t="s">
        <v>7</v>
      </c>
      <c r="HM475" s="27" t="s">
        <v>8</v>
      </c>
      <c r="HN475" s="27" t="s">
        <v>7</v>
      </c>
      <c r="HS475" s="27" t="s">
        <v>8</v>
      </c>
      <c r="HT475" s="27" t="s">
        <v>7</v>
      </c>
      <c r="HW475" s="27" t="s">
        <v>8</v>
      </c>
      <c r="HX475" s="27" t="s">
        <v>7</v>
      </c>
      <c r="HY475" s="27" t="s">
        <v>8</v>
      </c>
      <c r="HZ475" s="27" t="s">
        <v>7</v>
      </c>
      <c r="IA475" s="27" t="s">
        <v>8</v>
      </c>
      <c r="IB475" s="27" t="s">
        <v>7</v>
      </c>
      <c r="IC475" s="27" t="s">
        <v>8</v>
      </c>
    </row>
    <row r="476" spans="1:254" x14ac:dyDescent="0.25">
      <c r="A476" s="7">
        <v>9.0078068568460168</v>
      </c>
      <c r="B476"/>
      <c r="C476"/>
      <c r="D476"/>
      <c r="E476"/>
      <c r="FU476" s="27" t="s">
        <v>8</v>
      </c>
      <c r="FV476" s="27" t="s">
        <v>7</v>
      </c>
      <c r="FW476" s="27" t="s">
        <v>8</v>
      </c>
      <c r="FX476" s="27" t="s">
        <v>7</v>
      </c>
      <c r="FY476" s="27" t="s">
        <v>8</v>
      </c>
      <c r="FZ476" s="27" t="s">
        <v>7</v>
      </c>
      <c r="GA476" s="27" t="s">
        <v>8</v>
      </c>
      <c r="GB476" s="27" t="s">
        <v>7</v>
      </c>
      <c r="GC476" s="27" t="s">
        <v>8</v>
      </c>
      <c r="GD476" s="27" t="s">
        <v>7</v>
      </c>
      <c r="GU476" s="27" t="s">
        <v>8</v>
      </c>
      <c r="GV476" s="27" t="s">
        <v>7</v>
      </c>
      <c r="GW476" s="27" t="s">
        <v>8</v>
      </c>
      <c r="HH476" s="27" t="s">
        <v>7</v>
      </c>
      <c r="HJ476" s="27" t="s">
        <v>7</v>
      </c>
      <c r="HK476" s="27" t="s">
        <v>8</v>
      </c>
      <c r="HL476" s="27" t="s">
        <v>7</v>
      </c>
      <c r="HN476" s="27" t="s">
        <v>7</v>
      </c>
      <c r="HS476" s="27" t="s">
        <v>8</v>
      </c>
      <c r="HT476" s="27" t="s">
        <v>7</v>
      </c>
      <c r="HW476" s="27" t="s">
        <v>8</v>
      </c>
      <c r="HX476" s="27" t="s">
        <v>7</v>
      </c>
      <c r="HZ476" s="27" t="s">
        <v>7</v>
      </c>
      <c r="IA476" s="27" t="s">
        <v>8</v>
      </c>
      <c r="IB476" s="27" t="s">
        <v>7</v>
      </c>
      <c r="IC476" s="27" t="s">
        <v>8</v>
      </c>
    </row>
    <row r="477" spans="1:254" x14ac:dyDescent="0.25">
      <c r="A477" s="7">
        <v>8.8311831929862912</v>
      </c>
      <c r="B477"/>
      <c r="C477"/>
      <c r="D477"/>
      <c r="E477"/>
      <c r="FU477" s="27" t="s">
        <v>8</v>
      </c>
      <c r="FV477" s="27" t="s">
        <v>7</v>
      </c>
      <c r="FW477" s="27" t="s">
        <v>8</v>
      </c>
      <c r="FX477" s="27" t="s">
        <v>7</v>
      </c>
      <c r="FY477" s="27" t="s">
        <v>8</v>
      </c>
      <c r="FZ477" s="27" t="s">
        <v>7</v>
      </c>
      <c r="GA477" s="27" t="s">
        <v>8</v>
      </c>
      <c r="GB477" s="27" t="s">
        <v>7</v>
      </c>
      <c r="GC477" s="27" t="s">
        <v>8</v>
      </c>
      <c r="GD477" s="27" t="s">
        <v>7</v>
      </c>
      <c r="GU477" s="27" t="s">
        <v>8</v>
      </c>
      <c r="GV477" s="27" t="s">
        <v>7</v>
      </c>
      <c r="HJ477" s="27" t="s">
        <v>7</v>
      </c>
      <c r="HK477" s="27" t="s">
        <v>8</v>
      </c>
      <c r="HN477" s="27" t="s">
        <v>7</v>
      </c>
      <c r="HQ477" s="27" t="s">
        <v>8</v>
      </c>
      <c r="HS477" s="27" t="s">
        <v>8</v>
      </c>
      <c r="HT477" s="27" t="s">
        <v>7</v>
      </c>
      <c r="HW477" s="27" t="s">
        <v>8</v>
      </c>
      <c r="HZ477" s="27" t="s">
        <v>7</v>
      </c>
      <c r="IA477" s="27" t="s">
        <v>8</v>
      </c>
      <c r="IB477" s="27" t="s">
        <v>7</v>
      </c>
      <c r="IC477" s="27" t="s">
        <v>8</v>
      </c>
    </row>
    <row r="478" spans="1:254" x14ac:dyDescent="0.25">
      <c r="A478" s="7">
        <v>8.6580227382218542</v>
      </c>
      <c r="B478"/>
      <c r="C478"/>
      <c r="D478"/>
      <c r="E478"/>
      <c r="FU478" s="27" t="s">
        <v>8</v>
      </c>
      <c r="FV478" s="27" t="s">
        <v>7</v>
      </c>
      <c r="FX478" s="27" t="s">
        <v>7</v>
      </c>
      <c r="FY478" s="27" t="s">
        <v>8</v>
      </c>
      <c r="FZ478" s="27" t="s">
        <v>7</v>
      </c>
      <c r="GA478" s="27" t="s">
        <v>8</v>
      </c>
      <c r="GB478" s="27" t="s">
        <v>7</v>
      </c>
      <c r="GC478" s="27" t="s">
        <v>8</v>
      </c>
      <c r="GD478" s="27" t="s">
        <v>7</v>
      </c>
      <c r="GO478" s="27" t="s">
        <v>8</v>
      </c>
      <c r="GU478" s="27" t="s">
        <v>8</v>
      </c>
      <c r="HJ478" s="27" t="s">
        <v>7</v>
      </c>
      <c r="HK478" s="27" t="s">
        <v>8</v>
      </c>
      <c r="HN478" s="27" t="s">
        <v>7</v>
      </c>
      <c r="HO478" s="27" t="s">
        <v>8</v>
      </c>
      <c r="HQ478" s="27" t="s">
        <v>8</v>
      </c>
      <c r="HR478" s="27" t="s">
        <v>7</v>
      </c>
      <c r="HS478" s="27" t="s">
        <v>8</v>
      </c>
      <c r="HT478" s="27" t="s">
        <v>7</v>
      </c>
      <c r="HW478" s="27" t="s">
        <v>8</v>
      </c>
      <c r="HZ478" s="27" t="s">
        <v>7</v>
      </c>
      <c r="IA478" s="27" t="s">
        <v>8</v>
      </c>
      <c r="IB478" s="27" t="s">
        <v>7</v>
      </c>
      <c r="IC478" s="27" t="s">
        <v>8</v>
      </c>
    </row>
    <row r="479" spans="1:254" x14ac:dyDescent="0.25">
      <c r="A479" s="7">
        <v>8.4882575864920131</v>
      </c>
      <c r="B479"/>
      <c r="C479"/>
      <c r="D479"/>
      <c r="E479"/>
      <c r="FU479" s="27" t="s">
        <v>8</v>
      </c>
      <c r="FX479" s="27" t="s">
        <v>7</v>
      </c>
      <c r="FY479" s="27" t="s">
        <v>8</v>
      </c>
      <c r="FZ479" s="27" t="s">
        <v>7</v>
      </c>
      <c r="GA479" s="27" t="s">
        <v>8</v>
      </c>
      <c r="GB479" s="27" t="s">
        <v>7</v>
      </c>
      <c r="GC479" s="27" t="s">
        <v>8</v>
      </c>
      <c r="GD479" s="27" t="s">
        <v>7</v>
      </c>
      <c r="GK479" s="27" t="s">
        <v>8</v>
      </c>
      <c r="GO479" s="27" t="s">
        <v>8</v>
      </c>
      <c r="GP479" s="27" t="s">
        <v>7</v>
      </c>
      <c r="GU479" s="27" t="s">
        <v>8</v>
      </c>
      <c r="HJ479" s="27" t="s">
        <v>7</v>
      </c>
      <c r="HN479" s="27" t="s">
        <v>7</v>
      </c>
      <c r="HO479" s="27" t="s">
        <v>8</v>
      </c>
      <c r="HP479" s="27" t="s">
        <v>7</v>
      </c>
      <c r="HQ479" s="27" t="s">
        <v>8</v>
      </c>
      <c r="HR479" s="27" t="s">
        <v>7</v>
      </c>
      <c r="HS479" s="27" t="s">
        <v>8</v>
      </c>
      <c r="HT479" s="27" t="s">
        <v>7</v>
      </c>
      <c r="HW479" s="27" t="s">
        <v>8</v>
      </c>
      <c r="HZ479" s="27" t="s">
        <v>7</v>
      </c>
      <c r="IA479" s="27" t="s">
        <v>8</v>
      </c>
      <c r="IB479" s="27" t="s">
        <v>7</v>
      </c>
      <c r="IC479" s="27" t="s">
        <v>8</v>
      </c>
    </row>
    <row r="480" spans="1:254" x14ac:dyDescent="0.25">
      <c r="A480" s="7">
        <v>8.3218211632274635</v>
      </c>
      <c r="B480"/>
      <c r="C480"/>
      <c r="D480"/>
      <c r="E480"/>
      <c r="FU480" s="27" t="s">
        <v>8</v>
      </c>
      <c r="FX480" s="27" t="s">
        <v>7</v>
      </c>
      <c r="FY480" s="27" t="s">
        <v>8</v>
      </c>
      <c r="FZ480" s="27" t="s">
        <v>7</v>
      </c>
      <c r="GA480" s="27" t="s">
        <v>8</v>
      </c>
      <c r="GB480" s="27" t="s">
        <v>7</v>
      </c>
      <c r="GC480" s="27" t="s">
        <v>8</v>
      </c>
      <c r="GD480" s="27" t="s">
        <v>7</v>
      </c>
      <c r="GE480" s="27" t="s">
        <v>8</v>
      </c>
      <c r="GK480" s="27" t="s">
        <v>8</v>
      </c>
      <c r="GL480" s="27" t="s">
        <v>7</v>
      </c>
      <c r="GO480" s="27" t="s">
        <v>8</v>
      </c>
      <c r="GP480" s="27" t="s">
        <v>7</v>
      </c>
      <c r="GU480" s="27" t="s">
        <v>8</v>
      </c>
      <c r="HN480" s="27" t="s">
        <v>7</v>
      </c>
      <c r="HO480" s="27" t="s">
        <v>8</v>
      </c>
      <c r="HP480" s="27" t="s">
        <v>7</v>
      </c>
      <c r="HQ480" s="27" t="s">
        <v>8</v>
      </c>
      <c r="HR480" s="27" t="s">
        <v>7</v>
      </c>
      <c r="HS480" s="27" t="s">
        <v>8</v>
      </c>
      <c r="HT480" s="27" t="s">
        <v>7</v>
      </c>
      <c r="HW480" s="27" t="s">
        <v>8</v>
      </c>
      <c r="HZ480" s="27" t="s">
        <v>7</v>
      </c>
      <c r="IA480" s="27" t="s">
        <v>8</v>
      </c>
      <c r="IB480" s="27" t="s">
        <v>7</v>
      </c>
    </row>
    <row r="481" spans="1:234" x14ac:dyDescent="0.25">
      <c r="A481" s="7">
        <v>8.1586481992426112</v>
      </c>
      <c r="B481"/>
      <c r="C481"/>
      <c r="D481"/>
      <c r="E481"/>
      <c r="FU481" s="27" t="s">
        <v>8</v>
      </c>
      <c r="FX481" s="27" t="s">
        <v>7</v>
      </c>
      <c r="FY481" s="27" t="s">
        <v>8</v>
      </c>
      <c r="FZ481" s="27" t="s">
        <v>7</v>
      </c>
      <c r="GB481" s="27" t="s">
        <v>7</v>
      </c>
      <c r="GC481" s="27" t="s">
        <v>8</v>
      </c>
      <c r="GD481" s="27" t="s">
        <v>7</v>
      </c>
      <c r="GE481" s="27" t="s">
        <v>8</v>
      </c>
      <c r="GF481" s="27" t="s">
        <v>7</v>
      </c>
      <c r="GK481" s="27" t="s">
        <v>8</v>
      </c>
      <c r="GL481" s="27" t="s">
        <v>7</v>
      </c>
      <c r="GM481" s="27" t="s">
        <v>8</v>
      </c>
      <c r="GO481" s="27" t="s">
        <v>8</v>
      </c>
      <c r="GP481" s="27" t="s">
        <v>7</v>
      </c>
      <c r="GQ481" s="27" t="s">
        <v>8</v>
      </c>
      <c r="GS481" s="27" t="s">
        <v>8</v>
      </c>
      <c r="GU481" s="27" t="s">
        <v>8</v>
      </c>
      <c r="HN481" s="27" t="s">
        <v>7</v>
      </c>
      <c r="HO481" s="27" t="s">
        <v>8</v>
      </c>
      <c r="HP481" s="27" t="s">
        <v>7</v>
      </c>
      <c r="HR481" s="27" t="s">
        <v>7</v>
      </c>
      <c r="HT481" s="27" t="s">
        <v>7</v>
      </c>
      <c r="HU481" s="27" t="s">
        <v>8</v>
      </c>
      <c r="HW481" s="27" t="s">
        <v>8</v>
      </c>
      <c r="HZ481" s="27" t="s">
        <v>7</v>
      </c>
    </row>
    <row r="482" spans="1:234" x14ac:dyDescent="0.25">
      <c r="A482" s="7">
        <v>7.9986747051398144</v>
      </c>
      <c r="B482"/>
      <c r="C482"/>
      <c r="D482"/>
      <c r="E482"/>
      <c r="FU482" s="27" t="s">
        <v>8</v>
      </c>
      <c r="FX482" s="27" t="s">
        <v>7</v>
      </c>
      <c r="FY482" s="27" t="s">
        <v>8</v>
      </c>
      <c r="GB482" s="27" t="s">
        <v>7</v>
      </c>
      <c r="GC482" s="27" t="s">
        <v>8</v>
      </c>
      <c r="GD482" s="27" t="s">
        <v>7</v>
      </c>
      <c r="GE482" s="27" t="s">
        <v>8</v>
      </c>
      <c r="GF482" s="27" t="s">
        <v>7</v>
      </c>
      <c r="GK482" s="27" t="s">
        <v>8</v>
      </c>
      <c r="GL482" s="27" t="s">
        <v>7</v>
      </c>
      <c r="GM482" s="27" t="s">
        <v>8</v>
      </c>
      <c r="GN482" s="27" t="s">
        <v>7</v>
      </c>
      <c r="GO482" s="27" t="s">
        <v>8</v>
      </c>
      <c r="GP482" s="27" t="s">
        <v>7</v>
      </c>
      <c r="GQ482" s="27" t="s">
        <v>8</v>
      </c>
      <c r="GR482" s="27" t="s">
        <v>7</v>
      </c>
      <c r="GS482" s="27" t="s">
        <v>8</v>
      </c>
      <c r="GT482" s="27" t="s">
        <v>7</v>
      </c>
      <c r="GU482" s="27" t="s">
        <v>8</v>
      </c>
      <c r="HN482" s="27" t="s">
        <v>7</v>
      </c>
      <c r="HO482" s="27" t="s">
        <v>8</v>
      </c>
      <c r="HT482" s="27" t="s">
        <v>7</v>
      </c>
      <c r="HU482" s="27" t="s">
        <v>8</v>
      </c>
      <c r="HV482" s="27" t="s">
        <v>7</v>
      </c>
      <c r="HW482" s="27" t="s">
        <v>8</v>
      </c>
    </row>
    <row r="483" spans="1:234" x14ac:dyDescent="0.25">
      <c r="A483" s="7">
        <v>7.8418379462155041</v>
      </c>
      <c r="B483"/>
      <c r="C483"/>
      <c r="D483"/>
      <c r="E483"/>
      <c r="FU483" s="27" t="s">
        <v>8</v>
      </c>
      <c r="FX483" s="27" t="s">
        <v>7</v>
      </c>
      <c r="GB483" s="27" t="s">
        <v>7</v>
      </c>
      <c r="GC483" s="27" t="s">
        <v>8</v>
      </c>
      <c r="GD483" s="27" t="s">
        <v>7</v>
      </c>
      <c r="GE483" s="27" t="s">
        <v>8</v>
      </c>
      <c r="GF483" s="27" t="s">
        <v>7</v>
      </c>
      <c r="GK483" s="27" t="s">
        <v>8</v>
      </c>
      <c r="GL483" s="27" t="s">
        <v>7</v>
      </c>
      <c r="GM483" s="27" t="s">
        <v>8</v>
      </c>
      <c r="GN483" s="27" t="s">
        <v>7</v>
      </c>
      <c r="GO483" s="27" t="s">
        <v>8</v>
      </c>
      <c r="GP483" s="27" t="s">
        <v>7</v>
      </c>
      <c r="GQ483" s="27" t="s">
        <v>8</v>
      </c>
      <c r="GR483" s="27" t="s">
        <v>7</v>
      </c>
      <c r="GS483" s="27" t="s">
        <v>8</v>
      </c>
      <c r="GT483" s="27" t="s">
        <v>7</v>
      </c>
      <c r="GU483" s="27" t="s">
        <v>8</v>
      </c>
      <c r="HN483" s="27" t="s">
        <v>7</v>
      </c>
      <c r="HT483" s="27" t="s">
        <v>7</v>
      </c>
      <c r="HU483" s="27" t="s">
        <v>8</v>
      </c>
      <c r="HV483" s="27" t="s">
        <v>7</v>
      </c>
      <c r="HW483" s="27" t="s">
        <v>8</v>
      </c>
    </row>
    <row r="484" spans="1:234" x14ac:dyDescent="0.25">
      <c r="A484" s="7">
        <v>7.688076417858337</v>
      </c>
      <c r="B484"/>
      <c r="C484"/>
      <c r="D484"/>
      <c r="E484"/>
      <c r="FU484" s="27" t="s">
        <v>8</v>
      </c>
      <c r="GB484" s="27" t="s">
        <v>7</v>
      </c>
      <c r="GC484" s="27" t="s">
        <v>8</v>
      </c>
      <c r="GD484" s="27" t="s">
        <v>7</v>
      </c>
      <c r="GE484" s="27" t="s">
        <v>8</v>
      </c>
      <c r="GF484" s="27" t="s">
        <v>7</v>
      </c>
      <c r="GG484" s="27" t="s">
        <v>8</v>
      </c>
      <c r="GK484" s="27" t="s">
        <v>8</v>
      </c>
      <c r="GL484" s="27" t="s">
        <v>7</v>
      </c>
      <c r="GM484" s="27" t="s">
        <v>8</v>
      </c>
      <c r="GN484" s="27" t="s">
        <v>7</v>
      </c>
      <c r="GO484" s="27" t="s">
        <v>8</v>
      </c>
      <c r="GP484" s="27" t="s">
        <v>7</v>
      </c>
      <c r="GQ484" s="27" t="s">
        <v>8</v>
      </c>
      <c r="GR484" s="27" t="s">
        <v>7</v>
      </c>
      <c r="GT484" s="27" t="s">
        <v>7</v>
      </c>
      <c r="HT484" s="27" t="s">
        <v>7</v>
      </c>
      <c r="HU484" s="27" t="s">
        <v>8</v>
      </c>
      <c r="HV484" s="27" t="s">
        <v>7</v>
      </c>
      <c r="HW484" s="27" t="s">
        <v>8</v>
      </c>
    </row>
    <row r="485" spans="1:234" x14ac:dyDescent="0.25">
      <c r="A485" s="7">
        <v>7.5373298214297417</v>
      </c>
      <c r="B485"/>
      <c r="C485"/>
      <c r="D485"/>
      <c r="E485"/>
      <c r="CG485" s="27" t="s">
        <v>8</v>
      </c>
      <c r="FU485" s="27" t="s">
        <v>8</v>
      </c>
      <c r="GB485" s="27" t="s">
        <v>7</v>
      </c>
      <c r="GC485" s="27" t="s">
        <v>8</v>
      </c>
      <c r="GD485" s="27" t="s">
        <v>7</v>
      </c>
      <c r="GF485" s="27" t="s">
        <v>7</v>
      </c>
      <c r="GG485" s="27" t="s">
        <v>8</v>
      </c>
      <c r="GH485" s="27" t="s">
        <v>7</v>
      </c>
      <c r="GK485" s="27" t="s">
        <v>8</v>
      </c>
      <c r="GL485" s="27" t="s">
        <v>7</v>
      </c>
      <c r="GM485" s="27" t="s">
        <v>8</v>
      </c>
      <c r="GN485" s="27" t="s">
        <v>7</v>
      </c>
      <c r="GO485" s="27" t="s">
        <v>8</v>
      </c>
      <c r="GP485" s="27" t="s">
        <v>7</v>
      </c>
      <c r="GQ485" s="27" t="s">
        <v>8</v>
      </c>
      <c r="HT485" s="27" t="s">
        <v>7</v>
      </c>
      <c r="HU485" s="27" t="s">
        <v>8</v>
      </c>
      <c r="HV485" s="27" t="s">
        <v>7</v>
      </c>
      <c r="HW485" s="27" t="s">
        <v>8</v>
      </c>
    </row>
    <row r="486" spans="1:234" x14ac:dyDescent="0.25">
      <c r="A486" s="7">
        <v>7.389539040617394</v>
      </c>
      <c r="B486"/>
      <c r="C486"/>
      <c r="D486"/>
      <c r="E486"/>
      <c r="CG486" s="27" t="s">
        <v>8</v>
      </c>
      <c r="CH486" s="27" t="s">
        <v>7</v>
      </c>
      <c r="CW486" s="27" t="s">
        <v>8</v>
      </c>
      <c r="FU486" s="27" t="s">
        <v>8</v>
      </c>
      <c r="GB486" s="27" t="s">
        <v>7</v>
      </c>
      <c r="GC486" s="27" t="s">
        <v>8</v>
      </c>
      <c r="GF486" s="27" t="s">
        <v>7</v>
      </c>
      <c r="GG486" s="27" t="s">
        <v>8</v>
      </c>
      <c r="GH486" s="27" t="s">
        <v>7</v>
      </c>
      <c r="GK486" s="27" t="s">
        <v>8</v>
      </c>
      <c r="GL486" s="27" t="s">
        <v>7</v>
      </c>
      <c r="GN486" s="27" t="s">
        <v>7</v>
      </c>
      <c r="GO486" s="27" t="s">
        <v>8</v>
      </c>
      <c r="GP486" s="27" t="s">
        <v>7</v>
      </c>
      <c r="GQ486" s="27" t="s">
        <v>8</v>
      </c>
      <c r="HT486" s="27" t="s">
        <v>7</v>
      </c>
      <c r="HU486" s="27" t="s">
        <v>8</v>
      </c>
      <c r="HV486" s="27" t="s">
        <v>7</v>
      </c>
      <c r="HW486" s="27" t="s">
        <v>8</v>
      </c>
    </row>
    <row r="487" spans="1:234" x14ac:dyDescent="0.25">
      <c r="A487" s="7">
        <v>7.2446461182523469</v>
      </c>
      <c r="B487"/>
      <c r="C487"/>
      <c r="D487"/>
      <c r="E487"/>
      <c r="CG487" s="27" t="s">
        <v>8</v>
      </c>
      <c r="CH487" s="27" t="s">
        <v>7</v>
      </c>
      <c r="CS487" s="27" t="s">
        <v>8</v>
      </c>
      <c r="CW487" s="27" t="s">
        <v>8</v>
      </c>
      <c r="CX487" s="27" t="s">
        <v>7</v>
      </c>
      <c r="DQ487" s="27" t="s">
        <v>8</v>
      </c>
      <c r="FU487" s="27" t="s">
        <v>8</v>
      </c>
      <c r="GB487" s="27" t="s">
        <v>7</v>
      </c>
      <c r="GC487" s="27" t="s">
        <v>8</v>
      </c>
      <c r="GF487" s="27" t="s">
        <v>7</v>
      </c>
      <c r="GG487" s="27" t="s">
        <v>8</v>
      </c>
      <c r="GH487" s="27" t="s">
        <v>7</v>
      </c>
      <c r="GI487" s="27" t="s">
        <v>8</v>
      </c>
      <c r="GK487" s="27" t="s">
        <v>8</v>
      </c>
      <c r="GN487" s="27" t="s">
        <v>7</v>
      </c>
      <c r="GP487" s="27" t="s">
        <v>7</v>
      </c>
      <c r="GQ487" s="27" t="s">
        <v>8</v>
      </c>
      <c r="HT487" s="27" t="s">
        <v>7</v>
      </c>
      <c r="HU487" s="27" t="s">
        <v>8</v>
      </c>
      <c r="HV487" s="27" t="s">
        <v>7</v>
      </c>
      <c r="HW487" s="27" t="s">
        <v>8</v>
      </c>
    </row>
    <row r="488" spans="1:234" x14ac:dyDescent="0.25">
      <c r="A488" s="7">
        <v>7.1025942335807324</v>
      </c>
      <c r="B488"/>
      <c r="C488"/>
      <c r="D488"/>
      <c r="E488"/>
      <c r="CG488" s="27" t="s">
        <v>8</v>
      </c>
      <c r="CH488" s="27" t="s">
        <v>7</v>
      </c>
      <c r="CS488" s="27" t="s">
        <v>8</v>
      </c>
      <c r="CT488" s="27" t="s">
        <v>7</v>
      </c>
      <c r="CW488" s="27" t="s">
        <v>8</v>
      </c>
      <c r="CX488" s="27" t="s">
        <v>7</v>
      </c>
      <c r="DQ488" s="27" t="s">
        <v>8</v>
      </c>
      <c r="DR488" s="27" t="s">
        <v>7</v>
      </c>
      <c r="FU488" s="27" t="s">
        <v>8</v>
      </c>
      <c r="GB488" s="27" t="s">
        <v>7</v>
      </c>
      <c r="GC488" s="27" t="s">
        <v>8</v>
      </c>
      <c r="GF488" s="27" t="s">
        <v>7</v>
      </c>
      <c r="GG488" s="27" t="s">
        <v>8</v>
      </c>
      <c r="GH488" s="27" t="s">
        <v>7</v>
      </c>
      <c r="GI488" s="27" t="s">
        <v>8</v>
      </c>
      <c r="GJ488" s="27" t="s">
        <v>7</v>
      </c>
      <c r="GK488" s="27" t="s">
        <v>8</v>
      </c>
      <c r="GP488" s="27" t="s">
        <v>7</v>
      </c>
      <c r="GQ488" s="27" t="s">
        <v>8</v>
      </c>
      <c r="HT488" s="27" t="s">
        <v>7</v>
      </c>
      <c r="HU488" s="27" t="s">
        <v>8</v>
      </c>
      <c r="HV488" s="27" t="s">
        <v>7</v>
      </c>
      <c r="HW488" s="27" t="s">
        <v>8</v>
      </c>
    </row>
    <row r="489" spans="1:234" x14ac:dyDescent="0.25">
      <c r="A489" s="7">
        <v>6.9633276799811101</v>
      </c>
      <c r="B489"/>
      <c r="C489"/>
      <c r="D489"/>
      <c r="E489"/>
      <c r="CG489" s="27" t="s">
        <v>8</v>
      </c>
      <c r="CH489" s="27" t="s">
        <v>7</v>
      </c>
      <c r="CS489" s="27" t="s">
        <v>8</v>
      </c>
      <c r="CT489" s="27" t="s">
        <v>7</v>
      </c>
      <c r="CW489" s="27" t="s">
        <v>8</v>
      </c>
      <c r="CX489" s="27" t="s">
        <v>7</v>
      </c>
      <c r="CY489" s="27" t="s">
        <v>8</v>
      </c>
      <c r="DQ489" s="27" t="s">
        <v>8</v>
      </c>
      <c r="DR489" s="27" t="s">
        <v>7</v>
      </c>
      <c r="FU489" s="27" t="s">
        <v>8</v>
      </c>
      <c r="GB489" s="27" t="s">
        <v>7</v>
      </c>
      <c r="GC489" s="27" t="s">
        <v>8</v>
      </c>
      <c r="GF489" s="27" t="s">
        <v>7</v>
      </c>
      <c r="GG489" s="27" t="s">
        <v>8</v>
      </c>
      <c r="GH489" s="27" t="s">
        <v>7</v>
      </c>
      <c r="GI489" s="27" t="s">
        <v>8</v>
      </c>
      <c r="GJ489" s="27" t="s">
        <v>7</v>
      </c>
      <c r="GK489" s="27" t="s">
        <v>8</v>
      </c>
      <c r="GP489" s="27" t="s">
        <v>7</v>
      </c>
      <c r="GQ489" s="27" t="s">
        <v>8</v>
      </c>
      <c r="HT489" s="27" t="s">
        <v>7</v>
      </c>
      <c r="HU489" s="27" t="s">
        <v>8</v>
      </c>
      <c r="HV489" s="27" t="s">
        <v>7</v>
      </c>
      <c r="HW489" s="27" t="s">
        <v>8</v>
      </c>
    </row>
    <row r="490" spans="1:234" x14ac:dyDescent="0.25">
      <c r="A490" s="7">
        <v>6.8267918431187349</v>
      </c>
      <c r="B490"/>
      <c r="C490"/>
      <c r="D490"/>
      <c r="E490"/>
      <c r="CG490" s="27" t="s">
        <v>8</v>
      </c>
      <c r="CH490" s="27" t="s">
        <v>7</v>
      </c>
      <c r="CS490" s="27" t="s">
        <v>8</v>
      </c>
      <c r="CT490" s="27" t="s">
        <v>7</v>
      </c>
      <c r="CU490" s="27" t="s">
        <v>8</v>
      </c>
      <c r="CW490" s="27" t="s">
        <v>8</v>
      </c>
      <c r="CX490" s="27" t="s">
        <v>7</v>
      </c>
      <c r="CY490" s="27" t="s">
        <v>8</v>
      </c>
      <c r="CZ490" s="27" t="s">
        <v>7</v>
      </c>
      <c r="DQ490" s="27" t="s">
        <v>8</v>
      </c>
      <c r="DR490" s="27" t="s">
        <v>7</v>
      </c>
      <c r="FS490" s="27" t="s">
        <v>8</v>
      </c>
      <c r="FU490" s="27" t="s">
        <v>8</v>
      </c>
      <c r="GB490" s="27" t="s">
        <v>7</v>
      </c>
      <c r="GC490" s="27" t="s">
        <v>8</v>
      </c>
      <c r="GF490" s="27" t="s">
        <v>7</v>
      </c>
      <c r="GG490" s="27" t="s">
        <v>8</v>
      </c>
      <c r="GH490" s="27" t="s">
        <v>7</v>
      </c>
      <c r="GI490" s="27" t="s">
        <v>8</v>
      </c>
      <c r="GJ490" s="27" t="s">
        <v>7</v>
      </c>
      <c r="GK490" s="27" t="s">
        <v>8</v>
      </c>
      <c r="GP490" s="27" t="s">
        <v>7</v>
      </c>
      <c r="HT490" s="27" t="s">
        <v>7</v>
      </c>
      <c r="HU490" s="27" t="s">
        <v>8</v>
      </c>
      <c r="HV490" s="27" t="s">
        <v>7</v>
      </c>
      <c r="HW490" s="27" t="s">
        <v>8</v>
      </c>
    </row>
    <row r="491" spans="1:234" x14ac:dyDescent="0.25">
      <c r="A491" s="7">
        <v>6.692933179528171</v>
      </c>
      <c r="B491"/>
      <c r="C491"/>
      <c r="D491"/>
      <c r="E491"/>
      <c r="CG491" s="27" t="s">
        <v>8</v>
      </c>
      <c r="CH491" s="27" t="s">
        <v>7</v>
      </c>
      <c r="CO491" s="27" t="s">
        <v>8</v>
      </c>
      <c r="CS491" s="27" t="s">
        <v>8</v>
      </c>
      <c r="CT491" s="27" t="s">
        <v>7</v>
      </c>
      <c r="CU491" s="27" t="s">
        <v>8</v>
      </c>
      <c r="CV491" s="27" t="s">
        <v>7</v>
      </c>
      <c r="CW491" s="27" t="s">
        <v>8</v>
      </c>
      <c r="CX491" s="27" t="s">
        <v>7</v>
      </c>
      <c r="CY491" s="27" t="s">
        <v>8</v>
      </c>
      <c r="CZ491" s="27" t="s">
        <v>7</v>
      </c>
      <c r="DQ491" s="27" t="s">
        <v>8</v>
      </c>
      <c r="DR491" s="27" t="s">
        <v>7</v>
      </c>
      <c r="FS491" s="27" t="s">
        <v>8</v>
      </c>
      <c r="FT491" s="27" t="s">
        <v>7</v>
      </c>
      <c r="FU491" s="27" t="s">
        <v>8</v>
      </c>
      <c r="GB491" s="27" t="s">
        <v>7</v>
      </c>
      <c r="GC491" s="27" t="s">
        <v>8</v>
      </c>
      <c r="GF491" s="27" t="s">
        <v>7</v>
      </c>
      <c r="GH491" s="27" t="s">
        <v>7</v>
      </c>
      <c r="GI491" s="27" t="s">
        <v>8</v>
      </c>
      <c r="GJ491" s="27" t="s">
        <v>7</v>
      </c>
      <c r="GK491" s="27" t="s">
        <v>8</v>
      </c>
      <c r="HT491" s="27" t="s">
        <v>7</v>
      </c>
      <c r="HU491" s="27" t="s">
        <v>8</v>
      </c>
      <c r="HV491" s="27" t="s">
        <v>7</v>
      </c>
    </row>
    <row r="492" spans="1:234" x14ac:dyDescent="0.25">
      <c r="A492" s="7">
        <v>6.5616991956158541</v>
      </c>
      <c r="B492"/>
      <c r="C492"/>
      <c r="D492"/>
      <c r="E492"/>
      <c r="CG492" s="27" t="s">
        <v>8</v>
      </c>
      <c r="CH492" s="27" t="s">
        <v>7</v>
      </c>
      <c r="CI492" s="27" t="s">
        <v>8</v>
      </c>
      <c r="CK492" s="27" t="s">
        <v>8</v>
      </c>
      <c r="CO492" s="27" t="s">
        <v>8</v>
      </c>
      <c r="CP492" s="27" t="s">
        <v>7</v>
      </c>
      <c r="CS492" s="27" t="s">
        <v>8</v>
      </c>
      <c r="CT492" s="27" t="s">
        <v>7</v>
      </c>
      <c r="CU492" s="27" t="s">
        <v>8</v>
      </c>
      <c r="CV492" s="27" t="s">
        <v>7</v>
      </c>
      <c r="CW492" s="27" t="s">
        <v>8</v>
      </c>
      <c r="CX492" s="27" t="s">
        <v>7</v>
      </c>
      <c r="CY492" s="27" t="s">
        <v>8</v>
      </c>
      <c r="CZ492" s="27" t="s">
        <v>7</v>
      </c>
      <c r="DQ492" s="27" t="s">
        <v>8</v>
      </c>
      <c r="DR492" s="27" t="s">
        <v>7</v>
      </c>
      <c r="FM492" s="27" t="s">
        <v>8</v>
      </c>
      <c r="FS492" s="27" t="s">
        <v>8</v>
      </c>
      <c r="FT492" s="27" t="s">
        <v>7</v>
      </c>
      <c r="FU492" s="27" t="s">
        <v>8</v>
      </c>
      <c r="GB492" s="27" t="s">
        <v>7</v>
      </c>
      <c r="GC492" s="27" t="s">
        <v>8</v>
      </c>
      <c r="GH492" s="27" t="s">
        <v>7</v>
      </c>
      <c r="GI492" s="27" t="s">
        <v>8</v>
      </c>
      <c r="GJ492" s="27" t="s">
        <v>7</v>
      </c>
      <c r="HT492" s="27" t="s">
        <v>7</v>
      </c>
      <c r="HU492" s="27" t="s">
        <v>8</v>
      </c>
    </row>
    <row r="493" spans="1:234" x14ac:dyDescent="0.25">
      <c r="A493" s="7">
        <v>6.4330384270743668</v>
      </c>
      <c r="B493"/>
      <c r="C493"/>
      <c r="D493"/>
      <c r="E493"/>
      <c r="CG493" s="27" t="s">
        <v>8</v>
      </c>
      <c r="CH493" s="27" t="s">
        <v>7</v>
      </c>
      <c r="CI493" s="27" t="s">
        <v>8</v>
      </c>
      <c r="CJ493" s="27" t="s">
        <v>7</v>
      </c>
      <c r="CK493" s="27" t="s">
        <v>8</v>
      </c>
      <c r="CL493" s="27" t="s">
        <v>7</v>
      </c>
      <c r="CO493" s="27" t="s">
        <v>8</v>
      </c>
      <c r="CP493" s="27" t="s">
        <v>7</v>
      </c>
      <c r="CS493" s="27" t="s">
        <v>8</v>
      </c>
      <c r="CT493" s="27" t="s">
        <v>7</v>
      </c>
      <c r="CU493" s="27" t="s">
        <v>8</v>
      </c>
      <c r="CV493" s="27" t="s">
        <v>7</v>
      </c>
      <c r="CX493" s="27" t="s">
        <v>7</v>
      </c>
      <c r="CY493" s="27" t="s">
        <v>8</v>
      </c>
      <c r="CZ493" s="27" t="s">
        <v>7</v>
      </c>
      <c r="DQ493" s="27" t="s">
        <v>8</v>
      </c>
      <c r="DR493" s="27" t="s">
        <v>7</v>
      </c>
      <c r="FM493" s="27" t="s">
        <v>8</v>
      </c>
      <c r="FN493" s="27" t="s">
        <v>7</v>
      </c>
      <c r="FS493" s="27" t="s">
        <v>8</v>
      </c>
      <c r="FT493" s="27" t="s">
        <v>7</v>
      </c>
      <c r="FU493" s="27" t="s">
        <v>8</v>
      </c>
      <c r="GB493" s="27" t="s">
        <v>7</v>
      </c>
      <c r="GH493" s="27" t="s">
        <v>7</v>
      </c>
      <c r="HT493" s="27" t="s">
        <v>7</v>
      </c>
      <c r="HU493" s="27" t="s">
        <v>8</v>
      </c>
    </row>
    <row r="494" spans="1:234" x14ac:dyDescent="0.25">
      <c r="A494" s="7">
        <v>6.3069004187003594</v>
      </c>
      <c r="B494"/>
      <c r="C494"/>
      <c r="D494"/>
      <c r="E494"/>
      <c r="CG494" s="27" t="s">
        <v>8</v>
      </c>
      <c r="CH494" s="27" t="s">
        <v>7</v>
      </c>
      <c r="CI494" s="27" t="s">
        <v>8</v>
      </c>
      <c r="CJ494" s="27" t="s">
        <v>7</v>
      </c>
      <c r="CK494" s="27" t="s">
        <v>8</v>
      </c>
      <c r="CL494" s="27" t="s">
        <v>7</v>
      </c>
      <c r="CO494" s="27" t="s">
        <v>8</v>
      </c>
      <c r="CP494" s="27" t="s">
        <v>7</v>
      </c>
      <c r="CQ494" s="27" t="s">
        <v>8</v>
      </c>
      <c r="CS494" s="27" t="s">
        <v>8</v>
      </c>
      <c r="CT494" s="27" t="s">
        <v>7</v>
      </c>
      <c r="CU494" s="27" t="s">
        <v>8</v>
      </c>
      <c r="CX494" s="27" t="s">
        <v>7</v>
      </c>
      <c r="CY494" s="27" t="s">
        <v>8</v>
      </c>
      <c r="CZ494" s="27" t="s">
        <v>7</v>
      </c>
      <c r="DQ494" s="27" t="s">
        <v>8</v>
      </c>
      <c r="DR494" s="27" t="s">
        <v>7</v>
      </c>
      <c r="FM494" s="27" t="s">
        <v>8</v>
      </c>
      <c r="FN494" s="27" t="s">
        <v>7</v>
      </c>
      <c r="FS494" s="27" t="s">
        <v>8</v>
      </c>
      <c r="FT494" s="27" t="s">
        <v>7</v>
      </c>
      <c r="FU494" s="27" t="s">
        <v>8</v>
      </c>
      <c r="HT494" s="27" t="s">
        <v>7</v>
      </c>
      <c r="HU494" s="27" t="s">
        <v>8</v>
      </c>
    </row>
    <row r="495" spans="1:234" x14ac:dyDescent="0.25">
      <c r="A495" s="7">
        <v>6.1832357046081956</v>
      </c>
      <c r="B495"/>
      <c r="C495"/>
      <c r="D495"/>
      <c r="E495"/>
      <c r="CE495" s="27" t="s">
        <v>8</v>
      </c>
      <c r="CG495" s="27" t="s">
        <v>8</v>
      </c>
      <c r="CH495" s="27" t="s">
        <v>7</v>
      </c>
      <c r="CI495" s="27" t="s">
        <v>8</v>
      </c>
      <c r="CJ495" s="27" t="s">
        <v>7</v>
      </c>
      <c r="CK495" s="27" t="s">
        <v>8</v>
      </c>
      <c r="CL495" s="27" t="s">
        <v>7</v>
      </c>
      <c r="CO495" s="27" t="s">
        <v>8</v>
      </c>
      <c r="CP495" s="27" t="s">
        <v>7</v>
      </c>
      <c r="CQ495" s="27" t="s">
        <v>8</v>
      </c>
      <c r="CR495" s="27" t="s">
        <v>7</v>
      </c>
      <c r="CS495" s="27" t="s">
        <v>8</v>
      </c>
      <c r="CT495" s="27" t="s">
        <v>7</v>
      </c>
      <c r="CU495" s="27" t="s">
        <v>8</v>
      </c>
      <c r="CX495" s="27" t="s">
        <v>7</v>
      </c>
      <c r="CZ495" s="27" t="s">
        <v>7</v>
      </c>
      <c r="DQ495" s="27" t="s">
        <v>8</v>
      </c>
      <c r="DR495" s="27" t="s">
        <v>7</v>
      </c>
      <c r="DS495" s="27" t="s">
        <v>8</v>
      </c>
      <c r="FM495" s="27" t="s">
        <v>8</v>
      </c>
      <c r="FN495" s="27" t="s">
        <v>7</v>
      </c>
      <c r="FQ495" s="27" t="s">
        <v>8</v>
      </c>
      <c r="FS495" s="27" t="s">
        <v>8</v>
      </c>
      <c r="FT495" s="27" t="s">
        <v>7</v>
      </c>
      <c r="FU495" s="27" t="s">
        <v>8</v>
      </c>
      <c r="HT495" s="27" t="s">
        <v>7</v>
      </c>
    </row>
    <row r="496" spans="1:234" x14ac:dyDescent="0.25">
      <c r="A496" s="7">
        <v>6.0619957888315641</v>
      </c>
      <c r="B496"/>
      <c r="C496"/>
      <c r="D496"/>
      <c r="E496"/>
      <c r="CE496" s="27" t="s">
        <v>8</v>
      </c>
      <c r="CF496" s="27" t="s">
        <v>7</v>
      </c>
      <c r="CG496" s="27" t="s">
        <v>8</v>
      </c>
      <c r="CH496" s="27" t="s">
        <v>7</v>
      </c>
      <c r="CI496" s="27" t="s">
        <v>8</v>
      </c>
      <c r="CJ496" s="27" t="s">
        <v>7</v>
      </c>
      <c r="CK496" s="27" t="s">
        <v>8</v>
      </c>
      <c r="CL496" s="27" t="s">
        <v>7</v>
      </c>
      <c r="CO496" s="27" t="s">
        <v>8</v>
      </c>
      <c r="CP496" s="27" t="s">
        <v>7</v>
      </c>
      <c r="CQ496" s="27" t="s">
        <v>8</v>
      </c>
      <c r="CR496" s="27" t="s">
        <v>7</v>
      </c>
      <c r="CS496" s="27" t="s">
        <v>8</v>
      </c>
      <c r="CT496" s="27" t="s">
        <v>7</v>
      </c>
      <c r="CU496" s="27" t="s">
        <v>8</v>
      </c>
      <c r="CZ496" s="27" t="s">
        <v>7</v>
      </c>
      <c r="DQ496" s="27" t="s">
        <v>8</v>
      </c>
      <c r="DR496" s="27" t="s">
        <v>7</v>
      </c>
      <c r="DS496" s="27" t="s">
        <v>8</v>
      </c>
      <c r="DT496" s="27" t="s">
        <v>7</v>
      </c>
      <c r="FM496" s="27" t="s">
        <v>8</v>
      </c>
      <c r="FN496" s="27" t="s">
        <v>7</v>
      </c>
      <c r="FQ496" s="27" t="s">
        <v>8</v>
      </c>
      <c r="FR496" s="27" t="s">
        <v>7</v>
      </c>
      <c r="FS496" s="27" t="s">
        <v>8</v>
      </c>
      <c r="FT496" s="27" t="s">
        <v>7</v>
      </c>
      <c r="FU496" s="27" t="s">
        <v>8</v>
      </c>
    </row>
    <row r="497" spans="1:177" x14ac:dyDescent="0.25">
      <c r="A497" s="7">
        <v>5.9431331263054545</v>
      </c>
      <c r="B497"/>
      <c r="C497"/>
      <c r="D497"/>
      <c r="E497"/>
      <c r="CE497" s="27" t="s">
        <v>8</v>
      </c>
      <c r="CF497" s="27" t="s">
        <v>7</v>
      </c>
      <c r="CG497" s="27" t="s">
        <v>8</v>
      </c>
      <c r="CH497" s="27" t="s">
        <v>7</v>
      </c>
      <c r="CI497" s="27" t="s">
        <v>8</v>
      </c>
      <c r="CJ497" s="27" t="s">
        <v>7</v>
      </c>
      <c r="CL497" s="27" t="s">
        <v>7</v>
      </c>
      <c r="CM497" s="27" t="s">
        <v>8</v>
      </c>
      <c r="CO497" s="27" t="s">
        <v>8</v>
      </c>
      <c r="CP497" s="27" t="s">
        <v>7</v>
      </c>
      <c r="CQ497" s="27" t="s">
        <v>8</v>
      </c>
      <c r="CR497" s="27" t="s">
        <v>7</v>
      </c>
      <c r="CS497" s="27" t="s">
        <v>8</v>
      </c>
      <c r="CT497" s="27" t="s">
        <v>7</v>
      </c>
      <c r="CU497" s="27" t="s">
        <v>8</v>
      </c>
      <c r="CZ497" s="27" t="s">
        <v>7</v>
      </c>
      <c r="DG497" s="27" t="s">
        <v>8</v>
      </c>
      <c r="DO497" s="27" t="s">
        <v>8</v>
      </c>
      <c r="DQ497" s="27" t="s">
        <v>8</v>
      </c>
      <c r="DR497" s="27" t="s">
        <v>7</v>
      </c>
      <c r="DS497" s="27" t="s">
        <v>8</v>
      </c>
      <c r="DT497" s="27" t="s">
        <v>7</v>
      </c>
      <c r="FM497" s="27" t="s">
        <v>8</v>
      </c>
      <c r="FN497" s="27" t="s">
        <v>7</v>
      </c>
      <c r="FQ497" s="27" t="s">
        <v>8</v>
      </c>
      <c r="FR497" s="27" t="s">
        <v>7</v>
      </c>
      <c r="FS497" s="27" t="s">
        <v>8</v>
      </c>
      <c r="FT497" s="27" t="s">
        <v>7</v>
      </c>
      <c r="FU497" s="27" t="s">
        <v>8</v>
      </c>
    </row>
    <row r="498" spans="1:177" x14ac:dyDescent="0.25">
      <c r="A498" s="7">
        <v>5.8266011042210337</v>
      </c>
      <c r="B498"/>
      <c r="C498"/>
      <c r="D498"/>
      <c r="E498"/>
      <c r="CE498" s="27" t="s">
        <v>8</v>
      </c>
      <c r="CF498" s="27" t="s">
        <v>7</v>
      </c>
      <c r="CG498" s="27" t="s">
        <v>8</v>
      </c>
      <c r="CH498" s="27" t="s">
        <v>7</v>
      </c>
      <c r="CI498" s="27" t="s">
        <v>8</v>
      </c>
      <c r="CL498" s="27" t="s">
        <v>7</v>
      </c>
      <c r="CM498" s="27" t="s">
        <v>8</v>
      </c>
      <c r="CN498" s="27" t="s">
        <v>7</v>
      </c>
      <c r="CO498" s="27" t="s">
        <v>8</v>
      </c>
      <c r="CP498" s="27" t="s">
        <v>7</v>
      </c>
      <c r="CQ498" s="27" t="s">
        <v>8</v>
      </c>
      <c r="CR498" s="27" t="s">
        <v>7</v>
      </c>
      <c r="CS498" s="27" t="s">
        <v>8</v>
      </c>
      <c r="CT498" s="27" t="s">
        <v>7</v>
      </c>
      <c r="CU498" s="27" t="s">
        <v>8</v>
      </c>
      <c r="CZ498" s="27" t="s">
        <v>7</v>
      </c>
      <c r="DG498" s="27" t="s">
        <v>8</v>
      </c>
      <c r="DH498" s="27" t="s">
        <v>7</v>
      </c>
      <c r="DO498" s="27" t="s">
        <v>8</v>
      </c>
      <c r="DP498" s="27" t="s">
        <v>7</v>
      </c>
      <c r="DQ498" s="27" t="s">
        <v>8</v>
      </c>
      <c r="DR498" s="27" t="s">
        <v>7</v>
      </c>
      <c r="DS498" s="27" t="s">
        <v>8</v>
      </c>
      <c r="DT498" s="27" t="s">
        <v>7</v>
      </c>
      <c r="FM498" s="27" t="s">
        <v>8</v>
      </c>
      <c r="FN498" s="27" t="s">
        <v>7</v>
      </c>
      <c r="FQ498" s="27" t="s">
        <v>8</v>
      </c>
      <c r="FR498" s="27" t="s">
        <v>7</v>
      </c>
      <c r="FS498" s="27" t="s">
        <v>8</v>
      </c>
      <c r="FT498" s="27" t="s">
        <v>7</v>
      </c>
      <c r="FU498" s="27" t="s">
        <v>8</v>
      </c>
    </row>
    <row r="499" spans="1:177" x14ac:dyDescent="0.25">
      <c r="A499" s="7">
        <v>5.7123540237461112</v>
      </c>
      <c r="B499"/>
      <c r="C499"/>
      <c r="D499"/>
      <c r="E499"/>
      <c r="CE499" s="27" t="s">
        <v>8</v>
      </c>
      <c r="CF499" s="27" t="s">
        <v>7</v>
      </c>
      <c r="CG499" s="27" t="s">
        <v>8</v>
      </c>
      <c r="CH499" s="27" t="s">
        <v>7</v>
      </c>
      <c r="CI499" s="27" t="s">
        <v>8</v>
      </c>
      <c r="CL499" s="27" t="s">
        <v>7</v>
      </c>
      <c r="CM499" s="27" t="s">
        <v>8</v>
      </c>
      <c r="CN499" s="27" t="s">
        <v>7</v>
      </c>
      <c r="CO499" s="27" t="s">
        <v>8</v>
      </c>
      <c r="CP499" s="27" t="s">
        <v>7</v>
      </c>
      <c r="CR499" s="27" t="s">
        <v>7</v>
      </c>
      <c r="CS499" s="27" t="s">
        <v>8</v>
      </c>
      <c r="CT499" s="27" t="s">
        <v>7</v>
      </c>
      <c r="CZ499" s="27" t="s">
        <v>7</v>
      </c>
      <c r="DC499" s="27" t="s">
        <v>8</v>
      </c>
      <c r="DG499" s="27" t="s">
        <v>8</v>
      </c>
      <c r="DH499" s="27" t="s">
        <v>7</v>
      </c>
      <c r="DO499" s="27" t="s">
        <v>8</v>
      </c>
      <c r="DP499" s="27" t="s">
        <v>7</v>
      </c>
      <c r="DQ499" s="27" t="s">
        <v>8</v>
      </c>
      <c r="DR499" s="27" t="s">
        <v>7</v>
      </c>
      <c r="DS499" s="27" t="s">
        <v>8</v>
      </c>
      <c r="DT499" s="27" t="s">
        <v>7</v>
      </c>
      <c r="FM499" s="27" t="s">
        <v>8</v>
      </c>
      <c r="FN499" s="27" t="s">
        <v>7</v>
      </c>
      <c r="FO499" s="27" t="s">
        <v>8</v>
      </c>
      <c r="FQ499" s="27" t="s">
        <v>8</v>
      </c>
      <c r="FR499" s="27" t="s">
        <v>7</v>
      </c>
      <c r="FS499" s="27" t="s">
        <v>8</v>
      </c>
      <c r="FT499" s="27" t="s">
        <v>7</v>
      </c>
      <c r="FU499" s="27" t="s">
        <v>8</v>
      </c>
    </row>
    <row r="500" spans="1:177" x14ac:dyDescent="0.25">
      <c r="A500" s="7">
        <v>5.6003470821040304</v>
      </c>
      <c r="B500"/>
      <c r="C500"/>
      <c r="D500"/>
      <c r="E500"/>
      <c r="CE500" s="27" t="s">
        <v>8</v>
      </c>
      <c r="CF500" s="27" t="s">
        <v>7</v>
      </c>
      <c r="CG500" s="27" t="s">
        <v>8</v>
      </c>
      <c r="CH500" s="27" t="s">
        <v>7</v>
      </c>
      <c r="CL500" s="27" t="s">
        <v>7</v>
      </c>
      <c r="CM500" s="27" t="s">
        <v>8</v>
      </c>
      <c r="CN500" s="27" t="s">
        <v>7</v>
      </c>
      <c r="CR500" s="27" t="s">
        <v>7</v>
      </c>
      <c r="CZ500" s="27" t="s">
        <v>7</v>
      </c>
      <c r="DC500" s="27" t="s">
        <v>8</v>
      </c>
      <c r="DD500" s="27" t="s">
        <v>7</v>
      </c>
      <c r="DG500" s="27" t="s">
        <v>8</v>
      </c>
      <c r="DH500" s="27" t="s">
        <v>7</v>
      </c>
      <c r="DO500" s="27" t="s">
        <v>8</v>
      </c>
      <c r="DP500" s="27" t="s">
        <v>7</v>
      </c>
      <c r="DQ500" s="27" t="s">
        <v>8</v>
      </c>
      <c r="DR500" s="27" t="s">
        <v>7</v>
      </c>
      <c r="DS500" s="27" t="s">
        <v>8</v>
      </c>
      <c r="DT500" s="27" t="s">
        <v>7</v>
      </c>
      <c r="FM500" s="27" t="s">
        <v>8</v>
      </c>
      <c r="FN500" s="27" t="s">
        <v>7</v>
      </c>
      <c r="FO500" s="27" t="s">
        <v>8</v>
      </c>
      <c r="FP500" s="27" t="s">
        <v>7</v>
      </c>
      <c r="FQ500" s="27" t="s">
        <v>8</v>
      </c>
      <c r="FR500" s="27" t="s">
        <v>7</v>
      </c>
      <c r="FS500" s="27" t="s">
        <v>8</v>
      </c>
      <c r="FT500" s="27" t="s">
        <v>7</v>
      </c>
      <c r="FU500" s="27" t="s">
        <v>8</v>
      </c>
    </row>
    <row r="501" spans="1:177" x14ac:dyDescent="0.25">
      <c r="A501" s="7">
        <v>5.4905363550039512</v>
      </c>
      <c r="B501"/>
      <c r="C501"/>
      <c r="D501"/>
      <c r="E501"/>
      <c r="BQ501" s="27" t="s">
        <v>8</v>
      </c>
      <c r="CE501" s="27" t="s">
        <v>8</v>
      </c>
      <c r="CF501" s="27" t="s">
        <v>7</v>
      </c>
      <c r="CG501" s="27" t="s">
        <v>8</v>
      </c>
      <c r="CL501" s="27" t="s">
        <v>7</v>
      </c>
      <c r="CM501" s="27" t="s">
        <v>8</v>
      </c>
      <c r="CZ501" s="27" t="s">
        <v>7</v>
      </c>
      <c r="DC501" s="27" t="s">
        <v>8</v>
      </c>
      <c r="DD501" s="27" t="s">
        <v>7</v>
      </c>
      <c r="DG501" s="27" t="s">
        <v>8</v>
      </c>
      <c r="DH501" s="27" t="s">
        <v>7</v>
      </c>
      <c r="DI501" s="27" t="s">
        <v>8</v>
      </c>
      <c r="DK501" s="27" t="s">
        <v>8</v>
      </c>
      <c r="DM501" s="27" t="s">
        <v>8</v>
      </c>
      <c r="DO501" s="27" t="s">
        <v>8</v>
      </c>
      <c r="DP501" s="27" t="s">
        <v>7</v>
      </c>
      <c r="DQ501" s="27" t="s">
        <v>8</v>
      </c>
      <c r="DR501" s="27" t="s">
        <v>7</v>
      </c>
      <c r="DS501" s="27" t="s">
        <v>8</v>
      </c>
      <c r="DT501" s="27" t="s">
        <v>7</v>
      </c>
      <c r="FM501" s="27" t="s">
        <v>8</v>
      </c>
      <c r="FN501" s="27" t="s">
        <v>7</v>
      </c>
      <c r="FO501" s="27" t="s">
        <v>8</v>
      </c>
      <c r="FP501" s="27" t="s">
        <v>7</v>
      </c>
      <c r="FQ501" s="27" t="s">
        <v>8</v>
      </c>
      <c r="FR501" s="27" t="s">
        <v>7</v>
      </c>
      <c r="FS501" s="27" t="s">
        <v>8</v>
      </c>
      <c r="FT501" s="27" t="s">
        <v>7</v>
      </c>
    </row>
    <row r="502" spans="1:177" x14ac:dyDescent="0.25">
      <c r="A502" s="7">
        <v>5.3828787794156385</v>
      </c>
      <c r="B502"/>
      <c r="C502"/>
      <c r="D502"/>
      <c r="E502"/>
      <c r="BQ502" s="27" t="s">
        <v>8</v>
      </c>
      <c r="BR502" s="27" t="s">
        <v>7</v>
      </c>
      <c r="CE502" s="27" t="s">
        <v>8</v>
      </c>
      <c r="CF502" s="27" t="s">
        <v>7</v>
      </c>
      <c r="CG502" s="27" t="s">
        <v>8</v>
      </c>
      <c r="CL502" s="27" t="s">
        <v>7</v>
      </c>
      <c r="CM502" s="27" t="s">
        <v>8</v>
      </c>
      <c r="CZ502" s="27" t="s">
        <v>7</v>
      </c>
      <c r="DC502" s="27" t="s">
        <v>8</v>
      </c>
      <c r="DD502" s="27" t="s">
        <v>7</v>
      </c>
      <c r="DG502" s="27" t="s">
        <v>8</v>
      </c>
      <c r="DH502" s="27" t="s">
        <v>7</v>
      </c>
      <c r="DI502" s="27" t="s">
        <v>8</v>
      </c>
      <c r="DJ502" s="27" t="s">
        <v>7</v>
      </c>
      <c r="DK502" s="27" t="s">
        <v>8</v>
      </c>
      <c r="DL502" s="27" t="s">
        <v>7</v>
      </c>
      <c r="DM502" s="27" t="s">
        <v>8</v>
      </c>
      <c r="DN502" s="27" t="s">
        <v>7</v>
      </c>
      <c r="DO502" s="27" t="s">
        <v>8</v>
      </c>
      <c r="DP502" s="27" t="s">
        <v>7</v>
      </c>
      <c r="DQ502" s="27" t="s">
        <v>8</v>
      </c>
      <c r="DR502" s="27" t="s">
        <v>7</v>
      </c>
      <c r="DS502" s="27" t="s">
        <v>8</v>
      </c>
      <c r="DT502" s="27" t="s">
        <v>7</v>
      </c>
      <c r="FM502" s="27" t="s">
        <v>8</v>
      </c>
      <c r="FN502" s="27" t="s">
        <v>7</v>
      </c>
      <c r="FO502" s="27" t="s">
        <v>8</v>
      </c>
      <c r="FP502" s="27" t="s">
        <v>7</v>
      </c>
      <c r="FQ502" s="27" t="s">
        <v>8</v>
      </c>
      <c r="FR502" s="27" t="s">
        <v>7</v>
      </c>
      <c r="FS502" s="27" t="s">
        <v>8</v>
      </c>
    </row>
    <row r="503" spans="1:177" x14ac:dyDescent="0.25">
      <c r="A503" s="7">
        <v>5.2773321366819985</v>
      </c>
      <c r="B503"/>
      <c r="C503"/>
      <c r="D503"/>
      <c r="E503"/>
      <c r="BQ503" s="27" t="s">
        <v>8</v>
      </c>
      <c r="BR503" s="27" t="s">
        <v>7</v>
      </c>
      <c r="CE503" s="27" t="s">
        <v>8</v>
      </c>
      <c r="CF503" s="27" t="s">
        <v>7</v>
      </c>
      <c r="CG503" s="27" t="s">
        <v>8</v>
      </c>
      <c r="CL503" s="27" t="s">
        <v>7</v>
      </c>
      <c r="CM503" s="27" t="s">
        <v>8</v>
      </c>
      <c r="CZ503" s="27" t="s">
        <v>7</v>
      </c>
      <c r="DA503" s="27" t="s">
        <v>8</v>
      </c>
      <c r="DC503" s="27" t="s">
        <v>8</v>
      </c>
      <c r="DD503" s="27" t="s">
        <v>7</v>
      </c>
      <c r="DG503" s="27" t="s">
        <v>8</v>
      </c>
      <c r="DH503" s="27" t="s">
        <v>7</v>
      </c>
      <c r="DI503" s="27" t="s">
        <v>8</v>
      </c>
      <c r="DJ503" s="27" t="s">
        <v>7</v>
      </c>
      <c r="DK503" s="27" t="s">
        <v>8</v>
      </c>
      <c r="DL503" s="27" t="s">
        <v>7</v>
      </c>
      <c r="DM503" s="27" t="s">
        <v>8</v>
      </c>
      <c r="DN503" s="27" t="s">
        <v>7</v>
      </c>
      <c r="DO503" s="27" t="s">
        <v>8</v>
      </c>
      <c r="DP503" s="27" t="s">
        <v>7</v>
      </c>
      <c r="DQ503" s="27" t="s">
        <v>8</v>
      </c>
      <c r="DR503" s="27" t="s">
        <v>7</v>
      </c>
      <c r="DS503" s="27" t="s">
        <v>8</v>
      </c>
      <c r="DT503" s="27" t="s">
        <v>7</v>
      </c>
      <c r="FM503" s="27" t="s">
        <v>8</v>
      </c>
      <c r="FN503" s="27" t="s">
        <v>7</v>
      </c>
      <c r="FO503" s="27" t="s">
        <v>8</v>
      </c>
      <c r="FP503" s="27" t="s">
        <v>7</v>
      </c>
      <c r="FQ503" s="27" t="s">
        <v>8</v>
      </c>
      <c r="FR503" s="27" t="s">
        <v>7</v>
      </c>
      <c r="FS503" s="27" t="s">
        <v>8</v>
      </c>
    </row>
    <row r="504" spans="1:177" x14ac:dyDescent="0.25">
      <c r="A504" s="7">
        <v>5.1738550359627435</v>
      </c>
      <c r="B504"/>
      <c r="C504"/>
      <c r="D504"/>
      <c r="E504"/>
      <c r="BQ504" s="27" t="s">
        <v>8</v>
      </c>
      <c r="BR504" s="27" t="s">
        <v>7</v>
      </c>
      <c r="CE504" s="27" t="s">
        <v>8</v>
      </c>
      <c r="CF504" s="27" t="s">
        <v>7</v>
      </c>
      <c r="CL504" s="27" t="s">
        <v>7</v>
      </c>
      <c r="CM504" s="27" t="s">
        <v>8</v>
      </c>
      <c r="CZ504" s="27" t="s">
        <v>7</v>
      </c>
      <c r="DA504" s="27" t="s">
        <v>8</v>
      </c>
      <c r="DB504" s="27" t="s">
        <v>7</v>
      </c>
      <c r="DC504" s="27" t="s">
        <v>8</v>
      </c>
      <c r="DD504" s="27" t="s">
        <v>7</v>
      </c>
      <c r="DE504" s="27" t="s">
        <v>8</v>
      </c>
      <c r="DG504" s="27" t="s">
        <v>8</v>
      </c>
      <c r="DH504" s="27" t="s">
        <v>7</v>
      </c>
      <c r="DJ504" s="27" t="s">
        <v>7</v>
      </c>
      <c r="DK504" s="27" t="s">
        <v>8</v>
      </c>
      <c r="DL504" s="27" t="s">
        <v>7</v>
      </c>
      <c r="DM504" s="27" t="s">
        <v>8</v>
      </c>
      <c r="DN504" s="27" t="s">
        <v>7</v>
      </c>
      <c r="DO504" s="27" t="s">
        <v>8</v>
      </c>
      <c r="DP504" s="27" t="s">
        <v>7</v>
      </c>
      <c r="DQ504" s="27" t="s">
        <v>8</v>
      </c>
      <c r="DR504" s="27" t="s">
        <v>7</v>
      </c>
      <c r="DS504" s="27" t="s">
        <v>8</v>
      </c>
      <c r="DT504" s="27" t="s">
        <v>7</v>
      </c>
      <c r="FM504" s="27" t="s">
        <v>8</v>
      </c>
      <c r="FN504" s="27" t="s">
        <v>7</v>
      </c>
      <c r="FO504" s="27" t="s">
        <v>8</v>
      </c>
      <c r="FP504" s="27" t="s">
        <v>7</v>
      </c>
      <c r="FQ504" s="27" t="s">
        <v>8</v>
      </c>
      <c r="FR504" s="27" t="s">
        <v>7</v>
      </c>
    </row>
    <row r="505" spans="1:177" x14ac:dyDescent="0.25">
      <c r="A505" s="7">
        <v>5.07240689800269</v>
      </c>
      <c r="B505"/>
      <c r="C505"/>
      <c r="D505"/>
      <c r="E505"/>
      <c r="BQ505" s="27" t="s">
        <v>8</v>
      </c>
      <c r="BR505" s="27" t="s">
        <v>7</v>
      </c>
      <c r="CE505" s="27" t="s">
        <v>8</v>
      </c>
      <c r="CL505" s="27" t="s">
        <v>7</v>
      </c>
      <c r="CM505" s="27" t="s">
        <v>8</v>
      </c>
      <c r="CZ505" s="27" t="s">
        <v>7</v>
      </c>
      <c r="DA505" s="27" t="s">
        <v>8</v>
      </c>
      <c r="DB505" s="27" t="s">
        <v>7</v>
      </c>
      <c r="DC505" s="27" t="s">
        <v>8</v>
      </c>
      <c r="DD505" s="27" t="s">
        <v>7</v>
      </c>
      <c r="DE505" s="27" t="s">
        <v>8</v>
      </c>
      <c r="DF505" s="27" t="s">
        <v>7</v>
      </c>
      <c r="DG505" s="27" t="s">
        <v>8</v>
      </c>
      <c r="DJ505" s="27" t="s">
        <v>7</v>
      </c>
      <c r="DK505" s="27" t="s">
        <v>8</v>
      </c>
      <c r="DL505" s="27" t="s">
        <v>7</v>
      </c>
      <c r="DN505" s="27" t="s">
        <v>7</v>
      </c>
      <c r="DO505" s="27" t="s">
        <v>8</v>
      </c>
      <c r="DP505" s="27" t="s">
        <v>7</v>
      </c>
      <c r="DQ505" s="27" t="s">
        <v>8</v>
      </c>
      <c r="DR505" s="27" t="s">
        <v>7</v>
      </c>
      <c r="DT505" s="27" t="s">
        <v>7</v>
      </c>
      <c r="FM505" s="27" t="s">
        <v>8</v>
      </c>
      <c r="FN505" s="27" t="s">
        <v>7</v>
      </c>
      <c r="FO505" s="27" t="s">
        <v>8</v>
      </c>
      <c r="FP505" s="27" t="s">
        <v>7</v>
      </c>
      <c r="FQ505" s="27" t="s">
        <v>8</v>
      </c>
    </row>
    <row r="506" spans="1:177" x14ac:dyDescent="0.25">
      <c r="A506" s="7">
        <v>4.9729479392183231</v>
      </c>
      <c r="B506"/>
      <c r="C506"/>
      <c r="D506"/>
      <c r="E506"/>
      <c r="BQ506" s="27" t="s">
        <v>8</v>
      </c>
      <c r="BR506" s="27" t="s">
        <v>7</v>
      </c>
      <c r="CE506" s="27" t="s">
        <v>8</v>
      </c>
      <c r="CL506" s="27" t="s">
        <v>7</v>
      </c>
      <c r="CM506" s="27" t="s">
        <v>8</v>
      </c>
      <c r="CZ506" s="27" t="s">
        <v>7</v>
      </c>
      <c r="DA506" s="27" t="s">
        <v>8</v>
      </c>
      <c r="DB506" s="27" t="s">
        <v>7</v>
      </c>
      <c r="DC506" s="27" t="s">
        <v>8</v>
      </c>
      <c r="DD506" s="27" t="s">
        <v>7</v>
      </c>
      <c r="DE506" s="27" t="s">
        <v>8</v>
      </c>
      <c r="DF506" s="27" t="s">
        <v>7</v>
      </c>
      <c r="DG506" s="27" t="s">
        <v>8</v>
      </c>
      <c r="DJ506" s="27" t="s">
        <v>7</v>
      </c>
      <c r="DK506" s="27" t="s">
        <v>8</v>
      </c>
      <c r="DN506" s="27" t="s">
        <v>7</v>
      </c>
      <c r="DO506" s="27" t="s">
        <v>8</v>
      </c>
      <c r="DP506" s="27" t="s">
        <v>7</v>
      </c>
      <c r="DQ506" s="27" t="s">
        <v>8</v>
      </c>
      <c r="DT506" s="27" t="s">
        <v>7</v>
      </c>
      <c r="FM506" s="27" t="s">
        <v>8</v>
      </c>
      <c r="FN506" s="27" t="s">
        <v>7</v>
      </c>
      <c r="FO506" s="27" t="s">
        <v>8</v>
      </c>
      <c r="FP506" s="27" t="s">
        <v>7</v>
      </c>
      <c r="FQ506" s="27" t="s">
        <v>8</v>
      </c>
    </row>
    <row r="507" spans="1:177" x14ac:dyDescent="0.25">
      <c r="A507" s="7">
        <v>4.8754391560963954</v>
      </c>
      <c r="B507"/>
      <c r="C507"/>
      <c r="D507"/>
      <c r="E507"/>
      <c r="BQ507" s="27" t="s">
        <v>8</v>
      </c>
      <c r="BR507" s="27" t="s">
        <v>7</v>
      </c>
      <c r="BY507" s="27" t="s">
        <v>8</v>
      </c>
      <c r="CE507" s="27" t="s">
        <v>8</v>
      </c>
      <c r="CL507" s="27" t="s">
        <v>7</v>
      </c>
      <c r="CM507" s="27" t="s">
        <v>8</v>
      </c>
      <c r="CZ507" s="27" t="s">
        <v>7</v>
      </c>
      <c r="DA507" s="27" t="s">
        <v>8</v>
      </c>
      <c r="DB507" s="27" t="s">
        <v>7</v>
      </c>
      <c r="DC507" s="27" t="s">
        <v>8</v>
      </c>
      <c r="DD507" s="27" t="s">
        <v>7</v>
      </c>
      <c r="DE507" s="27" t="s">
        <v>8</v>
      </c>
      <c r="DF507" s="27" t="s">
        <v>7</v>
      </c>
      <c r="DG507" s="27" t="s">
        <v>8</v>
      </c>
      <c r="DJ507" s="27" t="s">
        <v>7</v>
      </c>
      <c r="DK507" s="27" t="s">
        <v>8</v>
      </c>
      <c r="DN507" s="27" t="s">
        <v>7</v>
      </c>
      <c r="DO507" s="27" t="s">
        <v>8</v>
      </c>
      <c r="DP507" s="27" t="s">
        <v>7</v>
      </c>
      <c r="DQ507" s="27" t="s">
        <v>8</v>
      </c>
      <c r="DT507" s="27" t="s">
        <v>7</v>
      </c>
      <c r="FM507" s="27" t="s">
        <v>8</v>
      </c>
      <c r="FN507" s="27" t="s">
        <v>7</v>
      </c>
      <c r="FP507" s="27" t="s">
        <v>7</v>
      </c>
      <c r="FQ507" s="27" t="s">
        <v>8</v>
      </c>
    </row>
    <row r="508" spans="1:177" x14ac:dyDescent="0.25">
      <c r="A508" s="7">
        <v>4.7798423098984264</v>
      </c>
      <c r="B508"/>
      <c r="C508"/>
      <c r="D508"/>
      <c r="E508"/>
      <c r="BQ508" s="27" t="s">
        <v>8</v>
      </c>
      <c r="BR508" s="27" t="s">
        <v>7</v>
      </c>
      <c r="BY508" s="27" t="s">
        <v>8</v>
      </c>
      <c r="BZ508" s="27" t="s">
        <v>7</v>
      </c>
      <c r="CE508" s="27" t="s">
        <v>8</v>
      </c>
      <c r="CL508" s="27" t="s">
        <v>7</v>
      </c>
      <c r="CM508" s="27" t="s">
        <v>8</v>
      </c>
      <c r="CZ508" s="27" t="s">
        <v>7</v>
      </c>
      <c r="DA508" s="27" t="s">
        <v>8</v>
      </c>
      <c r="DB508" s="27" t="s">
        <v>7</v>
      </c>
      <c r="DC508" s="27" t="s">
        <v>8</v>
      </c>
      <c r="DD508" s="27" t="s">
        <v>7</v>
      </c>
      <c r="DE508" s="27" t="s">
        <v>8</v>
      </c>
      <c r="DF508" s="27" t="s">
        <v>7</v>
      </c>
      <c r="DJ508" s="27" t="s">
        <v>7</v>
      </c>
      <c r="DN508" s="27" t="s">
        <v>7</v>
      </c>
      <c r="DO508" s="27" t="s">
        <v>8</v>
      </c>
      <c r="DP508" s="27" t="s">
        <v>7</v>
      </c>
      <c r="DQ508" s="27" t="s">
        <v>8</v>
      </c>
      <c r="DT508" s="27" t="s">
        <v>7</v>
      </c>
      <c r="FK508" s="27" t="s">
        <v>8</v>
      </c>
      <c r="FM508" s="27" t="s">
        <v>8</v>
      </c>
      <c r="FP508" s="27" t="s">
        <v>7</v>
      </c>
      <c r="FQ508" s="27" t="s">
        <v>8</v>
      </c>
    </row>
    <row r="509" spans="1:177" x14ac:dyDescent="0.25">
      <c r="A509" s="7">
        <v>4.6861199116651235</v>
      </c>
      <c r="B509"/>
      <c r="C509"/>
      <c r="D509"/>
      <c r="E509"/>
      <c r="BQ509" s="27" t="s">
        <v>8</v>
      </c>
      <c r="BR509" s="27" t="s">
        <v>7</v>
      </c>
      <c r="BY509" s="27" t="s">
        <v>8</v>
      </c>
      <c r="BZ509" s="27" t="s">
        <v>7</v>
      </c>
      <c r="CE509" s="27" t="s">
        <v>8</v>
      </c>
      <c r="CL509" s="27" t="s">
        <v>7</v>
      </c>
      <c r="CM509" s="27" t="s">
        <v>8</v>
      </c>
      <c r="CZ509" s="27" t="s">
        <v>7</v>
      </c>
      <c r="DA509" s="27" t="s">
        <v>8</v>
      </c>
      <c r="DB509" s="27" t="s">
        <v>7</v>
      </c>
      <c r="DC509" s="27" t="s">
        <v>8</v>
      </c>
      <c r="DD509" s="27" t="s">
        <v>7</v>
      </c>
      <c r="DE509" s="27" t="s">
        <v>8</v>
      </c>
      <c r="DN509" s="27" t="s">
        <v>7</v>
      </c>
      <c r="DO509" s="27" t="s">
        <v>8</v>
      </c>
      <c r="DP509" s="27" t="s">
        <v>7</v>
      </c>
      <c r="DQ509" s="27" t="s">
        <v>8</v>
      </c>
      <c r="DT509" s="27" t="s">
        <v>7</v>
      </c>
      <c r="FK509" s="27" t="s">
        <v>8</v>
      </c>
      <c r="FL509" s="27" t="s">
        <v>7</v>
      </c>
      <c r="FM509" s="27" t="s">
        <v>8</v>
      </c>
      <c r="FP509" s="27" t="s">
        <v>7</v>
      </c>
    </row>
    <row r="510" spans="1:177" x14ac:dyDescent="0.25">
      <c r="A510" s="7">
        <v>4.5942352075148269</v>
      </c>
      <c r="B510"/>
      <c r="C510"/>
      <c r="D510"/>
      <c r="E510"/>
      <c r="BQ510" s="27" t="s">
        <v>8</v>
      </c>
      <c r="BR510" s="27" t="s">
        <v>7</v>
      </c>
      <c r="BU510" s="27" t="s">
        <v>8</v>
      </c>
      <c r="BY510" s="27" t="s">
        <v>8</v>
      </c>
      <c r="BZ510" s="27" t="s">
        <v>7</v>
      </c>
      <c r="CC510" s="27" t="s">
        <v>8</v>
      </c>
      <c r="CE510" s="27" t="s">
        <v>8</v>
      </c>
      <c r="CL510" s="27" t="s">
        <v>7</v>
      </c>
      <c r="CM510" s="27" t="s">
        <v>8</v>
      </c>
      <c r="CZ510" s="27" t="s">
        <v>7</v>
      </c>
      <c r="DA510" s="27" t="s">
        <v>8</v>
      </c>
      <c r="DB510" s="27" t="s">
        <v>7</v>
      </c>
      <c r="DC510" s="27" t="s">
        <v>8</v>
      </c>
      <c r="DD510" s="27" t="s">
        <v>7</v>
      </c>
      <c r="DE510" s="27" t="s">
        <v>8</v>
      </c>
      <c r="DN510" s="27" t="s">
        <v>7</v>
      </c>
      <c r="DO510" s="27" t="s">
        <v>8</v>
      </c>
      <c r="DP510" s="27" t="s">
        <v>7</v>
      </c>
      <c r="DT510" s="27" t="s">
        <v>7</v>
      </c>
      <c r="FK510" s="27" t="s">
        <v>8</v>
      </c>
      <c r="FL510" s="27" t="s">
        <v>7</v>
      </c>
      <c r="FM510" s="27" t="s">
        <v>8</v>
      </c>
    </row>
    <row r="511" spans="1:177" x14ac:dyDescent="0.25">
      <c r="A511" s="7">
        <v>4.5041521642302227</v>
      </c>
      <c r="B511"/>
      <c r="C511"/>
      <c r="D511"/>
      <c r="E511"/>
      <c r="BQ511" s="27" t="s">
        <v>8</v>
      </c>
      <c r="BR511" s="27" t="s">
        <v>7</v>
      </c>
      <c r="BU511" s="27" t="s">
        <v>8</v>
      </c>
      <c r="BV511" s="27" t="s">
        <v>7</v>
      </c>
      <c r="BY511" s="27" t="s">
        <v>8</v>
      </c>
      <c r="BZ511" s="27" t="s">
        <v>7</v>
      </c>
      <c r="CC511" s="27" t="s">
        <v>8</v>
      </c>
      <c r="CD511" s="27" t="s">
        <v>7</v>
      </c>
      <c r="CE511" s="27" t="s">
        <v>8</v>
      </c>
      <c r="CL511" s="27" t="s">
        <v>7</v>
      </c>
      <c r="CZ511" s="27" t="s">
        <v>7</v>
      </c>
      <c r="DA511" s="27" t="s">
        <v>8</v>
      </c>
      <c r="DB511" s="27" t="s">
        <v>7</v>
      </c>
      <c r="DD511" s="27" t="s">
        <v>7</v>
      </c>
      <c r="DE511" s="27" t="s">
        <v>8</v>
      </c>
      <c r="DN511" s="27" t="s">
        <v>7</v>
      </c>
      <c r="DO511" s="27" t="s">
        <v>8</v>
      </c>
      <c r="DT511" s="27" t="s">
        <v>7</v>
      </c>
      <c r="FK511" s="27" t="s">
        <v>8</v>
      </c>
      <c r="FL511" s="27" t="s">
        <v>7</v>
      </c>
      <c r="FM511" s="27" t="s">
        <v>8</v>
      </c>
    </row>
    <row r="512" spans="1:177" x14ac:dyDescent="0.25">
      <c r="A512" s="7">
        <v>4.4158354551276693</v>
      </c>
      <c r="B512"/>
      <c r="C512"/>
      <c r="D512"/>
      <c r="E512"/>
      <c r="BQ512" s="27" t="s">
        <v>8</v>
      </c>
      <c r="BR512" s="27" t="s">
        <v>7</v>
      </c>
      <c r="BS512" s="27" t="s">
        <v>8</v>
      </c>
      <c r="BU512" s="27" t="s">
        <v>8</v>
      </c>
      <c r="BV512" s="27" t="s">
        <v>7</v>
      </c>
      <c r="BY512" s="27" t="s">
        <v>8</v>
      </c>
      <c r="BZ512" s="27" t="s">
        <v>7</v>
      </c>
      <c r="CC512" s="27" t="s">
        <v>8</v>
      </c>
      <c r="CD512" s="27" t="s">
        <v>7</v>
      </c>
      <c r="CE512" s="27" t="s">
        <v>8</v>
      </c>
      <c r="CZ512" s="27" t="s">
        <v>7</v>
      </c>
      <c r="DA512" s="27" t="s">
        <v>8</v>
      </c>
      <c r="DD512" s="27" t="s">
        <v>7</v>
      </c>
      <c r="DE512" s="27" t="s">
        <v>8</v>
      </c>
      <c r="DN512" s="27" t="s">
        <v>7</v>
      </c>
      <c r="DT512" s="27" t="s">
        <v>7</v>
      </c>
      <c r="FK512" s="27" t="s">
        <v>8</v>
      </c>
      <c r="FL512" s="27" t="s">
        <v>7</v>
      </c>
      <c r="FM512" s="27" t="s">
        <v>8</v>
      </c>
    </row>
    <row r="513" spans="1:168" x14ac:dyDescent="0.25">
      <c r="A513" s="7">
        <v>4.3292504462035977</v>
      </c>
      <c r="B513"/>
      <c r="C513"/>
      <c r="D513"/>
      <c r="E513"/>
      <c r="BQ513" s="27" t="s">
        <v>8</v>
      </c>
      <c r="BR513" s="27" t="s">
        <v>7</v>
      </c>
      <c r="BS513" s="27" t="s">
        <v>8</v>
      </c>
      <c r="BT513" s="27" t="s">
        <v>7</v>
      </c>
      <c r="BU513" s="27" t="s">
        <v>8</v>
      </c>
      <c r="BV513" s="27" t="s">
        <v>7</v>
      </c>
      <c r="BY513" s="27" t="s">
        <v>8</v>
      </c>
      <c r="BZ513" s="27" t="s">
        <v>7</v>
      </c>
      <c r="CC513" s="27" t="s">
        <v>8</v>
      </c>
      <c r="CD513" s="27" t="s">
        <v>7</v>
      </c>
      <c r="CE513" s="27" t="s">
        <v>8</v>
      </c>
      <c r="CZ513" s="27" t="s">
        <v>7</v>
      </c>
      <c r="DA513" s="27" t="s">
        <v>8</v>
      </c>
      <c r="DD513" s="27" t="s">
        <v>7</v>
      </c>
      <c r="DE513" s="27" t="s">
        <v>8</v>
      </c>
      <c r="DT513" s="27" t="s">
        <v>7</v>
      </c>
      <c r="DU513" s="27" t="s">
        <v>8</v>
      </c>
      <c r="FK513" s="27" t="s">
        <v>8</v>
      </c>
      <c r="FL513" s="27" t="s">
        <v>7</v>
      </c>
    </row>
    <row r="514" spans="1:168" x14ac:dyDescent="0.25">
      <c r="A514" s="7">
        <v>4.2443631825525463</v>
      </c>
      <c r="B514"/>
      <c r="C514"/>
      <c r="D514"/>
      <c r="E514"/>
      <c r="BQ514" s="27" t="s">
        <v>8</v>
      </c>
      <c r="BR514" s="27" t="s">
        <v>7</v>
      </c>
      <c r="BS514" s="27" t="s">
        <v>8</v>
      </c>
      <c r="BT514" s="27" t="s">
        <v>7</v>
      </c>
      <c r="BU514" s="27" t="s">
        <v>8</v>
      </c>
      <c r="BV514" s="27" t="s">
        <v>7</v>
      </c>
      <c r="BY514" s="27" t="s">
        <v>8</v>
      </c>
      <c r="BZ514" s="27" t="s">
        <v>7</v>
      </c>
      <c r="CA514" s="27" t="s">
        <v>8</v>
      </c>
      <c r="CC514" s="27" t="s">
        <v>8</v>
      </c>
      <c r="CD514" s="27" t="s">
        <v>7</v>
      </c>
      <c r="CE514" s="27" t="s">
        <v>8</v>
      </c>
      <c r="CZ514" s="27" t="s">
        <v>7</v>
      </c>
      <c r="DA514" s="27" t="s">
        <v>8</v>
      </c>
      <c r="DD514" s="27" t="s">
        <v>7</v>
      </c>
      <c r="DE514" s="27" t="s">
        <v>8</v>
      </c>
      <c r="DT514" s="27" t="s">
        <v>7</v>
      </c>
      <c r="DU514" s="27" t="s">
        <v>8</v>
      </c>
      <c r="DV514" s="27" t="s">
        <v>7</v>
      </c>
      <c r="FK514" s="27" t="s">
        <v>8</v>
      </c>
    </row>
    <row r="515" spans="1:168" x14ac:dyDescent="0.25">
      <c r="A515" s="7">
        <v>4.1611403750515157</v>
      </c>
      <c r="B515"/>
      <c r="C515"/>
      <c r="D515"/>
      <c r="E515"/>
      <c r="BQ515" s="27" t="s">
        <v>8</v>
      </c>
      <c r="BR515" s="27" t="s">
        <v>7</v>
      </c>
      <c r="BS515" s="27" t="s">
        <v>8</v>
      </c>
      <c r="BT515" s="27" t="s">
        <v>7</v>
      </c>
      <c r="BU515" s="27" t="s">
        <v>8</v>
      </c>
      <c r="BV515" s="27" t="s">
        <v>7</v>
      </c>
      <c r="BW515" s="27" t="s">
        <v>8</v>
      </c>
      <c r="BY515" s="27" t="s">
        <v>8</v>
      </c>
      <c r="BZ515" s="27" t="s">
        <v>7</v>
      </c>
      <c r="CA515" s="27" t="s">
        <v>8</v>
      </c>
      <c r="CB515" s="27" t="s">
        <v>7</v>
      </c>
      <c r="CC515" s="27" t="s">
        <v>8</v>
      </c>
      <c r="CD515" s="27" t="s">
        <v>7</v>
      </c>
      <c r="CE515" s="27" t="s">
        <v>8</v>
      </c>
      <c r="CZ515" s="27" t="s">
        <v>7</v>
      </c>
      <c r="DA515" s="27" t="s">
        <v>8</v>
      </c>
      <c r="DD515" s="27" t="s">
        <v>7</v>
      </c>
      <c r="DE515" s="27" t="s">
        <v>8</v>
      </c>
      <c r="DT515" s="27" t="s">
        <v>7</v>
      </c>
      <c r="DU515" s="27" t="s">
        <v>8</v>
      </c>
      <c r="DV515" s="27" t="s">
        <v>7</v>
      </c>
      <c r="FK515" s="27" t="s">
        <v>8</v>
      </c>
    </row>
    <row r="516" spans="1:168" x14ac:dyDescent="0.25">
      <c r="A516" s="7">
        <v>4.0795493873054074</v>
      </c>
      <c r="B516"/>
      <c r="C516"/>
      <c r="D516"/>
      <c r="E516"/>
      <c r="BQ516" s="27" t="s">
        <v>8</v>
      </c>
      <c r="BR516" s="27" t="s">
        <v>7</v>
      </c>
      <c r="BS516" s="27" t="s">
        <v>8</v>
      </c>
      <c r="BT516" s="27" t="s">
        <v>7</v>
      </c>
      <c r="BU516" s="27" t="s">
        <v>8</v>
      </c>
      <c r="BV516" s="27" t="s">
        <v>7</v>
      </c>
      <c r="BW516" s="27" t="s">
        <v>8</v>
      </c>
      <c r="BX516" s="27" t="s">
        <v>7</v>
      </c>
      <c r="BY516" s="27" t="s">
        <v>8</v>
      </c>
      <c r="BZ516" s="27" t="s">
        <v>7</v>
      </c>
      <c r="CA516" s="27" t="s">
        <v>8</v>
      </c>
      <c r="CB516" s="27" t="s">
        <v>7</v>
      </c>
      <c r="CC516" s="27" t="s">
        <v>8</v>
      </c>
      <c r="CD516" s="27" t="s">
        <v>7</v>
      </c>
      <c r="CE516" s="27" t="s">
        <v>8</v>
      </c>
      <c r="CZ516" s="27" t="s">
        <v>7</v>
      </c>
      <c r="DD516" s="27" t="s">
        <v>7</v>
      </c>
      <c r="DT516" s="27" t="s">
        <v>7</v>
      </c>
      <c r="DU516" s="27" t="s">
        <v>8</v>
      </c>
      <c r="DV516" s="27" t="s">
        <v>7</v>
      </c>
      <c r="FK516" s="27" t="s">
        <v>8</v>
      </c>
    </row>
    <row r="517" spans="1:168" x14ac:dyDescent="0.25">
      <c r="A517" s="7">
        <v>3.9995582228484383</v>
      </c>
      <c r="B517"/>
      <c r="C517"/>
      <c r="D517"/>
      <c r="E517"/>
      <c r="BQ517" s="27" t="s">
        <v>8</v>
      </c>
      <c r="BR517" s="27" t="s">
        <v>7</v>
      </c>
      <c r="BS517" s="27" t="s">
        <v>8</v>
      </c>
      <c r="BT517" s="27" t="s">
        <v>7</v>
      </c>
      <c r="BU517" s="27" t="s">
        <v>8</v>
      </c>
      <c r="BV517" s="27" t="s">
        <v>7</v>
      </c>
      <c r="BW517" s="27" t="s">
        <v>8</v>
      </c>
      <c r="BX517" s="27" t="s">
        <v>7</v>
      </c>
      <c r="BY517" s="27" t="s">
        <v>8</v>
      </c>
      <c r="BZ517" s="27" t="s">
        <v>7</v>
      </c>
      <c r="CA517" s="27" t="s">
        <v>8</v>
      </c>
      <c r="CB517" s="27" t="s">
        <v>7</v>
      </c>
      <c r="CC517" s="27" t="s">
        <v>8</v>
      </c>
      <c r="CD517" s="27" t="s">
        <v>7</v>
      </c>
      <c r="DT517" s="27" t="s">
        <v>7</v>
      </c>
      <c r="DU517" s="27" t="s">
        <v>8</v>
      </c>
      <c r="DV517" s="27" t="s">
        <v>7</v>
      </c>
      <c r="FK517" s="27" t="s">
        <v>8</v>
      </c>
    </row>
    <row r="518" spans="1:168" x14ac:dyDescent="0.25">
      <c r="A518" s="7">
        <v>3.9211355125965079</v>
      </c>
      <c r="B518"/>
      <c r="C518"/>
      <c r="D518"/>
      <c r="E518"/>
      <c r="BQ518" s="27" t="s">
        <v>8</v>
      </c>
      <c r="BR518" s="27" t="s">
        <v>7</v>
      </c>
      <c r="BS518" s="27" t="s">
        <v>8</v>
      </c>
      <c r="BT518" s="27" t="s">
        <v>7</v>
      </c>
      <c r="BU518" s="27" t="s">
        <v>8</v>
      </c>
      <c r="BV518" s="27" t="s">
        <v>7</v>
      </c>
      <c r="BW518" s="27" t="s">
        <v>8</v>
      </c>
      <c r="BX518" s="27" t="s">
        <v>7</v>
      </c>
      <c r="BY518" s="27" t="s">
        <v>8</v>
      </c>
      <c r="BZ518" s="27" t="s">
        <v>7</v>
      </c>
      <c r="CA518" s="27" t="s">
        <v>8</v>
      </c>
      <c r="CB518" s="27" t="s">
        <v>7</v>
      </c>
      <c r="DT518" s="27" t="s">
        <v>7</v>
      </c>
      <c r="DU518" s="27" t="s">
        <v>8</v>
      </c>
      <c r="DV518" s="27" t="s">
        <v>7</v>
      </c>
      <c r="FK518" s="27" t="s">
        <v>8</v>
      </c>
    </row>
    <row r="519" spans="1:168" x14ac:dyDescent="0.25">
      <c r="A519" s="7">
        <v>3.844250502545596</v>
      </c>
      <c r="B519"/>
      <c r="C519"/>
      <c r="D519"/>
      <c r="E519"/>
      <c r="BQ519" s="27" t="s">
        <v>8</v>
      </c>
      <c r="BR519" s="27" t="s">
        <v>7</v>
      </c>
      <c r="BS519" s="27" t="s">
        <v>8</v>
      </c>
      <c r="BT519" s="27" t="s">
        <v>7</v>
      </c>
      <c r="BV519" s="27" t="s">
        <v>7</v>
      </c>
      <c r="BW519" s="27" t="s">
        <v>8</v>
      </c>
      <c r="BX519" s="27" t="s">
        <v>7</v>
      </c>
      <c r="BY519" s="27" t="s">
        <v>8</v>
      </c>
      <c r="BZ519" s="27" t="s">
        <v>7</v>
      </c>
      <c r="CA519" s="27" t="s">
        <v>8</v>
      </c>
      <c r="DT519" s="27" t="s">
        <v>7</v>
      </c>
      <c r="DU519" s="27" t="s">
        <v>8</v>
      </c>
      <c r="DV519" s="27" t="s">
        <v>7</v>
      </c>
      <c r="FK519" s="27" t="s">
        <v>8</v>
      </c>
    </row>
    <row r="520" spans="1:168" x14ac:dyDescent="0.25">
      <c r="A520" s="7">
        <v>3.7688730417113687</v>
      </c>
      <c r="B520"/>
      <c r="C520"/>
      <c r="D520"/>
      <c r="E520"/>
      <c r="BQ520" s="27" t="s">
        <v>8</v>
      </c>
      <c r="BR520" s="27" t="s">
        <v>7</v>
      </c>
      <c r="BS520" s="27" t="s">
        <v>8</v>
      </c>
      <c r="BV520" s="27" t="s">
        <v>7</v>
      </c>
      <c r="BX520" s="27" t="s">
        <v>7</v>
      </c>
      <c r="BY520" s="27" t="s">
        <v>8</v>
      </c>
      <c r="BZ520" s="27" t="s">
        <v>7</v>
      </c>
      <c r="CA520" s="27" t="s">
        <v>8</v>
      </c>
      <c r="DT520" s="27" t="s">
        <v>7</v>
      </c>
      <c r="DU520" s="27" t="s">
        <v>8</v>
      </c>
      <c r="DV520" s="27" t="s">
        <v>7</v>
      </c>
      <c r="FK520" s="27" t="s">
        <v>8</v>
      </c>
    </row>
    <row r="521" spans="1:168" x14ac:dyDescent="0.25">
      <c r="A521" s="7">
        <v>3.6949735703052635</v>
      </c>
      <c r="B521"/>
      <c r="C521"/>
      <c r="D521"/>
      <c r="E521"/>
      <c r="BQ521" s="27" t="s">
        <v>8</v>
      </c>
      <c r="BR521" s="27" t="s">
        <v>7</v>
      </c>
      <c r="BS521" s="27" t="s">
        <v>8</v>
      </c>
      <c r="BX521" s="27" t="s">
        <v>7</v>
      </c>
      <c r="BY521" s="27" t="s">
        <v>8</v>
      </c>
      <c r="BZ521" s="27" t="s">
        <v>7</v>
      </c>
      <c r="CA521" s="27" t="s">
        <v>8</v>
      </c>
      <c r="DT521" s="27" t="s">
        <v>7</v>
      </c>
      <c r="DU521" s="27" t="s">
        <v>8</v>
      </c>
      <c r="DV521" s="27" t="s">
        <v>7</v>
      </c>
      <c r="FK521" s="27" t="s">
        <v>8</v>
      </c>
    </row>
    <row r="522" spans="1:168" x14ac:dyDescent="0.25">
      <c r="A522" s="7">
        <v>3.6225231081424152</v>
      </c>
      <c r="B522"/>
      <c r="C522"/>
      <c r="D522"/>
      <c r="E522"/>
      <c r="BQ522" s="27" t="s">
        <v>8</v>
      </c>
      <c r="BR522" s="27" t="s">
        <v>7</v>
      </c>
      <c r="BS522" s="27" t="s">
        <v>8</v>
      </c>
      <c r="BX522" s="27" t="s">
        <v>7</v>
      </c>
      <c r="BY522" s="27" t="s">
        <v>8</v>
      </c>
      <c r="BZ522" s="27" t="s">
        <v>7</v>
      </c>
      <c r="CA522" s="27" t="s">
        <v>8</v>
      </c>
      <c r="DT522" s="27" t="s">
        <v>7</v>
      </c>
      <c r="DU522" s="27" t="s">
        <v>8</v>
      </c>
      <c r="DV522" s="27" t="s">
        <v>7</v>
      </c>
      <c r="DW522" s="27" t="s">
        <v>8</v>
      </c>
      <c r="EA522" s="27" t="s">
        <v>8</v>
      </c>
      <c r="FK522" s="27" t="s">
        <v>8</v>
      </c>
    </row>
    <row r="523" spans="1:168" x14ac:dyDescent="0.25">
      <c r="A523" s="7">
        <v>3.5514932432768775</v>
      </c>
      <c r="B523"/>
      <c r="C523"/>
      <c r="D523"/>
      <c r="E523"/>
      <c r="BO523" s="27" t="s">
        <v>8</v>
      </c>
      <c r="BQ523" s="27" t="s">
        <v>8</v>
      </c>
      <c r="BR523" s="27" t="s">
        <v>7</v>
      </c>
      <c r="BS523" s="27" t="s">
        <v>8</v>
      </c>
      <c r="BX523" s="27" t="s">
        <v>7</v>
      </c>
      <c r="BY523" s="27" t="s">
        <v>8</v>
      </c>
      <c r="BZ523" s="27" t="s">
        <v>7</v>
      </c>
      <c r="CA523" s="27" t="s">
        <v>8</v>
      </c>
      <c r="DT523" s="27" t="s">
        <v>7</v>
      </c>
      <c r="DU523" s="27" t="s">
        <v>8</v>
      </c>
      <c r="DV523" s="27" t="s">
        <v>7</v>
      </c>
      <c r="DW523" s="27" t="s">
        <v>8</v>
      </c>
      <c r="DX523" s="27" t="s">
        <v>7</v>
      </c>
      <c r="EA523" s="27" t="s">
        <v>8</v>
      </c>
      <c r="EB523" s="27" t="s">
        <v>7</v>
      </c>
      <c r="FK523" s="27" t="s">
        <v>8</v>
      </c>
    </row>
    <row r="524" spans="1:168" x14ac:dyDescent="0.25">
      <c r="A524" s="7">
        <v>3.4818561208596837</v>
      </c>
      <c r="B524"/>
      <c r="C524"/>
      <c r="D524"/>
      <c r="E524"/>
      <c r="BO524" s="27" t="s">
        <v>8</v>
      </c>
      <c r="BP524" s="27" t="s">
        <v>7</v>
      </c>
      <c r="BQ524" s="27" t="s">
        <v>8</v>
      </c>
      <c r="BR524" s="27" t="s">
        <v>7</v>
      </c>
      <c r="BX524" s="27" t="s">
        <v>7</v>
      </c>
      <c r="BY524" s="27" t="s">
        <v>8</v>
      </c>
      <c r="BZ524" s="27" t="s">
        <v>7</v>
      </c>
      <c r="DT524" s="27" t="s">
        <v>7</v>
      </c>
      <c r="DU524" s="27" t="s">
        <v>8</v>
      </c>
      <c r="DV524" s="27" t="s">
        <v>7</v>
      </c>
      <c r="DW524" s="27" t="s">
        <v>8</v>
      </c>
      <c r="DX524" s="27" t="s">
        <v>7</v>
      </c>
      <c r="EA524" s="27" t="s">
        <v>8</v>
      </c>
      <c r="EB524" s="27" t="s">
        <v>7</v>
      </c>
      <c r="FI524" s="27" t="s">
        <v>8</v>
      </c>
      <c r="FK524" s="27" t="s">
        <v>8</v>
      </c>
    </row>
    <row r="525" spans="1:168" x14ac:dyDescent="0.25">
      <c r="A525" s="7">
        <v>3.4135844322153761</v>
      </c>
      <c r="B525"/>
      <c r="C525"/>
      <c r="D525"/>
      <c r="E525"/>
      <c r="BO525" s="27" t="s">
        <v>8</v>
      </c>
      <c r="BP525" s="27" t="s">
        <v>7</v>
      </c>
      <c r="BQ525" s="27" t="s">
        <v>8</v>
      </c>
      <c r="BX525" s="27" t="s">
        <v>7</v>
      </c>
      <c r="BY525" s="27" t="s">
        <v>8</v>
      </c>
      <c r="DT525" s="27" t="s">
        <v>7</v>
      </c>
      <c r="DU525" s="27" t="s">
        <v>8</v>
      </c>
      <c r="DV525" s="27" t="s">
        <v>7</v>
      </c>
      <c r="DW525" s="27" t="s">
        <v>8</v>
      </c>
      <c r="DX525" s="27" t="s">
        <v>7</v>
      </c>
      <c r="EA525" s="27" t="s">
        <v>8</v>
      </c>
      <c r="EB525" s="27" t="s">
        <v>7</v>
      </c>
      <c r="EC525" s="27" t="s">
        <v>8</v>
      </c>
      <c r="FI525" s="27" t="s">
        <v>8</v>
      </c>
      <c r="FJ525" s="27" t="s">
        <v>7</v>
      </c>
      <c r="FK525" s="27" t="s">
        <v>8</v>
      </c>
    </row>
    <row r="526" spans="1:168" x14ac:dyDescent="0.25">
      <c r="A526" s="7">
        <v>3.3466514041327216</v>
      </c>
      <c r="B526"/>
      <c r="C526"/>
      <c r="D526"/>
      <c r="E526"/>
      <c r="BO526" s="27" t="s">
        <v>8</v>
      </c>
      <c r="BP526" s="27" t="s">
        <v>7</v>
      </c>
      <c r="BQ526" s="27" t="s">
        <v>8</v>
      </c>
      <c r="BX526" s="27" t="s">
        <v>7</v>
      </c>
      <c r="BY526" s="27" t="s">
        <v>8</v>
      </c>
      <c r="DT526" s="27" t="s">
        <v>7</v>
      </c>
      <c r="DU526" s="27" t="s">
        <v>8</v>
      </c>
      <c r="DV526" s="27" t="s">
        <v>7</v>
      </c>
      <c r="DW526" s="27" t="s">
        <v>8</v>
      </c>
      <c r="DX526" s="27" t="s">
        <v>7</v>
      </c>
      <c r="DY526" s="27" t="s">
        <v>8</v>
      </c>
      <c r="EA526" s="27" t="s">
        <v>8</v>
      </c>
      <c r="EB526" s="27" t="s">
        <v>7</v>
      </c>
      <c r="EC526" s="27" t="s">
        <v>8</v>
      </c>
      <c r="ED526" s="27" t="s">
        <v>7</v>
      </c>
      <c r="EI526" s="27" t="s">
        <v>8</v>
      </c>
      <c r="FI526" s="27" t="s">
        <v>8</v>
      </c>
      <c r="FJ526" s="27" t="s">
        <v>7</v>
      </c>
      <c r="FK526" s="27" t="s">
        <v>8</v>
      </c>
    </row>
    <row r="527" spans="1:168" x14ac:dyDescent="0.25">
      <c r="A527" s="7">
        <v>3.2810307883654133</v>
      </c>
      <c r="B527"/>
      <c r="C527"/>
      <c r="D527"/>
      <c r="E527"/>
      <c r="BO527" s="27" t="s">
        <v>8</v>
      </c>
      <c r="BP527" s="27" t="s">
        <v>7</v>
      </c>
      <c r="BQ527" s="27" t="s">
        <v>8</v>
      </c>
      <c r="BX527" s="27" t="s">
        <v>7</v>
      </c>
      <c r="BY527" s="27" t="s">
        <v>8</v>
      </c>
      <c r="DT527" s="27" t="s">
        <v>7</v>
      </c>
      <c r="DU527" s="27" t="s">
        <v>8</v>
      </c>
      <c r="DV527" s="27" t="s">
        <v>7</v>
      </c>
      <c r="DW527" s="27" t="s">
        <v>8</v>
      </c>
      <c r="DX527" s="27" t="s">
        <v>7</v>
      </c>
      <c r="DY527" s="27" t="s">
        <v>8</v>
      </c>
      <c r="DZ527" s="27" t="s">
        <v>7</v>
      </c>
      <c r="EA527" s="27" t="s">
        <v>8</v>
      </c>
      <c r="EB527" s="27" t="s">
        <v>7</v>
      </c>
      <c r="EC527" s="27" t="s">
        <v>8</v>
      </c>
      <c r="ED527" s="27" t="s">
        <v>7</v>
      </c>
      <c r="EE527" s="27" t="s">
        <v>8</v>
      </c>
      <c r="EI527" s="27" t="s">
        <v>8</v>
      </c>
      <c r="EJ527" s="27" t="s">
        <v>7</v>
      </c>
      <c r="FI527" s="27" t="s">
        <v>8</v>
      </c>
      <c r="FJ527" s="27" t="s">
        <v>7</v>
      </c>
      <c r="FK527" s="27" t="s">
        <v>8</v>
      </c>
    </row>
    <row r="528" spans="1:168" x14ac:dyDescent="0.25">
      <c r="A528" s="7">
        <v>3.2166968513386403</v>
      </c>
      <c r="B528"/>
      <c r="C528"/>
      <c r="D528"/>
      <c r="E528"/>
      <c r="BO528" s="27" t="s">
        <v>8</v>
      </c>
      <c r="BP528" s="27" t="s">
        <v>7</v>
      </c>
      <c r="BQ528" s="27" t="s">
        <v>8</v>
      </c>
      <c r="BX528" s="27" t="s">
        <v>7</v>
      </c>
      <c r="BY528" s="27" t="s">
        <v>8</v>
      </c>
      <c r="DT528" s="27" t="s">
        <v>7</v>
      </c>
      <c r="DU528" s="27" t="s">
        <v>8</v>
      </c>
      <c r="DV528" s="27" t="s">
        <v>7</v>
      </c>
      <c r="DW528" s="27" t="s">
        <v>8</v>
      </c>
      <c r="DX528" s="27" t="s">
        <v>7</v>
      </c>
      <c r="DY528" s="27" t="s">
        <v>8</v>
      </c>
      <c r="DZ528" s="27" t="s">
        <v>7</v>
      </c>
      <c r="EA528" s="27" t="s">
        <v>8</v>
      </c>
      <c r="EB528" s="27" t="s">
        <v>7</v>
      </c>
      <c r="EC528" s="27" t="s">
        <v>8</v>
      </c>
      <c r="ED528" s="27" t="s">
        <v>7</v>
      </c>
      <c r="EE528" s="27" t="s">
        <v>8</v>
      </c>
      <c r="EF528" s="27" t="s">
        <v>7</v>
      </c>
      <c r="EI528" s="27" t="s">
        <v>8</v>
      </c>
      <c r="EJ528" s="27" t="s">
        <v>7</v>
      </c>
      <c r="FI528" s="27" t="s">
        <v>8</v>
      </c>
      <c r="FJ528" s="27" t="s">
        <v>7</v>
      </c>
      <c r="FK528" s="27" t="s">
        <v>8</v>
      </c>
    </row>
    <row r="529" spans="1:167" x14ac:dyDescent="0.25">
      <c r="A529" s="7">
        <v>3.1536243640574906</v>
      </c>
      <c r="B529"/>
      <c r="C529"/>
      <c r="D529"/>
      <c r="E529"/>
      <c r="BO529" s="27" t="s">
        <v>8</v>
      </c>
      <c r="BP529" s="27" t="s">
        <v>7</v>
      </c>
      <c r="BX529" s="27" t="s">
        <v>7</v>
      </c>
      <c r="BY529" s="27" t="s">
        <v>8</v>
      </c>
      <c r="DT529" s="27" t="s">
        <v>7</v>
      </c>
      <c r="DU529" s="27" t="s">
        <v>8</v>
      </c>
      <c r="DV529" s="27" t="s">
        <v>7</v>
      </c>
      <c r="DW529" s="27" t="s">
        <v>8</v>
      </c>
      <c r="DX529" s="27" t="s">
        <v>7</v>
      </c>
      <c r="DY529" s="27" t="s">
        <v>8</v>
      </c>
      <c r="DZ529" s="27" t="s">
        <v>7</v>
      </c>
      <c r="EA529" s="27" t="s">
        <v>8</v>
      </c>
      <c r="EB529" s="27" t="s">
        <v>7</v>
      </c>
      <c r="EC529" s="27" t="s">
        <v>8</v>
      </c>
      <c r="ED529" s="27" t="s">
        <v>7</v>
      </c>
      <c r="EE529" s="27" t="s">
        <v>8</v>
      </c>
      <c r="EF529" s="27" t="s">
        <v>7</v>
      </c>
      <c r="EG529" s="27" t="s">
        <v>8</v>
      </c>
      <c r="EI529" s="27" t="s">
        <v>8</v>
      </c>
      <c r="EJ529" s="27" t="s">
        <v>7</v>
      </c>
      <c r="FI529" s="27" t="s">
        <v>8</v>
      </c>
      <c r="FJ529" s="27" t="s">
        <v>7</v>
      </c>
      <c r="FK529" s="27" t="s">
        <v>8</v>
      </c>
    </row>
    <row r="530" spans="1:167" x14ac:dyDescent="0.25">
      <c r="A530" s="7">
        <v>3.0917885922132262</v>
      </c>
      <c r="B530"/>
      <c r="C530"/>
      <c r="D530"/>
      <c r="E530"/>
      <c r="BO530" s="27" t="s">
        <v>8</v>
      </c>
      <c r="BX530" s="27" t="s">
        <v>7</v>
      </c>
      <c r="BY530" s="27" t="s">
        <v>8</v>
      </c>
      <c r="DT530" s="27" t="s">
        <v>7</v>
      </c>
      <c r="DU530" s="27" t="s">
        <v>8</v>
      </c>
      <c r="DV530" s="27" t="s">
        <v>7</v>
      </c>
      <c r="DW530" s="27" t="s">
        <v>8</v>
      </c>
      <c r="DX530" s="27" t="s">
        <v>7</v>
      </c>
      <c r="DY530" s="27" t="s">
        <v>8</v>
      </c>
      <c r="DZ530" s="27" t="s">
        <v>7</v>
      </c>
      <c r="EA530" s="27" t="s">
        <v>8</v>
      </c>
      <c r="EB530" s="27" t="s">
        <v>7</v>
      </c>
      <c r="EC530" s="27" t="s">
        <v>8</v>
      </c>
      <c r="ED530" s="27" t="s">
        <v>7</v>
      </c>
      <c r="EE530" s="27" t="s">
        <v>8</v>
      </c>
      <c r="EF530" s="27" t="s">
        <v>7</v>
      </c>
      <c r="EG530" s="27" t="s">
        <v>8</v>
      </c>
      <c r="EH530" s="27" t="s">
        <v>7</v>
      </c>
      <c r="EI530" s="27" t="s">
        <v>8</v>
      </c>
      <c r="EJ530" s="27" t="s">
        <v>7</v>
      </c>
      <c r="FI530" s="27" t="s">
        <v>8</v>
      </c>
      <c r="FJ530" s="27" t="s">
        <v>7</v>
      </c>
      <c r="FK530" s="27" t="s">
        <v>8</v>
      </c>
    </row>
    <row r="531" spans="1:167" x14ac:dyDescent="0.25">
      <c r="A531" s="7">
        <v>3.0311652864835552</v>
      </c>
      <c r="B531"/>
      <c r="C531"/>
      <c r="D531"/>
      <c r="E531"/>
      <c r="BO531" s="27" t="s">
        <v>8</v>
      </c>
      <c r="BX531" s="27" t="s">
        <v>7</v>
      </c>
      <c r="BY531" s="27" t="s">
        <v>8</v>
      </c>
      <c r="DT531" s="27" t="s">
        <v>7</v>
      </c>
      <c r="DU531" s="27" t="s">
        <v>8</v>
      </c>
      <c r="DV531" s="27" t="s">
        <v>7</v>
      </c>
      <c r="DW531" s="27" t="s">
        <v>8</v>
      </c>
      <c r="DX531" s="27" t="s">
        <v>7</v>
      </c>
      <c r="DY531" s="27" t="s">
        <v>8</v>
      </c>
      <c r="DZ531" s="27" t="s">
        <v>7</v>
      </c>
      <c r="EB531" s="27" t="s">
        <v>7</v>
      </c>
      <c r="ED531" s="27" t="s">
        <v>7</v>
      </c>
      <c r="EE531" s="27" t="s">
        <v>8</v>
      </c>
      <c r="EF531" s="27" t="s">
        <v>7</v>
      </c>
      <c r="EG531" s="27" t="s">
        <v>8</v>
      </c>
      <c r="EH531" s="27" t="s">
        <v>7</v>
      </c>
      <c r="EI531" s="27" t="s">
        <v>8</v>
      </c>
      <c r="EJ531" s="27" t="s">
        <v>7</v>
      </c>
      <c r="FI531" s="27" t="s">
        <v>8</v>
      </c>
      <c r="FJ531" s="27" t="s">
        <v>7</v>
      </c>
    </row>
    <row r="532" spans="1:167" x14ac:dyDescent="0.25">
      <c r="A532" s="7">
        <v>2.9717306730230932</v>
      </c>
      <c r="B532"/>
      <c r="C532"/>
      <c r="D532"/>
      <c r="E532"/>
      <c r="BO532" s="27" t="s">
        <v>8</v>
      </c>
      <c r="BX532" s="27" t="s">
        <v>7</v>
      </c>
      <c r="BY532" s="27" t="s">
        <v>8</v>
      </c>
      <c r="DT532" s="27" t="s">
        <v>7</v>
      </c>
      <c r="DU532" s="27" t="s">
        <v>8</v>
      </c>
      <c r="DV532" s="27" t="s">
        <v>7</v>
      </c>
      <c r="DW532" s="27" t="s">
        <v>8</v>
      </c>
      <c r="DX532" s="27" t="s">
        <v>7</v>
      </c>
      <c r="DY532" s="27" t="s">
        <v>8</v>
      </c>
      <c r="ED532" s="27" t="s">
        <v>7</v>
      </c>
      <c r="EE532" s="27" t="s">
        <v>8</v>
      </c>
      <c r="EF532" s="27" t="s">
        <v>7</v>
      </c>
      <c r="EG532" s="27" t="s">
        <v>8</v>
      </c>
      <c r="EH532" s="27" t="s">
        <v>7</v>
      </c>
      <c r="EI532" s="27" t="s">
        <v>8</v>
      </c>
      <c r="EJ532" s="27" t="s">
        <v>7</v>
      </c>
      <c r="FI532" s="27" t="s">
        <v>8</v>
      </c>
    </row>
    <row r="533" spans="1:167" x14ac:dyDescent="0.25">
      <c r="A533" s="7">
        <v>2.9134614441402875</v>
      </c>
      <c r="B533"/>
      <c r="C533"/>
      <c r="D533"/>
      <c r="E533"/>
      <c r="BM533" s="27" t="s">
        <v>8</v>
      </c>
      <c r="BO533" s="27" t="s">
        <v>8</v>
      </c>
      <c r="BX533" s="27" t="s">
        <v>7</v>
      </c>
      <c r="BY533" s="27" t="s">
        <v>8</v>
      </c>
      <c r="DT533" s="27" t="s">
        <v>7</v>
      </c>
      <c r="DV533" s="27" t="s">
        <v>7</v>
      </c>
      <c r="DW533" s="27" t="s">
        <v>8</v>
      </c>
      <c r="DX533" s="27" t="s">
        <v>7</v>
      </c>
      <c r="DY533" s="27" t="s">
        <v>8</v>
      </c>
      <c r="ED533" s="27" t="s">
        <v>7</v>
      </c>
      <c r="EE533" s="27" t="s">
        <v>8</v>
      </c>
      <c r="EF533" s="27" t="s">
        <v>7</v>
      </c>
      <c r="EH533" s="27" t="s">
        <v>7</v>
      </c>
      <c r="EI533" s="27" t="s">
        <v>8</v>
      </c>
      <c r="EJ533" s="27" t="s">
        <v>7</v>
      </c>
      <c r="FI533" s="27" t="s">
        <v>8</v>
      </c>
    </row>
    <row r="534" spans="1:167" x14ac:dyDescent="0.25">
      <c r="A534" s="7">
        <v>2.8563347491571447</v>
      </c>
      <c r="B534"/>
      <c r="C534"/>
      <c r="D534"/>
      <c r="E534"/>
      <c r="BM534" s="27" t="s">
        <v>8</v>
      </c>
      <c r="BN534" s="27" t="s">
        <v>7</v>
      </c>
      <c r="BO534" s="27" t="s">
        <v>8</v>
      </c>
      <c r="BX534" s="27" t="s">
        <v>7</v>
      </c>
      <c r="BY534" s="27" t="s">
        <v>8</v>
      </c>
      <c r="DV534" s="27" t="s">
        <v>7</v>
      </c>
      <c r="DW534" s="27" t="s">
        <v>8</v>
      </c>
      <c r="DX534" s="27" t="s">
        <v>7</v>
      </c>
      <c r="DY534" s="27" t="s">
        <v>8</v>
      </c>
      <c r="ED534" s="27" t="s">
        <v>7</v>
      </c>
      <c r="EE534" s="27" t="s">
        <v>8</v>
      </c>
      <c r="EH534" s="27" t="s">
        <v>7</v>
      </c>
      <c r="EI534" s="27" t="s">
        <v>8</v>
      </c>
      <c r="EJ534" s="27" t="s">
        <v>7</v>
      </c>
      <c r="FI534" s="27" t="s">
        <v>8</v>
      </c>
    </row>
    <row r="535" spans="1:167" x14ac:dyDescent="0.25">
      <c r="A535" s="7">
        <v>2.8003281854481812</v>
      </c>
      <c r="B535"/>
      <c r="C535"/>
      <c r="D535"/>
      <c r="E535"/>
      <c r="BM535" s="27" t="s">
        <v>8</v>
      </c>
      <c r="BN535" s="27" t="s">
        <v>7</v>
      </c>
      <c r="BO535" s="27" t="s">
        <v>8</v>
      </c>
      <c r="BX535" s="27" t="s">
        <v>7</v>
      </c>
      <c r="BY535" s="27" t="s">
        <v>8</v>
      </c>
      <c r="DV535" s="27" t="s">
        <v>7</v>
      </c>
      <c r="DW535" s="27" t="s">
        <v>8</v>
      </c>
      <c r="DX535" s="27" t="s">
        <v>7</v>
      </c>
      <c r="DY535" s="27" t="s">
        <v>8</v>
      </c>
      <c r="ED535" s="27" t="s">
        <v>7</v>
      </c>
      <c r="EE535" s="27" t="s">
        <v>8</v>
      </c>
      <c r="EH535" s="27" t="s">
        <v>7</v>
      </c>
      <c r="EJ535" s="27" t="s">
        <v>7</v>
      </c>
      <c r="FI535" s="27" t="s">
        <v>8</v>
      </c>
    </row>
    <row r="536" spans="1:167" x14ac:dyDescent="0.25">
      <c r="A536" s="7">
        <v>2.7454197896550796</v>
      </c>
      <c r="B536"/>
      <c r="C536"/>
      <c r="D536"/>
      <c r="E536"/>
      <c r="BA536" s="27" t="s">
        <v>8</v>
      </c>
      <c r="BE536" s="27" t="s">
        <v>8</v>
      </c>
      <c r="BM536" s="27" t="s">
        <v>8</v>
      </c>
      <c r="BN536" s="27" t="s">
        <v>7</v>
      </c>
      <c r="BO536" s="27" t="s">
        <v>8</v>
      </c>
      <c r="BX536" s="27" t="s">
        <v>7</v>
      </c>
      <c r="BY536" s="27" t="s">
        <v>8</v>
      </c>
      <c r="DV536" s="27" t="s">
        <v>7</v>
      </c>
      <c r="DW536" s="27" t="s">
        <v>8</v>
      </c>
      <c r="DX536" s="27" t="s">
        <v>7</v>
      </c>
      <c r="DY536" s="27" t="s">
        <v>8</v>
      </c>
      <c r="ED536" s="27" t="s">
        <v>7</v>
      </c>
      <c r="EE536" s="27" t="s">
        <v>8</v>
      </c>
      <c r="EJ536" s="27" t="s">
        <v>7</v>
      </c>
      <c r="FG536" s="27" t="s">
        <v>8</v>
      </c>
      <c r="FI536" s="27" t="s">
        <v>8</v>
      </c>
    </row>
    <row r="537" spans="1:167" x14ac:dyDescent="0.25">
      <c r="A537" s="7">
        <v>2.6915880290736074</v>
      </c>
      <c r="B537"/>
      <c r="C537"/>
      <c r="D537"/>
      <c r="E537"/>
      <c r="BA537" s="27" t="s">
        <v>8</v>
      </c>
      <c r="BB537" s="27" t="s">
        <v>7</v>
      </c>
      <c r="BE537" s="27" t="s">
        <v>8</v>
      </c>
      <c r="BF537" s="27" t="s">
        <v>7</v>
      </c>
      <c r="BM537" s="27" t="s">
        <v>8</v>
      </c>
      <c r="BN537" s="27" t="s">
        <v>7</v>
      </c>
      <c r="BO537" s="27" t="s">
        <v>8</v>
      </c>
      <c r="BX537" s="27" t="s">
        <v>7</v>
      </c>
      <c r="DV537" s="27" t="s">
        <v>7</v>
      </c>
      <c r="DW537" s="27" t="s">
        <v>8</v>
      </c>
      <c r="DX537" s="27" t="s">
        <v>7</v>
      </c>
      <c r="DY537" s="27" t="s">
        <v>8</v>
      </c>
      <c r="ED537" s="27" t="s">
        <v>7</v>
      </c>
      <c r="EJ537" s="27" t="s">
        <v>7</v>
      </c>
      <c r="FG537" s="27" t="s">
        <v>8</v>
      </c>
      <c r="FH537" s="27" t="s">
        <v>7</v>
      </c>
      <c r="FI537" s="27" t="s">
        <v>8</v>
      </c>
    </row>
    <row r="538" spans="1:167" x14ac:dyDescent="0.25">
      <c r="A538" s="7">
        <v>2.6388117932094191</v>
      </c>
      <c r="B538"/>
      <c r="C538"/>
      <c r="D538"/>
      <c r="E538"/>
      <c r="BA538" s="27" t="s">
        <v>8</v>
      </c>
      <c r="BB538" s="27" t="s">
        <v>7</v>
      </c>
      <c r="BE538" s="27" t="s">
        <v>8</v>
      </c>
      <c r="BF538" s="27" t="s">
        <v>7</v>
      </c>
      <c r="BK538" s="27" t="s">
        <v>8</v>
      </c>
      <c r="BM538" s="27" t="s">
        <v>8</v>
      </c>
      <c r="BN538" s="27" t="s">
        <v>7</v>
      </c>
      <c r="BO538" s="27" t="s">
        <v>8</v>
      </c>
      <c r="DV538" s="27" t="s">
        <v>7</v>
      </c>
      <c r="DW538" s="27" t="s">
        <v>8</v>
      </c>
      <c r="DX538" s="27" t="s">
        <v>7</v>
      </c>
      <c r="DY538" s="27" t="s">
        <v>8</v>
      </c>
      <c r="EJ538" s="27" t="s">
        <v>7</v>
      </c>
      <c r="FG538" s="27" t="s">
        <v>8</v>
      </c>
      <c r="FH538" s="27" t="s">
        <v>7</v>
      </c>
      <c r="FI538" s="27" t="s">
        <v>8</v>
      </c>
    </row>
    <row r="539" spans="1:167" x14ac:dyDescent="0.25">
      <c r="A539" s="7">
        <v>2.5870703854994304</v>
      </c>
      <c r="B539"/>
      <c r="C539"/>
      <c r="D539"/>
      <c r="E539"/>
      <c r="BA539" s="27" t="s">
        <v>8</v>
      </c>
      <c r="BB539" s="27" t="s">
        <v>7</v>
      </c>
      <c r="BE539" s="27" t="s">
        <v>8</v>
      </c>
      <c r="BF539" s="27" t="s">
        <v>7</v>
      </c>
      <c r="BK539" s="27" t="s">
        <v>8</v>
      </c>
      <c r="BL539" s="27" t="s">
        <v>7</v>
      </c>
      <c r="BM539" s="27" t="s">
        <v>8</v>
      </c>
      <c r="BN539" s="27" t="s">
        <v>7</v>
      </c>
      <c r="BO539" s="27" t="s">
        <v>8</v>
      </c>
      <c r="DV539" s="27" t="s">
        <v>7</v>
      </c>
      <c r="DW539" s="27" t="s">
        <v>8</v>
      </c>
      <c r="DX539" s="27" t="s">
        <v>7</v>
      </c>
      <c r="DY539" s="27" t="s">
        <v>8</v>
      </c>
      <c r="EJ539" s="27" t="s">
        <v>7</v>
      </c>
      <c r="FE539" s="27" t="s">
        <v>8</v>
      </c>
      <c r="FG539" s="27" t="s">
        <v>8</v>
      </c>
      <c r="FH539" s="27" t="s">
        <v>7</v>
      </c>
      <c r="FI539" s="27" t="s">
        <v>8</v>
      </c>
    </row>
    <row r="540" spans="1:167" x14ac:dyDescent="0.25">
      <c r="A540" s="7">
        <v>2.53634351519552</v>
      </c>
      <c r="B540"/>
      <c r="C540"/>
      <c r="D540"/>
      <c r="E540"/>
      <c r="BA540" s="27" t="s">
        <v>8</v>
      </c>
      <c r="BB540" s="27" t="s">
        <v>7</v>
      </c>
      <c r="BC540" s="27" t="s">
        <v>8</v>
      </c>
      <c r="BE540" s="27" t="s">
        <v>8</v>
      </c>
      <c r="BF540" s="27" t="s">
        <v>7</v>
      </c>
      <c r="BK540" s="27" t="s">
        <v>8</v>
      </c>
      <c r="BL540" s="27" t="s">
        <v>7</v>
      </c>
      <c r="BM540" s="27" t="s">
        <v>8</v>
      </c>
      <c r="BN540" s="27" t="s">
        <v>7</v>
      </c>
      <c r="DV540" s="27" t="s">
        <v>7</v>
      </c>
      <c r="DW540" s="27" t="s">
        <v>8</v>
      </c>
      <c r="DX540" s="27" t="s">
        <v>7</v>
      </c>
      <c r="EJ540" s="27" t="s">
        <v>7</v>
      </c>
      <c r="FC540" s="27" t="s">
        <v>8</v>
      </c>
      <c r="FE540" s="27" t="s">
        <v>8</v>
      </c>
      <c r="FF540" s="27" t="s">
        <v>7</v>
      </c>
      <c r="FG540" s="27" t="s">
        <v>8</v>
      </c>
      <c r="FH540" s="27" t="s">
        <v>7</v>
      </c>
      <c r="FI540" s="27" t="s">
        <v>8</v>
      </c>
    </row>
    <row r="541" spans="1:167" x14ac:dyDescent="0.25">
      <c r="A541" s="7">
        <v>2.4866112894073726</v>
      </c>
      <c r="B541"/>
      <c r="C541"/>
      <c r="D541"/>
      <c r="E541"/>
      <c r="BA541" s="27" t="s">
        <v>8</v>
      </c>
      <c r="BB541" s="27" t="s">
        <v>7</v>
      </c>
      <c r="BC541" s="27" t="s">
        <v>8</v>
      </c>
      <c r="BD541" s="27" t="s">
        <v>7</v>
      </c>
      <c r="BE541" s="27" t="s">
        <v>8</v>
      </c>
      <c r="BF541" s="27" t="s">
        <v>7</v>
      </c>
      <c r="BK541" s="27" t="s">
        <v>8</v>
      </c>
      <c r="BL541" s="27" t="s">
        <v>7</v>
      </c>
      <c r="BM541" s="27" t="s">
        <v>8</v>
      </c>
      <c r="DV541" s="27" t="s">
        <v>7</v>
      </c>
      <c r="DW541" s="27" t="s">
        <v>8</v>
      </c>
      <c r="EJ541" s="27" t="s">
        <v>7</v>
      </c>
      <c r="FA541" s="27" t="s">
        <v>8</v>
      </c>
      <c r="FC541" s="27" t="s">
        <v>8</v>
      </c>
      <c r="FD541" s="27" t="s">
        <v>7</v>
      </c>
      <c r="FE541" s="27" t="s">
        <v>8</v>
      </c>
      <c r="FF541" s="27" t="s">
        <v>7</v>
      </c>
      <c r="FG541" s="27" t="s">
        <v>8</v>
      </c>
      <c r="FH541" s="27" t="s">
        <v>7</v>
      </c>
    </row>
    <row r="542" spans="1:167" x14ac:dyDescent="0.25">
      <c r="A542" s="7">
        <v>2.4378542053013459</v>
      </c>
      <c r="B542"/>
      <c r="C542"/>
      <c r="D542"/>
      <c r="E542"/>
      <c r="BA542" s="27" t="s">
        <v>8</v>
      </c>
      <c r="BB542" s="27" t="s">
        <v>7</v>
      </c>
      <c r="BC542" s="27" t="s">
        <v>8</v>
      </c>
      <c r="BD542" s="27" t="s">
        <v>7</v>
      </c>
      <c r="BE542" s="27" t="s">
        <v>8</v>
      </c>
      <c r="BF542" s="27" t="s">
        <v>7</v>
      </c>
      <c r="BK542" s="27" t="s">
        <v>8</v>
      </c>
      <c r="BL542" s="27" t="s">
        <v>7</v>
      </c>
      <c r="DV542" s="27" t="s">
        <v>7</v>
      </c>
      <c r="DW542" s="27" t="s">
        <v>8</v>
      </c>
      <c r="EJ542" s="27" t="s">
        <v>7</v>
      </c>
      <c r="FA542" s="27" t="s">
        <v>8</v>
      </c>
      <c r="FB542" s="27" t="s">
        <v>7</v>
      </c>
      <c r="FC542" s="27" t="s">
        <v>8</v>
      </c>
      <c r="FD542" s="27" t="s">
        <v>7</v>
      </c>
      <c r="FE542" s="27" t="s">
        <v>8</v>
      </c>
      <c r="FF542" s="27" t="s">
        <v>7</v>
      </c>
    </row>
    <row r="543" spans="1:167" x14ac:dyDescent="0.25">
      <c r="A543" s="7">
        <v>2.3900531424522997</v>
      </c>
      <c r="B543"/>
      <c r="C543"/>
      <c r="D543"/>
      <c r="E543"/>
      <c r="BA543" s="27" t="s">
        <v>8</v>
      </c>
      <c r="BB543" s="27" t="s">
        <v>7</v>
      </c>
      <c r="BC543" s="27" t="s">
        <v>8</v>
      </c>
      <c r="BD543" s="27" t="s">
        <v>7</v>
      </c>
      <c r="BE543" s="27" t="s">
        <v>8</v>
      </c>
      <c r="BF543" s="27" t="s">
        <v>7</v>
      </c>
      <c r="BI543" s="27" t="s">
        <v>8</v>
      </c>
      <c r="BK543" s="27" t="s">
        <v>8</v>
      </c>
      <c r="DV543" s="27" t="s">
        <v>7</v>
      </c>
      <c r="DW543" s="27" t="s">
        <v>8</v>
      </c>
      <c r="EJ543" s="27" t="s">
        <v>7</v>
      </c>
      <c r="EK543" s="27" t="s">
        <v>8</v>
      </c>
      <c r="ES543" s="27" t="s">
        <v>8</v>
      </c>
      <c r="FA543" s="27" t="s">
        <v>8</v>
      </c>
      <c r="FB543" s="27" t="s">
        <v>7</v>
      </c>
      <c r="FC543" s="27" t="s">
        <v>8</v>
      </c>
      <c r="FD543" s="27" t="s">
        <v>7</v>
      </c>
      <c r="FE543" s="27" t="s">
        <v>8</v>
      </c>
    </row>
    <row r="544" spans="1:167" x14ac:dyDescent="0.25">
      <c r="A544" s="7">
        <v>2.343189355345392</v>
      </c>
      <c r="B544"/>
      <c r="C544"/>
      <c r="D544"/>
      <c r="E544"/>
      <c r="BA544" s="27" t="s">
        <v>8</v>
      </c>
      <c r="BB544" s="27" t="s">
        <v>7</v>
      </c>
      <c r="BC544" s="27" t="s">
        <v>8</v>
      </c>
      <c r="BD544" s="27" t="s">
        <v>7</v>
      </c>
      <c r="BE544" s="27" t="s">
        <v>8</v>
      </c>
      <c r="BF544" s="27" t="s">
        <v>7</v>
      </c>
      <c r="BG544" s="27" t="s">
        <v>8</v>
      </c>
      <c r="BI544" s="27" t="s">
        <v>8</v>
      </c>
      <c r="BJ544" s="27" t="s">
        <v>7</v>
      </c>
      <c r="BK544" s="27" t="s">
        <v>8</v>
      </c>
      <c r="DV544" s="27" t="s">
        <v>7</v>
      </c>
      <c r="DW544" s="27" t="s">
        <v>8</v>
      </c>
      <c r="EJ544" s="27" t="s">
        <v>7</v>
      </c>
      <c r="EK544" s="27" t="s">
        <v>8</v>
      </c>
      <c r="EL544" s="27" t="s">
        <v>7</v>
      </c>
      <c r="EQ544" s="27" t="s">
        <v>8</v>
      </c>
      <c r="ES544" s="27" t="s">
        <v>8</v>
      </c>
      <c r="ET544" s="27" t="s">
        <v>7</v>
      </c>
      <c r="FA544" s="27" t="s">
        <v>8</v>
      </c>
      <c r="FB544" s="27" t="s">
        <v>7</v>
      </c>
      <c r="FC544" s="27" t="s">
        <v>8</v>
      </c>
      <c r="FD544" s="27" t="s">
        <v>7</v>
      </c>
      <c r="FE544" s="27" t="s">
        <v>8</v>
      </c>
    </row>
    <row r="545" spans="1:161" x14ac:dyDescent="0.25">
      <c r="A545" s="7">
        <v>2.2972444660248938</v>
      </c>
      <c r="B545"/>
      <c r="C545"/>
      <c r="D545"/>
      <c r="E545"/>
      <c r="BA545" s="27" t="s">
        <v>8</v>
      </c>
      <c r="BB545" s="27" t="s">
        <v>7</v>
      </c>
      <c r="BC545" s="27" t="s">
        <v>8</v>
      </c>
      <c r="BD545" s="27" t="s">
        <v>7</v>
      </c>
      <c r="BE545" s="27" t="s">
        <v>8</v>
      </c>
      <c r="BF545" s="27" t="s">
        <v>7</v>
      </c>
      <c r="BG545" s="27" t="s">
        <v>8</v>
      </c>
      <c r="BH545" s="27" t="s">
        <v>7</v>
      </c>
      <c r="BI545" s="27" t="s">
        <v>8</v>
      </c>
      <c r="BJ545" s="27" t="s">
        <v>7</v>
      </c>
      <c r="BK545" s="27" t="s">
        <v>8</v>
      </c>
      <c r="DV545" s="27" t="s">
        <v>7</v>
      </c>
      <c r="DW545" s="27" t="s">
        <v>8</v>
      </c>
      <c r="EJ545" s="27" t="s">
        <v>7</v>
      </c>
      <c r="EK545" s="27" t="s">
        <v>8</v>
      </c>
      <c r="EL545" s="27" t="s">
        <v>7</v>
      </c>
      <c r="EQ545" s="27" t="s">
        <v>8</v>
      </c>
      <c r="ER545" s="27" t="s">
        <v>7</v>
      </c>
      <c r="ES545" s="27" t="s">
        <v>8</v>
      </c>
      <c r="ET545" s="27" t="s">
        <v>7</v>
      </c>
      <c r="FA545" s="27" t="s">
        <v>8</v>
      </c>
      <c r="FB545" s="27" t="s">
        <v>7</v>
      </c>
      <c r="FC545" s="27" t="s">
        <v>8</v>
      </c>
      <c r="FD545" s="27" t="s">
        <v>7</v>
      </c>
      <c r="FE545" s="27" t="s">
        <v>8</v>
      </c>
    </row>
    <row r="546" spans="1:161" x14ac:dyDescent="0.25">
      <c r="A546" s="7">
        <v>2.252200456887151</v>
      </c>
      <c r="B546"/>
      <c r="C546"/>
      <c r="D546"/>
      <c r="E546"/>
      <c r="BA546" s="27" t="s">
        <v>8</v>
      </c>
      <c r="BB546" s="27" t="s">
        <v>7</v>
      </c>
      <c r="BC546" s="27" t="s">
        <v>8</v>
      </c>
      <c r="BD546" s="27" t="s">
        <v>7</v>
      </c>
      <c r="BE546" s="27" t="s">
        <v>8</v>
      </c>
      <c r="BF546" s="27" t="s">
        <v>7</v>
      </c>
      <c r="BG546" s="27" t="s">
        <v>8</v>
      </c>
      <c r="BH546" s="27" t="s">
        <v>7</v>
      </c>
      <c r="BI546" s="27" t="s">
        <v>8</v>
      </c>
      <c r="BJ546" s="27" t="s">
        <v>7</v>
      </c>
      <c r="BK546" s="27" t="s">
        <v>8</v>
      </c>
      <c r="DV546" s="27" t="s">
        <v>7</v>
      </c>
      <c r="DW546" s="27" t="s">
        <v>8</v>
      </c>
      <c r="EJ546" s="27" t="s">
        <v>7</v>
      </c>
      <c r="EK546" s="27" t="s">
        <v>8</v>
      </c>
      <c r="EL546" s="27" t="s">
        <v>7</v>
      </c>
      <c r="EQ546" s="27" t="s">
        <v>8</v>
      </c>
      <c r="ER546" s="27" t="s">
        <v>7</v>
      </c>
      <c r="ES546" s="27" t="s">
        <v>8</v>
      </c>
      <c r="ET546" s="27" t="s">
        <v>7</v>
      </c>
      <c r="FA546" s="27" t="s">
        <v>8</v>
      </c>
      <c r="FB546" s="27" t="s">
        <v>7</v>
      </c>
      <c r="FC546" s="27" t="s">
        <v>8</v>
      </c>
      <c r="FD546" s="27" t="s">
        <v>7</v>
      </c>
    </row>
    <row r="547" spans="1:161" x14ac:dyDescent="0.25">
      <c r="A547" s="7">
        <v>2.208039663614854</v>
      </c>
      <c r="B547"/>
      <c r="C547"/>
      <c r="D547"/>
      <c r="E547"/>
      <c r="BA547" s="27" t="s">
        <v>8</v>
      </c>
      <c r="BB547" s="27" t="s">
        <v>7</v>
      </c>
      <c r="BC547" s="27" t="s">
        <v>8</v>
      </c>
      <c r="BD547" s="27" t="s">
        <v>7</v>
      </c>
      <c r="BE547" s="27" t="s">
        <v>8</v>
      </c>
      <c r="BF547" s="27" t="s">
        <v>7</v>
      </c>
      <c r="BG547" s="27" t="s">
        <v>8</v>
      </c>
      <c r="BH547" s="27" t="s">
        <v>7</v>
      </c>
      <c r="BI547" s="27" t="s">
        <v>8</v>
      </c>
      <c r="BJ547" s="27" t="s">
        <v>7</v>
      </c>
      <c r="BK547" s="27" t="s">
        <v>8</v>
      </c>
      <c r="DV547" s="27" t="s">
        <v>7</v>
      </c>
      <c r="EJ547" s="27" t="s">
        <v>7</v>
      </c>
      <c r="EK547" s="27" t="s">
        <v>8</v>
      </c>
      <c r="EL547" s="27" t="s">
        <v>7</v>
      </c>
      <c r="EQ547" s="27" t="s">
        <v>8</v>
      </c>
      <c r="ER547" s="27" t="s">
        <v>7</v>
      </c>
      <c r="ES547" s="27" t="s">
        <v>8</v>
      </c>
      <c r="ET547" s="27" t="s">
        <v>7</v>
      </c>
      <c r="EU547" s="27" t="s">
        <v>8</v>
      </c>
      <c r="FA547" s="27" t="s">
        <v>8</v>
      </c>
      <c r="FB547" s="27" t="s">
        <v>7</v>
      </c>
      <c r="FC547" s="27" t="s">
        <v>8</v>
      </c>
    </row>
    <row r="548" spans="1:161" x14ac:dyDescent="0.25">
      <c r="A548" s="7">
        <v>2.1647447682498568</v>
      </c>
      <c r="B548"/>
      <c r="C548"/>
      <c r="D548"/>
      <c r="E548"/>
      <c r="BA548" s="27" t="s">
        <v>8</v>
      </c>
      <c r="BB548" s="27" t="s">
        <v>7</v>
      </c>
      <c r="BC548" s="27" t="s">
        <v>8</v>
      </c>
      <c r="BD548" s="27" t="s">
        <v>7</v>
      </c>
      <c r="BE548" s="27" t="s">
        <v>8</v>
      </c>
      <c r="BF548" s="27" t="s">
        <v>7</v>
      </c>
      <c r="BG548" s="27" t="s">
        <v>8</v>
      </c>
      <c r="BH548" s="27" t="s">
        <v>7</v>
      </c>
      <c r="BI548" s="27" t="s">
        <v>8</v>
      </c>
      <c r="BJ548" s="27" t="s">
        <v>7</v>
      </c>
      <c r="BK548" s="27" t="s">
        <v>8</v>
      </c>
      <c r="EJ548" s="27" t="s">
        <v>7</v>
      </c>
      <c r="EK548" s="27" t="s">
        <v>8</v>
      </c>
      <c r="EL548" s="27" t="s">
        <v>7</v>
      </c>
      <c r="EM548" s="27" t="s">
        <v>8</v>
      </c>
      <c r="EO548" s="27" t="s">
        <v>8</v>
      </c>
      <c r="EQ548" s="27" t="s">
        <v>8</v>
      </c>
      <c r="ER548" s="27" t="s">
        <v>7</v>
      </c>
      <c r="ES548" s="27" t="s">
        <v>8</v>
      </c>
      <c r="ET548" s="27" t="s">
        <v>7</v>
      </c>
      <c r="EU548" s="27" t="s">
        <v>8</v>
      </c>
      <c r="EV548" s="27" t="s">
        <v>7</v>
      </c>
      <c r="FA548" s="27" t="s">
        <v>8</v>
      </c>
      <c r="FB548" s="27" t="s">
        <v>7</v>
      </c>
      <c r="FC548" s="27" t="s">
        <v>8</v>
      </c>
    </row>
    <row r="549" spans="1:161" x14ac:dyDescent="0.25">
      <c r="A549" s="7">
        <v>2.1222987924018204</v>
      </c>
      <c r="B549"/>
      <c r="C549"/>
      <c r="D549"/>
      <c r="E549"/>
      <c r="BA549" s="27" t="s">
        <v>8</v>
      </c>
      <c r="BB549" s="27" t="s">
        <v>7</v>
      </c>
      <c r="BD549" s="27" t="s">
        <v>7</v>
      </c>
      <c r="BE549" s="27" t="s">
        <v>8</v>
      </c>
      <c r="BF549" s="27" t="s">
        <v>7</v>
      </c>
      <c r="BG549" s="27" t="s">
        <v>8</v>
      </c>
      <c r="BH549" s="27" t="s">
        <v>7</v>
      </c>
      <c r="BI549" s="27" t="s">
        <v>8</v>
      </c>
      <c r="BJ549" s="27" t="s">
        <v>7</v>
      </c>
      <c r="EJ549" s="27" t="s">
        <v>7</v>
      </c>
      <c r="EK549" s="27" t="s">
        <v>8</v>
      </c>
      <c r="EL549" s="27" t="s">
        <v>7</v>
      </c>
      <c r="EM549" s="27" t="s">
        <v>8</v>
      </c>
      <c r="EN549" s="27" t="s">
        <v>7</v>
      </c>
      <c r="EO549" s="27" t="s">
        <v>8</v>
      </c>
      <c r="EP549" s="27" t="s">
        <v>7</v>
      </c>
      <c r="EQ549" s="27" t="s">
        <v>8</v>
      </c>
      <c r="ER549" s="27" t="s">
        <v>7</v>
      </c>
      <c r="ET549" s="27" t="s">
        <v>7</v>
      </c>
      <c r="EU549" s="27" t="s">
        <v>8</v>
      </c>
      <c r="EV549" s="27" t="s">
        <v>7</v>
      </c>
      <c r="FA549" s="27" t="s">
        <v>8</v>
      </c>
      <c r="FB549" s="27" t="s">
        <v>7</v>
      </c>
      <c r="FC549" s="27" t="s">
        <v>8</v>
      </c>
    </row>
    <row r="550" spans="1:161" x14ac:dyDescent="0.25">
      <c r="A550" s="7">
        <v>2.0806850905900198</v>
      </c>
      <c r="B550"/>
      <c r="C550"/>
      <c r="D550"/>
      <c r="E550"/>
      <c r="BA550" s="27" t="s">
        <v>8</v>
      </c>
      <c r="BD550" s="27" t="s">
        <v>7</v>
      </c>
      <c r="BE550" s="27" t="s">
        <v>8</v>
      </c>
      <c r="BF550" s="27" t="s">
        <v>7</v>
      </c>
      <c r="BG550" s="27" t="s">
        <v>8</v>
      </c>
      <c r="BH550" s="27" t="s">
        <v>7</v>
      </c>
      <c r="EJ550" s="27" t="s">
        <v>7</v>
      </c>
      <c r="EK550" s="27" t="s">
        <v>8</v>
      </c>
      <c r="EL550" s="27" t="s">
        <v>7</v>
      </c>
      <c r="EM550" s="27" t="s">
        <v>8</v>
      </c>
      <c r="EN550" s="27" t="s">
        <v>7</v>
      </c>
      <c r="EO550" s="27" t="s">
        <v>8</v>
      </c>
      <c r="EP550" s="27" t="s">
        <v>7</v>
      </c>
      <c r="EQ550" s="27" t="s">
        <v>8</v>
      </c>
      <c r="ET550" s="27" t="s">
        <v>7</v>
      </c>
      <c r="EU550" s="27" t="s">
        <v>8</v>
      </c>
      <c r="EV550" s="27" t="s">
        <v>7</v>
      </c>
      <c r="FA550" s="27" t="s">
        <v>8</v>
      </c>
      <c r="FB550" s="27" t="s">
        <v>7</v>
      </c>
    </row>
    <row r="551" spans="1:161" x14ac:dyDescent="0.25">
      <c r="A551" s="7">
        <v>2.0398873437157055</v>
      </c>
      <c r="B551"/>
      <c r="C551"/>
      <c r="D551"/>
      <c r="E551"/>
      <c r="BA551" s="27" t="s">
        <v>8</v>
      </c>
      <c r="BD551" s="27" t="s">
        <v>7</v>
      </c>
      <c r="BF551" s="27" t="s">
        <v>7</v>
      </c>
      <c r="EJ551" s="27" t="s">
        <v>7</v>
      </c>
      <c r="EK551" s="27" t="s">
        <v>8</v>
      </c>
      <c r="EL551" s="27" t="s">
        <v>7</v>
      </c>
      <c r="EM551" s="27" t="s">
        <v>8</v>
      </c>
      <c r="EN551" s="27" t="s">
        <v>7</v>
      </c>
      <c r="EO551" s="27" t="s">
        <v>8</v>
      </c>
      <c r="EP551" s="27" t="s">
        <v>7</v>
      </c>
      <c r="EQ551" s="27" t="s">
        <v>8</v>
      </c>
      <c r="ET551" s="27" t="s">
        <v>7</v>
      </c>
      <c r="EV551" s="27" t="s">
        <v>7</v>
      </c>
      <c r="FA551" s="27" t="s">
        <v>8</v>
      </c>
    </row>
    <row r="552" spans="1:161" x14ac:dyDescent="0.25">
      <c r="A552" s="7">
        <v>1.9998895526624565</v>
      </c>
      <c r="B552"/>
      <c r="C552"/>
      <c r="D552"/>
      <c r="E552"/>
      <c r="BA552" s="27" t="s">
        <v>8</v>
      </c>
      <c r="EJ552" s="27" t="s">
        <v>7</v>
      </c>
      <c r="EK552" s="27" t="s">
        <v>8</v>
      </c>
      <c r="EL552" s="27" t="s">
        <v>7</v>
      </c>
      <c r="EM552" s="27" t="s">
        <v>8</v>
      </c>
      <c r="EN552" s="27" t="s">
        <v>7</v>
      </c>
      <c r="EO552" s="27" t="s">
        <v>8</v>
      </c>
      <c r="EP552" s="27" t="s">
        <v>7</v>
      </c>
      <c r="EQ552" s="27" t="s">
        <v>8</v>
      </c>
      <c r="EV552" s="27" t="s">
        <v>7</v>
      </c>
      <c r="EW552" s="27" t="s">
        <v>8</v>
      </c>
      <c r="FA552" s="27" t="s">
        <v>8</v>
      </c>
    </row>
    <row r="553" spans="1:161" x14ac:dyDescent="0.25">
      <c r="A553" s="7">
        <v>1.9606760320220162</v>
      </c>
      <c r="B553"/>
      <c r="C553"/>
      <c r="D553"/>
      <c r="E553"/>
      <c r="BA553" s="27" t="s">
        <v>8</v>
      </c>
      <c r="EJ553" s="27" t="s">
        <v>7</v>
      </c>
      <c r="EL553" s="27" t="s">
        <v>7</v>
      </c>
      <c r="EM553" s="27" t="s">
        <v>8</v>
      </c>
      <c r="EN553" s="27" t="s">
        <v>7</v>
      </c>
      <c r="EO553" s="27" t="s">
        <v>8</v>
      </c>
      <c r="EP553" s="27" t="s">
        <v>7</v>
      </c>
      <c r="EV553" s="27" t="s">
        <v>7</v>
      </c>
      <c r="EW553" s="27" t="s">
        <v>8</v>
      </c>
      <c r="EX553" s="27" t="s">
        <v>7</v>
      </c>
      <c r="EY553" s="27" t="s">
        <v>8</v>
      </c>
      <c r="FA553" s="27" t="s">
        <v>8</v>
      </c>
    </row>
    <row r="554" spans="1:161" x14ac:dyDescent="0.25">
      <c r="A554" s="7">
        <v>1.9222314039431532</v>
      </c>
      <c r="B554"/>
      <c r="C554"/>
      <c r="D554"/>
      <c r="E554"/>
      <c r="AW554" s="27" t="s">
        <v>8</v>
      </c>
      <c r="BA554" s="27" t="s">
        <v>8</v>
      </c>
      <c r="EL554" s="27" t="s">
        <v>7</v>
      </c>
      <c r="EM554" s="27" t="s">
        <v>8</v>
      </c>
      <c r="EN554" s="27" t="s">
        <v>7</v>
      </c>
      <c r="EV554" s="27" t="s">
        <v>7</v>
      </c>
      <c r="EW554" s="27" t="s">
        <v>8</v>
      </c>
      <c r="EX554" s="27" t="s">
        <v>7</v>
      </c>
      <c r="EY554" s="27" t="s">
        <v>8</v>
      </c>
      <c r="EZ554" s="27" t="s">
        <v>7</v>
      </c>
      <c r="FA554" s="27" t="s">
        <v>8</v>
      </c>
    </row>
    <row r="555" spans="1:161" x14ac:dyDescent="0.25">
      <c r="A555" s="7">
        <v>1.8845405921011305</v>
      </c>
      <c r="B555"/>
      <c r="C555"/>
      <c r="D555"/>
      <c r="E555"/>
      <c r="AW555" s="27" t="s">
        <v>8</v>
      </c>
      <c r="AX555" s="27" t="s">
        <v>7</v>
      </c>
      <c r="BA555" s="27" t="s">
        <v>8</v>
      </c>
      <c r="EL555" s="27" t="s">
        <v>7</v>
      </c>
      <c r="EM555" s="27" t="s">
        <v>8</v>
      </c>
      <c r="EV555" s="27" t="s">
        <v>7</v>
      </c>
      <c r="EX555" s="27" t="s">
        <v>7</v>
      </c>
      <c r="EY555" s="27" t="s">
        <v>8</v>
      </c>
      <c r="EZ555" s="27" t="s">
        <v>7</v>
      </c>
      <c r="FA555" s="27" t="s">
        <v>8</v>
      </c>
    </row>
    <row r="556" spans="1:161" x14ac:dyDescent="0.25">
      <c r="A556" s="7">
        <v>1.8475888157854219</v>
      </c>
      <c r="B556"/>
      <c r="C556"/>
      <c r="D556"/>
      <c r="E556"/>
      <c r="AW556" s="27" t="s">
        <v>8</v>
      </c>
      <c r="AX556" s="27" t="s">
        <v>7</v>
      </c>
      <c r="BA556" s="27" t="s">
        <v>8</v>
      </c>
      <c r="EL556" s="27" t="s">
        <v>7</v>
      </c>
      <c r="EM556" s="27" t="s">
        <v>8</v>
      </c>
      <c r="EX556" s="27" t="s">
        <v>7</v>
      </c>
      <c r="EY556" s="27" t="s">
        <v>8</v>
      </c>
      <c r="EZ556" s="27" t="s">
        <v>7</v>
      </c>
      <c r="FA556" s="27" t="s">
        <v>8</v>
      </c>
    </row>
    <row r="557" spans="1:161" x14ac:dyDescent="0.25">
      <c r="A557" s="7">
        <v>1.8113615841033548</v>
      </c>
      <c r="B557"/>
      <c r="C557"/>
      <c r="D557"/>
      <c r="E557"/>
      <c r="AW557" s="27" t="s">
        <v>8</v>
      </c>
      <c r="AX557" s="27" t="s">
        <v>7</v>
      </c>
      <c r="BA557" s="27" t="s">
        <v>8</v>
      </c>
      <c r="EL557" s="27" t="s">
        <v>7</v>
      </c>
      <c r="EM557" s="27" t="s">
        <v>8</v>
      </c>
      <c r="EX557" s="27" t="s">
        <v>7</v>
      </c>
      <c r="EZ557" s="27" t="s">
        <v>7</v>
      </c>
      <c r="FA557" s="27" t="s">
        <v>8</v>
      </c>
    </row>
    <row r="558" spans="1:161" x14ac:dyDescent="0.25">
      <c r="A558" s="7">
        <v>1.7758446902974065</v>
      </c>
      <c r="B558"/>
      <c r="C558"/>
      <c r="D558"/>
      <c r="E558"/>
      <c r="AW558" s="27" t="s">
        <v>8</v>
      </c>
      <c r="AX558" s="27" t="s">
        <v>7</v>
      </c>
      <c r="BA558" s="27" t="s">
        <v>8</v>
      </c>
      <c r="EL558" s="27" t="s">
        <v>7</v>
      </c>
      <c r="EZ558" s="27" t="s">
        <v>7</v>
      </c>
      <c r="FA558" s="27" t="s">
        <v>8</v>
      </c>
    </row>
    <row r="559" spans="1:161" x14ac:dyDescent="0.25">
      <c r="A559" s="7">
        <v>1.7410242061739281</v>
      </c>
      <c r="B559"/>
      <c r="C559"/>
      <c r="D559"/>
      <c r="E559"/>
      <c r="AW559" s="27" t="s">
        <v>8</v>
      </c>
      <c r="AX559" s="27" t="s">
        <v>7</v>
      </c>
      <c r="BA559" s="27" t="s">
        <v>8</v>
      </c>
      <c r="EZ559" s="18" t="s">
        <v>7</v>
      </c>
      <c r="FA559" s="27" t="s">
        <v>8</v>
      </c>
    </row>
    <row r="560" spans="1:161" x14ac:dyDescent="0.25">
      <c r="A560" s="7">
        <v>1.7068864766411058</v>
      </c>
      <c r="B560"/>
      <c r="C560"/>
      <c r="D560"/>
      <c r="E560"/>
      <c r="AW560" s="27" t="s">
        <v>8</v>
      </c>
      <c r="AX560" s="27" t="s">
        <v>7</v>
      </c>
      <c r="BA560" s="27" t="s">
        <v>8</v>
      </c>
      <c r="EZ560" s="27" t="s">
        <v>7</v>
      </c>
      <c r="FA560" s="27" t="s">
        <v>8</v>
      </c>
    </row>
    <row r="561" spans="1:157" x14ac:dyDescent="0.25">
      <c r="A561" s="7">
        <v>1.6734181143540252</v>
      </c>
      <c r="B561"/>
      <c r="C561"/>
      <c r="D561"/>
      <c r="E561"/>
      <c r="AW561" s="27" t="s">
        <v>8</v>
      </c>
      <c r="AX561" s="27" t="s">
        <v>7</v>
      </c>
      <c r="BA561" s="27" t="s">
        <v>8</v>
      </c>
      <c r="EZ561" s="27" t="s">
        <v>7</v>
      </c>
      <c r="FA561" s="27" t="s">
        <v>8</v>
      </c>
    </row>
    <row r="562" spans="1:157" x14ac:dyDescent="0.25">
      <c r="A562" s="7">
        <v>1.6406059944647307</v>
      </c>
      <c r="B562"/>
      <c r="C562"/>
      <c r="D562"/>
      <c r="E562"/>
      <c r="AK562" s="27" t="s">
        <v>8</v>
      </c>
      <c r="AW562" s="27" t="s">
        <v>8</v>
      </c>
      <c r="AX562" s="27" t="s">
        <v>7</v>
      </c>
      <c r="BA562" s="27" t="s">
        <v>8</v>
      </c>
      <c r="EZ562" s="27" t="s">
        <v>7</v>
      </c>
      <c r="FA562" s="27" t="s">
        <v>8</v>
      </c>
    </row>
    <row r="563" spans="1:157" x14ac:dyDescent="0.25">
      <c r="A563" s="7">
        <v>1.6084372494752261</v>
      </c>
      <c r="B563"/>
      <c r="C563"/>
      <c r="D563"/>
      <c r="E563"/>
      <c r="AK563" s="27" t="s">
        <v>8</v>
      </c>
      <c r="AL563" s="27" t="s">
        <v>7</v>
      </c>
      <c r="AW563" s="27" t="s">
        <v>8</v>
      </c>
      <c r="AX563" s="27" t="s">
        <v>7</v>
      </c>
      <c r="AY563" s="27" t="s">
        <v>8</v>
      </c>
      <c r="BA563" s="27" t="s">
        <v>8</v>
      </c>
      <c r="EZ563" s="27" t="s">
        <v>7</v>
      </c>
      <c r="FA563" s="27" t="s">
        <v>8</v>
      </c>
    </row>
    <row r="564" spans="1:157" x14ac:dyDescent="0.25">
      <c r="A564" s="7">
        <v>1.5768992641913981</v>
      </c>
      <c r="B564"/>
      <c r="C564"/>
      <c r="D564"/>
      <c r="E564"/>
      <c r="AK564" s="27" t="s">
        <v>8</v>
      </c>
      <c r="AL564" s="27" t="s">
        <v>7</v>
      </c>
      <c r="AS564" s="27" t="s">
        <v>8</v>
      </c>
      <c r="AU564" s="27" t="s">
        <v>8</v>
      </c>
      <c r="AW564" s="27" t="s">
        <v>8</v>
      </c>
      <c r="AX564" s="27" t="s">
        <v>7</v>
      </c>
      <c r="AY564" s="27" t="s">
        <v>8</v>
      </c>
      <c r="AZ564" s="27" t="s">
        <v>7</v>
      </c>
      <c r="BA564" s="27" t="s">
        <v>8</v>
      </c>
      <c r="EZ564" s="27" t="s">
        <v>7</v>
      </c>
    </row>
    <row r="565" spans="1:157" x14ac:dyDescent="0.25">
      <c r="A565" s="7">
        <v>1.5459796707758806</v>
      </c>
      <c r="B565"/>
      <c r="C565"/>
      <c r="D565"/>
      <c r="E565"/>
      <c r="AK565" s="27" t="s">
        <v>8</v>
      </c>
      <c r="AL565" s="27" t="s">
        <v>7</v>
      </c>
      <c r="AS565" s="27" t="s">
        <v>8</v>
      </c>
      <c r="AT565" s="27" t="s">
        <v>7</v>
      </c>
      <c r="AU565" s="27" t="s">
        <v>8</v>
      </c>
      <c r="AV565" s="27" t="s">
        <v>7</v>
      </c>
      <c r="AW565" s="27" t="s">
        <v>8</v>
      </c>
      <c r="AX565" s="27" t="s">
        <v>7</v>
      </c>
      <c r="AY565" s="27" t="s">
        <v>8</v>
      </c>
      <c r="AZ565" s="27" t="s">
        <v>7</v>
      </c>
      <c r="BA565" s="27" t="s">
        <v>8</v>
      </c>
    </row>
    <row r="566" spans="1:157" x14ac:dyDescent="0.25">
      <c r="A566" s="7">
        <v>1.5156663438979221</v>
      </c>
      <c r="B566"/>
      <c r="C566"/>
      <c r="D566"/>
      <c r="E566"/>
      <c r="AK566" s="27" t="s">
        <v>8</v>
      </c>
      <c r="AL566" s="27" t="s">
        <v>7</v>
      </c>
      <c r="AS566" s="27" t="s">
        <v>8</v>
      </c>
      <c r="AT566" s="27" t="s">
        <v>7</v>
      </c>
      <c r="AU566" s="27" t="s">
        <v>8</v>
      </c>
      <c r="AV566" s="27" t="s">
        <v>7</v>
      </c>
      <c r="AW566" s="27" t="s">
        <v>8</v>
      </c>
      <c r="AX566" s="27" t="s">
        <v>7</v>
      </c>
      <c r="AY566" s="27" t="s">
        <v>8</v>
      </c>
      <c r="AZ566" s="27" t="s">
        <v>7</v>
      </c>
      <c r="BA566" s="27" t="s">
        <v>8</v>
      </c>
    </row>
    <row r="567" spans="1:157" x14ac:dyDescent="0.25">
      <c r="A567" s="7">
        <v>1.4859473959783549</v>
      </c>
      <c r="B567"/>
      <c r="C567"/>
      <c r="D567"/>
      <c r="E567"/>
      <c r="AK567" s="27" t="s">
        <v>8</v>
      </c>
      <c r="AL567" s="27" t="s">
        <v>7</v>
      </c>
      <c r="AQ567" s="27" t="s">
        <v>8</v>
      </c>
      <c r="AS567" s="27" t="s">
        <v>8</v>
      </c>
      <c r="AT567" s="27" t="s">
        <v>7</v>
      </c>
      <c r="AU567" s="27" t="s">
        <v>8</v>
      </c>
      <c r="AV567" s="27" t="s">
        <v>7</v>
      </c>
      <c r="AW567" s="27" t="s">
        <v>8</v>
      </c>
      <c r="AX567" s="27" t="s">
        <v>7</v>
      </c>
      <c r="AY567" s="27" t="s">
        <v>8</v>
      </c>
      <c r="AZ567" s="27" t="s">
        <v>7</v>
      </c>
      <c r="BA567" s="27" t="s">
        <v>8</v>
      </c>
    </row>
    <row r="568" spans="1:157" x14ac:dyDescent="0.25">
      <c r="A568" s="7">
        <v>1.4568111725277988</v>
      </c>
      <c r="B568"/>
      <c r="C568"/>
      <c r="D568"/>
      <c r="E568"/>
      <c r="AK568" s="27" t="s">
        <v>8</v>
      </c>
      <c r="AL568" s="27" t="s">
        <v>7</v>
      </c>
      <c r="AQ568" s="27" t="s">
        <v>8</v>
      </c>
      <c r="AR568" s="27" t="s">
        <v>7</v>
      </c>
      <c r="AS568" s="27" t="s">
        <v>8</v>
      </c>
      <c r="AT568" s="27" t="s">
        <v>7</v>
      </c>
      <c r="AU568" s="27" t="s">
        <v>8</v>
      </c>
      <c r="AV568" s="27" t="s">
        <v>7</v>
      </c>
      <c r="AW568" s="27" t="s">
        <v>8</v>
      </c>
      <c r="AX568" s="27" t="s">
        <v>7</v>
      </c>
      <c r="AY568" s="27" t="s">
        <v>8</v>
      </c>
      <c r="AZ568" s="27" t="s">
        <v>7</v>
      </c>
      <c r="BA568" s="27" t="s">
        <v>8</v>
      </c>
    </row>
    <row r="569" spans="1:157" x14ac:dyDescent="0.25">
      <c r="A569" s="7">
        <v>1.4282462475762734</v>
      </c>
      <c r="B569"/>
      <c r="C569"/>
      <c r="D569"/>
      <c r="E569"/>
      <c r="AK569" s="27" t="s">
        <v>8</v>
      </c>
      <c r="AL569" s="27" t="s">
        <v>7</v>
      </c>
      <c r="AQ569" s="27" t="s">
        <v>8</v>
      </c>
      <c r="AR569" s="27" t="s">
        <v>7</v>
      </c>
      <c r="AS569" s="27" t="s">
        <v>8</v>
      </c>
      <c r="AT569" s="27" t="s">
        <v>7</v>
      </c>
      <c r="AU569" s="27" t="s">
        <v>8</v>
      </c>
      <c r="AV569" s="27" t="s">
        <v>7</v>
      </c>
      <c r="AX569" s="27" t="s">
        <v>7</v>
      </c>
      <c r="AY569" s="27" t="s">
        <v>8</v>
      </c>
      <c r="AZ569" s="27" t="s">
        <v>7</v>
      </c>
      <c r="BA569" s="27" t="s">
        <v>8</v>
      </c>
    </row>
    <row r="570" spans="1:157" x14ac:dyDescent="0.25">
      <c r="A570" s="7">
        <v>1.4002414191924248</v>
      </c>
      <c r="B570"/>
      <c r="C570"/>
      <c r="D570"/>
      <c r="E570"/>
      <c r="AK570" s="27" t="s">
        <v>8</v>
      </c>
      <c r="AL570" s="27" t="s">
        <v>7</v>
      </c>
      <c r="AQ570" s="27" t="s">
        <v>8</v>
      </c>
      <c r="AR570" s="27" t="s">
        <v>7</v>
      </c>
      <c r="AS570" s="27" t="s">
        <v>8</v>
      </c>
      <c r="AT570" s="27" t="s">
        <v>7</v>
      </c>
      <c r="AU570" s="27" t="s">
        <v>8</v>
      </c>
      <c r="AX570" s="27" t="s">
        <v>7</v>
      </c>
      <c r="AY570" s="27" t="s">
        <v>8</v>
      </c>
      <c r="AZ570" s="27" t="s">
        <v>7</v>
      </c>
    </row>
    <row r="571" spans="1:157" x14ac:dyDescent="0.25">
      <c r="A571" s="7">
        <v>1.3727857050906125</v>
      </c>
      <c r="B571"/>
      <c r="C571"/>
      <c r="D571"/>
      <c r="E571"/>
      <c r="AK571" s="27" t="s">
        <v>8</v>
      </c>
      <c r="AL571" s="27" t="s">
        <v>7</v>
      </c>
      <c r="AQ571" s="27" t="s">
        <v>8</v>
      </c>
      <c r="AR571" s="27" t="s">
        <v>7</v>
      </c>
      <c r="AS571" s="27" t="s">
        <v>8</v>
      </c>
      <c r="AT571" s="27" t="s">
        <v>7</v>
      </c>
      <c r="AU571" s="27" t="s">
        <v>8</v>
      </c>
      <c r="AX571" s="27" t="s">
        <v>7</v>
      </c>
    </row>
    <row r="572" spans="1:157" x14ac:dyDescent="0.25">
      <c r="A572" s="7">
        <v>1.3458683383241299</v>
      </c>
      <c r="B572"/>
      <c r="C572"/>
      <c r="D572"/>
      <c r="E572"/>
      <c r="AK572" s="27" t="s">
        <v>8</v>
      </c>
      <c r="AL572" s="27" t="s">
        <v>7</v>
      </c>
      <c r="AQ572" s="27" t="s">
        <v>8</v>
      </c>
      <c r="AR572" s="27" t="s">
        <v>7</v>
      </c>
      <c r="AS572" s="27" t="s">
        <v>8</v>
      </c>
      <c r="AT572" s="27" t="s">
        <v>7</v>
      </c>
      <c r="AU572" s="27" t="s">
        <v>8</v>
      </c>
    </row>
    <row r="573" spans="1:157" x14ac:dyDescent="0.25">
      <c r="A573" s="7">
        <v>1.3194787630628724</v>
      </c>
      <c r="B573"/>
      <c r="C573"/>
      <c r="D573"/>
      <c r="E573"/>
      <c r="AK573" s="27" t="s">
        <v>8</v>
      </c>
      <c r="AL573" s="27" t="s">
        <v>7</v>
      </c>
      <c r="AQ573" s="27" t="s">
        <v>8</v>
      </c>
      <c r="AR573" s="27" t="s">
        <v>7</v>
      </c>
      <c r="AT573" s="27" t="s">
        <v>7</v>
      </c>
    </row>
    <row r="574" spans="1:157" x14ac:dyDescent="0.25">
      <c r="A574" s="7">
        <v>1.2936066304537963</v>
      </c>
      <c r="B574"/>
      <c r="C574"/>
      <c r="D574"/>
      <c r="E574"/>
      <c r="Y574" s="27" t="s">
        <v>8</v>
      </c>
      <c r="AK574" s="27" t="s">
        <v>8</v>
      </c>
      <c r="AL574" s="27" t="s">
        <v>7</v>
      </c>
      <c r="AQ574" s="27" t="s">
        <v>8</v>
      </c>
    </row>
    <row r="575" spans="1:157" x14ac:dyDescent="0.25">
      <c r="A575" s="7">
        <v>1.2682417945625455</v>
      </c>
      <c r="B575"/>
      <c r="C575"/>
      <c r="D575"/>
      <c r="E575"/>
      <c r="Y575" s="27" t="s">
        <v>8</v>
      </c>
      <c r="Z575" s="27" t="s">
        <v>7</v>
      </c>
      <c r="AK575" s="27" t="s">
        <v>8</v>
      </c>
      <c r="AL575" s="27" t="s">
        <v>7</v>
      </c>
      <c r="AQ575" s="27" t="s">
        <v>8</v>
      </c>
    </row>
    <row r="576" spans="1:157" x14ac:dyDescent="0.25">
      <c r="A576" s="7">
        <v>1.2433743083946525</v>
      </c>
      <c r="B576"/>
      <c r="C576"/>
      <c r="D576"/>
      <c r="E576" t="s">
        <v>8</v>
      </c>
      <c r="Y576" s="27" t="s">
        <v>8</v>
      </c>
      <c r="Z576" s="27" t="s">
        <v>7</v>
      </c>
      <c r="AK576" s="27" t="s">
        <v>8</v>
      </c>
      <c r="AL576" s="27" t="s">
        <v>7</v>
      </c>
      <c r="AO576" s="27" t="s">
        <v>8</v>
      </c>
      <c r="AQ576" s="27" t="s">
        <v>8</v>
      </c>
    </row>
    <row r="577" spans="1:43" x14ac:dyDescent="0.25">
      <c r="A577" s="7">
        <v>1.2189944199947573</v>
      </c>
      <c r="B577"/>
      <c r="C577"/>
      <c r="D577"/>
      <c r="E577" t="s">
        <v>8</v>
      </c>
      <c r="F577" s="27" t="s">
        <v>7</v>
      </c>
      <c r="Y577" s="27" t="s">
        <v>8</v>
      </c>
      <c r="Z577" s="27" t="s">
        <v>7</v>
      </c>
      <c r="AC577" s="27" t="s">
        <v>8</v>
      </c>
      <c r="AK577" s="27" t="s">
        <v>8</v>
      </c>
      <c r="AL577" s="27" t="s">
        <v>7</v>
      </c>
      <c r="AO577" s="27" t="s">
        <v>8</v>
      </c>
      <c r="AP577" s="27" t="s">
        <v>7</v>
      </c>
      <c r="AQ577" s="27" t="s">
        <v>8</v>
      </c>
    </row>
    <row r="578" spans="1:43" x14ac:dyDescent="0.25">
      <c r="A578" s="7">
        <v>1.1950925686223111</v>
      </c>
      <c r="B578"/>
      <c r="C578"/>
      <c r="D578"/>
      <c r="E578" t="s">
        <v>8</v>
      </c>
      <c r="F578" s="27" t="s">
        <v>7</v>
      </c>
      <c r="W578" s="27" t="s">
        <v>8</v>
      </c>
      <c r="Y578" s="27" t="s">
        <v>8</v>
      </c>
      <c r="Z578" s="27" t="s">
        <v>7</v>
      </c>
      <c r="AC578" s="27" t="s">
        <v>8</v>
      </c>
      <c r="AD578" s="27" t="s">
        <v>7</v>
      </c>
      <c r="AK578" s="27" t="s">
        <v>8</v>
      </c>
      <c r="AL578" s="27" t="s">
        <v>7</v>
      </c>
      <c r="AO578" s="27" t="s">
        <v>8</v>
      </c>
      <c r="AP578" s="27" t="s">
        <v>7</v>
      </c>
      <c r="AQ578" s="27" t="s">
        <v>8</v>
      </c>
    </row>
    <row r="579" spans="1:43" x14ac:dyDescent="0.25">
      <c r="A579" s="7">
        <v>1.1716593810022657</v>
      </c>
      <c r="B579"/>
      <c r="C579"/>
      <c r="D579"/>
      <c r="E579" t="s">
        <v>8</v>
      </c>
      <c r="F579" s="27" t="s">
        <v>7</v>
      </c>
      <c r="W579" s="27" t="s">
        <v>8</v>
      </c>
      <c r="X579" s="27" t="s">
        <v>7</v>
      </c>
      <c r="Y579" s="27" t="s">
        <v>8</v>
      </c>
      <c r="Z579" s="27" t="s">
        <v>7</v>
      </c>
      <c r="AC579" s="27" t="s">
        <v>8</v>
      </c>
      <c r="AD579" s="27" t="s">
        <v>7</v>
      </c>
      <c r="AK579" s="27" t="s">
        <v>8</v>
      </c>
      <c r="AL579" s="27" t="s">
        <v>7</v>
      </c>
      <c r="AO579" s="27" t="s">
        <v>8</v>
      </c>
      <c r="AP579" s="27" t="s">
        <v>7</v>
      </c>
      <c r="AQ579" s="27" t="s">
        <v>8</v>
      </c>
    </row>
    <row r="580" spans="1:43" x14ac:dyDescent="0.25">
      <c r="A580" s="7">
        <v>1.14868566764928</v>
      </c>
      <c r="B580"/>
      <c r="C580"/>
      <c r="D580"/>
      <c r="E580" t="s">
        <v>8</v>
      </c>
      <c r="F580" s="27" t="s">
        <v>7</v>
      </c>
      <c r="W580" s="27" t="s">
        <v>8</v>
      </c>
      <c r="X580" s="27" t="s">
        <v>7</v>
      </c>
      <c r="Y580" s="27" t="s">
        <v>8</v>
      </c>
      <c r="Z580" s="27" t="s">
        <v>7</v>
      </c>
      <c r="AC580" s="27" t="s">
        <v>8</v>
      </c>
      <c r="AD580" s="27" t="s">
        <v>7</v>
      </c>
      <c r="AK580" s="27" t="s">
        <v>8</v>
      </c>
      <c r="AL580" s="27" t="s">
        <v>7</v>
      </c>
      <c r="AO580" s="27" t="s">
        <v>8</v>
      </c>
      <c r="AP580" s="27" t="s">
        <v>7</v>
      </c>
      <c r="AQ580" s="27" t="s">
        <v>8</v>
      </c>
    </row>
    <row r="581" spans="1:43" x14ac:dyDescent="0.25">
      <c r="A581" s="7">
        <v>1.1261624192640001</v>
      </c>
      <c r="B581"/>
      <c r="C581"/>
      <c r="D581"/>
      <c r="E581" t="s">
        <v>8</v>
      </c>
      <c r="F581" s="27" t="s">
        <v>7</v>
      </c>
      <c r="W581" s="27" t="s">
        <v>8</v>
      </c>
      <c r="X581" s="27" t="s">
        <v>7</v>
      </c>
      <c r="Y581" s="27" t="s">
        <v>8</v>
      </c>
      <c r="Z581" s="27" t="s">
        <v>7</v>
      </c>
      <c r="AC581" s="27" t="s">
        <v>8</v>
      </c>
      <c r="AD581" s="27" t="s">
        <v>7</v>
      </c>
      <c r="AK581" s="27" t="s">
        <v>8</v>
      </c>
      <c r="AL581" s="27" t="s">
        <v>7</v>
      </c>
      <c r="AO581" s="27" t="s">
        <v>8</v>
      </c>
      <c r="AP581" s="27" t="s">
        <v>7</v>
      </c>
      <c r="AQ581" s="27" t="s">
        <v>8</v>
      </c>
    </row>
    <row r="582" spans="1:43" x14ac:dyDescent="0.25">
      <c r="A582" s="7">
        <v>1.1040808032</v>
      </c>
      <c r="B582"/>
      <c r="C582"/>
      <c r="D582"/>
      <c r="E582" t="s">
        <v>8</v>
      </c>
      <c r="F582" s="27" t="s">
        <v>7</v>
      </c>
      <c r="W582" s="27" t="s">
        <v>8</v>
      </c>
      <c r="X582" s="27" t="s">
        <v>7</v>
      </c>
      <c r="Y582" s="27" t="s">
        <v>8</v>
      </c>
      <c r="Z582" s="27" t="s">
        <v>7</v>
      </c>
      <c r="AC582" s="27" t="s">
        <v>8</v>
      </c>
      <c r="AD582" s="27" t="s">
        <v>7</v>
      </c>
      <c r="AI582" s="27" t="s">
        <v>8</v>
      </c>
      <c r="AK582" s="27" t="s">
        <v>8</v>
      </c>
      <c r="AL582" s="27" t="s">
        <v>7</v>
      </c>
      <c r="AO582" s="27" t="s">
        <v>8</v>
      </c>
      <c r="AP582" s="27" t="s">
        <v>7</v>
      </c>
    </row>
    <row r="583" spans="1:43" x14ac:dyDescent="0.25">
      <c r="A583" s="7">
        <v>1.08243216</v>
      </c>
      <c r="B583"/>
      <c r="C583"/>
      <c r="D583"/>
      <c r="E583" t="s">
        <v>8</v>
      </c>
      <c r="F583" s="27" t="s">
        <v>7</v>
      </c>
      <c r="W583" s="27" t="s">
        <v>8</v>
      </c>
      <c r="X583" s="27" t="s">
        <v>7</v>
      </c>
      <c r="Y583" s="27" t="s">
        <v>8</v>
      </c>
      <c r="Z583" s="27" t="s">
        <v>7</v>
      </c>
      <c r="AC583" s="27" t="s">
        <v>8</v>
      </c>
      <c r="AD583" s="27" t="s">
        <v>7</v>
      </c>
      <c r="AI583" s="27" t="s">
        <v>8</v>
      </c>
      <c r="AJ583" s="27" t="s">
        <v>7</v>
      </c>
      <c r="AK583" s="27" t="s">
        <v>8</v>
      </c>
      <c r="AL583" s="27" t="s">
        <v>7</v>
      </c>
      <c r="AO583" s="27" t="s">
        <v>8</v>
      </c>
    </row>
    <row r="584" spans="1:43" x14ac:dyDescent="0.25">
      <c r="A584" s="7">
        <v>1.0612079999999999</v>
      </c>
      <c r="B584"/>
      <c r="C584"/>
      <c r="D584"/>
      <c r="E584" t="s">
        <v>8</v>
      </c>
      <c r="F584" s="27" t="s">
        <v>7</v>
      </c>
      <c r="W584" s="27" t="s">
        <v>8</v>
      </c>
      <c r="X584" s="27" t="s">
        <v>7</v>
      </c>
      <c r="Y584" s="27" t="s">
        <v>8</v>
      </c>
      <c r="Z584" s="27" t="s">
        <v>7</v>
      </c>
      <c r="AC584" s="27" t="s">
        <v>8</v>
      </c>
      <c r="AD584" s="27" t="s">
        <v>7</v>
      </c>
      <c r="AG584" s="27" t="s">
        <v>8</v>
      </c>
      <c r="AI584" s="27" t="s">
        <v>8</v>
      </c>
      <c r="AJ584" s="27" t="s">
        <v>7</v>
      </c>
      <c r="AK584" s="27" t="s">
        <v>8</v>
      </c>
      <c r="AL584" s="27" t="s">
        <v>7</v>
      </c>
      <c r="AM584" s="27" t="s">
        <v>8</v>
      </c>
      <c r="AO584" s="27" t="s">
        <v>8</v>
      </c>
    </row>
    <row r="585" spans="1:43" x14ac:dyDescent="0.25">
      <c r="A585" s="7">
        <v>1.0404</v>
      </c>
      <c r="B585"/>
      <c r="C585"/>
      <c r="D585"/>
      <c r="E585" t="s">
        <v>8</v>
      </c>
      <c r="F585" s="27" t="s">
        <v>7</v>
      </c>
      <c r="W585" s="27" t="s">
        <v>8</v>
      </c>
      <c r="X585" s="27" t="s">
        <v>7</v>
      </c>
      <c r="Y585" s="27" t="s">
        <v>8</v>
      </c>
      <c r="Z585" s="27" t="s">
        <v>7</v>
      </c>
      <c r="AA585" s="27" t="s">
        <v>8</v>
      </c>
      <c r="AC585" s="27" t="s">
        <v>8</v>
      </c>
      <c r="AD585" s="27" t="s">
        <v>7</v>
      </c>
      <c r="AE585" s="27" t="s">
        <v>8</v>
      </c>
      <c r="AG585" s="27" t="s">
        <v>8</v>
      </c>
      <c r="AH585" s="27" t="s">
        <v>7</v>
      </c>
      <c r="AI585" s="27" t="s">
        <v>8</v>
      </c>
      <c r="AJ585" s="27" t="s">
        <v>7</v>
      </c>
      <c r="AK585" s="27" t="s">
        <v>8</v>
      </c>
      <c r="AL585" s="27" t="s">
        <v>7</v>
      </c>
      <c r="AM585" s="27" t="s">
        <v>8</v>
      </c>
      <c r="AN585" s="27" t="s">
        <v>7</v>
      </c>
      <c r="AO585" s="27" t="s">
        <v>8</v>
      </c>
    </row>
    <row r="586" spans="1:43" x14ac:dyDescent="0.25">
      <c r="A586" s="7">
        <v>1.02</v>
      </c>
      <c r="B586"/>
      <c r="C586"/>
      <c r="D586"/>
      <c r="E586" t="s">
        <v>8</v>
      </c>
      <c r="F586" s="27" t="s">
        <v>7</v>
      </c>
      <c r="W586" s="27" t="s">
        <v>8</v>
      </c>
      <c r="X586" s="27" t="s">
        <v>7</v>
      </c>
      <c r="Y586" s="27" t="s">
        <v>8</v>
      </c>
      <c r="Z586" s="27" t="s">
        <v>7</v>
      </c>
      <c r="AA586" s="27" t="s">
        <v>8</v>
      </c>
      <c r="AB586" s="27" t="s">
        <v>7</v>
      </c>
      <c r="AC586" s="27" t="s">
        <v>8</v>
      </c>
      <c r="AD586" s="27" t="s">
        <v>7</v>
      </c>
      <c r="AE586" s="27" t="s">
        <v>8</v>
      </c>
      <c r="AF586" s="27" t="s">
        <v>7</v>
      </c>
      <c r="AG586" s="27" t="s">
        <v>8</v>
      </c>
      <c r="AH586" s="27" t="s">
        <v>7</v>
      </c>
      <c r="AI586" s="27" t="s">
        <v>8</v>
      </c>
      <c r="AJ586" s="27" t="s">
        <v>7</v>
      </c>
      <c r="AL586" s="27" t="s">
        <v>7</v>
      </c>
      <c r="AM586" s="27" t="s">
        <v>8</v>
      </c>
      <c r="AN586" s="27" t="s">
        <v>7</v>
      </c>
      <c r="AO586" s="27" t="s">
        <v>8</v>
      </c>
    </row>
    <row r="587" spans="1:43" x14ac:dyDescent="0.25">
      <c r="A587" s="7">
        <v>1</v>
      </c>
      <c r="B587"/>
      <c r="C587"/>
      <c r="D587"/>
      <c r="E587" s="29" t="s">
        <v>8</v>
      </c>
      <c r="F587" s="27" t="s">
        <v>7</v>
      </c>
      <c r="W587" s="27" t="s">
        <v>8</v>
      </c>
      <c r="X587" s="27" t="s">
        <v>7</v>
      </c>
      <c r="Z587" s="27" t="s">
        <v>7</v>
      </c>
      <c r="AA587" s="27" t="s">
        <v>8</v>
      </c>
      <c r="AB587" s="27" t="s">
        <v>7</v>
      </c>
      <c r="AC587" s="27" t="s">
        <v>8</v>
      </c>
      <c r="AD587" s="27" t="s">
        <v>7</v>
      </c>
      <c r="AE587" s="27" t="s">
        <v>8</v>
      </c>
      <c r="AF587" s="27" t="s">
        <v>7</v>
      </c>
      <c r="AG587" s="27" t="s">
        <v>8</v>
      </c>
      <c r="AH587" s="27" t="s">
        <v>7</v>
      </c>
      <c r="AI587" s="27" t="s">
        <v>8</v>
      </c>
      <c r="AL587" s="27" t="s">
        <v>7</v>
      </c>
      <c r="AM587" s="27" t="s">
        <v>8</v>
      </c>
      <c r="AN587" s="27" t="s">
        <v>7</v>
      </c>
    </row>
    <row r="588" spans="1:43" x14ac:dyDescent="0.25">
      <c r="A588" s="7">
        <v>0.98039215686274506</v>
      </c>
      <c r="B588"/>
      <c r="C588"/>
      <c r="D588"/>
      <c r="E588"/>
      <c r="F588" s="27" t="s">
        <v>7</v>
      </c>
      <c r="Q588" s="27" t="s">
        <v>8</v>
      </c>
      <c r="U588" s="27" t="s">
        <v>8</v>
      </c>
      <c r="W588" s="27" t="s">
        <v>8</v>
      </c>
      <c r="Z588" s="27" t="s">
        <v>7</v>
      </c>
      <c r="AA588" s="27" t="s">
        <v>8</v>
      </c>
      <c r="AB588" s="27" t="s">
        <v>7</v>
      </c>
      <c r="AC588" s="27" t="s">
        <v>8</v>
      </c>
      <c r="AD588" s="27" t="s">
        <v>7</v>
      </c>
      <c r="AE588" s="27" t="s">
        <v>8</v>
      </c>
      <c r="AF588" s="27" t="s">
        <v>7</v>
      </c>
      <c r="AG588" s="27" t="s">
        <v>8</v>
      </c>
      <c r="AH588" s="27" t="s">
        <v>7</v>
      </c>
      <c r="AL588" s="27" t="s">
        <v>7</v>
      </c>
      <c r="AM588" s="27" t="s">
        <v>8</v>
      </c>
    </row>
    <row r="589" spans="1:43" x14ac:dyDescent="0.25">
      <c r="A589" s="7">
        <v>0.96116878123798544</v>
      </c>
      <c r="B589"/>
      <c r="C589"/>
      <c r="D589"/>
      <c r="E589"/>
      <c r="F589" s="27" t="s">
        <v>7</v>
      </c>
      <c r="Q589" s="27" t="s">
        <v>8</v>
      </c>
      <c r="R589" s="27" t="s">
        <v>7</v>
      </c>
      <c r="U589" s="27" t="s">
        <v>8</v>
      </c>
      <c r="V589" s="27" t="s">
        <v>7</v>
      </c>
      <c r="W589" s="27" t="s">
        <v>8</v>
      </c>
      <c r="Z589" s="27" t="s">
        <v>7</v>
      </c>
      <c r="AA589" s="27" t="s">
        <v>8</v>
      </c>
      <c r="AB589" s="27" t="s">
        <v>7</v>
      </c>
      <c r="AD589" s="27" t="s">
        <v>7</v>
      </c>
      <c r="AE589" s="27" t="s">
        <v>8</v>
      </c>
      <c r="AF589" s="27" t="s">
        <v>7</v>
      </c>
      <c r="AG589" s="27" t="s">
        <v>8</v>
      </c>
      <c r="AL589" s="27" t="s">
        <v>7</v>
      </c>
      <c r="AM589" s="27" t="s">
        <v>8</v>
      </c>
    </row>
    <row r="590" spans="1:43" x14ac:dyDescent="0.25">
      <c r="A590" s="7">
        <v>0.94232233454704462</v>
      </c>
      <c r="B590"/>
      <c r="C590"/>
      <c r="D590"/>
      <c r="E590"/>
      <c r="F590" s="27" t="s">
        <v>7</v>
      </c>
      <c r="Q590" s="27" t="s">
        <v>8</v>
      </c>
      <c r="R590" s="27" t="s">
        <v>7</v>
      </c>
      <c r="U590" s="27" t="s">
        <v>8</v>
      </c>
      <c r="V590" s="27" t="s">
        <v>7</v>
      </c>
      <c r="W590" s="27" t="s">
        <v>8</v>
      </c>
      <c r="Z590" s="27" t="s">
        <v>7</v>
      </c>
      <c r="AA590" s="27" t="s">
        <v>8</v>
      </c>
      <c r="AD590" s="27" t="s">
        <v>7</v>
      </c>
      <c r="AE590" s="27" t="s">
        <v>8</v>
      </c>
      <c r="AF590" s="27" t="s">
        <v>7</v>
      </c>
      <c r="AG590" s="27" t="s">
        <v>8</v>
      </c>
      <c r="AL590" s="27" t="s">
        <v>7</v>
      </c>
      <c r="AM590" s="27" t="s">
        <v>8</v>
      </c>
    </row>
    <row r="591" spans="1:43" x14ac:dyDescent="0.25">
      <c r="A591" s="7">
        <v>0.92384542602651432</v>
      </c>
      <c r="B591"/>
      <c r="C591"/>
      <c r="D591"/>
      <c r="E591"/>
      <c r="F591" s="27" t="s">
        <v>7</v>
      </c>
      <c r="Q591" s="27" t="s">
        <v>8</v>
      </c>
      <c r="R591" s="27" t="s">
        <v>7</v>
      </c>
      <c r="U591" s="27" t="s">
        <v>8</v>
      </c>
      <c r="V591" s="27" t="s">
        <v>7</v>
      </c>
      <c r="W591" s="27" t="s">
        <v>8</v>
      </c>
      <c r="Z591" s="27" t="s">
        <v>7</v>
      </c>
      <c r="AA591" s="27" t="s">
        <v>8</v>
      </c>
      <c r="AD591" s="27" t="s">
        <v>7</v>
      </c>
      <c r="AF591" s="27" t="s">
        <v>7</v>
      </c>
      <c r="AG591" s="27" t="s">
        <v>8</v>
      </c>
      <c r="AL591" s="27" t="s">
        <v>7</v>
      </c>
      <c r="AM591" s="27" t="s">
        <v>8</v>
      </c>
    </row>
    <row r="592" spans="1:43" x14ac:dyDescent="0.25">
      <c r="A592" s="7">
        <v>0.90573080982991594</v>
      </c>
      <c r="B592"/>
      <c r="C592"/>
      <c r="D592"/>
      <c r="E592"/>
      <c r="F592" s="27" t="s">
        <v>7</v>
      </c>
      <c r="Q592" s="27" t="s">
        <v>8</v>
      </c>
      <c r="R592" s="27" t="s">
        <v>7</v>
      </c>
      <c r="S592" s="27" t="s">
        <v>8</v>
      </c>
      <c r="U592" s="27" t="s">
        <v>8</v>
      </c>
      <c r="V592" s="27" t="s">
        <v>7</v>
      </c>
      <c r="W592" s="27" t="s">
        <v>8</v>
      </c>
      <c r="Z592" s="27" t="s">
        <v>7</v>
      </c>
      <c r="AF592" s="27" t="s">
        <v>7</v>
      </c>
      <c r="AG592" s="27" t="s">
        <v>8</v>
      </c>
      <c r="AL592" s="27" t="s">
        <v>7</v>
      </c>
    </row>
    <row r="593" spans="1:33" x14ac:dyDescent="0.25">
      <c r="A593" s="7">
        <v>0.8879713821861922</v>
      </c>
      <c r="B593"/>
      <c r="C593"/>
      <c r="D593"/>
      <c r="E593"/>
      <c r="F593" s="27" t="s">
        <v>7</v>
      </c>
      <c r="Q593" s="27" t="s">
        <v>8</v>
      </c>
      <c r="R593" s="27" t="s">
        <v>7</v>
      </c>
      <c r="S593" s="27" t="s">
        <v>8</v>
      </c>
      <c r="T593" s="27" t="s">
        <v>7</v>
      </c>
      <c r="U593" s="27" t="s">
        <v>8</v>
      </c>
      <c r="V593" s="27" t="s">
        <v>7</v>
      </c>
      <c r="W593" s="27" t="s">
        <v>8</v>
      </c>
      <c r="AF593" s="27" t="s">
        <v>7</v>
      </c>
      <c r="AG593" s="27" t="s">
        <v>8</v>
      </c>
    </row>
    <row r="594" spans="1:33" x14ac:dyDescent="0.25">
      <c r="A594" s="7">
        <v>0.87056017861391399</v>
      </c>
      <c r="B594"/>
      <c r="C594"/>
      <c r="D594"/>
      <c r="E594"/>
      <c r="F594" s="27" t="s">
        <v>7</v>
      </c>
      <c r="G594" s="27" t="s">
        <v>8</v>
      </c>
      <c r="Q594" s="27" t="s">
        <v>8</v>
      </c>
      <c r="R594" s="27" t="s">
        <v>7</v>
      </c>
      <c r="S594" s="27" t="s">
        <v>8</v>
      </c>
      <c r="T594" s="27" t="s">
        <v>7</v>
      </c>
      <c r="U594" s="27" t="s">
        <v>8</v>
      </c>
      <c r="V594" s="27" t="s">
        <v>7</v>
      </c>
      <c r="W594" s="27" t="s">
        <v>8</v>
      </c>
      <c r="AF594" s="27" t="s">
        <v>7</v>
      </c>
    </row>
    <row r="595" spans="1:33" x14ac:dyDescent="0.25">
      <c r="A595" s="7">
        <v>0.85349037119011173</v>
      </c>
      <c r="B595"/>
      <c r="C595"/>
      <c r="D595"/>
      <c r="E595"/>
      <c r="F595" s="27" t="s">
        <v>7</v>
      </c>
      <c r="G595" s="27" t="s">
        <v>8</v>
      </c>
      <c r="H595" s="27" t="s">
        <v>7</v>
      </c>
      <c r="K595" s="27" t="s">
        <v>8</v>
      </c>
      <c r="Q595" s="27" t="s">
        <v>8</v>
      </c>
      <c r="R595" s="27" t="s">
        <v>7</v>
      </c>
      <c r="S595" s="27" t="s">
        <v>8</v>
      </c>
      <c r="T595" s="27" t="s">
        <v>7</v>
      </c>
      <c r="U595" s="27" t="s">
        <v>8</v>
      </c>
      <c r="V595" s="27" t="s">
        <v>7</v>
      </c>
      <c r="W595" s="27" t="s">
        <v>8</v>
      </c>
    </row>
    <row r="596" spans="1:33" x14ac:dyDescent="0.25">
      <c r="A596" s="7">
        <v>0.83675526587265858</v>
      </c>
      <c r="B596"/>
      <c r="C596"/>
      <c r="D596"/>
      <c r="E596"/>
      <c r="F596" s="27" t="s">
        <v>7</v>
      </c>
      <c r="G596" s="27" t="s">
        <v>8</v>
      </c>
      <c r="H596" s="27" t="s">
        <v>7</v>
      </c>
      <c r="K596" s="27" t="s">
        <v>8</v>
      </c>
      <c r="L596" s="27" t="s">
        <v>7</v>
      </c>
      <c r="Q596" s="27" t="s">
        <v>8</v>
      </c>
      <c r="R596" s="27" t="s">
        <v>7</v>
      </c>
      <c r="S596" s="27" t="s">
        <v>8</v>
      </c>
      <c r="T596" s="27" t="s">
        <v>7</v>
      </c>
      <c r="U596" s="27" t="s">
        <v>8</v>
      </c>
      <c r="V596" s="27" t="s">
        <v>7</v>
      </c>
      <c r="W596" s="27" t="s">
        <v>8</v>
      </c>
    </row>
    <row r="597" spans="1:33" x14ac:dyDescent="0.25">
      <c r="A597" s="7">
        <v>0.82034829987515545</v>
      </c>
      <c r="B597"/>
      <c r="C597"/>
      <c r="D597"/>
      <c r="E597"/>
      <c r="F597" s="27" t="s">
        <v>7</v>
      </c>
      <c r="G597" s="27" t="s">
        <v>8</v>
      </c>
      <c r="H597" s="27" t="s">
        <v>7</v>
      </c>
      <c r="K597" s="27" t="s">
        <v>8</v>
      </c>
      <c r="L597" s="27" t="s">
        <v>7</v>
      </c>
      <c r="Q597" s="27" t="s">
        <v>8</v>
      </c>
      <c r="R597" s="27" t="s">
        <v>7</v>
      </c>
      <c r="S597" s="27" t="s">
        <v>8</v>
      </c>
      <c r="T597" s="27" t="s">
        <v>7</v>
      </c>
      <c r="U597" s="27" t="s">
        <v>8</v>
      </c>
      <c r="V597" s="27" t="s">
        <v>7</v>
      </c>
      <c r="W597" s="27" t="s">
        <v>8</v>
      </c>
    </row>
    <row r="598" spans="1:33" x14ac:dyDescent="0.25">
      <c r="A598" s="7">
        <v>0.80426303909328967</v>
      </c>
      <c r="B598"/>
      <c r="C598"/>
      <c r="D598"/>
      <c r="E598"/>
      <c r="F598" s="27" t="s">
        <v>7</v>
      </c>
      <c r="G598" s="27" t="s">
        <v>8</v>
      </c>
      <c r="H598" s="27" t="s">
        <v>7</v>
      </c>
      <c r="K598" s="27" t="s">
        <v>8</v>
      </c>
      <c r="L598" s="27" t="s">
        <v>7</v>
      </c>
      <c r="M598" s="27" t="s">
        <v>8</v>
      </c>
      <c r="Q598" s="27" t="s">
        <v>8</v>
      </c>
      <c r="R598" s="27" t="s">
        <v>7</v>
      </c>
      <c r="S598" s="27" t="s">
        <v>8</v>
      </c>
      <c r="T598" s="27" t="s">
        <v>7</v>
      </c>
      <c r="V598" s="27" t="s">
        <v>7</v>
      </c>
    </row>
    <row r="599" spans="1:33" x14ac:dyDescent="0.25">
      <c r="A599" s="7">
        <v>0.78849317558165644</v>
      </c>
      <c r="B599"/>
      <c r="C599"/>
      <c r="D599"/>
      <c r="E599"/>
      <c r="F599" s="27" t="s">
        <v>7</v>
      </c>
      <c r="G599" s="27" t="s">
        <v>8</v>
      </c>
      <c r="H599" s="27" t="s">
        <v>7</v>
      </c>
      <c r="K599" s="27" t="s">
        <v>8</v>
      </c>
      <c r="L599" s="27" t="s">
        <v>7</v>
      </c>
      <c r="M599" s="27" t="s">
        <v>8</v>
      </c>
      <c r="N599" s="27" t="s">
        <v>7</v>
      </c>
      <c r="Q599" s="27" t="s">
        <v>8</v>
      </c>
      <c r="R599" s="27" t="s">
        <v>7</v>
      </c>
      <c r="S599" s="27" t="s">
        <v>8</v>
      </c>
    </row>
    <row r="600" spans="1:33" x14ac:dyDescent="0.25">
      <c r="A600" s="7">
        <v>0.77303252508005538</v>
      </c>
      <c r="B600"/>
      <c r="C600"/>
      <c r="D600"/>
      <c r="E600"/>
      <c r="F600" s="27" t="s">
        <v>7</v>
      </c>
      <c r="G600" s="27" t="s">
        <v>8</v>
      </c>
      <c r="H600" s="27" t="s">
        <v>7</v>
      </c>
      <c r="I600" s="27" t="s">
        <v>8</v>
      </c>
      <c r="K600" s="27" t="s">
        <v>8</v>
      </c>
      <c r="L600" s="27" t="s">
        <v>7</v>
      </c>
      <c r="M600" s="27" t="s">
        <v>8</v>
      </c>
      <c r="N600" s="27" t="s">
        <v>7</v>
      </c>
      <c r="Q600" s="27" t="s">
        <v>8</v>
      </c>
      <c r="R600" s="27" t="s">
        <v>7</v>
      </c>
    </row>
    <row r="601" spans="1:33" x14ac:dyDescent="0.25">
      <c r="A601" s="7">
        <v>0.75787502458828959</v>
      </c>
      <c r="B601"/>
      <c r="C601"/>
      <c r="D601"/>
      <c r="E601"/>
      <c r="F601" s="27" t="s">
        <v>7</v>
      </c>
      <c r="G601" s="27" t="s">
        <v>8</v>
      </c>
      <c r="H601" s="27" t="s">
        <v>7</v>
      </c>
      <c r="I601" s="27" t="s">
        <v>8</v>
      </c>
      <c r="J601" s="27" t="s">
        <v>7</v>
      </c>
      <c r="K601" s="27" t="s">
        <v>8</v>
      </c>
      <c r="L601" s="27" t="s">
        <v>7</v>
      </c>
      <c r="M601" s="27" t="s">
        <v>8</v>
      </c>
      <c r="N601" s="27" t="s">
        <v>7</v>
      </c>
      <c r="Q601" s="27" t="s">
        <v>8</v>
      </c>
    </row>
    <row r="602" spans="1:33" x14ac:dyDescent="0.25">
      <c r="A602" s="7">
        <v>0.74301472998851925</v>
      </c>
      <c r="B602"/>
      <c r="C602"/>
      <c r="D602"/>
      <c r="E602"/>
      <c r="F602" s="27" t="s">
        <v>7</v>
      </c>
      <c r="G602" s="27" t="s">
        <v>8</v>
      </c>
      <c r="H602" s="27" t="s">
        <v>7</v>
      </c>
      <c r="I602" s="27" t="s">
        <v>8</v>
      </c>
      <c r="J602" s="27" t="s">
        <v>7</v>
      </c>
      <c r="K602" s="27" t="s">
        <v>8</v>
      </c>
      <c r="L602" s="27" t="s">
        <v>7</v>
      </c>
      <c r="N602" s="27" t="s">
        <v>7</v>
      </c>
      <c r="Q602" s="27" t="s">
        <v>8</v>
      </c>
    </row>
    <row r="603" spans="1:33" x14ac:dyDescent="0.25">
      <c r="A603" s="7">
        <v>0.72844581371423456</v>
      </c>
      <c r="B603"/>
      <c r="C603"/>
      <c r="D603"/>
      <c r="E603"/>
      <c r="F603" s="27" t="s">
        <v>7</v>
      </c>
      <c r="H603" s="27" t="s">
        <v>7</v>
      </c>
      <c r="I603" s="27" t="s">
        <v>8</v>
      </c>
      <c r="J603" s="27" t="s">
        <v>7</v>
      </c>
      <c r="K603" s="27" t="s">
        <v>8</v>
      </c>
      <c r="N603" s="27" t="s">
        <v>7</v>
      </c>
      <c r="Q603" s="27" t="s">
        <v>8</v>
      </c>
    </row>
    <row r="604" spans="1:33" x14ac:dyDescent="0.25">
      <c r="A604" s="7">
        <v>0.71416256246493581</v>
      </c>
      <c r="B604"/>
      <c r="C604"/>
      <c r="D604"/>
      <c r="E604"/>
      <c r="H604" s="27" t="s">
        <v>7</v>
      </c>
      <c r="I604" s="27" t="s">
        <v>8</v>
      </c>
      <c r="J604" s="27" t="s">
        <v>7</v>
      </c>
      <c r="K604" s="27" t="s">
        <v>8</v>
      </c>
      <c r="N604" s="27" t="s">
        <v>7</v>
      </c>
      <c r="Q604" s="27" t="s">
        <v>8</v>
      </c>
    </row>
    <row r="605" spans="1:33" x14ac:dyDescent="0.25">
      <c r="A605" s="7">
        <v>0.7001593749656233</v>
      </c>
      <c r="B605"/>
      <c r="C605"/>
      <c r="D605"/>
      <c r="E605"/>
      <c r="H605" s="27" t="s">
        <v>7</v>
      </c>
      <c r="I605" s="27" t="s">
        <v>8</v>
      </c>
      <c r="J605" s="27" t="s">
        <v>7</v>
      </c>
      <c r="K605" s="27" t="s">
        <v>8</v>
      </c>
      <c r="N605" s="27" t="s">
        <v>7</v>
      </c>
      <c r="Q605" s="27" t="s">
        <v>8</v>
      </c>
    </row>
    <row r="606" spans="1:33" x14ac:dyDescent="0.25">
      <c r="A606" s="7">
        <v>0.68643075977021883</v>
      </c>
      <c r="B606"/>
      <c r="C606"/>
      <c r="D606"/>
      <c r="E606"/>
      <c r="H606" s="27" t="s">
        <v>7</v>
      </c>
      <c r="I606" s="27" t="s">
        <v>8</v>
      </c>
      <c r="J606" s="27" t="s">
        <v>7</v>
      </c>
      <c r="N606" s="27" t="s">
        <v>7</v>
      </c>
      <c r="Q606" s="27" t="s">
        <v>8</v>
      </c>
    </row>
    <row r="607" spans="1:33" x14ac:dyDescent="0.25">
      <c r="A607" s="7">
        <v>0.67297133310805768</v>
      </c>
      <c r="B607"/>
      <c r="C607"/>
      <c r="D607"/>
      <c r="E607"/>
      <c r="H607" s="27" t="s">
        <v>7</v>
      </c>
      <c r="N607" s="27" t="s">
        <v>7</v>
      </c>
      <c r="Q607" s="27" t="s">
        <v>8</v>
      </c>
    </row>
    <row r="608" spans="1:33" x14ac:dyDescent="0.25">
      <c r="A608" s="7">
        <v>0.65977581677260566</v>
      </c>
      <c r="B608"/>
      <c r="C608"/>
      <c r="D608"/>
      <c r="E608"/>
      <c r="N608" s="27" t="s">
        <v>7</v>
      </c>
      <c r="Q608" s="27" t="s">
        <v>8</v>
      </c>
    </row>
    <row r="609" spans="1:17" x14ac:dyDescent="0.25">
      <c r="A609" s="7">
        <v>0.64683903605157422</v>
      </c>
      <c r="B609"/>
      <c r="C609"/>
      <c r="D609"/>
      <c r="E609"/>
      <c r="N609" s="27" t="s">
        <v>7</v>
      </c>
      <c r="O609" s="27" t="s">
        <v>8</v>
      </c>
      <c r="Q609" s="27" t="s">
        <v>8</v>
      </c>
    </row>
    <row r="610" spans="1:17" x14ac:dyDescent="0.25">
      <c r="A610" s="7">
        <v>0.63415591769762181</v>
      </c>
      <c r="B610"/>
      <c r="C610"/>
      <c r="D610"/>
      <c r="E610"/>
      <c r="N610" s="27" t="s">
        <v>7</v>
      </c>
      <c r="O610" s="27" t="s">
        <v>8</v>
      </c>
      <c r="P610" s="27" t="s">
        <v>7</v>
      </c>
      <c r="Q610" s="27" t="s">
        <v>8</v>
      </c>
    </row>
    <row r="611" spans="1:17" x14ac:dyDescent="0.25">
      <c r="A611" s="7">
        <v>0.62172148793884496</v>
      </c>
      <c r="B611"/>
      <c r="C611"/>
      <c r="D611"/>
      <c r="E611"/>
      <c r="N611" s="27" t="s">
        <v>7</v>
      </c>
      <c r="O611" s="27" t="s">
        <v>8</v>
      </c>
      <c r="P611" s="27" t="s">
        <v>7</v>
      </c>
      <c r="Q611" s="27" t="s">
        <v>8</v>
      </c>
    </row>
    <row r="612" spans="1:17" x14ac:dyDescent="0.25">
      <c r="A612" s="7">
        <v>0.60953087052827937</v>
      </c>
      <c r="B612"/>
      <c r="C612"/>
      <c r="D612"/>
      <c r="E612"/>
      <c r="N612" s="27" t="s">
        <v>7</v>
      </c>
      <c r="P612" s="27" t="s">
        <v>7</v>
      </c>
      <c r="Q612" s="27" t="s">
        <v>8</v>
      </c>
    </row>
    <row r="613" spans="1:17" x14ac:dyDescent="0.25">
      <c r="A613" s="7">
        <v>0.59757928483164646</v>
      </c>
      <c r="B613"/>
      <c r="C613"/>
      <c r="D613"/>
      <c r="E613"/>
      <c r="P613" s="27" t="s">
        <v>7</v>
      </c>
      <c r="Q613" s="27" t="s">
        <v>8</v>
      </c>
    </row>
    <row r="614" spans="1:17" x14ac:dyDescent="0.25">
      <c r="A614" s="7">
        <v>0.58586204395259456</v>
      </c>
      <c r="B614"/>
      <c r="C614"/>
      <c r="D614"/>
      <c r="E614"/>
      <c r="P614" s="27" t="s">
        <v>7</v>
      </c>
      <c r="Q614" s="27" t="s">
        <v>8</v>
      </c>
    </row>
    <row r="615" spans="1:17" x14ac:dyDescent="0.25">
      <c r="A615" s="7">
        <v>0.57437455289470052</v>
      </c>
      <c r="B615"/>
      <c r="C615"/>
      <c r="D615"/>
      <c r="E615"/>
      <c r="P615" s="27" t="s">
        <v>7</v>
      </c>
      <c r="Q615" s="27" t="s">
        <v>8</v>
      </c>
    </row>
    <row r="616" spans="1:17" x14ac:dyDescent="0.25">
      <c r="A616" s="7">
        <v>0.56311230675951029</v>
      </c>
      <c r="B616"/>
      <c r="C616"/>
      <c r="D616"/>
      <c r="E616"/>
      <c r="P616" s="27" t="s">
        <v>7</v>
      </c>
      <c r="Q616" s="27" t="s">
        <v>8</v>
      </c>
    </row>
    <row r="617" spans="1:17" x14ac:dyDescent="0.25">
      <c r="A617" s="7">
        <v>0.55207088897991208</v>
      </c>
      <c r="B617"/>
      <c r="C617"/>
      <c r="D617"/>
      <c r="E617"/>
      <c r="P617" s="27" t="s">
        <v>7</v>
      </c>
      <c r="Q617" s="27" t="s">
        <v>8</v>
      </c>
    </row>
    <row r="618" spans="1:17" x14ac:dyDescent="0.25">
      <c r="A618" s="7">
        <v>0.54124596958814908</v>
      </c>
      <c r="B618"/>
      <c r="C618"/>
      <c r="D618"/>
      <c r="E618"/>
      <c r="P618" s="27" t="s">
        <v>7</v>
      </c>
      <c r="Q618" s="27" t="s">
        <v>8</v>
      </c>
    </row>
    <row r="619" spans="1:17" x14ac:dyDescent="0.25">
      <c r="A619" s="7">
        <v>0.53063330351779314</v>
      </c>
      <c r="B619"/>
      <c r="C619"/>
      <c r="D619"/>
      <c r="E619"/>
      <c r="P619" s="27" t="s">
        <v>7</v>
      </c>
    </row>
    <row r="620" spans="1:17" x14ac:dyDescent="0.25">
      <c r="A620" s="7">
        <v>0.52022872893901284</v>
      </c>
      <c r="B620"/>
      <c r="C620"/>
      <c r="D620"/>
      <c r="E620"/>
    </row>
    <row r="621" spans="1:17" x14ac:dyDescent="0.25">
      <c r="A621" s="7">
        <v>0.51002816562648323</v>
      </c>
      <c r="B621"/>
      <c r="C621"/>
      <c r="D621"/>
      <c r="E621"/>
    </row>
    <row r="622" spans="1:17" x14ac:dyDescent="0.25">
      <c r="A622" s="7">
        <v>0.50002761335929735</v>
      </c>
      <c r="B622"/>
      <c r="C622"/>
      <c r="D622"/>
      <c r="E622"/>
    </row>
    <row r="623" spans="1:17" x14ac:dyDescent="0.25">
      <c r="A623" s="7">
        <v>0.49022315035225228</v>
      </c>
      <c r="B623"/>
      <c r="C623"/>
      <c r="D623"/>
      <c r="E623"/>
    </row>
    <row r="624" spans="1:17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76" operator="equal">
      <formula>$U$1</formula>
    </cfRule>
    <cfRule type="cellIs" dxfId="89" priority="877" operator="equal">
      <formula>$S$1</formula>
    </cfRule>
  </conditionalFormatting>
  <conditionalFormatting sqref="D27">
    <cfRule type="cellIs" dxfId="88" priority="874" operator="equal">
      <formula>$S$1</formula>
    </cfRule>
    <cfRule type="cellIs" dxfId="87" priority="875" operator="equal">
      <formula>$U$1</formula>
    </cfRule>
  </conditionalFormatting>
  <conditionalFormatting sqref="C164">
    <cfRule type="cellIs" dxfId="86" priority="872" operator="equal">
      <formula>$U$1</formula>
    </cfRule>
    <cfRule type="cellIs" dxfId="85" priority="873" operator="equal">
      <formula>$S$1</formula>
    </cfRule>
  </conditionalFormatting>
  <conditionalFormatting sqref="D164">
    <cfRule type="cellIs" dxfId="84" priority="870" operator="equal">
      <formula>$S$1</formula>
    </cfRule>
    <cfRule type="cellIs" dxfId="83" priority="871" operator="equal">
      <formula>$U$1</formula>
    </cfRule>
  </conditionalFormatting>
  <conditionalFormatting sqref="C55">
    <cfRule type="cellIs" dxfId="82" priority="868" operator="equal">
      <formula>$U$1</formula>
    </cfRule>
    <cfRule type="cellIs" dxfId="81" priority="869" operator="equal">
      <formula>$S$1</formula>
    </cfRule>
  </conditionalFormatting>
  <conditionalFormatting sqref="D55">
    <cfRule type="cellIs" dxfId="80" priority="866" operator="equal">
      <formula>$S$1</formula>
    </cfRule>
    <cfRule type="cellIs" dxfId="79" priority="867" operator="equal">
      <formula>$U$1</formula>
    </cfRule>
  </conditionalFormatting>
  <conditionalFormatting sqref="C89">
    <cfRule type="cellIs" dxfId="78" priority="864" operator="equal">
      <formula>$U$1</formula>
    </cfRule>
    <cfRule type="cellIs" dxfId="77" priority="865" operator="equal">
      <formula>$S$1</formula>
    </cfRule>
  </conditionalFormatting>
  <conditionalFormatting sqref="D89">
    <cfRule type="cellIs" dxfId="76" priority="862" operator="equal">
      <formula>$S$1</formula>
    </cfRule>
    <cfRule type="cellIs" dxfId="75" priority="863" operator="equal">
      <formula>$U$1</formula>
    </cfRule>
  </conditionalFormatting>
  <conditionalFormatting sqref="C136">
    <cfRule type="cellIs" dxfId="74" priority="860" operator="equal">
      <formula>$U$1</formula>
    </cfRule>
    <cfRule type="cellIs" dxfId="73" priority="861" operator="equal">
      <formula>$S$1</formula>
    </cfRule>
  </conditionalFormatting>
  <conditionalFormatting sqref="D136">
    <cfRule type="cellIs" dxfId="72" priority="858" operator="equal">
      <formula>$S$1</formula>
    </cfRule>
    <cfRule type="cellIs" dxfId="71" priority="859" operator="equal">
      <formula>$U$1</formula>
    </cfRule>
  </conditionalFormatting>
  <conditionalFormatting sqref="C1">
    <cfRule type="cellIs" dxfId="70" priority="85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69" zoomScale="90" zoomScaleNormal="90" workbookViewId="0">
      <pane xSplit="4" topLeftCell="AZ1" activePane="topRight" state="frozen"/>
      <selection activeCell="A109" sqref="A109"/>
      <selection pane="topRight" activeCell="DT191" sqref="DT191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$A$190</v>
      </c>
      <c r="D111" s="1" t="str">
        <f>ADDRESS(C121-1,D121,1,1)</f>
        <v>$DT$190</v>
      </c>
      <c r="E111"/>
    </row>
    <row r="112" spans="1:5" x14ac:dyDescent="0.25">
      <c r="A112" s="30">
        <v>515.50191262726139</v>
      </c>
      <c r="C112" s="1" t="str">
        <f>ADDRESS(C121,1,1,1)</f>
        <v>$A$191</v>
      </c>
      <c r="D112" s="1" t="str">
        <f>ADDRESS(C121,D121-1,1,1)</f>
        <v>$DS$191</v>
      </c>
      <c r="E112"/>
    </row>
    <row r="113" spans="1:5" x14ac:dyDescent="0.25">
      <c r="A113" s="30">
        <v>490.95420250215363</v>
      </c>
      <c r="C113" s="1" t="str">
        <f>ADDRESS(C121+1,1,1,1)</f>
        <v>$A$192</v>
      </c>
      <c r="D113" s="1" t="str">
        <f>ADDRESS(C121-1,D121+1,1,1)</f>
        <v>$DU$190</v>
      </c>
    </row>
    <row r="114" spans="1:5" x14ac:dyDescent="0.25">
      <c r="A114" s="30">
        <v>467.57543095443202</v>
      </c>
      <c r="C114" s="1" t="str">
        <f>ADDRESS(C121,D121,1,1)</f>
        <v>$DT$191</v>
      </c>
      <c r="D114" s="1" t="str">
        <f>ADDRESS(C121+1,D121+1,1,1)</f>
        <v>$DU$192</v>
      </c>
    </row>
    <row r="115" spans="1:5" x14ac:dyDescent="0.25">
      <c r="A115" s="30">
        <v>445.30993424231622</v>
      </c>
      <c r="C115" s="1" t="str">
        <f>ADDRESS(C121+1,D121,1,1)</f>
        <v>$DT$192</v>
      </c>
    </row>
    <row r="116" spans="1:5" x14ac:dyDescent="0.25">
      <c r="A116" s="30">
        <v>424.10469927839637</v>
      </c>
      <c r="C116" s="1">
        <f>C117-1</f>
        <v>190</v>
      </c>
    </row>
    <row r="117" spans="1:5" x14ac:dyDescent="0.25">
      <c r="A117" s="30">
        <v>403.9092374079965</v>
      </c>
      <c r="C117" s="1">
        <f>C121</f>
        <v>191</v>
      </c>
      <c r="D117" s="1">
        <f>D121</f>
        <v>124</v>
      </c>
    </row>
    <row r="118" spans="1:5" x14ac:dyDescent="0.25">
      <c r="A118" s="30">
        <v>384.6754641980919</v>
      </c>
      <c r="C118" s="1">
        <f>C117+1</f>
        <v>192</v>
      </c>
      <c r="D118" s="1">
        <f>D117+1</f>
        <v>125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191</v>
      </c>
      <c r="D121" s="19">
        <v>124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R191</v>
      </c>
      <c r="D123" s="1" t="str">
        <f>"C"&amp;D121</f>
        <v>C124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10.921333129289241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124" x14ac:dyDescent="0.25">
      <c r="A177" s="30">
        <v>21.623492570684135</v>
      </c>
      <c r="E177"/>
    </row>
    <row r="178" spans="1:124" x14ac:dyDescent="0.25">
      <c r="A178" s="30">
        <v>20.593802448270605</v>
      </c>
      <c r="C178" s="7"/>
      <c r="D178"/>
      <c r="E178"/>
      <c r="DO178" s="27" t="s">
        <v>8</v>
      </c>
    </row>
    <row r="179" spans="1:124" x14ac:dyDescent="0.25">
      <c r="A179" s="30">
        <v>19.613145188829147</v>
      </c>
      <c r="E179"/>
      <c r="DO179" s="27" t="s">
        <v>8</v>
      </c>
      <c r="DP179" s="27" t="s">
        <v>7</v>
      </c>
    </row>
    <row r="180" spans="1:124" x14ac:dyDescent="0.25">
      <c r="A180" s="30">
        <v>18.679185894122998</v>
      </c>
      <c r="E180"/>
      <c r="DO180" s="27" t="s">
        <v>8</v>
      </c>
      <c r="DP180" s="27" t="s">
        <v>7</v>
      </c>
    </row>
    <row r="181" spans="1:124" x14ac:dyDescent="0.25">
      <c r="A181" s="30">
        <v>17.78970085154571</v>
      </c>
      <c r="C181"/>
      <c r="D181"/>
      <c r="E181"/>
      <c r="DI181" s="27" t="s">
        <v>8</v>
      </c>
      <c r="DO181" s="27" t="s">
        <v>8</v>
      </c>
      <c r="DP181" s="27" t="s">
        <v>7</v>
      </c>
    </row>
    <row r="182" spans="1:124" x14ac:dyDescent="0.25">
      <c r="A182" s="30">
        <v>16.942572239567344</v>
      </c>
      <c r="E182"/>
      <c r="DI182" s="27" t="s">
        <v>8</v>
      </c>
      <c r="DJ182" s="27" t="s">
        <v>7</v>
      </c>
      <c r="DM182" s="27" t="s">
        <v>8</v>
      </c>
      <c r="DO182" s="27" t="s">
        <v>8</v>
      </c>
      <c r="DP182" s="27" t="s">
        <v>7</v>
      </c>
    </row>
    <row r="183" spans="1:124" x14ac:dyDescent="0.25">
      <c r="A183" s="30">
        <v>16.135783085302233</v>
      </c>
      <c r="E183"/>
      <c r="DI183" s="27" t="s">
        <v>8</v>
      </c>
      <c r="DJ183" s="27" t="s">
        <v>7</v>
      </c>
      <c r="DK183" s="27" t="s">
        <v>8</v>
      </c>
      <c r="DM183" s="27" t="s">
        <v>8</v>
      </c>
      <c r="DN183" s="27" t="s">
        <v>7</v>
      </c>
      <c r="DO183" s="27" t="s">
        <v>8</v>
      </c>
      <c r="DP183" s="27" t="s">
        <v>7</v>
      </c>
    </row>
    <row r="184" spans="1:124" x14ac:dyDescent="0.25">
      <c r="A184" s="30">
        <v>15.367412462192602</v>
      </c>
      <c r="E184"/>
      <c r="DI184" s="27" t="s">
        <v>8</v>
      </c>
      <c r="DJ184" s="27" t="s">
        <v>7</v>
      </c>
      <c r="DK184" s="27" t="s">
        <v>8</v>
      </c>
      <c r="DL184" s="27" t="s">
        <v>7</v>
      </c>
      <c r="DM184" s="27" t="s">
        <v>8</v>
      </c>
      <c r="DN184" s="27" t="s">
        <v>7</v>
      </c>
      <c r="DO184" s="27" t="s">
        <v>8</v>
      </c>
      <c r="DP184" s="27" t="s">
        <v>7</v>
      </c>
    </row>
    <row r="185" spans="1:124" x14ac:dyDescent="0.25">
      <c r="A185" s="30">
        <v>14.635630916373906</v>
      </c>
      <c r="C185"/>
      <c r="E185"/>
      <c r="DI185" s="27" t="s">
        <v>8</v>
      </c>
      <c r="DJ185" s="27" t="s">
        <v>7</v>
      </c>
      <c r="DK185" s="27" t="s">
        <v>8</v>
      </c>
      <c r="DL185" s="27" t="s">
        <v>7</v>
      </c>
      <c r="DM185" s="27" t="s">
        <v>8</v>
      </c>
      <c r="DN185" s="27" t="s">
        <v>7</v>
      </c>
      <c r="DO185" s="27" t="s">
        <v>8</v>
      </c>
      <c r="DP185" s="27" t="s">
        <v>7</v>
      </c>
    </row>
    <row r="186" spans="1:124" x14ac:dyDescent="0.25">
      <c r="A186" s="30">
        <v>13.938696110832291</v>
      </c>
      <c r="E186"/>
      <c r="DI186" s="27" t="s">
        <v>8</v>
      </c>
      <c r="DJ186" s="27" t="s">
        <v>7</v>
      </c>
      <c r="DK186" s="27" t="s">
        <v>8</v>
      </c>
      <c r="DL186" s="27" t="s">
        <v>7</v>
      </c>
      <c r="DM186" s="27" t="s">
        <v>8</v>
      </c>
      <c r="DN186" s="27" t="s">
        <v>7</v>
      </c>
      <c r="DO186" s="27" t="s">
        <v>8</v>
      </c>
      <c r="DP186" s="27" t="s">
        <v>7</v>
      </c>
    </row>
    <row r="187" spans="1:124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DI187" s="27" t="s">
        <v>8</v>
      </c>
      <c r="DJ187" s="27" t="s">
        <v>7</v>
      </c>
      <c r="DK187" s="27" t="s">
        <v>8</v>
      </c>
      <c r="DL187" s="27" t="s">
        <v>7</v>
      </c>
      <c r="DN187" s="27" t="s">
        <v>7</v>
      </c>
      <c r="DP187" s="27" t="s">
        <v>7</v>
      </c>
    </row>
    <row r="188" spans="1:124" x14ac:dyDescent="0.25">
      <c r="A188" s="30">
        <v>12.64280826379346</v>
      </c>
      <c r="E188"/>
      <c r="CS188" s="27" t="s">
        <v>8</v>
      </c>
      <c r="CY188" s="33" t="s">
        <v>8</v>
      </c>
      <c r="DI188" s="27" t="s">
        <v>8</v>
      </c>
      <c r="DJ188" s="27" t="s">
        <v>7</v>
      </c>
      <c r="DK188" s="27" t="s">
        <v>8</v>
      </c>
      <c r="DP188" s="27" t="s">
        <v>7</v>
      </c>
      <c r="DS188" s="27" t="s">
        <v>8</v>
      </c>
    </row>
    <row r="189" spans="1:124" x14ac:dyDescent="0.25">
      <c r="A189" s="30">
        <v>12.04076977504139</v>
      </c>
      <c r="E189"/>
      <c r="CS189" s="27" t="s">
        <v>8</v>
      </c>
      <c r="CT189" s="27" t="s">
        <v>7</v>
      </c>
      <c r="CU189" s="27" t="s">
        <v>8</v>
      </c>
      <c r="CY189" s="27" t="s">
        <v>8</v>
      </c>
      <c r="CZ189" s="33" t="s">
        <v>7</v>
      </c>
      <c r="DI189" s="27" t="s">
        <v>8</v>
      </c>
      <c r="DJ189" s="27" t="s">
        <v>7</v>
      </c>
      <c r="DK189" s="27" t="s">
        <v>8</v>
      </c>
      <c r="DP189" s="27" t="s">
        <v>7</v>
      </c>
      <c r="DQ189" s="27" t="s">
        <v>8</v>
      </c>
      <c r="DS189" s="27" t="s">
        <v>8</v>
      </c>
      <c r="DT189" s="27" t="s">
        <v>7</v>
      </c>
    </row>
    <row r="190" spans="1:124" x14ac:dyDescent="0.25">
      <c r="A190" s="30">
        <v>11.467399785753704</v>
      </c>
      <c r="E190"/>
      <c r="CG190" s="27" t="s">
        <v>8</v>
      </c>
      <c r="CS190" s="27" t="s">
        <v>8</v>
      </c>
      <c r="CT190" s="27" t="s">
        <v>7</v>
      </c>
      <c r="CU190" s="27" t="s">
        <v>8</v>
      </c>
      <c r="CV190" s="27" t="s">
        <v>7</v>
      </c>
      <c r="CW190" s="27" t="s">
        <v>8</v>
      </c>
      <c r="CY190" s="27" t="s">
        <v>8</v>
      </c>
      <c r="CZ190" s="27" t="s">
        <v>7</v>
      </c>
      <c r="DA190" s="33"/>
      <c r="DG190" s="27" t="s">
        <v>8</v>
      </c>
      <c r="DI190" s="27" t="s">
        <v>8</v>
      </c>
      <c r="DJ190" s="27" t="s">
        <v>7</v>
      </c>
      <c r="DK190" s="27" t="s">
        <v>8</v>
      </c>
      <c r="DP190" s="27" t="s">
        <v>7</v>
      </c>
      <c r="DQ190" s="33" t="s">
        <v>8</v>
      </c>
      <c r="DR190" s="27" t="s">
        <v>7</v>
      </c>
      <c r="DS190" s="27" t="s">
        <v>8</v>
      </c>
      <c r="DT190" s="27" t="s">
        <v>7</v>
      </c>
    </row>
    <row r="191" spans="1:124" x14ac:dyDescent="0.25">
      <c r="A191" s="30">
        <v>10.921333129289241</v>
      </c>
      <c r="E191"/>
      <c r="CG191" s="27" t="s">
        <v>8</v>
      </c>
      <c r="CH191" s="27" t="s">
        <v>7</v>
      </c>
      <c r="CS191" s="27" t="s">
        <v>8</v>
      </c>
      <c r="CT191" s="27" t="s">
        <v>7</v>
      </c>
      <c r="CU191" s="27" t="s">
        <v>8</v>
      </c>
      <c r="CV191" s="27" t="s">
        <v>7</v>
      </c>
      <c r="CW191" s="27" t="s">
        <v>8</v>
      </c>
      <c r="CX191" s="27" t="s">
        <v>7</v>
      </c>
      <c r="CY191" s="27" t="s">
        <v>8</v>
      </c>
      <c r="CZ191" s="27" t="s">
        <v>7</v>
      </c>
      <c r="DB191" s="33"/>
      <c r="DG191" s="27" t="s">
        <v>8</v>
      </c>
      <c r="DH191" s="27" t="s">
        <v>7</v>
      </c>
      <c r="DI191" s="27" t="s">
        <v>8</v>
      </c>
      <c r="DJ191" s="27" t="s">
        <v>7</v>
      </c>
      <c r="DK191" s="27" t="s">
        <v>8</v>
      </c>
      <c r="DP191" s="33" t="s">
        <v>7</v>
      </c>
      <c r="DQ191" s="27" t="s">
        <v>8</v>
      </c>
      <c r="DR191" s="27" t="s">
        <v>7</v>
      </c>
      <c r="DS191" s="27" t="s">
        <v>8</v>
      </c>
      <c r="DT191" s="27" t="s">
        <v>7</v>
      </c>
    </row>
    <row r="192" spans="1:124" x14ac:dyDescent="0.25">
      <c r="A192" s="30">
        <v>10.401269646942135</v>
      </c>
      <c r="E192"/>
      <c r="CG192" s="27" t="s">
        <v>8</v>
      </c>
      <c r="CH192" s="27" t="s">
        <v>7</v>
      </c>
      <c r="CK192" s="27" t="s">
        <v>8</v>
      </c>
      <c r="CS192" s="27" t="s">
        <v>8</v>
      </c>
      <c r="CT192" s="27" t="s">
        <v>7</v>
      </c>
      <c r="CV192" s="27" t="s">
        <v>7</v>
      </c>
      <c r="CW192" s="27" t="s">
        <v>8</v>
      </c>
      <c r="CX192" s="27" t="s">
        <v>7</v>
      </c>
      <c r="CY192" s="27" t="s">
        <v>8</v>
      </c>
      <c r="CZ192" s="27" t="s">
        <v>7</v>
      </c>
      <c r="DC192" s="33"/>
      <c r="DG192" s="27" t="s">
        <v>8</v>
      </c>
      <c r="DH192" s="27" t="s">
        <v>7</v>
      </c>
      <c r="DI192" s="27" t="s">
        <v>8</v>
      </c>
      <c r="DJ192" s="27" t="s">
        <v>7</v>
      </c>
      <c r="DK192" s="27" t="s">
        <v>8</v>
      </c>
      <c r="DO192" s="33"/>
      <c r="DP192" s="27" t="s">
        <v>7</v>
      </c>
      <c r="DR192" s="27" t="s">
        <v>7</v>
      </c>
      <c r="DS192" s="27" t="s">
        <v>8</v>
      </c>
    </row>
    <row r="193" spans="1:122" x14ac:dyDescent="0.25">
      <c r="A193" s="30">
        <v>9.9059710923258422</v>
      </c>
      <c r="E193"/>
      <c r="CG193" s="27" t="s">
        <v>8</v>
      </c>
      <c r="CH193" s="27" t="s">
        <v>7</v>
      </c>
      <c r="CK193" s="27" t="s">
        <v>8</v>
      </c>
      <c r="CL193" s="27" t="s">
        <v>7</v>
      </c>
      <c r="CS193" s="27" t="s">
        <v>8</v>
      </c>
      <c r="CV193" s="27" t="s">
        <v>7</v>
      </c>
      <c r="CX193" s="27" t="s">
        <v>7</v>
      </c>
      <c r="CZ193" s="27" t="s">
        <v>7</v>
      </c>
      <c r="DA193" s="27" t="s">
        <v>8</v>
      </c>
      <c r="DD193" s="33"/>
      <c r="DG193" s="27" t="s">
        <v>8</v>
      </c>
      <c r="DH193" s="27" t="s">
        <v>7</v>
      </c>
      <c r="DI193" s="27" t="s">
        <v>8</v>
      </c>
      <c r="DJ193" s="27" t="s">
        <v>7</v>
      </c>
      <c r="DK193" s="27" t="s">
        <v>8</v>
      </c>
      <c r="DN193" s="33"/>
      <c r="DR193" s="27" t="s">
        <v>7</v>
      </c>
    </row>
    <row r="194" spans="1:122" x14ac:dyDescent="0.25">
      <c r="A194" s="30">
        <v>9.4342581831674686</v>
      </c>
      <c r="E194"/>
      <c r="CG194" s="27" t="s">
        <v>8</v>
      </c>
      <c r="CH194" s="27" t="s">
        <v>7</v>
      </c>
      <c r="CI194" s="27" t="s">
        <v>8</v>
      </c>
      <c r="CK194" s="27" t="s">
        <v>8</v>
      </c>
      <c r="CL194" s="27" t="s">
        <v>7</v>
      </c>
      <c r="CS194" s="27" t="s">
        <v>8</v>
      </c>
      <c r="CZ194" s="27" t="s">
        <v>7</v>
      </c>
      <c r="DA194" s="27" t="s">
        <v>8</v>
      </c>
      <c r="DB194" s="27" t="s">
        <v>7</v>
      </c>
      <c r="DC194" s="27" t="s">
        <v>8</v>
      </c>
      <c r="DE194" s="33"/>
      <c r="DG194" s="27" t="s">
        <v>8</v>
      </c>
      <c r="DH194" s="27" t="s">
        <v>7</v>
      </c>
      <c r="DI194" s="27" t="s">
        <v>8</v>
      </c>
      <c r="DJ194" s="27" t="s">
        <v>7</v>
      </c>
      <c r="DK194" s="27" t="s">
        <v>8</v>
      </c>
      <c r="DM194" s="33"/>
    </row>
    <row r="195" spans="1:122" x14ac:dyDescent="0.25">
      <c r="A195" s="30">
        <v>8.9850077934928265</v>
      </c>
      <c r="E195"/>
      <c r="CG195" s="27" t="s">
        <v>8</v>
      </c>
      <c r="CH195" s="27" t="s">
        <v>7</v>
      </c>
      <c r="CI195" s="27" t="s">
        <v>8</v>
      </c>
      <c r="CJ195" s="27" t="s">
        <v>7</v>
      </c>
      <c r="CK195" s="27" t="s">
        <v>8</v>
      </c>
      <c r="CL195" s="27" t="s">
        <v>7</v>
      </c>
      <c r="CM195" s="27" t="s">
        <v>8</v>
      </c>
      <c r="CS195" s="27" t="s">
        <v>8</v>
      </c>
      <c r="CZ195" s="27" t="s">
        <v>7</v>
      </c>
      <c r="DA195" s="27" t="s">
        <v>8</v>
      </c>
      <c r="DB195" s="27" t="s">
        <v>7</v>
      </c>
      <c r="DC195" s="27" t="s">
        <v>8</v>
      </c>
      <c r="DD195" s="27" t="s">
        <v>7</v>
      </c>
      <c r="DG195" s="27" t="s">
        <v>8</v>
      </c>
      <c r="DH195" s="27" t="s">
        <v>7</v>
      </c>
      <c r="DJ195" s="27" t="s">
        <v>7</v>
      </c>
      <c r="DK195" s="27" t="s">
        <v>8</v>
      </c>
      <c r="DL195" s="33"/>
    </row>
    <row r="196" spans="1:122" x14ac:dyDescent="0.25">
      <c r="A196" s="30">
        <v>8.5571502795169767</v>
      </c>
      <c r="E196"/>
      <c r="CG196" s="27" t="s">
        <v>8</v>
      </c>
      <c r="CH196" s="27" t="s">
        <v>7</v>
      </c>
      <c r="CI196" s="27" t="s">
        <v>8</v>
      </c>
      <c r="CJ196" s="27" t="s">
        <v>7</v>
      </c>
      <c r="CK196" s="27" t="s">
        <v>8</v>
      </c>
      <c r="CL196" s="27" t="s">
        <v>7</v>
      </c>
      <c r="CM196" s="27" t="s">
        <v>8</v>
      </c>
      <c r="CN196" s="27" t="s">
        <v>7</v>
      </c>
      <c r="CQ196" s="27" t="s">
        <v>8</v>
      </c>
      <c r="CS196" s="27" t="s">
        <v>8</v>
      </c>
      <c r="CZ196" s="27" t="s">
        <v>7</v>
      </c>
      <c r="DB196" s="27" t="s">
        <v>7</v>
      </c>
      <c r="DC196" s="27" t="s">
        <v>8</v>
      </c>
      <c r="DD196" s="27" t="s">
        <v>7</v>
      </c>
      <c r="DG196" s="27" t="s">
        <v>8</v>
      </c>
      <c r="DJ196" s="27" t="s">
        <v>7</v>
      </c>
      <c r="DK196" s="33" t="s">
        <v>8</v>
      </c>
    </row>
    <row r="197" spans="1:122" x14ac:dyDescent="0.25">
      <c r="A197" s="30">
        <v>8.1496669328733109</v>
      </c>
      <c r="E197"/>
      <c r="CG197" s="27" t="s">
        <v>8</v>
      </c>
      <c r="CH197" s="27" t="s">
        <v>7</v>
      </c>
      <c r="CI197" s="27" t="s">
        <v>8</v>
      </c>
      <c r="CJ197" s="27" t="s">
        <v>7</v>
      </c>
      <c r="CL197" s="27" t="s">
        <v>7</v>
      </c>
      <c r="CM197" s="27" t="s">
        <v>8</v>
      </c>
      <c r="CN197" s="27" t="s">
        <v>7</v>
      </c>
      <c r="CQ197" s="27" t="s">
        <v>8</v>
      </c>
      <c r="CR197" s="27" t="s">
        <v>7</v>
      </c>
      <c r="CS197" s="27" t="s">
        <v>8</v>
      </c>
      <c r="DB197" s="27" t="s">
        <v>7</v>
      </c>
      <c r="DC197" s="27" t="s">
        <v>8</v>
      </c>
      <c r="DD197" s="27" t="s">
        <v>7</v>
      </c>
      <c r="DE197" s="27" t="s">
        <v>8</v>
      </c>
      <c r="DG197" s="27" t="s">
        <v>8</v>
      </c>
      <c r="DJ197" s="33" t="s">
        <v>7</v>
      </c>
    </row>
    <row r="198" spans="1:122" x14ac:dyDescent="0.25">
      <c r="A198" s="30">
        <v>7.7615875551174378</v>
      </c>
      <c r="E198"/>
      <c r="CG198" s="27" t="s">
        <v>8</v>
      </c>
      <c r="CH198" s="27" t="s">
        <v>7</v>
      </c>
      <c r="CL198" s="27" t="s">
        <v>7</v>
      </c>
      <c r="CM198" s="27" t="s">
        <v>8</v>
      </c>
      <c r="CN198" s="27" t="s">
        <v>7</v>
      </c>
      <c r="CO198" s="27" t="s">
        <v>8</v>
      </c>
      <c r="CQ198" s="27" t="s">
        <v>8</v>
      </c>
      <c r="CR198" s="27" t="s">
        <v>7</v>
      </c>
      <c r="CS198" s="27" t="s">
        <v>8</v>
      </c>
      <c r="DB198" s="27" t="s">
        <v>7</v>
      </c>
      <c r="DD198" s="27" t="s">
        <v>7</v>
      </c>
      <c r="DE198" s="27" t="s">
        <v>8</v>
      </c>
      <c r="DF198" s="27" t="s">
        <v>7</v>
      </c>
      <c r="DG198" s="27" t="s">
        <v>8</v>
      </c>
      <c r="DI198" s="33"/>
    </row>
    <row r="199" spans="1:122" x14ac:dyDescent="0.25">
      <c r="A199" s="30">
        <v>7.3919881477308929</v>
      </c>
      <c r="E199"/>
      <c r="AQ199" s="27" t="s">
        <v>8</v>
      </c>
      <c r="AU199" s="27" t="s">
        <v>8</v>
      </c>
      <c r="CG199" s="27" t="s">
        <v>8</v>
      </c>
      <c r="CL199" s="27" t="s">
        <v>7</v>
      </c>
      <c r="CM199" s="27" t="s">
        <v>8</v>
      </c>
      <c r="CN199" s="27" t="s">
        <v>7</v>
      </c>
      <c r="CO199" s="27" t="s">
        <v>8</v>
      </c>
      <c r="CP199" s="27" t="s">
        <v>7</v>
      </c>
      <c r="CQ199" s="27" t="s">
        <v>8</v>
      </c>
      <c r="CR199" s="27" t="s">
        <v>7</v>
      </c>
      <c r="CS199" s="27" t="s">
        <v>8</v>
      </c>
      <c r="DD199" s="33" t="s">
        <v>7</v>
      </c>
      <c r="DE199" s="27" t="s">
        <v>8</v>
      </c>
      <c r="DF199" s="27" t="s">
        <v>7</v>
      </c>
      <c r="DG199" s="27" t="s">
        <v>8</v>
      </c>
      <c r="DH199" s="33"/>
    </row>
    <row r="200" spans="1:122" x14ac:dyDescent="0.25">
      <c r="A200" s="30">
        <v>7.0399887121246598</v>
      </c>
      <c r="E200"/>
      <c r="AQ200" s="27" t="s">
        <v>8</v>
      </c>
      <c r="AR200" s="27" t="s">
        <v>7</v>
      </c>
      <c r="AS200" s="27" t="s">
        <v>8</v>
      </c>
      <c r="AU200" s="27" t="s">
        <v>8</v>
      </c>
      <c r="AV200" s="27" t="s">
        <v>7</v>
      </c>
      <c r="BG200" s="27" t="s">
        <v>8</v>
      </c>
      <c r="CG200" s="27" t="s">
        <v>8</v>
      </c>
      <c r="CL200" s="27" t="s">
        <v>7</v>
      </c>
      <c r="CM200" s="27" t="s">
        <v>8</v>
      </c>
      <c r="CN200" s="27" t="s">
        <v>7</v>
      </c>
      <c r="CO200" s="27" t="s">
        <v>8</v>
      </c>
      <c r="CP200" s="27" t="s">
        <v>7</v>
      </c>
      <c r="CQ200" s="27" t="s">
        <v>8</v>
      </c>
      <c r="CR200" s="27" t="s">
        <v>7</v>
      </c>
      <c r="DC200" s="33"/>
      <c r="DD200" s="27" t="s">
        <v>7</v>
      </c>
      <c r="DE200" s="27" t="s">
        <v>8</v>
      </c>
      <c r="DF200" s="27" t="s">
        <v>7</v>
      </c>
      <c r="DG200" s="33" t="s">
        <v>8</v>
      </c>
    </row>
    <row r="201" spans="1:122" x14ac:dyDescent="0.25">
      <c r="A201" s="30">
        <v>6.7047511544044376</v>
      </c>
      <c r="E201"/>
      <c r="AQ201" s="27" t="s">
        <v>8</v>
      </c>
      <c r="AR201" s="27" t="s">
        <v>7</v>
      </c>
      <c r="AS201" s="27" t="s">
        <v>8</v>
      </c>
      <c r="AT201" s="27" t="s">
        <v>7</v>
      </c>
      <c r="AU201" s="27" t="s">
        <v>8</v>
      </c>
      <c r="AV201" s="27" t="s">
        <v>7</v>
      </c>
      <c r="BG201" s="27" t="s">
        <v>8</v>
      </c>
      <c r="BH201" s="27" t="s">
        <v>7</v>
      </c>
      <c r="CE201" s="27" t="s">
        <v>8</v>
      </c>
      <c r="CG201" s="27" t="s">
        <v>8</v>
      </c>
      <c r="CL201" s="27" t="s">
        <v>7</v>
      </c>
      <c r="CM201" s="27" t="s">
        <v>8</v>
      </c>
      <c r="CN201" s="27" t="s">
        <v>7</v>
      </c>
      <c r="CP201" s="27" t="s">
        <v>7</v>
      </c>
      <c r="CQ201" s="27" t="s">
        <v>8</v>
      </c>
      <c r="DB201" s="33"/>
      <c r="DD201" s="27" t="s">
        <v>7</v>
      </c>
      <c r="DE201" s="27" t="s">
        <v>8</v>
      </c>
      <c r="DF201" s="33" t="s">
        <v>7</v>
      </c>
    </row>
    <row r="202" spans="1:122" x14ac:dyDescent="0.25">
      <c r="A202" s="30">
        <v>6.3854772899089882</v>
      </c>
      <c r="E202"/>
      <c r="AQ202" s="27" t="s">
        <v>8</v>
      </c>
      <c r="AR202" s="27" t="s">
        <v>7</v>
      </c>
      <c r="AS202" s="27" t="s">
        <v>8</v>
      </c>
      <c r="AT202" s="27" t="s">
        <v>7</v>
      </c>
      <c r="AU202" s="27" t="s">
        <v>8</v>
      </c>
      <c r="AV202" s="27" t="s">
        <v>7</v>
      </c>
      <c r="BG202" s="27" t="s">
        <v>8</v>
      </c>
      <c r="BH202" s="27" t="s">
        <v>7</v>
      </c>
      <c r="CA202" s="27" t="s">
        <v>8</v>
      </c>
      <c r="CE202" s="27" t="s">
        <v>8</v>
      </c>
      <c r="CF202" s="27" t="s">
        <v>7</v>
      </c>
      <c r="CG202" s="27" t="s">
        <v>8</v>
      </c>
      <c r="CL202" s="27" t="s">
        <v>7</v>
      </c>
      <c r="CP202" s="27" t="s">
        <v>7</v>
      </c>
      <c r="DA202" s="33"/>
      <c r="DD202" s="27" t="s">
        <v>7</v>
      </c>
    </row>
    <row r="203" spans="1:122" x14ac:dyDescent="0.25">
      <c r="A203" s="30">
        <v>6.0814069427704647</v>
      </c>
      <c r="C203" s="7"/>
      <c r="D203"/>
      <c r="E203"/>
      <c r="AO203" s="27" t="s">
        <v>8</v>
      </c>
      <c r="AQ203" s="27" t="s">
        <v>8</v>
      </c>
      <c r="AR203" s="27" t="s">
        <v>7</v>
      </c>
      <c r="AS203" s="27" t="s">
        <v>8</v>
      </c>
      <c r="AT203" s="27" t="s">
        <v>7</v>
      </c>
      <c r="AU203" s="27" t="s">
        <v>8</v>
      </c>
      <c r="AV203" s="27" t="s">
        <v>7</v>
      </c>
      <c r="BG203" s="27" t="s">
        <v>8</v>
      </c>
      <c r="BH203" s="27" t="s">
        <v>7</v>
      </c>
      <c r="BI203" s="27" t="s">
        <v>8</v>
      </c>
      <c r="CA203" s="27" t="s">
        <v>8</v>
      </c>
      <c r="CB203" s="27" t="s">
        <v>7</v>
      </c>
      <c r="CC203" s="27" t="s">
        <v>8</v>
      </c>
      <c r="CE203" s="27" t="s">
        <v>8</v>
      </c>
      <c r="CF203" s="27" t="s">
        <v>7</v>
      </c>
      <c r="CG203" s="27" t="s">
        <v>8</v>
      </c>
      <c r="CZ203" s="33"/>
    </row>
    <row r="204" spans="1:122" x14ac:dyDescent="0.25">
      <c r="A204" s="30">
        <v>5.7918161359718709</v>
      </c>
      <c r="E204"/>
      <c r="AO204" s="27" t="s">
        <v>8</v>
      </c>
      <c r="AP204" s="27" t="s">
        <v>7</v>
      </c>
      <c r="AQ204" s="27" t="s">
        <v>8</v>
      </c>
      <c r="AR204" s="27" t="s">
        <v>7</v>
      </c>
      <c r="AS204" s="27" t="s">
        <v>8</v>
      </c>
      <c r="AT204" s="27" t="s">
        <v>7</v>
      </c>
      <c r="AV204" s="27" t="s">
        <v>7</v>
      </c>
      <c r="BA204" s="27" t="s">
        <v>8</v>
      </c>
      <c r="BE204" s="27" t="s">
        <v>8</v>
      </c>
      <c r="BG204" s="27" t="s">
        <v>8</v>
      </c>
      <c r="BH204" s="27" t="s">
        <v>7</v>
      </c>
      <c r="BI204" s="27" t="s">
        <v>8</v>
      </c>
      <c r="BJ204" s="27" t="s">
        <v>7</v>
      </c>
      <c r="CA204" s="27" t="s">
        <v>8</v>
      </c>
      <c r="CB204" s="27" t="s">
        <v>7</v>
      </c>
      <c r="CC204" s="27" t="s">
        <v>8</v>
      </c>
      <c r="CD204" s="27" t="s">
        <v>7</v>
      </c>
      <c r="CE204" s="27" t="s">
        <v>8</v>
      </c>
      <c r="CF204" s="27" t="s">
        <v>7</v>
      </c>
      <c r="CG204" s="27" t="s">
        <v>8</v>
      </c>
      <c r="CY204" s="33"/>
    </row>
    <row r="205" spans="1:122" x14ac:dyDescent="0.25">
      <c r="A205" s="30">
        <v>5.5160153675922574</v>
      </c>
      <c r="E205"/>
      <c r="AI205" s="27" t="s">
        <v>8</v>
      </c>
      <c r="AO205" s="27" t="s">
        <v>8</v>
      </c>
      <c r="AP205" s="27" t="s">
        <v>7</v>
      </c>
      <c r="AQ205" s="27" t="s">
        <v>8</v>
      </c>
      <c r="AR205" s="27" t="s">
        <v>7</v>
      </c>
      <c r="AS205" s="27" t="s">
        <v>8</v>
      </c>
      <c r="AV205" s="27" t="s">
        <v>7</v>
      </c>
      <c r="AY205" s="27" t="s">
        <v>8</v>
      </c>
      <c r="BA205" s="27" t="s">
        <v>8</v>
      </c>
      <c r="BB205" s="27" t="s">
        <v>7</v>
      </c>
      <c r="BC205" s="27" t="s">
        <v>8</v>
      </c>
      <c r="BE205" s="27" t="s">
        <v>8</v>
      </c>
      <c r="BF205" s="27" t="s">
        <v>7</v>
      </c>
      <c r="BG205" s="27" t="s">
        <v>8</v>
      </c>
      <c r="BH205" s="27" t="s">
        <v>7</v>
      </c>
      <c r="BI205" s="27" t="s">
        <v>8</v>
      </c>
      <c r="BJ205" s="27" t="s">
        <v>7</v>
      </c>
      <c r="CA205" s="27" t="s">
        <v>8</v>
      </c>
      <c r="CB205" s="27" t="s">
        <v>7</v>
      </c>
      <c r="CC205" s="27" t="s">
        <v>8</v>
      </c>
      <c r="CD205" s="27" t="s">
        <v>7</v>
      </c>
      <c r="CE205" s="27" t="s">
        <v>8</v>
      </c>
      <c r="CF205" s="27" t="s">
        <v>7</v>
      </c>
      <c r="CX205" s="33"/>
    </row>
    <row r="206" spans="1:122" x14ac:dyDescent="0.25">
      <c r="A206" s="30">
        <v>5.2533479691354827</v>
      </c>
      <c r="C206"/>
      <c r="D206"/>
      <c r="E206"/>
      <c r="AI206" s="27" t="s">
        <v>8</v>
      </c>
      <c r="AJ206" s="27" t="s">
        <v>7</v>
      </c>
      <c r="AO206" s="27" t="s">
        <v>8</v>
      </c>
      <c r="AP206" s="27" t="s">
        <v>7</v>
      </c>
      <c r="AR206" s="27" t="s">
        <v>7</v>
      </c>
      <c r="AS206" s="27" t="s">
        <v>8</v>
      </c>
      <c r="AV206" s="27" t="s">
        <v>7</v>
      </c>
      <c r="AW206" s="27" t="s">
        <v>8</v>
      </c>
      <c r="AY206" s="27" t="s">
        <v>8</v>
      </c>
      <c r="AZ206" s="27" t="s">
        <v>7</v>
      </c>
      <c r="BA206" s="27" t="s">
        <v>8</v>
      </c>
      <c r="BB206" s="27" t="s">
        <v>7</v>
      </c>
      <c r="BC206" s="27" t="s">
        <v>8</v>
      </c>
      <c r="BD206" s="27" t="s">
        <v>7</v>
      </c>
      <c r="BE206" s="27" t="s">
        <v>8</v>
      </c>
      <c r="BF206" s="27" t="s">
        <v>7</v>
      </c>
      <c r="BG206" s="27" t="s">
        <v>8</v>
      </c>
      <c r="BH206" s="27" t="s">
        <v>7</v>
      </c>
      <c r="BJ206" s="27" t="s">
        <v>7</v>
      </c>
      <c r="CA206" s="27" t="s">
        <v>8</v>
      </c>
      <c r="CB206" s="27" t="s">
        <v>7</v>
      </c>
      <c r="CC206" s="27" t="s">
        <v>8</v>
      </c>
      <c r="CD206" s="27" t="s">
        <v>7</v>
      </c>
      <c r="CW206" s="33"/>
    </row>
    <row r="207" spans="1:122" x14ac:dyDescent="0.25">
      <c r="A207" s="30">
        <v>5.0031885420337927</v>
      </c>
      <c r="E207"/>
      <c r="AI207" s="27" t="s">
        <v>8</v>
      </c>
      <c r="AJ207" s="27" t="s">
        <v>7</v>
      </c>
      <c r="AO207" s="27" t="s">
        <v>8</v>
      </c>
      <c r="AR207" s="27" t="s">
        <v>7</v>
      </c>
      <c r="AS207" s="27" t="s">
        <v>8</v>
      </c>
      <c r="AV207" s="27" t="s">
        <v>7</v>
      </c>
      <c r="AW207" s="27" t="s">
        <v>8</v>
      </c>
      <c r="AX207" s="27" t="s">
        <v>7</v>
      </c>
      <c r="AY207" s="27" t="s">
        <v>8</v>
      </c>
      <c r="AZ207" s="27" t="s">
        <v>7</v>
      </c>
      <c r="BA207" s="27" t="s">
        <v>8</v>
      </c>
      <c r="BB207" s="27" t="s">
        <v>7</v>
      </c>
      <c r="BC207" s="27" t="s">
        <v>8</v>
      </c>
      <c r="BD207" s="27" t="s">
        <v>7</v>
      </c>
      <c r="BE207" s="27" t="s">
        <v>8</v>
      </c>
      <c r="BF207" s="27" t="s">
        <v>7</v>
      </c>
      <c r="BG207" s="27" t="s">
        <v>8</v>
      </c>
      <c r="BJ207" s="31" t="s">
        <v>7</v>
      </c>
      <c r="CA207" s="27" t="s">
        <v>8</v>
      </c>
      <c r="CB207" s="27" t="s">
        <v>7</v>
      </c>
      <c r="CC207" s="27" t="s">
        <v>8</v>
      </c>
      <c r="CV207" s="33"/>
    </row>
    <row r="208" spans="1:122" x14ac:dyDescent="0.25">
      <c r="A208" s="30">
        <v>4.7649414686036122</v>
      </c>
      <c r="E208"/>
      <c r="AI208" s="27" t="s">
        <v>8</v>
      </c>
      <c r="AJ208" s="27" t="s">
        <v>7</v>
      </c>
      <c r="AM208" s="27" t="s">
        <v>8</v>
      </c>
      <c r="AO208" s="27" t="s">
        <v>8</v>
      </c>
      <c r="AR208" s="27" t="s">
        <v>7</v>
      </c>
      <c r="AS208" s="27" t="s">
        <v>8</v>
      </c>
      <c r="AV208" s="27" t="s">
        <v>7</v>
      </c>
      <c r="AW208" s="27" t="s">
        <v>8</v>
      </c>
      <c r="AX208" s="27" t="s">
        <v>7</v>
      </c>
      <c r="AY208" s="27" t="s">
        <v>8</v>
      </c>
      <c r="AZ208" s="27" t="s">
        <v>7</v>
      </c>
      <c r="BA208" s="27" t="s">
        <v>8</v>
      </c>
      <c r="BB208" s="27" t="s">
        <v>7</v>
      </c>
      <c r="BD208" s="27" t="s">
        <v>7</v>
      </c>
      <c r="BE208" s="27" t="s">
        <v>8</v>
      </c>
      <c r="BF208" s="27" t="s">
        <v>7</v>
      </c>
      <c r="BG208" s="27" t="s">
        <v>8</v>
      </c>
      <c r="BJ208" s="27" t="s">
        <v>7</v>
      </c>
      <c r="CA208" s="27" t="s">
        <v>8</v>
      </c>
      <c r="CB208" s="27" t="s">
        <v>7</v>
      </c>
      <c r="CU208" s="33"/>
    </row>
    <row r="209" spans="1:98" x14ac:dyDescent="0.25">
      <c r="A209" s="30">
        <v>4.5380394939082018</v>
      </c>
      <c r="E209"/>
      <c r="AI209" s="27" t="s">
        <v>8</v>
      </c>
      <c r="AJ209" s="27" t="s">
        <v>7</v>
      </c>
      <c r="AK209" s="27" t="s">
        <v>8</v>
      </c>
      <c r="AM209" s="27" t="s">
        <v>8</v>
      </c>
      <c r="AN209" s="27" t="s">
        <v>7</v>
      </c>
      <c r="AO209" s="27" t="s">
        <v>8</v>
      </c>
      <c r="AR209" s="27" t="s">
        <v>7</v>
      </c>
      <c r="AV209" s="27" t="s">
        <v>7</v>
      </c>
      <c r="AW209" s="27" t="s">
        <v>8</v>
      </c>
      <c r="AX209" s="27" t="s">
        <v>7</v>
      </c>
      <c r="AZ209" s="27" t="s">
        <v>7</v>
      </c>
      <c r="BA209" s="27" t="s">
        <v>8</v>
      </c>
      <c r="BD209" s="27" t="s">
        <v>7</v>
      </c>
      <c r="BF209" s="27" t="s">
        <v>7</v>
      </c>
      <c r="BJ209" s="27" t="s">
        <v>7</v>
      </c>
      <c r="CA209" s="27" t="s">
        <v>8</v>
      </c>
      <c r="CT209" s="33"/>
    </row>
    <row r="210" spans="1:98" x14ac:dyDescent="0.25">
      <c r="A210" s="30">
        <v>4.3219423751506678</v>
      </c>
      <c r="C210"/>
      <c r="E210"/>
      <c r="AI210" s="27" t="s">
        <v>8</v>
      </c>
      <c r="AJ210" s="27" t="s">
        <v>7</v>
      </c>
      <c r="AK210" s="27" t="s">
        <v>8</v>
      </c>
      <c r="AL210" s="27" t="s">
        <v>7</v>
      </c>
      <c r="AM210" s="27" t="s">
        <v>8</v>
      </c>
      <c r="AN210" s="27" t="s">
        <v>7</v>
      </c>
      <c r="AO210" s="27" t="s">
        <v>8</v>
      </c>
      <c r="AV210" s="27" t="s">
        <v>7</v>
      </c>
      <c r="AW210" s="27" t="s">
        <v>8</v>
      </c>
      <c r="AZ210" s="27" t="s">
        <v>7</v>
      </c>
      <c r="BA210" s="27" t="s">
        <v>8</v>
      </c>
      <c r="BJ210" s="27" t="s">
        <v>7</v>
      </c>
      <c r="BK210" s="27" t="s">
        <v>8</v>
      </c>
      <c r="CA210" s="27" t="s">
        <v>8</v>
      </c>
      <c r="CS210" s="33"/>
    </row>
    <row r="211" spans="1:98" x14ac:dyDescent="0.25">
      <c r="A211" s="30">
        <v>4.1161355953815884</v>
      </c>
      <c r="E211"/>
      <c r="AI211" s="27" t="s">
        <v>8</v>
      </c>
      <c r="AJ211" s="27" t="s">
        <v>7</v>
      </c>
      <c r="AK211" s="27" t="s">
        <v>8</v>
      </c>
      <c r="AL211" s="27" t="s">
        <v>7</v>
      </c>
      <c r="AM211" s="27" t="s">
        <v>8</v>
      </c>
      <c r="AN211" s="27" t="s">
        <v>7</v>
      </c>
      <c r="AO211" s="27" t="s">
        <v>8</v>
      </c>
      <c r="AV211" s="27" t="s">
        <v>7</v>
      </c>
      <c r="AZ211" s="27" t="s">
        <v>7</v>
      </c>
      <c r="BJ211" s="27" t="s">
        <v>7</v>
      </c>
      <c r="BK211" s="27" t="s">
        <v>8</v>
      </c>
      <c r="BL211" s="27" t="s">
        <v>7</v>
      </c>
      <c r="CA211" s="27" t="s">
        <v>8</v>
      </c>
      <c r="CR211" s="33"/>
    </row>
    <row r="212" spans="1:98" x14ac:dyDescent="0.25">
      <c r="A212" s="30">
        <v>3.9201291384586554</v>
      </c>
      <c r="E212"/>
      <c r="AI212" s="27" t="s">
        <v>8</v>
      </c>
      <c r="AJ212" s="27" t="s">
        <v>7</v>
      </c>
      <c r="AK212" s="27" t="s">
        <v>8</v>
      </c>
      <c r="AL212" s="27" t="s">
        <v>7</v>
      </c>
      <c r="AM212" s="27" t="s">
        <v>8</v>
      </c>
      <c r="AN212" s="27" t="s">
        <v>7</v>
      </c>
      <c r="AO212" s="27" t="s">
        <v>8</v>
      </c>
      <c r="BJ212" s="27" t="s">
        <v>7</v>
      </c>
      <c r="BK212" s="27" t="s">
        <v>8</v>
      </c>
      <c r="BL212" s="27" t="s">
        <v>7</v>
      </c>
      <c r="CA212" s="27" t="s">
        <v>8</v>
      </c>
      <c r="CQ212" s="33"/>
    </row>
    <row r="213" spans="1:98" x14ac:dyDescent="0.25">
      <c r="A213" s="30">
        <v>3.7334563223415764</v>
      </c>
      <c r="E213"/>
      <c r="AI213" s="27" t="s">
        <v>8</v>
      </c>
      <c r="AJ213" s="27" t="s">
        <v>7</v>
      </c>
      <c r="AK213" s="27" t="s">
        <v>8</v>
      </c>
      <c r="AL213" s="27" t="s">
        <v>7</v>
      </c>
      <c r="AM213" s="27" t="s">
        <v>8</v>
      </c>
      <c r="AN213" s="27" t="s">
        <v>7</v>
      </c>
      <c r="AO213" s="27" t="s">
        <v>8</v>
      </c>
      <c r="BJ213" s="27" t="s">
        <v>7</v>
      </c>
      <c r="BK213" s="27" t="s">
        <v>8</v>
      </c>
      <c r="BL213" s="27" t="s">
        <v>7</v>
      </c>
      <c r="CA213" s="27" t="s">
        <v>8</v>
      </c>
      <c r="CP213" s="33"/>
    </row>
    <row r="214" spans="1:98" x14ac:dyDescent="0.25">
      <c r="A214" s="30">
        <v>3.5556726879443583</v>
      </c>
      <c r="E214"/>
      <c r="AI214" s="27" t="s">
        <v>8</v>
      </c>
      <c r="AJ214" s="27" t="s">
        <v>7</v>
      </c>
      <c r="AL214" s="27" t="s">
        <v>7</v>
      </c>
      <c r="AM214" s="27" t="s">
        <v>8</v>
      </c>
      <c r="AN214" s="27" t="s">
        <v>7</v>
      </c>
      <c r="BJ214" s="27" t="s">
        <v>7</v>
      </c>
      <c r="BK214" s="27" t="s">
        <v>8</v>
      </c>
      <c r="BL214" s="27" t="s">
        <v>7</v>
      </c>
      <c r="BM214" s="27" t="s">
        <v>8</v>
      </c>
      <c r="BO214" s="27" t="s">
        <v>8</v>
      </c>
      <c r="CA214" s="27" t="s">
        <v>8</v>
      </c>
      <c r="CO214" s="33"/>
    </row>
    <row r="215" spans="1:98" x14ac:dyDescent="0.25">
      <c r="A215" s="30">
        <v>3.3863549408993889</v>
      </c>
      <c r="E215"/>
      <c r="AI215" s="27" t="s">
        <v>8</v>
      </c>
      <c r="AL215" s="27" t="s">
        <v>7</v>
      </c>
      <c r="AM215" s="27" t="s">
        <v>8</v>
      </c>
      <c r="BJ215" s="27" t="s">
        <v>7</v>
      </c>
      <c r="BK215" s="27" t="s">
        <v>8</v>
      </c>
      <c r="BL215" s="27" t="s">
        <v>7</v>
      </c>
      <c r="BM215" s="27" t="s">
        <v>8</v>
      </c>
      <c r="BN215" s="27" t="s">
        <v>7</v>
      </c>
      <c r="BO215" s="27" t="s">
        <v>8</v>
      </c>
      <c r="BP215" s="27" t="s">
        <v>7</v>
      </c>
      <c r="CA215" s="27" t="s">
        <v>8</v>
      </c>
      <c r="CN215" s="33"/>
    </row>
    <row r="216" spans="1:98" x14ac:dyDescent="0.25">
      <c r="A216" s="30">
        <v>3.2250999437137038</v>
      </c>
      <c r="E216"/>
      <c r="AI216" s="27" t="s">
        <v>8</v>
      </c>
      <c r="AL216" s="27" t="s">
        <v>7</v>
      </c>
      <c r="AM216" s="27" t="s">
        <v>8</v>
      </c>
      <c r="BJ216" s="27" t="s">
        <v>7</v>
      </c>
      <c r="BK216" s="27" t="s">
        <v>8</v>
      </c>
      <c r="BL216" s="27" t="s">
        <v>7</v>
      </c>
      <c r="BM216" s="27" t="s">
        <v>8</v>
      </c>
      <c r="BN216" s="27" t="s">
        <v>7</v>
      </c>
      <c r="BO216" s="27" t="s">
        <v>8</v>
      </c>
      <c r="BP216" s="27" t="s">
        <v>7</v>
      </c>
      <c r="BQ216" s="27" t="s">
        <v>8</v>
      </c>
      <c r="BS216" s="27" t="s">
        <v>8</v>
      </c>
      <c r="CA216" s="27" t="s">
        <v>8</v>
      </c>
      <c r="CM216" s="33"/>
    </row>
    <row r="217" spans="1:98" x14ac:dyDescent="0.25">
      <c r="A217" s="30">
        <v>3.0715237559178128</v>
      </c>
      <c r="E217"/>
      <c r="AI217" s="27" t="s">
        <v>8</v>
      </c>
      <c r="AL217" s="27" t="s">
        <v>7</v>
      </c>
      <c r="AM217" s="27" t="s">
        <v>8</v>
      </c>
      <c r="BJ217" s="27" t="s">
        <v>7</v>
      </c>
      <c r="BK217" s="27" t="s">
        <v>8</v>
      </c>
      <c r="BL217" s="27" t="s">
        <v>7</v>
      </c>
      <c r="BM217" s="27" t="s">
        <v>8</v>
      </c>
      <c r="BN217" s="27" t="s">
        <v>7</v>
      </c>
      <c r="BO217" s="27" t="s">
        <v>8</v>
      </c>
      <c r="BP217" s="27" t="s">
        <v>7</v>
      </c>
      <c r="BQ217" s="27" t="s">
        <v>8</v>
      </c>
      <c r="BR217" s="27" t="s">
        <v>7</v>
      </c>
      <c r="BS217" s="27" t="s">
        <v>8</v>
      </c>
      <c r="BT217" s="27" t="s">
        <v>7</v>
      </c>
      <c r="CA217" s="27" t="s">
        <v>8</v>
      </c>
      <c r="CL217" s="33"/>
    </row>
    <row r="218" spans="1:98" x14ac:dyDescent="0.25">
      <c r="A218" s="30">
        <v>2.9252607199217264</v>
      </c>
      <c r="E218"/>
      <c r="AG218" s="27" t="s">
        <v>8</v>
      </c>
      <c r="AI218" s="27" t="s">
        <v>8</v>
      </c>
      <c r="AL218" s="27" t="s">
        <v>7</v>
      </c>
      <c r="AM218" s="27" t="s">
        <v>8</v>
      </c>
      <c r="BJ218" s="27" t="s">
        <v>7</v>
      </c>
      <c r="BL218" s="27" t="s">
        <v>7</v>
      </c>
      <c r="BM218" s="27" t="s">
        <v>8</v>
      </c>
      <c r="BN218" s="27" t="s">
        <v>7</v>
      </c>
      <c r="BO218" s="27" t="s">
        <v>8</v>
      </c>
      <c r="BP218" s="27" t="s">
        <v>7</v>
      </c>
      <c r="BQ218" s="27" t="s">
        <v>8</v>
      </c>
      <c r="BR218" s="27" t="s">
        <v>7</v>
      </c>
      <c r="BS218" s="27" t="s">
        <v>8</v>
      </c>
      <c r="BT218" s="27" t="s">
        <v>7</v>
      </c>
      <c r="CA218" s="27" t="s">
        <v>8</v>
      </c>
      <c r="CK218" s="33"/>
    </row>
    <row r="219" spans="1:98" x14ac:dyDescent="0.25">
      <c r="A219" s="30">
        <v>2.7859625904016441</v>
      </c>
      <c r="E219"/>
      <c r="AG219" s="27" t="s">
        <v>8</v>
      </c>
      <c r="AH219" s="27" t="s">
        <v>7</v>
      </c>
      <c r="AI219" s="27" t="s">
        <v>8</v>
      </c>
      <c r="AL219" s="27" t="s">
        <v>7</v>
      </c>
      <c r="AM219" s="27" t="s">
        <v>8</v>
      </c>
      <c r="BL219" s="27" t="s">
        <v>7</v>
      </c>
      <c r="BM219" s="27" t="s">
        <v>8</v>
      </c>
      <c r="BN219" s="27" t="s">
        <v>7</v>
      </c>
      <c r="BO219" s="27" t="s">
        <v>8</v>
      </c>
      <c r="BP219" s="27" t="s">
        <v>7</v>
      </c>
      <c r="BR219" s="27" t="s">
        <v>7</v>
      </c>
      <c r="BT219" s="27" t="s">
        <v>7</v>
      </c>
      <c r="CA219" s="27" t="s">
        <v>8</v>
      </c>
      <c r="CJ219" s="33"/>
    </row>
    <row r="220" spans="1:98" x14ac:dyDescent="0.25">
      <c r="A220" s="30">
        <v>2.6532977051444226</v>
      </c>
      <c r="E220"/>
      <c r="AA220" s="27" t="s">
        <v>8</v>
      </c>
      <c r="AE220" s="27" t="s">
        <v>8</v>
      </c>
      <c r="AG220" s="27" t="s">
        <v>8</v>
      </c>
      <c r="AH220" s="27" t="s">
        <v>7</v>
      </c>
      <c r="AI220" s="27" t="s">
        <v>8</v>
      </c>
      <c r="AL220" s="27" t="s">
        <v>7</v>
      </c>
      <c r="BL220" s="27" t="s">
        <v>7</v>
      </c>
      <c r="BM220" s="27" t="s">
        <v>8</v>
      </c>
      <c r="BN220" s="27" t="s">
        <v>7</v>
      </c>
      <c r="BT220" s="27" t="s">
        <v>7</v>
      </c>
      <c r="CA220" s="27" t="s">
        <v>8</v>
      </c>
      <c r="CI220" s="33"/>
    </row>
    <row r="221" spans="1:98" x14ac:dyDescent="0.25">
      <c r="A221" s="30">
        <v>2.5269501953756404</v>
      </c>
      <c r="E221"/>
      <c r="AA221" s="27" t="s">
        <v>8</v>
      </c>
      <c r="AB221" s="27" t="s">
        <v>7</v>
      </c>
      <c r="AC221" s="27" t="s">
        <v>8</v>
      </c>
      <c r="AE221" s="27" t="s">
        <v>8</v>
      </c>
      <c r="AF221" s="27" t="s">
        <v>7</v>
      </c>
      <c r="AG221" s="27" t="s">
        <v>8</v>
      </c>
      <c r="AH221" s="27" t="s">
        <v>7</v>
      </c>
      <c r="BL221" s="27" t="s">
        <v>7</v>
      </c>
      <c r="BM221" s="27" t="s">
        <v>8</v>
      </c>
      <c r="BT221" s="27" t="s">
        <v>7</v>
      </c>
      <c r="CA221" s="27" t="s">
        <v>8</v>
      </c>
      <c r="CH221" s="33"/>
    </row>
    <row r="222" spans="1:98" x14ac:dyDescent="0.25">
      <c r="A222" s="30">
        <v>2.4066192336910861</v>
      </c>
      <c r="E222"/>
      <c r="AA222" s="27" t="s">
        <v>8</v>
      </c>
      <c r="AB222" s="27" t="s">
        <v>7</v>
      </c>
      <c r="AC222" s="27" t="s">
        <v>8</v>
      </c>
      <c r="AD222" s="27" t="s">
        <v>7</v>
      </c>
      <c r="AE222" s="27" t="s">
        <v>8</v>
      </c>
      <c r="AF222" s="27" t="s">
        <v>7</v>
      </c>
      <c r="AG222" s="27" t="s">
        <v>8</v>
      </c>
      <c r="BL222" s="27" t="s">
        <v>7</v>
      </c>
      <c r="BM222" s="27" t="s">
        <v>8</v>
      </c>
      <c r="BT222" s="27" t="s">
        <v>7</v>
      </c>
      <c r="BY222" s="32" t="s">
        <v>8</v>
      </c>
      <c r="CA222" s="27" t="s">
        <v>8</v>
      </c>
      <c r="CG222" s="33"/>
    </row>
    <row r="223" spans="1:98" x14ac:dyDescent="0.25">
      <c r="A223" s="30">
        <v>2.2920183178010345</v>
      </c>
      <c r="E223"/>
      <c r="AA223" s="27" t="s">
        <v>8</v>
      </c>
      <c r="AB223" s="27" t="s">
        <v>7</v>
      </c>
      <c r="AC223" s="27" t="s">
        <v>8</v>
      </c>
      <c r="AD223" s="27" t="s">
        <v>7</v>
      </c>
      <c r="AE223" s="27" t="s">
        <v>8</v>
      </c>
      <c r="AF223" s="27" t="s">
        <v>7</v>
      </c>
      <c r="AG223" s="27" t="s">
        <v>8</v>
      </c>
      <c r="BL223" s="27" t="s">
        <v>7</v>
      </c>
      <c r="BT223" s="27" t="s">
        <v>7</v>
      </c>
      <c r="BU223" s="27" t="s">
        <v>8</v>
      </c>
      <c r="BW223" s="27" t="s">
        <v>8</v>
      </c>
      <c r="BY223" s="27" t="s">
        <v>8</v>
      </c>
      <c r="BZ223" s="27" t="s">
        <v>7</v>
      </c>
      <c r="CA223" s="27" t="s">
        <v>8</v>
      </c>
      <c r="CF223" s="33"/>
    </row>
    <row r="224" spans="1:98" x14ac:dyDescent="0.25">
      <c r="A224" s="30">
        <v>2.1828745883819374</v>
      </c>
      <c r="E224"/>
      <c r="AA224" s="27" t="s">
        <v>8</v>
      </c>
      <c r="AB224" s="27" t="s">
        <v>7</v>
      </c>
      <c r="AD224" s="27" t="s">
        <v>7</v>
      </c>
      <c r="AE224" s="27" t="s">
        <v>8</v>
      </c>
      <c r="AF224" s="27" t="s">
        <v>7</v>
      </c>
      <c r="AG224" s="27" t="s">
        <v>8</v>
      </c>
      <c r="BT224" s="27" t="s">
        <v>7</v>
      </c>
      <c r="BU224" s="27" t="s">
        <v>8</v>
      </c>
      <c r="BV224" s="27" t="s">
        <v>7</v>
      </c>
      <c r="BW224" s="27" t="s">
        <v>8</v>
      </c>
      <c r="BX224" s="27" t="s">
        <v>7</v>
      </c>
      <c r="BY224" s="27" t="s">
        <v>8</v>
      </c>
      <c r="BZ224" s="27" t="s">
        <v>7</v>
      </c>
      <c r="CA224" s="27" t="s">
        <v>8</v>
      </c>
      <c r="CE224" s="33"/>
    </row>
    <row r="225" spans="1:82" x14ac:dyDescent="0.25">
      <c r="A225" s="30">
        <v>2.0789281794113688</v>
      </c>
      <c r="E225"/>
      <c r="AA225" s="27" t="s">
        <v>8</v>
      </c>
      <c r="AD225" s="27" t="s">
        <v>7</v>
      </c>
      <c r="AF225" s="27" t="s">
        <v>7</v>
      </c>
      <c r="BT225" s="27" t="s">
        <v>7</v>
      </c>
      <c r="BU225" s="27" t="s">
        <v>8</v>
      </c>
      <c r="BV225" s="27" t="s">
        <v>7</v>
      </c>
      <c r="BW225" s="27" t="s">
        <v>8</v>
      </c>
      <c r="BX225" s="27" t="s">
        <v>7</v>
      </c>
      <c r="BY225" s="27" t="s">
        <v>8</v>
      </c>
      <c r="BZ225" s="27" t="s">
        <v>7</v>
      </c>
      <c r="CD225" s="33"/>
    </row>
    <row r="226" spans="1:82" x14ac:dyDescent="0.25">
      <c r="A226" s="30">
        <v>1.9799315994393987</v>
      </c>
      <c r="E226"/>
      <c r="AA226" s="27" t="s">
        <v>8</v>
      </c>
      <c r="BT226" s="27" t="s">
        <v>7</v>
      </c>
      <c r="BV226" s="27" t="s">
        <v>7</v>
      </c>
      <c r="BW226" s="27" t="s">
        <v>8</v>
      </c>
      <c r="BX226" s="27" t="s">
        <v>7</v>
      </c>
      <c r="BY226" s="27" t="s">
        <v>8</v>
      </c>
      <c r="CC226" s="33"/>
    </row>
    <row r="227" spans="1:82" x14ac:dyDescent="0.25">
      <c r="A227" s="30">
        <v>1.8856491423232367</v>
      </c>
      <c r="E227"/>
      <c r="Y227" s="27" t="s">
        <v>8</v>
      </c>
      <c r="AA227" s="27" t="s">
        <v>8</v>
      </c>
      <c r="BV227" s="27" t="s">
        <v>7</v>
      </c>
      <c r="BW227" s="27" t="s">
        <v>8</v>
      </c>
      <c r="BX227" s="27" t="s">
        <v>7</v>
      </c>
      <c r="BY227" s="27" t="s">
        <v>8</v>
      </c>
      <c r="CB227" s="33"/>
    </row>
    <row r="228" spans="1:82" x14ac:dyDescent="0.25">
      <c r="A228" s="30">
        <v>1.7958563260221301</v>
      </c>
      <c r="C228" s="7"/>
      <c r="D228"/>
      <c r="E228"/>
      <c r="Y228" s="27" t="s">
        <v>8</v>
      </c>
      <c r="Z228" s="27" t="s">
        <v>7</v>
      </c>
      <c r="AA228" s="27" t="s">
        <v>8</v>
      </c>
      <c r="BV228" s="27" t="s">
        <v>7</v>
      </c>
      <c r="BX228" s="18" t="s">
        <v>7</v>
      </c>
      <c r="BY228" s="27" t="s">
        <v>8</v>
      </c>
      <c r="CA228" s="33"/>
    </row>
    <row r="229" spans="1:82" x14ac:dyDescent="0.25">
      <c r="A229" s="30">
        <v>1.7103393581163142</v>
      </c>
      <c r="E229"/>
      <c r="Y229" s="27" t="s">
        <v>8</v>
      </c>
      <c r="Z229" s="27" t="s">
        <v>7</v>
      </c>
      <c r="AA229" s="27" t="s">
        <v>8</v>
      </c>
      <c r="BX229" s="27" t="s">
        <v>7</v>
      </c>
      <c r="BY229" s="27" t="s">
        <v>8</v>
      </c>
      <c r="BZ229" s="33"/>
    </row>
    <row r="230" spans="1:82" x14ac:dyDescent="0.25">
      <c r="A230" s="30">
        <v>1.628894626777442</v>
      </c>
      <c r="E230"/>
      <c r="U230" s="27" t="s">
        <v>8</v>
      </c>
      <c r="Y230" s="27" t="s">
        <v>8</v>
      </c>
      <c r="Z230" s="27" t="s">
        <v>7</v>
      </c>
      <c r="AA230" s="27" t="s">
        <v>8</v>
      </c>
      <c r="BX230" s="27" t="s">
        <v>7</v>
      </c>
      <c r="BY230" s="33" t="s">
        <v>8</v>
      </c>
    </row>
    <row r="231" spans="1:82" x14ac:dyDescent="0.25">
      <c r="A231" s="30">
        <v>1.5513282159785162</v>
      </c>
      <c r="C231"/>
      <c r="D231"/>
      <c r="E231"/>
      <c r="U231" s="27" t="s">
        <v>8</v>
      </c>
      <c r="V231" s="27" t="s">
        <v>7</v>
      </c>
      <c r="W231" s="27" t="s">
        <v>8</v>
      </c>
      <c r="Y231" s="27" t="s">
        <v>8</v>
      </c>
      <c r="Z231" s="27" t="s">
        <v>7</v>
      </c>
      <c r="AA231" s="27" t="s">
        <v>8</v>
      </c>
      <c r="BX231" s="33" t="s">
        <v>7</v>
      </c>
    </row>
    <row r="232" spans="1:82" x14ac:dyDescent="0.25">
      <c r="A232" s="30">
        <v>1.477455443789063</v>
      </c>
      <c r="E232"/>
      <c r="U232" s="27" t="s">
        <v>8</v>
      </c>
      <c r="V232" s="27" t="s">
        <v>7</v>
      </c>
      <c r="W232" s="27" t="s">
        <v>8</v>
      </c>
      <c r="X232" s="27" t="s">
        <v>7</v>
      </c>
      <c r="Y232" s="27" t="s">
        <v>8</v>
      </c>
      <c r="Z232" s="27" t="s">
        <v>7</v>
      </c>
      <c r="AA232" s="27" t="s">
        <v>8</v>
      </c>
    </row>
    <row r="233" spans="1:82" x14ac:dyDescent="0.25">
      <c r="A233" s="30">
        <v>1.4071004226562505</v>
      </c>
      <c r="E233"/>
      <c r="U233" s="27" t="s">
        <v>8</v>
      </c>
      <c r="V233" s="27" t="s">
        <v>7</v>
      </c>
      <c r="W233" s="27" t="s">
        <v>8</v>
      </c>
      <c r="X233" s="27" t="s">
        <v>7</v>
      </c>
      <c r="Y233" s="27" t="s">
        <v>8</v>
      </c>
      <c r="Z233" s="27" t="s">
        <v>7</v>
      </c>
    </row>
    <row r="234" spans="1:82" x14ac:dyDescent="0.25">
      <c r="A234" s="30">
        <v>1.3400956406250004</v>
      </c>
      <c r="E234"/>
      <c r="U234" s="27" t="s">
        <v>8</v>
      </c>
      <c r="V234" s="27" t="s">
        <v>7</v>
      </c>
      <c r="W234" s="27" t="s">
        <v>8</v>
      </c>
      <c r="X234" s="27" t="s">
        <v>7</v>
      </c>
    </row>
    <row r="235" spans="1:82" x14ac:dyDescent="0.25">
      <c r="A235" s="30">
        <v>1.2762815625000004</v>
      </c>
      <c r="C235"/>
      <c r="E235"/>
      <c r="Q235" s="27" t="s">
        <v>8</v>
      </c>
      <c r="U235" s="27" t="s">
        <v>8</v>
      </c>
      <c r="V235" s="27" t="s">
        <v>7</v>
      </c>
      <c r="W235" s="27" t="s">
        <v>8</v>
      </c>
    </row>
    <row r="236" spans="1:82" x14ac:dyDescent="0.25">
      <c r="A236" s="30">
        <v>1.2155062500000002</v>
      </c>
      <c r="E236" t="s">
        <v>8</v>
      </c>
      <c r="O236" s="27" t="s">
        <v>8</v>
      </c>
      <c r="Q236" s="27" t="s">
        <v>8</v>
      </c>
      <c r="R236" s="27" t="s">
        <v>7</v>
      </c>
      <c r="S236" s="27" t="s">
        <v>8</v>
      </c>
      <c r="U236" s="27" t="s">
        <v>8</v>
      </c>
      <c r="V236" s="27" t="s">
        <v>7</v>
      </c>
      <c r="W236" s="27" t="s">
        <v>8</v>
      </c>
    </row>
    <row r="237" spans="1:82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F237" s="27" t="s">
        <v>7</v>
      </c>
      <c r="O237" s="27" t="s">
        <v>8</v>
      </c>
      <c r="P237" s="27" t="s">
        <v>7</v>
      </c>
      <c r="Q237" s="27" t="s">
        <v>8</v>
      </c>
      <c r="R237" s="27" t="s">
        <v>7</v>
      </c>
      <c r="S237" s="27" t="s">
        <v>8</v>
      </c>
      <c r="T237" s="27" t="s">
        <v>7</v>
      </c>
      <c r="U237" s="27" t="s">
        <v>8</v>
      </c>
      <c r="V237" s="27" t="s">
        <v>7</v>
      </c>
      <c r="W237" s="27" t="s">
        <v>8</v>
      </c>
    </row>
    <row r="238" spans="1:82" x14ac:dyDescent="0.25">
      <c r="A238" s="30">
        <v>1.1025</v>
      </c>
      <c r="E238" t="s">
        <v>8</v>
      </c>
      <c r="F238" s="27" t="s">
        <v>7</v>
      </c>
      <c r="O238" s="27" t="s">
        <v>8</v>
      </c>
      <c r="P238" s="27" t="s">
        <v>7</v>
      </c>
      <c r="Q238" s="27" t="s">
        <v>8</v>
      </c>
      <c r="R238" s="27" t="s">
        <v>7</v>
      </c>
      <c r="S238" s="27" t="s">
        <v>8</v>
      </c>
      <c r="T238" s="27" t="s">
        <v>7</v>
      </c>
      <c r="U238" s="27" t="s">
        <v>8</v>
      </c>
      <c r="V238" s="27" t="s">
        <v>7</v>
      </c>
      <c r="W238" s="27" t="s">
        <v>8</v>
      </c>
    </row>
    <row r="239" spans="1:82" x14ac:dyDescent="0.25">
      <c r="A239" s="30">
        <v>1.05</v>
      </c>
      <c r="E239" t="s">
        <v>8</v>
      </c>
      <c r="F239" s="27" t="s">
        <v>7</v>
      </c>
      <c r="O239" s="27" t="s">
        <v>8</v>
      </c>
      <c r="P239" s="27" t="s">
        <v>7</v>
      </c>
      <c r="Q239" s="27" t="s">
        <v>8</v>
      </c>
      <c r="R239" s="27" t="s">
        <v>7</v>
      </c>
      <c r="S239" s="27" t="s">
        <v>8</v>
      </c>
      <c r="T239" s="27" t="s">
        <v>7</v>
      </c>
      <c r="U239" s="27" t="s">
        <v>8</v>
      </c>
      <c r="V239" s="27" t="s">
        <v>7</v>
      </c>
      <c r="W239" s="27" t="s">
        <v>8</v>
      </c>
    </row>
    <row r="240" spans="1:82" x14ac:dyDescent="0.25">
      <c r="A240" s="30">
        <v>1</v>
      </c>
      <c r="E240" s="29" t="s">
        <v>8</v>
      </c>
      <c r="F240" s="27" t="s">
        <v>7</v>
      </c>
      <c r="O240" s="27" t="s">
        <v>8</v>
      </c>
      <c r="P240" s="27" t="s">
        <v>7</v>
      </c>
      <c r="R240" s="27" t="s">
        <v>7</v>
      </c>
      <c r="S240" s="27" t="s">
        <v>8</v>
      </c>
      <c r="T240" s="27" t="s">
        <v>7</v>
      </c>
      <c r="U240" s="27" t="s">
        <v>8</v>
      </c>
      <c r="V240" s="27" t="s">
        <v>7</v>
      </c>
      <c r="W240" s="27" t="s">
        <v>8</v>
      </c>
    </row>
    <row r="241" spans="1:23" x14ac:dyDescent="0.25">
      <c r="A241" s="30">
        <v>0.952380952380952</v>
      </c>
      <c r="B241"/>
      <c r="C241"/>
      <c r="D241"/>
      <c r="E241"/>
      <c r="F241" s="27" t="s">
        <v>7</v>
      </c>
      <c r="K241" s="27" t="s">
        <v>8</v>
      </c>
      <c r="M241" s="27" t="s">
        <v>8</v>
      </c>
      <c r="O241" s="27" t="s">
        <v>8</v>
      </c>
      <c r="R241" s="27" t="s">
        <v>7</v>
      </c>
      <c r="S241" s="27" t="s">
        <v>8</v>
      </c>
      <c r="T241" s="27" t="s">
        <v>7</v>
      </c>
      <c r="U241" s="27" t="s">
        <v>8</v>
      </c>
      <c r="V241" s="27" t="s">
        <v>7</v>
      </c>
      <c r="W241" s="27" t="s">
        <v>8</v>
      </c>
    </row>
    <row r="242" spans="1:23" x14ac:dyDescent="0.25">
      <c r="A242" s="30">
        <v>0.90702947845804915</v>
      </c>
      <c r="B242"/>
      <c r="C242"/>
      <c r="D242"/>
      <c r="E242"/>
      <c r="F242" s="27" t="s">
        <v>7</v>
      </c>
      <c r="K242" s="27" t="s">
        <v>8</v>
      </c>
      <c r="L242" s="27" t="s">
        <v>7</v>
      </c>
      <c r="M242" s="27" t="s">
        <v>8</v>
      </c>
      <c r="N242" s="27" t="s">
        <v>7</v>
      </c>
      <c r="O242" s="27" t="s">
        <v>8</v>
      </c>
      <c r="R242" s="27" t="s">
        <v>7</v>
      </c>
      <c r="T242" s="27" t="s">
        <v>7</v>
      </c>
      <c r="V242" s="27" t="s">
        <v>7</v>
      </c>
    </row>
    <row r="243" spans="1:23" x14ac:dyDescent="0.25">
      <c r="A243" s="30">
        <v>0.86383759853147501</v>
      </c>
      <c r="B243"/>
      <c r="C243"/>
      <c r="D243"/>
      <c r="E243"/>
      <c r="F243" s="27" t="s">
        <v>7</v>
      </c>
      <c r="G243" s="27" t="s">
        <v>8</v>
      </c>
      <c r="K243" s="27" t="s">
        <v>8</v>
      </c>
      <c r="L243" s="27" t="s">
        <v>7</v>
      </c>
      <c r="M243" s="27" t="s">
        <v>8</v>
      </c>
      <c r="N243" s="27" t="s">
        <v>7</v>
      </c>
      <c r="O243" s="27" t="s">
        <v>8</v>
      </c>
    </row>
    <row r="244" spans="1:23" x14ac:dyDescent="0.25">
      <c r="A244" s="30">
        <v>0.82270247479188063</v>
      </c>
      <c r="B244"/>
      <c r="C244"/>
      <c r="D244"/>
      <c r="E244"/>
      <c r="F244" s="27" t="s">
        <v>7</v>
      </c>
      <c r="G244" s="27" t="s">
        <v>8</v>
      </c>
      <c r="H244" s="27" t="s">
        <v>7</v>
      </c>
      <c r="I244" s="27" t="s">
        <v>8</v>
      </c>
      <c r="K244" s="27" t="s">
        <v>8</v>
      </c>
      <c r="L244" s="27" t="s">
        <v>7</v>
      </c>
      <c r="M244" s="27" t="s">
        <v>8</v>
      </c>
      <c r="N244" s="27" t="s">
        <v>7</v>
      </c>
    </row>
    <row r="245" spans="1:23" x14ac:dyDescent="0.25">
      <c r="A245" s="30">
        <v>0.78352616646845741</v>
      </c>
      <c r="B245"/>
      <c r="C245"/>
      <c r="D245"/>
      <c r="E245"/>
      <c r="F245" s="27" t="s">
        <v>7</v>
      </c>
      <c r="G245" s="27" t="s">
        <v>8</v>
      </c>
      <c r="H245" s="27" t="s">
        <v>7</v>
      </c>
      <c r="I245" s="27" t="s">
        <v>8</v>
      </c>
      <c r="J245" s="27" t="s">
        <v>7</v>
      </c>
      <c r="K245" s="27" t="s">
        <v>8</v>
      </c>
      <c r="L245" s="27" t="s">
        <v>7</v>
      </c>
    </row>
    <row r="246" spans="1:23" x14ac:dyDescent="0.25">
      <c r="A246" s="30">
        <v>0.74621539663662584</v>
      </c>
      <c r="B246"/>
      <c r="C246"/>
      <c r="D246"/>
      <c r="E246"/>
      <c r="F246" s="27" t="s">
        <v>7</v>
      </c>
      <c r="H246" s="27" t="s">
        <v>7</v>
      </c>
      <c r="I246" s="27" t="s">
        <v>8</v>
      </c>
      <c r="J246" s="27" t="s">
        <v>7</v>
      </c>
      <c r="K246" s="27" t="s">
        <v>8</v>
      </c>
    </row>
    <row r="247" spans="1:23" x14ac:dyDescent="0.25">
      <c r="A247" s="30">
        <v>0.71068133013011958</v>
      </c>
      <c r="B247"/>
      <c r="C247"/>
      <c r="D247"/>
      <c r="E247"/>
      <c r="H247" s="27" t="s">
        <v>7</v>
      </c>
      <c r="I247" s="27" t="s">
        <v>8</v>
      </c>
      <c r="J247" s="27" t="s">
        <v>7</v>
      </c>
      <c r="K247" s="27" t="s">
        <v>8</v>
      </c>
    </row>
    <row r="248" spans="1:23" x14ac:dyDescent="0.25">
      <c r="A248" s="30">
        <v>0.676839362028685</v>
      </c>
      <c r="B248"/>
      <c r="C248"/>
      <c r="D248"/>
      <c r="E248"/>
      <c r="H248" s="27" t="s">
        <v>7</v>
      </c>
      <c r="J248" s="27" t="s">
        <v>7</v>
      </c>
      <c r="K248" s="27" t="s">
        <v>8</v>
      </c>
    </row>
    <row r="249" spans="1:23" x14ac:dyDescent="0.25">
      <c r="A249" s="30">
        <v>0.64460891621779492</v>
      </c>
      <c r="B249"/>
      <c r="C249"/>
      <c r="D249"/>
      <c r="E249"/>
      <c r="J249" s="27" t="s">
        <v>7</v>
      </c>
      <c r="K249" s="27" t="s">
        <v>8</v>
      </c>
    </row>
    <row r="250" spans="1:23" x14ac:dyDescent="0.25">
      <c r="A250" s="30">
        <v>0.61391325354075688</v>
      </c>
      <c r="B250"/>
      <c r="C250"/>
      <c r="D250"/>
      <c r="E250"/>
      <c r="J250" s="27" t="s">
        <v>7</v>
      </c>
      <c r="K250" s="27" t="s">
        <v>8</v>
      </c>
    </row>
    <row r="251" spans="1:23" x14ac:dyDescent="0.25">
      <c r="A251" s="30">
        <v>0.58467928908643485</v>
      </c>
      <c r="B251"/>
      <c r="C251"/>
      <c r="D251"/>
      <c r="E251"/>
      <c r="J251" s="27" t="s">
        <v>7</v>
      </c>
      <c r="K251" s="27" t="s">
        <v>8</v>
      </c>
    </row>
    <row r="252" spans="1:23" x14ac:dyDescent="0.25">
      <c r="A252" s="30">
        <v>0.55683741817755672</v>
      </c>
      <c r="B252"/>
      <c r="C252"/>
      <c r="D252"/>
      <c r="E252"/>
      <c r="J252" s="27" t="s">
        <v>7</v>
      </c>
      <c r="K252" s="27" t="s">
        <v>8</v>
      </c>
    </row>
    <row r="253" spans="1:23" x14ac:dyDescent="0.25">
      <c r="A253" s="30">
        <v>0.53032135064529184</v>
      </c>
      <c r="B253"/>
      <c r="C253"/>
      <c r="D253"/>
      <c r="E253"/>
      <c r="J253" s="27" t="s">
        <v>7</v>
      </c>
    </row>
    <row r="254" spans="1:23" x14ac:dyDescent="0.25">
      <c r="A254" s="30">
        <v>0.50506795299551588</v>
      </c>
      <c r="B254"/>
      <c r="C254"/>
      <c r="D254"/>
      <c r="E254"/>
    </row>
    <row r="255" spans="1:23" x14ac:dyDescent="0.25">
      <c r="A255" s="30">
        <v>0.48101709809096732</v>
      </c>
      <c r="E255"/>
    </row>
    <row r="256" spans="1:23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91" operator="equal">
      <formula>$U$1</formula>
    </cfRule>
    <cfRule type="cellIs" dxfId="67" priority="892" operator="equal">
      <formula>$S$1</formula>
    </cfRule>
  </conditionalFormatting>
  <conditionalFormatting sqref="D136">
    <cfRule type="cellIs" dxfId="66" priority="889" operator="equal">
      <formula>$S$1</formula>
    </cfRule>
    <cfRule type="cellIs" dxfId="65" priority="890" operator="equal">
      <formula>$U$1</formula>
    </cfRule>
  </conditionalFormatting>
  <conditionalFormatting sqref="C162">
    <cfRule type="cellIs" dxfId="64" priority="887" operator="equal">
      <formula>$U$1</formula>
    </cfRule>
    <cfRule type="cellIs" dxfId="63" priority="888" operator="equal">
      <formula>$S$1</formula>
    </cfRule>
  </conditionalFormatting>
  <conditionalFormatting sqref="D162">
    <cfRule type="cellIs" dxfId="62" priority="885" operator="equal">
      <formula>$S$1</formula>
    </cfRule>
    <cfRule type="cellIs" dxfId="61" priority="886" operator="equal">
      <formula>$U$1</formula>
    </cfRule>
  </conditionalFormatting>
  <conditionalFormatting sqref="C187">
    <cfRule type="cellIs" dxfId="60" priority="883" operator="equal">
      <formula>$U$1</formula>
    </cfRule>
    <cfRule type="cellIs" dxfId="59" priority="884" operator="equal">
      <formula>$S$1</formula>
    </cfRule>
  </conditionalFormatting>
  <conditionalFormatting sqref="D187">
    <cfRule type="cellIs" dxfId="58" priority="881" operator="equal">
      <formula>$S$1</formula>
    </cfRule>
    <cfRule type="cellIs" dxfId="57" priority="882" operator="equal">
      <formula>$U$1</formula>
    </cfRule>
  </conditionalFormatting>
  <conditionalFormatting sqref="C212">
    <cfRule type="cellIs" dxfId="56" priority="879" operator="equal">
      <formula>$U$1</formula>
    </cfRule>
    <cfRule type="cellIs" dxfId="55" priority="880" operator="equal">
      <formula>$S$1</formula>
    </cfRule>
  </conditionalFormatting>
  <conditionalFormatting sqref="D212">
    <cfRule type="cellIs" dxfId="54" priority="877" operator="equal">
      <formula>$S$1</formula>
    </cfRule>
    <cfRule type="cellIs" dxfId="53" priority="878" operator="equal">
      <formula>$U$1</formula>
    </cfRule>
  </conditionalFormatting>
  <conditionalFormatting sqref="C237">
    <cfRule type="cellIs" dxfId="52" priority="875" operator="equal">
      <formula>$U$1</formula>
    </cfRule>
    <cfRule type="cellIs" dxfId="51" priority="876" operator="equal">
      <formula>$S$1</formula>
    </cfRule>
  </conditionalFormatting>
  <conditionalFormatting sqref="D237">
    <cfRule type="cellIs" dxfId="50" priority="873" operator="equal">
      <formula>$S$1</formula>
    </cfRule>
    <cfRule type="cellIs" dxfId="49" priority="874" operator="equal">
      <formula>$U$1</formula>
    </cfRule>
  </conditionalFormatting>
  <conditionalFormatting sqref="C106">
    <cfRule type="cellIs" dxfId="48" priority="871" operator="equal">
      <formula>$U$1</formula>
    </cfRule>
    <cfRule type="cellIs" dxfId="47" priority="872" operator="equal">
      <formula>$S$1</formula>
    </cfRule>
  </conditionalFormatting>
  <conditionalFormatting sqref="D106">
    <cfRule type="cellIs" dxfId="46" priority="869" operator="equal">
      <formula>$S$1</formula>
    </cfRule>
    <cfRule type="cellIs" dxfId="45" priority="870" operator="equal">
      <formula>$U$1</formula>
    </cfRule>
  </conditionalFormatting>
  <conditionalFormatting sqref="C81">
    <cfRule type="cellIs" dxfId="44" priority="867" operator="equal">
      <formula>$U$1</formula>
    </cfRule>
    <cfRule type="cellIs" dxfId="43" priority="868" operator="equal">
      <formula>$S$1</formula>
    </cfRule>
  </conditionalFormatting>
  <conditionalFormatting sqref="D81">
    <cfRule type="cellIs" dxfId="42" priority="865" operator="equal">
      <formula>$S$1</formula>
    </cfRule>
    <cfRule type="cellIs" dxfId="41" priority="866" operator="equal">
      <formula>$U$1</formula>
    </cfRule>
  </conditionalFormatting>
  <conditionalFormatting sqref="C56">
    <cfRule type="cellIs" dxfId="40" priority="863" operator="equal">
      <formula>$U$1</formula>
    </cfRule>
    <cfRule type="cellIs" dxfId="39" priority="864" operator="equal">
      <formula>$S$1</formula>
    </cfRule>
  </conditionalFormatting>
  <conditionalFormatting sqref="D56">
    <cfRule type="cellIs" dxfId="38" priority="861" operator="equal">
      <formula>$S$1</formula>
    </cfRule>
    <cfRule type="cellIs" dxfId="37" priority="862" operator="equal">
      <formula>$U$1</formula>
    </cfRule>
  </conditionalFormatting>
  <conditionalFormatting sqref="C31">
    <cfRule type="cellIs" dxfId="36" priority="859" operator="equal">
      <formula>$U$1</formula>
    </cfRule>
    <cfRule type="cellIs" dxfId="35" priority="860" operator="equal">
      <formula>$S$1</formula>
    </cfRule>
  </conditionalFormatting>
  <conditionalFormatting sqref="D31">
    <cfRule type="cellIs" dxfId="34" priority="857" operator="equal">
      <formula>$S$1</formula>
    </cfRule>
    <cfRule type="cellIs" dxfId="33" priority="85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90" zoomScale="90" zoomScaleNormal="90" workbookViewId="0">
      <pane xSplit="4" topLeftCell="G1" activePane="topRight" state="frozen"/>
      <selection activeCell="A109" sqref="A109"/>
      <selection pane="topRight" activeCell="AT97" sqref="AT9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46" x14ac:dyDescent="0.25">
      <c r="A81" s="30">
        <v>45.259255568176073</v>
      </c>
      <c r="E81"/>
    </row>
    <row r="82" spans="1:46" x14ac:dyDescent="0.25">
      <c r="A82" s="30">
        <v>41.144777789250973</v>
      </c>
      <c r="E82"/>
    </row>
    <row r="83" spans="1:46" x14ac:dyDescent="0.25">
      <c r="A83" s="30">
        <v>37.404343444773609</v>
      </c>
      <c r="E83"/>
    </row>
    <row r="84" spans="1:46" x14ac:dyDescent="0.25">
      <c r="A84" s="30">
        <v>34.003948586157826</v>
      </c>
      <c r="E84"/>
    </row>
    <row r="85" spans="1:46" x14ac:dyDescent="0.25">
      <c r="A85" s="30">
        <v>30.912680532870748</v>
      </c>
      <c r="E85"/>
    </row>
    <row r="86" spans="1:46" x14ac:dyDescent="0.25">
      <c r="A86" s="30">
        <v>28.102436848064315</v>
      </c>
      <c r="E86"/>
    </row>
    <row r="87" spans="1:46" x14ac:dyDescent="0.25">
      <c r="A87" s="30">
        <v>25.547669861876649</v>
      </c>
      <c r="E87"/>
    </row>
    <row r="88" spans="1:46" x14ac:dyDescent="0.25">
      <c r="A88" s="30">
        <v>23.225154419887861</v>
      </c>
      <c r="E88"/>
    </row>
    <row r="89" spans="1:46" x14ac:dyDescent="0.25">
      <c r="A89" s="30">
        <v>21.113776745352599</v>
      </c>
      <c r="E89"/>
    </row>
    <row r="90" spans="1:46" x14ac:dyDescent="0.25">
      <c r="A90" s="30">
        <v>19.194342495775089</v>
      </c>
      <c r="E90"/>
      <c r="AS90" s="27" t="s">
        <v>8</v>
      </c>
    </row>
    <row r="91" spans="1:46" x14ac:dyDescent="0.25">
      <c r="A91" s="30">
        <v>17.449402268886445</v>
      </c>
      <c r="E91"/>
      <c r="AO91" s="27" t="s">
        <v>8</v>
      </c>
      <c r="AQ91" s="27" t="s">
        <v>8</v>
      </c>
      <c r="AS91" s="27" t="s">
        <v>8</v>
      </c>
      <c r="AT91" s="27" t="s">
        <v>7</v>
      </c>
    </row>
    <row r="92" spans="1:46" x14ac:dyDescent="0.25">
      <c r="A92" s="30">
        <v>15.863092971714948</v>
      </c>
      <c r="C92" s="1" t="s">
        <v>15</v>
      </c>
      <c r="E92"/>
      <c r="AO92" s="27" t="s">
        <v>8</v>
      </c>
      <c r="AP92" s="27" t="s">
        <v>7</v>
      </c>
      <c r="AQ92" s="27" t="s">
        <v>8</v>
      </c>
      <c r="AR92" s="27" t="s">
        <v>7</v>
      </c>
      <c r="AS92" s="27" t="s">
        <v>8</v>
      </c>
      <c r="AT92" s="27" t="s">
        <v>7</v>
      </c>
    </row>
    <row r="93" spans="1:46" x14ac:dyDescent="0.25">
      <c r="A93" s="30">
        <v>14.420993610649951</v>
      </c>
      <c r="C93" s="7">
        <v>0.11167815779424731</v>
      </c>
      <c r="D93"/>
      <c r="E93"/>
      <c r="AO93" s="27" t="s">
        <v>8</v>
      </c>
      <c r="AP93" s="27" t="s">
        <v>7</v>
      </c>
      <c r="AQ93" s="27" t="s">
        <v>8</v>
      </c>
      <c r="AR93" s="27" t="s">
        <v>7</v>
      </c>
      <c r="AS93" s="27" t="s">
        <v>8</v>
      </c>
      <c r="AT93" s="27" t="s">
        <v>7</v>
      </c>
    </row>
    <row r="94" spans="1:46" x14ac:dyDescent="0.25">
      <c r="A94" s="30">
        <v>13.109994191499954</v>
      </c>
      <c r="E94"/>
      <c r="AM94" s="27" t="s">
        <v>8</v>
      </c>
      <c r="AO94" s="27" t="s">
        <v>8</v>
      </c>
      <c r="AP94" s="27" t="s">
        <v>7</v>
      </c>
      <c r="AQ94" s="27" t="s">
        <v>8</v>
      </c>
      <c r="AR94" s="27" t="s">
        <v>7</v>
      </c>
      <c r="AT94" s="27" t="s">
        <v>7</v>
      </c>
    </row>
    <row r="95" spans="1:46" x14ac:dyDescent="0.25">
      <c r="A95" s="30">
        <v>11.918176537727231</v>
      </c>
      <c r="C95" s="1" t="s">
        <v>11</v>
      </c>
      <c r="D95" s="1" t="s">
        <v>12</v>
      </c>
      <c r="E95"/>
      <c r="AM95" s="27" t="s">
        <v>8</v>
      </c>
      <c r="AN95" s="27" t="s">
        <v>7</v>
      </c>
      <c r="AO95" s="27" t="s">
        <v>8</v>
      </c>
      <c r="AP95" s="27" t="s">
        <v>7</v>
      </c>
      <c r="AQ95" s="27" t="s">
        <v>8</v>
      </c>
      <c r="AT95" s="27" t="s">
        <v>7</v>
      </c>
    </row>
    <row r="96" spans="1:46" x14ac:dyDescent="0.25">
      <c r="A96" s="30">
        <v>10.834705943388391</v>
      </c>
      <c r="C96"/>
      <c r="D96"/>
      <c r="E96"/>
      <c r="AI96" s="27" t="s">
        <v>8</v>
      </c>
      <c r="AM96" s="27" t="s">
        <v>8</v>
      </c>
      <c r="AN96" s="27" t="s">
        <v>7</v>
      </c>
      <c r="AO96" s="27" t="s">
        <v>8</v>
      </c>
      <c r="AP96" s="27" t="s">
        <v>7</v>
      </c>
      <c r="AQ96" s="27" t="s">
        <v>8</v>
      </c>
      <c r="AT96" s="27" t="s">
        <v>7</v>
      </c>
    </row>
    <row r="97" spans="1:46" x14ac:dyDescent="0.25">
      <c r="A97" s="30">
        <v>9.849732675807628</v>
      </c>
      <c r="E97"/>
      <c r="AI97" s="27" t="s">
        <v>8</v>
      </c>
      <c r="AJ97" s="27" t="s">
        <v>7</v>
      </c>
      <c r="AM97" s="27" t="s">
        <v>8</v>
      </c>
      <c r="AN97" s="27" t="s">
        <v>7</v>
      </c>
      <c r="AO97" s="27" t="s">
        <v>8</v>
      </c>
      <c r="AP97" s="27" t="s">
        <v>7</v>
      </c>
      <c r="AQ97" s="27" t="s">
        <v>8</v>
      </c>
      <c r="AT97" s="27" t="s">
        <v>7</v>
      </c>
    </row>
    <row r="98" spans="1:46" x14ac:dyDescent="0.25">
      <c r="A98" s="30">
        <v>8.9543024325523888</v>
      </c>
      <c r="C98" s="1" t="s">
        <v>13</v>
      </c>
      <c r="E98"/>
      <c r="AI98" s="27" t="s">
        <v>8</v>
      </c>
      <c r="AJ98" s="27" t="s">
        <v>7</v>
      </c>
      <c r="AK98" s="27" t="s">
        <v>8</v>
      </c>
      <c r="AM98" s="27" t="s">
        <v>8</v>
      </c>
      <c r="AN98" s="27" t="s">
        <v>7</v>
      </c>
      <c r="AO98" s="27" t="s">
        <v>8</v>
      </c>
      <c r="AP98" s="27" t="s">
        <v>7</v>
      </c>
      <c r="AQ98" s="27" t="s">
        <v>8</v>
      </c>
    </row>
    <row r="99" spans="1:46" x14ac:dyDescent="0.25">
      <c r="A99" s="30">
        <v>8.140274938683989</v>
      </c>
      <c r="C99" s="1">
        <f>C88</f>
        <v>0</v>
      </c>
      <c r="E99"/>
      <c r="AI99" s="27" t="s">
        <v>8</v>
      </c>
      <c r="AJ99" s="27" t="s">
        <v>7</v>
      </c>
      <c r="AK99" s="27" t="s">
        <v>8</v>
      </c>
      <c r="AL99" s="27" t="s">
        <v>7</v>
      </c>
      <c r="AM99" s="27" t="s">
        <v>8</v>
      </c>
      <c r="AN99" s="27" t="s">
        <v>7</v>
      </c>
      <c r="AO99" s="27" t="s">
        <v>8</v>
      </c>
      <c r="AP99" s="27" t="s">
        <v>7</v>
      </c>
    </row>
    <row r="100" spans="1:46" x14ac:dyDescent="0.25">
      <c r="A100" s="30">
        <v>7.4002499442581717</v>
      </c>
      <c r="C100"/>
      <c r="D100"/>
      <c r="E100"/>
      <c r="S100" s="27" t="s">
        <v>8</v>
      </c>
      <c r="U100" s="27" t="s">
        <v>8</v>
      </c>
      <c r="AI100" s="27" t="s">
        <v>8</v>
      </c>
      <c r="AJ100" s="27" t="s">
        <v>7</v>
      </c>
      <c r="AK100" s="27" t="s">
        <v>8</v>
      </c>
      <c r="AL100" s="27" t="s">
        <v>7</v>
      </c>
      <c r="AM100" s="27" t="s">
        <v>8</v>
      </c>
      <c r="AN100" s="27" t="s">
        <v>7</v>
      </c>
      <c r="AO100" s="27" t="s">
        <v>8</v>
      </c>
    </row>
    <row r="101" spans="1:46" x14ac:dyDescent="0.25">
      <c r="A101" s="30">
        <v>6.72749994932561</v>
      </c>
      <c r="C101" s="1" t="s">
        <v>14</v>
      </c>
      <c r="E101"/>
      <c r="S101" s="27" t="s">
        <v>8</v>
      </c>
      <c r="T101" s="27" t="s">
        <v>7</v>
      </c>
      <c r="U101" s="27" t="s">
        <v>8</v>
      </c>
      <c r="V101" s="27" t="s">
        <v>7</v>
      </c>
      <c r="Y101" s="33" t="s">
        <v>8</v>
      </c>
      <c r="AI101" s="27" t="s">
        <v>8</v>
      </c>
      <c r="AJ101" s="27" t="s">
        <v>7</v>
      </c>
      <c r="AL101" s="27" t="s">
        <v>7</v>
      </c>
      <c r="AN101" s="27" t="s">
        <v>7</v>
      </c>
    </row>
    <row r="102" spans="1:46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S102" s="27" t="s">
        <v>8</v>
      </c>
      <c r="T102" s="27" t="s">
        <v>7</v>
      </c>
      <c r="U102" s="27" t="s">
        <v>8</v>
      </c>
      <c r="V102" s="27" t="s">
        <v>7</v>
      </c>
      <c r="Y102" s="27" t="s">
        <v>8</v>
      </c>
      <c r="Z102" s="33" t="s">
        <v>7</v>
      </c>
      <c r="AI102" s="27" t="s">
        <v>8</v>
      </c>
    </row>
    <row r="103" spans="1:46" x14ac:dyDescent="0.25">
      <c r="A103" s="30">
        <v>5.5599173134922388</v>
      </c>
      <c r="E103"/>
      <c r="O103" s="27" t="s">
        <v>8</v>
      </c>
      <c r="S103" s="27" t="s">
        <v>8</v>
      </c>
      <c r="T103" s="27" t="s">
        <v>7</v>
      </c>
      <c r="U103" s="27" t="s">
        <v>8</v>
      </c>
      <c r="V103" s="27" t="s">
        <v>7</v>
      </c>
      <c r="W103" s="27" t="s">
        <v>8</v>
      </c>
      <c r="Y103" s="27" t="s">
        <v>8</v>
      </c>
      <c r="Z103" s="27" t="s">
        <v>7</v>
      </c>
      <c r="AA103" s="33"/>
      <c r="AI103" s="27" t="s">
        <v>8</v>
      </c>
    </row>
    <row r="104" spans="1:46" x14ac:dyDescent="0.25">
      <c r="A104" s="30">
        <v>5.0544702849929442</v>
      </c>
      <c r="E104"/>
      <c r="O104" s="27" t="s">
        <v>8</v>
      </c>
      <c r="P104" s="27" t="s">
        <v>7</v>
      </c>
      <c r="S104" s="27" t="s">
        <v>8</v>
      </c>
      <c r="T104" s="27" t="s">
        <v>7</v>
      </c>
      <c r="U104" s="27" t="s">
        <v>8</v>
      </c>
      <c r="V104" s="27" t="s">
        <v>7</v>
      </c>
      <c r="W104" s="27" t="s">
        <v>8</v>
      </c>
      <c r="X104" s="27" t="s">
        <v>7</v>
      </c>
      <c r="Y104" s="27" t="s">
        <v>8</v>
      </c>
      <c r="Z104" s="27" t="s">
        <v>7</v>
      </c>
      <c r="AB104" s="33"/>
      <c r="AI104" s="27" t="s">
        <v>8</v>
      </c>
    </row>
    <row r="105" spans="1:46" x14ac:dyDescent="0.25">
      <c r="A105" s="30">
        <v>4.594972986357222</v>
      </c>
      <c r="E105"/>
      <c r="O105" s="27" t="s">
        <v>8</v>
      </c>
      <c r="P105" s="27" t="s">
        <v>7</v>
      </c>
      <c r="Q105" s="27" t="s">
        <v>8</v>
      </c>
      <c r="S105" s="27" t="s">
        <v>8</v>
      </c>
      <c r="T105" s="27" t="s">
        <v>7</v>
      </c>
      <c r="V105" s="27" t="s">
        <v>7</v>
      </c>
      <c r="W105" s="27" t="s">
        <v>8</v>
      </c>
      <c r="X105" s="27" t="s">
        <v>7</v>
      </c>
      <c r="Y105" s="27" t="s">
        <v>8</v>
      </c>
      <c r="Z105" s="27" t="s">
        <v>7</v>
      </c>
      <c r="AC105" s="33"/>
      <c r="AI105" s="27" t="s">
        <v>8</v>
      </c>
    </row>
    <row r="106" spans="1:46" x14ac:dyDescent="0.25">
      <c r="A106" s="30">
        <v>4.1772481694156562</v>
      </c>
      <c r="E106"/>
      <c r="O106" s="27" t="s">
        <v>8</v>
      </c>
      <c r="P106" s="27" t="s">
        <v>7</v>
      </c>
      <c r="Q106" s="27" t="s">
        <v>8</v>
      </c>
      <c r="R106" s="27" t="s">
        <v>7</v>
      </c>
      <c r="S106" s="27" t="s">
        <v>8</v>
      </c>
      <c r="V106" s="27" t="s">
        <v>7</v>
      </c>
      <c r="X106" s="27" t="s">
        <v>7</v>
      </c>
      <c r="Z106" s="27" t="s">
        <v>7</v>
      </c>
      <c r="AA106" s="27" t="s">
        <v>8</v>
      </c>
      <c r="AD106" s="33"/>
      <c r="AI106" s="27" t="s">
        <v>8</v>
      </c>
    </row>
    <row r="107" spans="1:46" x14ac:dyDescent="0.25">
      <c r="A107" s="30">
        <v>3.7974983358324148</v>
      </c>
      <c r="E107"/>
      <c r="O107" s="27" t="s">
        <v>8</v>
      </c>
      <c r="P107" s="27" t="s">
        <v>7</v>
      </c>
      <c r="Q107" s="27" t="s">
        <v>8</v>
      </c>
      <c r="R107" s="27" t="s">
        <v>7</v>
      </c>
      <c r="S107" s="27" t="s">
        <v>8</v>
      </c>
      <c r="Z107" s="27" t="s">
        <v>7</v>
      </c>
      <c r="AA107" s="27" t="s">
        <v>8</v>
      </c>
      <c r="AB107" s="27" t="s">
        <v>7</v>
      </c>
      <c r="AE107" s="33"/>
      <c r="AI107" s="27" t="s">
        <v>8</v>
      </c>
    </row>
    <row r="108" spans="1:46" x14ac:dyDescent="0.25">
      <c r="A108" s="30">
        <v>3.4522712143931042</v>
      </c>
      <c r="E108"/>
      <c r="O108" s="27" t="s">
        <v>8</v>
      </c>
      <c r="P108" s="27" t="s">
        <v>7</v>
      </c>
      <c r="Q108" s="27" t="s">
        <v>8</v>
      </c>
      <c r="R108" s="27" t="s">
        <v>7</v>
      </c>
      <c r="Z108" s="27" t="s">
        <v>7</v>
      </c>
      <c r="AA108" s="27" t="s">
        <v>8</v>
      </c>
      <c r="AB108" s="27" t="s">
        <v>7</v>
      </c>
      <c r="AC108" s="27" t="s">
        <v>8</v>
      </c>
      <c r="AE108" s="27" t="s">
        <v>8</v>
      </c>
      <c r="AF108" s="33"/>
      <c r="AI108" s="27" t="s">
        <v>8</v>
      </c>
    </row>
    <row r="109" spans="1:46" x14ac:dyDescent="0.25">
      <c r="A109" s="30">
        <v>3.1384283767210035</v>
      </c>
      <c r="E109"/>
      <c r="O109" s="27" t="s">
        <v>8</v>
      </c>
      <c r="P109" s="27" t="s">
        <v>7</v>
      </c>
      <c r="Q109" s="27" t="s">
        <v>8</v>
      </c>
      <c r="Z109" s="27" t="s">
        <v>7</v>
      </c>
      <c r="AB109" s="27" t="s">
        <v>7</v>
      </c>
      <c r="AC109" s="27" t="s">
        <v>8</v>
      </c>
      <c r="AD109" s="27" t="s">
        <v>7</v>
      </c>
      <c r="AE109" s="27" t="s">
        <v>8</v>
      </c>
      <c r="AF109" s="27" t="s">
        <v>7</v>
      </c>
      <c r="AG109" s="33"/>
      <c r="AI109" s="27" t="s">
        <v>8</v>
      </c>
    </row>
    <row r="110" spans="1:46" x14ac:dyDescent="0.25">
      <c r="A110" s="30">
        <v>2.8531167061100029</v>
      </c>
      <c r="E110"/>
      <c r="O110" s="27" t="s">
        <v>8</v>
      </c>
      <c r="P110" s="27" t="s">
        <v>7</v>
      </c>
      <c r="AB110" s="27" t="s">
        <v>7</v>
      </c>
      <c r="AC110" s="27" t="s">
        <v>8</v>
      </c>
      <c r="AD110" s="27" t="s">
        <v>7</v>
      </c>
      <c r="AE110" s="27" t="s">
        <v>8</v>
      </c>
      <c r="AF110" s="27" t="s">
        <v>7</v>
      </c>
      <c r="AH110" s="33"/>
      <c r="AI110" s="27" t="s">
        <v>8</v>
      </c>
    </row>
    <row r="111" spans="1:46" x14ac:dyDescent="0.25">
      <c r="A111" s="30">
        <v>2.5937424601000023</v>
      </c>
      <c r="C111" s="1" t="str">
        <f>ADDRESS(C121-1,1,1,1)</f>
        <v>$A$96</v>
      </c>
      <c r="D111" s="1" t="str">
        <f>ADDRESS(C121-1,D121,1,1)</f>
        <v>$AT$96</v>
      </c>
      <c r="E111"/>
      <c r="O111" s="27" t="s">
        <v>8</v>
      </c>
      <c r="AB111" s="27" t="s">
        <v>7</v>
      </c>
      <c r="AC111" s="27" t="s">
        <v>8</v>
      </c>
      <c r="AD111" s="27" t="s">
        <v>7</v>
      </c>
      <c r="AF111" s="27" t="s">
        <v>7</v>
      </c>
      <c r="AI111" s="33" t="s">
        <v>8</v>
      </c>
    </row>
    <row r="112" spans="1:46" x14ac:dyDescent="0.25">
      <c r="A112" s="30">
        <v>2.3579476910000019</v>
      </c>
      <c r="C112" s="1" t="str">
        <f>ADDRESS(C121,1,1,1)</f>
        <v>$A$97</v>
      </c>
      <c r="D112" s="1" t="str">
        <f>ADDRESS(C121,D121-1,1,1)</f>
        <v>$AS$97</v>
      </c>
      <c r="E112"/>
      <c r="O112" s="27" t="s">
        <v>8</v>
      </c>
      <c r="AB112" s="27" t="s">
        <v>7</v>
      </c>
      <c r="AF112" s="27" t="s">
        <v>7</v>
      </c>
      <c r="AG112" s="27" t="s">
        <v>8</v>
      </c>
      <c r="AI112" s="27" t="s">
        <v>8</v>
      </c>
      <c r="AL112" s="33"/>
    </row>
    <row r="113" spans="1:37" x14ac:dyDescent="0.25">
      <c r="A113" s="30">
        <v>2.1435888100000016</v>
      </c>
      <c r="C113" s="1" t="str">
        <f>ADDRESS(C121+1,1,1,1)</f>
        <v>$A$98</v>
      </c>
      <c r="D113" s="1" t="str">
        <f>ADDRESS(C121-1,D121+1,1,1)</f>
        <v>$AU$96</v>
      </c>
      <c r="O113" s="27" t="s">
        <v>8</v>
      </c>
      <c r="AF113" s="27" t="s">
        <v>7</v>
      </c>
      <c r="AG113" s="27" t="s">
        <v>8</v>
      </c>
      <c r="AH113" s="27" t="s">
        <v>7</v>
      </c>
      <c r="AI113" s="27" t="s">
        <v>8</v>
      </c>
      <c r="AK113" s="33"/>
    </row>
    <row r="114" spans="1:37" x14ac:dyDescent="0.25">
      <c r="A114" s="30">
        <v>1.9487171000000014</v>
      </c>
      <c r="C114" s="1" t="str">
        <f>ADDRESS(C121,D121,1,1)</f>
        <v>$AT$97</v>
      </c>
      <c r="D114" s="1" t="str">
        <f>ADDRESS(C121+1,D121+1,1,1)</f>
        <v>$AU$98</v>
      </c>
      <c r="M114" s="27" t="s">
        <v>8</v>
      </c>
      <c r="O114" s="27" t="s">
        <v>8</v>
      </c>
      <c r="AF114" s="27" t="s">
        <v>7</v>
      </c>
      <c r="AG114" s="27" t="s">
        <v>8</v>
      </c>
      <c r="AH114" s="27" t="s">
        <v>7</v>
      </c>
      <c r="AI114" s="27" t="s">
        <v>8</v>
      </c>
      <c r="AJ114" s="33"/>
    </row>
    <row r="115" spans="1:37" x14ac:dyDescent="0.25">
      <c r="A115" s="30">
        <v>1.7715610000000011</v>
      </c>
      <c r="C115" s="1" t="str">
        <f>ADDRESS(C121+1,D121,1,1)</f>
        <v>$AT$98</v>
      </c>
      <c r="M115" s="27" t="s">
        <v>8</v>
      </c>
      <c r="N115" s="27" t="s">
        <v>7</v>
      </c>
      <c r="O115" s="27" t="s">
        <v>8</v>
      </c>
      <c r="AF115" s="27" t="s">
        <v>7</v>
      </c>
      <c r="AH115" s="18" t="s">
        <v>7</v>
      </c>
      <c r="AI115" s="33" t="s">
        <v>8</v>
      </c>
    </row>
    <row r="116" spans="1:37" x14ac:dyDescent="0.25">
      <c r="A116" s="30">
        <v>1.6105100000000008</v>
      </c>
      <c r="C116" s="1">
        <f>C117-1</f>
        <v>96</v>
      </c>
      <c r="K116" s="27" t="s">
        <v>8</v>
      </c>
      <c r="M116" s="27" t="s">
        <v>8</v>
      </c>
      <c r="N116" s="27" t="s">
        <v>7</v>
      </c>
      <c r="O116" s="27" t="s">
        <v>8</v>
      </c>
      <c r="AH116" s="33" t="s">
        <v>7</v>
      </c>
    </row>
    <row r="117" spans="1:37" x14ac:dyDescent="0.25">
      <c r="A117" s="30">
        <v>1.4641000000000006</v>
      </c>
      <c r="C117" s="1">
        <f>C121</f>
        <v>97</v>
      </c>
      <c r="D117" s="1">
        <f>D121</f>
        <v>46</v>
      </c>
      <c r="K117" s="27" t="s">
        <v>8</v>
      </c>
      <c r="L117" s="27" t="s">
        <v>7</v>
      </c>
      <c r="M117" s="27" t="s">
        <v>8</v>
      </c>
      <c r="N117" s="27" t="s">
        <v>7</v>
      </c>
    </row>
    <row r="118" spans="1:37" x14ac:dyDescent="0.25">
      <c r="A118" s="30">
        <v>1.3310000000000004</v>
      </c>
      <c r="C118" s="1">
        <f>C117+1</f>
        <v>98</v>
      </c>
      <c r="D118" s="1">
        <f>D117+1</f>
        <v>47</v>
      </c>
      <c r="K118" s="27" t="s">
        <v>8</v>
      </c>
      <c r="L118" s="27" t="s">
        <v>7</v>
      </c>
      <c r="M118" s="27" t="s">
        <v>8</v>
      </c>
    </row>
    <row r="119" spans="1:37" x14ac:dyDescent="0.25">
      <c r="A119" s="30">
        <v>1.2100000000000002</v>
      </c>
      <c r="E119" s="1" t="s">
        <v>8</v>
      </c>
      <c r="G119" s="27" t="s">
        <v>8</v>
      </c>
      <c r="I119" s="27" t="s">
        <v>8</v>
      </c>
      <c r="K119" s="27" t="s">
        <v>8</v>
      </c>
      <c r="L119" s="27" t="s">
        <v>7</v>
      </c>
      <c r="M119" s="27" t="s">
        <v>8</v>
      </c>
    </row>
    <row r="120" spans="1:37" x14ac:dyDescent="0.25">
      <c r="A120" s="30">
        <v>1.1000000000000001</v>
      </c>
      <c r="C120" s="1" t="s">
        <v>9</v>
      </c>
      <c r="E120" s="1" t="s">
        <v>8</v>
      </c>
      <c r="F120" s="27" t="s">
        <v>7</v>
      </c>
      <c r="G120" s="27" t="s">
        <v>8</v>
      </c>
      <c r="H120" s="27" t="s">
        <v>7</v>
      </c>
      <c r="I120" s="27" t="s">
        <v>8</v>
      </c>
      <c r="J120" s="27" t="s">
        <v>7</v>
      </c>
      <c r="K120" s="27" t="s">
        <v>8</v>
      </c>
      <c r="L120" s="27" t="s">
        <v>7</v>
      </c>
      <c r="M120" s="27" t="s">
        <v>8</v>
      </c>
    </row>
    <row r="121" spans="1:37" x14ac:dyDescent="0.25">
      <c r="A121" s="30">
        <v>1</v>
      </c>
      <c r="C121" s="18">
        <v>97</v>
      </c>
      <c r="D121" s="19">
        <v>46</v>
      </c>
      <c r="E121" s="18" t="s">
        <v>8</v>
      </c>
      <c r="F121" s="27" t="s">
        <v>7</v>
      </c>
      <c r="G121" s="27" t="s">
        <v>8</v>
      </c>
      <c r="H121" s="27" t="s">
        <v>7</v>
      </c>
      <c r="I121" s="27" t="s">
        <v>8</v>
      </c>
      <c r="J121" s="27" t="s">
        <v>7</v>
      </c>
      <c r="K121" s="27" t="s">
        <v>8</v>
      </c>
      <c r="L121" s="27" t="s">
        <v>7</v>
      </c>
      <c r="M121" s="27" t="s">
        <v>8</v>
      </c>
    </row>
    <row r="122" spans="1:37" x14ac:dyDescent="0.25">
      <c r="A122" s="30">
        <v>0.90909090909090895</v>
      </c>
      <c r="C122" s="1" t="str">
        <f>INDEX(1:1048576,C117,D117)</f>
        <v>O</v>
      </c>
      <c r="F122" s="27" t="s">
        <v>7</v>
      </c>
      <c r="G122" s="27" t="s">
        <v>8</v>
      </c>
      <c r="H122" s="27" t="s">
        <v>7</v>
      </c>
      <c r="J122" s="27" t="s">
        <v>7</v>
      </c>
      <c r="L122" s="27" t="s">
        <v>7</v>
      </c>
    </row>
    <row r="123" spans="1:37" x14ac:dyDescent="0.25">
      <c r="A123" s="30">
        <v>0.82644628099173523</v>
      </c>
      <c r="C123" s="1" t="str">
        <f>"R"&amp;C121</f>
        <v>R97</v>
      </c>
      <c r="D123" s="1" t="str">
        <f>"C"&amp;D121</f>
        <v>C46</v>
      </c>
      <c r="F123" s="27" t="s">
        <v>7</v>
      </c>
      <c r="G123" s="27" t="s">
        <v>8</v>
      </c>
    </row>
    <row r="124" spans="1:37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G124" s="27" t="s">
        <v>8</v>
      </c>
    </row>
    <row r="125" spans="1:37" x14ac:dyDescent="0.25">
      <c r="A125" s="30">
        <v>0.68301345536507019</v>
      </c>
      <c r="F125" s="27" t="s">
        <v>7</v>
      </c>
      <c r="G125" s="27" t="s">
        <v>8</v>
      </c>
    </row>
    <row r="126" spans="1:37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</row>
    <row r="127" spans="1:37" x14ac:dyDescent="0.25">
      <c r="A127" s="30">
        <v>0.56447393005377677</v>
      </c>
      <c r="C127" s="30">
        <v>9.849732675807628</v>
      </c>
      <c r="D127"/>
      <c r="F127" s="27" t="s">
        <v>7</v>
      </c>
    </row>
    <row r="128" spans="1:37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75" operator="equal">
      <formula>$U$1</formula>
    </cfRule>
    <cfRule type="cellIs" dxfId="30" priority="876" operator="equal">
      <formula>$S$1</formula>
    </cfRule>
  </conditionalFormatting>
  <conditionalFormatting sqref="D136">
    <cfRule type="cellIs" dxfId="29" priority="873" operator="equal">
      <formula>$S$1</formula>
    </cfRule>
    <cfRule type="cellIs" dxfId="28" priority="874" operator="equal">
      <formula>$U$1</formula>
    </cfRule>
  </conditionalFormatting>
  <conditionalFormatting sqref="C102">
    <cfRule type="cellIs" dxfId="27" priority="871" operator="equal">
      <formula>$U$1</formula>
    </cfRule>
    <cfRule type="cellIs" dxfId="26" priority="872" operator="equal">
      <formula>$S$1</formula>
    </cfRule>
  </conditionalFormatting>
  <conditionalFormatting sqref="D102">
    <cfRule type="cellIs" dxfId="25" priority="869" operator="equal">
      <formula>$S$1</formula>
    </cfRule>
    <cfRule type="cellIs" dxfId="24" priority="870" operator="equal">
      <formula>$U$1</formula>
    </cfRule>
  </conditionalFormatting>
  <conditionalFormatting sqref="C77">
    <cfRule type="cellIs" dxfId="23" priority="867" operator="equal">
      <formula>$U$1</formula>
    </cfRule>
    <cfRule type="cellIs" dxfId="22" priority="868" operator="equal">
      <formula>$S$1</formula>
    </cfRule>
  </conditionalFormatting>
  <conditionalFormatting sqref="D77">
    <cfRule type="cellIs" dxfId="21" priority="865" operator="equal">
      <formula>$S$1</formula>
    </cfRule>
    <cfRule type="cellIs" dxfId="20" priority="866" operator="equal">
      <formula>$U$1</formula>
    </cfRule>
  </conditionalFormatting>
  <conditionalFormatting sqref="C52">
    <cfRule type="cellIs" dxfId="19" priority="863" operator="equal">
      <formula>$U$1</formula>
    </cfRule>
    <cfRule type="cellIs" dxfId="18" priority="864" operator="equal">
      <formula>$S$1</formula>
    </cfRule>
  </conditionalFormatting>
  <conditionalFormatting sqref="D52">
    <cfRule type="cellIs" dxfId="17" priority="861" operator="equal">
      <formula>$S$1</formula>
    </cfRule>
    <cfRule type="cellIs" dxfId="16" priority="862" operator="equal">
      <formula>$U$1</formula>
    </cfRule>
  </conditionalFormatting>
  <conditionalFormatting sqref="C26">
    <cfRule type="cellIs" dxfId="15" priority="859" operator="equal">
      <formula>$U$1</formula>
    </cfRule>
    <cfRule type="cellIs" dxfId="14" priority="860" operator="equal">
      <formula>$S$1</formula>
    </cfRule>
  </conditionalFormatting>
  <conditionalFormatting sqref="D26">
    <cfRule type="cellIs" dxfId="13" priority="857" operator="equal">
      <formula>$S$1</formula>
    </cfRule>
    <cfRule type="cellIs" dxfId="12" priority="85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4" t="s">
        <v>17</v>
      </c>
      <c r="C1" s="34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1.5513282159785162</v>
      </c>
      <c r="F3" s="30">
        <v>1.628894626777442</v>
      </c>
      <c r="G3" s="30">
        <v>2.4066192336910861</v>
      </c>
      <c r="H3" s="25">
        <f>IF(G3="","",(3*(G3-F3))+E3)</f>
        <v>3.8845020367194487</v>
      </c>
      <c r="I3" s="7"/>
      <c r="J3" s="7">
        <f>(E3+G3)/2</f>
        <v>1.9789737248348012</v>
      </c>
      <c r="K3" s="7">
        <f>H3/2</f>
        <v>1.9422510183597244</v>
      </c>
      <c r="M3" s="26">
        <f>IF(OR(J3="",H3=""),"",H3/J3)</f>
        <v>1.9628871207189551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2022-01-28T01:19:20Z</dcterms:modified>
</cp:coreProperties>
</file>