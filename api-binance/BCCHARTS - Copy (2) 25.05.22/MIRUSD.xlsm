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DA65B21-2DEF-49F1-A45A-C87AF943941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18" i="4"/>
  <c r="C122" i="3"/>
  <c r="C133" i="3" s="1"/>
  <c r="D136" i="3" s="1"/>
  <c r="C116" i="3"/>
  <c r="R765" i="1"/>
  <c r="S766" i="1"/>
  <c r="T766" i="1" s="1"/>
  <c r="C136" i="4"/>
  <c r="D136" i="4"/>
  <c r="C136" i="5" l="1"/>
  <c r="C138" i="5" s="1"/>
  <c r="C136" i="3"/>
  <c r="C138" i="3" s="1"/>
  <c r="C138" i="4"/>
  <c r="R764" i="1"/>
  <c r="S765" i="1"/>
  <c r="T765" i="1" s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S714" i="1" l="1"/>
  <c r="T714" i="1" s="1"/>
  <c r="R713" i="1"/>
  <c r="S713" i="1" l="1"/>
  <c r="T713" i="1" s="1"/>
  <c r="R712" i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R678" i="1" l="1"/>
  <c r="S679" i="1"/>
  <c r="T679" i="1" s="1"/>
  <c r="R677" i="1" l="1"/>
  <c r="S678" i="1"/>
  <c r="T678" i="1" s="1"/>
  <c r="S677" i="1" l="1"/>
  <c r="T677" i="1" s="1"/>
  <c r="R676" i="1"/>
  <c r="S676" i="1" l="1"/>
  <c r="T676" i="1" s="1"/>
  <c r="R675" i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S668" i="1" l="1"/>
  <c r="T668" i="1" s="1"/>
  <c r="R667" i="1"/>
  <c r="R666" i="1" l="1"/>
  <c r="S667" i="1"/>
  <c r="T667" i="1" s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S651" i="1" l="1"/>
  <c r="T651" i="1" s="1"/>
  <c r="R650" i="1"/>
  <c r="S650" i="1" l="1"/>
  <c r="T650" i="1" s="1"/>
  <c r="R649" i="1"/>
  <c r="R648" i="1" l="1"/>
  <c r="S649" i="1"/>
  <c r="T649" i="1" s="1"/>
  <c r="R647" i="1" l="1"/>
  <c r="S648" i="1"/>
  <c r="T648" i="1" s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R641" i="1" l="1"/>
  <c r="S642" i="1"/>
  <c r="T642" i="1" s="1"/>
  <c r="R640" i="1" l="1"/>
  <c r="S641" i="1"/>
  <c r="T641" i="1" s="1"/>
  <c r="S640" i="1" l="1"/>
  <c r="T640" i="1" s="1"/>
  <c r="R639" i="1"/>
  <c r="S639" i="1" l="1"/>
  <c r="T639" i="1" s="1"/>
  <c r="R638" i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S631" i="1" l="1"/>
  <c r="T631" i="1" s="1"/>
  <c r="R630" i="1"/>
  <c r="R629" i="1" l="1"/>
  <c r="S630" i="1"/>
  <c r="T630" i="1" s="1"/>
  <c r="S629" i="1" l="1"/>
  <c r="T629" i="1" s="1"/>
  <c r="R628" i="1"/>
  <c r="R627" i="1" l="1"/>
  <c r="S628" i="1"/>
  <c r="T628" i="1" s="1"/>
  <c r="R626" i="1" l="1"/>
  <c r="S627" i="1"/>
  <c r="T627" i="1" s="1"/>
  <c r="S626" i="1" l="1"/>
  <c r="T626" i="1" s="1"/>
  <c r="R625" i="1"/>
  <c r="R624" i="1" l="1"/>
  <c r="S625" i="1"/>
  <c r="T625" i="1" s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S620" i="1" l="1"/>
  <c r="T620" i="1" s="1"/>
  <c r="R619" i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S614" i="1" l="1"/>
  <c r="T614" i="1" s="1"/>
  <c r="R613" i="1"/>
  <c r="S613" i="1" l="1"/>
  <c r="T613" i="1" s="1"/>
  <c r="R612" i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S608" i="1" l="1"/>
  <c r="T608" i="1" s="1"/>
  <c r="R607" i="1"/>
  <c r="S607" i="1" l="1"/>
  <c r="T607" i="1" s="1"/>
  <c r="R606" i="1"/>
  <c r="S606" i="1" l="1"/>
  <c r="T606" i="1" s="1"/>
  <c r="R605" i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S583" i="1" l="1"/>
  <c r="T583" i="1" s="1"/>
  <c r="R582" i="1"/>
  <c r="R581" i="1" l="1"/>
  <c r="S582" i="1"/>
  <c r="T582" i="1" s="1"/>
  <c r="R580" i="1" l="1"/>
  <c r="S581" i="1"/>
  <c r="T581" i="1" s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R559" i="1" l="1"/>
  <c r="S560" i="1"/>
  <c r="T560" i="1" s="1"/>
  <c r="S559" i="1" l="1"/>
  <c r="T559" i="1" s="1"/>
  <c r="R558" i="1"/>
  <c r="R557" i="1" l="1"/>
  <c r="S558" i="1"/>
  <c r="T558" i="1" s="1"/>
  <c r="R556" i="1" l="1"/>
  <c r="S557" i="1"/>
  <c r="T557" i="1" s="1"/>
  <c r="S556" i="1" l="1"/>
  <c r="T556" i="1" s="1"/>
  <c r="R555" i="1"/>
  <c r="S555" i="1" l="1"/>
  <c r="T555" i="1" s="1"/>
  <c r="R554" i="1"/>
  <c r="R553" i="1" l="1"/>
  <c r="S554" i="1"/>
  <c r="T554" i="1" s="1"/>
  <c r="S553" i="1" l="1"/>
  <c r="T553" i="1" s="1"/>
  <c r="R552" i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R541" i="1" l="1"/>
  <c r="S542" i="1"/>
  <c r="T542" i="1" s="1"/>
  <c r="S541" i="1" l="1"/>
  <c r="T541" i="1" s="1"/>
  <c r="R540" i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R500" i="1" l="1"/>
  <c r="S501" i="1"/>
  <c r="T501" i="1" s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R478" i="1" l="1"/>
  <c r="S479" i="1"/>
  <c r="T479" i="1" s="1"/>
  <c r="S478" i="1" l="1"/>
  <c r="T478" i="1" s="1"/>
  <c r="R477" i="1"/>
  <c r="S477" i="1" l="1"/>
  <c r="T477" i="1" s="1"/>
  <c r="R476" i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S454" i="1" l="1"/>
  <c r="T454" i="1" s="1"/>
  <c r="R453" i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R432" i="1" l="1"/>
  <c r="S433" i="1"/>
  <c r="T433" i="1" s="1"/>
  <c r="R431" i="1" l="1"/>
  <c r="S432" i="1"/>
  <c r="T432" i="1" s="1"/>
  <c r="S431" i="1" l="1"/>
  <c r="T431" i="1" s="1"/>
  <c r="R430" i="1"/>
  <c r="R429" i="1" l="1"/>
  <c r="S430" i="1"/>
  <c r="T430" i="1" s="1"/>
  <c r="S429" i="1" l="1"/>
  <c r="T429" i="1" s="1"/>
  <c r="R428" i="1"/>
  <c r="R427" i="1" l="1"/>
  <c r="S428" i="1"/>
  <c r="T428" i="1" s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S339" i="1" l="1"/>
  <c r="T339" i="1" s="1"/>
  <c r="R338" i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S313" i="1" l="1"/>
  <c r="T313" i="1" s="1"/>
  <c r="R312" i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S297" i="1" l="1"/>
  <c r="T297" i="1" s="1"/>
  <c r="R296" i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S262" i="1" l="1"/>
  <c r="T262" i="1" s="1"/>
  <c r="R261" i="1"/>
  <c r="R260" i="1" l="1"/>
  <c r="S261" i="1"/>
  <c r="T261" i="1" s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S242" i="1" l="1"/>
  <c r="T242" i="1" s="1"/>
  <c r="R241" i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S230" i="1" l="1"/>
  <c r="T230" i="1" s="1"/>
  <c r="R229" i="1"/>
  <c r="R228" i="1" l="1"/>
  <c r="S229" i="1"/>
  <c r="T229" i="1" s="1"/>
  <c r="S228" i="1" l="1"/>
  <c r="T228" i="1" s="1"/>
  <c r="R227" i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R47" i="1" l="1"/>
  <c r="S48" i="1"/>
  <c r="T48" i="1" s="1"/>
  <c r="S47" i="1" l="1"/>
  <c r="T47" i="1" s="1"/>
  <c r="R46" i="1"/>
  <c r="R45" i="1" l="1"/>
  <c r="S46" i="1"/>
  <c r="T46" i="1" s="1"/>
  <c r="R44" i="1" l="1"/>
  <c r="S45" i="1"/>
  <c r="T45" i="1" s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<sst xmlns="http://schemas.openxmlformats.org/spreadsheetml/2006/main" count="2539" uniqueCount="34">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</sst>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1.169</c:v>
                </c:pt>
                <c:pt idx="1">
                  <c:v>1.1910000000000001</c:v>
                </c:pt>
                <c:pt idx="2">
                  <c:v>1.208</c:v>
                </c:pt>
                <c:pt idx="3">
                  <c:v>1.2629999999999999</c:v>
                </c:pt>
                <c:pt idx="4">
                  <c:v>1.302</c:v>
                </c:pt>
                <c:pt idx="5">
                  <c:v>1.286</c:v>
                </c:pt>
                <c:pt idx="6">
                  <c:v>1.405</c:v>
                </c:pt>
                <c:pt idx="7">
                  <c:v>1.4970000000000001</c:v>
                </c:pt>
                <c:pt idx="8">
                  <c:v>1.5289999999999999</c:v>
                </c:pt>
                <c:pt idx="9">
                  <c:v>1.587</c:v>
                </c:pt>
                <c:pt idx="10">
                  <c:v>1.643</c:v>
                </c:pt>
                <c:pt idx="11">
                  <c:v>1.702</c:v>
                </c:pt>
                <c:pt idx="12">
                  <c:v>1.734</c:v>
                </c:pt>
                <c:pt idx="13">
                  <c:v>1.7290000000000001</c:v>
                </c:pt>
                <c:pt idx="14">
                  <c:v>1.875</c:v>
                </c:pt>
                <c:pt idx="15">
                  <c:v>1.8089999999999999</c:v>
                </c:pt>
                <c:pt idx="16">
                  <c:v>1.7709999999999999</c:v>
                </c:pt>
                <c:pt idx="17">
                  <c:v>1.752</c:v>
                </c:pt>
                <c:pt idx="18">
                  <c:v>1.85</c:v>
                </c:pt>
                <c:pt idx="19">
                  <c:v>1.835</c:v>
                </c:pt>
                <c:pt idx="20">
                  <c:v>1.913</c:v>
                </c:pt>
                <c:pt idx="21">
                  <c:v>2.0249999999999999</c:v>
                </c:pt>
                <c:pt idx="22">
                  <c:v>2.0910000000000002</c:v>
                </c:pt>
                <c:pt idx="23">
                  <c:v>2.2120000000000002</c:v>
                </c:pt>
                <c:pt idx="24">
                  <c:v>2.2909999999999999</c:v>
                </c:pt>
                <c:pt idx="25">
                  <c:v>2.4009999999999998</c:v>
                </c:pt>
                <c:pt idx="26">
                  <c:v>2.4740000000000002</c:v>
                </c:pt>
                <c:pt idx="27">
                  <c:v>2.4430000000000001</c:v>
                </c:pt>
                <c:pt idx="28">
                  <c:v>2.379</c:v>
                </c:pt>
                <c:pt idx="29">
                  <c:v>2.395</c:v>
                </c:pt>
                <c:pt idx="30">
                  <c:v>2.46</c:v>
                </c:pt>
                <c:pt idx="31">
                  <c:v>2.6349999999999998</c:v>
                </c:pt>
                <c:pt idx="32">
                  <c:v>2.7309999999999999</c:v>
                </c:pt>
                <c:pt idx="33">
                  <c:v>2.65</c:v>
                </c:pt>
                <c:pt idx="34">
                  <c:v>2.5350000000000001</c:v>
                </c:pt>
                <c:pt idx="35">
                  <c:v>2.512</c:v>
                </c:pt>
                <c:pt idx="36">
                  <c:v>2.4620000000000002</c:v>
                </c:pt>
                <c:pt idx="37">
                  <c:v>2.512</c:v>
                </c:pt>
                <c:pt idx="38">
                  <c:v>2.4390000000000001</c:v>
                </c:pt>
                <c:pt idx="39">
                  <c:v>2.5790000000000002</c:v>
                </c:pt>
                <c:pt idx="40">
                  <c:v>2.5609999999999999</c:v>
                </c:pt>
                <c:pt idx="41">
                  <c:v>2.48</c:v>
                </c:pt>
                <c:pt idx="42">
                  <c:v>2.2719999999999998</c:v>
                </c:pt>
                <c:pt idx="43">
                  <c:v>2.3119999999999998</c:v>
                </c:pt>
                <c:pt idx="44">
                  <c:v>2.1589999999999998</c:v>
                </c:pt>
                <c:pt idx="45">
                  <c:v>2.1659999999999999</c:v>
                </c:pt>
                <c:pt idx="46">
                  <c:v>2.4249999999999998</c:v>
                </c:pt>
                <c:pt idx="47">
                  <c:v>2.7589999999999999</c:v>
                </c:pt>
                <c:pt idx="48">
                  <c:v>2.7639999999999998</c:v>
                </c:pt>
                <c:pt idx="49">
                  <c:v>2.379</c:v>
                </c:pt>
                <c:pt idx="50">
                  <c:v>2.2069999999999999</c:v>
                </c:pt>
                <c:pt idx="51">
                  <c:v>2.1560000000000001</c:v>
                </c:pt>
                <c:pt idx="52">
                  <c:v>2.1850000000000001</c:v>
                </c:pt>
                <c:pt idx="53">
                  <c:v>2.226</c:v>
                </c:pt>
                <c:pt idx="54">
                  <c:v>2.3220000000000001</c:v>
                </c:pt>
                <c:pt idx="55">
                  <c:v>2.6859999999999999</c:v>
                </c:pt>
                <c:pt idx="56">
                  <c:v>2.6459999999999999</c:v>
                </c:pt>
                <c:pt idx="57">
                  <c:v>2.718</c:v>
                </c:pt>
                <c:pt idx="58">
                  <c:v>2.7050000000000001</c:v>
                </c:pt>
                <c:pt idx="59">
                  <c:v>2.673</c:v>
                </c:pt>
                <c:pt idx="60">
                  <c:v>2.6360000000000001</c:v>
                </c:pt>
                <c:pt idx="61">
                  <c:v>2.6589999999999998</c:v>
                </c:pt>
                <c:pt idx="62">
                  <c:v>2.61</c:v>
                </c:pt>
                <c:pt idx="63">
                  <c:v>2.786</c:v>
                </c:pt>
                <c:pt idx="64">
                  <c:v>2.7639999999999998</c:v>
                </c:pt>
                <c:pt idx="65">
                  <c:v>2.84</c:v>
                </c:pt>
                <c:pt idx="66">
                  <c:v>2.794</c:v>
                </c:pt>
                <c:pt idx="67">
                  <c:v>2.927</c:v>
                </c:pt>
                <c:pt idx="68">
                  <c:v>3.0070000000000001</c:v>
                </c:pt>
                <c:pt idx="69">
                  <c:v>2.7559999999999998</c:v>
                </c:pt>
                <c:pt idx="70">
                  <c:v>2.649</c:v>
                </c:pt>
                <c:pt idx="71">
                  <c:v>2.8340000000000001</c:v>
                </c:pt>
                <c:pt idx="72">
                  <c:v>2.8029999999999999</c:v>
                </c:pt>
                <c:pt idx="73">
                  <c:v>3.0950000000000002</c:v>
                </c:pt>
                <c:pt idx="74">
                  <c:v>3.1160000000000001</c:v>
                </c:pt>
                <c:pt idx="75">
                  <c:v>3.145</c:v>
                </c:pt>
                <c:pt idx="76">
                  <c:v>3.161</c:v>
                </c:pt>
                <c:pt idx="77">
                  <c:v>3.3130000000000002</c:v>
                </c:pt>
                <c:pt idx="78">
                  <c:v>3.32</c:v>
                </c:pt>
                <c:pt idx="79">
                  <c:v>3.6640000000000001</c:v>
                </c:pt>
                <c:pt idx="80">
                  <c:v>3.6070000000000002</c:v>
                </c:pt>
                <c:pt idx="81">
                  <c:v>3.4430000000000001</c:v>
                </c:pt>
                <c:pt idx="82">
                  <c:v>3.5350000000000001</c:v>
                </c:pt>
                <c:pt idx="83">
                  <c:v>3.3330000000000002</c:v>
                </c:pt>
                <c:pt idx="84">
                  <c:v>3.5209999999999999</c:v>
                </c:pt>
                <c:pt idx="85">
                  <c:v>3.7679999999999998</c:v>
                </c:pt>
                <c:pt idx="86">
                  <c:v>3.1869999999999998</c:v>
                </c:pt>
                <c:pt idx="87">
                  <c:v>3.1160000000000001</c:v>
                </c:pt>
                <c:pt idx="88">
                  <c:v>3.141</c:v>
                </c:pt>
                <c:pt idx="89">
                  <c:v>3.2559999999999998</c:v>
                </c:pt>
                <c:pt idx="90">
                  <c:v>3.081</c:v>
                </c:pt>
                <c:pt idx="91">
                  <c:v>2.9780000000000002</c:v>
                </c:pt>
                <c:pt idx="92">
                  <c:v>2.7810000000000001</c:v>
                </c:pt>
                <c:pt idx="93">
                  <c:v>3.0219999999999998</c:v>
                </c:pt>
                <c:pt idx="94">
                  <c:v>3.04</c:v>
                </c:pt>
                <c:pt idx="95">
                  <c:v>2.9809999999999999</c:v>
                </c:pt>
                <c:pt idx="96">
                  <c:v>3.13</c:v>
                </c:pt>
                <c:pt idx="97">
                  <c:v>3.2850000000000001</c:v>
                </c:pt>
                <c:pt idx="98">
                  <c:v>2.9969999999999999</c:v>
                </c:pt>
                <c:pt idx="99">
                  <c:v>3.04</c:v>
                </c:pt>
                <c:pt idx="100">
                  <c:v>2.931</c:v>
                </c:pt>
                <c:pt idx="101">
                  <c:v>2.9380000000000002</c:v>
                </c:pt>
                <c:pt idx="102">
                  <c:v>2.9460000000000002</c:v>
                </c:pt>
                <c:pt idx="103">
                  <c:v>3.0819999999999999</c:v>
                </c:pt>
                <c:pt idx="104">
                  <c:v>3.05</c:v>
                </c:pt>
                <c:pt idx="105">
                  <c:v>2.9039999999999999</c:v>
                </c:pt>
                <c:pt idx="106">
                  <c:v>2.8039999999999998</c:v>
                </c:pt>
                <c:pt idx="107">
                  <c:v>2.8319999999999999</c:v>
                </c:pt>
                <c:pt idx="108">
                  <c:v>2.8359999999999999</c:v>
                </c:pt>
                <c:pt idx="109">
                  <c:v>2.9740000000000002</c:v>
                </c:pt>
                <c:pt idx="110">
                  <c:v>3.286</c:v>
                </c:pt>
                <c:pt idx="111">
                  <c:v>3.1739999999999999</c:v>
                </c:pt>
                <c:pt idx="112">
                  <c:v>3.101</c:v>
                </c:pt>
                <c:pt idx="113">
                  <c:v>3.085</c:v>
                </c:pt>
                <c:pt idx="114">
                  <c:v>3.05</c:v>
                </c:pt>
                <c:pt idx="115">
                  <c:v>2.9889999999999999</c:v>
                </c:pt>
                <c:pt idx="116">
                  <c:v>3.0310000000000001</c:v>
                </c:pt>
                <c:pt idx="117">
                  <c:v>3.077</c:v>
                </c:pt>
                <c:pt idx="118">
                  <c:v>3.048</c:v>
                </c:pt>
                <c:pt idx="119">
                  <c:v>2.8540000000000001</c:v>
                </c:pt>
                <c:pt idx="120">
                  <c:v>2.7730000000000001</c:v>
                </c:pt>
                <c:pt idx="121">
                  <c:v>2.7559999999999998</c:v>
                </c:pt>
                <c:pt idx="122">
                  <c:v>2.9039999999999999</c:v>
                </c:pt>
                <c:pt idx="123">
                  <c:v>2.92</c:v>
                </c:pt>
                <c:pt idx="124">
                  <c:v>3.0390000000000001</c:v>
                </c:pt>
                <c:pt idx="125">
                  <c:v>3.028</c:v>
                </c:pt>
                <c:pt idx="126">
                  <c:v>3.202</c:v>
                </c:pt>
                <c:pt idx="127">
                  <c:v>3.2080000000000002</c:v>
                </c:pt>
                <c:pt idx="128">
                  <c:v>3.0139999999999998</c:v>
                </c:pt>
                <c:pt idx="129">
                  <c:v>3.3039999999999998</c:v>
                </c:pt>
                <c:pt idx="130">
                  <c:v>3.61</c:v>
                </c:pt>
                <c:pt idx="131">
                  <c:v>3.75</c:v>
                </c:pt>
                <c:pt idx="132">
                  <c:v>3.49</c:v>
                </c:pt>
                <c:pt idx="133">
                  <c:v>3.5859999999999999</c:v>
                </c:pt>
                <c:pt idx="134">
                  <c:v>3.7440000000000002</c:v>
                </c:pt>
                <c:pt idx="135">
                  <c:v>3.66</c:v>
                </c:pt>
                <c:pt idx="136">
                  <c:v>3.4870000000000001</c:v>
                </c:pt>
                <c:pt idx="137">
                  <c:v>3.633</c:v>
                </c:pt>
                <c:pt idx="138">
                  <c:v>3.649</c:v>
                </c:pt>
                <c:pt idx="139">
                  <c:v>3.9940000000000002</c:v>
                </c:pt>
                <c:pt idx="140">
                  <c:v>3.5059999999999998</c:v>
                </c:pt>
                <c:pt idx="141">
                  <c:v>3.4820000000000002</c:v>
                </c:pt>
                <c:pt idx="142">
                  <c:v>3.5830000000000002</c:v>
                </c:pt>
                <c:pt idx="143">
                  <c:v>4.1399999999999997</c:v>
                </c:pt>
                <c:pt idx="144">
                  <c:v>4.2240000000000002</c:v>
                </c:pt>
                <c:pt idx="145">
                  <c:v>4.1159999999999997</c:v>
                </c:pt>
                <c:pt idx="146">
                  <c:v>4.1589999999999998</c:v>
                </c:pt>
                <c:pt idx="147">
                  <c:v>3.9489999999999998</c:v>
                </c:pt>
                <c:pt idx="148">
                  <c:v>4.07</c:v>
                </c:pt>
                <c:pt idx="149">
                  <c:v>3.948</c:v>
                </c:pt>
                <c:pt idx="150">
                  <c:v>3.9929999999999999</c:v>
                </c:pt>
                <c:pt idx="151">
                  <c:v>4.2279999999999998</c:v>
                </c:pt>
                <c:pt idx="152">
                  <c:v>4.1159999999999997</c:v>
                </c:pt>
                <c:pt idx="153">
                  <c:v>3.988</c:v>
                </c:pt>
                <c:pt idx="154">
                  <c:v>3.7</c:v>
                </c:pt>
                <c:pt idx="155">
                  <c:v>4.024</c:v>
                </c:pt>
                <c:pt idx="156">
                  <c:v>3.9809999999999999</c:v>
                </c:pt>
                <c:pt idx="157">
                  <c:v>4.1360000000000001</c:v>
                </c:pt>
                <c:pt idx="158">
                  <c:v>4.2629999999999999</c:v>
                </c:pt>
                <c:pt idx="159">
                  <c:v>4.2729999999999997</c:v>
                </c:pt>
                <c:pt idx="160">
                  <c:v>4.5090000000000003</c:v>
                </c:pt>
                <c:pt idx="161">
                  <c:v>4.4939999999999998</c:v>
                </c:pt>
                <c:pt idx="162">
                  <c:v>4.4359999999999999</c:v>
                </c:pt>
                <c:pt idx="163">
                  <c:v>4.1520000000000001</c:v>
                </c:pt>
                <c:pt idx="164">
                  <c:v>3.92</c:v>
                </c:pt>
                <c:pt idx="165">
                  <c:v>4.0149999999999997</c:v>
                </c:pt>
                <c:pt idx="166">
                  <c:v>4.0010000000000003</c:v>
                </c:pt>
                <c:pt idx="167">
                  <c:v>3.8130000000000002</c:v>
                </c:pt>
                <c:pt idx="168">
                  <c:v>3.4039999999999999</c:v>
                </c:pt>
                <c:pt idx="169">
                  <c:v>3.637</c:v>
                </c:pt>
                <c:pt idx="170">
                  <c:v>3.4180000000000001</c:v>
                </c:pt>
                <c:pt idx="171">
                  <c:v>3.4409999999999998</c:v>
                </c:pt>
                <c:pt idx="172">
                  <c:v>3.2050000000000001</c:v>
                </c:pt>
                <c:pt idx="173">
                  <c:v>3.4369999999999998</c:v>
                </c:pt>
                <c:pt idx="174">
                  <c:v>3.3279999999999998</c:v>
                </c:pt>
                <c:pt idx="175">
                  <c:v>3.1309999999999998</c:v>
                </c:pt>
                <c:pt idx="176">
                  <c:v>3.07</c:v>
                </c:pt>
                <c:pt idx="177">
                  <c:v>2.9180000000000001</c:v>
                </c:pt>
                <c:pt idx="178">
                  <c:v>2.9590000000000001</c:v>
                </c:pt>
                <c:pt idx="179">
                  <c:v>2.9449999999999998</c:v>
                </c:pt>
                <c:pt idx="180">
                  <c:v>2.964</c:v>
                </c:pt>
                <c:pt idx="181">
                  <c:v>2.9540000000000002</c:v>
                </c:pt>
                <c:pt idx="182">
                  <c:v>2.9249999999999998</c:v>
                </c:pt>
                <c:pt idx="183">
                  <c:v>2.907</c:v>
                </c:pt>
                <c:pt idx="184">
                  <c:v>2.92</c:v>
                </c:pt>
                <c:pt idx="185">
                  <c:v>2.9870000000000001</c:v>
                </c:pt>
                <c:pt idx="186">
                  <c:v>2.9279999999999999</c:v>
                </c:pt>
                <c:pt idx="187">
                  <c:v>2.7919999999999998</c:v>
                </c:pt>
                <c:pt idx="188">
                  <c:v>2.7519999999999998</c:v>
                </c:pt>
                <c:pt idx="189">
                  <c:v>2.7549999999999999</c:v>
                </c:pt>
                <c:pt idx="190">
                  <c:v>2.7320000000000002</c:v>
                </c:pt>
                <c:pt idx="191">
                  <c:v>2.633</c:v>
                </c:pt>
                <c:pt idx="192">
                  <c:v>2.7749999999999999</c:v>
                </c:pt>
                <c:pt idx="193">
                  <c:v>2.9710000000000001</c:v>
                </c:pt>
                <c:pt idx="194">
                  <c:v>2.9990000000000001</c:v>
                </c:pt>
                <c:pt idx="195">
                  <c:v>3.1150000000000002</c:v>
                </c:pt>
                <c:pt idx="196">
                  <c:v>3.3679999999999999</c:v>
                </c:pt>
                <c:pt idx="197">
                  <c:v>3.2719999999999998</c:v>
                </c:pt>
                <c:pt idx="198">
                  <c:v>3.3359999999999999</c:v>
                </c:pt>
                <c:pt idx="199">
                  <c:v>3.5219999999999998</c:v>
                </c:pt>
                <c:pt idx="200">
                  <c:v>3.7349999999999999</c:v>
                </c:pt>
                <c:pt idx="201">
                  <c:v>3.738</c:v>
                </c:pt>
                <c:pt idx="202">
                  <c:v>3.714</c:v>
                </c:pt>
                <c:pt idx="203">
                  <c:v>3.6949999999999998</c:v>
                </c:pt>
                <c:pt idx="204">
                  <c:v>3.9580000000000002</c:v>
                </c:pt>
                <c:pt idx="205">
                  <c:v>3.847</c:v>
                </c:pt>
                <c:pt idx="206">
                  <c:v>3.7770000000000001</c:v>
                </c:pt>
                <c:pt idx="207">
                  <c:v>3.9140000000000001</c:v>
                </c:pt>
                <c:pt idx="208">
                  <c:v>3.8210000000000002</c:v>
                </c:pt>
                <c:pt idx="209">
                  <c:v>3.7370000000000001</c:v>
                </c:pt>
                <c:pt idx="210">
                  <c:v>3.7970000000000002</c:v>
                </c:pt>
                <c:pt idx="211">
                  <c:v>3.988</c:v>
                </c:pt>
                <c:pt idx="212">
                  <c:v>4.1379999999999999</c:v>
                </c:pt>
                <c:pt idx="213">
                  <c:v>4.0869999999999997</c:v>
                </c:pt>
                <c:pt idx="214">
                  <c:v>4.0949999999999998</c:v>
                </c:pt>
                <c:pt idx="215">
                  <c:v>4.0380000000000003</c:v>
                </c:pt>
                <c:pt idx="216">
                  <c:v>4.1500000000000004</c:v>
                </c:pt>
                <c:pt idx="217">
                  <c:v>4.6589999999999998</c:v>
                </c:pt>
                <c:pt idx="218">
                  <c:v>4.82</c:v>
                </c:pt>
                <c:pt idx="219">
                  <c:v>4.6879999999999997</c:v>
                </c:pt>
                <c:pt idx="220">
                  <c:v>4.5620000000000003</c:v>
                </c:pt>
                <c:pt idx="221">
                  <c:v>4.4980000000000002</c:v>
                </c:pt>
                <c:pt idx="222">
                  <c:v>4.6130000000000004</c:v>
                </c:pt>
                <c:pt idx="223">
                  <c:v>5.141</c:v>
                </c:pt>
                <c:pt idx="224">
                  <c:v>4.7</c:v>
                </c:pt>
                <c:pt idx="225">
                  <c:v>3.87</c:v>
                </c:pt>
                <c:pt idx="226">
                  <c:v>4.0279999999999996</c:v>
                </c:pt>
                <c:pt idx="227">
                  <c:v>3.9329999999999998</c:v>
                </c:pt>
                <c:pt idx="228">
                  <c:v>3.82</c:v>
                </c:pt>
                <c:pt idx="229">
                  <c:v>3.742</c:v>
                </c:pt>
                <c:pt idx="230">
                  <c:v>3.847</c:v>
                </c:pt>
                <c:pt idx="231">
                  <c:v>3.9929999999999999</c:v>
                </c:pt>
                <c:pt idx="232">
                  <c:v>4.173</c:v>
                </c:pt>
                <c:pt idx="233">
                  <c:v>4.2140000000000004</c:v>
                </c:pt>
                <c:pt idx="234">
                  <c:v>4.53</c:v>
                </c:pt>
                <c:pt idx="235">
                  <c:v>4.7720000000000002</c:v>
                </c:pt>
                <c:pt idx="236">
                  <c:v>4.8209999999999997</c:v>
                </c:pt>
                <c:pt idx="237">
                  <c:v>5.0049999999999999</c:v>
                </c:pt>
                <c:pt idx="238">
                  <c:v>4.9139999999999997</c:v>
                </c:pt>
                <c:pt idx="239">
                  <c:v>4.899</c:v>
                </c:pt>
                <c:pt idx="240">
                  <c:v>4.79</c:v>
                </c:pt>
                <c:pt idx="241">
                  <c:v>4.9660000000000002</c:v>
                </c:pt>
                <c:pt idx="242">
                  <c:v>4.6920000000000002</c:v>
                </c:pt>
                <c:pt idx="243">
                  <c:v>4.6559999999999997</c:v>
                </c:pt>
                <c:pt idx="244">
                  <c:v>5.1680000000000001</c:v>
                </c:pt>
                <c:pt idx="245">
                  <c:v>4.8529999999999998</c:v>
                </c:pt>
                <c:pt idx="246">
                  <c:v>5.3940000000000001</c:v>
                </c:pt>
                <c:pt idx="247">
                  <c:v>4.54</c:v>
                </c:pt>
                <c:pt idx="248">
                  <c:v>4.1680000000000001</c:v>
                </c:pt>
                <c:pt idx="249">
                  <c:v>3.5139999999999998</c:v>
                </c:pt>
                <c:pt idx="250">
                  <c:v>4.6159999999999997</c:v>
                </c:pt>
                <c:pt idx="251">
                  <c:v>5.734</c:v>
                </c:pt>
                <c:pt idx="252">
                  <c:v>6.2519999999999998</c:v>
                </c:pt>
                <c:pt idx="253">
                  <c:v>6.2530000000000001</c:v>
                </c:pt>
                <c:pt idx="254">
                  <c:v>7.4669999999999996</c:v>
                </c:pt>
                <c:pt idx="255">
                  <c:v>7.7119999999999997</c:v>
                </c:pt>
                <c:pt idx="256">
                  <c:v>7.4180000000000001</c:v>
                </c:pt>
                <c:pt idx="257">
                  <c:v>7.7009999999999996</c:v>
                </c:pt>
                <c:pt idx="258">
                  <c:v>8.1959999999999997</c:v>
                </c:pt>
                <c:pt idx="259">
                  <c:v>7.99</c:v>
                </c:pt>
                <c:pt idx="260">
                  <c:v>7.9450000000000003</c:v>
                </c:pt>
                <c:pt idx="261">
                  <c:v>8.9339999999999993</c:v>
                </c:pt>
                <c:pt idx="262">
                  <c:v>9.39</c:v>
                </c:pt>
                <c:pt idx="263">
                  <c:v>10.327999999999999</c:v>
                </c:pt>
                <c:pt idx="264">
                  <c:v>10.067</c:v>
                </c:pt>
                <c:pt idx="265">
                  <c:v>9.8079999999999998</c:v>
                </c:pt>
                <c:pt idx="266">
                  <c:v>10.35</c:v>
                </c:pt>
                <c:pt idx="267">
                  <c:v>10.699</c:v>
                </c:pt>
                <c:pt idx="268">
                  <c:v>11.31</c:v>
                </c:pt>
                <c:pt idx="269">
                  <c:v>10.157999999999999</c:v>
                </c:pt>
                <c:pt idx="270">
                  <c:v>9.9039999999999999</c:v>
                </c:pt>
                <c:pt idx="271">
                  <c:v>9.8439999999999994</c:v>
                </c:pt>
                <c:pt idx="272">
                  <c:v>10.109</c:v>
                </c:pt>
                <c:pt idx="273">
                  <c:v>9.5210000000000008</c:v>
                </c:pt>
                <c:pt idx="274">
                  <c:v>9.7159999999999993</c:v>
                </c:pt>
                <c:pt idx="275">
                  <c:v>9.9930000000000003</c:v>
                </c:pt>
                <c:pt idx="276">
                  <c:v>10.02</c:v>
                </c:pt>
                <c:pt idx="277">
                  <c:v>9.0500000000000007</c:v>
                </c:pt>
                <c:pt idx="278">
                  <c:v>8.6069999999999993</c:v>
                </c:pt>
                <c:pt idx="279">
                  <c:v>8.7680000000000007</c:v>
                </c:pt>
                <c:pt idx="280">
                  <c:v>9.3379999999999992</c:v>
                </c:pt>
                <c:pt idx="281">
                  <c:v>8.9130000000000003</c:v>
                </c:pt>
                <c:pt idx="282">
                  <c:v>8.9819999999999993</c:v>
                </c:pt>
                <c:pt idx="283">
                  <c:v>9.77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11-42CD-B51B-3AAFA5E73D8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-0.88692169789542563</c:v>
                </c:pt>
                <c:pt idx="1">
                  <c:v>-0.8863067285405869</c:v>
                </c:pt>
                <c:pt idx="2">
                  <c:v>-0.87491598721591157</c:v>
                </c:pt>
                <c:pt idx="3">
                  <c:v>-0.86967105172810666</c:v>
                </c:pt>
                <c:pt idx="4">
                  <c:v>-0.87214430301382095</c:v>
                </c:pt>
                <c:pt idx="5">
                  <c:v>-0.87733752006382093</c:v>
                </c:pt>
                <c:pt idx="6">
                  <c:v>-0.86419102031698558</c:v>
                </c:pt>
                <c:pt idx="7">
                  <c:v>-0.84701089988455303</c:v>
                </c:pt>
                <c:pt idx="8">
                  <c:v>-0.83795078877867069</c:v>
                </c:pt>
                <c:pt idx="9">
                  <c:v>-0.82894179414486779</c:v>
                </c:pt>
                <c:pt idx="10">
                  <c:v>-0.81994061575227528</c:v>
                </c:pt>
                <c:pt idx="11">
                  <c:v>-0.81475068528652195</c:v>
                </c:pt>
                <c:pt idx="12">
                  <c:v>-0.80666508477137044</c:v>
                </c:pt>
                <c:pt idx="13">
                  <c:v>-0.80206241138112644</c:v>
                </c:pt>
                <c:pt idx="14">
                  <c:v>-0.78110101757932471</c:v>
                </c:pt>
                <c:pt idx="15">
                  <c:v>-0.77965809084710713</c:v>
                </c:pt>
                <c:pt idx="16">
                  <c:v>-0.78269828969326094</c:v>
                </c:pt>
                <c:pt idx="17">
                  <c:v>-0.78792393176733488</c:v>
                </c:pt>
                <c:pt idx="18">
                  <c:v>-0.77997166048324407</c:v>
                </c:pt>
                <c:pt idx="19">
                  <c:v>-0.78480933454206758</c:v>
                </c:pt>
                <c:pt idx="20">
                  <c:v>-0.77668711420873437</c:v>
                </c:pt>
                <c:pt idx="21">
                  <c:v>-0.76577119179410025</c:v>
                </c:pt>
                <c:pt idx="22">
                  <c:v>-0.76118086663792994</c:v>
                </c:pt>
                <c:pt idx="23">
                  <c:v>-0.75113035225844282</c:v>
                </c:pt>
                <c:pt idx="24">
                  <c:v>-0.73394235484667825</c:v>
                </c:pt>
                <c:pt idx="25">
                  <c:v>-0.72118069103129356</c:v>
                </c:pt>
                <c:pt idx="26">
                  <c:v>-0.71336245636462681</c:v>
                </c:pt>
                <c:pt idx="27">
                  <c:v>-0.71918527507891272</c:v>
                </c:pt>
                <c:pt idx="28">
                  <c:v>-0.71645876421684374</c:v>
                </c:pt>
                <c:pt idx="29">
                  <c:v>-0.71455027821684369</c:v>
                </c:pt>
                <c:pt idx="30">
                  <c:v>-0.71031791866511962</c:v>
                </c:pt>
                <c:pt idx="31">
                  <c:v>-0.70198093249369098</c:v>
                </c:pt>
                <c:pt idx="32">
                  <c:v>-0.696191690841517</c:v>
                </c:pt>
                <c:pt idx="33">
                  <c:v>-0.71005097630897251</c:v>
                </c:pt>
                <c:pt idx="34">
                  <c:v>-0.71738746868185388</c:v>
                </c:pt>
                <c:pt idx="35">
                  <c:v>-0.70596326320941294</c:v>
                </c:pt>
                <c:pt idx="36">
                  <c:v>-0.71426837363798434</c:v>
                </c:pt>
                <c:pt idx="37">
                  <c:v>-0.7041588046379843</c:v>
                </c:pt>
                <c:pt idx="38">
                  <c:v>-0.71201424758084142</c:v>
                </c:pt>
                <c:pt idx="39">
                  <c:v>-0.7034894960746686</c:v>
                </c:pt>
                <c:pt idx="40">
                  <c:v>-0.69790955910608232</c:v>
                </c:pt>
                <c:pt idx="41">
                  <c:v>-0.69745066529555588</c:v>
                </c:pt>
                <c:pt idx="42">
                  <c:v>-0.71364091120284068</c:v>
                </c:pt>
                <c:pt idx="43">
                  <c:v>-0.70317274938465879</c:v>
                </c:pt>
                <c:pt idx="44">
                  <c:v>-0.71569279526291962</c:v>
                </c:pt>
                <c:pt idx="45">
                  <c:v>-0.71520692672633424</c:v>
                </c:pt>
                <c:pt idx="46">
                  <c:v>-0.69638064346900519</c:v>
                </c:pt>
                <c:pt idx="47">
                  <c:v>-0.67735764377116336</c:v>
                </c:pt>
                <c:pt idx="48">
                  <c:v>-0.67674459969930711</c:v>
                </c:pt>
                <c:pt idx="49">
                  <c:v>-0.79703464147005798</c:v>
                </c:pt>
                <c:pt idx="50">
                  <c:v>-0.79975136128086877</c:v>
                </c:pt>
                <c:pt idx="51">
                  <c:v>-0.81010612990517827</c:v>
                </c:pt>
                <c:pt idx="52">
                  <c:v>-0.80678936332056284</c:v>
                </c:pt>
                <c:pt idx="53">
                  <c:v>-0.8125670762580629</c:v>
                </c:pt>
                <c:pt idx="54">
                  <c:v>-0.80249529083653814</c:v>
                </c:pt>
                <c:pt idx="55">
                  <c:v>-0.79035029875779428</c:v>
                </c:pt>
                <c:pt idx="56">
                  <c:v>-0.78057092791465688</c:v>
                </c:pt>
                <c:pt idx="57">
                  <c:v>-0.77491866635275208</c:v>
                </c:pt>
                <c:pt idx="58">
                  <c:v>-0.76261205608178428</c:v>
                </c:pt>
                <c:pt idx="59">
                  <c:v>-0.76286201552821298</c:v>
                </c:pt>
                <c:pt idx="60">
                  <c:v>-0.75468029060210451</c:v>
                </c:pt>
                <c:pt idx="61">
                  <c:v>-0.76428709425038044</c:v>
                </c:pt>
                <c:pt idx="62">
                  <c:v>-0.76512105074268799</c:v>
                </c:pt>
                <c:pt idx="63">
                  <c:v>-0.757497349714501</c:v>
                </c:pt>
                <c:pt idx="64">
                  <c:v>-0.76936217559104414</c:v>
                </c:pt>
                <c:pt idx="65">
                  <c:v>-0.76708458018700376</c:v>
                </c:pt>
                <c:pt idx="66">
                  <c:v>-0.77755630089586447</c:v>
                </c:pt>
                <c:pt idx="67">
                  <c:v>-0.76470627461679475</c:v>
                </c:pt>
                <c:pt idx="68">
                  <c:v>-0.7456217773667948</c:v>
                </c:pt>
                <c:pt idx="69">
                  <c:v>-0.76204085364005059</c:v>
                </c:pt>
                <c:pt idx="70">
                  <c:v>-0.77278056390671723</c:v>
                </c:pt>
                <c:pt idx="71">
                  <c:v>-0.75687169902566009</c:v>
                </c:pt>
                <c:pt idx="72">
                  <c:v>-0.75487579658448356</c:v>
                </c:pt>
                <c:pt idx="73">
                  <c:v>-0.73726232540696879</c:v>
                </c:pt>
                <c:pt idx="74">
                  <c:v>-0.73616018794543026</c:v>
                </c:pt>
                <c:pt idx="75">
                  <c:v>-0.73190442323019855</c:v>
                </c:pt>
                <c:pt idx="76">
                  <c:v>-0.72464530209812306</c:v>
                </c:pt>
                <c:pt idx="77">
                  <c:v>-0.71393901396019188</c:v>
                </c:pt>
                <c:pt idx="78">
                  <c:v>-0.70661214108890491</c:v>
                </c:pt>
                <c:pt idx="79">
                  <c:v>-0.68858796608890482</c:v>
                </c:pt>
                <c:pt idx="80">
                  <c:v>-0.69160839514842876</c:v>
                </c:pt>
                <c:pt idx="81">
                  <c:v>-0.71093608550137</c:v>
                </c:pt>
                <c:pt idx="82">
                  <c:v>-0.7060239572583793</c:v>
                </c:pt>
                <c:pt idx="83">
                  <c:v>-0.71892124497697241</c:v>
                </c:pt>
                <c:pt idx="84">
                  <c:v>-0.69529672944505749</c:v>
                </c:pt>
                <c:pt idx="85">
                  <c:v>-0.66432987067182325</c:v>
                </c:pt>
                <c:pt idx="86">
                  <c:v>-0.70823000625141508</c:v>
                </c:pt>
                <c:pt idx="87">
                  <c:v>-0.71038299404325178</c:v>
                </c:pt>
                <c:pt idx="88">
                  <c:v>-0.71699609044593637</c:v>
                </c:pt>
                <c:pt idx="89">
                  <c:v>-0.7065666793172235</c:v>
                </c:pt>
                <c:pt idx="90">
                  <c:v>-0.71445075243043099</c:v>
                </c:pt>
                <c:pt idx="91">
                  <c:v>-0.70212847340417783</c:v>
                </c:pt>
                <c:pt idx="92">
                  <c:v>-0.71450366976781421</c:v>
                </c:pt>
                <c:pt idx="93">
                  <c:v>-0.69740471622235989</c:v>
                </c:pt>
                <c:pt idx="94">
                  <c:v>-0.68228200802682903</c:v>
                </c:pt>
                <c:pt idx="95">
                  <c:v>-0.68589920273452132</c:v>
                </c:pt>
                <c:pt idx="96">
                  <c:v>-0.67762329368735152</c:v>
                </c:pt>
                <c:pt idx="97">
                  <c:v>-0.66397048475901277</c:v>
                </c:pt>
                <c:pt idx="98">
                  <c:v>-0.68231947925128655</c:v>
                </c:pt>
                <c:pt idx="99">
                  <c:v>-0.67697395448110009</c:v>
                </c:pt>
                <c:pt idx="100">
                  <c:v>-0.6822327862875518</c:v>
                </c:pt>
                <c:pt idx="101">
                  <c:v>-0.68522537325102217</c:v>
                </c:pt>
                <c:pt idx="102">
                  <c:v>-0.6786242869125606</c:v>
                </c:pt>
                <c:pt idx="103">
                  <c:v>-0.66814787370167628</c:v>
                </c:pt>
                <c:pt idx="104">
                  <c:v>-0.61071676614612069</c:v>
                </c:pt>
                <c:pt idx="105">
                  <c:v>-0.63651836473435608</c:v>
                </c:pt>
                <c:pt idx="106">
                  <c:v>-0.64392166673435602</c:v>
                </c:pt>
                <c:pt idx="107">
                  <c:v>-0.64117148578520333</c:v>
                </c:pt>
                <c:pt idx="108">
                  <c:v>-0.65627626275044726</c:v>
                </c:pt>
                <c:pt idx="109">
                  <c:v>-0.64047334284486779</c:v>
                </c:pt>
                <c:pt idx="110">
                  <c:v>-0.6210185971072586</c:v>
                </c:pt>
                <c:pt idx="111">
                  <c:v>-0.63682271517592814</c:v>
                </c:pt>
                <c:pt idx="112">
                  <c:v>-0.63917677267296957</c:v>
                </c:pt>
                <c:pt idx="113">
                  <c:v>-0.56778005332431047</c:v>
                </c:pt>
                <c:pt idx="114">
                  <c:v>-0.57517498713471948</c:v>
                </c:pt>
                <c:pt idx="115">
                  <c:v>-0.58638923424583045</c:v>
                </c:pt>
                <c:pt idx="116">
                  <c:v>-0.58646403299771011</c:v>
                </c:pt>
                <c:pt idx="117">
                  <c:v>-0.58282857336134641</c:v>
                </c:pt>
                <c:pt idx="118">
                  <c:v>-0.58826324489467985</c:v>
                </c:pt>
                <c:pt idx="119">
                  <c:v>-0.59499924273768312</c:v>
                </c:pt>
                <c:pt idx="120">
                  <c:v>-0.59349572983445742</c:v>
                </c:pt>
                <c:pt idx="121">
                  <c:v>-0.58908075949817429</c:v>
                </c:pt>
                <c:pt idx="122">
                  <c:v>-0.58081811010751849</c:v>
                </c:pt>
                <c:pt idx="123">
                  <c:v>-0.57337134090751851</c:v>
                </c:pt>
                <c:pt idx="124">
                  <c:v>-0.57080035164988308</c:v>
                </c:pt>
                <c:pt idx="125">
                  <c:v>-0.56897320052261036</c:v>
                </c:pt>
                <c:pt idx="126">
                  <c:v>-0.56027942162712752</c:v>
                </c:pt>
                <c:pt idx="127">
                  <c:v>-0.5629884636271274</c:v>
                </c:pt>
                <c:pt idx="128">
                  <c:v>-0.57662273086850679</c:v>
                </c:pt>
                <c:pt idx="129">
                  <c:v>-0.56407516513016098</c:v>
                </c:pt>
                <c:pt idx="130">
                  <c:v>-0.55788761685652444</c:v>
                </c:pt>
                <c:pt idx="131">
                  <c:v>-0.53717740472994224</c:v>
                </c:pt>
                <c:pt idx="132">
                  <c:v>-0.51420482363537967</c:v>
                </c:pt>
                <c:pt idx="133">
                  <c:v>-0.50987392180779334</c:v>
                </c:pt>
                <c:pt idx="134">
                  <c:v>-0.50394428078868514</c:v>
                </c:pt>
                <c:pt idx="135">
                  <c:v>-0.50241068519684839</c:v>
                </c:pt>
                <c:pt idx="136">
                  <c:v>-0.5106777509746262</c:v>
                </c:pt>
                <c:pt idx="137">
                  <c:v>-0.50598165401166317</c:v>
                </c:pt>
                <c:pt idx="138">
                  <c:v>-0.49829282698242344</c:v>
                </c:pt>
                <c:pt idx="139">
                  <c:v>-0.46871762453484278</c:v>
                </c:pt>
                <c:pt idx="140">
                  <c:v>-0.49082385058138367</c:v>
                </c:pt>
                <c:pt idx="141">
                  <c:v>-0.49801378145094882</c:v>
                </c:pt>
                <c:pt idx="142">
                  <c:v>-0.49917527990059923</c:v>
                </c:pt>
                <c:pt idx="143">
                  <c:v>-0.47988676026151267</c:v>
                </c:pt>
                <c:pt idx="144">
                  <c:v>-0.46745843699620654</c:v>
                </c:pt>
                <c:pt idx="145">
                  <c:v>-0.47712974319132856</c:v>
                </c:pt>
                <c:pt idx="146">
                  <c:v>-0.47115602442445731</c:v>
                </c:pt>
                <c:pt idx="147">
                  <c:v>-0.46553957227018328</c:v>
                </c:pt>
                <c:pt idx="148">
                  <c:v>-0.45257234311866812</c:v>
                </c:pt>
                <c:pt idx="149">
                  <c:v>-0.46387764459465064</c:v>
                </c:pt>
                <c:pt idx="150">
                  <c:v>-0.46863808893457159</c:v>
                </c:pt>
                <c:pt idx="151">
                  <c:v>-0.4518610057345715</c:v>
                </c:pt>
                <c:pt idx="152">
                  <c:v>-0.44228267009166233</c:v>
                </c:pt>
                <c:pt idx="153">
                  <c:v>-0.45375304323325877</c:v>
                </c:pt>
                <c:pt idx="154">
                  <c:v>-0.48181106787440725</c:v>
                </c:pt>
                <c:pt idx="155">
                  <c:v>-0.46581964849998425</c:v>
                </c:pt>
                <c:pt idx="156">
                  <c:v>-0.4761135178027428</c:v>
                </c:pt>
                <c:pt idx="157">
                  <c:v>-0.45228612103654686</c:v>
                </c:pt>
                <c:pt idx="158">
                  <c:v>-0.44120030236054697</c:v>
                </c:pt>
                <c:pt idx="159">
                  <c:v>-0.44080671355133133</c:v>
                </c:pt>
                <c:pt idx="160">
                  <c:v>-0.42881217025309809</c:v>
                </c:pt>
                <c:pt idx="161">
                  <c:v>-0.42679692236430511</c:v>
                </c:pt>
                <c:pt idx="162">
                  <c:v>-0.40502285368407898</c:v>
                </c:pt>
                <c:pt idx="163">
                  <c:v>-0.41282694010590815</c:v>
                </c:pt>
                <c:pt idx="164">
                  <c:v>-0.38390692893963507</c:v>
                </c:pt>
                <c:pt idx="165">
                  <c:v>-0.37065607811657625</c:v>
                </c:pt>
                <c:pt idx="166">
                  <c:v>-0.39097548467523291</c:v>
                </c:pt>
                <c:pt idx="167">
                  <c:v>-0.40959466981788867</c:v>
                </c:pt>
                <c:pt idx="168">
                  <c:v>-0.4415064107442524</c:v>
                </c:pt>
                <c:pt idx="169">
                  <c:v>-0.42902494851940826</c:v>
                </c:pt>
                <c:pt idx="170">
                  <c:v>-0.42923509127199383</c:v>
                </c:pt>
                <c:pt idx="171">
                  <c:v>-0.43736463105238604</c:v>
                </c:pt>
                <c:pt idx="172">
                  <c:v>-0.4550402611302572</c:v>
                </c:pt>
                <c:pt idx="173">
                  <c:v>-0.44117987351096027</c:v>
                </c:pt>
                <c:pt idx="174">
                  <c:v>-0.44435420305558565</c:v>
                </c:pt>
                <c:pt idx="175">
                  <c:v>-0.45605038965691297</c:v>
                </c:pt>
                <c:pt idx="176">
                  <c:v>-0.46483310154567703</c:v>
                </c:pt>
                <c:pt idx="177">
                  <c:v>-0.46790924031858028</c:v>
                </c:pt>
                <c:pt idx="178">
                  <c:v>-0.46595045769042637</c:v>
                </c:pt>
                <c:pt idx="179">
                  <c:v>-0.46750536996611447</c:v>
                </c:pt>
                <c:pt idx="180">
                  <c:v>-0.45530253377481511</c:v>
                </c:pt>
                <c:pt idx="181">
                  <c:v>-0.45697082932826338</c:v>
                </c:pt>
                <c:pt idx="182">
                  <c:v>-0.45986570860408948</c:v>
                </c:pt>
                <c:pt idx="183">
                  <c:v>-0.46098142445490914</c:v>
                </c:pt>
                <c:pt idx="184">
                  <c:v>-0.46164224343588001</c:v>
                </c:pt>
                <c:pt idx="185">
                  <c:v>-0.45769381029744521</c:v>
                </c:pt>
                <c:pt idx="186">
                  <c:v>-0.45376700598045033</c:v>
                </c:pt>
                <c:pt idx="187">
                  <c:v>-0.46008353643932609</c:v>
                </c:pt>
                <c:pt idx="188">
                  <c:v>-0.45895107454361173</c:v>
                </c:pt>
                <c:pt idx="189">
                  <c:v>-0.45902776861581956</c:v>
                </c:pt>
                <c:pt idx="190">
                  <c:v>-0.46166250055812724</c:v>
                </c:pt>
                <c:pt idx="191">
                  <c:v>-0.46438003256241295</c:v>
                </c:pt>
                <c:pt idx="192">
                  <c:v>-0.46157962191760288</c:v>
                </c:pt>
                <c:pt idx="193">
                  <c:v>-0.45880650629556202</c:v>
                </c:pt>
                <c:pt idx="194">
                  <c:v>-0.45700663232486755</c:v>
                </c:pt>
                <c:pt idx="195">
                  <c:v>-0.45524934681317064</c:v>
                </c:pt>
                <c:pt idx="196">
                  <c:v>-0.45036177362317065</c:v>
                </c:pt>
                <c:pt idx="197">
                  <c:v>-0.44120839656856392</c:v>
                </c:pt>
                <c:pt idx="198">
                  <c:v>-0.44104416086179532</c:v>
                </c:pt>
                <c:pt idx="199">
                  <c:v>-0.4365060670978359</c:v>
                </c:pt>
                <c:pt idx="200">
                  <c:v>-0.43271006515783589</c:v>
                </c:pt>
                <c:pt idx="201">
                  <c:v>-0.43273383913263586</c:v>
                </c:pt>
                <c:pt idx="202">
                  <c:v>-0.43199666323799535</c:v>
                </c:pt>
                <c:pt idx="203">
                  <c:v>-0.43610103760277674</c:v>
                </c:pt>
                <c:pt idx="204">
                  <c:v>-0.43021117304139261</c:v>
                </c:pt>
                <c:pt idx="205">
                  <c:v>-0.42486423123388795</c:v>
                </c:pt>
                <c:pt idx="206">
                  <c:v>-0.42014483067603814</c:v>
                </c:pt>
                <c:pt idx="207">
                  <c:v>-0.41940549291502116</c:v>
                </c:pt>
                <c:pt idx="208">
                  <c:v>-0.42563873423583515</c:v>
                </c:pt>
                <c:pt idx="209">
                  <c:v>-0.42443714897285995</c:v>
                </c:pt>
                <c:pt idx="210">
                  <c:v>-0.42074220613179719</c:v>
                </c:pt>
                <c:pt idx="211">
                  <c:v>-0.41622078072361535</c:v>
                </c:pt>
                <c:pt idx="212">
                  <c:v>-0.41420000418622038</c:v>
                </c:pt>
                <c:pt idx="213">
                  <c:v>-0.40996743633557819</c:v>
                </c:pt>
                <c:pt idx="214">
                  <c:v>-0.40538153537597821</c:v>
                </c:pt>
                <c:pt idx="215">
                  <c:v>-0.40570359939547812</c:v>
                </c:pt>
                <c:pt idx="216">
                  <c:v>-0.40404124345297809</c:v>
                </c:pt>
                <c:pt idx="217">
                  <c:v>-0.39707133941448791</c:v>
                </c:pt>
                <c:pt idx="218">
                  <c:v>-0.39382398469994245</c:v>
                </c:pt>
                <c:pt idx="219">
                  <c:v>-0.38847647181878309</c:v>
                </c:pt>
                <c:pt idx="220">
                  <c:v>-0.37710214030650452</c:v>
                </c:pt>
                <c:pt idx="221">
                  <c:v>-0.32933743320361203</c:v>
                </c:pt>
                <c:pt idx="222">
                  <c:v>-0.32945484405353248</c:v>
                </c:pt>
                <c:pt idx="223">
                  <c:v>-0.30923475873796108</c:v>
                </c:pt>
                <c:pt idx="224">
                  <c:v>-0.17001812623552207</c:v>
                </c:pt>
                <c:pt idx="225">
                  <c:v>-0.18993545505783388</c:v>
                </c:pt>
                <c:pt idx="226">
                  <c:v>-0.18650612559972365</c:v>
                </c:pt>
                <c:pt idx="227">
                  <c:v>-0.17809731808482995</c:v>
                </c:pt>
                <c:pt idx="228">
                  <c:v>-0.17954022373964282</c:v>
                </c:pt>
                <c:pt idx="229">
                  <c:v>-0.18279757757952009</c:v>
                </c:pt>
                <c:pt idx="230">
                  <c:v>-0.18330373802836486</c:v>
                </c:pt>
                <c:pt idx="231">
                  <c:v>-0.17909236611799448</c:v>
                </c:pt>
                <c:pt idx="232">
                  <c:v>-0.17428637527520169</c:v>
                </c:pt>
                <c:pt idx="233">
                  <c:v>-0.16668055369712476</c:v>
                </c:pt>
                <c:pt idx="234">
                  <c:v>-0.16405581455305401</c:v>
                </c:pt>
                <c:pt idx="235">
                  <c:v>-0.15565021305826235</c:v>
                </c:pt>
                <c:pt idx="236">
                  <c:v>-0.15516108522595468</c:v>
                </c:pt>
                <c:pt idx="237">
                  <c:v>-0.15112798376705466</c:v>
                </c:pt>
                <c:pt idx="238">
                  <c:v>-0.15191688206092208</c:v>
                </c:pt>
                <c:pt idx="239">
                  <c:v>-0.15686088215650099</c:v>
                </c:pt>
                <c:pt idx="240">
                  <c:v>-0.15856347556889033</c:v>
                </c:pt>
                <c:pt idx="241">
                  <c:v>-0.15210326233535226</c:v>
                </c:pt>
                <c:pt idx="242">
                  <c:v>-0.15500606630834404</c:v>
                </c:pt>
                <c:pt idx="243">
                  <c:v>-0.15726185947320892</c:v>
                </c:pt>
                <c:pt idx="244">
                  <c:v>-0.14881362898592831</c:v>
                </c:pt>
                <c:pt idx="245">
                  <c:v>-0.14479458908151041</c:v>
                </c:pt>
                <c:pt idx="246">
                  <c:v>-0.13525924161094185</c:v>
                </c:pt>
                <c:pt idx="247">
                  <c:v>-0.14948003895861905</c:v>
                </c:pt>
                <c:pt idx="248">
                  <c:v>-0.16025917816528573</c:v>
                </c:pt>
                <c:pt idx="249">
                  <c:v>-0.18557705018373319</c:v>
                </c:pt>
                <c:pt idx="250">
                  <c:v>-0.17589223676730362</c:v>
                </c:pt>
                <c:pt idx="251">
                  <c:v>-0.1654159367613309</c:v>
                </c:pt>
                <c:pt idx="252">
                  <c:v>-0.16021774057182864</c:v>
                </c:pt>
                <c:pt idx="253">
                  <c:v>-0.1652447533710123</c:v>
                </c:pt>
                <c:pt idx="254">
                  <c:v>-0.16293331495727209</c:v>
                </c:pt>
                <c:pt idx="255">
                  <c:v>-0.15920199486168823</c:v>
                </c:pt>
                <c:pt idx="256">
                  <c:v>-0.16691553184786437</c:v>
                </c:pt>
                <c:pt idx="257">
                  <c:v>-0.16242030408134453</c:v>
                </c:pt>
                <c:pt idx="258">
                  <c:v>-0.15041848030134455</c:v>
                </c:pt>
                <c:pt idx="259">
                  <c:v>-0.14744580311163638</c:v>
                </c:pt>
                <c:pt idx="260">
                  <c:v>-0.13834699052683969</c:v>
                </c:pt>
                <c:pt idx="261">
                  <c:v>-0.1249825970425066</c:v>
                </c:pt>
                <c:pt idx="262">
                  <c:v>-0.11618594645571266</c:v>
                </c:pt>
                <c:pt idx="263">
                  <c:v>-9.7497101155146954E-2</c:v>
                </c:pt>
                <c:pt idx="264">
                  <c:v>-0.102769241050996</c:v>
                </c:pt>
                <c:pt idx="265">
                  <c:v>-0.10892244291284023</c:v>
                </c:pt>
                <c:pt idx="266">
                  <c:v>-9.9285774755779682E-2</c:v>
                </c:pt>
                <c:pt idx="267">
                  <c:v>-7.1357407690824354E-2</c:v>
                </c:pt>
                <c:pt idx="268">
                  <c:v>-6.0785066355288762E-2</c:v>
                </c:pt>
                <c:pt idx="269">
                  <c:v>-7.4058699138700557E-2</c:v>
                </c:pt>
                <c:pt idx="270">
                  <c:v>-7.4415762273188704E-2</c:v>
                </c:pt>
                <c:pt idx="271">
                  <c:v>-7.2380763272233792E-2</c:v>
                </c:pt>
                <c:pt idx="272">
                  <c:v>-6.9276381604708004E-2</c:v>
                </c:pt>
                <c:pt idx="273">
                  <c:v>-7.1285803069564155E-2</c:v>
                </c:pt>
                <c:pt idx="274">
                  <c:v>-7.0363382813634953E-2</c:v>
                </c:pt>
                <c:pt idx="275">
                  <c:v>-6.0634372061699929E-2</c:v>
                </c:pt>
                <c:pt idx="276">
                  <c:v>-5.0510571321257441E-2</c:v>
                </c:pt>
                <c:pt idx="277">
                  <c:v>-5.8067803070843631E-2</c:v>
                </c:pt>
                <c:pt idx="278">
                  <c:v>-6.2858068609873696E-2</c:v>
                </c:pt>
                <c:pt idx="279">
                  <c:v>-6.3289063783347074E-2</c:v>
                </c:pt>
                <c:pt idx="280">
                  <c:v>-5.7975586396164493E-2</c:v>
                </c:pt>
                <c:pt idx="281">
                  <c:v>-5.1658485581702933E-2</c:v>
                </c:pt>
                <c:pt idx="282">
                  <c:v>-4.0175989219902723E-2</c:v>
                </c:pt>
                <c:pt idx="283">
                  <c:v>-3.2229386219369383E-2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11-42CD-B51B-3AAFA5E73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4360272"/>
        <c:axId val="744360688"/>
      </c:lineChart>
      <c:dateAx>
        <c:axId val="744360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360688"/>
        <c:crosses val="autoZero"/>
        <c:auto val="1"/>
        <c:lblOffset val="100"/>
        <c:baseTimeUnit val="days"/>
      </c:dateAx>
      <c:valAx>
        <c:axId val="7443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36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1FFF72-4DB5-4D54-A41E-8EBA6CCF1C4B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E23E41-7E2D-4CE7-8B37-789808B4A58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14.55</v>
      </c>
      <c r="D2" s="4">
        <f>MIN(D3:D1912)</f>
        <v>1.1659999999999999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1.19</v>
      </c>
      <c r="C5">
        <v>1.1970000000000001</v>
      </c>
      <c r="D5">
        <v>1.1659999999999999</v>
      </c>
      <c r="E5">
        <v>1.169</v>
      </c>
      <c r="F5">
        <v>76256.2</v>
      </c>
      <c r="G5">
        <v>1.169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-0.80645161290321932</v>
      </c>
      <c r="Q5">
        <f t="shared" ref="Q5" si="1">F5*P5</f>
        <v>-61496.935483870468</v>
      </c>
      <c r="R5">
        <f t="shared" ref="R5" si="2">R6+Q5</f>
        <v>-88692169.789542556</v>
      </c>
      <c r="S5">
        <f t="shared" ref="S5" si="3">R5/100000</f>
        <v>-886.92169789542561</v>
      </c>
      <c r="T5">
        <f t="shared" ref="T5" si="4">S5/1000</f>
        <v>-0.88692169789542563</v>
      </c>
    </row>
    <row r="6" spans="1:20" x14ac:dyDescent="0.25">
      <c r="A6" s="5">
        <v>44587</v>
      </c>
      <c r="B6">
        <v>1.208</v>
      </c>
      <c r="C6">
        <v>1.2509999999999999</v>
      </c>
      <c r="D6">
        <v>1.1739999999999999</v>
      </c>
      <c r="E6">
        <v>1.1910000000000001</v>
      </c>
      <c r="F6">
        <v>2039737.4</v>
      </c>
      <c r="G6">
        <v>1.1910000000000001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-0.55844155844155496</v>
      </c>
      <c r="Q6">
        <f t="shared" ref="Q6" si="6">F6*P6</f>
        <v>-1139074.1324675253</v>
      </c>
      <c r="R6">
        <f t="shared" ref="R6" si="7">R7+Q6</f>
        <v>-88630672.854058683</v>
      </c>
      <c r="S6">
        <f t="shared" ref="S6" si="8">R6/100000</f>
        <v>-886.30672854058685</v>
      </c>
      <c r="T6">
        <f t="shared" ref="T6" si="9">S6/1000</f>
        <v>-0.8863067285405869</v>
      </c>
    </row>
    <row r="7" spans="1:20" x14ac:dyDescent="0.25">
      <c r="A7" s="5">
        <v>44586</v>
      </c>
      <c r="B7">
        <v>1.262</v>
      </c>
      <c r="C7">
        <v>1.264</v>
      </c>
      <c r="D7">
        <v>1.1819999999999999</v>
      </c>
      <c r="E7">
        <v>1.208</v>
      </c>
      <c r="F7">
        <v>1433615.7</v>
      </c>
      <c r="G7">
        <v>1.208</v>
      </c>
      <c r="L7" t="s">
        <v>7</v>
      </c>
      <c r="M7" t="s">
        <v>7</v>
      </c>
      <c r="N7" t="s">
        <v>7</v>
      </c>
      <c r="P7">
        <f t="shared" ref="P7" si="10">IF(C7=D7,0,((E7-D7)-(C7-E7))/(C7-D7))</f>
        <v>-0.36585365853658536</v>
      </c>
      <c r="Q7">
        <f t="shared" ref="Q7" si="11">F7*P7</f>
        <v>-524493.54878048773</v>
      </c>
      <c r="R7">
        <f t="shared" ref="R7" si="12">R8+Q7</f>
        <v>-87491598.72159116</v>
      </c>
      <c r="S7">
        <f t="shared" ref="S7" si="13">R7/100000</f>
        <v>-874.91598721591163</v>
      </c>
      <c r="T7">
        <f t="shared" ref="T7" si="14">S7/1000</f>
        <v>-0.87491598721591157</v>
      </c>
    </row>
    <row r="8" spans="1:20" x14ac:dyDescent="0.25">
      <c r="A8" s="5">
        <v>44585</v>
      </c>
      <c r="B8">
        <v>1.3029999999999999</v>
      </c>
      <c r="C8">
        <v>1.3049999999999999</v>
      </c>
      <c r="D8">
        <v>1.2070000000000001</v>
      </c>
      <c r="E8">
        <v>1.2629999999999999</v>
      </c>
      <c r="F8">
        <v>1731275.9</v>
      </c>
      <c r="G8">
        <v>1.2629999999999999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0.14285714285714091</v>
      </c>
      <c r="Q8">
        <f t="shared" ref="Q8" si="16">F8*P8</f>
        <v>247325.12857142519</v>
      </c>
      <c r="R8">
        <f t="shared" ref="R8" si="17">R9+Q8</f>
        <v>-86967105.172810674</v>
      </c>
      <c r="S8">
        <f t="shared" ref="S8" si="18">R8/100000</f>
        <v>-869.6710517281067</v>
      </c>
      <c r="T8">
        <f t="shared" ref="T8" si="19">S8/1000</f>
        <v>-0.86967105172810666</v>
      </c>
    </row>
    <row r="9" spans="1:20" x14ac:dyDescent="0.25">
      <c r="A9" s="5">
        <v>44584</v>
      </c>
      <c r="B9">
        <v>1.284</v>
      </c>
      <c r="C9">
        <v>1.3280000000000001</v>
      </c>
      <c r="D9">
        <v>1.248</v>
      </c>
      <c r="E9">
        <v>1.302</v>
      </c>
      <c r="F9">
        <v>1483776.3</v>
      </c>
      <c r="G9">
        <v>1.302</v>
      </c>
      <c r="L9" t="s">
        <v>7</v>
      </c>
      <c r="M9" t="s">
        <v>7</v>
      </c>
      <c r="N9" t="s">
        <v>7</v>
      </c>
      <c r="P9">
        <f t="shared" ref="P9" si="20">IF(C9=D9,0,((E9-D9)-(C9-E9))/(C9-D9))</f>
        <v>0.35</v>
      </c>
      <c r="Q9">
        <f t="shared" ref="Q9" si="21">F9*P9</f>
        <v>519321.70499999996</v>
      </c>
      <c r="R9">
        <f t="shared" ref="R9" si="22">R10+Q9</f>
        <v>-87214430.301382095</v>
      </c>
      <c r="S9">
        <f t="shared" ref="S9" si="23">R9/100000</f>
        <v>-872.14430301382095</v>
      </c>
      <c r="T9">
        <f t="shared" ref="T9" si="24">S9/1000</f>
        <v>-0.87214430301382095</v>
      </c>
    </row>
    <row r="10" spans="1:20" x14ac:dyDescent="0.25">
      <c r="A10" s="5">
        <v>44583</v>
      </c>
      <c r="B10">
        <v>1.403</v>
      </c>
      <c r="C10">
        <v>1.421</v>
      </c>
      <c r="D10">
        <v>1.2629999999999999</v>
      </c>
      <c r="E10">
        <v>1.286</v>
      </c>
      <c r="F10">
        <v>1854595.5</v>
      </c>
      <c r="G10">
        <v>1.286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-0.70886075949366945</v>
      </c>
      <c r="Q10">
        <f t="shared" ref="Q10" si="26">F10*P10</f>
        <v>-1314649.9746835416</v>
      </c>
      <c r="R10">
        <f t="shared" ref="R10" si="27">R11+Q10</f>
        <v>-87733752.006382093</v>
      </c>
      <c r="S10">
        <f t="shared" ref="S10" si="28">R10/100000</f>
        <v>-877.33752006382088</v>
      </c>
      <c r="T10">
        <f t="shared" ref="T10" si="29">S10/1000</f>
        <v>-0.87733752006382093</v>
      </c>
    </row>
    <row r="11" spans="1:20" x14ac:dyDescent="0.25">
      <c r="A11" s="5">
        <v>44582</v>
      </c>
      <c r="B11">
        <v>1.4970000000000001</v>
      </c>
      <c r="C11">
        <v>1.5269999999999999</v>
      </c>
      <c r="D11">
        <v>1.379</v>
      </c>
      <c r="E11">
        <v>1.405</v>
      </c>
      <c r="F11">
        <v>2648601.9</v>
      </c>
      <c r="G11">
        <v>1.405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-0.64864864864864813</v>
      </c>
      <c r="Q11">
        <f t="shared" ref="Q11" si="31">F11*P11</f>
        <v>-1718012.0432432417</v>
      </c>
      <c r="R11">
        <f t="shared" ref="R11" si="32">R12+Q11</f>
        <v>-86419102.031698555</v>
      </c>
      <c r="S11">
        <f t="shared" ref="S11" si="33">R11/100000</f>
        <v>-864.1910203169856</v>
      </c>
      <c r="T11">
        <f t="shared" ref="T11" si="34">S11/1000</f>
        <v>-0.86419102031698558</v>
      </c>
    </row>
    <row r="12" spans="1:20" x14ac:dyDescent="0.25">
      <c r="A12" s="5">
        <v>44581</v>
      </c>
      <c r="B12">
        <v>1.5289999999999999</v>
      </c>
      <c r="C12">
        <v>1.58</v>
      </c>
      <c r="D12">
        <v>1.4950000000000001</v>
      </c>
      <c r="E12">
        <v>1.4970000000000001</v>
      </c>
      <c r="F12">
        <v>950752.4</v>
      </c>
      <c r="G12">
        <v>1.4970000000000001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-0.95294117647058818</v>
      </c>
      <c r="Q12">
        <f t="shared" ref="Q12" si="36">F12*P12</f>
        <v>-906011.11058823531</v>
      </c>
      <c r="R12">
        <f t="shared" ref="R12" si="37">R13+Q12</f>
        <v>-84701089.98845531</v>
      </c>
      <c r="S12">
        <f t="shared" ref="S12" si="38">R12/100000</f>
        <v>-847.01089988455306</v>
      </c>
      <c r="T12">
        <f t="shared" ref="T12" si="39">S12/1000</f>
        <v>-0.84701089988455303</v>
      </c>
    </row>
    <row r="13" spans="1:20" x14ac:dyDescent="0.25">
      <c r="A13" s="5">
        <v>44580</v>
      </c>
      <c r="B13">
        <v>1.587</v>
      </c>
      <c r="C13">
        <v>1.595</v>
      </c>
      <c r="D13">
        <v>1.524</v>
      </c>
      <c r="E13">
        <v>1.5289999999999999</v>
      </c>
      <c r="F13">
        <v>1048587.8999999999</v>
      </c>
      <c r="G13">
        <v>1.5289999999999999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-0.85915492957746764</v>
      </c>
      <c r="Q13">
        <f t="shared" ref="Q13" si="41">F13*P13</f>
        <v>-900899.46338028461</v>
      </c>
      <c r="R13">
        <f t="shared" ref="R13" si="42">R14+Q13</f>
        <v>-83795078.877867073</v>
      </c>
      <c r="S13">
        <f t="shared" ref="S13" si="43">R13/100000</f>
        <v>-837.9507887786707</v>
      </c>
      <c r="T13">
        <f t="shared" ref="T13" si="44">S13/1000</f>
        <v>-0.83795078877867069</v>
      </c>
    </row>
    <row r="14" spans="1:20" x14ac:dyDescent="0.25">
      <c r="A14" s="5">
        <v>44579</v>
      </c>
      <c r="B14">
        <v>1.643</v>
      </c>
      <c r="C14">
        <v>1.706</v>
      </c>
      <c r="D14">
        <v>1.571</v>
      </c>
      <c r="E14">
        <v>1.587</v>
      </c>
      <c r="F14">
        <v>1179766.1000000001</v>
      </c>
      <c r="G14">
        <v>1.587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-0.76296296296296273</v>
      </c>
      <c r="Q14">
        <f t="shared" ref="Q14" si="46">F14*P14</f>
        <v>-900117.83925925905</v>
      </c>
      <c r="R14">
        <f t="shared" ref="R14" si="47">R15+Q14</f>
        <v>-82894179.414486781</v>
      </c>
      <c r="S14">
        <f t="shared" ref="S14" si="48">R14/100000</f>
        <v>-828.9417941448678</v>
      </c>
      <c r="T14">
        <f t="shared" ref="T14" si="49">S14/1000</f>
        <v>-0.82894179414486779</v>
      </c>
    </row>
    <row r="15" spans="1:20" x14ac:dyDescent="0.25">
      <c r="A15" s="5">
        <v>44578</v>
      </c>
      <c r="B15">
        <v>1.702</v>
      </c>
      <c r="C15">
        <v>1.7050000000000001</v>
      </c>
      <c r="D15">
        <v>1.6319999999999999</v>
      </c>
      <c r="E15">
        <v>1.643</v>
      </c>
      <c r="F15">
        <v>742872.4</v>
      </c>
      <c r="G15">
        <v>1.643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-0.69863013698629883</v>
      </c>
      <c r="Q15">
        <f t="shared" ref="Q15" si="51">F15*P15</f>
        <v>-518993.04657534062</v>
      </c>
      <c r="R15">
        <f t="shared" ref="R15" si="52">R16+Q15</f>
        <v>-81994061.575227529</v>
      </c>
      <c r="S15">
        <f t="shared" ref="S15" si="53">R15/100000</f>
        <v>-819.94061575227533</v>
      </c>
      <c r="T15">
        <f t="shared" ref="T15" si="54">S15/1000</f>
        <v>-0.81994061575227528</v>
      </c>
    </row>
    <row r="16" spans="1:20" x14ac:dyDescent="0.25">
      <c r="A16" s="5">
        <v>44577</v>
      </c>
      <c r="B16">
        <v>1.7310000000000001</v>
      </c>
      <c r="C16">
        <v>1.758</v>
      </c>
      <c r="D16">
        <v>1.6919999999999999</v>
      </c>
      <c r="E16">
        <v>1.702</v>
      </c>
      <c r="F16">
        <v>1160107.8999999999</v>
      </c>
      <c r="G16">
        <v>1.702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-0.69696969696969702</v>
      </c>
      <c r="Q16">
        <f t="shared" ref="Q16" si="56">F16*P16</f>
        <v>-808560.05151515151</v>
      </c>
      <c r="R16">
        <f t="shared" ref="R16" si="57">R17+Q16</f>
        <v>-81475068.528652191</v>
      </c>
      <c r="S16">
        <f t="shared" ref="S16" si="58">R16/100000</f>
        <v>-814.75068528652196</v>
      </c>
      <c r="T16">
        <f t="shared" ref="T16" si="59">S16/1000</f>
        <v>-0.81475068528652195</v>
      </c>
    </row>
    <row r="17" spans="1:20" x14ac:dyDescent="0.25">
      <c r="A17" s="5">
        <v>44576</v>
      </c>
      <c r="B17">
        <v>1.73</v>
      </c>
      <c r="C17">
        <v>1.76</v>
      </c>
      <c r="D17">
        <v>1.7190000000000001</v>
      </c>
      <c r="E17">
        <v>1.734</v>
      </c>
      <c r="F17">
        <v>1715541.9</v>
      </c>
      <c r="G17">
        <v>1.734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-0.26829268292683273</v>
      </c>
      <c r="Q17">
        <f t="shared" ref="Q17" si="61">F17*P17</f>
        <v>-460267.33902439615</v>
      </c>
      <c r="R17">
        <f t="shared" ref="R17" si="62">R18+Q17</f>
        <v>-80666508.477137044</v>
      </c>
      <c r="S17">
        <f t="shared" ref="S17" si="63">R17/100000</f>
        <v>-806.6650847713704</v>
      </c>
      <c r="T17">
        <f t="shared" ref="T17" si="64">S17/1000</f>
        <v>-0.80666508477137044</v>
      </c>
    </row>
    <row r="18" spans="1:20" x14ac:dyDescent="0.25">
      <c r="A18" s="5">
        <v>44575</v>
      </c>
      <c r="B18">
        <v>1.8740000000000001</v>
      </c>
      <c r="C18">
        <v>1.8959999999999999</v>
      </c>
      <c r="D18">
        <v>1.6739999999999999</v>
      </c>
      <c r="E18">
        <v>1.7290000000000001</v>
      </c>
      <c r="F18">
        <v>4154847.7</v>
      </c>
      <c r="G18">
        <v>1.7290000000000001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-0.50450450450450302</v>
      </c>
      <c r="Q18">
        <f t="shared" ref="Q18" si="66">F18*P18</f>
        <v>-2096139.380180174</v>
      </c>
      <c r="R18">
        <f t="shared" ref="R18" si="67">R19+Q18</f>
        <v>-80206241.138112649</v>
      </c>
      <c r="S18">
        <f t="shared" ref="S18" si="68">R18/100000</f>
        <v>-802.06241138112648</v>
      </c>
      <c r="T18">
        <f t="shared" ref="T18" si="69">S18/1000</f>
        <v>-0.80206241138112644</v>
      </c>
    </row>
    <row r="19" spans="1:20" x14ac:dyDescent="0.25">
      <c r="A19" s="5">
        <v>44574</v>
      </c>
      <c r="B19">
        <v>1.8069999999999999</v>
      </c>
      <c r="C19">
        <v>1.9990000000000001</v>
      </c>
      <c r="D19">
        <v>1.76</v>
      </c>
      <c r="E19">
        <v>1.875</v>
      </c>
      <c r="F19">
        <v>3831772.1</v>
      </c>
      <c r="G19">
        <v>1.875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-3.7656903765690856E-2</v>
      </c>
      <c r="Q19">
        <f t="shared" ref="Q19" si="71">F19*P19</f>
        <v>-144292.67322175918</v>
      </c>
      <c r="R19">
        <f t="shared" ref="R19" si="72">R20+Q19</f>
        <v>-78110101.757932469</v>
      </c>
      <c r="S19">
        <f t="shared" ref="S19" si="73">R19/100000</f>
        <v>-781.10101757932466</v>
      </c>
      <c r="T19">
        <f t="shared" ref="T19" si="74">S19/1000</f>
        <v>-0.78110101757932471</v>
      </c>
    </row>
    <row r="20" spans="1:20" x14ac:dyDescent="0.25">
      <c r="A20" s="5">
        <v>44573</v>
      </c>
      <c r="B20">
        <v>1.7709999999999999</v>
      </c>
      <c r="C20">
        <v>1.8340000000000001</v>
      </c>
      <c r="D20">
        <v>1.7689999999999999</v>
      </c>
      <c r="E20">
        <v>1.8089999999999999</v>
      </c>
      <c r="F20">
        <v>1317419.5</v>
      </c>
      <c r="G20">
        <v>1.8089999999999999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0.23076923076922867</v>
      </c>
      <c r="Q20">
        <f t="shared" ref="Q20" si="76">F20*P20</f>
        <v>304019.88461538183</v>
      </c>
      <c r="R20">
        <f t="shared" ref="R20" si="77">R21+Q20</f>
        <v>-77965809.084710717</v>
      </c>
      <c r="S20">
        <f t="shared" ref="S20" si="78">R20/100000</f>
        <v>-779.65809084710713</v>
      </c>
      <c r="T20">
        <f t="shared" ref="T20" si="79">S20/1000</f>
        <v>-0.77965809084710713</v>
      </c>
    </row>
    <row r="21" spans="1:20" x14ac:dyDescent="0.25">
      <c r="A21" s="5">
        <v>44572</v>
      </c>
      <c r="B21">
        <v>1.7509999999999999</v>
      </c>
      <c r="C21">
        <v>1.784</v>
      </c>
      <c r="D21">
        <v>1.73</v>
      </c>
      <c r="E21">
        <v>1.7709999999999999</v>
      </c>
      <c r="F21">
        <v>1007802.4</v>
      </c>
      <c r="G21">
        <v>1.7709999999999999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0.51851851851851438</v>
      </c>
      <c r="Q21">
        <f t="shared" ref="Q21" si="81">F21*P21</f>
        <v>522564.20740740327</v>
      </c>
      <c r="R21">
        <f t="shared" ref="R21" si="82">R22+Q21</f>
        <v>-78269828.969326094</v>
      </c>
      <c r="S21">
        <f t="shared" ref="S21" si="83">R21/100000</f>
        <v>-782.6982896932609</v>
      </c>
      <c r="T21">
        <f t="shared" ref="T21" si="84">S21/1000</f>
        <v>-0.78269828969326094</v>
      </c>
    </row>
    <row r="22" spans="1:20" x14ac:dyDescent="0.25">
      <c r="A22" s="5">
        <v>44571</v>
      </c>
      <c r="B22">
        <v>1.85</v>
      </c>
      <c r="C22">
        <v>1.887</v>
      </c>
      <c r="D22">
        <v>1.7110000000000001</v>
      </c>
      <c r="E22">
        <v>1.752</v>
      </c>
      <c r="F22">
        <v>1488935.9</v>
      </c>
      <c r="G22">
        <v>1.752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-0.53409090909090973</v>
      </c>
      <c r="Q22">
        <f t="shared" ref="Q22" si="86">F22*P22</f>
        <v>-795227.12840909185</v>
      </c>
      <c r="R22">
        <f t="shared" ref="R22" si="87">R23+Q22</f>
        <v>-78792393.176733494</v>
      </c>
      <c r="S22">
        <f t="shared" ref="S22" si="88">R22/100000</f>
        <v>-787.92393176733492</v>
      </c>
      <c r="T22">
        <f t="shared" ref="T22" si="89">S22/1000</f>
        <v>-0.78792393176733488</v>
      </c>
    </row>
    <row r="23" spans="1:20" x14ac:dyDescent="0.25">
      <c r="A23" s="5">
        <v>44570</v>
      </c>
      <c r="B23">
        <v>1.837</v>
      </c>
      <c r="C23">
        <v>1.875</v>
      </c>
      <c r="D23">
        <v>1.79</v>
      </c>
      <c r="E23">
        <v>1.85</v>
      </c>
      <c r="F23">
        <v>1174863.7</v>
      </c>
      <c r="G23">
        <v>1.85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0.41176470588235481</v>
      </c>
      <c r="Q23">
        <f t="shared" ref="Q23" si="91">F23*P23</f>
        <v>483767.40588235512</v>
      </c>
      <c r="R23">
        <f t="shared" ref="R23" si="92">R24+Q23</f>
        <v>-77997166.048324406</v>
      </c>
      <c r="S23">
        <f t="shared" ref="S23" si="93">R23/100000</f>
        <v>-779.97166048324402</v>
      </c>
      <c r="T23">
        <f t="shared" ref="T23" si="94">S23/1000</f>
        <v>-0.77997166048324407</v>
      </c>
    </row>
    <row r="24" spans="1:20" x14ac:dyDescent="0.25">
      <c r="A24" s="5">
        <v>44569</v>
      </c>
      <c r="B24">
        <v>1.913</v>
      </c>
      <c r="C24">
        <v>1.95</v>
      </c>
      <c r="D24">
        <v>1.83</v>
      </c>
      <c r="E24">
        <v>1.835</v>
      </c>
      <c r="F24">
        <v>886060.4</v>
      </c>
      <c r="G24">
        <v>1.835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-0.91666666666666841</v>
      </c>
      <c r="Q24">
        <f t="shared" ref="Q24" si="96">F24*P24</f>
        <v>-812222.03333333484</v>
      </c>
      <c r="R24">
        <f t="shared" ref="R24" si="97">R25+Q24</f>
        <v>-78480933.454206765</v>
      </c>
      <c r="S24">
        <f t="shared" ref="S24" si="98">R24/100000</f>
        <v>-784.80933454206763</v>
      </c>
      <c r="T24">
        <f t="shared" ref="T24" si="99">S24/1000</f>
        <v>-0.78480933454206758</v>
      </c>
    </row>
    <row r="25" spans="1:20" x14ac:dyDescent="0.25">
      <c r="A25" s="5">
        <v>44568</v>
      </c>
      <c r="B25">
        <v>2.0249999999999999</v>
      </c>
      <c r="C25">
        <v>2.0259999999999998</v>
      </c>
      <c r="D25">
        <v>1.903</v>
      </c>
      <c r="E25">
        <v>1.913</v>
      </c>
      <c r="F25">
        <v>1303551.8999999999</v>
      </c>
      <c r="G25">
        <v>1.913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-0.8373983739837394</v>
      </c>
      <c r="Q25">
        <f t="shared" ref="Q25" si="101">F25*P25</f>
        <v>-1091592.2414634139</v>
      </c>
      <c r="R25">
        <f t="shared" ref="R25" si="102">R26+Q25</f>
        <v>-77668711.420873433</v>
      </c>
      <c r="S25">
        <f t="shared" ref="S25" si="103">R25/100000</f>
        <v>-776.68711420873433</v>
      </c>
      <c r="T25">
        <f t="shared" ref="T25" si="104">S25/1000</f>
        <v>-0.77668711420873437</v>
      </c>
    </row>
    <row r="26" spans="1:20" x14ac:dyDescent="0.25">
      <c r="A26" s="5">
        <v>44567</v>
      </c>
      <c r="B26">
        <v>2.09</v>
      </c>
      <c r="C26">
        <v>2.0910000000000002</v>
      </c>
      <c r="D26">
        <v>1.9970000000000001</v>
      </c>
      <c r="E26">
        <v>2.0249999999999999</v>
      </c>
      <c r="F26">
        <v>1135501.486</v>
      </c>
      <c r="G26">
        <v>2.0249999999999999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-0.40425531914894092</v>
      </c>
      <c r="Q26">
        <f t="shared" ref="Q26" si="106">F26*P26</f>
        <v>-459032.51561702666</v>
      </c>
      <c r="R26">
        <f t="shared" ref="R26" si="107">R27+Q26</f>
        <v>-76577119.179410025</v>
      </c>
      <c r="S26">
        <f t="shared" ref="S26" si="108">R26/100000</f>
        <v>-765.77119179410022</v>
      </c>
      <c r="T26">
        <f t="shared" ref="T26" si="109">S26/1000</f>
        <v>-0.76577119179410025</v>
      </c>
    </row>
    <row r="27" spans="1:20" x14ac:dyDescent="0.25">
      <c r="A27" s="5">
        <v>44566</v>
      </c>
      <c r="B27">
        <v>2.21</v>
      </c>
      <c r="C27">
        <v>2.2450000000000001</v>
      </c>
      <c r="D27">
        <v>2.0499999999999998</v>
      </c>
      <c r="E27">
        <v>2.0910000000000002</v>
      </c>
      <c r="F27">
        <v>1734380.8</v>
      </c>
      <c r="G27">
        <v>2.0910000000000002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-0.57948717948717632</v>
      </c>
      <c r="Q27">
        <f t="shared" ref="Q27" si="111">F27*P27</f>
        <v>-1005051.4379487125</v>
      </c>
      <c r="R27">
        <f t="shared" ref="R27" si="112">R28+Q27</f>
        <v>-76118086.663792998</v>
      </c>
      <c r="S27">
        <f t="shared" ref="S27" si="113">R27/100000</f>
        <v>-761.18086663792997</v>
      </c>
      <c r="T27">
        <f t="shared" ref="T27" si="114">S27/1000</f>
        <v>-0.76118086663792994</v>
      </c>
    </row>
    <row r="28" spans="1:20" x14ac:dyDescent="0.25">
      <c r="A28" s="5">
        <v>44565</v>
      </c>
      <c r="B28">
        <v>2.2909999999999999</v>
      </c>
      <c r="C28">
        <v>2.3180000000000001</v>
      </c>
      <c r="D28">
        <v>2.1989999999999998</v>
      </c>
      <c r="E28">
        <v>2.2120000000000002</v>
      </c>
      <c r="F28">
        <v>2199324.4</v>
      </c>
      <c r="G28">
        <v>2.2120000000000002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-0.78151260504201137</v>
      </c>
      <c r="Q28">
        <f t="shared" ref="Q28" si="116">F28*P28</f>
        <v>-1718799.7411764585</v>
      </c>
      <c r="R28">
        <f t="shared" ref="R28" si="117">R29+Q28</f>
        <v>-75113035.225844279</v>
      </c>
      <c r="S28">
        <f t="shared" ref="S28" si="118">R28/100000</f>
        <v>-751.13035225844283</v>
      </c>
      <c r="T28">
        <f t="shared" ref="T28" si="119">S28/1000</f>
        <v>-0.75113035225844282</v>
      </c>
    </row>
    <row r="29" spans="1:20" x14ac:dyDescent="0.25">
      <c r="A29" s="5">
        <v>44564</v>
      </c>
      <c r="B29">
        <v>2.4020000000000001</v>
      </c>
      <c r="C29">
        <v>2.419</v>
      </c>
      <c r="D29">
        <v>2.2890000000000001</v>
      </c>
      <c r="E29">
        <v>2.2909999999999999</v>
      </c>
      <c r="F29">
        <v>1316679.6000000001</v>
      </c>
      <c r="G29">
        <v>2.2909999999999999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-0.96923076923077256</v>
      </c>
      <c r="Q29">
        <f t="shared" ref="Q29" si="121">F29*P29</f>
        <v>-1276166.3815384661</v>
      </c>
      <c r="R29">
        <f t="shared" ref="R29" si="122">R30+Q29</f>
        <v>-73394235.484667823</v>
      </c>
      <c r="S29">
        <f t="shared" ref="S29" si="123">R29/100000</f>
        <v>-733.9423548466782</v>
      </c>
      <c r="T29">
        <f t="shared" ref="T29" si="124">S29/1000</f>
        <v>-0.73394235484667825</v>
      </c>
    </row>
    <row r="30" spans="1:20" x14ac:dyDescent="0.25">
      <c r="A30" s="5">
        <v>44563</v>
      </c>
      <c r="B30">
        <v>2.4750000000000001</v>
      </c>
      <c r="C30">
        <v>2.508</v>
      </c>
      <c r="D30">
        <v>2.3849999999999998</v>
      </c>
      <c r="E30">
        <v>2.4009999999999998</v>
      </c>
      <c r="F30">
        <v>1056750.3999999999</v>
      </c>
      <c r="G30">
        <v>2.4009999999999998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-0.73983739837398399</v>
      </c>
      <c r="Q30">
        <f t="shared" ref="Q30" si="126">F30*P30</f>
        <v>-781823.46666666691</v>
      </c>
      <c r="R30">
        <f t="shared" ref="R30" si="127">R31+Q30</f>
        <v>-72118069.103129357</v>
      </c>
      <c r="S30">
        <f t="shared" ref="S30" si="128">R30/100000</f>
        <v>-721.18069103129358</v>
      </c>
      <c r="T30">
        <f t="shared" ref="T30" si="129">S30/1000</f>
        <v>-0.72118069103129356</v>
      </c>
    </row>
    <row r="31" spans="1:20" x14ac:dyDescent="0.25">
      <c r="A31" s="5">
        <v>44562</v>
      </c>
      <c r="B31">
        <v>2.4430000000000001</v>
      </c>
      <c r="C31">
        <v>2.4769999999999999</v>
      </c>
      <c r="D31">
        <v>2.4140000000000001</v>
      </c>
      <c r="E31">
        <v>2.4740000000000002</v>
      </c>
      <c r="F31">
        <v>643574.69999999995</v>
      </c>
      <c r="G31">
        <v>2.4740000000000002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0.90476190476191487</v>
      </c>
      <c r="Q31">
        <f t="shared" ref="Q31" si="131">F31*P31</f>
        <v>582281.87142857793</v>
      </c>
      <c r="R31">
        <f t="shared" ref="R31" si="132">R32+Q31</f>
        <v>-71336245.636462688</v>
      </c>
      <c r="S31">
        <f t="shared" ref="S31" si="133">R31/100000</f>
        <v>-713.36245636462684</v>
      </c>
      <c r="T31">
        <f t="shared" ref="T31" si="134">S31/1000</f>
        <v>-0.71336245636462681</v>
      </c>
    </row>
    <row r="32" spans="1:20" x14ac:dyDescent="0.25">
      <c r="A32" s="5">
        <v>44561</v>
      </c>
      <c r="B32">
        <v>2.38</v>
      </c>
      <c r="C32">
        <v>2.5619999999999998</v>
      </c>
      <c r="D32">
        <v>2.359</v>
      </c>
      <c r="E32">
        <v>2.4430000000000001</v>
      </c>
      <c r="F32">
        <v>1581376.3</v>
      </c>
      <c r="G32">
        <v>2.4430000000000001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-0.17241379310344693</v>
      </c>
      <c r="Q32">
        <f t="shared" ref="Q32" si="136">F32*P32</f>
        <v>-272651.08620689443</v>
      </c>
      <c r="R32">
        <f t="shared" ref="R32" si="137">R33+Q32</f>
        <v>-71918527.507891268</v>
      </c>
      <c r="S32">
        <f t="shared" ref="S32" si="138">R32/100000</f>
        <v>-719.1852750789127</v>
      </c>
      <c r="T32">
        <f t="shared" ref="T32" si="139">S32/1000</f>
        <v>-0.71918527507891272</v>
      </c>
    </row>
    <row r="33" spans="1:20" x14ac:dyDescent="0.25">
      <c r="A33" s="5">
        <v>44560</v>
      </c>
      <c r="B33">
        <v>2.3919999999999999</v>
      </c>
      <c r="C33">
        <v>2.431</v>
      </c>
      <c r="D33">
        <v>2.351</v>
      </c>
      <c r="E33">
        <v>2.379</v>
      </c>
      <c r="F33">
        <v>636162</v>
      </c>
      <c r="G33">
        <v>2.379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-0.3</v>
      </c>
      <c r="Q33">
        <f t="shared" ref="Q33" si="141">F33*P33</f>
        <v>-190848.6</v>
      </c>
      <c r="R33">
        <f t="shared" ref="R33" si="142">R34+Q33</f>
        <v>-71645876.421684369</v>
      </c>
      <c r="S33">
        <f t="shared" ref="S33" si="143">R33/100000</f>
        <v>-716.45876421684375</v>
      </c>
      <c r="T33">
        <f t="shared" ref="T33" si="144">S33/1000</f>
        <v>-0.71645876421684374</v>
      </c>
    </row>
    <row r="34" spans="1:20" x14ac:dyDescent="0.25">
      <c r="A34" s="5">
        <v>44559</v>
      </c>
      <c r="B34">
        <v>2.46</v>
      </c>
      <c r="C34">
        <v>2.4700000000000002</v>
      </c>
      <c r="D34">
        <v>2.383</v>
      </c>
      <c r="E34">
        <v>2.395</v>
      </c>
      <c r="F34">
        <v>584468.69999999995</v>
      </c>
      <c r="G34">
        <v>2.395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-0.7241379310344831</v>
      </c>
      <c r="Q34">
        <f t="shared" ref="Q34" si="146">F34*P34</f>
        <v>-423235.95517241396</v>
      </c>
      <c r="R34">
        <f t="shared" ref="R34" si="147">R35+Q34</f>
        <v>-71455027.821684375</v>
      </c>
      <c r="S34">
        <f t="shared" ref="S34" si="148">R34/100000</f>
        <v>-714.55027821684371</v>
      </c>
      <c r="T34">
        <f t="shared" ref="T34" si="149">S34/1000</f>
        <v>-0.71455027821684369</v>
      </c>
    </row>
    <row r="35" spans="1:20" x14ac:dyDescent="0.25">
      <c r="A35" s="5">
        <v>44558</v>
      </c>
      <c r="B35">
        <v>2.6339999999999999</v>
      </c>
      <c r="C35">
        <v>2.6429999999999998</v>
      </c>
      <c r="D35">
        <v>2.4329999999999998</v>
      </c>
      <c r="E35">
        <v>2.46</v>
      </c>
      <c r="F35">
        <v>1122286.6000000001</v>
      </c>
      <c r="G35">
        <v>2.46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-0.74285714285714155</v>
      </c>
      <c r="Q35">
        <f t="shared" ref="Q35" si="151">F35*P35</f>
        <v>-833698.61714285577</v>
      </c>
      <c r="R35">
        <f t="shared" ref="R35" si="152">R36+Q35</f>
        <v>-71031791.866511956</v>
      </c>
      <c r="S35">
        <f t="shared" ref="S35" si="153">R35/100000</f>
        <v>-710.31791866511958</v>
      </c>
      <c r="T35">
        <f t="shared" ref="T35" si="154">S35/1000</f>
        <v>-0.71031791866511962</v>
      </c>
    </row>
    <row r="36" spans="1:20" x14ac:dyDescent="0.25">
      <c r="A36" s="5">
        <v>44557</v>
      </c>
      <c r="B36">
        <v>2.7309999999999999</v>
      </c>
      <c r="C36">
        <v>2.754</v>
      </c>
      <c r="D36">
        <v>2.593</v>
      </c>
      <c r="E36">
        <v>2.6349999999999998</v>
      </c>
      <c r="F36">
        <v>1210477.8</v>
      </c>
      <c r="G36">
        <v>2.6349999999999998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-0.47826086956521979</v>
      </c>
      <c r="Q36">
        <f t="shared" ref="Q36" si="156">F36*P36</f>
        <v>-578924.16521739424</v>
      </c>
      <c r="R36">
        <f t="shared" ref="R36" si="157">R37+Q36</f>
        <v>-70198093.2493691</v>
      </c>
      <c r="S36">
        <f t="shared" ref="S36" si="158">R36/100000</f>
        <v>-701.98093249369094</v>
      </c>
      <c r="T36">
        <f t="shared" ref="T36" si="159">S36/1000</f>
        <v>-0.70198093249369098</v>
      </c>
    </row>
    <row r="37" spans="1:20" x14ac:dyDescent="0.25">
      <c r="A37" s="5">
        <v>44556</v>
      </c>
      <c r="B37">
        <v>2.653</v>
      </c>
      <c r="C37">
        <v>2.7450000000000001</v>
      </c>
      <c r="D37">
        <v>2.5760000000000001</v>
      </c>
      <c r="E37">
        <v>2.7309999999999999</v>
      </c>
      <c r="F37">
        <v>1661148.4</v>
      </c>
      <c r="G37">
        <v>2.7309999999999999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0.8343195266272162</v>
      </c>
      <c r="Q37">
        <f t="shared" ref="Q37" si="161">F37*P37</f>
        <v>1385928.5467455576</v>
      </c>
      <c r="R37">
        <f t="shared" ref="R37" si="162">R38+Q37</f>
        <v>-69619169.0841517</v>
      </c>
      <c r="S37">
        <f t="shared" ref="S37" si="163">R37/100000</f>
        <v>-696.19169084151702</v>
      </c>
      <c r="T37">
        <f t="shared" ref="T37" si="164">S37/1000</f>
        <v>-0.696191690841517</v>
      </c>
    </row>
    <row r="38" spans="1:20" x14ac:dyDescent="0.25">
      <c r="A38" s="5">
        <v>44555</v>
      </c>
      <c r="B38">
        <v>2.5379999999999998</v>
      </c>
      <c r="C38">
        <v>2.7010000000000001</v>
      </c>
      <c r="D38">
        <v>2.524</v>
      </c>
      <c r="E38">
        <v>2.65</v>
      </c>
      <c r="F38">
        <v>1731412.2</v>
      </c>
      <c r="G38">
        <v>2.65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0.42372881355932041</v>
      </c>
      <c r="Q38">
        <f t="shared" ref="Q38" si="166">F38*P38</f>
        <v>733649.23728813278</v>
      </c>
      <c r="R38">
        <f t="shared" ref="R38" si="167">R39+Q38</f>
        <v>-71005097.630897254</v>
      </c>
      <c r="S38">
        <f t="shared" ref="S38" si="168">R38/100000</f>
        <v>-710.05097630897251</v>
      </c>
      <c r="T38">
        <f t="shared" ref="T38" si="169">S38/1000</f>
        <v>-0.71005097630897251</v>
      </c>
    </row>
    <row r="39" spans="1:20" x14ac:dyDescent="0.25">
      <c r="A39" s="5">
        <v>44554</v>
      </c>
      <c r="B39">
        <v>2.5139999999999998</v>
      </c>
      <c r="C39">
        <v>2.641</v>
      </c>
      <c r="D39">
        <v>2.5139999999999998</v>
      </c>
      <c r="E39">
        <v>2.5350000000000001</v>
      </c>
      <c r="F39">
        <v>1706910.7</v>
      </c>
      <c r="G39">
        <v>2.5350000000000001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-0.6692913385826722</v>
      </c>
      <c r="Q39">
        <f t="shared" ref="Q39" si="171">F39*P39</f>
        <v>-1142420.5472440859</v>
      </c>
      <c r="R39">
        <f t="shared" ref="R39" si="172">R40+Q39</f>
        <v>-71738746.868185386</v>
      </c>
      <c r="S39">
        <f t="shared" ref="S39" si="173">R39/100000</f>
        <v>-717.38746868185387</v>
      </c>
      <c r="T39">
        <f t="shared" ref="T39" si="174">S39/1000</f>
        <v>-0.71738746868185388</v>
      </c>
    </row>
    <row r="40" spans="1:20" x14ac:dyDescent="0.25">
      <c r="A40" s="5">
        <v>44553</v>
      </c>
      <c r="B40">
        <v>2.4620000000000002</v>
      </c>
      <c r="C40">
        <v>2.5230000000000001</v>
      </c>
      <c r="D40">
        <v>2.4180000000000001</v>
      </c>
      <c r="E40">
        <v>2.512</v>
      </c>
      <c r="F40">
        <v>1050646.5</v>
      </c>
      <c r="G40">
        <v>2.512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0.79047619047618811</v>
      </c>
      <c r="Q40">
        <f t="shared" ref="Q40" si="176">F40*P40</f>
        <v>830511.04285714042</v>
      </c>
      <c r="R40">
        <f t="shared" ref="R40" si="177">R41+Q40</f>
        <v>-70596326.320941299</v>
      </c>
      <c r="S40">
        <f t="shared" ref="S40" si="178">R40/100000</f>
        <v>-705.96326320941296</v>
      </c>
      <c r="T40">
        <f t="shared" ref="T40" si="179">S40/1000</f>
        <v>-0.70596326320941294</v>
      </c>
    </row>
    <row r="41" spans="1:20" x14ac:dyDescent="0.25">
      <c r="A41" s="5">
        <v>44552</v>
      </c>
      <c r="B41">
        <v>2.512</v>
      </c>
      <c r="C41">
        <v>2.5569999999999999</v>
      </c>
      <c r="D41">
        <v>2.4620000000000002</v>
      </c>
      <c r="E41">
        <v>2.4620000000000002</v>
      </c>
      <c r="F41">
        <v>1010956.9</v>
      </c>
      <c r="G41">
        <v>2.4620000000000002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-1</v>
      </c>
      <c r="Q41">
        <f t="shared" ref="Q41" si="181">F41*P41</f>
        <v>-1010956.9</v>
      </c>
      <c r="R41">
        <f t="shared" ref="R41" si="182">R42+Q41</f>
        <v>-71426837.36379844</v>
      </c>
      <c r="S41">
        <f t="shared" ref="S41" si="183">R41/100000</f>
        <v>-714.26837363798438</v>
      </c>
      <c r="T41">
        <f t="shared" ref="T41" si="184">S41/1000</f>
        <v>-0.71426837363798434</v>
      </c>
    </row>
    <row r="42" spans="1:20" x14ac:dyDescent="0.25">
      <c r="A42" s="5">
        <v>44551</v>
      </c>
      <c r="B42">
        <v>2.4390000000000001</v>
      </c>
      <c r="C42">
        <v>2.5209999999999999</v>
      </c>
      <c r="D42">
        <v>2.4159999999999999</v>
      </c>
      <c r="E42">
        <v>2.512</v>
      </c>
      <c r="F42">
        <v>948070.7</v>
      </c>
      <c r="G42">
        <v>2.512</v>
      </c>
      <c r="L42" t="s">
        <v>7</v>
      </c>
      <c r="M42" t="s">
        <v>8</v>
      </c>
      <c r="N42" t="s">
        <v>7</v>
      </c>
      <c r="P42">
        <f t="shared" ref="P42" si="185">IF(C42=D42,0,((E42-D42)-(C42-E42))/(C42-D42))</f>
        <v>0.82857142857143051</v>
      </c>
      <c r="Q42">
        <f t="shared" ref="Q42" si="186">F42*P42</f>
        <v>785544.29428571614</v>
      </c>
      <c r="R42">
        <f t="shared" ref="R42" si="187">R43+Q42</f>
        <v>-70415880.463798434</v>
      </c>
      <c r="S42">
        <f t="shared" ref="S42" si="188">R42/100000</f>
        <v>-704.1588046379843</v>
      </c>
      <c r="T42">
        <f t="shared" ref="T42" si="189">S42/1000</f>
        <v>-0.7041588046379843</v>
      </c>
    </row>
    <row r="43" spans="1:20" x14ac:dyDescent="0.25">
      <c r="A43" s="5">
        <v>44550</v>
      </c>
      <c r="B43">
        <v>2.577</v>
      </c>
      <c r="C43">
        <v>2.581</v>
      </c>
      <c r="D43">
        <v>2.419</v>
      </c>
      <c r="E43">
        <v>2.4390000000000001</v>
      </c>
      <c r="F43">
        <v>1131975.2</v>
      </c>
      <c r="G43">
        <v>2.4390000000000001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-0.7530864197530861</v>
      </c>
      <c r="Q43">
        <f t="shared" ref="Q43" si="191">F43*P43</f>
        <v>-852475.15061728354</v>
      </c>
      <c r="R43">
        <f t="shared" ref="R43" si="192">R44+Q43</f>
        <v>-71201424.758084148</v>
      </c>
      <c r="S43">
        <f t="shared" ref="S43" si="193">R43/100000</f>
        <v>-712.01424758084147</v>
      </c>
      <c r="T43">
        <f t="shared" ref="T43" si="194">S43/1000</f>
        <v>-0.71201424758084142</v>
      </c>
    </row>
    <row r="44" spans="1:20" x14ac:dyDescent="0.25">
      <c r="A44" s="5">
        <v>44549</v>
      </c>
      <c r="B44">
        <v>2.5630000000000002</v>
      </c>
      <c r="C44">
        <v>2.7</v>
      </c>
      <c r="D44">
        <v>2.5089999999999999</v>
      </c>
      <c r="E44">
        <v>2.5790000000000002</v>
      </c>
      <c r="F44">
        <v>2089741.1</v>
      </c>
      <c r="G44">
        <v>2.5790000000000002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-0.26701570680628084</v>
      </c>
      <c r="Q44">
        <f t="shared" ref="Q44" si="196">F44*P44</f>
        <v>-557993.69685863482</v>
      </c>
      <c r="R44">
        <f t="shared" ref="R44" si="197">R45+Q44</f>
        <v>-70348949.607466862</v>
      </c>
      <c r="S44">
        <f t="shared" ref="S44" si="198">R44/100000</f>
        <v>-703.48949607466864</v>
      </c>
      <c r="T44">
        <f t="shared" ref="T44" si="199">S44/1000</f>
        <v>-0.7034894960746686</v>
      </c>
    </row>
    <row r="45" spans="1:20" x14ac:dyDescent="0.25">
      <c r="A45" s="5">
        <v>44548</v>
      </c>
      <c r="B45">
        <v>2.48</v>
      </c>
      <c r="C45">
        <v>2.7530000000000001</v>
      </c>
      <c r="D45">
        <v>2.3730000000000002</v>
      </c>
      <c r="E45">
        <v>2.5609999999999999</v>
      </c>
      <c r="F45">
        <v>4359491.2</v>
      </c>
      <c r="G45">
        <v>2.5609999999999999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-1.0526315789474865E-2</v>
      </c>
      <c r="Q45">
        <f t="shared" ref="Q45" si="201">F45*P45</f>
        <v>-45889.381052636731</v>
      </c>
      <c r="R45">
        <f t="shared" ref="R45" si="202">R46+Q45</f>
        <v>-69790955.910608232</v>
      </c>
      <c r="S45">
        <f t="shared" ref="S45" si="203">R45/100000</f>
        <v>-697.90955910608227</v>
      </c>
      <c r="T45">
        <f t="shared" ref="T45" si="204">S45/1000</f>
        <v>-0.69790955910608232</v>
      </c>
    </row>
    <row r="46" spans="1:20" x14ac:dyDescent="0.25">
      <c r="A46" s="5">
        <v>44547</v>
      </c>
      <c r="B46">
        <v>2.2709999999999999</v>
      </c>
      <c r="C46">
        <v>2.4929999999999999</v>
      </c>
      <c r="D46">
        <v>2.1909999999999998</v>
      </c>
      <c r="E46">
        <v>2.48</v>
      </c>
      <c r="F46">
        <v>1771541.4</v>
      </c>
      <c r="G46">
        <v>2.48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0.91390728476821259</v>
      </c>
      <c r="Q46">
        <f t="shared" ref="Q46" si="206">F46*P46</f>
        <v>1619024.5907284778</v>
      </c>
      <c r="R46">
        <f t="shared" ref="R46" si="207">R47+Q46</f>
        <v>-69745066.529555589</v>
      </c>
      <c r="S46">
        <f t="shared" ref="S46" si="208">R46/100000</f>
        <v>-697.45066529555584</v>
      </c>
      <c r="T46">
        <f t="shared" ref="T46" si="209">S46/1000</f>
        <v>-0.69745066529555588</v>
      </c>
    </row>
    <row r="47" spans="1:20" x14ac:dyDescent="0.25">
      <c r="A47" s="5">
        <v>44546</v>
      </c>
      <c r="B47">
        <v>2.3130000000000002</v>
      </c>
      <c r="C47">
        <v>2.3769999999999998</v>
      </c>
      <c r="D47">
        <v>2.2669999999999999</v>
      </c>
      <c r="E47">
        <v>2.2719999999999998</v>
      </c>
      <c r="F47">
        <v>1151497.8</v>
      </c>
      <c r="G47">
        <v>2.2719999999999998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-0.90909090909091095</v>
      </c>
      <c r="Q47">
        <f t="shared" ref="Q47" si="211">F47*P47</f>
        <v>-1046816.181818184</v>
      </c>
      <c r="R47">
        <f t="shared" ref="R47" si="212">R48+Q47</f>
        <v>-71364091.120284066</v>
      </c>
      <c r="S47">
        <f t="shared" ref="S47" si="213">R47/100000</f>
        <v>-713.6409112028407</v>
      </c>
      <c r="T47">
        <f t="shared" ref="T47" si="214">S47/1000</f>
        <v>-0.71364091120284068</v>
      </c>
    </row>
    <row r="48" spans="1:20" x14ac:dyDescent="0.25">
      <c r="A48" s="5">
        <v>44545</v>
      </c>
      <c r="B48">
        <v>2.1589999999999998</v>
      </c>
      <c r="C48">
        <v>2.359</v>
      </c>
      <c r="D48">
        <v>2.129</v>
      </c>
      <c r="E48">
        <v>2.3119999999999998</v>
      </c>
      <c r="F48">
        <v>2117360.7000000002</v>
      </c>
      <c r="G48">
        <v>2.3119999999999998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0.59130434782608554</v>
      </c>
      <c r="Q48">
        <f t="shared" ref="Q48" si="216">F48*P48</f>
        <v>1252004.5878260841</v>
      </c>
      <c r="R48">
        <f t="shared" ref="R48" si="217">R49+Q48</f>
        <v>-70317274.938465878</v>
      </c>
      <c r="S48">
        <f t="shared" ref="S48" si="218">R48/100000</f>
        <v>-703.1727493846588</v>
      </c>
      <c r="T48">
        <f t="shared" ref="T48" si="219">S48/1000</f>
        <v>-0.70317274938465879</v>
      </c>
    </row>
    <row r="49" spans="1:20" x14ac:dyDescent="0.25">
      <c r="A49" s="5">
        <v>44544</v>
      </c>
      <c r="B49">
        <v>2.1659999999999999</v>
      </c>
      <c r="C49">
        <v>2.222</v>
      </c>
      <c r="D49">
        <v>2.0990000000000002</v>
      </c>
      <c r="E49">
        <v>2.1589999999999998</v>
      </c>
      <c r="F49">
        <v>1992061</v>
      </c>
      <c r="G49">
        <v>2.1589999999999998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-2.4390243902443605E-2</v>
      </c>
      <c r="Q49">
        <f t="shared" ref="Q49" si="221">F49*P49</f>
        <v>-48586.853658545711</v>
      </c>
      <c r="R49">
        <f t="shared" ref="R49" si="222">R50+Q49</f>
        <v>-71569279.526291966</v>
      </c>
      <c r="S49">
        <f t="shared" ref="S49" si="223">R49/100000</f>
        <v>-715.69279526291962</v>
      </c>
      <c r="T49">
        <f t="shared" ref="T49" si="224">S49/1000</f>
        <v>-0.71569279526291962</v>
      </c>
    </row>
    <row r="50" spans="1:20" x14ac:dyDescent="0.25">
      <c r="A50" s="5">
        <v>44543</v>
      </c>
      <c r="B50">
        <v>2.4249999999999998</v>
      </c>
      <c r="C50">
        <v>2.4369999999999998</v>
      </c>
      <c r="D50">
        <v>2.13</v>
      </c>
      <c r="E50">
        <v>2.1659999999999999</v>
      </c>
      <c r="F50">
        <v>2459433.6</v>
      </c>
      <c r="G50">
        <v>2.1659999999999999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-0.76547231270358285</v>
      </c>
      <c r="Q50">
        <f t="shared" ref="Q50" si="226">F50*P50</f>
        <v>-1882628.3257328987</v>
      </c>
      <c r="R50">
        <f t="shared" ref="R50" si="227">R51+Q50</f>
        <v>-71520692.672633424</v>
      </c>
      <c r="S50">
        <f t="shared" ref="S50" si="228">R50/100000</f>
        <v>-715.20692672633425</v>
      </c>
      <c r="T50">
        <f t="shared" ref="T50" si="229">S50/1000</f>
        <v>-0.71520692672633424</v>
      </c>
    </row>
    <row r="51" spans="1:20" x14ac:dyDescent="0.25">
      <c r="A51" s="5">
        <v>44542</v>
      </c>
      <c r="B51">
        <v>2.5419999999999998</v>
      </c>
      <c r="C51">
        <v>2.5529999999999999</v>
      </c>
      <c r="D51">
        <v>2.4140000000000001</v>
      </c>
      <c r="E51">
        <v>2.4249999999999998</v>
      </c>
      <c r="F51">
        <v>2259997.4</v>
      </c>
      <c r="G51">
        <v>2.4249999999999998</v>
      </c>
      <c r="L51" t="s">
        <v>7</v>
      </c>
      <c r="M51" t="s">
        <v>8</v>
      </c>
      <c r="N51" t="s">
        <v>8</v>
      </c>
      <c r="P51">
        <f t="shared" ref="P51" si="230">IF(C51=D51,0,((E51-D51)-(C51-E51))/(C51-D51))</f>
        <v>-0.8417266187050404</v>
      </c>
      <c r="Q51">
        <f t="shared" ref="Q51" si="231">F51*P51</f>
        <v>-1902299.9697841825</v>
      </c>
      <c r="R51">
        <f t="shared" ref="R51" si="232">R52+Q51</f>
        <v>-69638064.346900523</v>
      </c>
      <c r="S51">
        <f t="shared" ref="S51" si="233">R51/100000</f>
        <v>-696.38064346900524</v>
      </c>
      <c r="T51">
        <f t="shared" ref="T51" si="234">S51/1000</f>
        <v>-0.69638064346900519</v>
      </c>
    </row>
    <row r="52" spans="1:20" x14ac:dyDescent="0.25">
      <c r="A52" s="5">
        <v>44541</v>
      </c>
      <c r="B52">
        <v>2.7669999999999999</v>
      </c>
      <c r="C52">
        <v>2.8530000000000002</v>
      </c>
      <c r="D52">
        <v>2.6859999999999999</v>
      </c>
      <c r="E52">
        <v>2.7589999999999999</v>
      </c>
      <c r="F52">
        <v>487516</v>
      </c>
      <c r="G52">
        <v>2.7589999999999999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-0.12574850299401388</v>
      </c>
      <c r="Q52">
        <f t="shared" ref="Q52" si="236">F52*P52</f>
        <v>-61304.407185629672</v>
      </c>
      <c r="R52">
        <f t="shared" ref="R52" si="237">R53+Q52</f>
        <v>-67735764.377116337</v>
      </c>
      <c r="S52">
        <f t="shared" ref="S52" si="238">R52/100000</f>
        <v>-677.35764377116334</v>
      </c>
      <c r="T52">
        <f t="shared" ref="T52" si="239">S52/1000</f>
        <v>-0.67735764377116336</v>
      </c>
    </row>
    <row r="53" spans="1:20" x14ac:dyDescent="0.25">
      <c r="A53" s="5">
        <v>44540</v>
      </c>
      <c r="B53">
        <v>2.379</v>
      </c>
      <c r="C53">
        <v>2.88</v>
      </c>
      <c r="D53">
        <v>2.3740000000000001</v>
      </c>
      <c r="E53">
        <v>2.7639999999999998</v>
      </c>
      <c r="F53">
        <v>22214146.399999999</v>
      </c>
      <c r="G53">
        <v>2.7639999999999998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0.54150197628458441</v>
      </c>
      <c r="Q53">
        <f t="shared" ref="Q53" si="241">F53*P53</f>
        <v>12029004.177075086</v>
      </c>
      <c r="R53">
        <f t="shared" ref="R53" si="242">R54+Q53</f>
        <v>-67674459.969930708</v>
      </c>
      <c r="S53">
        <f t="shared" ref="S53" si="243">R53/100000</f>
        <v>-676.74459969930706</v>
      </c>
      <c r="T53">
        <f t="shared" ref="T53" si="244">S53/1000</f>
        <v>-0.67674459969930711</v>
      </c>
    </row>
    <row r="54" spans="1:20" x14ac:dyDescent="0.25">
      <c r="A54" s="5">
        <v>44539</v>
      </c>
      <c r="B54">
        <v>2.2080000000000002</v>
      </c>
      <c r="C54">
        <v>2.669</v>
      </c>
      <c r="D54">
        <v>2.077</v>
      </c>
      <c r="E54">
        <v>2.379</v>
      </c>
      <c r="F54">
        <v>13402484.4</v>
      </c>
      <c r="G54">
        <v>2.379</v>
      </c>
      <c r="L54" t="s">
        <v>8</v>
      </c>
      <c r="M54" t="s">
        <v>7</v>
      </c>
      <c r="N54" t="s">
        <v>7</v>
      </c>
      <c r="P54">
        <f t="shared" ref="P54" si="245">IF(C54=D54,0,((E54-D54)-(C54-E54))/(C54-D54))</f>
        <v>2.0270270270270285E-2</v>
      </c>
      <c r="Q54">
        <f t="shared" ref="Q54" si="246">F54*P54</f>
        <v>271671.98108108126</v>
      </c>
      <c r="R54">
        <f t="shared" ref="R54" si="247">R55+Q54</f>
        <v>-79703464.147005796</v>
      </c>
      <c r="S54">
        <f t="shared" ref="S54" si="248">R54/100000</f>
        <v>-797.03464147005798</v>
      </c>
      <c r="T54">
        <f t="shared" ref="T54" si="249">S54/1000</f>
        <v>-0.79703464147005798</v>
      </c>
    </row>
    <row r="55" spans="1:20" x14ac:dyDescent="0.25">
      <c r="A55" s="5">
        <v>44538</v>
      </c>
      <c r="B55">
        <v>2.1539999999999999</v>
      </c>
      <c r="C55">
        <v>2.2629999999999999</v>
      </c>
      <c r="D55">
        <v>2.0819999999999999</v>
      </c>
      <c r="E55">
        <v>2.2069999999999999</v>
      </c>
      <c r="F55">
        <v>2716250.9</v>
      </c>
      <c r="G55">
        <v>2.2069999999999999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0.38121546961325931</v>
      </c>
      <c r="Q55">
        <f t="shared" ref="Q55" si="251">F55*P55</f>
        <v>1035476.8624309382</v>
      </c>
      <c r="R55">
        <f t="shared" ref="R55" si="252">R56+Q55</f>
        <v>-79975136.12808688</v>
      </c>
      <c r="S55">
        <f t="shared" ref="S55" si="253">R55/100000</f>
        <v>-799.75136128086876</v>
      </c>
      <c r="T55">
        <f t="shared" ref="T55" si="254">S55/1000</f>
        <v>-0.79975136128086877</v>
      </c>
    </row>
    <row r="56" spans="1:20" x14ac:dyDescent="0.25">
      <c r="A56" s="5">
        <v>44537</v>
      </c>
      <c r="B56">
        <v>2.1850000000000001</v>
      </c>
      <c r="C56">
        <v>2.2330000000000001</v>
      </c>
      <c r="D56">
        <v>2.1030000000000002</v>
      </c>
      <c r="E56">
        <v>2.1560000000000001</v>
      </c>
      <c r="F56">
        <v>1796581.9</v>
      </c>
      <c r="G56">
        <v>2.1560000000000001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-0.18461538461538493</v>
      </c>
      <c r="Q56">
        <f t="shared" ref="Q56" si="256">F56*P56</f>
        <v>-331676.65846153902</v>
      </c>
      <c r="R56">
        <f t="shared" ref="R56" si="257">R57+Q56</f>
        <v>-81010612.990517825</v>
      </c>
      <c r="S56">
        <f t="shared" ref="S56" si="258">R56/100000</f>
        <v>-810.10612990517825</v>
      </c>
      <c r="T56">
        <f t="shared" ref="T56" si="259">S56/1000</f>
        <v>-0.81010612990517827</v>
      </c>
    </row>
    <row r="57" spans="1:20" x14ac:dyDescent="0.25">
      <c r="A57" s="5">
        <v>44536</v>
      </c>
      <c r="B57">
        <v>2.226</v>
      </c>
      <c r="C57">
        <v>2.2280000000000002</v>
      </c>
      <c r="D57">
        <v>2.1</v>
      </c>
      <c r="E57">
        <v>2.1850000000000001</v>
      </c>
      <c r="F57">
        <v>1760826.8</v>
      </c>
      <c r="G57">
        <v>2.1850000000000001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0.32812499999999828</v>
      </c>
      <c r="Q57">
        <f t="shared" ref="Q57" si="261">F57*P57</f>
        <v>577771.29374999704</v>
      </c>
      <c r="R57">
        <f t="shared" ref="R57" si="262">R58+Q57</f>
        <v>-80678936.332056284</v>
      </c>
      <c r="S57">
        <f t="shared" ref="S57" si="263">R57/100000</f>
        <v>-806.78936332056287</v>
      </c>
      <c r="T57">
        <f t="shared" ref="T57" si="264">S57/1000</f>
        <v>-0.80678936332056284</v>
      </c>
    </row>
    <row r="58" spans="1:20" x14ac:dyDescent="0.25">
      <c r="A58" s="5">
        <v>44535</v>
      </c>
      <c r="B58">
        <v>2.323</v>
      </c>
      <c r="C58">
        <v>2.411</v>
      </c>
      <c r="D58">
        <v>2.1880000000000002</v>
      </c>
      <c r="E58">
        <v>2.226</v>
      </c>
      <c r="F58">
        <v>1527896.7</v>
      </c>
      <c r="G58">
        <v>2.226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-0.65919282511210908</v>
      </c>
      <c r="Q58">
        <f t="shared" ref="Q58" si="266">F58*P58</f>
        <v>-1007178.5421524686</v>
      </c>
      <c r="R58">
        <f t="shared" ref="R58" si="267">R59+Q58</f>
        <v>-81256707.625806287</v>
      </c>
      <c r="S58">
        <f t="shared" ref="S58" si="268">R58/100000</f>
        <v>-812.56707625806291</v>
      </c>
      <c r="T58">
        <f t="shared" ref="T58" si="269">S58/1000</f>
        <v>-0.8125670762580629</v>
      </c>
    </row>
    <row r="59" spans="1:20" x14ac:dyDescent="0.25">
      <c r="A59" s="5">
        <v>44534</v>
      </c>
      <c r="B59">
        <v>2.6819999999999999</v>
      </c>
      <c r="C59">
        <v>2.73</v>
      </c>
      <c r="D59">
        <v>2.109</v>
      </c>
      <c r="E59">
        <v>2.3220000000000001</v>
      </c>
      <c r="F59">
        <v>3867712.8620000002</v>
      </c>
      <c r="G59">
        <v>2.3220000000000001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-0.31400966183574852</v>
      </c>
      <c r="Q59">
        <f t="shared" ref="Q59" si="271">F59*P59</f>
        <v>-1214499.2078743952</v>
      </c>
      <c r="R59">
        <f t="shared" ref="R59" si="272">R60+Q59</f>
        <v>-80249529.083653823</v>
      </c>
      <c r="S59">
        <f t="shared" ref="S59" si="273">R59/100000</f>
        <v>-802.49529083653817</v>
      </c>
      <c r="T59">
        <f t="shared" ref="T59" si="274">S59/1000</f>
        <v>-0.80249529083653814</v>
      </c>
    </row>
    <row r="60" spans="1:20" x14ac:dyDescent="0.25">
      <c r="A60" s="5">
        <v>44533</v>
      </c>
      <c r="B60">
        <v>2.6459999999999999</v>
      </c>
      <c r="C60">
        <v>2.855</v>
      </c>
      <c r="D60">
        <v>2.6</v>
      </c>
      <c r="E60">
        <v>2.6859999999999999</v>
      </c>
      <c r="F60">
        <v>3004505.5</v>
      </c>
      <c r="G60">
        <v>2.6859999999999999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-0.32549019607843221</v>
      </c>
      <c r="Q60">
        <f t="shared" ref="Q60" si="276">F60*P60</f>
        <v>-977937.08431372803</v>
      </c>
      <c r="R60">
        <f t="shared" ref="R60" si="277">R61+Q60</f>
        <v>-79035029.87577942</v>
      </c>
      <c r="S60">
        <f t="shared" ref="S60" si="278">R60/100000</f>
        <v>-790.35029875779423</v>
      </c>
      <c r="T60">
        <f t="shared" ref="T60" si="279">S60/1000</f>
        <v>-0.79035029875779428</v>
      </c>
    </row>
    <row r="61" spans="1:20" x14ac:dyDescent="0.25">
      <c r="A61" s="5">
        <v>44532</v>
      </c>
      <c r="B61">
        <v>2.7189999999999999</v>
      </c>
      <c r="C61">
        <v>2.7189999999999999</v>
      </c>
      <c r="D61">
        <v>2.6139999999999999</v>
      </c>
      <c r="E61">
        <v>2.6459999999999999</v>
      </c>
      <c r="F61">
        <v>1447530.4</v>
      </c>
      <c r="G61">
        <v>2.6459999999999999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-0.39047619047618981</v>
      </c>
      <c r="Q61">
        <f t="shared" ref="Q61" si="281">F61*P61</f>
        <v>-565226.15619047522</v>
      </c>
      <c r="R61">
        <f t="shared" ref="R61" si="282">R62+Q61</f>
        <v>-78057092.791465685</v>
      </c>
      <c r="S61">
        <f t="shared" ref="S61" si="283">R61/100000</f>
        <v>-780.57092791465686</v>
      </c>
      <c r="T61">
        <f t="shared" ref="T61" si="284">S61/1000</f>
        <v>-0.78057092791465688</v>
      </c>
    </row>
    <row r="62" spans="1:20" x14ac:dyDescent="0.25">
      <c r="A62" s="5">
        <v>44531</v>
      </c>
      <c r="B62">
        <v>2.706</v>
      </c>
      <c r="C62">
        <v>2.8370000000000002</v>
      </c>
      <c r="D62">
        <v>2.6819999999999999</v>
      </c>
      <c r="E62">
        <v>2.718</v>
      </c>
      <c r="F62">
        <v>2298222.4</v>
      </c>
      <c r="G62">
        <v>2.718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-0.5354838709677423</v>
      </c>
      <c r="Q62">
        <f t="shared" ref="Q62" si="286">F62*P62</f>
        <v>-1230661.0270967749</v>
      </c>
      <c r="R62">
        <f t="shared" ref="R62" si="287">R63+Q62</f>
        <v>-77491866.635275215</v>
      </c>
      <c r="S62">
        <f t="shared" ref="S62" si="288">R62/100000</f>
        <v>-774.9186663527521</v>
      </c>
      <c r="T62">
        <f t="shared" ref="T62" si="289">S62/1000</f>
        <v>-0.77491866635275208</v>
      </c>
    </row>
    <row r="63" spans="1:20" x14ac:dyDescent="0.25">
      <c r="A63" s="5">
        <v>44530</v>
      </c>
      <c r="B63">
        <v>2.6739999999999999</v>
      </c>
      <c r="C63">
        <v>2.76</v>
      </c>
      <c r="D63">
        <v>2.6480000000000001</v>
      </c>
      <c r="E63">
        <v>2.7050000000000001</v>
      </c>
      <c r="F63">
        <v>1399772.9</v>
      </c>
      <c r="G63">
        <v>2.7050000000000001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1.785714285714491E-2</v>
      </c>
      <c r="Q63">
        <f t="shared" ref="Q63" si="291">F63*P63</f>
        <v>24995.944642860013</v>
      </c>
      <c r="R63">
        <f t="shared" ref="R63" si="292">R64+Q63</f>
        <v>-76261205.608178437</v>
      </c>
      <c r="S63">
        <f t="shared" ref="S63" si="293">R63/100000</f>
        <v>-762.61205608178432</v>
      </c>
      <c r="T63">
        <f t="shared" ref="T63" si="294">S63/1000</f>
        <v>-0.76261205608178428</v>
      </c>
    </row>
    <row r="64" spans="1:20" x14ac:dyDescent="0.25">
      <c r="A64" s="5">
        <v>44529</v>
      </c>
      <c r="B64">
        <v>2.6379999999999999</v>
      </c>
      <c r="C64">
        <v>2.8109999999999999</v>
      </c>
      <c r="D64">
        <v>2.6080000000000001</v>
      </c>
      <c r="E64">
        <v>2.673</v>
      </c>
      <c r="F64">
        <v>2275192</v>
      </c>
      <c r="G64">
        <v>2.673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-0.35960591133004932</v>
      </c>
      <c r="Q64">
        <f t="shared" ref="Q64" si="296">F64*P64</f>
        <v>-818172.49261083757</v>
      </c>
      <c r="R64">
        <f t="shared" ref="R64" si="297">R65+Q64</f>
        <v>-76286201.552821293</v>
      </c>
      <c r="S64">
        <f t="shared" ref="S64" si="298">R64/100000</f>
        <v>-762.86201552821296</v>
      </c>
      <c r="T64">
        <f t="shared" ref="T64" si="299">S64/1000</f>
        <v>-0.76286201552821298</v>
      </c>
    </row>
    <row r="65" spans="1:20" x14ac:dyDescent="0.25">
      <c r="A65" s="5">
        <v>44528</v>
      </c>
      <c r="B65">
        <v>2.657</v>
      </c>
      <c r="C65">
        <v>2.6589999999999998</v>
      </c>
      <c r="D65">
        <v>2.5139999999999998</v>
      </c>
      <c r="E65">
        <v>2.6360000000000001</v>
      </c>
      <c r="F65">
        <v>1407057.1</v>
      </c>
      <c r="G65">
        <v>2.6360000000000001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0.68275862068965953</v>
      </c>
      <c r="Q65">
        <f t="shared" ref="Q65" si="301">F65*P65</f>
        <v>960680.36482759239</v>
      </c>
      <c r="R65">
        <f t="shared" ref="R65" si="302">R66+Q65</f>
        <v>-75468029.060210451</v>
      </c>
      <c r="S65">
        <f t="shared" ref="S65" si="303">R65/100000</f>
        <v>-754.68029060210449</v>
      </c>
      <c r="T65">
        <f t="shared" ref="T65" si="304">S65/1000</f>
        <v>-0.75468029060210451</v>
      </c>
    </row>
    <row r="66" spans="1:20" x14ac:dyDescent="0.25">
      <c r="A66" s="5">
        <v>44527</v>
      </c>
      <c r="B66">
        <v>2.613</v>
      </c>
      <c r="C66">
        <v>2.72</v>
      </c>
      <c r="D66">
        <v>2.59</v>
      </c>
      <c r="E66">
        <v>2.6589999999999998</v>
      </c>
      <c r="F66">
        <v>1355179.3</v>
      </c>
      <c r="G66">
        <v>2.6589999999999998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6.1538461538458017E-2</v>
      </c>
      <c r="Q66">
        <f t="shared" ref="Q66" si="306">F66*P66</f>
        <v>83395.649230764466</v>
      </c>
      <c r="R66">
        <f t="shared" ref="R66" si="307">R67+Q66</f>
        <v>-76428709.42503804</v>
      </c>
      <c r="S66">
        <f t="shared" ref="S66" si="308">R66/100000</f>
        <v>-764.28709425038039</v>
      </c>
      <c r="T66">
        <f t="shared" ref="T66" si="309">S66/1000</f>
        <v>-0.76428709425038044</v>
      </c>
    </row>
    <row r="67" spans="1:20" x14ac:dyDescent="0.25">
      <c r="A67" s="5">
        <v>44526</v>
      </c>
      <c r="B67">
        <v>2.7829999999999999</v>
      </c>
      <c r="C67">
        <v>2.8420000000000001</v>
      </c>
      <c r="D67">
        <v>2.5</v>
      </c>
      <c r="E67">
        <v>2.61</v>
      </c>
      <c r="F67">
        <v>2137135.8620000002</v>
      </c>
      <c r="G67">
        <v>2.61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-0.35672514619883128</v>
      </c>
      <c r="Q67">
        <f t="shared" ref="Q67" si="311">F67*P67</f>
        <v>-762370.10281871539</v>
      </c>
      <c r="R67">
        <f t="shared" ref="R67" si="312">R68+Q67</f>
        <v>-76512105.074268803</v>
      </c>
      <c r="S67">
        <f t="shared" ref="S67" si="313">R67/100000</f>
        <v>-765.121050742688</v>
      </c>
      <c r="T67">
        <f t="shared" ref="T67" si="314">S67/1000</f>
        <v>-0.76512105074268799</v>
      </c>
    </row>
    <row r="68" spans="1:20" x14ac:dyDescent="0.25">
      <c r="A68" s="5">
        <v>44525</v>
      </c>
      <c r="B68">
        <v>2.6970000000000001</v>
      </c>
      <c r="C68">
        <v>2.8149999999999999</v>
      </c>
      <c r="D68">
        <v>2.653</v>
      </c>
      <c r="E68">
        <v>2.786</v>
      </c>
      <c r="F68">
        <v>1848174.8</v>
      </c>
      <c r="G68">
        <v>2.786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0.64197530864197616</v>
      </c>
      <c r="Q68">
        <f t="shared" ref="Q68" si="316">F68*P68</f>
        <v>1186482.5876543226</v>
      </c>
      <c r="R68">
        <f t="shared" ref="R68" si="317">R69+Q68</f>
        <v>-75749734.97145009</v>
      </c>
      <c r="S68">
        <f t="shared" ref="S68" si="318">R68/100000</f>
        <v>-757.49734971450096</v>
      </c>
      <c r="T68">
        <f t="shared" ref="T68" si="319">S68/1000</f>
        <v>-0.757497349714501</v>
      </c>
    </row>
    <row r="69" spans="1:20" x14ac:dyDescent="0.25">
      <c r="A69" s="5">
        <v>44524</v>
      </c>
      <c r="B69">
        <v>2.8370000000000002</v>
      </c>
      <c r="C69">
        <v>2.8460000000000001</v>
      </c>
      <c r="D69">
        <v>2.7469999999999999</v>
      </c>
      <c r="E69">
        <v>2.7639999999999998</v>
      </c>
      <c r="F69">
        <v>346895.3</v>
      </c>
      <c r="G69">
        <v>2.7639999999999998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-0.65656565656565924</v>
      </c>
      <c r="Q69">
        <f t="shared" ref="Q69" si="321">F69*P69</f>
        <v>-227759.54040404133</v>
      </c>
      <c r="R69">
        <f t="shared" ref="R69" si="322">R70+Q69</f>
        <v>-76936217.559104413</v>
      </c>
      <c r="S69">
        <f t="shared" ref="S69" si="323">R69/100000</f>
        <v>-769.36217559104409</v>
      </c>
      <c r="T69">
        <f t="shared" ref="T69" si="324">S69/1000</f>
        <v>-0.76936217559104414</v>
      </c>
    </row>
    <row r="70" spans="1:20" x14ac:dyDescent="0.25">
      <c r="A70" s="5">
        <v>44523</v>
      </c>
      <c r="B70">
        <v>2.7970000000000002</v>
      </c>
      <c r="C70">
        <v>2.863</v>
      </c>
      <c r="D70">
        <v>2.7050000000000001</v>
      </c>
      <c r="E70">
        <v>2.84</v>
      </c>
      <c r="F70">
        <v>1477260.6</v>
      </c>
      <c r="G70">
        <v>2.84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0.70886075949366911</v>
      </c>
      <c r="Q70">
        <f t="shared" ref="Q70" si="326">F70*P70</f>
        <v>1047172.0708860734</v>
      </c>
      <c r="R70">
        <f t="shared" ref="R70" si="327">R71+Q70</f>
        <v>-76708458.018700376</v>
      </c>
      <c r="S70">
        <f t="shared" ref="S70" si="328">R70/100000</f>
        <v>-767.08458018700378</v>
      </c>
      <c r="T70">
        <f t="shared" ref="T70" si="329">S70/1000</f>
        <v>-0.76708458018700376</v>
      </c>
    </row>
    <row r="71" spans="1:20" x14ac:dyDescent="0.25">
      <c r="A71" s="5">
        <v>44522</v>
      </c>
      <c r="B71">
        <v>2.931</v>
      </c>
      <c r="C71">
        <v>2.9420000000000002</v>
      </c>
      <c r="D71">
        <v>2.77</v>
      </c>
      <c r="E71">
        <v>2.794</v>
      </c>
      <c r="F71">
        <v>1782423</v>
      </c>
      <c r="G71">
        <v>2.794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-0.72093023255813948</v>
      </c>
      <c r="Q71">
        <f t="shared" ref="Q71" si="331">F71*P71</f>
        <v>-1285002.6279069767</v>
      </c>
      <c r="R71">
        <f t="shared" ref="R71" si="332">R72+Q71</f>
        <v>-77755630.089586452</v>
      </c>
      <c r="S71">
        <f t="shared" ref="S71" si="333">R71/100000</f>
        <v>-777.55630089586452</v>
      </c>
      <c r="T71">
        <f t="shared" ref="T71" si="334">S71/1000</f>
        <v>-0.77755630089586447</v>
      </c>
    </row>
    <row r="72" spans="1:20" x14ac:dyDescent="0.25">
      <c r="A72" s="5">
        <v>44521</v>
      </c>
      <c r="B72">
        <v>3.0089999999999999</v>
      </c>
      <c r="C72">
        <v>3.14</v>
      </c>
      <c r="D72">
        <v>2.8519999999999999</v>
      </c>
      <c r="E72">
        <v>2.927</v>
      </c>
      <c r="F72">
        <v>3982851.6</v>
      </c>
      <c r="G72">
        <v>2.927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-0.47916666666666591</v>
      </c>
      <c r="Q72">
        <f t="shared" ref="Q72" si="336">F72*P72</f>
        <v>-1908449.7249999971</v>
      </c>
      <c r="R72">
        <f t="shared" ref="R72" si="337">R73+Q72</f>
        <v>-76470627.461679474</v>
      </c>
      <c r="S72">
        <f t="shared" ref="S72" si="338">R72/100000</f>
        <v>-764.70627461679476</v>
      </c>
      <c r="T72">
        <f t="shared" ref="T72" si="339">S72/1000</f>
        <v>-0.76470627461679475</v>
      </c>
    </row>
    <row r="73" spans="1:20" x14ac:dyDescent="0.25">
      <c r="A73" s="5">
        <v>44520</v>
      </c>
      <c r="B73">
        <v>2.7589999999999999</v>
      </c>
      <c r="C73">
        <v>3.0979999999999999</v>
      </c>
      <c r="D73">
        <v>2.754</v>
      </c>
      <c r="E73">
        <v>3.0070000000000001</v>
      </c>
      <c r="F73">
        <v>3486519.9</v>
      </c>
      <c r="G73">
        <v>3.0070000000000001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0.47093023255814082</v>
      </c>
      <c r="Q73">
        <f t="shared" ref="Q73" si="341">F73*P73</f>
        <v>1641907.6273255858</v>
      </c>
      <c r="R73">
        <f t="shared" ref="R73" si="342">R74+Q73</f>
        <v>-74562177.736679479</v>
      </c>
      <c r="S73">
        <f t="shared" ref="S73" si="343">R73/100000</f>
        <v>-745.62177736679484</v>
      </c>
      <c r="T73">
        <f t="shared" ref="T73" si="344">S73/1000</f>
        <v>-0.7456217773667948</v>
      </c>
    </row>
    <row r="74" spans="1:20" x14ac:dyDescent="0.25">
      <c r="A74" s="5">
        <v>44519</v>
      </c>
      <c r="B74">
        <v>2.6459999999999999</v>
      </c>
      <c r="C74">
        <v>2.7839999999999998</v>
      </c>
      <c r="D74">
        <v>2.6040000000000001</v>
      </c>
      <c r="E74">
        <v>2.7559999999999998</v>
      </c>
      <c r="F74">
        <v>1558990.2</v>
      </c>
      <c r="G74">
        <v>2.7559999999999998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0.68888888888888811</v>
      </c>
      <c r="Q74">
        <f t="shared" ref="Q74" si="346">F74*P74</f>
        <v>1073971.0266666654</v>
      </c>
      <c r="R74">
        <f t="shared" ref="R74" si="347">R75+Q74</f>
        <v>-76204085.364005059</v>
      </c>
      <c r="S74">
        <f t="shared" ref="S74" si="348">R74/100000</f>
        <v>-762.04085364005061</v>
      </c>
      <c r="T74">
        <f t="shared" ref="T74" si="349">S74/1000</f>
        <v>-0.76204085364005059</v>
      </c>
    </row>
    <row r="75" spans="1:20" x14ac:dyDescent="0.25">
      <c r="A75" s="5">
        <v>44518</v>
      </c>
      <c r="B75">
        <v>2.831</v>
      </c>
      <c r="C75">
        <v>2.863</v>
      </c>
      <c r="D75">
        <v>2.6360000000000001</v>
      </c>
      <c r="E75">
        <v>2.649</v>
      </c>
      <c r="F75">
        <v>1796672.8</v>
      </c>
      <c r="G75">
        <v>2.649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-0.88546255506608007</v>
      </c>
      <c r="Q75">
        <f t="shared" ref="Q75" si="351">F75*P75</f>
        <v>-1590886.4881057283</v>
      </c>
      <c r="R75">
        <f t="shared" ref="R75" si="352">R76+Q75</f>
        <v>-77278056.39067173</v>
      </c>
      <c r="S75">
        <f t="shared" ref="S75" si="353">R75/100000</f>
        <v>-772.78056390671725</v>
      </c>
      <c r="T75">
        <f t="shared" ref="T75" si="354">S75/1000</f>
        <v>-0.77278056390671723</v>
      </c>
    </row>
    <row r="76" spans="1:20" x14ac:dyDescent="0.25">
      <c r="A76" s="5">
        <v>44517</v>
      </c>
      <c r="B76">
        <v>2.8029999999999999</v>
      </c>
      <c r="C76">
        <v>2.9470000000000001</v>
      </c>
      <c r="D76">
        <v>2.7429999999999999</v>
      </c>
      <c r="E76">
        <v>2.8340000000000001</v>
      </c>
      <c r="F76">
        <v>1850745.9</v>
      </c>
      <c r="G76">
        <v>2.8340000000000001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-0.10784313725490087</v>
      </c>
      <c r="Q76">
        <f t="shared" ref="Q76" si="356">F76*P76</f>
        <v>-199590.24411764502</v>
      </c>
      <c r="R76">
        <f t="shared" ref="R76" si="357">R77+Q76</f>
        <v>-75687169.902566001</v>
      </c>
      <c r="S76">
        <f t="shared" ref="S76" si="358">R76/100000</f>
        <v>-756.87169902566006</v>
      </c>
      <c r="T76">
        <f t="shared" ref="T76" si="359">S76/1000</f>
        <v>-0.75687169902566009</v>
      </c>
    </row>
    <row r="77" spans="1:20" x14ac:dyDescent="0.25">
      <c r="A77" s="5">
        <v>44516</v>
      </c>
      <c r="B77">
        <v>3.0950000000000002</v>
      </c>
      <c r="C77">
        <v>3.0950000000000002</v>
      </c>
      <c r="D77">
        <v>2.7570000000000001</v>
      </c>
      <c r="E77">
        <v>2.8029999999999999</v>
      </c>
      <c r="F77">
        <v>2420062.2999999998</v>
      </c>
      <c r="G77">
        <v>2.8029999999999999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-0.72781065088757513</v>
      </c>
      <c r="Q77">
        <f t="shared" ref="Q77" si="361">F77*P77</f>
        <v>-1761347.1177514819</v>
      </c>
      <c r="R77">
        <f t="shared" ref="R77" si="362">R78+Q77</f>
        <v>-75487579.658448353</v>
      </c>
      <c r="S77">
        <f t="shared" ref="S77" si="363">R77/100000</f>
        <v>-754.87579658448351</v>
      </c>
      <c r="T77">
        <f t="shared" ref="T77" si="364">S77/1000</f>
        <v>-0.75487579658448356</v>
      </c>
    </row>
    <row r="78" spans="1:20" x14ac:dyDescent="0.25">
      <c r="A78" s="5">
        <v>44515</v>
      </c>
      <c r="B78">
        <v>3.1160000000000001</v>
      </c>
      <c r="C78">
        <v>3.1579999999999999</v>
      </c>
      <c r="D78">
        <v>3.0409999999999999</v>
      </c>
      <c r="E78">
        <v>3.0950000000000002</v>
      </c>
      <c r="F78">
        <v>1432778.7</v>
      </c>
      <c r="G78">
        <v>3.0950000000000002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-7.6923076923072251E-2</v>
      </c>
      <c r="Q78">
        <f t="shared" ref="Q78" si="366">F78*P78</f>
        <v>-110213.74615383946</v>
      </c>
      <c r="R78">
        <f t="shared" ref="R78" si="367">R79+Q78</f>
        <v>-73726232.540696874</v>
      </c>
      <c r="S78">
        <f t="shared" ref="S78" si="368">R78/100000</f>
        <v>-737.26232540696878</v>
      </c>
      <c r="T78">
        <f t="shared" ref="T78" si="369">S78/1000</f>
        <v>-0.73726232540696879</v>
      </c>
    </row>
    <row r="79" spans="1:20" x14ac:dyDescent="0.25">
      <c r="A79" s="5">
        <v>44514</v>
      </c>
      <c r="B79">
        <v>3.145</v>
      </c>
      <c r="C79">
        <v>3.2149999999999999</v>
      </c>
      <c r="D79">
        <v>3.0640000000000001</v>
      </c>
      <c r="E79">
        <v>3.1160000000000001</v>
      </c>
      <c r="F79">
        <v>1367277.6</v>
      </c>
      <c r="G79">
        <v>3.1160000000000001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-0.31125827814569385</v>
      </c>
      <c r="Q79">
        <f t="shared" ref="Q79" si="371">F79*P79</f>
        <v>-425576.47152317676</v>
      </c>
      <c r="R79">
        <f t="shared" ref="R79" si="372">R80+Q79</f>
        <v>-73616018.794543028</v>
      </c>
      <c r="S79">
        <f t="shared" ref="S79" si="373">R79/100000</f>
        <v>-736.16018794543027</v>
      </c>
      <c r="T79">
        <f t="shared" ref="T79" si="374">S79/1000</f>
        <v>-0.73616018794543026</v>
      </c>
    </row>
    <row r="80" spans="1:20" x14ac:dyDescent="0.25">
      <c r="A80" s="5">
        <v>44513</v>
      </c>
      <c r="B80">
        <v>3.16</v>
      </c>
      <c r="C80">
        <v>3.218</v>
      </c>
      <c r="D80">
        <v>3.1120000000000001</v>
      </c>
      <c r="E80">
        <v>3.145</v>
      </c>
      <c r="F80">
        <v>1923667.1</v>
      </c>
      <c r="G80">
        <v>3.145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-0.37735849056603854</v>
      </c>
      <c r="Q80">
        <f t="shared" ref="Q80" si="376">F80*P80</f>
        <v>-725912.11320754874</v>
      </c>
      <c r="R80">
        <f t="shared" ref="R80" si="377">R81+Q80</f>
        <v>-73190442.323019847</v>
      </c>
      <c r="S80">
        <f t="shared" ref="S80" si="378">R80/100000</f>
        <v>-731.90442323019852</v>
      </c>
      <c r="T80">
        <f t="shared" ref="T80" si="379">S80/1000</f>
        <v>-0.73190442323019855</v>
      </c>
    </row>
    <row r="81" spans="1:20" x14ac:dyDescent="0.25">
      <c r="A81" s="5">
        <v>44512</v>
      </c>
      <c r="B81">
        <v>3.3090000000000002</v>
      </c>
      <c r="C81">
        <v>3.3220000000000001</v>
      </c>
      <c r="D81">
        <v>3.1190000000000002</v>
      </c>
      <c r="E81">
        <v>3.161</v>
      </c>
      <c r="F81">
        <v>1826366.8</v>
      </c>
      <c r="G81">
        <v>3.161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-0.58620689655172564</v>
      </c>
      <c r="Q81">
        <f t="shared" ref="Q81" si="381">F81*P81</f>
        <v>-1070628.8137931062</v>
      </c>
      <c r="R81">
        <f t="shared" ref="R81" si="382">R82+Q81</f>
        <v>-72464530.209812298</v>
      </c>
      <c r="S81">
        <f t="shared" ref="S81" si="383">R81/100000</f>
        <v>-724.64530209812301</v>
      </c>
      <c r="T81">
        <f t="shared" ref="T81" si="384">S81/1000</f>
        <v>-0.72464530209812306</v>
      </c>
    </row>
    <row r="82" spans="1:20" x14ac:dyDescent="0.25">
      <c r="A82" s="5">
        <v>44511</v>
      </c>
      <c r="B82">
        <v>3.3210000000000002</v>
      </c>
      <c r="C82">
        <v>3.4540000000000002</v>
      </c>
      <c r="D82">
        <v>3.2519999999999998</v>
      </c>
      <c r="E82">
        <v>3.3130000000000002</v>
      </c>
      <c r="F82">
        <v>1850035.4</v>
      </c>
      <c r="G82">
        <v>3.3130000000000002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-0.39603960396039339</v>
      </c>
      <c r="Q82">
        <f t="shared" ref="Q82" si="386">F82*P82</f>
        <v>-732687.28712870798</v>
      </c>
      <c r="R82">
        <f t="shared" ref="R82" si="387">R83+Q82</f>
        <v>-71393901.396019191</v>
      </c>
      <c r="S82">
        <f t="shared" ref="S82" si="388">R82/100000</f>
        <v>-713.93901396019191</v>
      </c>
      <c r="T82">
        <f t="shared" ref="T82" si="389">S82/1000</f>
        <v>-0.71393901396019188</v>
      </c>
    </row>
    <row r="83" spans="1:20" x14ac:dyDescent="0.25">
      <c r="A83" s="5">
        <v>44510</v>
      </c>
      <c r="B83">
        <v>3.6680000000000001</v>
      </c>
      <c r="C83">
        <v>3.8420000000000001</v>
      </c>
      <c r="D83">
        <v>3.17</v>
      </c>
      <c r="E83">
        <v>3.32</v>
      </c>
      <c r="F83">
        <v>3255980</v>
      </c>
      <c r="G83">
        <v>3.32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-0.55357142857142894</v>
      </c>
      <c r="Q83">
        <f t="shared" ref="Q83" si="391">F83*P83</f>
        <v>-1802417.5000000012</v>
      </c>
      <c r="R83">
        <f t="shared" ref="R83" si="392">R84+Q83</f>
        <v>-70661214.108890489</v>
      </c>
      <c r="S83">
        <f t="shared" ref="S83" si="393">R83/100000</f>
        <v>-706.61214108890488</v>
      </c>
      <c r="T83">
        <f t="shared" ref="T83" si="394">S83/1000</f>
        <v>-0.70661214108890491</v>
      </c>
    </row>
    <row r="84" spans="1:20" x14ac:dyDescent="0.25">
      <c r="A84" s="5">
        <v>44509</v>
      </c>
      <c r="B84">
        <v>3.6070000000000002</v>
      </c>
      <c r="C84">
        <v>3.8149999999999999</v>
      </c>
      <c r="D84">
        <v>3.4790000000000001</v>
      </c>
      <c r="E84">
        <v>3.6640000000000001</v>
      </c>
      <c r="F84">
        <v>2984894.6</v>
      </c>
      <c r="G84">
        <v>3.6640000000000001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0.10119047619047698</v>
      </c>
      <c r="Q84">
        <f t="shared" ref="Q84" si="396">F84*P84</f>
        <v>302042.9059523833</v>
      </c>
      <c r="R84">
        <f t="shared" ref="R84" si="397">R85+Q84</f>
        <v>-68858796.608890489</v>
      </c>
      <c r="S84">
        <f t="shared" ref="S84" si="398">R84/100000</f>
        <v>-688.58796608890486</v>
      </c>
      <c r="T84">
        <f t="shared" ref="T84" si="399">S84/1000</f>
        <v>-0.68858796608890482</v>
      </c>
    </row>
    <row r="85" spans="1:20" x14ac:dyDescent="0.25">
      <c r="A85" s="5">
        <v>44508</v>
      </c>
      <c r="B85">
        <v>3.4430000000000001</v>
      </c>
      <c r="C85">
        <v>3.6429999999999998</v>
      </c>
      <c r="D85">
        <v>3.3370000000000002</v>
      </c>
      <c r="E85">
        <v>3.6070000000000002</v>
      </c>
      <c r="F85">
        <v>2527467.2000000002</v>
      </c>
      <c r="G85">
        <v>3.6070000000000002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0.76470588235294357</v>
      </c>
      <c r="Q85">
        <f t="shared" ref="Q85" si="401">F85*P85</f>
        <v>1932769.0352941239</v>
      </c>
      <c r="R85">
        <f t="shared" ref="R85" si="402">R86+Q85</f>
        <v>-69160839.514842868</v>
      </c>
      <c r="S85">
        <f t="shared" ref="S85" si="403">R85/100000</f>
        <v>-691.60839514842871</v>
      </c>
      <c r="T85">
        <f t="shared" ref="T85" si="404">S85/1000</f>
        <v>-0.69160839514842876</v>
      </c>
    </row>
    <row r="86" spans="1:20" x14ac:dyDescent="0.25">
      <c r="A86" s="5">
        <v>44507</v>
      </c>
      <c r="B86">
        <v>3.5329999999999999</v>
      </c>
      <c r="C86">
        <v>3.5760000000000001</v>
      </c>
      <c r="D86">
        <v>3.3620000000000001</v>
      </c>
      <c r="E86">
        <v>3.4430000000000001</v>
      </c>
      <c r="F86">
        <v>2021529.7</v>
      </c>
      <c r="G86">
        <v>3.4430000000000001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-0.24299065420560773</v>
      </c>
      <c r="Q86">
        <f t="shared" ref="Q86" si="406">F86*P86</f>
        <v>-491212.82429906592</v>
      </c>
      <c r="R86">
        <f t="shared" ref="R86" si="407">R87+Q86</f>
        <v>-71093608.550136998</v>
      </c>
      <c r="S86">
        <f t="shared" ref="S86" si="408">R86/100000</f>
        <v>-710.93608550137003</v>
      </c>
      <c r="T86">
        <f t="shared" ref="T86" si="409">S86/1000</f>
        <v>-0.71093608550137</v>
      </c>
    </row>
    <row r="87" spans="1:20" x14ac:dyDescent="0.25">
      <c r="A87" s="5">
        <v>44506</v>
      </c>
      <c r="B87">
        <v>3.3340000000000001</v>
      </c>
      <c r="C87">
        <v>3.6629999999999998</v>
      </c>
      <c r="D87">
        <v>3.2650000000000001</v>
      </c>
      <c r="E87">
        <v>3.5350000000000001</v>
      </c>
      <c r="F87">
        <v>3614873.6000000001</v>
      </c>
      <c r="G87">
        <v>3.5350000000000001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0.35678391959799111</v>
      </c>
      <c r="Q87">
        <f t="shared" ref="Q87" si="411">F87*P87</f>
        <v>1289728.7718593008</v>
      </c>
      <c r="R87">
        <f t="shared" ref="R87" si="412">R88+Q87</f>
        <v>-70602395.725837931</v>
      </c>
      <c r="S87">
        <f t="shared" ref="S87" si="413">R87/100000</f>
        <v>-706.02395725837926</v>
      </c>
      <c r="T87">
        <f t="shared" ref="T87" si="414">S87/1000</f>
        <v>-0.7060239572583793</v>
      </c>
    </row>
    <row r="88" spans="1:20" x14ac:dyDescent="0.25">
      <c r="A88" s="5">
        <v>44505</v>
      </c>
      <c r="B88">
        <v>3.5179999999999998</v>
      </c>
      <c r="C88">
        <v>3.548</v>
      </c>
      <c r="D88">
        <v>3.3130000000000002</v>
      </c>
      <c r="E88">
        <v>3.3330000000000002</v>
      </c>
      <c r="F88">
        <v>2847057</v>
      </c>
      <c r="G88">
        <v>3.3330000000000002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-0.82978723404255295</v>
      </c>
      <c r="Q88">
        <f t="shared" ref="Q88" si="416">F88*P88</f>
        <v>-2362451.5531914886</v>
      </c>
      <c r="R88">
        <f t="shared" ref="R88" si="417">R89+Q88</f>
        <v>-71892124.497697234</v>
      </c>
      <c r="S88">
        <f t="shared" ref="S88" si="418">R88/100000</f>
        <v>-718.92124497697239</v>
      </c>
      <c r="T88">
        <f t="shared" ref="T88" si="419">S88/1000</f>
        <v>-0.71892124497697241</v>
      </c>
    </row>
    <row r="89" spans="1:20" x14ac:dyDescent="0.25">
      <c r="A89" s="5">
        <v>44504</v>
      </c>
      <c r="B89">
        <v>3.7730000000000001</v>
      </c>
      <c r="C89">
        <v>3.92</v>
      </c>
      <c r="D89">
        <v>3.3820000000000001</v>
      </c>
      <c r="E89">
        <v>3.5209999999999999</v>
      </c>
      <c r="F89">
        <v>6407757.7000000002</v>
      </c>
      <c r="G89">
        <v>3.5209999999999999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-0.48327137546468463</v>
      </c>
      <c r="Q89">
        <f t="shared" ref="Q89" si="421">F89*P89</f>
        <v>-3096685.877323424</v>
      </c>
      <c r="R89">
        <f t="shared" ref="R89" si="422">R90+Q89</f>
        <v>-69529672.944505751</v>
      </c>
      <c r="S89">
        <f t="shared" ref="S89" si="423">R89/100000</f>
        <v>-695.29672944505751</v>
      </c>
      <c r="T89">
        <f t="shared" ref="T89" si="424">S89/1000</f>
        <v>-0.69529672944505749</v>
      </c>
    </row>
    <row r="90" spans="1:20" x14ac:dyDescent="0.25">
      <c r="A90" s="5">
        <v>44503</v>
      </c>
      <c r="B90">
        <v>3.1890000000000001</v>
      </c>
      <c r="C90">
        <v>4.12</v>
      </c>
      <c r="D90">
        <v>3.14</v>
      </c>
      <c r="E90">
        <v>3.7679999999999998</v>
      </c>
      <c r="F90">
        <v>15587729.300000001</v>
      </c>
      <c r="G90">
        <v>3.7679999999999998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0.28163265306122381</v>
      </c>
      <c r="Q90">
        <f t="shared" ref="Q90" si="426">F90*P90</f>
        <v>4390013.5579591738</v>
      </c>
      <c r="R90">
        <f t="shared" ref="R90" si="427">R91+Q90</f>
        <v>-66432987.067182325</v>
      </c>
      <c r="S90">
        <f t="shared" ref="S90" si="428">R90/100000</f>
        <v>-664.3298706718233</v>
      </c>
      <c r="T90">
        <f t="shared" ref="T90" si="429">S90/1000</f>
        <v>-0.66432987067182325</v>
      </c>
    </row>
    <row r="91" spans="1:20" x14ac:dyDescent="0.25">
      <c r="A91" s="5">
        <v>44502</v>
      </c>
      <c r="B91">
        <v>3.1160000000000001</v>
      </c>
      <c r="C91">
        <v>3.3</v>
      </c>
      <c r="D91">
        <v>3.0550000000000002</v>
      </c>
      <c r="E91">
        <v>3.1869999999999998</v>
      </c>
      <c r="F91">
        <v>2776221.1</v>
      </c>
      <c r="G91">
        <v>3.1869999999999998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7.7551020408162086E-2</v>
      </c>
      <c r="Q91">
        <f t="shared" ref="Q91" si="431">F91*P91</f>
        <v>215298.77918367021</v>
      </c>
      <c r="R91">
        <f t="shared" ref="R91" si="432">R92+Q91</f>
        <v>-70823000.625141501</v>
      </c>
      <c r="S91">
        <f t="shared" ref="S91" si="433">R91/100000</f>
        <v>-708.23000625141503</v>
      </c>
      <c r="T91">
        <f t="shared" ref="T91" si="434">S91/1000</f>
        <v>-0.70823000625141508</v>
      </c>
    </row>
    <row r="92" spans="1:20" x14ac:dyDescent="0.25">
      <c r="A92" s="5">
        <v>44501</v>
      </c>
      <c r="B92">
        <v>3.141</v>
      </c>
      <c r="C92">
        <v>3.169</v>
      </c>
      <c r="D92">
        <v>3.02</v>
      </c>
      <c r="E92">
        <v>3.1160000000000001</v>
      </c>
      <c r="F92">
        <v>2291514.7999999998</v>
      </c>
      <c r="G92">
        <v>3.1160000000000001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0.28859060402684661</v>
      </c>
      <c r="Q92">
        <f t="shared" ref="Q92" si="436">F92*P92</f>
        <v>661309.64026845852</v>
      </c>
      <c r="R92">
        <f t="shared" ref="R92" si="437">R93+Q92</f>
        <v>-71038299.404325172</v>
      </c>
      <c r="S92">
        <f t="shared" ref="S92" si="438">R92/100000</f>
        <v>-710.38299404325176</v>
      </c>
      <c r="T92">
        <f t="shared" ref="T92" si="439">S92/1000</f>
        <v>-0.71038299404325178</v>
      </c>
    </row>
    <row r="93" spans="1:20" x14ac:dyDescent="0.25">
      <c r="A93" s="5">
        <v>44500</v>
      </c>
      <c r="B93">
        <v>3.2549999999999999</v>
      </c>
      <c r="C93">
        <v>3.3540000000000001</v>
      </c>
      <c r="D93">
        <v>3.0510000000000002</v>
      </c>
      <c r="E93">
        <v>3.141</v>
      </c>
      <c r="F93">
        <v>2569196.4</v>
      </c>
      <c r="G93">
        <v>3.141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-0.40594059405940675</v>
      </c>
      <c r="Q93">
        <f t="shared" ref="Q93" si="441">F93*P93</f>
        <v>-1042941.1128712891</v>
      </c>
      <c r="R93">
        <f t="shared" ref="R93" si="442">R94+Q93</f>
        <v>-71699609.044593632</v>
      </c>
      <c r="S93">
        <f t="shared" ref="S93" si="443">R93/100000</f>
        <v>-716.99609044593637</v>
      </c>
      <c r="T93">
        <f t="shared" ref="T93" si="444">S93/1000</f>
        <v>-0.71699609044593637</v>
      </c>
    </row>
    <row r="94" spans="1:20" x14ac:dyDescent="0.25">
      <c r="A94" s="5">
        <v>44499</v>
      </c>
      <c r="B94">
        <v>3.081</v>
      </c>
      <c r="C94">
        <v>3.39</v>
      </c>
      <c r="D94">
        <v>3.0720000000000001</v>
      </c>
      <c r="E94">
        <v>3.2559999999999998</v>
      </c>
      <c r="F94">
        <v>5014270.5</v>
      </c>
      <c r="G94">
        <v>3.2559999999999998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0.15723270440251375</v>
      </c>
      <c r="Q94">
        <f t="shared" ref="Q94" si="446">F94*P94</f>
        <v>788407.3113207448</v>
      </c>
      <c r="R94">
        <f t="shared" ref="R94" si="447">R95+Q94</f>
        <v>-70656667.931722343</v>
      </c>
      <c r="S94">
        <f t="shared" ref="S94" si="448">R94/100000</f>
        <v>-706.56667931722347</v>
      </c>
      <c r="T94">
        <f t="shared" ref="T94" si="449">S94/1000</f>
        <v>-0.7065666793172235</v>
      </c>
    </row>
    <row r="95" spans="1:20" x14ac:dyDescent="0.25">
      <c r="A95" s="5">
        <v>44498</v>
      </c>
      <c r="B95">
        <v>2.9769999999999999</v>
      </c>
      <c r="C95">
        <v>3.35</v>
      </c>
      <c r="D95">
        <v>2.931</v>
      </c>
      <c r="E95">
        <v>3.081</v>
      </c>
      <c r="F95">
        <v>4338684.8</v>
      </c>
      <c r="G95">
        <v>3.081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-0.28400954653937999</v>
      </c>
      <c r="Q95">
        <f t="shared" ref="Q95" si="451">F95*P95</f>
        <v>-1232227.9026253005</v>
      </c>
      <c r="R95">
        <f t="shared" ref="R95" si="452">R96+Q95</f>
        <v>-71445075.243043095</v>
      </c>
      <c r="S95">
        <f t="shared" ref="S95" si="453">R95/100000</f>
        <v>-714.45075243043095</v>
      </c>
      <c r="T95">
        <f t="shared" ref="T95" si="454">S95/1000</f>
        <v>-0.71445075243043099</v>
      </c>
    </row>
    <row r="96" spans="1:20" x14ac:dyDescent="0.25">
      <c r="A96" s="5">
        <v>44497</v>
      </c>
      <c r="B96">
        <v>2.7829999999999999</v>
      </c>
      <c r="C96">
        <v>3.0390000000000001</v>
      </c>
      <c r="D96">
        <v>2.7639999999999998</v>
      </c>
      <c r="E96">
        <v>2.9780000000000002</v>
      </c>
      <c r="F96">
        <v>2224300</v>
      </c>
      <c r="G96">
        <v>2.9780000000000002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0.55636363636363739</v>
      </c>
      <c r="Q96">
        <f t="shared" ref="Q96" si="456">F96*P96</f>
        <v>1237519.6363636386</v>
      </c>
      <c r="R96">
        <f t="shared" ref="R96" si="457">R97+Q96</f>
        <v>-70212847.340417787</v>
      </c>
      <c r="S96">
        <f t="shared" ref="S96" si="458">R96/100000</f>
        <v>-702.12847340417784</v>
      </c>
      <c r="T96">
        <f t="shared" ref="T96" si="459">S96/1000</f>
        <v>-0.70212847340417783</v>
      </c>
    </row>
    <row r="97" spans="1:20" x14ac:dyDescent="0.25">
      <c r="A97" s="5">
        <v>44496</v>
      </c>
      <c r="B97">
        <v>3.0230000000000001</v>
      </c>
      <c r="C97">
        <v>3.0310000000000001</v>
      </c>
      <c r="D97">
        <v>2.7559999999999998</v>
      </c>
      <c r="E97">
        <v>2.7810000000000001</v>
      </c>
      <c r="F97">
        <v>2089872.1</v>
      </c>
      <c r="G97">
        <v>2.7810000000000001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-0.81818181818181579</v>
      </c>
      <c r="Q97">
        <f t="shared" ref="Q97" si="461">F97*P97</f>
        <v>-1709895.3545454496</v>
      </c>
      <c r="R97">
        <f t="shared" ref="R97" si="462">R98+Q97</f>
        <v>-71450366.976781428</v>
      </c>
      <c r="S97">
        <f t="shared" ref="S97" si="463">R97/100000</f>
        <v>-714.50366976781424</v>
      </c>
      <c r="T97">
        <f t="shared" ref="T97" si="464">S97/1000</f>
        <v>-0.71450366976781421</v>
      </c>
    </row>
    <row r="98" spans="1:20" x14ac:dyDescent="0.25">
      <c r="A98" s="5">
        <v>44495</v>
      </c>
      <c r="B98">
        <v>3.0419999999999998</v>
      </c>
      <c r="C98">
        <v>3.17</v>
      </c>
      <c r="D98">
        <v>2.9910000000000001</v>
      </c>
      <c r="E98">
        <v>3.0219999999999998</v>
      </c>
      <c r="F98">
        <v>2313645.1</v>
      </c>
      <c r="G98">
        <v>3.0219999999999998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-0.65363128491620415</v>
      </c>
      <c r="Q98">
        <f t="shared" ref="Q98" si="466">F98*P98</f>
        <v>-1512270.8195530798</v>
      </c>
      <c r="R98">
        <f t="shared" ref="R98" si="467">R99+Q98</f>
        <v>-69740471.622235984</v>
      </c>
      <c r="S98">
        <f t="shared" ref="S98" si="468">R98/100000</f>
        <v>-697.40471622235987</v>
      </c>
      <c r="T98">
        <f t="shared" ref="T98" si="469">S98/1000</f>
        <v>-0.69740471622235989</v>
      </c>
    </row>
    <row r="99" spans="1:20" x14ac:dyDescent="0.25">
      <c r="A99" s="5">
        <v>44494</v>
      </c>
      <c r="B99">
        <v>2.9849999999999999</v>
      </c>
      <c r="C99">
        <v>3.093</v>
      </c>
      <c r="D99">
        <v>2.9630000000000001</v>
      </c>
      <c r="E99">
        <v>3.04</v>
      </c>
      <c r="F99">
        <v>1959313.8</v>
      </c>
      <c r="G99">
        <v>3.04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0.18461538461538493</v>
      </c>
      <c r="Q99">
        <f t="shared" ref="Q99" si="471">F99*P99</f>
        <v>361719.47076923138</v>
      </c>
      <c r="R99">
        <f t="shared" ref="R99" si="472">R100+Q99</f>
        <v>-68228200.802682906</v>
      </c>
      <c r="S99">
        <f t="shared" ref="S99" si="473">R99/100000</f>
        <v>-682.28200802682909</v>
      </c>
      <c r="T99">
        <f t="shared" ref="T99" si="474">S99/1000</f>
        <v>-0.68228200802682903</v>
      </c>
    </row>
    <row r="100" spans="1:20" x14ac:dyDescent="0.25">
      <c r="A100" s="5">
        <v>44493</v>
      </c>
      <c r="B100">
        <v>3.133</v>
      </c>
      <c r="C100">
        <v>3.1440000000000001</v>
      </c>
      <c r="D100">
        <v>2.9319999999999999</v>
      </c>
      <c r="E100">
        <v>2.9809999999999999</v>
      </c>
      <c r="F100">
        <v>1539028.7</v>
      </c>
      <c r="G100">
        <v>2.9809999999999999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-0.53773584905660488</v>
      </c>
      <c r="Q100">
        <f t="shared" ref="Q100" si="476">F100*P100</f>
        <v>-827590.90471698286</v>
      </c>
      <c r="R100">
        <f t="shared" ref="R100" si="477">R101+Q100</f>
        <v>-68589920.273452133</v>
      </c>
      <c r="S100">
        <f t="shared" ref="S100" si="478">R100/100000</f>
        <v>-685.89920273452128</v>
      </c>
      <c r="T100">
        <f t="shared" ref="T100" si="479">S100/1000</f>
        <v>-0.68589920273452132</v>
      </c>
    </row>
    <row r="101" spans="1:20" x14ac:dyDescent="0.25">
      <c r="A101" s="5">
        <v>44492</v>
      </c>
      <c r="B101">
        <v>3.2869999999999999</v>
      </c>
      <c r="C101">
        <v>3.37</v>
      </c>
      <c r="D101">
        <v>3.0630000000000002</v>
      </c>
      <c r="E101">
        <v>3.13</v>
      </c>
      <c r="F101">
        <v>2422781.7000000002</v>
      </c>
      <c r="G101">
        <v>3.13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-0.56351791530944795</v>
      </c>
      <c r="Q101">
        <f t="shared" ref="Q101" si="481">F101*P101</f>
        <v>-1365280.8928338804</v>
      </c>
      <c r="R101">
        <f t="shared" ref="R101" si="482">R102+Q101</f>
        <v>-67762329.36873515</v>
      </c>
      <c r="S101">
        <f t="shared" ref="S101" si="483">R101/100000</f>
        <v>-677.62329368735152</v>
      </c>
      <c r="T101">
        <f t="shared" ref="T101" si="484">S101/1000</f>
        <v>-0.67762329368735152</v>
      </c>
    </row>
    <row r="102" spans="1:20" x14ac:dyDescent="0.25">
      <c r="A102" s="5">
        <v>44491</v>
      </c>
      <c r="B102">
        <v>2.9940000000000002</v>
      </c>
      <c r="C102">
        <v>3.44</v>
      </c>
      <c r="D102">
        <v>2.9870000000000001</v>
      </c>
      <c r="E102">
        <v>3.2850000000000001</v>
      </c>
      <c r="F102">
        <v>5812653.5</v>
      </c>
      <c r="G102">
        <v>3.2850000000000001</v>
      </c>
      <c r="L102" t="s">
        <v>8</v>
      </c>
      <c r="M102" t="s">
        <v>8</v>
      </c>
      <c r="N102" t="s">
        <v>7</v>
      </c>
      <c r="P102">
        <f t="shared" ref="P102" si="485">IF(C102=D102,0,((E102-D102)-(C102-E102))/(C102-D102))</f>
        <v>0.31567328918322357</v>
      </c>
      <c r="Q102">
        <f t="shared" ref="Q102" si="486">F102*P102</f>
        <v>1834899.4492273766</v>
      </c>
      <c r="R102">
        <f t="shared" ref="R102" si="487">R103+Q102</f>
        <v>-66397048.475901276</v>
      </c>
      <c r="S102">
        <f t="shared" ref="S102" si="488">R102/100000</f>
        <v>-663.97048475901272</v>
      </c>
      <c r="T102">
        <f t="shared" ref="T102" si="489">S102/1000</f>
        <v>-0.66397048475901277</v>
      </c>
    </row>
    <row r="103" spans="1:20" x14ac:dyDescent="0.25">
      <c r="A103" s="5">
        <v>44490</v>
      </c>
      <c r="B103">
        <v>3.04</v>
      </c>
      <c r="C103">
        <v>3.1030000000000002</v>
      </c>
      <c r="D103">
        <v>2.9420000000000002</v>
      </c>
      <c r="E103">
        <v>2.9969999999999999</v>
      </c>
      <c r="F103">
        <v>1687508.8</v>
      </c>
      <c r="G103">
        <v>2.9969999999999999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-0.31677018633540738</v>
      </c>
      <c r="Q103">
        <f t="shared" ref="Q103" si="491">F103*P103</f>
        <v>-534552.47701863968</v>
      </c>
      <c r="R103">
        <f t="shared" ref="R103" si="492">R104+Q103</f>
        <v>-68231947.925128654</v>
      </c>
      <c r="S103">
        <f t="shared" ref="S103" si="493">R103/100000</f>
        <v>-682.31947925128657</v>
      </c>
      <c r="T103">
        <f t="shared" ref="T103" si="494">S103/1000</f>
        <v>-0.68231947925128655</v>
      </c>
    </row>
    <row r="104" spans="1:20" x14ac:dyDescent="0.25">
      <c r="A104" s="5">
        <v>44489</v>
      </c>
      <c r="B104">
        <v>2.9279999999999999</v>
      </c>
      <c r="C104">
        <v>3.117</v>
      </c>
      <c r="D104">
        <v>2.9</v>
      </c>
      <c r="E104">
        <v>3.04</v>
      </c>
      <c r="F104">
        <v>1811375.4</v>
      </c>
      <c r="G104">
        <v>3.04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0.29032258064516198</v>
      </c>
      <c r="Q104">
        <f t="shared" ref="Q104" si="496">F104*P104</f>
        <v>525883.18064516247</v>
      </c>
      <c r="R104">
        <f t="shared" ref="R104" si="497">R105+Q104</f>
        <v>-67697395.448110014</v>
      </c>
      <c r="S104">
        <f t="shared" ref="S104" si="498">R104/100000</f>
        <v>-676.97395448110012</v>
      </c>
      <c r="T104">
        <f t="shared" ref="T104" si="499">S104/1000</f>
        <v>-0.67697395448110009</v>
      </c>
    </row>
    <row r="105" spans="1:20" x14ac:dyDescent="0.25">
      <c r="A105" s="5">
        <v>44488</v>
      </c>
      <c r="B105">
        <v>2.9380000000000002</v>
      </c>
      <c r="C105">
        <v>3.0190000000000001</v>
      </c>
      <c r="D105">
        <v>2.8</v>
      </c>
      <c r="E105">
        <v>2.931</v>
      </c>
      <c r="F105">
        <v>1524131.5</v>
      </c>
      <c r="G105">
        <v>2.931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0.19634703196347073</v>
      </c>
      <c r="Q105">
        <f t="shared" ref="Q105" si="501">F105*P105</f>
        <v>299258.69634703256</v>
      </c>
      <c r="R105">
        <f t="shared" ref="R105" si="502">R106+Q105</f>
        <v>-68223278.628755182</v>
      </c>
      <c r="S105">
        <f t="shared" ref="S105" si="503">R105/100000</f>
        <v>-682.23278628755179</v>
      </c>
      <c r="T105">
        <f t="shared" ref="T105" si="504">S105/1000</f>
        <v>-0.6822327862875518</v>
      </c>
    </row>
    <row r="106" spans="1:20" x14ac:dyDescent="0.25">
      <c r="A106" s="5">
        <v>44487</v>
      </c>
      <c r="B106">
        <v>2.9449999999999998</v>
      </c>
      <c r="C106">
        <v>3.07</v>
      </c>
      <c r="D106">
        <v>2.875</v>
      </c>
      <c r="E106">
        <v>2.9380000000000002</v>
      </c>
      <c r="F106">
        <v>1865524.4</v>
      </c>
      <c r="G106">
        <v>2.9380000000000002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-0.35384615384615159</v>
      </c>
      <c r="Q106">
        <f t="shared" ref="Q106" si="506">F106*P106</f>
        <v>-660108.63384614955</v>
      </c>
      <c r="R106">
        <f t="shared" ref="R106" si="507">R107+Q106</f>
        <v>-68522537.32510221</v>
      </c>
      <c r="S106">
        <f t="shared" ref="S106" si="508">R106/100000</f>
        <v>-685.22537325102212</v>
      </c>
      <c r="T106">
        <f t="shared" ref="T106" si="509">S106/1000</f>
        <v>-0.68522537325102217</v>
      </c>
    </row>
    <row r="107" spans="1:20" x14ac:dyDescent="0.25">
      <c r="A107" s="5">
        <v>44486</v>
      </c>
      <c r="B107">
        <v>3.081</v>
      </c>
      <c r="C107">
        <v>3.1640000000000001</v>
      </c>
      <c r="D107">
        <v>2.87</v>
      </c>
      <c r="E107">
        <v>2.9460000000000002</v>
      </c>
      <c r="F107">
        <v>2169060.2000000002</v>
      </c>
      <c r="G107">
        <v>2.9460000000000002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-0.48299319727891116</v>
      </c>
      <c r="Q107">
        <f t="shared" ref="Q107" si="511">F107*P107</f>
        <v>-1047641.3210884345</v>
      </c>
      <c r="R107">
        <f t="shared" ref="R107" si="512">R108+Q107</f>
        <v>-67862428.691256061</v>
      </c>
      <c r="S107">
        <f t="shared" ref="S107" si="513">R107/100000</f>
        <v>-678.62428691256059</v>
      </c>
      <c r="T107">
        <f t="shared" ref="T107" si="514">S107/1000</f>
        <v>-0.6786242869125606</v>
      </c>
    </row>
    <row r="108" spans="1:20" x14ac:dyDescent="0.25">
      <c r="A108" s="5">
        <v>44485</v>
      </c>
      <c r="B108">
        <v>3.05</v>
      </c>
      <c r="C108">
        <v>3.53</v>
      </c>
      <c r="D108">
        <v>3.008</v>
      </c>
      <c r="E108">
        <v>3.0819999999999999</v>
      </c>
      <c r="F108">
        <v>8015785.5999999996</v>
      </c>
      <c r="G108">
        <v>3.0819999999999999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-0.71647509578544111</v>
      </c>
      <c r="Q108">
        <f t="shared" ref="Q108" si="516">F108*P108</f>
        <v>-5743110.7555555589</v>
      </c>
      <c r="R108">
        <f t="shared" ref="R108" si="517">R109+Q108</f>
        <v>-66814787.370167628</v>
      </c>
      <c r="S108">
        <f t="shared" ref="S108" si="518">R108/100000</f>
        <v>-668.1478737016763</v>
      </c>
      <c r="T108">
        <f t="shared" ref="T108" si="519">S108/1000</f>
        <v>-0.66814787370167628</v>
      </c>
    </row>
    <row r="109" spans="1:20" x14ac:dyDescent="0.25">
      <c r="A109" s="5">
        <v>44484</v>
      </c>
      <c r="B109">
        <v>2.9079999999999999</v>
      </c>
      <c r="C109">
        <v>3.1549999999999998</v>
      </c>
      <c r="D109">
        <v>2.73</v>
      </c>
      <c r="E109">
        <v>3.05</v>
      </c>
      <c r="F109">
        <v>5100316</v>
      </c>
      <c r="G109">
        <v>3.05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0.50588235294117634</v>
      </c>
      <c r="Q109">
        <f t="shared" ref="Q109" si="521">F109*P109</f>
        <v>2580159.8588235285</v>
      </c>
      <c r="R109">
        <f t="shared" ref="R109" si="522">R110+Q109</f>
        <v>-61071676.614612073</v>
      </c>
      <c r="S109">
        <f t="shared" ref="S109" si="523">R109/100000</f>
        <v>-610.71676614612068</v>
      </c>
      <c r="T109">
        <f t="shared" ref="T109" si="524">S109/1000</f>
        <v>-0.61071676614612069</v>
      </c>
    </row>
    <row r="110" spans="1:20" x14ac:dyDescent="0.25">
      <c r="A110" s="5">
        <v>44483</v>
      </c>
      <c r="B110">
        <v>2.8039999999999998</v>
      </c>
      <c r="C110">
        <v>2.9580000000000002</v>
      </c>
      <c r="D110">
        <v>2.7959999999999998</v>
      </c>
      <c r="E110">
        <v>2.9039999999999999</v>
      </c>
      <c r="F110">
        <v>2220990.6</v>
      </c>
      <c r="G110">
        <v>2.9039999999999999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0.33333333333333148</v>
      </c>
      <c r="Q110">
        <f t="shared" ref="Q110" si="526">F110*P110</f>
        <v>740330.19999999588</v>
      </c>
      <c r="R110">
        <f t="shared" ref="R110" si="527">R111+Q110</f>
        <v>-63651836.473435603</v>
      </c>
      <c r="S110">
        <f t="shared" ref="S110" si="528">R110/100000</f>
        <v>-636.51836473435606</v>
      </c>
      <c r="T110">
        <f t="shared" ref="T110" si="529">S110/1000</f>
        <v>-0.63651836473435608</v>
      </c>
    </row>
    <row r="111" spans="1:20" x14ac:dyDescent="0.25">
      <c r="A111" s="5">
        <v>44482</v>
      </c>
      <c r="B111">
        <v>2.8290000000000002</v>
      </c>
      <c r="C111">
        <v>2.9060000000000001</v>
      </c>
      <c r="D111">
        <v>2.7290000000000001</v>
      </c>
      <c r="E111">
        <v>2.8039999999999998</v>
      </c>
      <c r="F111">
        <v>1802896.4</v>
      </c>
      <c r="G111">
        <v>2.8039999999999998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-0.15254237288135916</v>
      </c>
      <c r="Q111">
        <f t="shared" ref="Q111" si="531">F111*P111</f>
        <v>-275018.09491526004</v>
      </c>
      <c r="R111">
        <f t="shared" ref="R111" si="532">R112+Q111</f>
        <v>-64392166.673435599</v>
      </c>
      <c r="S111">
        <f t="shared" ref="S111" si="533">R111/100000</f>
        <v>-643.92166673435599</v>
      </c>
      <c r="T111">
        <f t="shared" ref="T111" si="534">S111/1000</f>
        <v>-0.64392166673435602</v>
      </c>
    </row>
    <row r="112" spans="1:20" x14ac:dyDescent="0.25">
      <c r="A112" s="5">
        <v>44481</v>
      </c>
      <c r="B112">
        <v>2.8359999999999999</v>
      </c>
      <c r="C112">
        <v>2.847</v>
      </c>
      <c r="D112">
        <v>2.6829999999999998</v>
      </c>
      <c r="E112">
        <v>2.8319999999999999</v>
      </c>
      <c r="F112">
        <v>1848644.345</v>
      </c>
      <c r="G112">
        <v>2.8319999999999999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0.81707317073170593</v>
      </c>
      <c r="Q112">
        <f t="shared" ref="Q112" si="536">F112*P112</f>
        <v>1510477.6965243877</v>
      </c>
      <c r="R112">
        <f t="shared" ref="R112" si="537">R113+Q112</f>
        <v>-64117148.578520335</v>
      </c>
      <c r="S112">
        <f t="shared" ref="S112" si="538">R112/100000</f>
        <v>-641.17148578520334</v>
      </c>
      <c r="T112">
        <f t="shared" ref="T112" si="539">S112/1000</f>
        <v>-0.64117148578520333</v>
      </c>
    </row>
    <row r="113" spans="1:20" x14ac:dyDescent="0.25">
      <c r="A113" s="5">
        <v>44480</v>
      </c>
      <c r="B113">
        <v>2.97</v>
      </c>
      <c r="C113">
        <v>3.028</v>
      </c>
      <c r="D113">
        <v>2.7949999999999999</v>
      </c>
      <c r="E113">
        <v>2.8359999999999999</v>
      </c>
      <c r="F113">
        <v>2438463.7999999998</v>
      </c>
      <c r="G113">
        <v>2.8359999999999999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-0.64806866952789777</v>
      </c>
      <c r="Q113">
        <f t="shared" ref="Q113" si="541">F113*P113</f>
        <v>-1580291.9905579416</v>
      </c>
      <c r="R113">
        <f t="shared" ref="R113" si="542">R114+Q113</f>
        <v>-65627626.275044724</v>
      </c>
      <c r="S113">
        <f t="shared" ref="S113" si="543">R113/100000</f>
        <v>-656.27626275044724</v>
      </c>
      <c r="T113">
        <f t="shared" ref="T113" si="544">S113/1000</f>
        <v>-0.65627626275044726</v>
      </c>
    </row>
    <row r="114" spans="1:20" x14ac:dyDescent="0.25">
      <c r="A114" s="5">
        <v>44479</v>
      </c>
      <c r="B114">
        <v>3.2839999999999998</v>
      </c>
      <c r="C114">
        <v>3.2989999999999999</v>
      </c>
      <c r="D114">
        <v>2.956</v>
      </c>
      <c r="E114">
        <v>2.9740000000000002</v>
      </c>
      <c r="F114">
        <v>2173608.4</v>
      </c>
      <c r="G114">
        <v>2.9740000000000002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-0.89504373177842422</v>
      </c>
      <c r="Q114">
        <f t="shared" ref="Q114" si="546">F114*P114</f>
        <v>-1945474.5737609298</v>
      </c>
      <c r="R114">
        <f t="shared" ref="R114" si="547">R115+Q114</f>
        <v>-64047334.284486786</v>
      </c>
      <c r="S114">
        <f t="shared" ref="S114" si="548">R114/100000</f>
        <v>-640.47334284486783</v>
      </c>
      <c r="T114">
        <f t="shared" ref="T114" si="549">S114/1000</f>
        <v>-0.64047334284486779</v>
      </c>
    </row>
    <row r="115" spans="1:20" x14ac:dyDescent="0.25">
      <c r="A115" s="5">
        <v>44478</v>
      </c>
      <c r="B115">
        <v>3.17</v>
      </c>
      <c r="C115">
        <v>3.347</v>
      </c>
      <c r="D115">
        <v>3.1139999999999999</v>
      </c>
      <c r="E115">
        <v>3.286</v>
      </c>
      <c r="F115">
        <v>3317441</v>
      </c>
      <c r="G115">
        <v>3.286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0.47639484978540841</v>
      </c>
      <c r="Q115">
        <f t="shared" ref="Q115" si="551">F115*P115</f>
        <v>1580411.806866955</v>
      </c>
      <c r="R115">
        <f t="shared" ref="R115" si="552">R116+Q115</f>
        <v>-62101859.710725859</v>
      </c>
      <c r="S115">
        <f t="shared" ref="S115" si="553">R115/100000</f>
        <v>-621.01859710725864</v>
      </c>
      <c r="T115">
        <f t="shared" ref="T115" si="554">S115/1000</f>
        <v>-0.6210185971072586</v>
      </c>
    </row>
    <row r="116" spans="1:20" x14ac:dyDescent="0.25">
      <c r="A116" s="5">
        <v>44477</v>
      </c>
      <c r="B116">
        <v>3.101</v>
      </c>
      <c r="C116">
        <v>3.25</v>
      </c>
      <c r="D116">
        <v>3.081</v>
      </c>
      <c r="E116">
        <v>3.1739999999999999</v>
      </c>
      <c r="F116">
        <v>2340210.1</v>
      </c>
      <c r="G116">
        <v>3.1739999999999999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0.10059171597633076</v>
      </c>
      <c r="Q116">
        <f t="shared" ref="Q116" si="556">F116*P116</f>
        <v>235405.74970414062</v>
      </c>
      <c r="R116">
        <f t="shared" ref="R116" si="557">R117+Q116</f>
        <v>-63682271.517592818</v>
      </c>
      <c r="S116">
        <f t="shared" ref="S116" si="558">R116/100000</f>
        <v>-636.82271517592812</v>
      </c>
      <c r="T116">
        <f t="shared" ref="T116" si="559">S116/1000</f>
        <v>-0.63682271517592814</v>
      </c>
    </row>
    <row r="117" spans="1:20" x14ac:dyDescent="0.25">
      <c r="A117" s="5">
        <v>44476</v>
      </c>
      <c r="B117">
        <v>3.085</v>
      </c>
      <c r="C117">
        <v>3.8050000000000002</v>
      </c>
      <c r="D117">
        <v>3.0219999999999998</v>
      </c>
      <c r="E117">
        <v>3.101</v>
      </c>
      <c r="F117">
        <v>8944581</v>
      </c>
      <c r="G117">
        <v>3.101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-0.7982120051085565</v>
      </c>
      <c r="Q117">
        <f t="shared" ref="Q117" si="561">F117*P117</f>
        <v>-7139671.9348658975</v>
      </c>
      <c r="R117">
        <f t="shared" ref="R117" si="562">R118+Q117</f>
        <v>-63917677.267296955</v>
      </c>
      <c r="S117">
        <f t="shared" ref="S117" si="563">R117/100000</f>
        <v>-639.17677267296961</v>
      </c>
      <c r="T117">
        <f t="shared" ref="T117" si="564">S117/1000</f>
        <v>-0.63917677267296957</v>
      </c>
    </row>
    <row r="118" spans="1:20" x14ac:dyDescent="0.25">
      <c r="A118" s="5">
        <v>44475</v>
      </c>
      <c r="B118">
        <v>3.052</v>
      </c>
      <c r="C118">
        <v>3.17</v>
      </c>
      <c r="D118">
        <v>2.9009999999999998</v>
      </c>
      <c r="E118">
        <v>3.085</v>
      </c>
      <c r="F118">
        <v>2009330.5</v>
      </c>
      <c r="G118">
        <v>3.085</v>
      </c>
      <c r="L118" t="s">
        <v>8</v>
      </c>
      <c r="M118" t="s">
        <v>7</v>
      </c>
      <c r="N118" t="s">
        <v>7</v>
      </c>
      <c r="P118">
        <f t="shared" ref="P118" si="565">IF(C118=D118,0,((E118-D118)-(C118-E118))/(C118-D118))</f>
        <v>0.36802973977695225</v>
      </c>
      <c r="Q118">
        <f t="shared" ref="Q118" si="566">F118*P118</f>
        <v>739493.38104089338</v>
      </c>
      <c r="R118">
        <f t="shared" ref="R118" si="567">R119+Q118</f>
        <v>-56778005.332431056</v>
      </c>
      <c r="S118">
        <f t="shared" ref="S118" si="568">R118/100000</f>
        <v>-567.78005332431053</v>
      </c>
      <c r="T118">
        <f t="shared" ref="T118" si="569">S118/1000</f>
        <v>-0.56778005332431047</v>
      </c>
    </row>
    <row r="119" spans="1:20" x14ac:dyDescent="0.25">
      <c r="A119" s="5">
        <v>44474</v>
      </c>
      <c r="B119">
        <v>2.9849999999999999</v>
      </c>
      <c r="C119">
        <v>3.0630000000000002</v>
      </c>
      <c r="D119">
        <v>2.9550000000000001</v>
      </c>
      <c r="E119">
        <v>3.05</v>
      </c>
      <c r="F119">
        <v>1476998.4</v>
      </c>
      <c r="G119">
        <v>3.05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0.75925925925925308</v>
      </c>
      <c r="Q119">
        <f t="shared" ref="Q119" si="571">F119*P119</f>
        <v>1121424.711111102</v>
      </c>
      <c r="R119">
        <f t="shared" ref="R119" si="572">R120+Q119</f>
        <v>-57517498.713471949</v>
      </c>
      <c r="S119">
        <f t="shared" ref="S119" si="573">R119/100000</f>
        <v>-575.17498713471946</v>
      </c>
      <c r="T119">
        <f t="shared" ref="T119" si="574">S119/1000</f>
        <v>-0.57517498713471948</v>
      </c>
    </row>
    <row r="120" spans="1:20" x14ac:dyDescent="0.25">
      <c r="A120" s="5">
        <v>44473</v>
      </c>
      <c r="B120">
        <v>3.0529999999999999</v>
      </c>
      <c r="C120">
        <v>3.0550000000000002</v>
      </c>
      <c r="D120">
        <v>2.9220000000000002</v>
      </c>
      <c r="E120">
        <v>2.9889999999999999</v>
      </c>
      <c r="F120">
        <v>994823.4</v>
      </c>
      <c r="G120">
        <v>2.9889999999999999</v>
      </c>
      <c r="L120" t="s">
        <v>8</v>
      </c>
      <c r="M120" t="s">
        <v>7</v>
      </c>
      <c r="N120" t="s">
        <v>7</v>
      </c>
      <c r="P120">
        <f t="shared" ref="P120" si="575">IF(C120=D120,0,((E120-D120)-(C120-E120))/(C120-D120))</f>
        <v>7.5187969924770358E-3</v>
      </c>
      <c r="Q120">
        <f t="shared" ref="Q120" si="576">F120*P120</f>
        <v>7479.8751879657793</v>
      </c>
      <c r="R120">
        <f t="shared" ref="R120" si="577">R121+Q120</f>
        <v>-58638923.424583048</v>
      </c>
      <c r="S120">
        <f t="shared" ref="S120" si="578">R120/100000</f>
        <v>-586.38923424583049</v>
      </c>
      <c r="T120">
        <f t="shared" ref="T120" si="579">S120/1000</f>
        <v>-0.58638923424583045</v>
      </c>
    </row>
    <row r="121" spans="1:20" x14ac:dyDescent="0.25">
      <c r="A121" s="5">
        <v>44472</v>
      </c>
      <c r="B121">
        <v>3.073</v>
      </c>
      <c r="C121">
        <v>3.1059999999999999</v>
      </c>
      <c r="D121">
        <v>2.996</v>
      </c>
      <c r="E121">
        <v>3.0310000000000001</v>
      </c>
      <c r="F121">
        <v>999751.4</v>
      </c>
      <c r="G121">
        <v>3.0310000000000001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-0.36363636363636032</v>
      </c>
      <c r="Q121">
        <f t="shared" ref="Q121" si="581">F121*P121</f>
        <v>-363545.96363636031</v>
      </c>
      <c r="R121">
        <f t="shared" ref="R121" si="582">R122+Q121</f>
        <v>-58646403.299771011</v>
      </c>
      <c r="S121">
        <f t="shared" ref="S121" si="583">R121/100000</f>
        <v>-586.46403299771009</v>
      </c>
      <c r="T121">
        <f t="shared" ref="T121" si="584">S121/1000</f>
        <v>-0.58646403299771011</v>
      </c>
    </row>
    <row r="122" spans="1:20" x14ac:dyDescent="0.25">
      <c r="A122" s="5">
        <v>44471</v>
      </c>
      <c r="B122">
        <v>3.048</v>
      </c>
      <c r="C122">
        <v>3.1080000000000001</v>
      </c>
      <c r="D122">
        <v>2.988</v>
      </c>
      <c r="E122">
        <v>3.077</v>
      </c>
      <c r="F122">
        <v>1124414.8</v>
      </c>
      <c r="G122">
        <v>3.077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0.48333333333333151</v>
      </c>
      <c r="Q122">
        <f t="shared" ref="Q122" si="586">F122*P122</f>
        <v>543467.15333333134</v>
      </c>
      <c r="R122">
        <f t="shared" ref="R122" si="587">R123+Q122</f>
        <v>-58282857.33613465</v>
      </c>
      <c r="S122">
        <f t="shared" ref="S122" si="588">R122/100000</f>
        <v>-582.82857336134646</v>
      </c>
      <c r="T122">
        <f t="shared" ref="T122" si="589">S122/1000</f>
        <v>-0.58282857336134641</v>
      </c>
    </row>
    <row r="123" spans="1:20" x14ac:dyDescent="0.25">
      <c r="A123" s="5">
        <v>44470</v>
      </c>
      <c r="B123">
        <v>2.86</v>
      </c>
      <c r="C123">
        <v>3.13</v>
      </c>
      <c r="D123">
        <v>2.8370000000000002</v>
      </c>
      <c r="E123">
        <v>3.048</v>
      </c>
      <c r="F123">
        <v>1529959.2</v>
      </c>
      <c r="G123">
        <v>3.048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0.44027303754266256</v>
      </c>
      <c r="Q123">
        <f t="shared" ref="Q123" si="591">F123*P123</f>
        <v>673599.78430034197</v>
      </c>
      <c r="R123">
        <f t="shared" ref="R123" si="592">R124+Q123</f>
        <v>-58826324.489467978</v>
      </c>
      <c r="S123">
        <f t="shared" ref="S123" si="593">R123/100000</f>
        <v>-588.26324489467981</v>
      </c>
      <c r="T123">
        <f t="shared" ref="T123" si="594">S123/1000</f>
        <v>-0.58826324489467985</v>
      </c>
    </row>
    <row r="124" spans="1:20" x14ac:dyDescent="0.25">
      <c r="A124" s="5">
        <v>44469</v>
      </c>
      <c r="B124">
        <v>2.7749999999999999</v>
      </c>
      <c r="C124">
        <v>2.98</v>
      </c>
      <c r="D124">
        <v>2.7629999999999999</v>
      </c>
      <c r="E124">
        <v>2.8540000000000001</v>
      </c>
      <c r="F124">
        <v>932178</v>
      </c>
      <c r="G124">
        <v>2.8540000000000001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-0.16129032258064371</v>
      </c>
      <c r="Q124">
        <f t="shared" ref="Q124" si="596">F124*P124</f>
        <v>-150351.2903225793</v>
      </c>
      <c r="R124">
        <f t="shared" ref="R124" si="597">R125+Q124</f>
        <v>-59499924.273768321</v>
      </c>
      <c r="S124">
        <f t="shared" ref="S124" si="598">R124/100000</f>
        <v>-594.99924273768318</v>
      </c>
      <c r="T124">
        <f t="shared" ref="T124" si="599">S124/1000</f>
        <v>-0.59499924273768312</v>
      </c>
    </row>
    <row r="125" spans="1:20" x14ac:dyDescent="0.25">
      <c r="A125" s="5">
        <v>44468</v>
      </c>
      <c r="B125">
        <v>2.7570000000000001</v>
      </c>
      <c r="C125">
        <v>2.863</v>
      </c>
      <c r="D125">
        <v>2.75</v>
      </c>
      <c r="E125">
        <v>2.7730000000000001</v>
      </c>
      <c r="F125">
        <v>744614.40000000002</v>
      </c>
      <c r="G125">
        <v>2.7730000000000001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-0.59292035398229848</v>
      </c>
      <c r="Q125">
        <f t="shared" ref="Q125" si="601">F125*P125</f>
        <v>-441497.03362831683</v>
      </c>
      <c r="R125">
        <f t="shared" ref="R125" si="602">R126+Q125</f>
        <v>-59349572.983445741</v>
      </c>
      <c r="S125">
        <f t="shared" ref="S125" si="603">R125/100000</f>
        <v>-593.49572983445739</v>
      </c>
      <c r="T125">
        <f t="shared" ref="T125" si="604">S125/1000</f>
        <v>-0.59349572983445742</v>
      </c>
    </row>
    <row r="126" spans="1:20" x14ac:dyDescent="0.25">
      <c r="A126" s="5">
        <v>44467</v>
      </c>
      <c r="B126">
        <v>2.9</v>
      </c>
      <c r="C126">
        <v>2.931</v>
      </c>
      <c r="D126">
        <v>2.7480000000000002</v>
      </c>
      <c r="E126">
        <v>2.7559999999999998</v>
      </c>
      <c r="F126">
        <v>905428.04700000002</v>
      </c>
      <c r="G126">
        <v>2.7559999999999998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-0.91256830601093364</v>
      </c>
      <c r="Q126">
        <f t="shared" ref="Q126" si="606">F126*P126</f>
        <v>-826264.93906557804</v>
      </c>
      <c r="R126">
        <f t="shared" ref="R126" si="607">R127+Q126</f>
        <v>-58908075.949817427</v>
      </c>
      <c r="S126">
        <f t="shared" ref="S126" si="608">R126/100000</f>
        <v>-589.0807594981743</v>
      </c>
      <c r="T126">
        <f t="shared" ref="T126" si="609">S126/1000</f>
        <v>-0.58908075949817429</v>
      </c>
    </row>
    <row r="127" spans="1:20" x14ac:dyDescent="0.25">
      <c r="A127" s="5">
        <v>44466</v>
      </c>
      <c r="B127">
        <v>2.915</v>
      </c>
      <c r="C127">
        <v>3.016</v>
      </c>
      <c r="D127">
        <v>2.8959999999999999</v>
      </c>
      <c r="E127">
        <v>2.9039999999999999</v>
      </c>
      <c r="F127">
        <v>859242.6</v>
      </c>
      <c r="G127">
        <v>2.9039999999999999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-0.8666666666666667</v>
      </c>
      <c r="Q127">
        <f t="shared" ref="Q127" si="611">F127*P127</f>
        <v>-744676.92</v>
      </c>
      <c r="R127">
        <f t="shared" ref="R127" si="612">R128+Q127</f>
        <v>-58081811.010751851</v>
      </c>
      <c r="S127">
        <f t="shared" ref="S127" si="613">R127/100000</f>
        <v>-580.81811010751846</v>
      </c>
      <c r="T127">
        <f t="shared" ref="T127" si="614">S127/1000</f>
        <v>-0.58081811010751849</v>
      </c>
    </row>
    <row r="128" spans="1:20" x14ac:dyDescent="0.25">
      <c r="A128" s="5">
        <v>44465</v>
      </c>
      <c r="B128">
        <v>3.0369999999999999</v>
      </c>
      <c r="C128">
        <v>3.0409999999999999</v>
      </c>
      <c r="D128">
        <v>2.8380000000000001</v>
      </c>
      <c r="E128">
        <v>2.92</v>
      </c>
      <c r="F128">
        <v>1338232.8700000001</v>
      </c>
      <c r="G128">
        <v>2.92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-0.1921182266009861</v>
      </c>
      <c r="Q128">
        <f t="shared" ref="Q128" si="616">F128*P128</f>
        <v>-257098.925763548</v>
      </c>
      <c r="R128">
        <f t="shared" ref="R128" si="617">R129+Q128</f>
        <v>-57337134.090751849</v>
      </c>
      <c r="S128">
        <f t="shared" ref="S128" si="618">R128/100000</f>
        <v>-573.37134090751852</v>
      </c>
      <c r="T128">
        <f t="shared" ref="T128" si="619">S128/1000</f>
        <v>-0.57337134090751851</v>
      </c>
    </row>
    <row r="129" spans="1:20" x14ac:dyDescent="0.25">
      <c r="A129" s="5">
        <v>44464</v>
      </c>
      <c r="B129">
        <v>3.03</v>
      </c>
      <c r="C129">
        <v>3.11</v>
      </c>
      <c r="D129">
        <v>3</v>
      </c>
      <c r="E129">
        <v>3.0390000000000001</v>
      </c>
      <c r="F129">
        <v>628083.19999999995</v>
      </c>
      <c r="G129">
        <v>3.0390000000000001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-0.29090909090908745</v>
      </c>
      <c r="Q129">
        <f t="shared" ref="Q129" si="621">F129*P129</f>
        <v>-182715.11272727055</v>
      </c>
      <c r="R129">
        <f t="shared" ref="R129" si="622">R130+Q129</f>
        <v>-57080035.164988302</v>
      </c>
      <c r="S129">
        <f t="shared" ref="S129" si="623">R129/100000</f>
        <v>-570.80035164988305</v>
      </c>
      <c r="T129">
        <f t="shared" ref="T129" si="624">S129/1000</f>
        <v>-0.57080035164988308</v>
      </c>
    </row>
    <row r="130" spans="1:20" x14ac:dyDescent="0.25">
      <c r="A130" s="5">
        <v>44463</v>
      </c>
      <c r="B130">
        <v>3.1989999999999998</v>
      </c>
      <c r="C130">
        <v>3.2429999999999999</v>
      </c>
      <c r="D130">
        <v>2.9220000000000002</v>
      </c>
      <c r="E130">
        <v>3.028</v>
      </c>
      <c r="F130">
        <v>2560278.0049999999</v>
      </c>
      <c r="G130">
        <v>3.028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-0.33956386292834917</v>
      </c>
      <c r="Q130">
        <f t="shared" ref="Q130" si="626">F130*P130</f>
        <v>-869377.88954828726</v>
      </c>
      <c r="R130">
        <f t="shared" ref="R130" si="627">R131+Q130</f>
        <v>-56897320.052261032</v>
      </c>
      <c r="S130">
        <f t="shared" ref="S130" si="628">R130/100000</f>
        <v>-568.97320052261034</v>
      </c>
      <c r="T130">
        <f t="shared" ref="T130" si="629">S130/1000</f>
        <v>-0.56897320052261036</v>
      </c>
    </row>
    <row r="131" spans="1:20" x14ac:dyDescent="0.25">
      <c r="A131" s="5">
        <v>44462</v>
      </c>
      <c r="B131">
        <v>3.2069999999999999</v>
      </c>
      <c r="C131">
        <v>3.2469999999999999</v>
      </c>
      <c r="D131">
        <v>3.13</v>
      </c>
      <c r="E131">
        <v>3.202</v>
      </c>
      <c r="F131">
        <v>1173918.2</v>
      </c>
      <c r="G131">
        <v>3.202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0.23076923076923195</v>
      </c>
      <c r="Q131">
        <f t="shared" ref="Q131" si="631">F131*P131</f>
        <v>270904.20000000135</v>
      </c>
      <c r="R131">
        <f t="shared" ref="R131" si="632">R132+Q131</f>
        <v>-56027942.162712745</v>
      </c>
      <c r="S131">
        <f t="shared" ref="S131" si="633">R131/100000</f>
        <v>-560.27942162712748</v>
      </c>
      <c r="T131">
        <f t="shared" ref="T131" si="634">S131/1000</f>
        <v>-0.56027942162712752</v>
      </c>
    </row>
    <row r="132" spans="1:20" x14ac:dyDescent="0.25">
      <c r="A132" s="5">
        <v>44461</v>
      </c>
      <c r="B132">
        <v>3.016</v>
      </c>
      <c r="C132">
        <v>3.226</v>
      </c>
      <c r="D132">
        <v>2.9649999999999999</v>
      </c>
      <c r="E132">
        <v>3.2080000000000002</v>
      </c>
      <c r="F132">
        <v>1581575</v>
      </c>
      <c r="G132">
        <v>3.2080000000000002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0.86206896551724299</v>
      </c>
      <c r="Q132">
        <f t="shared" ref="Q132" si="636">F132*P132</f>
        <v>1363426.7241379337</v>
      </c>
      <c r="R132">
        <f t="shared" ref="R132" si="637">R133+Q132</f>
        <v>-56298846.362712748</v>
      </c>
      <c r="S132">
        <f t="shared" ref="S132" si="638">R132/100000</f>
        <v>-562.98846362712743</v>
      </c>
      <c r="T132">
        <f t="shared" ref="T132" si="639">S132/1000</f>
        <v>-0.5629884636271274</v>
      </c>
    </row>
    <row r="133" spans="1:20" x14ac:dyDescent="0.25">
      <c r="A133" s="5">
        <v>44460</v>
      </c>
      <c r="B133">
        <v>3.1720000000000002</v>
      </c>
      <c r="C133">
        <v>3.2490000000000001</v>
      </c>
      <c r="D133">
        <v>2.9830000000000001</v>
      </c>
      <c r="E133">
        <v>3.0139999999999998</v>
      </c>
      <c r="F133">
        <v>1636104.16</v>
      </c>
      <c r="G133">
        <v>3.0139999999999998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-0.766917293233085</v>
      </c>
      <c r="Q133">
        <f t="shared" ref="Q133" si="641">F133*P133</f>
        <v>-1254756.5738345901</v>
      </c>
      <c r="R133">
        <f t="shared" ref="R133" si="642">R134+Q133</f>
        <v>-57662273.08685068</v>
      </c>
      <c r="S133">
        <f t="shared" ref="S133" si="643">R133/100000</f>
        <v>-576.62273086850678</v>
      </c>
      <c r="T133">
        <f t="shared" ref="T133" si="644">S133/1000</f>
        <v>-0.57662273086850679</v>
      </c>
    </row>
    <row r="134" spans="1:20" x14ac:dyDescent="0.25">
      <c r="A134" s="5">
        <v>44459</v>
      </c>
      <c r="B134">
        <v>3.6120000000000001</v>
      </c>
      <c r="C134">
        <v>3.6160000000000001</v>
      </c>
      <c r="D134">
        <v>3.22</v>
      </c>
      <c r="E134">
        <v>3.3039999999999998</v>
      </c>
      <c r="F134">
        <v>1074679.4369999999</v>
      </c>
      <c r="G134">
        <v>3.3039999999999998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-0.57575757575757758</v>
      </c>
      <c r="Q134">
        <f t="shared" ref="Q134" si="646">F134*P134</f>
        <v>-618754.82736363832</v>
      </c>
      <c r="R134">
        <f t="shared" ref="R134" si="647">R135+Q134</f>
        <v>-56407516.51301609</v>
      </c>
      <c r="S134">
        <f t="shared" ref="S134" si="648">R134/100000</f>
        <v>-564.07516513016094</v>
      </c>
      <c r="T134">
        <f t="shared" ref="T134" si="649">S134/1000</f>
        <v>-0.56407516513016098</v>
      </c>
    </row>
    <row r="135" spans="1:20" x14ac:dyDescent="0.25">
      <c r="A135" s="5">
        <v>44458</v>
      </c>
      <c r="B135">
        <v>3.7480000000000002</v>
      </c>
      <c r="C135">
        <v>3.839</v>
      </c>
      <c r="D135">
        <v>3.6019999999999999</v>
      </c>
      <c r="E135">
        <v>3.61</v>
      </c>
      <c r="F135">
        <v>2220959.4</v>
      </c>
      <c r="G135">
        <v>3.61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-0.93248945147679319</v>
      </c>
      <c r="Q135">
        <f t="shared" ref="Q135" si="651">F135*P135</f>
        <v>-2071021.2126582277</v>
      </c>
      <c r="R135">
        <f t="shared" ref="R135" si="652">R136+Q135</f>
        <v>-55788761.68565245</v>
      </c>
      <c r="S135">
        <f t="shared" ref="S135" si="653">R135/100000</f>
        <v>-557.88761685652446</v>
      </c>
      <c r="T135">
        <f t="shared" ref="T135" si="654">S135/1000</f>
        <v>-0.55788761685652444</v>
      </c>
    </row>
    <row r="136" spans="1:20" x14ac:dyDescent="0.25">
      <c r="A136" s="5">
        <v>44457</v>
      </c>
      <c r="B136">
        <v>3.4950000000000001</v>
      </c>
      <c r="C136">
        <v>4.33</v>
      </c>
      <c r="D136">
        <v>3.484</v>
      </c>
      <c r="E136">
        <v>3.75</v>
      </c>
      <c r="F136">
        <v>6189427.9000000004</v>
      </c>
      <c r="G136">
        <v>3.75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-0.37115839243498822</v>
      </c>
      <c r="Q136">
        <f t="shared" ref="Q136" si="656">F136*P136</f>
        <v>-2297258.1094562653</v>
      </c>
      <c r="R136">
        <f t="shared" ref="R136" si="657">R137+Q136</f>
        <v>-53717740.472994223</v>
      </c>
      <c r="S136">
        <f t="shared" ref="S136" si="658">R136/100000</f>
        <v>-537.17740472994228</v>
      </c>
      <c r="T136">
        <f t="shared" ref="T136" si="659">S136/1000</f>
        <v>-0.53717740472994224</v>
      </c>
    </row>
    <row r="137" spans="1:20" x14ac:dyDescent="0.25">
      <c r="A137" s="5">
        <v>44456</v>
      </c>
      <c r="B137">
        <v>3.5870000000000002</v>
      </c>
      <c r="C137">
        <v>3.6280000000000001</v>
      </c>
      <c r="D137">
        <v>3.4540000000000002</v>
      </c>
      <c r="E137">
        <v>3.49</v>
      </c>
      <c r="F137">
        <v>738800.9</v>
      </c>
      <c r="G137">
        <v>3.49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-0.58620689655172364</v>
      </c>
      <c r="Q137">
        <f t="shared" ref="Q137" si="661">F137*P137</f>
        <v>-433090.18275862036</v>
      </c>
      <c r="R137">
        <f t="shared" ref="R137" si="662">R138+Q137</f>
        <v>-51420482.36353796</v>
      </c>
      <c r="S137">
        <f t="shared" ref="S137" si="663">R137/100000</f>
        <v>-514.20482363537963</v>
      </c>
      <c r="T137">
        <f t="shared" ref="T137" si="664">S137/1000</f>
        <v>-0.51420482363537967</v>
      </c>
    </row>
    <row r="138" spans="1:20" x14ac:dyDescent="0.25">
      <c r="A138" s="5">
        <v>44455</v>
      </c>
      <c r="B138">
        <v>3.7440000000000002</v>
      </c>
      <c r="C138">
        <v>3.8029999999999999</v>
      </c>
      <c r="D138">
        <v>3.4889999999999999</v>
      </c>
      <c r="E138">
        <v>3.5859999999999999</v>
      </c>
      <c r="F138">
        <v>1551589.4</v>
      </c>
      <c r="G138">
        <v>3.5859999999999999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-0.38216560509554165</v>
      </c>
      <c r="Q138">
        <f t="shared" ref="Q138" si="666">F138*P138</f>
        <v>-592964.10191082838</v>
      </c>
      <c r="R138">
        <f t="shared" ref="R138" si="667">R139+Q138</f>
        <v>-50987392.180779338</v>
      </c>
      <c r="S138">
        <f t="shared" ref="S138" si="668">R138/100000</f>
        <v>-509.87392180779335</v>
      </c>
      <c r="T138">
        <f t="shared" ref="T138" si="669">S138/1000</f>
        <v>-0.50987392180779334</v>
      </c>
    </row>
    <row r="139" spans="1:20" x14ac:dyDescent="0.25">
      <c r="A139" s="5">
        <v>44454</v>
      </c>
      <c r="B139">
        <v>3.6619999999999999</v>
      </c>
      <c r="C139">
        <v>3.88</v>
      </c>
      <c r="D139">
        <v>3.6349999999999998</v>
      </c>
      <c r="E139">
        <v>3.7440000000000002</v>
      </c>
      <c r="F139">
        <v>1391596</v>
      </c>
      <c r="G139">
        <v>3.7440000000000002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-0.11020408163264994</v>
      </c>
      <c r="Q139">
        <f t="shared" ref="Q139" si="671">F139*P139</f>
        <v>-153359.55918366913</v>
      </c>
      <c r="R139">
        <f t="shared" ref="R139" si="672">R140+Q139</f>
        <v>-50394428.078868508</v>
      </c>
      <c r="S139">
        <f t="shared" ref="S139" si="673">R139/100000</f>
        <v>-503.94428078868509</v>
      </c>
      <c r="T139">
        <f t="shared" ref="T139" si="674">S139/1000</f>
        <v>-0.50394428078868514</v>
      </c>
    </row>
    <row r="140" spans="1:20" x14ac:dyDescent="0.25">
      <c r="A140" s="5">
        <v>44453</v>
      </c>
      <c r="B140">
        <v>3.4910000000000001</v>
      </c>
      <c r="C140">
        <v>3.75</v>
      </c>
      <c r="D140">
        <v>3.4260000000000002</v>
      </c>
      <c r="E140">
        <v>3.66</v>
      </c>
      <c r="F140">
        <v>1860089.8</v>
      </c>
      <c r="G140">
        <v>3.66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0.44444444444444503</v>
      </c>
      <c r="Q140">
        <f t="shared" ref="Q140" si="676">F140*P140</f>
        <v>826706.57777777885</v>
      </c>
      <c r="R140">
        <f t="shared" ref="R140" si="677">R141+Q140</f>
        <v>-50241068.519684836</v>
      </c>
      <c r="S140">
        <f t="shared" ref="S140" si="678">R140/100000</f>
        <v>-502.41068519684836</v>
      </c>
      <c r="T140">
        <f t="shared" ref="T140" si="679">S140/1000</f>
        <v>-0.50241068519684839</v>
      </c>
    </row>
    <row r="141" spans="1:20" x14ac:dyDescent="0.25">
      <c r="A141" s="5">
        <v>44452</v>
      </c>
      <c r="B141">
        <v>3.629</v>
      </c>
      <c r="C141">
        <v>3.65</v>
      </c>
      <c r="D141">
        <v>3.407</v>
      </c>
      <c r="E141">
        <v>3.4870000000000001</v>
      </c>
      <c r="F141">
        <v>1374881.4</v>
      </c>
      <c r="G141">
        <v>3.4870000000000001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-0.34156378600822956</v>
      </c>
      <c r="Q141">
        <f t="shared" ref="Q141" si="681">F141*P141</f>
        <v>-469609.69629629503</v>
      </c>
      <c r="R141">
        <f t="shared" ref="R141" si="682">R142+Q141</f>
        <v>-51067775.097462617</v>
      </c>
      <c r="S141">
        <f t="shared" ref="S141" si="683">R141/100000</f>
        <v>-510.67775097462618</v>
      </c>
      <c r="T141">
        <f t="shared" ref="T141" si="684">S141/1000</f>
        <v>-0.5106777509746262</v>
      </c>
    </row>
    <row r="142" spans="1:20" x14ac:dyDescent="0.25">
      <c r="A142" s="5">
        <v>44451</v>
      </c>
      <c r="B142">
        <v>3.6480000000000001</v>
      </c>
      <c r="C142">
        <v>3.7549999999999999</v>
      </c>
      <c r="D142">
        <v>3.5840000000000001</v>
      </c>
      <c r="E142">
        <v>3.633</v>
      </c>
      <c r="F142">
        <v>1801081.4</v>
      </c>
      <c r="G142">
        <v>3.633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-0.42690058479532184</v>
      </c>
      <c r="Q142">
        <f t="shared" ref="Q142" si="686">F142*P142</f>
        <v>-768882.70292397693</v>
      </c>
      <c r="R142">
        <f t="shared" ref="R142" si="687">R143+Q142</f>
        <v>-50598165.40116632</v>
      </c>
      <c r="S142">
        <f t="shared" ref="S142" si="688">R142/100000</f>
        <v>-505.98165401166318</v>
      </c>
      <c r="T142">
        <f t="shared" ref="T142" si="689">S142/1000</f>
        <v>-0.50598165401166317</v>
      </c>
    </row>
    <row r="143" spans="1:20" x14ac:dyDescent="0.25">
      <c r="A143" s="5">
        <v>44450</v>
      </c>
      <c r="B143">
        <v>3.9940000000000002</v>
      </c>
      <c r="C143">
        <v>4.1360000000000001</v>
      </c>
      <c r="D143">
        <v>3.64</v>
      </c>
      <c r="E143">
        <v>3.649</v>
      </c>
      <c r="F143">
        <v>3068891.3</v>
      </c>
      <c r="G143">
        <v>3.649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-0.9637096774193552</v>
      </c>
      <c r="Q143">
        <f t="shared" ref="Q143" si="691">F143*P143</f>
        <v>-2957520.2447580653</v>
      </c>
      <c r="R143">
        <f t="shared" ref="R143" si="692">R144+Q143</f>
        <v>-49829282.698242344</v>
      </c>
      <c r="S143">
        <f t="shared" ref="S143" si="693">R143/100000</f>
        <v>-498.29282698242343</v>
      </c>
      <c r="T143">
        <f t="shared" ref="T143" si="694">S143/1000</f>
        <v>-0.49829282698242344</v>
      </c>
    </row>
    <row r="144" spans="1:20" x14ac:dyDescent="0.25">
      <c r="A144" s="5">
        <v>44449</v>
      </c>
      <c r="B144">
        <v>3.51</v>
      </c>
      <c r="C144">
        <v>4.25</v>
      </c>
      <c r="D144">
        <v>3.4550000000000001</v>
      </c>
      <c r="E144">
        <v>3.9940000000000002</v>
      </c>
      <c r="F144">
        <v>6210052.9000000004</v>
      </c>
      <c r="G144">
        <v>3.9940000000000002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0.35597484276729607</v>
      </c>
      <c r="Q144">
        <f t="shared" ref="Q144" si="696">F144*P144</f>
        <v>2210622.6046540909</v>
      </c>
      <c r="R144">
        <f t="shared" ref="R144" si="697">R145+Q144</f>
        <v>-46871762.453484282</v>
      </c>
      <c r="S144">
        <f t="shared" ref="S144" si="698">R144/100000</f>
        <v>-468.7176245348428</v>
      </c>
      <c r="T144">
        <f t="shared" ref="T144" si="699">S144/1000</f>
        <v>-0.46871762453484278</v>
      </c>
    </row>
    <row r="145" spans="1:20" x14ac:dyDescent="0.25">
      <c r="A145" s="5">
        <v>44448</v>
      </c>
      <c r="B145">
        <v>3.4820000000000002</v>
      </c>
      <c r="C145">
        <v>3.569</v>
      </c>
      <c r="D145">
        <v>3.4079999999999999</v>
      </c>
      <c r="E145">
        <v>3.5059999999999998</v>
      </c>
      <c r="F145">
        <v>3307368.2</v>
      </c>
      <c r="G145">
        <v>3.5059999999999998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0.21739130434782417</v>
      </c>
      <c r="Q145">
        <f t="shared" ref="Q145" si="701">F145*P145</f>
        <v>718993.08695651544</v>
      </c>
      <c r="R145">
        <f t="shared" ref="R145" si="702">R146+Q145</f>
        <v>-49082385.058138371</v>
      </c>
      <c r="S145">
        <f t="shared" ref="S145" si="703">R145/100000</f>
        <v>-490.82385058138368</v>
      </c>
      <c r="T145">
        <f t="shared" ref="T145" si="704">S145/1000</f>
        <v>-0.49082385058138367</v>
      </c>
    </row>
    <row r="146" spans="1:20" x14ac:dyDescent="0.25">
      <c r="A146" s="5">
        <v>44447</v>
      </c>
      <c r="B146">
        <v>3.5880000000000001</v>
      </c>
      <c r="C146">
        <v>3.6150000000000002</v>
      </c>
      <c r="D146">
        <v>3.3290000000000002</v>
      </c>
      <c r="E146">
        <v>3.4820000000000002</v>
      </c>
      <c r="F146">
        <v>1660942.7830000001</v>
      </c>
      <c r="G146">
        <v>3.4820000000000002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6.9930069930069991E-2</v>
      </c>
      <c r="Q146">
        <f t="shared" ref="Q146" si="706">F146*P146</f>
        <v>116149.84496503507</v>
      </c>
      <c r="R146">
        <f t="shared" ref="R146" si="707">R147+Q146</f>
        <v>-49801378.145094886</v>
      </c>
      <c r="S146">
        <f t="shared" ref="S146" si="708">R146/100000</f>
        <v>-498.01378145094884</v>
      </c>
      <c r="T146">
        <f t="shared" ref="T146" si="709">S146/1000</f>
        <v>-0.49801378145094882</v>
      </c>
    </row>
    <row r="147" spans="1:20" x14ac:dyDescent="0.25">
      <c r="A147" s="5">
        <v>44446</v>
      </c>
      <c r="B147">
        <v>4.1390000000000002</v>
      </c>
      <c r="C147">
        <v>4.2919999999999998</v>
      </c>
      <c r="D147">
        <v>3.46</v>
      </c>
      <c r="E147">
        <v>3.5830000000000002</v>
      </c>
      <c r="F147">
        <v>2738574.8020000001</v>
      </c>
      <c r="G147">
        <v>3.5830000000000002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-0.70432692307692246</v>
      </c>
      <c r="Q147">
        <f t="shared" ref="Q147" si="711">F147*P147</f>
        <v>-1928851.9639086523</v>
      </c>
      <c r="R147">
        <f t="shared" ref="R147" si="712">R148+Q147</f>
        <v>-49917527.99005992</v>
      </c>
      <c r="S147">
        <f t="shared" ref="S147" si="713">R147/100000</f>
        <v>-499.17527990059921</v>
      </c>
      <c r="T147">
        <f t="shared" ref="T147" si="714">S147/1000</f>
        <v>-0.49917527990059923</v>
      </c>
    </row>
    <row r="148" spans="1:20" x14ac:dyDescent="0.25">
      <c r="A148" s="5">
        <v>44445</v>
      </c>
      <c r="B148">
        <v>4.2190000000000003</v>
      </c>
      <c r="C148">
        <v>4.3760000000000003</v>
      </c>
      <c r="D148">
        <v>4.0819999999999999</v>
      </c>
      <c r="E148">
        <v>4.1399999999999997</v>
      </c>
      <c r="F148">
        <v>2052768</v>
      </c>
      <c r="G148">
        <v>4.1399999999999997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-0.60544217687075008</v>
      </c>
      <c r="Q148">
        <f t="shared" ref="Q148" si="716">F148*P148</f>
        <v>-1242832.3265306158</v>
      </c>
      <c r="R148">
        <f t="shared" ref="R148" si="717">R149+Q148</f>
        <v>-47988676.02615127</v>
      </c>
      <c r="S148">
        <f t="shared" ref="S148" si="718">R148/100000</f>
        <v>-479.88676026151268</v>
      </c>
      <c r="T148">
        <f t="shared" ref="T148" si="719">S148/1000</f>
        <v>-0.47988676026151267</v>
      </c>
    </row>
    <row r="149" spans="1:20" x14ac:dyDescent="0.25">
      <c r="A149" s="5">
        <v>44444</v>
      </c>
      <c r="B149">
        <v>4.1130000000000004</v>
      </c>
      <c r="C149">
        <v>4.2699999999999996</v>
      </c>
      <c r="D149">
        <v>4.0650000000000004</v>
      </c>
      <c r="E149">
        <v>4.2240000000000002</v>
      </c>
      <c r="F149">
        <v>1754529</v>
      </c>
      <c r="G149">
        <v>4.2240000000000002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0.55121951219512622</v>
      </c>
      <c r="Q149">
        <f t="shared" ref="Q149" si="721">F149*P149</f>
        <v>967130.61951220257</v>
      </c>
      <c r="R149">
        <f t="shared" ref="R149" si="722">R150+Q149</f>
        <v>-46745843.699620657</v>
      </c>
      <c r="S149">
        <f t="shared" ref="S149" si="723">R149/100000</f>
        <v>-467.45843699620656</v>
      </c>
      <c r="T149">
        <f t="shared" ref="T149" si="724">S149/1000</f>
        <v>-0.46745843699620654</v>
      </c>
    </row>
    <row r="150" spans="1:20" x14ac:dyDescent="0.25">
      <c r="A150" s="5">
        <v>44443</v>
      </c>
      <c r="B150">
        <v>4.1589999999999998</v>
      </c>
      <c r="C150">
        <v>4.2240000000000002</v>
      </c>
      <c r="D150">
        <v>4.0609999999999999</v>
      </c>
      <c r="E150">
        <v>4.1159999999999997</v>
      </c>
      <c r="F150">
        <v>1837200.3</v>
      </c>
      <c r="G150">
        <v>4.1159999999999997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-0.3251533742331334</v>
      </c>
      <c r="Q150">
        <f t="shared" ref="Q150" si="726">F150*P150</f>
        <v>-597371.87668712495</v>
      </c>
      <c r="R150">
        <f t="shared" ref="R150" si="727">R151+Q150</f>
        <v>-47712974.319132857</v>
      </c>
      <c r="S150">
        <f t="shared" ref="S150" si="728">R150/100000</f>
        <v>-477.12974319132854</v>
      </c>
      <c r="T150">
        <f t="shared" ref="T150" si="729">S150/1000</f>
        <v>-0.47712974319132856</v>
      </c>
    </row>
    <row r="151" spans="1:20" x14ac:dyDescent="0.25">
      <c r="A151" s="5">
        <v>44442</v>
      </c>
      <c r="B151">
        <v>3.9489999999999998</v>
      </c>
      <c r="C151">
        <v>4.5</v>
      </c>
      <c r="D151">
        <v>3.887</v>
      </c>
      <c r="E151">
        <v>4.1589999999999998</v>
      </c>
      <c r="F151">
        <v>4989688.6529999999</v>
      </c>
      <c r="G151">
        <v>4.1589999999999998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-0.11256117455138727</v>
      </c>
      <c r="Q151">
        <f t="shared" ref="Q151" si="731">F151*P151</f>
        <v>-561645.21542740939</v>
      </c>
      <c r="R151">
        <f t="shared" ref="R151" si="732">R152+Q151</f>
        <v>-47115602.442445733</v>
      </c>
      <c r="S151">
        <f t="shared" ref="S151" si="733">R151/100000</f>
        <v>-471.15602442445731</v>
      </c>
      <c r="T151">
        <f t="shared" ref="T151" si="734">S151/1000</f>
        <v>-0.47115602442445731</v>
      </c>
    </row>
    <row r="152" spans="1:20" x14ac:dyDescent="0.25">
      <c r="A152" s="5">
        <v>44441</v>
      </c>
      <c r="B152">
        <v>4.07</v>
      </c>
      <c r="C152">
        <v>4.1189999999999998</v>
      </c>
      <c r="D152">
        <v>3.9209999999999998</v>
      </c>
      <c r="E152">
        <v>3.9489999999999998</v>
      </c>
      <c r="F152">
        <v>1808106.6</v>
      </c>
      <c r="G152">
        <v>3.9489999999999998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-0.7171717171717169</v>
      </c>
      <c r="Q152">
        <f t="shared" ref="Q152" si="736">F152*P152</f>
        <v>-1296722.9151515148</v>
      </c>
      <c r="R152">
        <f t="shared" ref="R152" si="737">R153+Q152</f>
        <v>-46553957.227018327</v>
      </c>
      <c r="S152">
        <f t="shared" ref="S152" si="738">R152/100000</f>
        <v>-465.53957227018327</v>
      </c>
      <c r="T152">
        <f t="shared" ref="T152" si="739">S152/1000</f>
        <v>-0.46553957227018328</v>
      </c>
    </row>
    <row r="153" spans="1:20" x14ac:dyDescent="0.25">
      <c r="A153" s="5">
        <v>44440</v>
      </c>
      <c r="B153">
        <v>3.948</v>
      </c>
      <c r="C153">
        <v>4.1100000000000003</v>
      </c>
      <c r="D153">
        <v>3.8809999999999998</v>
      </c>
      <c r="E153">
        <v>4.07</v>
      </c>
      <c r="F153">
        <v>1737526.2</v>
      </c>
      <c r="G153">
        <v>4.07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0.65065502183406165</v>
      </c>
      <c r="Q153">
        <f t="shared" ref="Q153" si="741">F153*P153</f>
        <v>1130530.147598254</v>
      </c>
      <c r="R153">
        <f t="shared" ref="R153" si="742">R154+Q153</f>
        <v>-45257234.311866812</v>
      </c>
      <c r="S153">
        <f t="shared" ref="S153" si="743">R153/100000</f>
        <v>-452.57234311866813</v>
      </c>
      <c r="T153">
        <f t="shared" ref="T153" si="744">S153/1000</f>
        <v>-0.45257234311866812</v>
      </c>
    </row>
    <row r="154" spans="1:20" x14ac:dyDescent="0.25">
      <c r="A154" s="5">
        <v>44439</v>
      </c>
      <c r="B154">
        <v>3.99</v>
      </c>
      <c r="C154">
        <v>4.0529999999999999</v>
      </c>
      <c r="D154">
        <v>3.8</v>
      </c>
      <c r="E154">
        <v>3.948</v>
      </c>
      <c r="F154">
        <v>2800912.6</v>
      </c>
      <c r="G154">
        <v>3.948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0.16996047430830091</v>
      </c>
      <c r="Q154">
        <f t="shared" ref="Q154" si="746">F154*P154</f>
        <v>476044.43399209634</v>
      </c>
      <c r="R154">
        <f t="shared" ref="R154" si="747">R155+Q154</f>
        <v>-46387764.459465064</v>
      </c>
      <c r="S154">
        <f t="shared" ref="S154" si="748">R154/100000</f>
        <v>-463.87764459465063</v>
      </c>
      <c r="T154">
        <f t="shared" ref="T154" si="749">S154/1000</f>
        <v>-0.46387764459465064</v>
      </c>
    </row>
    <row r="155" spans="1:20" x14ac:dyDescent="0.25">
      <c r="A155" s="5">
        <v>44438</v>
      </c>
      <c r="B155">
        <v>4.2309999999999999</v>
      </c>
      <c r="C155">
        <v>4.24</v>
      </c>
      <c r="D155">
        <v>3.93</v>
      </c>
      <c r="E155">
        <v>3.9929999999999999</v>
      </c>
      <c r="F155">
        <v>2826573.8</v>
      </c>
      <c r="G155">
        <v>3.9929999999999999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-0.59354838709677604</v>
      </c>
      <c r="Q155">
        <f t="shared" ref="Q155" si="751">F155*P155</f>
        <v>-1677708.3200000052</v>
      </c>
      <c r="R155">
        <f t="shared" ref="R155" si="752">R156+Q155</f>
        <v>-46863808.893457159</v>
      </c>
      <c r="S155">
        <f t="shared" ref="S155" si="753">R155/100000</f>
        <v>-468.63808893457161</v>
      </c>
      <c r="T155">
        <f t="shared" ref="T155" si="754">S155/1000</f>
        <v>-0.46863808893457159</v>
      </c>
    </row>
    <row r="156" spans="1:20" x14ac:dyDescent="0.25">
      <c r="A156" s="5">
        <v>44437</v>
      </c>
      <c r="B156">
        <v>4.1189999999999998</v>
      </c>
      <c r="C156">
        <v>4.4960000000000004</v>
      </c>
      <c r="D156">
        <v>4.056</v>
      </c>
      <c r="E156">
        <v>4.2279999999999998</v>
      </c>
      <c r="F156">
        <v>4390070.5029999996</v>
      </c>
      <c r="G156">
        <v>4.2279999999999998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-0.2181818181818202</v>
      </c>
      <c r="Q156">
        <f t="shared" ref="Q156" si="756">F156*P156</f>
        <v>-957833.56429091783</v>
      </c>
      <c r="R156">
        <f t="shared" ref="R156" si="757">R157+Q156</f>
        <v>-45186100.573457152</v>
      </c>
      <c r="S156">
        <f t="shared" ref="S156" si="758">R156/100000</f>
        <v>-451.86100573457151</v>
      </c>
      <c r="T156">
        <f t="shared" ref="T156" si="759">S156/1000</f>
        <v>-0.4518610057345715</v>
      </c>
    </row>
    <row r="157" spans="1:20" x14ac:dyDescent="0.25">
      <c r="A157" s="5">
        <v>44436</v>
      </c>
      <c r="B157">
        <v>3.992</v>
      </c>
      <c r="C157">
        <v>4.1900000000000004</v>
      </c>
      <c r="D157">
        <v>3.952</v>
      </c>
      <c r="E157">
        <v>4.1159999999999997</v>
      </c>
      <c r="F157">
        <v>3033276.4530000002</v>
      </c>
      <c r="G157">
        <v>4.1159999999999997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0.37815126050419667</v>
      </c>
      <c r="Q157">
        <f t="shared" ref="Q157" si="761">F157*P157</f>
        <v>1147037.3141596487</v>
      </c>
      <c r="R157">
        <f t="shared" ref="R157" si="762">R158+Q157</f>
        <v>-44228267.009166233</v>
      </c>
      <c r="S157">
        <f t="shared" ref="S157" si="763">R157/100000</f>
        <v>-442.28267009166234</v>
      </c>
      <c r="T157">
        <f t="shared" ref="T157" si="764">S157/1000</f>
        <v>-0.44228267009166233</v>
      </c>
    </row>
    <row r="158" spans="1:20" x14ac:dyDescent="0.25">
      <c r="A158" s="5">
        <v>44435</v>
      </c>
      <c r="B158">
        <v>3.702</v>
      </c>
      <c r="C158">
        <v>4.07</v>
      </c>
      <c r="D158">
        <v>3.5649999999999999</v>
      </c>
      <c r="E158">
        <v>3.988</v>
      </c>
      <c r="F158">
        <v>4155220.6579999998</v>
      </c>
      <c r="G158">
        <v>3.988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0.67524752475247429</v>
      </c>
      <c r="Q158">
        <f t="shared" ref="Q158" si="766">F158*P158</f>
        <v>2805802.4641148476</v>
      </c>
      <c r="R158">
        <f t="shared" ref="R158" si="767">R159+Q158</f>
        <v>-45375304.32332588</v>
      </c>
      <c r="S158">
        <f t="shared" ref="S158" si="768">R158/100000</f>
        <v>-453.75304323325878</v>
      </c>
      <c r="T158">
        <f t="shared" ref="T158" si="769">S158/1000</f>
        <v>-0.45375304323325877</v>
      </c>
    </row>
    <row r="159" spans="1:20" x14ac:dyDescent="0.25">
      <c r="A159" s="5">
        <v>44434</v>
      </c>
      <c r="B159">
        <v>4.024</v>
      </c>
      <c r="C159">
        <v>4.0940000000000003</v>
      </c>
      <c r="D159">
        <v>3.6779999999999999</v>
      </c>
      <c r="E159">
        <v>3.7</v>
      </c>
      <c r="F159">
        <v>1788287.7579999999</v>
      </c>
      <c r="G159">
        <v>3.7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-0.89423076923076816</v>
      </c>
      <c r="Q159">
        <f t="shared" ref="Q159" si="771">F159*P159</f>
        <v>-1599141.9374423057</v>
      </c>
      <c r="R159">
        <f t="shared" ref="R159" si="772">R160+Q159</f>
        <v>-48181106.787440725</v>
      </c>
      <c r="S159">
        <f t="shared" ref="S159" si="773">R159/100000</f>
        <v>-481.81106787440723</v>
      </c>
      <c r="T159">
        <f t="shared" ref="T159" si="774">S159/1000</f>
        <v>-0.48181106787440725</v>
      </c>
    </row>
    <row r="160" spans="1:20" x14ac:dyDescent="0.25">
      <c r="A160" s="5">
        <v>44433</v>
      </c>
      <c r="B160">
        <v>3.98</v>
      </c>
      <c r="C160">
        <v>4.1150000000000002</v>
      </c>
      <c r="D160">
        <v>3.8250000000000002</v>
      </c>
      <c r="E160">
        <v>4.024</v>
      </c>
      <c r="F160">
        <v>2764094.5350000001</v>
      </c>
      <c r="G160">
        <v>4.024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0.37241379310344702</v>
      </c>
      <c r="Q160">
        <f t="shared" ref="Q160" si="776">F160*P160</f>
        <v>1029386.9302758586</v>
      </c>
      <c r="R160">
        <f t="shared" ref="R160" si="777">R161+Q160</f>
        <v>-46581964.849998422</v>
      </c>
      <c r="S160">
        <f t="shared" ref="S160" si="778">R160/100000</f>
        <v>-465.81964849998423</v>
      </c>
      <c r="T160">
        <f t="shared" ref="T160" si="779">S160/1000</f>
        <v>-0.46581964849998425</v>
      </c>
    </row>
    <row r="161" spans="1:20" x14ac:dyDescent="0.25">
      <c r="A161" s="5">
        <v>44432</v>
      </c>
      <c r="B161">
        <v>4.1360000000000001</v>
      </c>
      <c r="C161">
        <v>4.4889999999999999</v>
      </c>
      <c r="D161">
        <v>3.9580000000000002</v>
      </c>
      <c r="E161">
        <v>3.9809999999999999</v>
      </c>
      <c r="F161">
        <v>2608731.4810000001</v>
      </c>
      <c r="G161">
        <v>3.9809999999999999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-0.91337099811676192</v>
      </c>
      <c r="Q161">
        <f t="shared" ref="Q161" si="781">F161*P161</f>
        <v>-2382739.6766195889</v>
      </c>
      <c r="R161">
        <f t="shared" ref="R161" si="782">R162+Q161</f>
        <v>-47611351.780274279</v>
      </c>
      <c r="S161">
        <f t="shared" ref="S161" si="783">R161/100000</f>
        <v>-476.11351780274282</v>
      </c>
      <c r="T161">
        <f t="shared" ref="T161" si="784">S161/1000</f>
        <v>-0.4761135178027428</v>
      </c>
    </row>
    <row r="162" spans="1:20" x14ac:dyDescent="0.25">
      <c r="A162" s="5">
        <v>44431</v>
      </c>
      <c r="B162">
        <v>4.242</v>
      </c>
      <c r="C162">
        <v>4.3</v>
      </c>
      <c r="D162">
        <v>4.0949999999999998</v>
      </c>
      <c r="E162">
        <v>4.1360000000000001</v>
      </c>
      <c r="F162">
        <v>1847636.446</v>
      </c>
      <c r="G162">
        <v>4.1360000000000001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-0.59999999999999654</v>
      </c>
      <c r="Q162">
        <f t="shared" ref="Q162" si="786">F162*P162</f>
        <v>-1108581.8675999937</v>
      </c>
      <c r="R162">
        <f t="shared" ref="R162" si="787">R163+Q162</f>
        <v>-45228612.10365469</v>
      </c>
      <c r="S162">
        <f t="shared" ref="S162" si="788">R162/100000</f>
        <v>-452.28612103654689</v>
      </c>
      <c r="T162">
        <f t="shared" ref="T162" si="789">S162/1000</f>
        <v>-0.45228612103654686</v>
      </c>
    </row>
    <row r="163" spans="1:20" x14ac:dyDescent="0.25">
      <c r="A163" s="5">
        <v>44430</v>
      </c>
      <c r="B163">
        <v>4.2759999999999998</v>
      </c>
      <c r="C163">
        <v>4.3499999999999996</v>
      </c>
      <c r="D163">
        <v>4.1970000000000001</v>
      </c>
      <c r="E163">
        <v>4.2629999999999999</v>
      </c>
      <c r="F163">
        <v>286757.56099999999</v>
      </c>
      <c r="G163">
        <v>4.2629999999999999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-0.13725490196078408</v>
      </c>
      <c r="Q163">
        <f t="shared" ref="Q163" si="791">F163*P163</f>
        <v>-39358.880921568554</v>
      </c>
      <c r="R163">
        <f t="shared" ref="R163" si="792">R164+Q163</f>
        <v>-44120030.236054696</v>
      </c>
      <c r="S163">
        <f t="shared" ref="S163" si="793">R163/100000</f>
        <v>-441.20030236054697</v>
      </c>
      <c r="T163">
        <f t="shared" ref="T163" si="794">S163/1000</f>
        <v>-0.44120030236054697</v>
      </c>
    </row>
    <row r="164" spans="1:20" x14ac:dyDescent="0.25">
      <c r="A164" s="5">
        <v>44429</v>
      </c>
      <c r="B164">
        <v>4.5060000000000002</v>
      </c>
      <c r="C164">
        <v>4.5140000000000002</v>
      </c>
      <c r="D164">
        <v>4.2309999999999999</v>
      </c>
      <c r="E164">
        <v>4.2729999999999997</v>
      </c>
      <c r="F164">
        <v>1705756.66</v>
      </c>
      <c r="G164">
        <v>4.2729999999999997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-0.70318021201413594</v>
      </c>
      <c r="Q164">
        <f t="shared" ref="Q164" si="796">F164*P164</f>
        <v>-1199454.3298233242</v>
      </c>
      <c r="R164">
        <f t="shared" ref="R164" si="797">R165+Q164</f>
        <v>-44080671.355133131</v>
      </c>
      <c r="S164">
        <f t="shared" ref="S164" si="798">R164/100000</f>
        <v>-440.80671355133131</v>
      </c>
      <c r="T164">
        <f t="shared" ref="T164" si="799">S164/1000</f>
        <v>-0.44080671355133133</v>
      </c>
    </row>
    <row r="165" spans="1:20" x14ac:dyDescent="0.25">
      <c r="A165" s="5">
        <v>44428</v>
      </c>
      <c r="B165">
        <v>4.4939999999999998</v>
      </c>
      <c r="C165">
        <v>4.6349999999999998</v>
      </c>
      <c r="D165">
        <v>4.4029999999999996</v>
      </c>
      <c r="E165">
        <v>4.5090000000000003</v>
      </c>
      <c r="F165">
        <v>2337687.551</v>
      </c>
      <c r="G165">
        <v>4.5090000000000003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-8.6206896551718398E-2</v>
      </c>
      <c r="Q165">
        <f t="shared" ref="Q165" si="801">F165*P165</f>
        <v>-201524.78887929692</v>
      </c>
      <c r="R165">
        <f t="shared" ref="R165" si="802">R166+Q165</f>
        <v>-42881217.025309809</v>
      </c>
      <c r="S165">
        <f t="shared" ref="S165" si="803">R165/100000</f>
        <v>-428.81217025309809</v>
      </c>
      <c r="T165">
        <f t="shared" ref="T165" si="804">S165/1000</f>
        <v>-0.42881217025309809</v>
      </c>
    </row>
    <row r="166" spans="1:20" x14ac:dyDescent="0.25">
      <c r="A166" s="5">
        <v>44427</v>
      </c>
      <c r="B166">
        <v>4.4429999999999996</v>
      </c>
      <c r="C166">
        <v>4.9189999999999996</v>
      </c>
      <c r="D166">
        <v>4.3</v>
      </c>
      <c r="E166">
        <v>4.4939999999999998</v>
      </c>
      <c r="F166">
        <v>5834696.3260000004</v>
      </c>
      <c r="G166">
        <v>4.4939999999999998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-0.3731825525040387</v>
      </c>
      <c r="Q166">
        <f t="shared" ref="Q166" si="806">F166*P166</f>
        <v>-2177406.868022617</v>
      </c>
      <c r="R166">
        <f t="shared" ref="R166" si="807">R167+Q166</f>
        <v>-42679692.236430511</v>
      </c>
      <c r="S166">
        <f t="shared" ref="S166" si="808">R166/100000</f>
        <v>-426.79692236430509</v>
      </c>
      <c r="T166">
        <f t="shared" ref="T166" si="809">S166/1000</f>
        <v>-0.42679692236430511</v>
      </c>
    </row>
    <row r="167" spans="1:20" x14ac:dyDescent="0.25">
      <c r="A167" s="5">
        <v>44426</v>
      </c>
      <c r="B167">
        <v>4.1470000000000002</v>
      </c>
      <c r="C167">
        <v>4.8</v>
      </c>
      <c r="D167">
        <v>3.9689999999999999</v>
      </c>
      <c r="E167">
        <v>4.4359999999999999</v>
      </c>
      <c r="F167">
        <v>6296306.6179999998</v>
      </c>
      <c r="G167">
        <v>4.4359999999999999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0.12394705174488593</v>
      </c>
      <c r="Q167">
        <f t="shared" ref="Q167" si="811">F167*P167</f>
        <v>780408.64218291373</v>
      </c>
      <c r="R167">
        <f t="shared" ref="R167" si="812">R168+Q167</f>
        <v>-40502285.368407898</v>
      </c>
      <c r="S167">
        <f t="shared" ref="S167" si="813">R167/100000</f>
        <v>-405.022853684079</v>
      </c>
      <c r="T167">
        <f t="shared" ref="T167" si="814">S167/1000</f>
        <v>-0.40502285368407898</v>
      </c>
    </row>
    <row r="168" spans="1:20" x14ac:dyDescent="0.25">
      <c r="A168" s="5">
        <v>44425</v>
      </c>
      <c r="B168">
        <v>3.9209999999999998</v>
      </c>
      <c r="C168">
        <v>4.78</v>
      </c>
      <c r="D168">
        <v>3.8570000000000002</v>
      </c>
      <c r="E168">
        <v>4.1520000000000001</v>
      </c>
      <c r="F168">
        <v>8015967.0590000004</v>
      </c>
      <c r="G168">
        <v>4.1520000000000001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-0.36078006500541732</v>
      </c>
      <c r="Q168">
        <f t="shared" ref="Q168" si="816">F168*P168</f>
        <v>-2892001.1166273039</v>
      </c>
      <c r="R168">
        <f t="shared" ref="R168" si="817">R169+Q168</f>
        <v>-41282694.010590814</v>
      </c>
      <c r="S168">
        <f t="shared" ref="S168" si="818">R168/100000</f>
        <v>-412.82694010590814</v>
      </c>
      <c r="T168">
        <f t="shared" ref="T168" si="819">S168/1000</f>
        <v>-0.41282694010590815</v>
      </c>
    </row>
    <row r="169" spans="1:20" x14ac:dyDescent="0.25">
      <c r="A169" s="5">
        <v>44424</v>
      </c>
      <c r="B169">
        <v>4.0119999999999996</v>
      </c>
      <c r="C169">
        <v>4.2</v>
      </c>
      <c r="D169">
        <v>3.7749999999999999</v>
      </c>
      <c r="E169">
        <v>3.92</v>
      </c>
      <c r="F169">
        <v>4171564.148</v>
      </c>
      <c r="G169">
        <v>3.92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-0.31764705882352978</v>
      </c>
      <c r="Q169">
        <f t="shared" ref="Q169" si="821">F169*P169</f>
        <v>-1325085.082305884</v>
      </c>
      <c r="R169">
        <f t="shared" ref="R169" si="822">R170+Q169</f>
        <v>-38390692.893963508</v>
      </c>
      <c r="S169">
        <f t="shared" ref="S169" si="823">R169/100000</f>
        <v>-383.90692893963507</v>
      </c>
      <c r="T169">
        <f t="shared" ref="T169" si="824">S169/1000</f>
        <v>-0.38390692893963507</v>
      </c>
    </row>
    <row r="170" spans="1:20" x14ac:dyDescent="0.25">
      <c r="A170" s="5">
        <v>44423</v>
      </c>
      <c r="B170">
        <v>3.9969999999999999</v>
      </c>
      <c r="C170">
        <v>4.05</v>
      </c>
      <c r="D170">
        <v>3.782</v>
      </c>
      <c r="E170">
        <v>4.0149999999999997</v>
      </c>
      <c r="F170">
        <v>2750303.514</v>
      </c>
      <c r="G170">
        <v>4.0149999999999997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0.73880597014925242</v>
      </c>
      <c r="Q170">
        <f t="shared" ref="Q170" si="826">F170*P170</f>
        <v>2031940.6558656681</v>
      </c>
      <c r="R170">
        <f t="shared" ref="R170" si="827">R171+Q170</f>
        <v>-37065607.811657622</v>
      </c>
      <c r="S170">
        <f t="shared" ref="S170" si="828">R170/100000</f>
        <v>-370.65607811657623</v>
      </c>
      <c r="T170">
        <f t="shared" ref="T170" si="829">S170/1000</f>
        <v>-0.37065607811657625</v>
      </c>
    </row>
    <row r="171" spans="1:20" x14ac:dyDescent="0.25">
      <c r="A171" s="5">
        <v>44422</v>
      </c>
      <c r="B171">
        <v>3.8130000000000002</v>
      </c>
      <c r="C171">
        <v>4.1559999999999997</v>
      </c>
      <c r="D171">
        <v>3.6739999999999999</v>
      </c>
      <c r="E171">
        <v>4.0010000000000003</v>
      </c>
      <c r="F171">
        <v>5217701.8830000004</v>
      </c>
      <c r="G171">
        <v>4.0010000000000003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0.35684647302904798</v>
      </c>
      <c r="Q171">
        <f t="shared" ref="Q171" si="831">F171*P171</f>
        <v>1861918.5142655724</v>
      </c>
      <c r="R171">
        <f t="shared" ref="R171" si="832">R172+Q171</f>
        <v>-39097548.467523292</v>
      </c>
      <c r="S171">
        <f t="shared" ref="S171" si="833">R171/100000</f>
        <v>-390.97548467523291</v>
      </c>
      <c r="T171">
        <f t="shared" ref="T171" si="834">S171/1000</f>
        <v>-0.39097548467523291</v>
      </c>
    </row>
    <row r="172" spans="1:20" x14ac:dyDescent="0.25">
      <c r="A172" s="5">
        <v>44421</v>
      </c>
      <c r="B172">
        <v>3.4039999999999999</v>
      </c>
      <c r="C172">
        <v>3.8559999999999999</v>
      </c>
      <c r="D172">
        <v>3.383</v>
      </c>
      <c r="E172">
        <v>3.8130000000000002</v>
      </c>
      <c r="F172">
        <v>3900323.8909999998</v>
      </c>
      <c r="G172">
        <v>3.8130000000000002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0.81818181818181934</v>
      </c>
      <c r="Q172">
        <f t="shared" ref="Q172" si="836">F172*P172</f>
        <v>3191174.0926363682</v>
      </c>
      <c r="R172">
        <f t="shared" ref="R172" si="837">R173+Q172</f>
        <v>-40959466.981788866</v>
      </c>
      <c r="S172">
        <f t="shared" ref="S172" si="838">R172/100000</f>
        <v>-409.59466981788864</v>
      </c>
      <c r="T172">
        <f t="shared" ref="T172" si="839">S172/1000</f>
        <v>-0.40959466981788867</v>
      </c>
    </row>
    <row r="173" spans="1:20" x14ac:dyDescent="0.25">
      <c r="A173" s="5">
        <v>44420</v>
      </c>
      <c r="B173">
        <v>3.637</v>
      </c>
      <c r="C173">
        <v>3.7650000000000001</v>
      </c>
      <c r="D173">
        <v>3.2839999999999998</v>
      </c>
      <c r="E173">
        <v>3.4039999999999999</v>
      </c>
      <c r="F173">
        <v>2491113.415</v>
      </c>
      <c r="G173">
        <v>3.4039999999999999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-0.5010395010395009</v>
      </c>
      <c r="Q173">
        <f t="shared" ref="Q173" si="841">F173*P173</f>
        <v>-1248146.2224844072</v>
      </c>
      <c r="R173">
        <f t="shared" ref="R173" si="842">R174+Q173</f>
        <v>-44150641.074425235</v>
      </c>
      <c r="S173">
        <f t="shared" ref="S173" si="843">R173/100000</f>
        <v>-441.50641074425238</v>
      </c>
      <c r="T173">
        <f t="shared" ref="T173" si="844">S173/1000</f>
        <v>-0.4415064107442524</v>
      </c>
    </row>
    <row r="174" spans="1:20" x14ac:dyDescent="0.25">
      <c r="A174" s="5">
        <v>44419</v>
      </c>
      <c r="B174">
        <v>3.4180000000000001</v>
      </c>
      <c r="C174">
        <v>3.899</v>
      </c>
      <c r="D174">
        <v>3.3730000000000002</v>
      </c>
      <c r="E174">
        <v>3.637</v>
      </c>
      <c r="F174">
        <v>5526754.3930000002</v>
      </c>
      <c r="G174">
        <v>3.637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3.8022813688208756E-3</v>
      </c>
      <c r="Q174">
        <f t="shared" ref="Q174" si="846">F174*P174</f>
        <v>21014.275258552829</v>
      </c>
      <c r="R174">
        <f t="shared" ref="R174" si="847">R175+Q174</f>
        <v>-42902494.851940826</v>
      </c>
      <c r="S174">
        <f t="shared" ref="S174" si="848">R174/100000</f>
        <v>-429.02494851940827</v>
      </c>
      <c r="T174">
        <f t="shared" ref="T174" si="849">S174/1000</f>
        <v>-0.42902494851940826</v>
      </c>
    </row>
    <row r="175" spans="1:20" x14ac:dyDescent="0.25">
      <c r="A175" s="5">
        <v>44418</v>
      </c>
      <c r="B175">
        <v>3.44</v>
      </c>
      <c r="C175">
        <v>3.5310000000000001</v>
      </c>
      <c r="D175">
        <v>3.2250000000000001</v>
      </c>
      <c r="E175">
        <v>3.4180000000000001</v>
      </c>
      <c r="F175">
        <v>3109548.966</v>
      </c>
      <c r="G175">
        <v>3.4180000000000001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0.26143790849673221</v>
      </c>
      <c r="Q175">
        <f t="shared" ref="Q175" si="851">F175*P175</f>
        <v>812953.97803921625</v>
      </c>
      <c r="R175">
        <f t="shared" ref="R175" si="852">R176+Q175</f>
        <v>-42923509.127199382</v>
      </c>
      <c r="S175">
        <f t="shared" ref="S175" si="853">R175/100000</f>
        <v>-429.23509127199384</v>
      </c>
      <c r="T175">
        <f t="shared" ref="T175" si="854">S175/1000</f>
        <v>-0.42923509127199383</v>
      </c>
    </row>
    <row r="176" spans="1:20" x14ac:dyDescent="0.25">
      <c r="A176" s="5">
        <v>44417</v>
      </c>
      <c r="B176">
        <v>3.2080000000000002</v>
      </c>
      <c r="C176">
        <v>3.5</v>
      </c>
      <c r="D176">
        <v>3.1429999999999998</v>
      </c>
      <c r="E176">
        <v>3.4409999999999998</v>
      </c>
      <c r="F176">
        <v>2640251.02</v>
      </c>
      <c r="G176">
        <v>3.4409999999999998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0.66946778711484523</v>
      </c>
      <c r="Q176">
        <f t="shared" ref="Q176" si="856">F176*P176</f>
        <v>1767563.0077871131</v>
      </c>
      <c r="R176">
        <f t="shared" ref="R176" si="857">R177+Q176</f>
        <v>-43736463.105238602</v>
      </c>
      <c r="S176">
        <f t="shared" ref="S176" si="858">R176/100000</f>
        <v>-437.36463105238602</v>
      </c>
      <c r="T176">
        <f t="shared" ref="T176" si="859">S176/1000</f>
        <v>-0.43736463105238604</v>
      </c>
    </row>
    <row r="177" spans="1:20" x14ac:dyDescent="0.25">
      <c r="A177" s="5">
        <v>44416</v>
      </c>
      <c r="B177">
        <v>3.4369999999999998</v>
      </c>
      <c r="C177">
        <v>3.44</v>
      </c>
      <c r="D177">
        <v>3.1840000000000002</v>
      </c>
      <c r="E177">
        <v>3.2050000000000001</v>
      </c>
      <c r="F177">
        <v>1658065.061</v>
      </c>
      <c r="G177">
        <v>3.2050000000000001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-0.83593750000000056</v>
      </c>
      <c r="Q177">
        <f t="shared" ref="Q177" si="861">F177*P177</f>
        <v>-1386038.7619296885</v>
      </c>
      <c r="R177">
        <f t="shared" ref="R177" si="862">R178+Q177</f>
        <v>-45504026.113025717</v>
      </c>
      <c r="S177">
        <f t="shared" ref="S177" si="863">R177/100000</f>
        <v>-455.04026113025719</v>
      </c>
      <c r="T177">
        <f t="shared" ref="T177" si="864">S177/1000</f>
        <v>-0.4550402611302572</v>
      </c>
    </row>
    <row r="178" spans="1:20" x14ac:dyDescent="0.25">
      <c r="A178" s="5">
        <v>44415</v>
      </c>
      <c r="B178">
        <v>3.3290000000000002</v>
      </c>
      <c r="C178">
        <v>3.577</v>
      </c>
      <c r="D178">
        <v>3.27</v>
      </c>
      <c r="E178">
        <v>3.4369999999999998</v>
      </c>
      <c r="F178">
        <v>3609330.26</v>
      </c>
      <c r="G178">
        <v>3.4369999999999998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8.7947882736155364E-2</v>
      </c>
      <c r="Q178">
        <f t="shared" ref="Q178" si="866">F178*P178</f>
        <v>317432.95446253713</v>
      </c>
      <c r="R178">
        <f t="shared" ref="R178" si="867">R179+Q178</f>
        <v>-44117987.351096027</v>
      </c>
      <c r="S178">
        <f t="shared" ref="S178" si="868">R178/100000</f>
        <v>-441.17987351096025</v>
      </c>
      <c r="T178">
        <f t="shared" ref="T178" si="869">S178/1000</f>
        <v>-0.44117987351096027</v>
      </c>
    </row>
    <row r="179" spans="1:20" x14ac:dyDescent="0.25">
      <c r="A179" s="5">
        <v>44414</v>
      </c>
      <c r="B179">
        <v>3.1379999999999999</v>
      </c>
      <c r="C179">
        <v>3.427</v>
      </c>
      <c r="D179">
        <v>3.0880000000000001</v>
      </c>
      <c r="E179">
        <v>3.3279999999999998</v>
      </c>
      <c r="F179">
        <v>2812061.8849999998</v>
      </c>
      <c r="G179">
        <v>3.3279999999999998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0.41592920353982177</v>
      </c>
      <c r="Q179">
        <f t="shared" ref="Q179" si="871">F179*P179</f>
        <v>1169618.6601327397</v>
      </c>
      <c r="R179">
        <f t="shared" ref="R179" si="872">R180+Q179</f>
        <v>-44435420.305558562</v>
      </c>
      <c r="S179">
        <f t="shared" ref="S179" si="873">R179/100000</f>
        <v>-444.35420305558563</v>
      </c>
      <c r="T179">
        <f t="shared" ref="T179" si="874">S179/1000</f>
        <v>-0.44435420305558565</v>
      </c>
    </row>
    <row r="180" spans="1:20" x14ac:dyDescent="0.25">
      <c r="A180" s="5">
        <v>44413</v>
      </c>
      <c r="B180">
        <v>3.0710000000000002</v>
      </c>
      <c r="C180">
        <v>3.15</v>
      </c>
      <c r="D180">
        <v>2.972</v>
      </c>
      <c r="E180">
        <v>3.1309999999999998</v>
      </c>
      <c r="F180">
        <v>1116659.0830000001</v>
      </c>
      <c r="G180">
        <v>3.1309999999999998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0.78651685393258275</v>
      </c>
      <c r="Q180">
        <f t="shared" ref="Q180" si="876">F180*P180</f>
        <v>878271.18887640291</v>
      </c>
      <c r="R180">
        <f t="shared" ref="R180" si="877">R181+Q180</f>
        <v>-45605038.965691298</v>
      </c>
      <c r="S180">
        <f t="shared" ref="S180" si="878">R180/100000</f>
        <v>-456.05038965691296</v>
      </c>
      <c r="T180">
        <f t="shared" ref="T180" si="879">S180/1000</f>
        <v>-0.45605038965691297</v>
      </c>
    </row>
    <row r="181" spans="1:20" x14ac:dyDescent="0.25">
      <c r="A181" s="5">
        <v>44412</v>
      </c>
      <c r="B181">
        <v>2.92</v>
      </c>
      <c r="C181">
        <v>3.1520000000000001</v>
      </c>
      <c r="D181">
        <v>2.9039999999999999</v>
      </c>
      <c r="E181">
        <v>3.07</v>
      </c>
      <c r="F181">
        <v>908193.35199999996</v>
      </c>
      <c r="G181">
        <v>3.07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0.33870967741935304</v>
      </c>
      <c r="Q181">
        <f t="shared" ref="Q181" si="881">F181*P181</f>
        <v>307613.87729032093</v>
      </c>
      <c r="R181">
        <f t="shared" ref="R181" si="882">R182+Q181</f>
        <v>-46483310.154567704</v>
      </c>
      <c r="S181">
        <f t="shared" ref="S181" si="883">R181/100000</f>
        <v>-464.83310154567704</v>
      </c>
      <c r="T181">
        <f t="shared" ref="T181" si="884">S181/1000</f>
        <v>-0.46483310154567703</v>
      </c>
    </row>
    <row r="182" spans="1:20" x14ac:dyDescent="0.25">
      <c r="A182" s="5">
        <v>44411</v>
      </c>
      <c r="B182">
        <v>2.9620000000000002</v>
      </c>
      <c r="C182">
        <v>3</v>
      </c>
      <c r="D182">
        <v>2.87</v>
      </c>
      <c r="E182">
        <v>2.9180000000000001</v>
      </c>
      <c r="F182">
        <v>748946.299</v>
      </c>
      <c r="G182">
        <v>2.9180000000000001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-0.26153846153846028</v>
      </c>
      <c r="Q182">
        <f t="shared" ref="Q182" si="886">F182*P182</f>
        <v>-195878.26281538367</v>
      </c>
      <c r="R182">
        <f t="shared" ref="R182" si="887">R183+Q182</f>
        <v>-46790924.031858027</v>
      </c>
      <c r="S182">
        <f t="shared" ref="S182" si="888">R182/100000</f>
        <v>-467.90924031858026</v>
      </c>
      <c r="T182">
        <f t="shared" ref="T182" si="889">S182/1000</f>
        <v>-0.46790924031858028</v>
      </c>
    </row>
    <row r="183" spans="1:20" x14ac:dyDescent="0.25">
      <c r="A183" s="5">
        <v>44410</v>
      </c>
      <c r="B183">
        <v>2.9460000000000002</v>
      </c>
      <c r="C183">
        <v>2.9990000000000001</v>
      </c>
      <c r="D183">
        <v>2.89</v>
      </c>
      <c r="E183">
        <v>2.9590000000000001</v>
      </c>
      <c r="F183">
        <v>584432.54500000004</v>
      </c>
      <c r="G183">
        <v>2.9590000000000001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0.26605504587155887</v>
      </c>
      <c r="Q183">
        <f t="shared" ref="Q183" si="891">F183*P183</f>
        <v>155491.22756880691</v>
      </c>
      <c r="R183">
        <f t="shared" ref="R183" si="892">R184+Q183</f>
        <v>-46595045.769042641</v>
      </c>
      <c r="S183">
        <f t="shared" ref="S183" si="893">R183/100000</f>
        <v>-465.95045769042639</v>
      </c>
      <c r="T183">
        <f t="shared" ref="T183" si="894">S183/1000</f>
        <v>-0.46595045769042637</v>
      </c>
    </row>
    <row r="184" spans="1:20" x14ac:dyDescent="0.25">
      <c r="A184" s="5">
        <v>44409</v>
      </c>
      <c r="B184">
        <v>2.964</v>
      </c>
      <c r="C184">
        <v>3.32</v>
      </c>
      <c r="D184">
        <v>2.8889999999999998</v>
      </c>
      <c r="E184">
        <v>2.9449999999999998</v>
      </c>
      <c r="F184">
        <v>1648721.7549999999</v>
      </c>
      <c r="G184">
        <v>2.9449999999999998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-0.74013921113689074</v>
      </c>
      <c r="Q184">
        <f t="shared" ref="Q184" si="896">F184*P184</f>
        <v>-1220283.6191299299</v>
      </c>
      <c r="R184">
        <f t="shared" ref="R184" si="897">R185+Q184</f>
        <v>-46750536.996611446</v>
      </c>
      <c r="S184">
        <f t="shared" ref="S184" si="898">R184/100000</f>
        <v>-467.50536996611447</v>
      </c>
      <c r="T184">
        <f t="shared" ref="T184" si="899">S184/1000</f>
        <v>-0.46750536996611447</v>
      </c>
    </row>
    <row r="185" spans="1:20" x14ac:dyDescent="0.25">
      <c r="A185" s="5">
        <v>44408</v>
      </c>
      <c r="B185">
        <v>2.952</v>
      </c>
      <c r="C185">
        <v>3.012</v>
      </c>
      <c r="D185">
        <v>2.8959999999999999</v>
      </c>
      <c r="E185">
        <v>2.964</v>
      </c>
      <c r="F185">
        <v>967611.42099999997</v>
      </c>
      <c r="G185">
        <v>2.964</v>
      </c>
      <c r="L185" t="s">
        <v>7</v>
      </c>
      <c r="M185" t="s">
        <v>8</v>
      </c>
      <c r="N185" t="s">
        <v>7</v>
      </c>
      <c r="P185">
        <f t="shared" ref="P185" si="900">IF(C185=D185,0,((E185-D185)-(C185-E185))/(C185-D185))</f>
        <v>0.17241379310344829</v>
      </c>
      <c r="Q185">
        <f t="shared" ref="Q185" si="901">F185*P185</f>
        <v>166829.55534482759</v>
      </c>
      <c r="R185">
        <f t="shared" ref="R185" si="902">R186+Q185</f>
        <v>-45530253.377481513</v>
      </c>
      <c r="S185">
        <f t="shared" ref="S185" si="903">R185/100000</f>
        <v>-455.30253377481512</v>
      </c>
      <c r="T185">
        <f t="shared" ref="T185" si="904">S185/1000</f>
        <v>-0.45530253377481511</v>
      </c>
    </row>
    <row r="186" spans="1:20" x14ac:dyDescent="0.25">
      <c r="A186" s="5">
        <v>44407</v>
      </c>
      <c r="B186">
        <v>2.9260000000000002</v>
      </c>
      <c r="C186">
        <v>2.98</v>
      </c>
      <c r="D186">
        <v>2.8650000000000002</v>
      </c>
      <c r="E186">
        <v>2.9540000000000002</v>
      </c>
      <c r="F186">
        <v>528430.34400000004</v>
      </c>
      <c r="G186">
        <v>2.9540000000000002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0.54782608695652424</v>
      </c>
      <c r="Q186">
        <f t="shared" ref="Q186" si="906">F186*P186</f>
        <v>289487.92758261005</v>
      </c>
      <c r="R186">
        <f t="shared" ref="R186" si="907">R187+Q186</f>
        <v>-45697082.93282634</v>
      </c>
      <c r="S186">
        <f t="shared" ref="S186" si="908">R186/100000</f>
        <v>-456.97082932826339</v>
      </c>
      <c r="T186">
        <f t="shared" ref="T186" si="909">S186/1000</f>
        <v>-0.45697082932826338</v>
      </c>
    </row>
    <row r="187" spans="1:20" x14ac:dyDescent="0.25">
      <c r="A187" s="5">
        <v>44406</v>
      </c>
      <c r="B187">
        <v>2.907</v>
      </c>
      <c r="C187">
        <v>2.972</v>
      </c>
      <c r="D187">
        <v>2.85</v>
      </c>
      <c r="E187">
        <v>2.9249999999999998</v>
      </c>
      <c r="F187">
        <v>486133.33500000002</v>
      </c>
      <c r="G187">
        <v>2.9249999999999998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0.22950819672130826</v>
      </c>
      <c r="Q187">
        <f t="shared" ref="Q187" si="911">F187*P187</f>
        <v>111571.58508196565</v>
      </c>
      <c r="R187">
        <f t="shared" ref="R187" si="912">R188+Q187</f>
        <v>-45986570.860408947</v>
      </c>
      <c r="S187">
        <f t="shared" ref="S187" si="913">R187/100000</f>
        <v>-459.86570860408949</v>
      </c>
      <c r="T187">
        <f t="shared" ref="T187" si="914">S187/1000</f>
        <v>-0.45986570860408948</v>
      </c>
    </row>
    <row r="188" spans="1:20" x14ac:dyDescent="0.25">
      <c r="A188" s="5">
        <v>44405</v>
      </c>
      <c r="B188">
        <v>2.92</v>
      </c>
      <c r="C188">
        <v>2.9529999999999998</v>
      </c>
      <c r="D188">
        <v>2.85</v>
      </c>
      <c r="E188">
        <v>2.907</v>
      </c>
      <c r="F188">
        <v>618766.86399999994</v>
      </c>
      <c r="G188">
        <v>2.907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0.10679611650485579</v>
      </c>
      <c r="Q188">
        <f t="shared" ref="Q188" si="916">F188*P188</f>
        <v>66081.898097088255</v>
      </c>
      <c r="R188">
        <f t="shared" ref="R188" si="917">R189+Q188</f>
        <v>-46098142.445490912</v>
      </c>
      <c r="S188">
        <f t="shared" ref="S188" si="918">R188/100000</f>
        <v>-460.98142445490913</v>
      </c>
      <c r="T188">
        <f t="shared" ref="T188" si="919">S188/1000</f>
        <v>-0.46098142445490914</v>
      </c>
    </row>
    <row r="189" spans="1:20" x14ac:dyDescent="0.25">
      <c r="A189" s="5">
        <v>44404</v>
      </c>
      <c r="B189">
        <v>2.9860000000000002</v>
      </c>
      <c r="C189">
        <v>3.101</v>
      </c>
      <c r="D189">
        <v>2.871</v>
      </c>
      <c r="E189">
        <v>2.92</v>
      </c>
      <c r="F189">
        <v>687984.56200000003</v>
      </c>
      <c r="G189">
        <v>2.92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-0.57391304347826144</v>
      </c>
      <c r="Q189">
        <f t="shared" ref="Q189" si="921">F189*P189</f>
        <v>-394843.31384347868</v>
      </c>
      <c r="R189">
        <f t="shared" ref="R189" si="922">R190+Q189</f>
        <v>-46164224.343588002</v>
      </c>
      <c r="S189">
        <f t="shared" ref="S189" si="923">R189/100000</f>
        <v>-461.64224343588</v>
      </c>
      <c r="T189">
        <f t="shared" ref="T189" si="924">S189/1000</f>
        <v>-0.46164224343588001</v>
      </c>
    </row>
    <row r="190" spans="1:20" x14ac:dyDescent="0.25">
      <c r="A190" s="5">
        <v>44403</v>
      </c>
      <c r="B190">
        <v>2.9279999999999999</v>
      </c>
      <c r="C190">
        <v>3.1150000000000002</v>
      </c>
      <c r="D190">
        <v>2.9220000000000002</v>
      </c>
      <c r="E190">
        <v>2.9870000000000001</v>
      </c>
      <c r="F190">
        <v>1202973.3859999999</v>
      </c>
      <c r="G190">
        <v>2.9870000000000001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-0.32642487046632201</v>
      </c>
      <c r="Q190">
        <f t="shared" ref="Q190" si="926">F190*P190</f>
        <v>-392680.43169948278</v>
      </c>
      <c r="R190">
        <f t="shared" ref="R190" si="927">R191+Q190</f>
        <v>-45769381.029744521</v>
      </c>
      <c r="S190">
        <f t="shared" ref="S190" si="928">R190/100000</f>
        <v>-457.69381029744522</v>
      </c>
      <c r="T190">
        <f t="shared" ref="T190" si="929">S190/1000</f>
        <v>-0.45769381029744521</v>
      </c>
    </row>
    <row r="191" spans="1:20" x14ac:dyDescent="0.25">
      <c r="A191" s="5">
        <v>44402</v>
      </c>
      <c r="B191">
        <v>2.7909999999999999</v>
      </c>
      <c r="C191">
        <v>2.93</v>
      </c>
      <c r="D191">
        <v>2.7610000000000001</v>
      </c>
      <c r="E191">
        <v>2.9279999999999999</v>
      </c>
      <c r="F191">
        <v>646965.84699999995</v>
      </c>
      <c r="G191">
        <v>2.9279999999999999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0.97633136094674289</v>
      </c>
      <c r="Q191">
        <f t="shared" ref="Q191" si="931">F191*P191</f>
        <v>631653.04588757223</v>
      </c>
      <c r="R191">
        <f t="shared" ref="R191" si="932">R192+Q191</f>
        <v>-45376700.598045036</v>
      </c>
      <c r="S191">
        <f t="shared" ref="S191" si="933">R191/100000</f>
        <v>-453.76700598045034</v>
      </c>
      <c r="T191">
        <f t="shared" ref="T191:T197" si="934">S191/1000</f>
        <v>-0.45376700598045033</v>
      </c>
    </row>
    <row r="192" spans="1:20" x14ac:dyDescent="0.25">
      <c r="A192" s="5">
        <v>44401</v>
      </c>
      <c r="B192">
        <v>2.754</v>
      </c>
      <c r="C192">
        <v>2.8679999999999999</v>
      </c>
      <c r="D192">
        <v>2.7349999999999999</v>
      </c>
      <c r="E192">
        <v>2.7919999999999998</v>
      </c>
      <c r="F192">
        <v>792723.32700000005</v>
      </c>
      <c r="G192">
        <v>2.7919999999999998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-0.14285714285714382</v>
      </c>
      <c r="Q192">
        <f t="shared" ref="Q192" si="936">F192*P192</f>
        <v>-113246.18957142934</v>
      </c>
      <c r="R192">
        <f t="shared" ref="R192" si="937">R193+Q192</f>
        <v>-46008353.643932611</v>
      </c>
      <c r="S192">
        <f t="shared" ref="S192" si="938">R192/100000</f>
        <v>-460.08353643932611</v>
      </c>
      <c r="T192">
        <f t="shared" si="934"/>
        <v>-0.46008353643932609</v>
      </c>
    </row>
    <row r="193" spans="1:20" x14ac:dyDescent="0.25">
      <c r="A193" s="5">
        <v>44400</v>
      </c>
      <c r="B193">
        <v>2.758</v>
      </c>
      <c r="C193">
        <v>2.8279999999999998</v>
      </c>
      <c r="D193">
        <v>2.6739999999999999</v>
      </c>
      <c r="E193">
        <v>2.7519999999999998</v>
      </c>
      <c r="F193">
        <v>590544.35600000003</v>
      </c>
      <c r="G193">
        <v>2.7519999999999998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1.2987012987011564E-2</v>
      </c>
      <c r="Q193">
        <f t="shared" ref="Q193" si="940">F193*P193</f>
        <v>7669.4072207783802</v>
      </c>
      <c r="R193">
        <f t="shared" ref="R193" si="941">R194+Q193</f>
        <v>-45895107.454361178</v>
      </c>
      <c r="S193">
        <f t="shared" ref="S193" si="942">R193/100000</f>
        <v>-458.95107454361175</v>
      </c>
      <c r="T193">
        <f t="shared" si="934"/>
        <v>-0.45895107454361173</v>
      </c>
    </row>
    <row r="194" spans="1:20" x14ac:dyDescent="0.25">
      <c r="A194" s="5">
        <v>44399</v>
      </c>
      <c r="B194">
        <v>2.7320000000000002</v>
      </c>
      <c r="C194">
        <v>2.77</v>
      </c>
      <c r="D194">
        <v>2.6789999999999998</v>
      </c>
      <c r="E194">
        <v>2.7549999999999999</v>
      </c>
      <c r="F194">
        <v>393050.17499999999</v>
      </c>
      <c r="G194">
        <v>2.7549999999999999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0.67032967032966828</v>
      </c>
      <c r="Q194">
        <f t="shared" ref="Q194" si="944">F194*P194</f>
        <v>263473.19423076842</v>
      </c>
      <c r="R194">
        <f t="shared" ref="R194" si="945">R195+Q194</f>
        <v>-45902776.861581959</v>
      </c>
      <c r="S194">
        <f t="shared" ref="S194" si="946">R194/100000</f>
        <v>-459.02776861581958</v>
      </c>
      <c r="T194">
        <f t="shared" si="934"/>
        <v>-0.45902776861581956</v>
      </c>
    </row>
    <row r="195" spans="1:20" x14ac:dyDescent="0.25">
      <c r="A195" s="5">
        <v>44398</v>
      </c>
      <c r="B195">
        <v>2.6320000000000001</v>
      </c>
      <c r="C195">
        <v>2.79</v>
      </c>
      <c r="D195">
        <v>2.5870000000000002</v>
      </c>
      <c r="E195">
        <v>2.7320000000000002</v>
      </c>
      <c r="F195">
        <v>634090.80099999998</v>
      </c>
      <c r="G195">
        <v>2.7320000000000002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0.42857142857142982</v>
      </c>
      <c r="Q195">
        <f t="shared" ref="Q195" si="948">F195*P195</f>
        <v>271753.20042857219</v>
      </c>
      <c r="R195">
        <f t="shared" ref="R195" si="949">R196+Q195</f>
        <v>-46166250.055812724</v>
      </c>
      <c r="S195">
        <f t="shared" ref="S195" si="950">R195/100000</f>
        <v>-461.66250055812725</v>
      </c>
      <c r="T195">
        <f t="shared" si="934"/>
        <v>-0.46166250055812724</v>
      </c>
    </row>
    <row r="196" spans="1:20" x14ac:dyDescent="0.25">
      <c r="A196" s="5">
        <v>44397</v>
      </c>
      <c r="B196">
        <v>2.7709999999999999</v>
      </c>
      <c r="C196">
        <v>2.8879999999999999</v>
      </c>
      <c r="D196">
        <v>2.4929999999999999</v>
      </c>
      <c r="E196">
        <v>2.633</v>
      </c>
      <c r="F196">
        <v>961880.17799999996</v>
      </c>
      <c r="G196">
        <v>2.633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-0.2911392405063285</v>
      </c>
      <c r="Q196">
        <f t="shared" ref="Q196" si="952">F196*P196</f>
        <v>-280041.06448101206</v>
      </c>
      <c r="R196">
        <f t="shared" ref="R196" si="953">R197+Q196</f>
        <v>-46438003.256241299</v>
      </c>
      <c r="S196">
        <f t="shared" ref="S196" si="954">R196/100000</f>
        <v>-464.38003256241296</v>
      </c>
      <c r="T196">
        <f t="shared" si="934"/>
        <v>-0.46438003256241295</v>
      </c>
    </row>
    <row r="197" spans="1:20" x14ac:dyDescent="0.25">
      <c r="A197" s="5">
        <v>44396</v>
      </c>
      <c r="B197">
        <v>2.9649999999999999</v>
      </c>
      <c r="C197">
        <v>3.044</v>
      </c>
      <c r="D197">
        <v>2.75</v>
      </c>
      <c r="E197">
        <v>2.7749999999999999</v>
      </c>
      <c r="F197">
        <v>334137.70199999999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-0.82993197278911623</v>
      </c>
      <c r="Q197">
        <f t="shared" ref="Q197" si="956">F197*P197</f>
        <v>-277311.5622040818</v>
      </c>
      <c r="R197">
        <f t="shared" ref="R197" si="957">R198+Q197</f>
        <v>-46157962.191760287</v>
      </c>
      <c r="S197">
        <f t="shared" ref="S197" si="958">R197/100000</f>
        <v>-461.57962191760288</v>
      </c>
      <c r="T197">
        <f t="shared" si="934"/>
        <v>-0.46157962191760288</v>
      </c>
    </row>
    <row r="198" spans="1:20" x14ac:dyDescent="0.25">
      <c r="A198" s="5">
        <v>44395</v>
      </c>
      <c r="B198">
        <v>2.9990000000000001</v>
      </c>
      <c r="C198">
        <v>3.0840000000000001</v>
      </c>
      <c r="D198">
        <v>2.94</v>
      </c>
      <c r="E198">
        <v>2.9710000000000001</v>
      </c>
      <c r="F198">
        <v>316075.429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-0.56944444444444287</v>
      </c>
      <c r="Q198">
        <f t="shared" ref="Q198:Q261" si="960">F198*P198</f>
        <v>-179987.39706944395</v>
      </c>
      <c r="R198">
        <f t="shared" ref="R198:R261" si="961">R199+Q198</f>
        <v>-45880650.629556201</v>
      </c>
      <c r="S198">
        <f t="shared" ref="S198:S261" si="962">R198/100000</f>
        <v>-458.80650629556203</v>
      </c>
      <c r="T198">
        <f t="shared" ref="T198:T261" si="963">S198/1000</f>
        <v>-0.45880650629556202</v>
      </c>
    </row>
    <row r="199" spans="1:20" x14ac:dyDescent="0.25">
      <c r="A199" s="5">
        <v>44394</v>
      </c>
      <c r="B199">
        <v>3.1150000000000002</v>
      </c>
      <c r="C199">
        <v>3.1259999999999999</v>
      </c>
      <c r="D199">
        <v>2.9609999999999999</v>
      </c>
      <c r="E199">
        <v>2.9990000000000001</v>
      </c>
      <c r="F199">
        <v>325788.88699999999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-0.53939393939393643</v>
      </c>
      <c r="Q199">
        <f t="shared" si="960"/>
        <v>-175728.551169696</v>
      </c>
      <c r="R199">
        <f t="shared" si="961"/>
        <v>-45700663.232486755</v>
      </c>
      <c r="S199">
        <f t="shared" si="962"/>
        <v>-457.00663232486755</v>
      </c>
      <c r="T199">
        <f t="shared" si="963"/>
        <v>-0.45700663232486755</v>
      </c>
    </row>
    <row r="200" spans="1:20" x14ac:dyDescent="0.25">
      <c r="A200" s="5">
        <v>44393</v>
      </c>
      <c r="B200">
        <v>3.367</v>
      </c>
      <c r="C200">
        <v>3.4119999999999999</v>
      </c>
      <c r="D200">
        <v>3.1150000000000002</v>
      </c>
      <c r="E200">
        <v>3.1150000000000002</v>
      </c>
      <c r="F200">
        <v>488757.31900000002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-1</v>
      </c>
      <c r="Q200">
        <f t="shared" si="960"/>
        <v>-488757.31900000002</v>
      </c>
      <c r="R200">
        <f t="shared" si="961"/>
        <v>-45524934.681317061</v>
      </c>
      <c r="S200">
        <f t="shared" si="962"/>
        <v>-455.24934681317063</v>
      </c>
      <c r="T200">
        <f t="shared" si="963"/>
        <v>-0.45524934681317064</v>
      </c>
    </row>
    <row r="201" spans="1:20" x14ac:dyDescent="0.25">
      <c r="A201" s="5">
        <v>44392</v>
      </c>
      <c r="B201">
        <v>3.2759999999999998</v>
      </c>
      <c r="C201">
        <v>3.71</v>
      </c>
      <c r="D201">
        <v>3.2650000000000001</v>
      </c>
      <c r="E201">
        <v>3.3679999999999999</v>
      </c>
      <c r="F201">
        <v>1704289.87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-0.53707865168539415</v>
      </c>
      <c r="Q201">
        <f t="shared" si="960"/>
        <v>-915337.70546067576</v>
      </c>
      <c r="R201">
        <f t="shared" si="961"/>
        <v>-45036177.362317063</v>
      </c>
      <c r="S201">
        <f t="shared" si="962"/>
        <v>-450.36177362317062</v>
      </c>
      <c r="T201">
        <f t="shared" si="963"/>
        <v>-0.45036177362317065</v>
      </c>
    </row>
    <row r="202" spans="1:20" x14ac:dyDescent="0.25">
      <c r="A202" s="5">
        <v>44391</v>
      </c>
      <c r="B202">
        <v>3.3359999999999999</v>
      </c>
      <c r="C202">
        <v>3.3889999999999998</v>
      </c>
      <c r="D202">
        <v>3.16</v>
      </c>
      <c r="E202">
        <v>3.2719999999999998</v>
      </c>
      <c r="F202">
        <v>752199.53700000001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-2.1834061135372687E-2</v>
      </c>
      <c r="Q202">
        <f t="shared" si="960"/>
        <v>-16423.570676857031</v>
      </c>
      <c r="R202">
        <f t="shared" si="961"/>
        <v>-44120839.656856388</v>
      </c>
      <c r="S202">
        <f t="shared" si="962"/>
        <v>-441.2083965685639</v>
      </c>
      <c r="T202">
        <f t="shared" si="963"/>
        <v>-0.44120839656856392</v>
      </c>
    </row>
    <row r="203" spans="1:20" x14ac:dyDescent="0.25">
      <c r="A203" s="5">
        <v>44390</v>
      </c>
      <c r="B203">
        <v>3.5219999999999998</v>
      </c>
      <c r="C203">
        <v>3.5219999999999998</v>
      </c>
      <c r="D203">
        <v>3.3250000000000002</v>
      </c>
      <c r="E203">
        <v>3.3359999999999999</v>
      </c>
      <c r="F203">
        <v>510859.69799999997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-0.88832487309644981</v>
      </c>
      <c r="Q203">
        <f t="shared" si="960"/>
        <v>-453809.37639594066</v>
      </c>
      <c r="R203">
        <f t="shared" si="961"/>
        <v>-44104416.086179532</v>
      </c>
      <c r="S203">
        <f t="shared" si="962"/>
        <v>-441.04416086179532</v>
      </c>
      <c r="T203">
        <f t="shared" si="963"/>
        <v>-0.44104416086179532</v>
      </c>
    </row>
    <row r="204" spans="1:20" x14ac:dyDescent="0.25">
      <c r="A204" s="5">
        <v>44389</v>
      </c>
      <c r="B204">
        <v>3.7410000000000001</v>
      </c>
      <c r="C204">
        <v>3.7719999999999998</v>
      </c>
      <c r="D204">
        <v>3.516</v>
      </c>
      <c r="E204">
        <v>3.5219999999999998</v>
      </c>
      <c r="F204">
        <v>398269.05599999998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-0.95312500000000167</v>
      </c>
      <c r="Q204">
        <f t="shared" si="960"/>
        <v>-379600.19400000066</v>
      </c>
      <c r="R204">
        <f t="shared" si="961"/>
        <v>-43650606.709783591</v>
      </c>
      <c r="S204">
        <f t="shared" si="962"/>
        <v>-436.50606709783591</v>
      </c>
      <c r="T204">
        <f t="shared" si="963"/>
        <v>-0.4365060670978359</v>
      </c>
    </row>
    <row r="205" spans="1:20" x14ac:dyDescent="0.25">
      <c r="A205" s="5">
        <v>44388</v>
      </c>
      <c r="B205">
        <v>3.738</v>
      </c>
      <c r="C205">
        <v>3.7719999999999998</v>
      </c>
      <c r="D205">
        <v>3.6970000000000001</v>
      </c>
      <c r="E205">
        <v>3.7349999999999999</v>
      </c>
      <c r="F205">
        <v>178304.81099999999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1.3333333333331912E-2</v>
      </c>
      <c r="Q205">
        <f t="shared" si="960"/>
        <v>2377.3974799997463</v>
      </c>
      <c r="R205">
        <f t="shared" si="961"/>
        <v>-43271006.515783593</v>
      </c>
      <c r="S205">
        <f t="shared" si="962"/>
        <v>-432.71006515783591</v>
      </c>
      <c r="T205">
        <f t="shared" si="963"/>
        <v>-0.43271006515783589</v>
      </c>
    </row>
    <row r="206" spans="1:20" x14ac:dyDescent="0.25">
      <c r="A206" s="5">
        <v>44387</v>
      </c>
      <c r="B206">
        <v>3.714</v>
      </c>
      <c r="C206">
        <v>3.835</v>
      </c>
      <c r="D206">
        <v>3.6819999999999999</v>
      </c>
      <c r="E206">
        <v>3.738</v>
      </c>
      <c r="F206">
        <v>275092.46799999999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-0.26797385620914982</v>
      </c>
      <c r="Q206">
        <f t="shared" si="960"/>
        <v>-73717.589464052144</v>
      </c>
      <c r="R206">
        <f t="shared" si="961"/>
        <v>-43273383.913263589</v>
      </c>
      <c r="S206">
        <f t="shared" si="962"/>
        <v>-432.73383913263586</v>
      </c>
      <c r="T206">
        <f t="shared" si="963"/>
        <v>-0.43273383913263586</v>
      </c>
    </row>
    <row r="207" spans="1:20" x14ac:dyDescent="0.25">
      <c r="A207" s="5">
        <v>44386</v>
      </c>
      <c r="B207">
        <v>3.6920000000000002</v>
      </c>
      <c r="C207">
        <v>3.7869999999999999</v>
      </c>
      <c r="D207">
        <v>3.444</v>
      </c>
      <c r="E207">
        <v>3.714</v>
      </c>
      <c r="F207">
        <v>714619.49600000004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0.57434402332361545</v>
      </c>
      <c r="Q207">
        <f t="shared" si="960"/>
        <v>410437.43647813436</v>
      </c>
      <c r="R207">
        <f t="shared" si="961"/>
        <v>-43199666.323799536</v>
      </c>
      <c r="S207">
        <f t="shared" si="962"/>
        <v>-431.99666323799534</v>
      </c>
      <c r="T207">
        <f t="shared" si="963"/>
        <v>-0.43199666323799535</v>
      </c>
    </row>
    <row r="208" spans="1:20" x14ac:dyDescent="0.25">
      <c r="A208" s="5">
        <v>44385</v>
      </c>
      <c r="B208">
        <v>3.9580000000000002</v>
      </c>
      <c r="C208">
        <v>3.9580000000000002</v>
      </c>
      <c r="D208">
        <v>3.669</v>
      </c>
      <c r="E208">
        <v>3.6949999999999998</v>
      </c>
      <c r="F208">
        <v>718215.55200000003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-0.8200692041522506</v>
      </c>
      <c r="Q208">
        <f t="shared" si="960"/>
        <v>-588986.45613840932</v>
      </c>
      <c r="R208">
        <f t="shared" si="961"/>
        <v>-43610103.760277674</v>
      </c>
      <c r="S208">
        <f t="shared" si="962"/>
        <v>-436.10103760277673</v>
      </c>
      <c r="T208">
        <f t="shared" si="963"/>
        <v>-0.43610103760277674</v>
      </c>
    </row>
    <row r="209" spans="1:20" x14ac:dyDescent="0.25">
      <c r="A209" s="5">
        <v>44384</v>
      </c>
      <c r="B209">
        <v>3.8439999999999999</v>
      </c>
      <c r="C209">
        <v>4.2910000000000004</v>
      </c>
      <c r="D209">
        <v>3.758</v>
      </c>
      <c r="E209">
        <v>3.9580000000000002</v>
      </c>
      <c r="F209">
        <v>2142796.98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-0.24953095684802987</v>
      </c>
      <c r="Q209">
        <f t="shared" si="960"/>
        <v>-534694.18075046875</v>
      </c>
      <c r="R209">
        <f t="shared" si="961"/>
        <v>-43021117.304139264</v>
      </c>
      <c r="S209">
        <f t="shared" si="962"/>
        <v>-430.21117304139261</v>
      </c>
      <c r="T209">
        <f t="shared" si="963"/>
        <v>-0.43021117304139261</v>
      </c>
    </row>
    <row r="210" spans="1:20" x14ac:dyDescent="0.25">
      <c r="A210" s="5">
        <v>44383</v>
      </c>
      <c r="B210">
        <v>3.7789999999999999</v>
      </c>
      <c r="C210">
        <v>4.0469999999999997</v>
      </c>
      <c r="D210">
        <v>3.754</v>
      </c>
      <c r="E210">
        <v>3.847</v>
      </c>
      <c r="F210">
        <v>1292321.835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-0.36518771331057975</v>
      </c>
      <c r="Q210">
        <f t="shared" si="960"/>
        <v>-471940.05578498234</v>
      </c>
      <c r="R210">
        <f t="shared" si="961"/>
        <v>-42486423.123388797</v>
      </c>
      <c r="S210">
        <f t="shared" si="962"/>
        <v>-424.86423123388795</v>
      </c>
      <c r="T210">
        <f t="shared" si="963"/>
        <v>-0.42486423123388795</v>
      </c>
    </row>
    <row r="211" spans="1:20" x14ac:dyDescent="0.25">
      <c r="A211" s="5">
        <v>44382</v>
      </c>
      <c r="B211">
        <v>3.91</v>
      </c>
      <c r="C211">
        <v>3.91</v>
      </c>
      <c r="D211">
        <v>3.6739999999999999</v>
      </c>
      <c r="E211">
        <v>3.7770000000000001</v>
      </c>
      <c r="F211">
        <v>581612.37199999997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-0.12711864406779566</v>
      </c>
      <c r="Q211">
        <f t="shared" si="960"/>
        <v>-73933.776101694355</v>
      </c>
      <c r="R211">
        <f t="shared" si="961"/>
        <v>-42014483.067603812</v>
      </c>
      <c r="S211">
        <f t="shared" si="962"/>
        <v>-420.14483067603811</v>
      </c>
      <c r="T211">
        <f t="shared" si="963"/>
        <v>-0.42014483067603814</v>
      </c>
    </row>
    <row r="212" spans="1:20" x14ac:dyDescent="0.25">
      <c r="A212" s="5">
        <v>44381</v>
      </c>
      <c r="B212">
        <v>3.8210000000000002</v>
      </c>
      <c r="C212">
        <v>3.9289999999999998</v>
      </c>
      <c r="D212">
        <v>3.7570000000000001</v>
      </c>
      <c r="E212">
        <v>3.9140000000000001</v>
      </c>
      <c r="F212">
        <v>755012.32900000003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0.82558139534884067</v>
      </c>
      <c r="Q212">
        <f t="shared" si="960"/>
        <v>623324.13208139804</v>
      </c>
      <c r="R212">
        <f t="shared" si="961"/>
        <v>-41940549.291502118</v>
      </c>
      <c r="S212">
        <f t="shared" si="962"/>
        <v>-419.40549291502117</v>
      </c>
      <c r="T212">
        <f t="shared" si="963"/>
        <v>-0.41940549291502116</v>
      </c>
    </row>
    <row r="213" spans="1:20" x14ac:dyDescent="0.25">
      <c r="A213" s="5">
        <v>44380</v>
      </c>
      <c r="B213">
        <v>3.7360000000000002</v>
      </c>
      <c r="C213">
        <v>3.9649999999999999</v>
      </c>
      <c r="D213">
        <v>3.7229999999999999</v>
      </c>
      <c r="E213">
        <v>3.8210000000000002</v>
      </c>
      <c r="F213">
        <v>632138.33400000003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-0.1900826446280966</v>
      </c>
      <c r="Q213">
        <f t="shared" si="960"/>
        <v>-120158.52629751904</v>
      </c>
      <c r="R213">
        <f t="shared" si="961"/>
        <v>-42563873.423583515</v>
      </c>
      <c r="S213">
        <f t="shared" si="962"/>
        <v>-425.63873423583516</v>
      </c>
      <c r="T213">
        <f t="shared" si="963"/>
        <v>-0.42563873423583515</v>
      </c>
    </row>
    <row r="214" spans="1:20" x14ac:dyDescent="0.25">
      <c r="A214" s="5">
        <v>44379</v>
      </c>
      <c r="B214">
        <v>3.7970000000000002</v>
      </c>
      <c r="C214">
        <v>3.8879999999999999</v>
      </c>
      <c r="D214">
        <v>3.681</v>
      </c>
      <c r="E214">
        <v>3.7370000000000001</v>
      </c>
      <c r="F214">
        <v>805108.598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-0.458937198067632</v>
      </c>
      <c r="Q214">
        <f t="shared" si="960"/>
        <v>-369494.28410627949</v>
      </c>
      <c r="R214">
        <f t="shared" si="961"/>
        <v>-42443714.897285998</v>
      </c>
      <c r="S214">
        <f t="shared" si="962"/>
        <v>-424.43714897285997</v>
      </c>
      <c r="T214">
        <f t="shared" si="963"/>
        <v>-0.42443714897285995</v>
      </c>
    </row>
    <row r="215" spans="1:20" x14ac:dyDescent="0.25">
      <c r="A215" s="5">
        <v>44378</v>
      </c>
      <c r="B215">
        <v>3.988</v>
      </c>
      <c r="C215">
        <v>4.0270000000000001</v>
      </c>
      <c r="D215">
        <v>3.774</v>
      </c>
      <c r="E215">
        <v>3.7970000000000002</v>
      </c>
      <c r="F215">
        <v>552618.66099999996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-0.81818181818181723</v>
      </c>
      <c r="Q215">
        <f t="shared" si="960"/>
        <v>-452142.54081818124</v>
      </c>
      <c r="R215">
        <f t="shared" si="961"/>
        <v>-42074220.613179721</v>
      </c>
      <c r="S215">
        <f t="shared" si="962"/>
        <v>-420.74220613179722</v>
      </c>
      <c r="T215">
        <f t="shared" si="963"/>
        <v>-0.42074220613179719</v>
      </c>
    </row>
    <row r="216" spans="1:20" x14ac:dyDescent="0.25">
      <c r="A216" s="5">
        <v>44377</v>
      </c>
      <c r="B216">
        <v>4.13</v>
      </c>
      <c r="C216">
        <v>4.1379999999999999</v>
      </c>
      <c r="D216">
        <v>3.9</v>
      </c>
      <c r="E216">
        <v>3.988</v>
      </c>
      <c r="F216">
        <v>775717.44499999995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-0.26050420168067157</v>
      </c>
      <c r="Q216">
        <f t="shared" si="960"/>
        <v>-202077.65373949523</v>
      </c>
      <c r="R216">
        <f t="shared" si="961"/>
        <v>-41622078.072361536</v>
      </c>
      <c r="S216">
        <f t="shared" si="962"/>
        <v>-416.22078072361535</v>
      </c>
      <c r="T216">
        <f t="shared" si="963"/>
        <v>-0.41622078072361535</v>
      </c>
    </row>
    <row r="217" spans="1:20" x14ac:dyDescent="0.25">
      <c r="A217" s="5">
        <v>44376</v>
      </c>
      <c r="B217">
        <v>4.0869999999999997</v>
      </c>
      <c r="C217">
        <v>4.2809999999999997</v>
      </c>
      <c r="D217">
        <v>4.0629999999999997</v>
      </c>
      <c r="E217">
        <v>4.1379999999999999</v>
      </c>
      <c r="F217">
        <v>1356911.4580000001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-0.31192660550458545</v>
      </c>
      <c r="Q217">
        <f t="shared" si="960"/>
        <v>-423256.78506421793</v>
      </c>
      <c r="R217">
        <f t="shared" si="961"/>
        <v>-41420000.418622039</v>
      </c>
      <c r="S217">
        <f t="shared" si="962"/>
        <v>-414.20000418622038</v>
      </c>
      <c r="T217">
        <f t="shared" si="963"/>
        <v>-0.41420000418622038</v>
      </c>
    </row>
    <row r="218" spans="1:20" x14ac:dyDescent="0.25">
      <c r="A218" s="5">
        <v>44375</v>
      </c>
      <c r="B218">
        <v>4.0970000000000004</v>
      </c>
      <c r="C218">
        <v>4.2439999999999998</v>
      </c>
      <c r="D218">
        <v>4.0439999999999996</v>
      </c>
      <c r="E218">
        <v>4.0869999999999997</v>
      </c>
      <c r="F218">
        <v>804544.02800000005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-0.56999999999999884</v>
      </c>
      <c r="Q218">
        <f t="shared" si="960"/>
        <v>-458590.09595999907</v>
      </c>
      <c r="R218">
        <f t="shared" si="961"/>
        <v>-40996743.633557819</v>
      </c>
      <c r="S218">
        <f t="shared" si="962"/>
        <v>-409.96743633557821</v>
      </c>
      <c r="T218">
        <f t="shared" si="963"/>
        <v>-0.40996743633557819</v>
      </c>
    </row>
    <row r="219" spans="1:20" x14ac:dyDescent="0.25">
      <c r="A219" s="5">
        <v>44374</v>
      </c>
      <c r="B219">
        <v>4.0380000000000003</v>
      </c>
      <c r="C219">
        <v>4.1900000000000004</v>
      </c>
      <c r="D219">
        <v>3.99</v>
      </c>
      <c r="E219">
        <v>4.0949999999999998</v>
      </c>
      <c r="F219">
        <v>644128.03899999999</v>
      </c>
      <c r="G219">
        <v>0</v>
      </c>
      <c r="L219" t="s">
        <v>7</v>
      </c>
      <c r="M219" t="s">
        <v>7</v>
      </c>
      <c r="N219" t="s">
        <v>7</v>
      </c>
      <c r="P219">
        <f t="shared" si="959"/>
        <v>4.9999999999994452E-2</v>
      </c>
      <c r="Q219">
        <f t="shared" si="960"/>
        <v>32206.401949996427</v>
      </c>
      <c r="R219">
        <f t="shared" si="961"/>
        <v>-40538153.53759782</v>
      </c>
      <c r="S219">
        <f t="shared" si="962"/>
        <v>-405.38153537597822</v>
      </c>
      <c r="T219">
        <f t="shared" si="963"/>
        <v>-0.40538153537597821</v>
      </c>
    </row>
    <row r="220" spans="1:20" x14ac:dyDescent="0.25">
      <c r="A220" s="5">
        <v>44373</v>
      </c>
      <c r="B220">
        <v>4.1500000000000004</v>
      </c>
      <c r="C220">
        <v>4.1680000000000001</v>
      </c>
      <c r="D220">
        <v>3.96</v>
      </c>
      <c r="E220">
        <v>4.0380000000000003</v>
      </c>
      <c r="F220">
        <v>664942.37699999998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-0.24999999999999786</v>
      </c>
      <c r="Q220">
        <f t="shared" si="960"/>
        <v>-166235.59424999857</v>
      </c>
      <c r="R220">
        <f t="shared" si="961"/>
        <v>-40570359.939547814</v>
      </c>
      <c r="S220">
        <f t="shared" si="962"/>
        <v>-405.70359939547814</v>
      </c>
      <c r="T220">
        <f t="shared" si="963"/>
        <v>-0.40570359939547812</v>
      </c>
    </row>
    <row r="221" spans="1:20" x14ac:dyDescent="0.25">
      <c r="A221" s="5">
        <v>44372</v>
      </c>
      <c r="B221">
        <v>4.6589999999999998</v>
      </c>
      <c r="C221">
        <v>4.673</v>
      </c>
      <c r="D221">
        <v>4.1100000000000003</v>
      </c>
      <c r="E221">
        <v>4.1500000000000004</v>
      </c>
      <c r="F221">
        <v>812433.94900000002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-0.85790408525754869</v>
      </c>
      <c r="Q221">
        <f t="shared" si="960"/>
        <v>-696990.40384902293</v>
      </c>
      <c r="R221">
        <f t="shared" si="961"/>
        <v>-40404124.345297813</v>
      </c>
      <c r="S221">
        <f t="shared" si="962"/>
        <v>-404.04124345297811</v>
      </c>
      <c r="T221">
        <f t="shared" si="963"/>
        <v>-0.40404124345297809</v>
      </c>
    </row>
    <row r="222" spans="1:20" x14ac:dyDescent="0.25">
      <c r="A222" s="5">
        <v>44371</v>
      </c>
      <c r="B222">
        <v>4.82</v>
      </c>
      <c r="C222">
        <v>4.8280000000000003</v>
      </c>
      <c r="D222">
        <v>4.5640000000000001</v>
      </c>
      <c r="E222">
        <v>4.6589999999999998</v>
      </c>
      <c r="F222">
        <v>1158515.736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-0.28030303030303283</v>
      </c>
      <c r="Q222">
        <f t="shared" si="960"/>
        <v>-324735.47145454842</v>
      </c>
      <c r="R222">
        <f t="shared" si="961"/>
        <v>-39707133.941448793</v>
      </c>
      <c r="S222">
        <f t="shared" si="962"/>
        <v>-397.07133941448791</v>
      </c>
      <c r="T222">
        <f t="shared" si="963"/>
        <v>-0.39707133941448791</v>
      </c>
    </row>
    <row r="223" spans="1:20" x14ac:dyDescent="0.25">
      <c r="A223" s="5">
        <v>44370</v>
      </c>
      <c r="B223">
        <v>4.6840000000000002</v>
      </c>
      <c r="C223">
        <v>5.1719999999999997</v>
      </c>
      <c r="D223">
        <v>4.62</v>
      </c>
      <c r="E223">
        <v>4.82</v>
      </c>
      <c r="F223">
        <v>1941991.52</v>
      </c>
      <c r="G223">
        <v>0</v>
      </c>
      <c r="L223" t="s">
        <v>8</v>
      </c>
      <c r="M223" t="s">
        <v>7</v>
      </c>
      <c r="N223" t="s">
        <v>7</v>
      </c>
      <c r="P223">
        <f t="shared" si="959"/>
        <v>-0.27536231884057855</v>
      </c>
      <c r="Q223">
        <f t="shared" si="960"/>
        <v>-534751.28811593982</v>
      </c>
      <c r="R223">
        <f t="shared" si="961"/>
        <v>-39382398.469994247</v>
      </c>
      <c r="S223">
        <f t="shared" si="962"/>
        <v>-393.82398469994246</v>
      </c>
      <c r="T223">
        <f t="shared" si="963"/>
        <v>-0.39382398469994245</v>
      </c>
    </row>
    <row r="224" spans="1:20" x14ac:dyDescent="0.25">
      <c r="A224" s="5">
        <v>44369</v>
      </c>
      <c r="B224">
        <v>4.5620000000000003</v>
      </c>
      <c r="C224">
        <v>5.1289999999999996</v>
      </c>
      <c r="D224">
        <v>4.4180000000000001</v>
      </c>
      <c r="E224">
        <v>4.6879999999999997</v>
      </c>
      <c r="F224">
        <v>4729327.3130000001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-0.24050632911392461</v>
      </c>
      <c r="Q224">
        <f t="shared" si="960"/>
        <v>-1137433.1512278507</v>
      </c>
      <c r="R224">
        <f t="shared" si="961"/>
        <v>-38847647.181878306</v>
      </c>
      <c r="S224">
        <f t="shared" si="962"/>
        <v>-388.47647181878307</v>
      </c>
      <c r="T224">
        <f t="shared" si="963"/>
        <v>-0.38847647181878309</v>
      </c>
    </row>
    <row r="225" spans="1:20" x14ac:dyDescent="0.25">
      <c r="A225" s="5">
        <v>44368</v>
      </c>
      <c r="B225">
        <v>4.4909999999999997</v>
      </c>
      <c r="C225">
        <v>5.3159999999999998</v>
      </c>
      <c r="D225">
        <v>4.3479999999999999</v>
      </c>
      <c r="E225">
        <v>4.5620000000000003</v>
      </c>
      <c r="F225">
        <v>8562266.0140000004</v>
      </c>
      <c r="G225">
        <v>0</v>
      </c>
      <c r="L225" t="s">
        <v>8</v>
      </c>
      <c r="M225" t="s">
        <v>8</v>
      </c>
      <c r="N225" t="s">
        <v>7</v>
      </c>
      <c r="P225">
        <f t="shared" si="959"/>
        <v>-0.55785123966942063</v>
      </c>
      <c r="Q225">
        <f t="shared" si="960"/>
        <v>-4776470.7102892492</v>
      </c>
      <c r="R225">
        <f t="shared" si="961"/>
        <v>-37710214.030650452</v>
      </c>
      <c r="S225">
        <f t="shared" si="962"/>
        <v>-377.10214030650451</v>
      </c>
      <c r="T225">
        <f t="shared" si="963"/>
        <v>-0.37710214030650452</v>
      </c>
    </row>
    <row r="226" spans="1:20" x14ac:dyDescent="0.25">
      <c r="A226" s="5">
        <v>44367</v>
      </c>
      <c r="B226">
        <v>4.6109999999999998</v>
      </c>
      <c r="C226">
        <v>4.6849999999999996</v>
      </c>
      <c r="D226">
        <v>4.3079999999999998</v>
      </c>
      <c r="E226">
        <v>4.4980000000000002</v>
      </c>
      <c r="F226">
        <v>1475463.014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7.9575596817002756E-3</v>
      </c>
      <c r="Q226">
        <f t="shared" si="960"/>
        <v>11741.08499204637</v>
      </c>
      <c r="R226">
        <f t="shared" si="961"/>
        <v>-32933743.320361204</v>
      </c>
      <c r="S226">
        <f t="shared" si="962"/>
        <v>-329.33743320361202</v>
      </c>
      <c r="T226">
        <f t="shared" si="963"/>
        <v>-0.32933743320361203</v>
      </c>
    </row>
    <row r="227" spans="1:20" x14ac:dyDescent="0.25">
      <c r="A227" s="5">
        <v>44366</v>
      </c>
      <c r="B227">
        <v>5.1310000000000002</v>
      </c>
      <c r="C227">
        <v>5.1609999999999996</v>
      </c>
      <c r="D227">
        <v>4.601</v>
      </c>
      <c r="E227">
        <v>4.6130000000000004</v>
      </c>
      <c r="F227">
        <v>2112546.227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-0.95714285714285552</v>
      </c>
      <c r="Q227">
        <f t="shared" si="960"/>
        <v>-2022008.5315571395</v>
      </c>
      <c r="R227">
        <f t="shared" si="961"/>
        <v>-32945484.405353252</v>
      </c>
      <c r="S227">
        <f t="shared" si="962"/>
        <v>-329.4548440535325</v>
      </c>
      <c r="T227">
        <f t="shared" si="963"/>
        <v>-0.32945484405353248</v>
      </c>
    </row>
    <row r="228" spans="1:20" x14ac:dyDescent="0.25">
      <c r="A228" s="5">
        <v>44365</v>
      </c>
      <c r="B228">
        <v>4.7</v>
      </c>
      <c r="C228">
        <v>7.4</v>
      </c>
      <c r="D228">
        <v>4.694</v>
      </c>
      <c r="E228">
        <v>5.141</v>
      </c>
      <c r="F228">
        <v>20790298.43</v>
      </c>
      <c r="G228">
        <v>0</v>
      </c>
      <c r="L228" t="s">
        <v>8</v>
      </c>
      <c r="M228" t="s">
        <v>8</v>
      </c>
      <c r="N228" t="s">
        <v>8</v>
      </c>
      <c r="P228">
        <f t="shared" si="959"/>
        <v>-0.66962305986696236</v>
      </c>
      <c r="Q228">
        <f t="shared" si="960"/>
        <v>-13921663.250243904</v>
      </c>
      <c r="R228">
        <f t="shared" si="961"/>
        <v>-30923475.873796113</v>
      </c>
      <c r="S228">
        <f t="shared" si="962"/>
        <v>-309.2347587379611</v>
      </c>
      <c r="T228">
        <f t="shared" si="963"/>
        <v>-0.30923475873796108</v>
      </c>
    </row>
    <row r="229" spans="1:20" x14ac:dyDescent="0.25">
      <c r="A229" s="5">
        <v>44364</v>
      </c>
      <c r="B229">
        <v>3.871</v>
      </c>
      <c r="C229">
        <v>5</v>
      </c>
      <c r="D229">
        <v>3.871</v>
      </c>
      <c r="E229">
        <v>4.7</v>
      </c>
      <c r="F229">
        <v>4250787.1909999996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0.46855624446412786</v>
      </c>
      <c r="Q229">
        <f t="shared" si="960"/>
        <v>1991732.8822311792</v>
      </c>
      <c r="R229">
        <f t="shared" si="961"/>
        <v>-17001812.623552207</v>
      </c>
      <c r="S229">
        <f t="shared" si="962"/>
        <v>-170.01812623552206</v>
      </c>
      <c r="T229">
        <f t="shared" si="963"/>
        <v>-0.17001812623552207</v>
      </c>
    </row>
    <row r="230" spans="1:20" x14ac:dyDescent="0.25">
      <c r="A230" s="5">
        <v>44363</v>
      </c>
      <c r="B230">
        <v>4.0270000000000001</v>
      </c>
      <c r="C230">
        <v>4.21</v>
      </c>
      <c r="D230">
        <v>3.8290000000000002</v>
      </c>
      <c r="E230">
        <v>3.87</v>
      </c>
      <c r="F230">
        <v>436981.446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-0.78477690288713942</v>
      </c>
      <c r="Q230">
        <f t="shared" si="960"/>
        <v>-342932.94581102376</v>
      </c>
      <c r="R230">
        <f t="shared" si="961"/>
        <v>-18993545.505783387</v>
      </c>
      <c r="S230">
        <f t="shared" si="962"/>
        <v>-189.93545505783388</v>
      </c>
      <c r="T230">
        <f t="shared" si="963"/>
        <v>-0.18993545505783388</v>
      </c>
    </row>
    <row r="231" spans="1:20" x14ac:dyDescent="0.25">
      <c r="A231" s="5">
        <v>44362</v>
      </c>
      <c r="B231">
        <v>3.9329999999999998</v>
      </c>
      <c r="C231">
        <v>4.2450000000000001</v>
      </c>
      <c r="D231">
        <v>3.9159999999999999</v>
      </c>
      <c r="E231">
        <v>4.0279999999999996</v>
      </c>
      <c r="F231">
        <v>2634759.6880000001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-0.31914893617021522</v>
      </c>
      <c r="Q231">
        <f t="shared" si="960"/>
        <v>-840880.75148936815</v>
      </c>
      <c r="R231">
        <f t="shared" si="961"/>
        <v>-18650612.559972364</v>
      </c>
      <c r="S231">
        <f t="shared" si="962"/>
        <v>-186.50612559972365</v>
      </c>
      <c r="T231">
        <f t="shared" si="963"/>
        <v>-0.18650612559972365</v>
      </c>
    </row>
    <row r="232" spans="1:20" x14ac:dyDescent="0.25">
      <c r="A232" s="5">
        <v>44361</v>
      </c>
      <c r="B232">
        <v>3.82</v>
      </c>
      <c r="C232">
        <v>4.0039999999999996</v>
      </c>
      <c r="D232">
        <v>3.8170000000000002</v>
      </c>
      <c r="E232">
        <v>3.9329999999999998</v>
      </c>
      <c r="F232">
        <v>599607.46100000001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0.24064171122994693</v>
      </c>
      <c r="Q232">
        <f t="shared" si="960"/>
        <v>144290.56548128367</v>
      </c>
      <c r="R232">
        <f t="shared" si="961"/>
        <v>-17809731.808482997</v>
      </c>
      <c r="S232">
        <f t="shared" si="962"/>
        <v>-178.09731808482996</v>
      </c>
      <c r="T232">
        <f t="shared" si="963"/>
        <v>-0.17809731808482995</v>
      </c>
    </row>
    <row r="233" spans="1:20" x14ac:dyDescent="0.25">
      <c r="A233" s="5">
        <v>44360</v>
      </c>
      <c r="B233">
        <v>3.7370000000000001</v>
      </c>
      <c r="C233">
        <v>3.823</v>
      </c>
      <c r="D233">
        <v>3.66</v>
      </c>
      <c r="E233">
        <v>3.82</v>
      </c>
      <c r="F233">
        <v>338183.87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0.9631901840490783</v>
      </c>
      <c r="Q233">
        <f t="shared" si="960"/>
        <v>325735.38398772955</v>
      </c>
      <c r="R233">
        <f t="shared" si="961"/>
        <v>-17954022.37396428</v>
      </c>
      <c r="S233">
        <f t="shared" si="962"/>
        <v>-179.54022373964281</v>
      </c>
      <c r="T233">
        <f t="shared" si="963"/>
        <v>-0.17954022373964282</v>
      </c>
    </row>
    <row r="234" spans="1:20" x14ac:dyDescent="0.25">
      <c r="A234" s="5">
        <v>44359</v>
      </c>
      <c r="B234">
        <v>3.8439999999999999</v>
      </c>
      <c r="C234">
        <v>3.8540000000000001</v>
      </c>
      <c r="D234">
        <v>3.577</v>
      </c>
      <c r="E234">
        <v>3.742</v>
      </c>
      <c r="F234">
        <v>264540.46100000001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0.19133574007220183</v>
      </c>
      <c r="Q234">
        <f t="shared" si="960"/>
        <v>50616.044884476447</v>
      </c>
      <c r="R234">
        <f t="shared" si="961"/>
        <v>-18279757.757952008</v>
      </c>
      <c r="S234">
        <f t="shared" si="962"/>
        <v>-182.79757757952009</v>
      </c>
      <c r="T234">
        <f t="shared" si="963"/>
        <v>-0.18279757757952009</v>
      </c>
    </row>
    <row r="235" spans="1:20" x14ac:dyDescent="0.25">
      <c r="A235" s="5">
        <v>44358</v>
      </c>
      <c r="B235">
        <v>3.9980000000000002</v>
      </c>
      <c r="C235">
        <v>4.0919999999999996</v>
      </c>
      <c r="D235">
        <v>3.8220000000000001</v>
      </c>
      <c r="E235">
        <v>3.847</v>
      </c>
      <c r="F235">
        <v>516850.18900000001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-0.81481481481481521</v>
      </c>
      <c r="Q235">
        <f t="shared" si="960"/>
        <v>-421137.19103703724</v>
      </c>
      <c r="R235">
        <f t="shared" si="961"/>
        <v>-18330373.802836485</v>
      </c>
      <c r="S235">
        <f t="shared" si="962"/>
        <v>-183.30373802836485</v>
      </c>
      <c r="T235">
        <f t="shared" si="963"/>
        <v>-0.18330373802836486</v>
      </c>
    </row>
    <row r="236" spans="1:20" x14ac:dyDescent="0.25">
      <c r="A236" s="5">
        <v>44357</v>
      </c>
      <c r="B236">
        <v>4.1719999999999997</v>
      </c>
      <c r="C236">
        <v>4.1890000000000001</v>
      </c>
      <c r="D236">
        <v>3.9670000000000001</v>
      </c>
      <c r="E236">
        <v>3.9929999999999999</v>
      </c>
      <c r="F236">
        <v>627605.86300000001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-0.76576576576576749</v>
      </c>
      <c r="Q236">
        <f t="shared" si="960"/>
        <v>-480599.08427928039</v>
      </c>
      <c r="R236">
        <f t="shared" si="961"/>
        <v>-17909236.611799449</v>
      </c>
      <c r="S236">
        <f t="shared" si="962"/>
        <v>-179.09236611799449</v>
      </c>
      <c r="T236">
        <f t="shared" si="963"/>
        <v>-0.17909236611799448</v>
      </c>
    </row>
    <row r="237" spans="1:20" x14ac:dyDescent="0.25">
      <c r="A237" s="5">
        <v>44356</v>
      </c>
      <c r="B237">
        <v>4.2069999999999999</v>
      </c>
      <c r="C237">
        <v>4.4119999999999999</v>
      </c>
      <c r="D237">
        <v>4.1520000000000001</v>
      </c>
      <c r="E237">
        <v>4.173</v>
      </c>
      <c r="F237">
        <v>907116.33499999996</v>
      </c>
      <c r="G237">
        <v>0</v>
      </c>
      <c r="L237" t="s">
        <v>7</v>
      </c>
      <c r="M237" t="s">
        <v>7</v>
      </c>
      <c r="N237" t="s">
        <v>7</v>
      </c>
      <c r="P237">
        <f t="shared" si="959"/>
        <v>-0.83846153846153904</v>
      </c>
      <c r="Q237">
        <f t="shared" si="960"/>
        <v>-760582.15780769277</v>
      </c>
      <c r="R237">
        <f t="shared" si="961"/>
        <v>-17428637.527520169</v>
      </c>
      <c r="S237">
        <f t="shared" si="962"/>
        <v>-174.28637527520169</v>
      </c>
      <c r="T237">
        <f t="shared" si="963"/>
        <v>-0.17428637527520169</v>
      </c>
    </row>
    <row r="238" spans="1:20" x14ac:dyDescent="0.25">
      <c r="A238" s="5">
        <v>44355</v>
      </c>
      <c r="B238">
        <v>4.524</v>
      </c>
      <c r="C238">
        <v>4.5519999999999996</v>
      </c>
      <c r="D238">
        <v>4.0999999999999996</v>
      </c>
      <c r="E238">
        <v>4.2140000000000004</v>
      </c>
      <c r="F238">
        <v>529634.86300000001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-0.4955752212389346</v>
      </c>
      <c r="Q238">
        <f t="shared" si="960"/>
        <v>-262473.91440707783</v>
      </c>
      <c r="R238">
        <f t="shared" si="961"/>
        <v>-16668055.369712478</v>
      </c>
      <c r="S238">
        <f t="shared" si="962"/>
        <v>-166.68055369712476</v>
      </c>
      <c r="T238">
        <f t="shared" si="963"/>
        <v>-0.16668055369712476</v>
      </c>
    </row>
    <row r="239" spans="1:20" x14ac:dyDescent="0.25">
      <c r="A239" s="5">
        <v>44354</v>
      </c>
      <c r="B239">
        <v>4.7670000000000003</v>
      </c>
      <c r="C239">
        <v>4.8010000000000002</v>
      </c>
      <c r="D239">
        <v>4.5129999999999999</v>
      </c>
      <c r="E239">
        <v>4.53</v>
      </c>
      <c r="F239">
        <v>953076.07499999995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-0.88194444444444209</v>
      </c>
      <c r="Q239">
        <f t="shared" si="960"/>
        <v>-840560.14947916439</v>
      </c>
      <c r="R239">
        <f t="shared" si="961"/>
        <v>-16405581.455305399</v>
      </c>
      <c r="S239">
        <f t="shared" si="962"/>
        <v>-164.05581455305401</v>
      </c>
      <c r="T239">
        <f t="shared" si="963"/>
        <v>-0.16405581455305401</v>
      </c>
    </row>
    <row r="240" spans="1:20" x14ac:dyDescent="0.25">
      <c r="A240" s="5">
        <v>44353</v>
      </c>
      <c r="B240">
        <v>4.8150000000000004</v>
      </c>
      <c r="C240">
        <v>4.8570000000000002</v>
      </c>
      <c r="D240">
        <v>4.7009999999999996</v>
      </c>
      <c r="E240">
        <v>4.7720000000000002</v>
      </c>
      <c r="F240">
        <v>545028.15599999996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-8.974358974358522E-2</v>
      </c>
      <c r="Q240">
        <f t="shared" si="960"/>
        <v>-48912.783230766763</v>
      </c>
      <c r="R240">
        <f t="shared" si="961"/>
        <v>-15565021.305826236</v>
      </c>
      <c r="S240">
        <f t="shared" si="962"/>
        <v>-155.65021305826235</v>
      </c>
      <c r="T240">
        <f t="shared" si="963"/>
        <v>-0.15565021305826235</v>
      </c>
    </row>
    <row r="241" spans="1:20" x14ac:dyDescent="0.25">
      <c r="A241" s="5">
        <v>44352</v>
      </c>
      <c r="B241">
        <v>5.0110000000000001</v>
      </c>
      <c r="C241">
        <v>5.1630000000000003</v>
      </c>
      <c r="D241">
        <v>4.7629999999999999</v>
      </c>
      <c r="E241">
        <v>4.8209999999999997</v>
      </c>
      <c r="F241">
        <v>568042.45900000003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-0.71000000000000107</v>
      </c>
      <c r="Q241">
        <f t="shared" si="960"/>
        <v>-403310.14589000063</v>
      </c>
      <c r="R241">
        <f t="shared" si="961"/>
        <v>-15516108.522595469</v>
      </c>
      <c r="S241">
        <f t="shared" si="962"/>
        <v>-155.16108522595468</v>
      </c>
      <c r="T241">
        <f t="shared" si="963"/>
        <v>-0.15516108522595468</v>
      </c>
    </row>
    <row r="242" spans="1:20" x14ac:dyDescent="0.25">
      <c r="A242" s="5">
        <v>44351</v>
      </c>
      <c r="B242">
        <v>4.92</v>
      </c>
      <c r="C242">
        <v>5.3540000000000001</v>
      </c>
      <c r="D242">
        <v>4.63</v>
      </c>
      <c r="E242">
        <v>5.0049999999999999</v>
      </c>
      <c r="F242">
        <v>2196778.3259999999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3.5911602209944465E-2</v>
      </c>
      <c r="Q242">
        <f t="shared" si="960"/>
        <v>78889.829386739701</v>
      </c>
      <c r="R242">
        <f t="shared" si="961"/>
        <v>-15112798.376705468</v>
      </c>
      <c r="S242">
        <f t="shared" si="962"/>
        <v>-151.12798376705467</v>
      </c>
      <c r="T242">
        <f t="shared" si="963"/>
        <v>-0.15112798376705466</v>
      </c>
    </row>
    <row r="243" spans="1:20" x14ac:dyDescent="0.25">
      <c r="A243" s="5">
        <v>44350</v>
      </c>
      <c r="B243">
        <v>4.8970000000000002</v>
      </c>
      <c r="C243">
        <v>4.95</v>
      </c>
      <c r="D243">
        <v>4.76</v>
      </c>
      <c r="E243">
        <v>4.9139999999999997</v>
      </c>
      <c r="F243">
        <v>796067.81200000003</v>
      </c>
      <c r="G243">
        <v>0</v>
      </c>
      <c r="L243" t="s">
        <v>7</v>
      </c>
      <c r="M243" t="s">
        <v>7</v>
      </c>
      <c r="N243" t="s">
        <v>8</v>
      </c>
      <c r="P243">
        <f t="shared" si="959"/>
        <v>0.62105263157894308</v>
      </c>
      <c r="Q243">
        <f t="shared" si="960"/>
        <v>494400.00955789135</v>
      </c>
      <c r="R243">
        <f t="shared" si="961"/>
        <v>-15191688.206092207</v>
      </c>
      <c r="S243">
        <f t="shared" si="962"/>
        <v>-151.91688206092206</v>
      </c>
      <c r="T243">
        <f t="shared" si="963"/>
        <v>-0.15191688206092208</v>
      </c>
    </row>
    <row r="244" spans="1:20" x14ac:dyDescent="0.25">
      <c r="A244" s="5">
        <v>44349</v>
      </c>
      <c r="B244">
        <v>4.7910000000000004</v>
      </c>
      <c r="C244">
        <v>4.9720000000000004</v>
      </c>
      <c r="D244">
        <v>4.7460000000000004</v>
      </c>
      <c r="E244">
        <v>4.899</v>
      </c>
      <c r="F244">
        <v>480982.63900000002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0.35398230088495219</v>
      </c>
      <c r="Q244">
        <f t="shared" si="960"/>
        <v>170259.34123893635</v>
      </c>
      <c r="R244">
        <f t="shared" si="961"/>
        <v>-15686088.215650098</v>
      </c>
      <c r="S244">
        <f t="shared" si="962"/>
        <v>-156.86088215650099</v>
      </c>
      <c r="T244">
        <f t="shared" si="963"/>
        <v>-0.15686088215650099</v>
      </c>
    </row>
    <row r="245" spans="1:20" x14ac:dyDescent="0.25">
      <c r="A245" s="5">
        <v>44348</v>
      </c>
      <c r="B245">
        <v>4.9610000000000003</v>
      </c>
      <c r="C245">
        <v>5.1509999999999998</v>
      </c>
      <c r="D245">
        <v>4.7439999999999998</v>
      </c>
      <c r="E245">
        <v>4.79</v>
      </c>
      <c r="F245">
        <v>834700.56700000004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-0.77395577395577264</v>
      </c>
      <c r="Q245">
        <f t="shared" si="960"/>
        <v>-646021.32335380733</v>
      </c>
      <c r="R245">
        <f t="shared" si="961"/>
        <v>-15856347.556889035</v>
      </c>
      <c r="S245">
        <f t="shared" si="962"/>
        <v>-158.56347556889034</v>
      </c>
      <c r="T245">
        <f t="shared" si="963"/>
        <v>-0.15856347556889033</v>
      </c>
    </row>
    <row r="246" spans="1:20" x14ac:dyDescent="0.25">
      <c r="A246" s="5">
        <v>44347</v>
      </c>
      <c r="B246">
        <v>4.6970000000000001</v>
      </c>
      <c r="C246">
        <v>5.18</v>
      </c>
      <c r="D246">
        <v>4.5750000000000002</v>
      </c>
      <c r="E246">
        <v>4.9660000000000002</v>
      </c>
      <c r="F246">
        <v>992201.35800000001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0.29256198347107543</v>
      </c>
      <c r="Q246">
        <f t="shared" si="960"/>
        <v>290280.39729917457</v>
      </c>
      <c r="R246">
        <f t="shared" si="961"/>
        <v>-15210326.233535228</v>
      </c>
      <c r="S246">
        <f t="shared" si="962"/>
        <v>-152.10326233535227</v>
      </c>
      <c r="T246">
        <f t="shared" si="963"/>
        <v>-0.15210326233535226</v>
      </c>
    </row>
    <row r="247" spans="1:20" x14ac:dyDescent="0.25">
      <c r="A247" s="5">
        <v>44346</v>
      </c>
      <c r="B247">
        <v>4.6500000000000004</v>
      </c>
      <c r="C247">
        <v>4.8</v>
      </c>
      <c r="D247">
        <v>4.5039999999999996</v>
      </c>
      <c r="E247">
        <v>4.6920000000000002</v>
      </c>
      <c r="F247">
        <v>834643.47100000002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0.27027027027027328</v>
      </c>
      <c r="Q247">
        <f t="shared" si="960"/>
        <v>225579.316486489</v>
      </c>
      <c r="R247">
        <f t="shared" si="961"/>
        <v>-15500606.630834403</v>
      </c>
      <c r="S247">
        <f t="shared" si="962"/>
        <v>-155.00606630834403</v>
      </c>
      <c r="T247">
        <f t="shared" si="963"/>
        <v>-0.15500606630834404</v>
      </c>
    </row>
    <row r="248" spans="1:20" x14ac:dyDescent="0.25">
      <c r="A248" s="5">
        <v>44345</v>
      </c>
      <c r="B248">
        <v>5.173</v>
      </c>
      <c r="C248">
        <v>5.23</v>
      </c>
      <c r="D248">
        <v>4.5350000000000001</v>
      </c>
      <c r="E248">
        <v>4.6559999999999997</v>
      </c>
      <c r="F248">
        <v>1296141.3219999999</v>
      </c>
      <c r="G248">
        <v>0</v>
      </c>
      <c r="L248" t="s">
        <v>8</v>
      </c>
      <c r="M248" t="s">
        <v>7</v>
      </c>
      <c r="N248" t="s">
        <v>8</v>
      </c>
      <c r="P248">
        <f t="shared" si="959"/>
        <v>-0.65179856115108059</v>
      </c>
      <c r="Q248">
        <f t="shared" si="960"/>
        <v>-844823.0487280594</v>
      </c>
      <c r="R248">
        <f t="shared" si="961"/>
        <v>-15726185.947320892</v>
      </c>
      <c r="S248">
        <f t="shared" si="962"/>
        <v>-157.26185947320892</v>
      </c>
      <c r="T248">
        <f t="shared" si="963"/>
        <v>-0.15726185947320892</v>
      </c>
    </row>
    <row r="249" spans="1:20" x14ac:dyDescent="0.25">
      <c r="A249" s="5">
        <v>44344</v>
      </c>
      <c r="B249">
        <v>4.8499999999999996</v>
      </c>
      <c r="C249">
        <v>6.1079999999999997</v>
      </c>
      <c r="D249">
        <v>4.4329999999999998</v>
      </c>
      <c r="E249">
        <v>5.1680000000000001</v>
      </c>
      <c r="F249">
        <v>3283849.6779999998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-0.12238805970149207</v>
      </c>
      <c r="Q249">
        <f t="shared" si="960"/>
        <v>-401903.9904417895</v>
      </c>
      <c r="R249">
        <f t="shared" si="961"/>
        <v>-14881362.898592832</v>
      </c>
      <c r="S249">
        <f t="shared" si="962"/>
        <v>-148.81362898592832</v>
      </c>
      <c r="T249">
        <f t="shared" si="963"/>
        <v>-0.14881362898592831</v>
      </c>
    </row>
    <row r="250" spans="1:20" x14ac:dyDescent="0.25">
      <c r="A250" s="5">
        <v>44343</v>
      </c>
      <c r="B250">
        <v>5.3940000000000001</v>
      </c>
      <c r="C250">
        <v>5.3979999999999997</v>
      </c>
      <c r="D250">
        <v>4.8</v>
      </c>
      <c r="E250">
        <v>4.8529999999999998</v>
      </c>
      <c r="F250">
        <v>1158971.095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-0.82274247491638819</v>
      </c>
      <c r="Q250">
        <f t="shared" si="960"/>
        <v>-953534.7470568564</v>
      </c>
      <c r="R250">
        <f t="shared" si="961"/>
        <v>-14479458.908151042</v>
      </c>
      <c r="S250">
        <f t="shared" si="962"/>
        <v>-144.79458908151042</v>
      </c>
      <c r="T250">
        <f t="shared" si="963"/>
        <v>-0.14479458908151041</v>
      </c>
    </row>
    <row r="251" spans="1:20" x14ac:dyDescent="0.25">
      <c r="A251" s="5">
        <v>44342</v>
      </c>
      <c r="B251">
        <v>4.5380000000000003</v>
      </c>
      <c r="C251">
        <v>5.4320000000000004</v>
      </c>
      <c r="D251">
        <v>4.5149999999999997</v>
      </c>
      <c r="E251">
        <v>5.3940000000000001</v>
      </c>
      <c r="F251">
        <v>1550591.102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0.91712104689203877</v>
      </c>
      <c r="Q251">
        <f t="shared" si="960"/>
        <v>1422079.7347677201</v>
      </c>
      <c r="R251">
        <f t="shared" si="961"/>
        <v>-13525924.161094185</v>
      </c>
      <c r="S251">
        <f t="shared" si="962"/>
        <v>-135.25924161094184</v>
      </c>
      <c r="T251">
        <f t="shared" si="963"/>
        <v>-0.13525924161094185</v>
      </c>
    </row>
    <row r="252" spans="1:20" x14ac:dyDescent="0.25">
      <c r="A252" s="5">
        <v>44341</v>
      </c>
      <c r="B252">
        <v>4.1669999999999998</v>
      </c>
      <c r="C252">
        <v>4.68</v>
      </c>
      <c r="D252">
        <v>3.8820000000000001</v>
      </c>
      <c r="E252">
        <v>4.54</v>
      </c>
      <c r="F252">
        <v>1660570.094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0.64912280701754443</v>
      </c>
      <c r="Q252">
        <f t="shared" si="960"/>
        <v>1077913.9206666676</v>
      </c>
      <c r="R252">
        <f t="shared" si="961"/>
        <v>-14948003.895861905</v>
      </c>
      <c r="S252">
        <f t="shared" si="962"/>
        <v>-149.48003895861905</v>
      </c>
      <c r="T252">
        <f t="shared" si="963"/>
        <v>-0.14948003895861905</v>
      </c>
    </row>
    <row r="253" spans="1:20" x14ac:dyDescent="0.25">
      <c r="A253" s="5">
        <v>44340</v>
      </c>
      <c r="B253">
        <v>3.508</v>
      </c>
      <c r="C253">
        <v>4.3819999999999997</v>
      </c>
      <c r="D253">
        <v>3.403</v>
      </c>
      <c r="E253">
        <v>4.1680000000000001</v>
      </c>
      <c r="F253">
        <v>4498402.3059999999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0.56281920326864232</v>
      </c>
      <c r="Q253">
        <f t="shared" si="960"/>
        <v>2531787.2018447435</v>
      </c>
      <c r="R253">
        <f t="shared" si="961"/>
        <v>-16025917.816528574</v>
      </c>
      <c r="S253">
        <f t="shared" si="962"/>
        <v>-160.25917816528573</v>
      </c>
      <c r="T253">
        <f t="shared" si="963"/>
        <v>-0.16025917816528573</v>
      </c>
    </row>
    <row r="254" spans="1:20" x14ac:dyDescent="0.25">
      <c r="A254" s="5">
        <v>44339</v>
      </c>
      <c r="B254">
        <v>4.617</v>
      </c>
      <c r="C254">
        <v>4.6970000000000001</v>
      </c>
      <c r="D254">
        <v>3.2629999999999999</v>
      </c>
      <c r="E254">
        <v>3.5139999999999998</v>
      </c>
      <c r="F254">
        <v>1490131.1629999999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-0.64993026499302664</v>
      </c>
      <c r="Q254">
        <f t="shared" si="960"/>
        <v>-968481.34164295695</v>
      </c>
      <c r="R254">
        <f t="shared" si="961"/>
        <v>-18557705.018373318</v>
      </c>
      <c r="S254">
        <f t="shared" si="962"/>
        <v>-185.57705018373318</v>
      </c>
      <c r="T254">
        <f t="shared" si="963"/>
        <v>-0.18557705018373319</v>
      </c>
    </row>
    <row r="255" spans="1:20" x14ac:dyDescent="0.25">
      <c r="A255" s="5">
        <v>44338</v>
      </c>
      <c r="B255">
        <v>5.7279999999999998</v>
      </c>
      <c r="C255">
        <v>5.7770000000000001</v>
      </c>
      <c r="D255">
        <v>4.6050000000000004</v>
      </c>
      <c r="E255">
        <v>4.6159999999999997</v>
      </c>
      <c r="F255">
        <v>1067671.618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-0.9812286689419808</v>
      </c>
      <c r="Q255">
        <f t="shared" si="960"/>
        <v>-1047630.000597271</v>
      </c>
      <c r="R255">
        <f t="shared" si="961"/>
        <v>-17589223.676730361</v>
      </c>
      <c r="S255">
        <f t="shared" si="962"/>
        <v>-175.89223676730361</v>
      </c>
      <c r="T255">
        <f t="shared" si="963"/>
        <v>-0.17589223676730362</v>
      </c>
    </row>
    <row r="256" spans="1:20" x14ac:dyDescent="0.25">
      <c r="A256" s="5">
        <v>44337</v>
      </c>
      <c r="B256">
        <v>6.242</v>
      </c>
      <c r="C256">
        <v>6.44</v>
      </c>
      <c r="D256">
        <v>5.556</v>
      </c>
      <c r="E256">
        <v>5.734</v>
      </c>
      <c r="F256">
        <v>870304.05900000001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-0.59728506787330349</v>
      </c>
      <c r="Q256">
        <f t="shared" si="960"/>
        <v>-519819.61895022652</v>
      </c>
      <c r="R256">
        <f t="shared" si="961"/>
        <v>-16541593.676133091</v>
      </c>
      <c r="S256">
        <f t="shared" si="962"/>
        <v>-165.4159367613309</v>
      </c>
      <c r="T256">
        <f t="shared" si="963"/>
        <v>-0.1654159367613309</v>
      </c>
    </row>
    <row r="257" spans="1:20" x14ac:dyDescent="0.25">
      <c r="A257" s="5">
        <v>44336</v>
      </c>
      <c r="B257">
        <v>6.25</v>
      </c>
      <c r="C257">
        <v>6.3689999999999998</v>
      </c>
      <c r="D257">
        <v>5.9279999999999999</v>
      </c>
      <c r="E257">
        <v>6.2519999999999998</v>
      </c>
      <c r="F257">
        <v>1070972.2919999999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0.46938775510204067</v>
      </c>
      <c r="Q257">
        <f t="shared" si="960"/>
        <v>502701.27991836716</v>
      </c>
      <c r="R257">
        <f t="shared" si="961"/>
        <v>-16021774.057182863</v>
      </c>
      <c r="S257">
        <f t="shared" si="962"/>
        <v>-160.21774057182864</v>
      </c>
      <c r="T257">
        <f t="shared" si="963"/>
        <v>-0.16021774057182864</v>
      </c>
    </row>
    <row r="258" spans="1:20" x14ac:dyDescent="0.25">
      <c r="A258" s="5">
        <v>44335</v>
      </c>
      <c r="B258">
        <v>7.4790000000000001</v>
      </c>
      <c r="C258">
        <v>7.5380000000000003</v>
      </c>
      <c r="D258">
        <v>5.2439999999999998</v>
      </c>
      <c r="E258">
        <v>6.2530000000000001</v>
      </c>
      <c r="F258">
        <v>1921173.8119999999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-0.12031386224934601</v>
      </c>
      <c r="Q258">
        <f t="shared" si="960"/>
        <v>-231143.84137401896</v>
      </c>
      <c r="R258">
        <f t="shared" si="961"/>
        <v>-16524475.33710123</v>
      </c>
      <c r="S258">
        <f t="shared" si="962"/>
        <v>-165.24475337101231</v>
      </c>
      <c r="T258">
        <f t="shared" si="963"/>
        <v>-0.1652447533710123</v>
      </c>
    </row>
    <row r="259" spans="1:20" x14ac:dyDescent="0.25">
      <c r="A259" s="5">
        <v>44334</v>
      </c>
      <c r="B259">
        <v>7.7160000000000002</v>
      </c>
      <c r="C259">
        <v>7.8109999999999999</v>
      </c>
      <c r="D259">
        <v>7.34</v>
      </c>
      <c r="E259">
        <v>7.4669999999999996</v>
      </c>
      <c r="F259">
        <v>809885.60600000003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-0.46072186836518148</v>
      </c>
      <c r="Q259">
        <f t="shared" si="960"/>
        <v>-373132.00955838722</v>
      </c>
      <c r="R259">
        <f t="shared" si="961"/>
        <v>-16293331.495727211</v>
      </c>
      <c r="S259">
        <f t="shared" si="962"/>
        <v>-162.9333149572721</v>
      </c>
      <c r="T259">
        <f t="shared" si="963"/>
        <v>-0.16293331495727209</v>
      </c>
    </row>
    <row r="260" spans="1:20" x14ac:dyDescent="0.25">
      <c r="A260" s="5">
        <v>44333</v>
      </c>
      <c r="B260">
        <v>7.41</v>
      </c>
      <c r="C260">
        <v>7.9370000000000003</v>
      </c>
      <c r="D260">
        <v>7.0060000000000002</v>
      </c>
      <c r="E260">
        <v>7.7119999999999997</v>
      </c>
      <c r="F260">
        <v>1492994.3729999999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0.51664876476906441</v>
      </c>
      <c r="Q260">
        <f t="shared" si="960"/>
        <v>771353.69861761376</v>
      </c>
      <c r="R260">
        <f t="shared" si="961"/>
        <v>-15920199.486168824</v>
      </c>
      <c r="S260">
        <f t="shared" si="962"/>
        <v>-159.20199486168823</v>
      </c>
      <c r="T260">
        <f t="shared" si="963"/>
        <v>-0.15920199486168823</v>
      </c>
    </row>
    <row r="261" spans="1:20" x14ac:dyDescent="0.25">
      <c r="A261" s="5">
        <v>44332</v>
      </c>
      <c r="B261">
        <v>7.7119999999999997</v>
      </c>
      <c r="C261">
        <v>7.952</v>
      </c>
      <c r="D261">
        <v>7.2709999999999999</v>
      </c>
      <c r="E261">
        <v>7.4180000000000001</v>
      </c>
      <c r="F261">
        <v>791020.7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-0.5682819383259905</v>
      </c>
      <c r="Q261">
        <f t="shared" si="960"/>
        <v>-449522.77665198181</v>
      </c>
      <c r="R261">
        <f t="shared" si="961"/>
        <v>-16691553.184786437</v>
      </c>
      <c r="S261">
        <f t="shared" si="962"/>
        <v>-166.91553184786437</v>
      </c>
      <c r="T261">
        <f t="shared" si="963"/>
        <v>-0.16691553184786437</v>
      </c>
    </row>
    <row r="262" spans="1:20" x14ac:dyDescent="0.25">
      <c r="A262" s="5">
        <v>44331</v>
      </c>
      <c r="B262">
        <v>8.1959999999999997</v>
      </c>
      <c r="C262">
        <v>8.4109999999999996</v>
      </c>
      <c r="D262">
        <v>7.7009999999999996</v>
      </c>
      <c r="E262">
        <v>7.7009999999999996</v>
      </c>
      <c r="F262">
        <v>1200182.378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-1</v>
      </c>
      <c r="Q262">
        <f t="shared" ref="Q262:Q325" si="965">F262*P262</f>
        <v>-1200182.378</v>
      </c>
      <c r="R262">
        <f t="shared" ref="R262:R325" si="966">R263+Q262</f>
        <v>-16242030.408134455</v>
      </c>
      <c r="S262">
        <f t="shared" ref="S262:S325" si="967">R262/100000</f>
        <v>-162.42030408134454</v>
      </c>
      <c r="T262">
        <f t="shared" ref="T262:T325" si="968">S262/1000</f>
        <v>-0.16242030408134453</v>
      </c>
    </row>
    <row r="263" spans="1:20" x14ac:dyDescent="0.25">
      <c r="A263" s="5">
        <v>44330</v>
      </c>
      <c r="B263">
        <v>7.99</v>
      </c>
      <c r="C263">
        <v>8.6</v>
      </c>
      <c r="D263">
        <v>7.9489999999999998</v>
      </c>
      <c r="E263">
        <v>8.1959999999999997</v>
      </c>
      <c r="F263">
        <v>1232619.6499999999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-0.24116743471582194</v>
      </c>
      <c r="Q263">
        <f t="shared" si="965"/>
        <v>-297267.71897081425</v>
      </c>
      <c r="R263">
        <f t="shared" si="966"/>
        <v>-15041848.030134454</v>
      </c>
      <c r="S263">
        <f t="shared" si="967"/>
        <v>-150.41848030134454</v>
      </c>
      <c r="T263">
        <f t="shared" si="968"/>
        <v>-0.15041848030134455</v>
      </c>
    </row>
    <row r="264" spans="1:20" x14ac:dyDescent="0.25">
      <c r="A264" s="5">
        <v>44329</v>
      </c>
      <c r="B264">
        <v>7.9480000000000004</v>
      </c>
      <c r="C264">
        <v>9</v>
      </c>
      <c r="D264">
        <v>7.77</v>
      </c>
      <c r="E264">
        <v>7.99</v>
      </c>
      <c r="F264">
        <v>1416650.567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-0.6422764227642267</v>
      </c>
      <c r="Q264">
        <f t="shared" si="965"/>
        <v>-909881.25847967353</v>
      </c>
      <c r="R264">
        <f t="shared" si="966"/>
        <v>-14744580.31116364</v>
      </c>
      <c r="S264">
        <f t="shared" si="967"/>
        <v>-147.44580311163639</v>
      </c>
      <c r="T264">
        <f t="shared" si="968"/>
        <v>-0.14744580311163638</v>
      </c>
    </row>
    <row r="265" spans="1:20" x14ac:dyDescent="0.25">
      <c r="A265" s="5">
        <v>44328</v>
      </c>
      <c r="B265">
        <v>8.9380000000000006</v>
      </c>
      <c r="C265">
        <v>9.1069999999999993</v>
      </c>
      <c r="D265">
        <v>7.9</v>
      </c>
      <c r="E265">
        <v>7.9450000000000003</v>
      </c>
      <c r="F265">
        <v>1444120.227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-0.92543496271748138</v>
      </c>
      <c r="Q265">
        <f t="shared" si="965"/>
        <v>-1336439.3484333057</v>
      </c>
      <c r="R265">
        <f t="shared" si="966"/>
        <v>-13834699.052683966</v>
      </c>
      <c r="S265">
        <f t="shared" si="967"/>
        <v>-138.34699052683968</v>
      </c>
      <c r="T265">
        <f t="shared" si="968"/>
        <v>-0.13834699052683969</v>
      </c>
    </row>
    <row r="266" spans="1:20" x14ac:dyDescent="0.25">
      <c r="A266" s="5">
        <v>44327</v>
      </c>
      <c r="B266">
        <v>9.3800000000000008</v>
      </c>
      <c r="C266">
        <v>9.3989999999999991</v>
      </c>
      <c r="D266">
        <v>8.875</v>
      </c>
      <c r="E266">
        <v>8.9339999999999993</v>
      </c>
      <c r="F266">
        <v>1135331.2579999999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-0.77480916030534586</v>
      </c>
      <c r="Q266">
        <f t="shared" si="965"/>
        <v>-879665.05867939186</v>
      </c>
      <c r="R266">
        <f t="shared" si="966"/>
        <v>-12498259.70425066</v>
      </c>
      <c r="S266">
        <f t="shared" si="967"/>
        <v>-124.9825970425066</v>
      </c>
      <c r="T266">
        <f t="shared" si="968"/>
        <v>-0.1249825970425066</v>
      </c>
    </row>
    <row r="267" spans="1:20" x14ac:dyDescent="0.25">
      <c r="A267" s="5">
        <v>44326</v>
      </c>
      <c r="B267">
        <v>10.315</v>
      </c>
      <c r="C267">
        <v>10.58</v>
      </c>
      <c r="D267">
        <v>9.3780000000000001</v>
      </c>
      <c r="E267">
        <v>9.39</v>
      </c>
      <c r="F267">
        <v>1906960.2760000001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-0.98003327787021555</v>
      </c>
      <c r="Q267">
        <f t="shared" si="965"/>
        <v>-1868884.5300565709</v>
      </c>
      <c r="R267">
        <f t="shared" si="966"/>
        <v>-11618594.645571267</v>
      </c>
      <c r="S267">
        <f t="shared" si="967"/>
        <v>-116.18594645571267</v>
      </c>
      <c r="T267">
        <f t="shared" si="968"/>
        <v>-0.11618594645571266</v>
      </c>
    </row>
    <row r="268" spans="1:20" x14ac:dyDescent="0.25">
      <c r="A268" s="5">
        <v>44325</v>
      </c>
      <c r="B268">
        <v>10.06</v>
      </c>
      <c r="C268">
        <v>10.667999999999999</v>
      </c>
      <c r="D268">
        <v>9.82</v>
      </c>
      <c r="E268">
        <v>10.327999999999999</v>
      </c>
      <c r="F268">
        <v>2661175.3760000002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0.19811320754716918</v>
      </c>
      <c r="Q268">
        <f t="shared" si="965"/>
        <v>527213.98958490405</v>
      </c>
      <c r="R268">
        <f t="shared" si="966"/>
        <v>-9749710.1155146956</v>
      </c>
      <c r="S268">
        <f t="shared" si="967"/>
        <v>-97.49710115514695</v>
      </c>
      <c r="T268">
        <f t="shared" si="968"/>
        <v>-9.7497101155146954E-2</v>
      </c>
    </row>
    <row r="269" spans="1:20" x14ac:dyDescent="0.25">
      <c r="A269" s="5">
        <v>44324</v>
      </c>
      <c r="B269">
        <v>9.8040000000000003</v>
      </c>
      <c r="C269">
        <v>10.199999999999999</v>
      </c>
      <c r="D269">
        <v>9.5709999999999997</v>
      </c>
      <c r="E269">
        <v>10.067</v>
      </c>
      <c r="F269">
        <v>1066215.97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0.57710651828299142</v>
      </c>
      <c r="Q269">
        <f t="shared" si="965"/>
        <v>615320.18618442246</v>
      </c>
      <c r="R269">
        <f t="shared" si="966"/>
        <v>-10276924.1050996</v>
      </c>
      <c r="S269">
        <f t="shared" si="967"/>
        <v>-102.769241050996</v>
      </c>
      <c r="T269">
        <f t="shared" si="968"/>
        <v>-0.102769241050996</v>
      </c>
    </row>
    <row r="270" spans="1:20" x14ac:dyDescent="0.25">
      <c r="A270" s="5">
        <v>44323</v>
      </c>
      <c r="B270">
        <v>10.36</v>
      </c>
      <c r="C270">
        <v>10.398</v>
      </c>
      <c r="D270">
        <v>9.7040000000000006</v>
      </c>
      <c r="E270">
        <v>9.8079999999999998</v>
      </c>
      <c r="F270">
        <v>1376100.35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-0.70028818443804219</v>
      </c>
      <c r="Q270">
        <f t="shared" si="965"/>
        <v>-963666.81570605445</v>
      </c>
      <c r="R270">
        <f t="shared" si="966"/>
        <v>-10892244.291284023</v>
      </c>
      <c r="S270">
        <f t="shared" si="967"/>
        <v>-108.92244291284022</v>
      </c>
      <c r="T270">
        <f t="shared" si="968"/>
        <v>-0.10892244291284023</v>
      </c>
    </row>
    <row r="271" spans="1:20" x14ac:dyDescent="0.25">
      <c r="A271" s="5">
        <v>44322</v>
      </c>
      <c r="B271">
        <v>10.702999999999999</v>
      </c>
      <c r="C271">
        <v>11.417999999999999</v>
      </c>
      <c r="D271">
        <v>10.3</v>
      </c>
      <c r="E271">
        <v>10.35</v>
      </c>
      <c r="F271">
        <v>3067182.159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-0.91055456171735416</v>
      </c>
      <c r="Q271">
        <f t="shared" si="965"/>
        <v>-2792836.7064955332</v>
      </c>
      <c r="R271">
        <f t="shared" si="966"/>
        <v>-9928577.4755779691</v>
      </c>
      <c r="S271">
        <f t="shared" si="967"/>
        <v>-99.285774755779684</v>
      </c>
      <c r="T271">
        <f t="shared" si="968"/>
        <v>-9.9285774755779682E-2</v>
      </c>
    </row>
    <row r="272" spans="1:20" x14ac:dyDescent="0.25">
      <c r="A272" s="5">
        <v>44321</v>
      </c>
      <c r="B272">
        <v>11.288</v>
      </c>
      <c r="C272">
        <v>11.667</v>
      </c>
      <c r="D272">
        <v>10.332000000000001</v>
      </c>
      <c r="E272">
        <v>10.699</v>
      </c>
      <c r="F272">
        <v>2348431.8939999999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-0.45018726591760394</v>
      </c>
      <c r="Q272">
        <f t="shared" si="965"/>
        <v>-1057234.1335535601</v>
      </c>
      <c r="R272">
        <f t="shared" si="966"/>
        <v>-7135740.7690824363</v>
      </c>
      <c r="S272">
        <f t="shared" si="967"/>
        <v>-71.35740769082436</v>
      </c>
      <c r="T272">
        <f t="shared" si="968"/>
        <v>-7.1357407690824354E-2</v>
      </c>
    </row>
    <row r="273" spans="1:20" x14ac:dyDescent="0.25">
      <c r="A273" s="5">
        <v>44320</v>
      </c>
      <c r="B273">
        <v>10.161</v>
      </c>
      <c r="C273">
        <v>12.6</v>
      </c>
      <c r="D273">
        <v>9.1999999999999993</v>
      </c>
      <c r="E273">
        <v>11.31</v>
      </c>
      <c r="F273">
        <v>5503701.398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0.24117647058823588</v>
      </c>
      <c r="Q273">
        <f t="shared" si="965"/>
        <v>1327363.2783411797</v>
      </c>
      <c r="R273">
        <f t="shared" si="966"/>
        <v>-6078506.6355288764</v>
      </c>
      <c r="S273">
        <f t="shared" si="967"/>
        <v>-60.785066355288762</v>
      </c>
      <c r="T273">
        <f t="shared" si="968"/>
        <v>-6.0785066355288762E-2</v>
      </c>
    </row>
    <row r="274" spans="1:20" x14ac:dyDescent="0.25">
      <c r="A274" s="5">
        <v>44319</v>
      </c>
      <c r="B274">
        <v>9.9039999999999999</v>
      </c>
      <c r="C274">
        <v>10.404</v>
      </c>
      <c r="D274">
        <v>9.8960000000000008</v>
      </c>
      <c r="E274">
        <v>10.157999999999999</v>
      </c>
      <c r="F274">
        <v>1133675.452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3.149606299212257E-2</v>
      </c>
      <c r="Q274">
        <f t="shared" si="965"/>
        <v>35706.313448815032</v>
      </c>
      <c r="R274">
        <f t="shared" si="966"/>
        <v>-7405869.9138700562</v>
      </c>
      <c r="S274">
        <f t="shared" si="967"/>
        <v>-74.058699138700561</v>
      </c>
      <c r="T274">
        <f t="shared" si="968"/>
        <v>-7.4058699138700557E-2</v>
      </c>
    </row>
    <row r="275" spans="1:20" x14ac:dyDescent="0.25">
      <c r="A275" s="5">
        <v>44318</v>
      </c>
      <c r="B275">
        <v>9.85</v>
      </c>
      <c r="C275">
        <v>10.362</v>
      </c>
      <c r="D275">
        <v>9.6080000000000005</v>
      </c>
      <c r="E275">
        <v>9.9039999999999999</v>
      </c>
      <c r="F275">
        <v>947153.85600000003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-0.21485411140583674</v>
      </c>
      <c r="Q275">
        <f t="shared" si="965"/>
        <v>-203499.90009549184</v>
      </c>
      <c r="R275">
        <f t="shared" si="966"/>
        <v>-7441576.2273188708</v>
      </c>
      <c r="S275">
        <f t="shared" si="967"/>
        <v>-74.415762273188705</v>
      </c>
      <c r="T275">
        <f t="shared" si="968"/>
        <v>-7.4415762273188704E-2</v>
      </c>
    </row>
    <row r="276" spans="1:20" x14ac:dyDescent="0.25">
      <c r="A276" s="5">
        <v>44317</v>
      </c>
      <c r="B276">
        <v>10.109</v>
      </c>
      <c r="C276">
        <v>10.199</v>
      </c>
      <c r="D276">
        <v>9.8109999999999999</v>
      </c>
      <c r="E276">
        <v>9.8439999999999994</v>
      </c>
      <c r="F276">
        <v>374068.35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-0.82989690721649756</v>
      </c>
      <c r="Q276">
        <f t="shared" si="965"/>
        <v>-310438.16675257834</v>
      </c>
      <c r="R276">
        <f t="shared" si="966"/>
        <v>-7238076.3272233792</v>
      </c>
      <c r="S276">
        <f t="shared" si="967"/>
        <v>-72.380763272233793</v>
      </c>
      <c r="T276">
        <f t="shared" si="968"/>
        <v>-7.2380763272233792E-2</v>
      </c>
    </row>
    <row r="277" spans="1:20" x14ac:dyDescent="0.25">
      <c r="A277" s="5">
        <v>44316</v>
      </c>
      <c r="B277">
        <v>9.5210000000000008</v>
      </c>
      <c r="C277">
        <v>10.583</v>
      </c>
      <c r="D277">
        <v>9.4359999999999999</v>
      </c>
      <c r="E277">
        <v>10.109</v>
      </c>
      <c r="F277">
        <v>1158194.1810000001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0.173496076721883</v>
      </c>
      <c r="Q277">
        <f t="shared" si="965"/>
        <v>200942.14648561447</v>
      </c>
      <c r="R277">
        <f t="shared" si="966"/>
        <v>-6927638.1604708005</v>
      </c>
      <c r="S277">
        <f t="shared" si="967"/>
        <v>-69.276381604708007</v>
      </c>
      <c r="T277">
        <f t="shared" si="968"/>
        <v>-6.9276381604708004E-2</v>
      </c>
    </row>
    <row r="278" spans="1:20" x14ac:dyDescent="0.25">
      <c r="A278" s="5">
        <v>44315</v>
      </c>
      <c r="B278">
        <v>9.7159999999999993</v>
      </c>
      <c r="C278">
        <v>9.7910000000000004</v>
      </c>
      <c r="D278">
        <v>9.3390000000000004</v>
      </c>
      <c r="E278">
        <v>9.5210000000000008</v>
      </c>
      <c r="F278">
        <v>473788.58600000001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-0.19469026548672388</v>
      </c>
      <c r="Q278">
        <f t="shared" si="965"/>
        <v>-92242.025592919512</v>
      </c>
      <c r="R278">
        <f t="shared" si="966"/>
        <v>-7128580.3069564151</v>
      </c>
      <c r="S278">
        <f t="shared" si="967"/>
        <v>-71.285803069564153</v>
      </c>
      <c r="T278">
        <f t="shared" si="968"/>
        <v>-7.1285803069564155E-2</v>
      </c>
    </row>
    <row r="279" spans="1:20" x14ac:dyDescent="0.25">
      <c r="A279" s="5">
        <v>44314</v>
      </c>
      <c r="B279">
        <v>9.9930000000000003</v>
      </c>
      <c r="C279">
        <v>10.315</v>
      </c>
      <c r="D279">
        <v>9.6379999999999999</v>
      </c>
      <c r="E279">
        <v>9.7159999999999993</v>
      </c>
      <c r="F279">
        <v>1264211.186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-0.76957163958641228</v>
      </c>
      <c r="Q279">
        <f t="shared" si="965"/>
        <v>-972901.07519350282</v>
      </c>
      <c r="R279">
        <f t="shared" si="966"/>
        <v>-7036338.2813634956</v>
      </c>
      <c r="S279">
        <f t="shared" si="967"/>
        <v>-70.363382813634956</v>
      </c>
      <c r="T279">
        <f t="shared" si="968"/>
        <v>-7.0363382813634953E-2</v>
      </c>
    </row>
    <row r="280" spans="1:20" x14ac:dyDescent="0.25">
      <c r="A280" s="5">
        <v>44313</v>
      </c>
      <c r="B280">
        <v>10.02</v>
      </c>
      <c r="C280">
        <v>10.629</v>
      </c>
      <c r="D280">
        <v>9.9510000000000005</v>
      </c>
      <c r="E280">
        <v>9.9930000000000003</v>
      </c>
      <c r="F280">
        <v>1155544.933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-0.87610619469026585</v>
      </c>
      <c r="Q280">
        <f t="shared" si="965"/>
        <v>-1012380.0740442482</v>
      </c>
      <c r="R280">
        <f t="shared" si="966"/>
        <v>-6063437.2061699927</v>
      </c>
      <c r="S280">
        <f t="shared" si="967"/>
        <v>-60.634372061699928</v>
      </c>
      <c r="T280">
        <f t="shared" si="968"/>
        <v>-6.0634372061699929E-2</v>
      </c>
    </row>
    <row r="281" spans="1:20" x14ac:dyDescent="0.25">
      <c r="A281" s="5">
        <v>44312</v>
      </c>
      <c r="B281">
        <v>9.0510000000000002</v>
      </c>
      <c r="C281">
        <v>10.5</v>
      </c>
      <c r="D281">
        <v>9.0500000000000007</v>
      </c>
      <c r="E281">
        <v>10.02</v>
      </c>
      <c r="F281">
        <v>2236323.6809999999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0.33793103448275769</v>
      </c>
      <c r="Q281">
        <f t="shared" si="965"/>
        <v>755723.17495861859</v>
      </c>
      <c r="R281">
        <f t="shared" si="966"/>
        <v>-5051057.1321257446</v>
      </c>
      <c r="S281">
        <f t="shared" si="967"/>
        <v>-50.510571321257444</v>
      </c>
      <c r="T281">
        <f t="shared" si="968"/>
        <v>-5.0510571321257441E-2</v>
      </c>
    </row>
    <row r="282" spans="1:20" x14ac:dyDescent="0.25">
      <c r="A282" s="5">
        <v>44311</v>
      </c>
      <c r="B282">
        <v>8.6080000000000005</v>
      </c>
      <c r="C282">
        <v>9.3059999999999992</v>
      </c>
      <c r="D282">
        <v>8.44</v>
      </c>
      <c r="E282">
        <v>9.0500000000000007</v>
      </c>
      <c r="F282">
        <v>1171855.92</v>
      </c>
      <c r="G282">
        <v>0</v>
      </c>
      <c r="L282" t="s">
        <v>8</v>
      </c>
      <c r="M282" t="s">
        <v>7</v>
      </c>
      <c r="N282" t="s">
        <v>8</v>
      </c>
      <c r="P282">
        <f t="shared" si="964"/>
        <v>0.40877598152425276</v>
      </c>
      <c r="Q282">
        <f t="shared" si="965"/>
        <v>479026.55390300619</v>
      </c>
      <c r="R282">
        <f t="shared" si="966"/>
        <v>-5806780.307084363</v>
      </c>
      <c r="S282">
        <f t="shared" si="967"/>
        <v>-58.067803070843631</v>
      </c>
      <c r="T282">
        <f t="shared" si="968"/>
        <v>-5.8067803070843631E-2</v>
      </c>
    </row>
    <row r="283" spans="1:20" x14ac:dyDescent="0.25">
      <c r="A283" s="5">
        <v>44310</v>
      </c>
      <c r="B283">
        <v>8.7319999999999993</v>
      </c>
      <c r="C283">
        <v>8.77</v>
      </c>
      <c r="D283">
        <v>8.4130000000000003</v>
      </c>
      <c r="E283">
        <v>8.6069999999999993</v>
      </c>
      <c r="F283">
        <v>496339.603</v>
      </c>
      <c r="G283">
        <v>0</v>
      </c>
      <c r="L283" t="s">
        <v>7</v>
      </c>
      <c r="M283" t="s">
        <v>7</v>
      </c>
      <c r="N283" t="s">
        <v>8</v>
      </c>
      <c r="P283">
        <f t="shared" si="964"/>
        <v>8.6834733893554242E-2</v>
      </c>
      <c r="Q283">
        <f t="shared" si="965"/>
        <v>43099.517347337358</v>
      </c>
      <c r="R283">
        <f t="shared" si="966"/>
        <v>-6285806.860987369</v>
      </c>
      <c r="S283">
        <f t="shared" si="967"/>
        <v>-62.85806860987369</v>
      </c>
      <c r="T283">
        <f t="shared" si="968"/>
        <v>-6.2858068609873696E-2</v>
      </c>
    </row>
    <row r="284" spans="1:20" x14ac:dyDescent="0.25">
      <c r="A284" s="5">
        <v>44309</v>
      </c>
      <c r="B284">
        <v>9.3260000000000005</v>
      </c>
      <c r="C284">
        <v>9.5690000000000008</v>
      </c>
      <c r="D284">
        <v>8.49</v>
      </c>
      <c r="E284">
        <v>8.7680000000000007</v>
      </c>
      <c r="F284">
        <v>1096222.199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-0.48470806302131547</v>
      </c>
      <c r="Q284">
        <f t="shared" si="965"/>
        <v>-531347.73871825705</v>
      </c>
      <c r="R284">
        <f t="shared" si="966"/>
        <v>-6328906.3783347066</v>
      </c>
      <c r="S284">
        <f t="shared" si="967"/>
        <v>-63.289063783347068</v>
      </c>
      <c r="T284">
        <f t="shared" si="968"/>
        <v>-6.3289063783347074E-2</v>
      </c>
    </row>
    <row r="285" spans="1:20" x14ac:dyDescent="0.25">
      <c r="A285" s="5">
        <v>44308</v>
      </c>
      <c r="B285">
        <v>8.9130000000000003</v>
      </c>
      <c r="C285">
        <v>10.4</v>
      </c>
      <c r="D285">
        <v>8.84</v>
      </c>
      <c r="E285">
        <v>9.3379999999999992</v>
      </c>
      <c r="F285">
        <v>1747283.2039999999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-0.36153846153846259</v>
      </c>
      <c r="Q285">
        <f t="shared" si="965"/>
        <v>-631710.08144615567</v>
      </c>
      <c r="R285">
        <f t="shared" si="966"/>
        <v>-5797558.6396164494</v>
      </c>
      <c r="S285">
        <f t="shared" si="967"/>
        <v>-57.975586396164495</v>
      </c>
      <c r="T285">
        <f t="shared" si="968"/>
        <v>-5.7975586396164493E-2</v>
      </c>
    </row>
    <row r="286" spans="1:20" x14ac:dyDescent="0.25">
      <c r="A286" s="5">
        <v>44307</v>
      </c>
      <c r="B286">
        <v>8.984</v>
      </c>
      <c r="C286">
        <v>9.7509999999999994</v>
      </c>
      <c r="D286">
        <v>8.84</v>
      </c>
      <c r="E286">
        <v>8.9130000000000003</v>
      </c>
      <c r="F286">
        <v>1367392.7039999999</v>
      </c>
      <c r="G286">
        <v>0</v>
      </c>
      <c r="L286" t="s">
        <v>7</v>
      </c>
      <c r="M286" t="s">
        <v>8</v>
      </c>
      <c r="N286" t="s">
        <v>8</v>
      </c>
      <c r="P286">
        <f t="shared" si="964"/>
        <v>-0.83973655323819885</v>
      </c>
      <c r="Q286">
        <f t="shared" si="965"/>
        <v>-1148249.6361800206</v>
      </c>
      <c r="R286">
        <f t="shared" si="966"/>
        <v>-5165848.5581702935</v>
      </c>
      <c r="S286">
        <f t="shared" si="967"/>
        <v>-51.658485581702934</v>
      </c>
      <c r="T286">
        <f t="shared" si="968"/>
        <v>-5.1658485581702933E-2</v>
      </c>
    </row>
    <row r="287" spans="1:20" x14ac:dyDescent="0.25">
      <c r="A287" s="5">
        <v>44306</v>
      </c>
      <c r="B287">
        <v>9.77</v>
      </c>
      <c r="C287">
        <v>10.15</v>
      </c>
      <c r="D287">
        <v>8.35</v>
      </c>
      <c r="E287">
        <v>8.9819999999999993</v>
      </c>
      <c r="F287">
        <v>2668635.3360000001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-0.29777777777777842</v>
      </c>
      <c r="Q287">
        <f t="shared" si="965"/>
        <v>-794660.30005333503</v>
      </c>
      <c r="R287">
        <f t="shared" si="966"/>
        <v>-4017598.9219902726</v>
      </c>
      <c r="S287">
        <f t="shared" si="967"/>
        <v>-40.175989219902725</v>
      </c>
      <c r="T287">
        <f t="shared" si="968"/>
        <v>-4.0175989219902723E-2</v>
      </c>
    </row>
    <row r="288" spans="1:20" x14ac:dyDescent="0.25">
      <c r="A288" s="5">
        <v>44305</v>
      </c>
      <c r="B288">
        <v>7.89</v>
      </c>
      <c r="C288">
        <v>14.55</v>
      </c>
      <c r="D288">
        <v>7.89</v>
      </c>
      <c r="E288">
        <v>9.77</v>
      </c>
      <c r="F288">
        <v>7401645.2489999998</v>
      </c>
      <c r="G288">
        <v>0</v>
      </c>
      <c r="P288">
        <f t="shared" si="964"/>
        <v>-0.43543543543543556</v>
      </c>
      <c r="Q288">
        <f t="shared" si="965"/>
        <v>-3222938.6219369378</v>
      </c>
      <c r="R288">
        <f t="shared" si="966"/>
        <v>-3222938.6219369378</v>
      </c>
      <c r="S288">
        <f t="shared" si="967"/>
        <v>-32.229386219369381</v>
      </c>
      <c r="T288">
        <f t="shared" si="968"/>
        <v>-3.2229386219369383E-2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N579" sqref="DN57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$A$578</v>
      </c>
      <c r="D111" s="1" t="str">
        <f>ADDRESS(C121-1,D121,1,1)</f>
        <v>$DN$578</v>
      </c>
      <c r="E111"/>
    </row>
    <row r="112" spans="1:5" x14ac:dyDescent="0.25">
      <c r="A112" s="7">
        <v>12164.144957890772</v>
      </c>
      <c r="C112" s="1" t="str">
        <f>ADDRESS(C121,1,1,1)</f>
        <v>$A$579</v>
      </c>
      <c r="D112" s="1" t="str">
        <f>ADDRESS(C121,D121-1,1,1)</f>
        <v>$DM$579</v>
      </c>
      <c r="E112"/>
    </row>
    <row r="113" spans="1:5" x14ac:dyDescent="0.25">
      <c r="A113" s="7">
        <v>11925.63231165762</v>
      </c>
      <c r="C113" s="1" t="str">
        <f>ADDRESS(C121+1,1,1,1)</f>
        <v>$A$580</v>
      </c>
      <c r="D113" s="1" t="str">
        <f>ADDRESS(C121-1,D121+1,1,1)</f>
        <v>$DO$578</v>
      </c>
    </row>
    <row r="114" spans="1:5" x14ac:dyDescent="0.25">
      <c r="A114" s="7">
        <v>11691.796383978059</v>
      </c>
      <c r="C114" s="1" t="str">
        <f>ADDRESS(C121,D121,1,1)</f>
        <v>$DN$579</v>
      </c>
      <c r="D114" s="1" t="str">
        <f>ADDRESS(C121+1,D121+1,1,1)</f>
        <v>$DO$580</v>
      </c>
    </row>
    <row r="115" spans="1:5" x14ac:dyDescent="0.25">
      <c r="A115" s="7">
        <v>11462.545474488292</v>
      </c>
      <c r="C115" s="1" t="str">
        <f>ADDRESS(C121+1,D121,1,1)</f>
        <v>$DN$580</v>
      </c>
    </row>
    <row r="116" spans="1:5" x14ac:dyDescent="0.25">
      <c r="A116" s="7">
        <v>11237.789680870874</v>
      </c>
      <c r="C116" s="1">
        <f>C117-1</f>
        <v>578</v>
      </c>
    </row>
    <row r="117" spans="1:5" x14ac:dyDescent="0.25">
      <c r="A117" s="7">
        <v>11017.440863598895</v>
      </c>
      <c r="C117" s="1">
        <f>C121</f>
        <v>579</v>
      </c>
      <c r="D117" s="1">
        <f>D121</f>
        <v>118</v>
      </c>
    </row>
    <row r="118" spans="1:5" x14ac:dyDescent="0.25">
      <c r="A118" s="7">
        <v>10801.412611371465</v>
      </c>
      <c r="C118" s="1">
        <f>C117+1</f>
        <v>580</v>
      </c>
      <c r="D118" s="1">
        <f>D117+1</f>
        <v>119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579</v>
      </c>
      <c r="D121" s="19">
        <v>118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R579</v>
      </c>
      <c r="D123" s="1" t="str">
        <f>"C"&amp;D121</f>
        <v>C118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1.1716593810022657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14" x14ac:dyDescent="0.25">
      <c r="A449" s="7">
        <v>15.375303708145482</v>
      </c>
      <c r="B449"/>
      <c r="C449"/>
      <c r="D449"/>
      <c r="E449"/>
    </row>
    <row r="450" spans="1:14" x14ac:dyDescent="0.25">
      <c r="A450" s="7">
        <v>15.073827164848511</v>
      </c>
      <c r="B450"/>
      <c r="C450"/>
      <c r="D450"/>
      <c r="E450"/>
    </row>
    <row r="451" spans="1:14" x14ac:dyDescent="0.25">
      <c r="A451" s="7">
        <v>14.77826192632207</v>
      </c>
      <c r="B451"/>
      <c r="C451"/>
      <c r="D451"/>
      <c r="E451"/>
    </row>
    <row r="452" spans="1:14" x14ac:dyDescent="0.25">
      <c r="A452" s="7">
        <v>14.488492084629481</v>
      </c>
      <c r="B452"/>
      <c r="C452"/>
      <c r="D452"/>
      <c r="E452"/>
    </row>
    <row r="453" spans="1:14" x14ac:dyDescent="0.25">
      <c r="A453" s="7">
        <v>14.204404004538707</v>
      </c>
      <c r="B453"/>
      <c r="C453"/>
      <c r="D453"/>
      <c r="E453"/>
    </row>
    <row r="454" spans="1:14" x14ac:dyDescent="0.25">
      <c r="A454" s="7">
        <v>13.925886278959517</v>
      </c>
      <c r="B454"/>
      <c r="C454"/>
      <c r="D454"/>
      <c r="E454"/>
    </row>
    <row r="455" spans="1:14" x14ac:dyDescent="0.25">
      <c r="A455" s="7">
        <v>13.652829685254428</v>
      </c>
      <c r="B455"/>
      <c r="C455"/>
      <c r="D455"/>
      <c r="E455"/>
    </row>
    <row r="456" spans="1:14" x14ac:dyDescent="0.25">
      <c r="A456" s="7">
        <v>13.385127142406303</v>
      </c>
      <c r="B456"/>
      <c r="C456"/>
      <c r="D456"/>
      <c r="E456"/>
    </row>
    <row r="457" spans="1:14" x14ac:dyDescent="0.25">
      <c r="A457" s="7">
        <v>13.122673669025787</v>
      </c>
      <c r="B457"/>
      <c r="C457"/>
      <c r="D457"/>
      <c r="E457"/>
    </row>
    <row r="458" spans="1:14" x14ac:dyDescent="0.25">
      <c r="A458" s="7">
        <v>12.865366342182144</v>
      </c>
      <c r="B458"/>
      <c r="C458"/>
      <c r="D458"/>
      <c r="E458"/>
    </row>
    <row r="459" spans="1:14" x14ac:dyDescent="0.25">
      <c r="A459" s="7">
        <v>12.613104257041318</v>
      </c>
      <c r="B459"/>
      <c r="C459"/>
      <c r="D459"/>
      <c r="E459"/>
    </row>
    <row r="460" spans="1:14" x14ac:dyDescent="0.25">
      <c r="A460" s="7">
        <v>12.36578848729541</v>
      </c>
      <c r="B460"/>
      <c r="C460"/>
      <c r="D460"/>
      <c r="E460"/>
      <c r="M460" s="27" t="s">
        <v>8</v>
      </c>
    </row>
    <row r="461" spans="1:14" x14ac:dyDescent="0.25">
      <c r="A461" s="7">
        <v>12.123322046368049</v>
      </c>
      <c r="B461"/>
      <c r="C461"/>
      <c r="D461"/>
      <c r="E461"/>
      <c r="M461" s="27" t="s">
        <v>8</v>
      </c>
      <c r="N461" s="27" t="s">
        <v>7</v>
      </c>
    </row>
    <row r="462" spans="1:14" x14ac:dyDescent="0.25">
      <c r="A462" s="7">
        <v>11.88560984938044</v>
      </c>
      <c r="B462"/>
      <c r="C462"/>
      <c r="D462"/>
      <c r="E462"/>
      <c r="M462" s="27" t="s">
        <v>8</v>
      </c>
      <c r="N462" s="27" t="s">
        <v>7</v>
      </c>
    </row>
    <row r="463" spans="1:14" x14ac:dyDescent="0.25">
      <c r="A463" s="7">
        <v>11.652558675863176</v>
      </c>
      <c r="B463"/>
      <c r="C463"/>
      <c r="D463"/>
      <c r="E463"/>
      <c r="M463" s="27" t="s">
        <v>8</v>
      </c>
      <c r="N463" s="27" t="s">
        <v>7</v>
      </c>
    </row>
    <row r="464" spans="1:14" x14ac:dyDescent="0.25">
      <c r="A464" s="7">
        <v>11.424077133199193</v>
      </c>
      <c r="B464"/>
      <c r="C464"/>
      <c r="D464"/>
      <c r="E464"/>
      <c r="M464" s="27" t="s">
        <v>8</v>
      </c>
      <c r="N464" s="27" t="s">
        <v>7</v>
      </c>
    </row>
    <row r="465" spans="1:20" x14ac:dyDescent="0.25">
      <c r="A465" s="7">
        <v>11.200075620783522</v>
      </c>
      <c r="B465"/>
      <c r="C465"/>
      <c r="D465"/>
      <c r="E465"/>
      <c r="M465" s="27" t="s">
        <v>8</v>
      </c>
      <c r="N465" s="27" t="s">
        <v>7</v>
      </c>
      <c r="O465" s="27" t="s">
        <v>8</v>
      </c>
    </row>
    <row r="466" spans="1:20" x14ac:dyDescent="0.25">
      <c r="A466" s="7">
        <v>10.980466294885806</v>
      </c>
      <c r="B466"/>
      <c r="C466"/>
      <c r="D466"/>
      <c r="E466"/>
      <c r="M466" s="27" t="s">
        <v>8</v>
      </c>
      <c r="N466" s="27" t="s">
        <v>7</v>
      </c>
      <c r="O466" s="27" t="s">
        <v>8</v>
      </c>
      <c r="P466" s="27" t="s">
        <v>7</v>
      </c>
    </row>
    <row r="467" spans="1:20" x14ac:dyDescent="0.25">
      <c r="A467" s="7">
        <v>10.765163034201771</v>
      </c>
      <c r="B467"/>
      <c r="C467"/>
      <c r="D467"/>
      <c r="E467"/>
      <c r="M467" s="27" t="s">
        <v>8</v>
      </c>
      <c r="N467" s="27" t="s">
        <v>7</v>
      </c>
      <c r="O467" s="27" t="s">
        <v>8</v>
      </c>
      <c r="P467" s="27" t="s">
        <v>7</v>
      </c>
    </row>
    <row r="468" spans="1:20" x14ac:dyDescent="0.25">
      <c r="A468" s="7">
        <v>10.554081406080169</v>
      </c>
      <c r="B468"/>
      <c r="C468"/>
      <c r="D468"/>
      <c r="E468"/>
      <c r="I468" s="27" t="s">
        <v>8</v>
      </c>
      <c r="K468" s="27" t="s">
        <v>8</v>
      </c>
      <c r="M468" s="27" t="s">
        <v>8</v>
      </c>
      <c r="N468" s="27" t="s">
        <v>7</v>
      </c>
      <c r="O468" s="27" t="s">
        <v>8</v>
      </c>
      <c r="P468" s="27" t="s">
        <v>7</v>
      </c>
      <c r="Q468" s="27" t="s">
        <v>8</v>
      </c>
    </row>
    <row r="469" spans="1:20" x14ac:dyDescent="0.25">
      <c r="A469" s="7">
        <v>10.34713863341193</v>
      </c>
      <c r="B469"/>
      <c r="C469"/>
      <c r="D469"/>
      <c r="E469"/>
      <c r="G469" s="27" t="s">
        <v>8</v>
      </c>
      <c r="I469" s="27" t="s">
        <v>8</v>
      </c>
      <c r="J469" s="27" t="s">
        <v>7</v>
      </c>
      <c r="K469" s="27" t="s">
        <v>8</v>
      </c>
      <c r="L469" s="27" t="s">
        <v>7</v>
      </c>
      <c r="M469" s="27" t="s">
        <v>8</v>
      </c>
      <c r="N469" s="27" t="s">
        <v>7</v>
      </c>
      <c r="P469" s="27" t="s">
        <v>7</v>
      </c>
      <c r="Q469" s="27" t="s">
        <v>8</v>
      </c>
      <c r="R469" s="27" t="s">
        <v>7</v>
      </c>
    </row>
    <row r="470" spans="1:20" x14ac:dyDescent="0.25">
      <c r="A470" s="7">
        <v>10.14425356216856</v>
      </c>
      <c r="B470"/>
      <c r="C470"/>
      <c r="D470"/>
      <c r="E470" t="s">
        <v>8</v>
      </c>
      <c r="G470" s="27" t="s">
        <v>8</v>
      </c>
      <c r="H470" s="27" t="s">
        <v>7</v>
      </c>
      <c r="I470" s="27" t="s">
        <v>8</v>
      </c>
      <c r="J470" s="27" t="s">
        <v>7</v>
      </c>
      <c r="K470" s="27" t="s">
        <v>8</v>
      </c>
      <c r="L470" s="27" t="s">
        <v>7</v>
      </c>
      <c r="M470" s="27" t="s">
        <v>8</v>
      </c>
      <c r="P470" s="27" t="s">
        <v>7</v>
      </c>
      <c r="Q470" s="27" t="s">
        <v>8</v>
      </c>
      <c r="R470" s="27" t="s">
        <v>7</v>
      </c>
    </row>
    <row r="471" spans="1:20" x14ac:dyDescent="0.25">
      <c r="A471" s="7">
        <v>9.9453466295770188</v>
      </c>
      <c r="B471"/>
      <c r="C471"/>
      <c r="D471"/>
      <c r="E471" t="s">
        <v>8</v>
      </c>
      <c r="F471" s="27" t="s">
        <v>7</v>
      </c>
      <c r="G471" s="27" t="s">
        <v>8</v>
      </c>
      <c r="H471" s="27" t="s">
        <v>7</v>
      </c>
      <c r="I471" s="27" t="s">
        <v>8</v>
      </c>
      <c r="J471" s="27" t="s">
        <v>7</v>
      </c>
      <c r="K471" s="27" t="s">
        <v>8</v>
      </c>
      <c r="L471" s="27" t="s">
        <v>7</v>
      </c>
      <c r="M471" s="27" t="s">
        <v>8</v>
      </c>
      <c r="P471" s="27" t="s">
        <v>7</v>
      </c>
      <c r="Q471" s="27" t="s">
        <v>8</v>
      </c>
      <c r="R471" s="27" t="s">
        <v>7</v>
      </c>
    </row>
    <row r="472" spans="1:20" x14ac:dyDescent="0.25">
      <c r="A472" s="7">
        <v>9.7503398329186464</v>
      </c>
      <c r="B472"/>
      <c r="C472"/>
      <c r="D472"/>
      <c r="E472" t="s">
        <v>8</v>
      </c>
      <c r="F472" s="27" t="s">
        <v>7</v>
      </c>
      <c r="G472" s="27" t="s">
        <v>8</v>
      </c>
      <c r="H472" s="27" t="s">
        <v>7</v>
      </c>
      <c r="I472" s="27" t="s">
        <v>8</v>
      </c>
      <c r="J472" s="27" t="s">
        <v>7</v>
      </c>
      <c r="K472" s="27" t="s">
        <v>8</v>
      </c>
      <c r="L472" s="27" t="s">
        <v>7</v>
      </c>
      <c r="P472" s="27" t="s">
        <v>7</v>
      </c>
      <c r="R472" s="27" t="s">
        <v>7</v>
      </c>
    </row>
    <row r="473" spans="1:20" x14ac:dyDescent="0.25">
      <c r="A473" s="7">
        <v>9.5591566989398498</v>
      </c>
      <c r="B473"/>
      <c r="C473"/>
      <c r="D473"/>
      <c r="E473" t="s">
        <v>8</v>
      </c>
      <c r="F473" s="27" t="s">
        <v>7</v>
      </c>
      <c r="G473" s="27" t="s">
        <v>8</v>
      </c>
      <c r="H473" s="27" t="s">
        <v>7</v>
      </c>
      <c r="I473" s="27" t="s">
        <v>8</v>
      </c>
      <c r="J473" s="27" t="s">
        <v>7</v>
      </c>
      <c r="K473" s="27" t="s">
        <v>8</v>
      </c>
      <c r="R473" s="27" t="s">
        <v>7</v>
      </c>
    </row>
    <row r="474" spans="1:20" x14ac:dyDescent="0.25">
      <c r="A474" s="7">
        <v>9.3717222538625968</v>
      </c>
      <c r="B474"/>
      <c r="C474"/>
      <c r="D474"/>
      <c r="E474" t="s">
        <v>8</v>
      </c>
      <c r="F474" s="27" t="s">
        <v>7</v>
      </c>
      <c r="G474" s="27" t="s">
        <v>8</v>
      </c>
      <c r="H474" s="27" t="s">
        <v>7</v>
      </c>
      <c r="I474" s="27" t="s">
        <v>8</v>
      </c>
      <c r="J474" s="27" t="s">
        <v>7</v>
      </c>
      <c r="R474" s="27" t="s">
        <v>7</v>
      </c>
    </row>
    <row r="475" spans="1:20" x14ac:dyDescent="0.25">
      <c r="A475" s="7">
        <v>9.1879629939829375</v>
      </c>
      <c r="B475"/>
      <c r="C475"/>
      <c r="D475"/>
      <c r="E475" t="s">
        <v>8</v>
      </c>
      <c r="F475" s="27" t="s">
        <v>7</v>
      </c>
      <c r="G475" s="27" t="s">
        <v>8</v>
      </c>
      <c r="H475" s="27" t="s">
        <v>7</v>
      </c>
      <c r="I475" s="27" t="s">
        <v>8</v>
      </c>
      <c r="R475" s="27" t="s">
        <v>7</v>
      </c>
    </row>
    <row r="476" spans="1:20" x14ac:dyDescent="0.25">
      <c r="A476" s="7">
        <v>9.0078068568460168</v>
      </c>
      <c r="B476"/>
      <c r="C476"/>
      <c r="D476"/>
      <c r="E476" t="s">
        <v>8</v>
      </c>
      <c r="F476" s="27" t="s">
        <v>7</v>
      </c>
      <c r="H476" s="27" t="s">
        <v>7</v>
      </c>
      <c r="I476" s="27" t="s">
        <v>8</v>
      </c>
      <c r="R476" s="27" t="s">
        <v>7</v>
      </c>
    </row>
    <row r="477" spans="1:20" x14ac:dyDescent="0.25">
      <c r="A477" s="7">
        <v>8.8311831929862912</v>
      </c>
      <c r="B477"/>
      <c r="C477"/>
      <c r="D477"/>
      <c r="E477" t="s">
        <v>8</v>
      </c>
      <c r="H477" s="27" t="s">
        <v>7</v>
      </c>
      <c r="I477" s="27" t="s">
        <v>8</v>
      </c>
      <c r="R477" s="27" t="s">
        <v>7</v>
      </c>
    </row>
    <row r="478" spans="1:20" x14ac:dyDescent="0.25">
      <c r="A478" s="7">
        <v>8.6580227382218542</v>
      </c>
      <c r="B478"/>
      <c r="C478"/>
      <c r="D478"/>
      <c r="E478" t="s">
        <v>8</v>
      </c>
      <c r="H478" s="27" t="s">
        <v>7</v>
      </c>
      <c r="I478" s="27" t="s">
        <v>8</v>
      </c>
      <c r="R478" s="27" t="s">
        <v>7</v>
      </c>
    </row>
    <row r="479" spans="1:20" x14ac:dyDescent="0.25">
      <c r="A479" s="7">
        <v>8.4882575864920131</v>
      </c>
      <c r="B479"/>
      <c r="C479"/>
      <c r="D479"/>
      <c r="E479" t="s">
        <v>8</v>
      </c>
      <c r="H479" s="27" t="s">
        <v>7</v>
      </c>
      <c r="R479" s="27" t="s">
        <v>7</v>
      </c>
      <c r="S479" s="27" t="s">
        <v>8</v>
      </c>
    </row>
    <row r="480" spans="1:20" x14ac:dyDescent="0.25">
      <c r="A480" s="7">
        <v>8.3218211632274635</v>
      </c>
      <c r="B480"/>
      <c r="C480"/>
      <c r="D480"/>
      <c r="E480" t="s">
        <v>8</v>
      </c>
      <c r="R480" s="27" t="s">
        <v>7</v>
      </c>
      <c r="S480" s="27" t="s">
        <v>8</v>
      </c>
      <c r="T480" s="27" t="s">
        <v>7</v>
      </c>
    </row>
    <row r="481" spans="1:36" x14ac:dyDescent="0.25">
      <c r="A481" s="7">
        <v>8.1586481992426112</v>
      </c>
      <c r="B481"/>
      <c r="C481"/>
      <c r="D481"/>
      <c r="E481" t="s">
        <v>8</v>
      </c>
      <c r="R481" s="27" t="s">
        <v>7</v>
      </c>
      <c r="S481" s="27" t="s">
        <v>8</v>
      </c>
      <c r="T481" s="27" t="s">
        <v>7</v>
      </c>
    </row>
    <row r="482" spans="1:36" x14ac:dyDescent="0.25">
      <c r="A482" s="7">
        <v>7.9986747051398144</v>
      </c>
      <c r="B482"/>
      <c r="C482"/>
      <c r="D482"/>
      <c r="E482" t="s">
        <v>8</v>
      </c>
      <c r="R482" s="27" t="s">
        <v>7</v>
      </c>
      <c r="S482" s="27" t="s">
        <v>8</v>
      </c>
      <c r="T482" s="27" t="s">
        <v>7</v>
      </c>
    </row>
    <row r="483" spans="1:36" x14ac:dyDescent="0.25">
      <c r="A483" s="7">
        <v>7.8418379462155041</v>
      </c>
      <c r="B483"/>
      <c r="C483"/>
      <c r="D483"/>
      <c r="E483" t="s">
        <v>8</v>
      </c>
      <c r="R483" s="27" t="s">
        <v>7</v>
      </c>
      <c r="T483" s="27" t="s">
        <v>7</v>
      </c>
    </row>
    <row r="484" spans="1:36" x14ac:dyDescent="0.25">
      <c r="A484" s="7">
        <v>7.688076417858337</v>
      </c>
      <c r="B484"/>
      <c r="C484"/>
      <c r="D484"/>
      <c r="E484" t="s">
        <v>8</v>
      </c>
      <c r="T484" s="27" t="s">
        <v>7</v>
      </c>
      <c r="U484" s="27" t="s">
        <v>8</v>
      </c>
    </row>
    <row r="485" spans="1:36" x14ac:dyDescent="0.25">
      <c r="A485" s="7">
        <v>7.5373298214297417</v>
      </c>
      <c r="B485"/>
      <c r="C485"/>
      <c r="D485"/>
      <c r="E485" t="s">
        <v>8</v>
      </c>
      <c r="T485" s="27" t="s">
        <v>7</v>
      </c>
      <c r="U485" s="27" t="s">
        <v>8</v>
      </c>
      <c r="V485" s="27" t="s">
        <v>7</v>
      </c>
    </row>
    <row r="486" spans="1:36" x14ac:dyDescent="0.25">
      <c r="A486" s="7">
        <v>7.389539040617394</v>
      </c>
      <c r="B486"/>
      <c r="C486"/>
      <c r="D486"/>
      <c r="E486" t="s">
        <v>8</v>
      </c>
      <c r="T486" s="27" t="s">
        <v>7</v>
      </c>
      <c r="U486" s="27" t="s">
        <v>8</v>
      </c>
      <c r="V486" s="27" t="s">
        <v>7</v>
      </c>
      <c r="AI486" s="27" t="s">
        <v>8</v>
      </c>
    </row>
    <row r="487" spans="1:36" x14ac:dyDescent="0.25">
      <c r="A487" s="7">
        <v>7.2446461182523469</v>
      </c>
      <c r="B487"/>
      <c r="C487"/>
      <c r="D487"/>
      <c r="E487" t="s">
        <v>8</v>
      </c>
      <c r="T487" s="27" t="s">
        <v>7</v>
      </c>
      <c r="U487" s="27" t="s">
        <v>8</v>
      </c>
      <c r="V487" s="27" t="s">
        <v>7</v>
      </c>
      <c r="AI487" s="27" t="s">
        <v>8</v>
      </c>
      <c r="AJ487" s="27" t="s">
        <v>7</v>
      </c>
    </row>
    <row r="488" spans="1:36" x14ac:dyDescent="0.25">
      <c r="A488" s="7">
        <v>7.1025942335807324</v>
      </c>
      <c r="B488"/>
      <c r="C488"/>
      <c r="D488"/>
      <c r="E488" t="s">
        <v>8</v>
      </c>
      <c r="T488" s="27" t="s">
        <v>7</v>
      </c>
      <c r="V488" s="27" t="s">
        <v>7</v>
      </c>
      <c r="AI488" s="27" t="s">
        <v>8</v>
      </c>
      <c r="AJ488" s="27" t="s">
        <v>7</v>
      </c>
    </row>
    <row r="489" spans="1:36" x14ac:dyDescent="0.25">
      <c r="A489" s="7">
        <v>6.9633276799811101</v>
      </c>
      <c r="B489"/>
      <c r="C489"/>
      <c r="D489"/>
      <c r="E489" t="s">
        <v>8</v>
      </c>
      <c r="V489" s="27" t="s">
        <v>7</v>
      </c>
      <c r="AI489" s="27" t="s">
        <v>8</v>
      </c>
      <c r="AJ489" s="27" t="s">
        <v>7</v>
      </c>
    </row>
    <row r="490" spans="1:36" x14ac:dyDescent="0.25">
      <c r="A490" s="7">
        <v>6.8267918431187349</v>
      </c>
      <c r="B490"/>
      <c r="C490"/>
      <c r="D490"/>
      <c r="E490" t="s">
        <v>8</v>
      </c>
      <c r="V490" s="27" t="s">
        <v>7</v>
      </c>
      <c r="AI490" s="27" t="s">
        <v>8</v>
      </c>
      <c r="AJ490" s="27" t="s">
        <v>7</v>
      </c>
    </row>
    <row r="491" spans="1:36" x14ac:dyDescent="0.25">
      <c r="A491" s="7">
        <v>6.692933179528171</v>
      </c>
      <c r="B491"/>
      <c r="C491"/>
      <c r="D491"/>
      <c r="E491" t="s">
        <v>8</v>
      </c>
      <c r="V491" s="27" t="s">
        <v>7</v>
      </c>
      <c r="AI491" s="27" t="s">
        <v>8</v>
      </c>
      <c r="AJ491" s="27" t="s">
        <v>7</v>
      </c>
    </row>
    <row r="492" spans="1:36" x14ac:dyDescent="0.25">
      <c r="A492" s="7">
        <v>6.5616991956158541</v>
      </c>
      <c r="B492"/>
      <c r="C492"/>
      <c r="D492"/>
      <c r="E492" t="s">
        <v>8</v>
      </c>
      <c r="V492" s="27" t="s">
        <v>7</v>
      </c>
      <c r="AI492" s="27" t="s">
        <v>8</v>
      </c>
      <c r="AJ492" s="27" t="s">
        <v>7</v>
      </c>
    </row>
    <row r="493" spans="1:36" x14ac:dyDescent="0.25">
      <c r="A493" s="7">
        <v>6.4330384270743668</v>
      </c>
      <c r="B493"/>
      <c r="C493"/>
      <c r="D493"/>
      <c r="E493" t="s">
        <v>8</v>
      </c>
      <c r="V493" s="27" t="s">
        <v>7</v>
      </c>
      <c r="W493" s="27" t="s">
        <v>8</v>
      </c>
      <c r="AI493" s="27" t="s">
        <v>8</v>
      </c>
      <c r="AJ493" s="27" t="s">
        <v>7</v>
      </c>
    </row>
    <row r="494" spans="1:36" x14ac:dyDescent="0.25">
      <c r="A494" s="7">
        <v>6.3069004187003594</v>
      </c>
      <c r="B494"/>
      <c r="C494"/>
      <c r="D494"/>
      <c r="E494" t="s">
        <v>8</v>
      </c>
      <c r="V494" s="27" t="s">
        <v>7</v>
      </c>
      <c r="W494" s="27" t="s">
        <v>8</v>
      </c>
      <c r="X494" s="27" t="s">
        <v>7</v>
      </c>
      <c r="AI494" s="27" t="s">
        <v>8</v>
      </c>
      <c r="AJ494" s="27" t="s">
        <v>7</v>
      </c>
    </row>
    <row r="495" spans="1:36" x14ac:dyDescent="0.25">
      <c r="A495" s="7">
        <v>6.1832357046081956</v>
      </c>
      <c r="B495"/>
      <c r="C495"/>
      <c r="D495"/>
      <c r="E495" t="s">
        <v>8</v>
      </c>
      <c r="V495" s="27" t="s">
        <v>7</v>
      </c>
      <c r="W495" s="27" t="s">
        <v>8</v>
      </c>
      <c r="X495" s="27" t="s">
        <v>7</v>
      </c>
      <c r="AI495" s="27" t="s">
        <v>8</v>
      </c>
      <c r="AJ495" s="27" t="s">
        <v>7</v>
      </c>
    </row>
    <row r="496" spans="1:36" x14ac:dyDescent="0.25">
      <c r="A496" s="7">
        <v>6.0619957888315641</v>
      </c>
      <c r="B496"/>
      <c r="C496"/>
      <c r="D496"/>
      <c r="E496" t="s">
        <v>8</v>
      </c>
      <c r="V496" s="27" t="s">
        <v>7</v>
      </c>
      <c r="W496" s="27" t="s">
        <v>8</v>
      </c>
      <c r="X496" s="27" t="s">
        <v>7</v>
      </c>
      <c r="AI496" s="27" t="s">
        <v>8</v>
      </c>
      <c r="AJ496" s="27" t="s">
        <v>7</v>
      </c>
    </row>
    <row r="497" spans="1:67" x14ac:dyDescent="0.25">
      <c r="A497" s="7">
        <v>5.9431331263054545</v>
      </c>
      <c r="B497"/>
      <c r="C497"/>
      <c r="D497"/>
      <c r="E497" t="s">
        <v>8</v>
      </c>
      <c r="V497" s="27" t="s">
        <v>7</v>
      </c>
      <c r="W497" s="27" t="s">
        <v>8</v>
      </c>
      <c r="X497" s="27" t="s">
        <v>7</v>
      </c>
      <c r="AI497" s="27" t="s">
        <v>8</v>
      </c>
      <c r="AJ497" s="27" t="s">
        <v>7</v>
      </c>
    </row>
    <row r="498" spans="1:67" x14ac:dyDescent="0.25">
      <c r="A498" s="7">
        <v>5.8266011042210337</v>
      </c>
      <c r="B498"/>
      <c r="C498"/>
      <c r="D498"/>
      <c r="E498" t="s">
        <v>8</v>
      </c>
      <c r="V498" s="27" t="s">
        <v>7</v>
      </c>
      <c r="W498" s="27" t="s">
        <v>8</v>
      </c>
      <c r="X498" s="27" t="s">
        <v>7</v>
      </c>
      <c r="AI498" s="27" t="s">
        <v>8</v>
      </c>
      <c r="AJ498" s="27" t="s">
        <v>7</v>
      </c>
    </row>
    <row r="499" spans="1:67" x14ac:dyDescent="0.25">
      <c r="A499" s="7">
        <v>5.7123540237461112</v>
      </c>
      <c r="B499"/>
      <c r="C499"/>
      <c r="D499"/>
      <c r="E499" t="s">
        <v>8</v>
      </c>
      <c r="V499" s="27" t="s">
        <v>7</v>
      </c>
      <c r="W499" s="27" t="s">
        <v>8</v>
      </c>
      <c r="X499" s="27" t="s">
        <v>7</v>
      </c>
      <c r="AI499" s="27" t="s">
        <v>8</v>
      </c>
      <c r="AJ499" s="27" t="s">
        <v>7</v>
      </c>
    </row>
    <row r="500" spans="1:67" x14ac:dyDescent="0.25">
      <c r="A500" s="7">
        <v>5.6003470821040304</v>
      </c>
      <c r="B500"/>
      <c r="C500"/>
      <c r="D500"/>
      <c r="E500" t="s">
        <v>8</v>
      </c>
      <c r="V500" s="27" t="s">
        <v>7</v>
      </c>
      <c r="W500" s="27" t="s">
        <v>8</v>
      </c>
      <c r="X500" s="27" t="s">
        <v>7</v>
      </c>
      <c r="AI500" s="27" t="s">
        <v>8</v>
      </c>
      <c r="AJ500" s="27" t="s">
        <v>7</v>
      </c>
    </row>
    <row r="501" spans="1:67" x14ac:dyDescent="0.25">
      <c r="A501" s="7">
        <v>5.4905363550039512</v>
      </c>
      <c r="B501"/>
      <c r="C501"/>
      <c r="D501"/>
      <c r="E501" t="s">
        <v>8</v>
      </c>
      <c r="V501" s="27" t="s">
        <v>7</v>
      </c>
      <c r="W501" s="27" t="s">
        <v>8</v>
      </c>
      <c r="X501" s="27" t="s">
        <v>7</v>
      </c>
      <c r="AI501" s="27" t="s">
        <v>8</v>
      </c>
      <c r="AJ501" s="27" t="s">
        <v>7</v>
      </c>
    </row>
    <row r="502" spans="1:67" x14ac:dyDescent="0.25">
      <c r="A502" s="7">
        <v>5.3828787794156385</v>
      </c>
      <c r="B502"/>
      <c r="C502"/>
      <c r="D502"/>
      <c r="E502" t="s">
        <v>8</v>
      </c>
      <c r="V502" s="27" t="s">
        <v>7</v>
      </c>
      <c r="W502" s="27" t="s">
        <v>8</v>
      </c>
      <c r="X502" s="27" t="s">
        <v>7</v>
      </c>
      <c r="Y502" s="27" t="s">
        <v>8</v>
      </c>
      <c r="AI502" s="27" t="s">
        <v>8</v>
      </c>
      <c r="AJ502" s="27" t="s">
        <v>7</v>
      </c>
    </row>
    <row r="503" spans="1:67" x14ac:dyDescent="0.25">
      <c r="A503" s="7">
        <v>5.2773321366819985</v>
      </c>
      <c r="B503"/>
      <c r="C503"/>
      <c r="D503"/>
      <c r="E503" t="s">
        <v>8</v>
      </c>
      <c r="V503" s="27" t="s">
        <v>7</v>
      </c>
      <c r="X503" s="27" t="s">
        <v>7</v>
      </c>
      <c r="Y503" s="27" t="s">
        <v>8</v>
      </c>
      <c r="Z503" s="27" t="s">
        <v>7</v>
      </c>
      <c r="AI503" s="27" t="s">
        <v>8</v>
      </c>
      <c r="AJ503" s="27" t="s">
        <v>7</v>
      </c>
      <c r="AK503" s="27" t="s">
        <v>8</v>
      </c>
    </row>
    <row r="504" spans="1:67" x14ac:dyDescent="0.25">
      <c r="A504" s="7">
        <v>5.1738550359627435</v>
      </c>
      <c r="B504"/>
      <c r="C504"/>
      <c r="D504"/>
      <c r="E504" t="s">
        <v>8</v>
      </c>
      <c r="X504" s="27" t="s">
        <v>7</v>
      </c>
      <c r="Y504" s="27" t="s">
        <v>8</v>
      </c>
      <c r="Z504" s="27" t="s">
        <v>7</v>
      </c>
      <c r="AA504" s="27" t="s">
        <v>8</v>
      </c>
      <c r="AC504" s="27" t="s">
        <v>8</v>
      </c>
      <c r="AI504" s="27" t="s">
        <v>8</v>
      </c>
      <c r="AJ504" s="27" t="s">
        <v>7</v>
      </c>
      <c r="AK504" s="27" t="s">
        <v>8</v>
      </c>
      <c r="AL504" s="27" t="s">
        <v>7</v>
      </c>
    </row>
    <row r="505" spans="1:67" x14ac:dyDescent="0.25">
      <c r="A505" s="7">
        <v>5.07240689800269</v>
      </c>
      <c r="B505"/>
      <c r="C505"/>
      <c r="D505"/>
      <c r="E505" t="s">
        <v>8</v>
      </c>
      <c r="X505" s="27" t="s">
        <v>7</v>
      </c>
      <c r="Y505" s="27" t="s">
        <v>8</v>
      </c>
      <c r="Z505" s="27" t="s">
        <v>7</v>
      </c>
      <c r="AA505" s="27" t="s">
        <v>8</v>
      </c>
      <c r="AB505" s="27" t="s">
        <v>7</v>
      </c>
      <c r="AC505" s="27" t="s">
        <v>8</v>
      </c>
      <c r="AD505" s="27" t="s">
        <v>7</v>
      </c>
      <c r="AE505" s="27" t="s">
        <v>8</v>
      </c>
      <c r="AI505" s="27" t="s">
        <v>8</v>
      </c>
      <c r="AJ505" s="27" t="s">
        <v>7</v>
      </c>
      <c r="AK505" s="27" t="s">
        <v>8</v>
      </c>
      <c r="AL505" s="27" t="s">
        <v>7</v>
      </c>
      <c r="AM505" s="27" t="s">
        <v>8</v>
      </c>
    </row>
    <row r="506" spans="1:67" x14ac:dyDescent="0.25">
      <c r="A506" s="7">
        <v>4.9729479392183231</v>
      </c>
      <c r="B506"/>
      <c r="C506"/>
      <c r="D506"/>
      <c r="E506" t="s">
        <v>8</v>
      </c>
      <c r="X506" s="27" t="s">
        <v>7</v>
      </c>
      <c r="Y506" s="27" t="s">
        <v>8</v>
      </c>
      <c r="Z506" s="27" t="s">
        <v>7</v>
      </c>
      <c r="AA506" s="27" t="s">
        <v>8</v>
      </c>
      <c r="AB506" s="27" t="s">
        <v>7</v>
      </c>
      <c r="AC506" s="27" t="s">
        <v>8</v>
      </c>
      <c r="AD506" s="27" t="s">
        <v>7</v>
      </c>
      <c r="AE506" s="27" t="s">
        <v>8</v>
      </c>
      <c r="AF506" s="27" t="s">
        <v>7</v>
      </c>
      <c r="AI506" s="27" t="s">
        <v>8</v>
      </c>
      <c r="AJ506" s="27" t="s">
        <v>7</v>
      </c>
      <c r="AK506" s="27" t="s">
        <v>8</v>
      </c>
      <c r="AL506" s="27" t="s">
        <v>7</v>
      </c>
      <c r="AM506" s="27" t="s">
        <v>8</v>
      </c>
      <c r="AN506" s="27" t="s">
        <v>7</v>
      </c>
    </row>
    <row r="507" spans="1:67" x14ac:dyDescent="0.25">
      <c r="A507" s="7">
        <v>4.8754391560963954</v>
      </c>
      <c r="B507"/>
      <c r="C507"/>
      <c r="D507"/>
      <c r="E507" t="s">
        <v>8</v>
      </c>
      <c r="X507" s="27" t="s">
        <v>7</v>
      </c>
      <c r="Y507" s="27" t="s">
        <v>8</v>
      </c>
      <c r="Z507" s="27" t="s">
        <v>7</v>
      </c>
      <c r="AA507" s="27" t="s">
        <v>8</v>
      </c>
      <c r="AB507" s="27" t="s">
        <v>7</v>
      </c>
      <c r="AC507" s="27" t="s">
        <v>8</v>
      </c>
      <c r="AD507" s="27" t="s">
        <v>7</v>
      </c>
      <c r="AE507" s="27" t="s">
        <v>8</v>
      </c>
      <c r="AF507" s="27" t="s">
        <v>7</v>
      </c>
      <c r="AI507" s="27" t="s">
        <v>8</v>
      </c>
      <c r="AJ507" s="27" t="s">
        <v>7</v>
      </c>
      <c r="AK507" s="27" t="s">
        <v>8</v>
      </c>
      <c r="AL507" s="27" t="s">
        <v>7</v>
      </c>
      <c r="AM507" s="27" t="s">
        <v>8</v>
      </c>
      <c r="AN507" s="27" t="s">
        <v>7</v>
      </c>
      <c r="BK507" s="27" t="s">
        <v>8</v>
      </c>
    </row>
    <row r="508" spans="1:67" x14ac:dyDescent="0.25">
      <c r="A508" s="7">
        <v>4.7798423098984264</v>
      </c>
      <c r="B508"/>
      <c r="C508"/>
      <c r="D508"/>
      <c r="E508" t="s">
        <v>8</v>
      </c>
      <c r="X508" s="27" t="s">
        <v>7</v>
      </c>
      <c r="Y508" s="27" t="s">
        <v>8</v>
      </c>
      <c r="Z508" s="27" t="s">
        <v>7</v>
      </c>
      <c r="AA508" s="27" t="s">
        <v>8</v>
      </c>
      <c r="AB508" s="27" t="s">
        <v>7</v>
      </c>
      <c r="AC508" s="27" t="s">
        <v>8</v>
      </c>
      <c r="AD508" s="27" t="s">
        <v>7</v>
      </c>
      <c r="AE508" s="27" t="s">
        <v>8</v>
      </c>
      <c r="AF508" s="27" t="s">
        <v>7</v>
      </c>
      <c r="AI508" s="27" t="s">
        <v>8</v>
      </c>
      <c r="AJ508" s="27" t="s">
        <v>7</v>
      </c>
      <c r="AK508" s="27" t="s">
        <v>8</v>
      </c>
      <c r="AL508" s="27" t="s">
        <v>7</v>
      </c>
      <c r="AM508" s="27" t="s">
        <v>8</v>
      </c>
      <c r="AN508" s="27" t="s">
        <v>7</v>
      </c>
      <c r="BI508" s="27" t="s">
        <v>8</v>
      </c>
      <c r="BK508" s="27" t="s">
        <v>8</v>
      </c>
      <c r="BL508" s="27" t="s">
        <v>7</v>
      </c>
    </row>
    <row r="509" spans="1:67" x14ac:dyDescent="0.25">
      <c r="A509" s="7">
        <v>4.6861199116651235</v>
      </c>
      <c r="B509"/>
      <c r="C509"/>
      <c r="D509"/>
      <c r="E509" t="s">
        <v>8</v>
      </c>
      <c r="X509" s="27" t="s">
        <v>7</v>
      </c>
      <c r="Y509" s="27" t="s">
        <v>8</v>
      </c>
      <c r="Z509" s="27" t="s">
        <v>7</v>
      </c>
      <c r="AA509" s="27" t="s">
        <v>8</v>
      </c>
      <c r="AB509" s="27" t="s">
        <v>7</v>
      </c>
      <c r="AC509" s="27" t="s">
        <v>8</v>
      </c>
      <c r="AD509" s="27" t="s">
        <v>7</v>
      </c>
      <c r="AF509" s="27" t="s">
        <v>7</v>
      </c>
      <c r="AI509" s="27" t="s">
        <v>8</v>
      </c>
      <c r="AJ509" s="27" t="s">
        <v>7</v>
      </c>
      <c r="AK509" s="27" t="s">
        <v>8</v>
      </c>
      <c r="AL509" s="27" t="s">
        <v>7</v>
      </c>
      <c r="AM509" s="27" t="s">
        <v>8</v>
      </c>
      <c r="AN509" s="27" t="s">
        <v>7</v>
      </c>
      <c r="BI509" s="27" t="s">
        <v>8</v>
      </c>
      <c r="BJ509" s="27" t="s">
        <v>7</v>
      </c>
      <c r="BK509" s="27" t="s">
        <v>8</v>
      </c>
      <c r="BL509" s="27" t="s">
        <v>7</v>
      </c>
    </row>
    <row r="510" spans="1:67" x14ac:dyDescent="0.25">
      <c r="A510" s="7">
        <v>4.5942352075148269</v>
      </c>
      <c r="B510"/>
      <c r="C510"/>
      <c r="D510"/>
      <c r="E510" t="s">
        <v>8</v>
      </c>
      <c r="X510" s="27" t="s">
        <v>7</v>
      </c>
      <c r="Y510" s="27" t="s">
        <v>8</v>
      </c>
      <c r="Z510" s="27" t="s">
        <v>7</v>
      </c>
      <c r="AA510" s="27" t="s">
        <v>8</v>
      </c>
      <c r="AB510" s="27" t="s">
        <v>7</v>
      </c>
      <c r="AC510" s="27" t="s">
        <v>8</v>
      </c>
      <c r="AF510" s="27" t="s">
        <v>7</v>
      </c>
      <c r="AI510" s="27" t="s">
        <v>8</v>
      </c>
      <c r="AJ510" s="27" t="s">
        <v>7</v>
      </c>
      <c r="AK510" s="27" t="s">
        <v>8</v>
      </c>
      <c r="AL510" s="27" t="s">
        <v>7</v>
      </c>
      <c r="AM510" s="27" t="s">
        <v>8</v>
      </c>
      <c r="AN510" s="27" t="s">
        <v>7</v>
      </c>
      <c r="BI510" s="27" t="s">
        <v>8</v>
      </c>
      <c r="BJ510" s="27" t="s">
        <v>7</v>
      </c>
      <c r="BK510" s="27" t="s">
        <v>8</v>
      </c>
      <c r="BL510" s="27" t="s">
        <v>7</v>
      </c>
    </row>
    <row r="511" spans="1:67" x14ac:dyDescent="0.25">
      <c r="A511" s="7">
        <v>4.5041521642302227</v>
      </c>
      <c r="B511"/>
      <c r="C511"/>
      <c r="D511"/>
      <c r="E511" t="s">
        <v>8</v>
      </c>
      <c r="X511" s="27" t="s">
        <v>7</v>
      </c>
      <c r="Y511" s="27" t="s">
        <v>8</v>
      </c>
      <c r="Z511" s="27" t="s">
        <v>7</v>
      </c>
      <c r="AB511" s="27" t="s">
        <v>7</v>
      </c>
      <c r="AF511" s="27" t="s">
        <v>7</v>
      </c>
      <c r="AI511" s="27" t="s">
        <v>8</v>
      </c>
      <c r="AJ511" s="27" t="s">
        <v>7</v>
      </c>
      <c r="AK511" s="27" t="s">
        <v>8</v>
      </c>
      <c r="AL511" s="27" t="s">
        <v>7</v>
      </c>
      <c r="AN511" s="27" t="s">
        <v>7</v>
      </c>
      <c r="BI511" s="27" t="s">
        <v>8</v>
      </c>
      <c r="BJ511" s="27" t="s">
        <v>7</v>
      </c>
      <c r="BK511" s="27" t="s">
        <v>8</v>
      </c>
      <c r="BL511" s="27" t="s">
        <v>7</v>
      </c>
    </row>
    <row r="512" spans="1:67" x14ac:dyDescent="0.25">
      <c r="A512" s="7">
        <v>4.4158354551276693</v>
      </c>
      <c r="B512"/>
      <c r="C512"/>
      <c r="D512"/>
      <c r="E512" t="s">
        <v>8</v>
      </c>
      <c r="X512" s="27" t="s">
        <v>7</v>
      </c>
      <c r="Y512" s="27" t="s">
        <v>8</v>
      </c>
      <c r="AF512" s="27" t="s">
        <v>7</v>
      </c>
      <c r="AI512" s="27" t="s">
        <v>8</v>
      </c>
      <c r="AJ512" s="27" t="s">
        <v>7</v>
      </c>
      <c r="AK512" s="27" t="s">
        <v>8</v>
      </c>
      <c r="AN512" s="27" t="s">
        <v>7</v>
      </c>
      <c r="BI512" s="27" t="s">
        <v>8</v>
      </c>
      <c r="BJ512" s="27" t="s">
        <v>7</v>
      </c>
      <c r="BK512" s="27" t="s">
        <v>8</v>
      </c>
      <c r="BL512" s="27" t="s">
        <v>7</v>
      </c>
      <c r="BM512" s="27" t="s">
        <v>8</v>
      </c>
      <c r="BO512" s="27" t="s">
        <v>8</v>
      </c>
    </row>
    <row r="513" spans="1:98" x14ac:dyDescent="0.25">
      <c r="A513" s="7">
        <v>4.3292504462035977</v>
      </c>
      <c r="B513"/>
      <c r="C513"/>
      <c r="D513"/>
      <c r="E513" t="s">
        <v>8</v>
      </c>
      <c r="X513" s="27" t="s">
        <v>7</v>
      </c>
      <c r="Y513" s="27" t="s">
        <v>8</v>
      </c>
      <c r="AF513" s="27" t="s">
        <v>7</v>
      </c>
      <c r="AI513" s="27" t="s">
        <v>8</v>
      </c>
      <c r="AJ513" s="27" t="s">
        <v>7</v>
      </c>
      <c r="AN513" s="27" t="s">
        <v>7</v>
      </c>
      <c r="BI513" s="27" t="s">
        <v>8</v>
      </c>
      <c r="BJ513" s="27" t="s">
        <v>7</v>
      </c>
      <c r="BK513" s="27" t="s">
        <v>8</v>
      </c>
      <c r="BL513" s="27" t="s">
        <v>7</v>
      </c>
      <c r="BM513" s="27" t="s">
        <v>8</v>
      </c>
      <c r="BN513" s="27" t="s">
        <v>7</v>
      </c>
      <c r="BO513" s="27" t="s">
        <v>8</v>
      </c>
      <c r="BP513" s="27" t="s">
        <v>7</v>
      </c>
      <c r="BQ513" s="27" t="s">
        <v>8</v>
      </c>
      <c r="BW513" s="27" t="s">
        <v>8</v>
      </c>
    </row>
    <row r="514" spans="1:98" x14ac:dyDescent="0.25">
      <c r="A514" s="7">
        <v>4.2443631825525463</v>
      </c>
      <c r="B514"/>
      <c r="C514"/>
      <c r="D514"/>
      <c r="E514" t="s">
        <v>8</v>
      </c>
      <c r="X514" s="27" t="s">
        <v>7</v>
      </c>
      <c r="Y514" s="27" t="s">
        <v>8</v>
      </c>
      <c r="AF514" s="27" t="s">
        <v>7</v>
      </c>
      <c r="AG514" s="27" t="s">
        <v>8</v>
      </c>
      <c r="AI514" s="27" t="s">
        <v>8</v>
      </c>
      <c r="AN514" s="27" t="s">
        <v>7</v>
      </c>
      <c r="AO514" s="27" t="s">
        <v>8</v>
      </c>
      <c r="AS514" s="27" t="s">
        <v>8</v>
      </c>
      <c r="BI514" s="27" t="s">
        <v>8</v>
      </c>
      <c r="BJ514" s="27" t="s">
        <v>7</v>
      </c>
      <c r="BK514" s="27" t="s">
        <v>8</v>
      </c>
      <c r="BL514" s="27" t="s">
        <v>7</v>
      </c>
      <c r="BM514" s="27" t="s">
        <v>8</v>
      </c>
      <c r="BN514" s="27" t="s">
        <v>7</v>
      </c>
      <c r="BO514" s="27" t="s">
        <v>8</v>
      </c>
      <c r="BP514" s="27" t="s">
        <v>7</v>
      </c>
      <c r="BQ514" s="27" t="s">
        <v>8</v>
      </c>
      <c r="BR514" s="27" t="s">
        <v>7</v>
      </c>
      <c r="BS514" s="27" t="s">
        <v>8</v>
      </c>
      <c r="BW514" s="27" t="s">
        <v>8</v>
      </c>
      <c r="BX514" s="27" t="s">
        <v>7</v>
      </c>
    </row>
    <row r="515" spans="1:98" x14ac:dyDescent="0.25">
      <c r="A515" s="7">
        <v>4.1611403750515157</v>
      </c>
      <c r="B515"/>
      <c r="C515"/>
      <c r="D515"/>
      <c r="E515" t="s">
        <v>8</v>
      </c>
      <c r="X515" s="27" t="s">
        <v>7</v>
      </c>
      <c r="Y515" s="27" t="s">
        <v>8</v>
      </c>
      <c r="AF515" s="27" t="s">
        <v>7</v>
      </c>
      <c r="AG515" s="27" t="s">
        <v>8</v>
      </c>
      <c r="AH515" s="27" t="s">
        <v>7</v>
      </c>
      <c r="AI515" s="27" t="s">
        <v>8</v>
      </c>
      <c r="AN515" s="27" t="s">
        <v>7</v>
      </c>
      <c r="AO515" s="27" t="s">
        <v>8</v>
      </c>
      <c r="AP515" s="27" t="s">
        <v>7</v>
      </c>
      <c r="AS515" s="27" t="s">
        <v>8</v>
      </c>
      <c r="AT515" s="27" t="s">
        <v>7</v>
      </c>
      <c r="BI515" s="27" t="s">
        <v>8</v>
      </c>
      <c r="BJ515" s="27" t="s">
        <v>7</v>
      </c>
      <c r="BK515" s="27" t="s">
        <v>8</v>
      </c>
      <c r="BL515" s="27" t="s">
        <v>7</v>
      </c>
      <c r="BM515" s="27" t="s">
        <v>8</v>
      </c>
      <c r="BN515" s="27" t="s">
        <v>7</v>
      </c>
      <c r="BO515" s="27" t="s">
        <v>8</v>
      </c>
      <c r="BP515" s="27" t="s">
        <v>7</v>
      </c>
      <c r="BQ515" s="27" t="s">
        <v>8</v>
      </c>
      <c r="BR515" s="27" t="s">
        <v>7</v>
      </c>
      <c r="BS515" s="27" t="s">
        <v>8</v>
      </c>
      <c r="BT515" s="27" t="s">
        <v>7</v>
      </c>
      <c r="BW515" s="27" t="s">
        <v>8</v>
      </c>
      <c r="BX515" s="27" t="s">
        <v>7</v>
      </c>
    </row>
    <row r="516" spans="1:98" x14ac:dyDescent="0.25">
      <c r="A516" s="7">
        <v>4.0795493873054074</v>
      </c>
      <c r="B516"/>
      <c r="C516"/>
      <c r="D516"/>
      <c r="E516" t="s">
        <v>8</v>
      </c>
      <c r="X516" s="27" t="s">
        <v>7</v>
      </c>
      <c r="Y516" s="27" t="s">
        <v>8</v>
      </c>
      <c r="AF516" s="27" t="s">
        <v>7</v>
      </c>
      <c r="AG516" s="27" t="s">
        <v>8</v>
      </c>
      <c r="AH516" s="27" t="s">
        <v>7</v>
      </c>
      <c r="AI516" s="27" t="s">
        <v>8</v>
      </c>
      <c r="AN516" s="27" t="s">
        <v>7</v>
      </c>
      <c r="AO516" s="27" t="s">
        <v>8</v>
      </c>
      <c r="AP516" s="27" t="s">
        <v>7</v>
      </c>
      <c r="AS516" s="27" t="s">
        <v>8</v>
      </c>
      <c r="AT516" s="27" t="s">
        <v>7</v>
      </c>
      <c r="BG516" s="27" t="s">
        <v>8</v>
      </c>
      <c r="BI516" s="27" t="s">
        <v>8</v>
      </c>
      <c r="BJ516" s="27" t="s">
        <v>7</v>
      </c>
      <c r="BK516" s="27" t="s">
        <v>8</v>
      </c>
      <c r="BL516" s="27" t="s">
        <v>7</v>
      </c>
      <c r="BM516" s="27" t="s">
        <v>8</v>
      </c>
      <c r="BN516" s="27" t="s">
        <v>7</v>
      </c>
      <c r="BO516" s="27" t="s">
        <v>8</v>
      </c>
      <c r="BP516" s="27" t="s">
        <v>7</v>
      </c>
      <c r="BR516" s="27" t="s">
        <v>7</v>
      </c>
      <c r="BS516" s="27" t="s">
        <v>8</v>
      </c>
      <c r="BT516" s="27" t="s">
        <v>7</v>
      </c>
      <c r="BW516" s="27" t="s">
        <v>8</v>
      </c>
      <c r="BX516" s="27" t="s">
        <v>7</v>
      </c>
      <c r="CO516" s="27" t="s">
        <v>8</v>
      </c>
    </row>
    <row r="517" spans="1:98" x14ac:dyDescent="0.25">
      <c r="A517" s="7">
        <v>3.9995582228484383</v>
      </c>
      <c r="B517"/>
      <c r="C517"/>
      <c r="D517"/>
      <c r="E517" t="s">
        <v>8</v>
      </c>
      <c r="X517" s="27" t="s">
        <v>7</v>
      </c>
      <c r="Y517" s="27" t="s">
        <v>8</v>
      </c>
      <c r="AF517" s="27" t="s">
        <v>7</v>
      </c>
      <c r="AG517" s="27" t="s">
        <v>8</v>
      </c>
      <c r="AH517" s="27" t="s">
        <v>7</v>
      </c>
      <c r="AI517" s="27" t="s">
        <v>8</v>
      </c>
      <c r="AN517" s="27" t="s">
        <v>7</v>
      </c>
      <c r="AP517" s="27" t="s">
        <v>7</v>
      </c>
      <c r="AS517" s="27" t="s">
        <v>8</v>
      </c>
      <c r="AT517" s="27" t="s">
        <v>7</v>
      </c>
      <c r="BG517" s="27" t="s">
        <v>8</v>
      </c>
      <c r="BH517" s="27" t="s">
        <v>7</v>
      </c>
      <c r="BI517" s="27" t="s">
        <v>8</v>
      </c>
      <c r="BJ517" s="27" t="s">
        <v>7</v>
      </c>
      <c r="BL517" s="27" t="s">
        <v>7</v>
      </c>
      <c r="BM517" s="27" t="s">
        <v>8</v>
      </c>
      <c r="BN517" s="27" t="s">
        <v>7</v>
      </c>
      <c r="BO517" s="27" t="s">
        <v>8</v>
      </c>
      <c r="BR517" s="27" t="s">
        <v>7</v>
      </c>
      <c r="BS517" s="27" t="s">
        <v>8</v>
      </c>
      <c r="BT517" s="27" t="s">
        <v>7</v>
      </c>
      <c r="BW517" s="27" t="s">
        <v>8</v>
      </c>
      <c r="BX517" s="27" t="s">
        <v>7</v>
      </c>
      <c r="CO517" s="27" t="s">
        <v>8</v>
      </c>
      <c r="CP517" s="27" t="s">
        <v>7</v>
      </c>
    </row>
    <row r="518" spans="1:98" x14ac:dyDescent="0.25">
      <c r="A518" s="7">
        <v>3.9211355125965079</v>
      </c>
      <c r="B518"/>
      <c r="C518"/>
      <c r="D518"/>
      <c r="E518" t="s">
        <v>8</v>
      </c>
      <c r="X518" s="27" t="s">
        <v>7</v>
      </c>
      <c r="Y518" s="27" t="s">
        <v>8</v>
      </c>
      <c r="AF518" s="27" t="s">
        <v>7</v>
      </c>
      <c r="AG518" s="27" t="s">
        <v>8</v>
      </c>
      <c r="AH518" s="27" t="s">
        <v>7</v>
      </c>
      <c r="AI518" s="27" t="s">
        <v>8</v>
      </c>
      <c r="AP518" s="27" t="s">
        <v>7</v>
      </c>
      <c r="AQ518" s="27" t="s">
        <v>8</v>
      </c>
      <c r="AS518" s="27" t="s">
        <v>8</v>
      </c>
      <c r="AT518" s="27" t="s">
        <v>7</v>
      </c>
      <c r="BG518" s="27" t="s">
        <v>8</v>
      </c>
      <c r="BH518" s="27" t="s">
        <v>7</v>
      </c>
      <c r="BI518" s="27" t="s">
        <v>8</v>
      </c>
      <c r="BL518" s="27" t="s">
        <v>7</v>
      </c>
      <c r="BM518" s="27" t="s">
        <v>8</v>
      </c>
      <c r="BN518" s="27" t="s">
        <v>7</v>
      </c>
      <c r="BO518" s="27" t="s">
        <v>8</v>
      </c>
      <c r="BR518" s="27" t="s">
        <v>7</v>
      </c>
      <c r="BS518" s="27" t="s">
        <v>8</v>
      </c>
      <c r="BT518" s="27" t="s">
        <v>7</v>
      </c>
      <c r="BW518" s="27" t="s">
        <v>8</v>
      </c>
      <c r="BX518" s="27" t="s">
        <v>7</v>
      </c>
      <c r="CO518" s="27" t="s">
        <v>8</v>
      </c>
      <c r="CP518" s="27" t="s">
        <v>7</v>
      </c>
    </row>
    <row r="519" spans="1:98" x14ac:dyDescent="0.25">
      <c r="A519" s="7">
        <v>3.844250502545596</v>
      </c>
      <c r="B519"/>
      <c r="C519"/>
      <c r="D519"/>
      <c r="E519" t="s">
        <v>8</v>
      </c>
      <c r="X519" s="27" t="s">
        <v>7</v>
      </c>
      <c r="Y519" s="27" t="s">
        <v>8</v>
      </c>
      <c r="AF519" s="27" t="s">
        <v>7</v>
      </c>
      <c r="AG519" s="27" t="s">
        <v>8</v>
      </c>
      <c r="AH519" s="27" t="s">
        <v>7</v>
      </c>
      <c r="AP519" s="27" t="s">
        <v>7</v>
      </c>
      <c r="AQ519" s="27" t="s">
        <v>8</v>
      </c>
      <c r="AR519" s="27" t="s">
        <v>7</v>
      </c>
      <c r="AS519" s="27" t="s">
        <v>8</v>
      </c>
      <c r="AT519" s="27" t="s">
        <v>7</v>
      </c>
      <c r="BE519" s="27" t="s">
        <v>8</v>
      </c>
      <c r="BG519" s="27" t="s">
        <v>8</v>
      </c>
      <c r="BH519" s="27" t="s">
        <v>7</v>
      </c>
      <c r="BL519" s="27" t="s">
        <v>7</v>
      </c>
      <c r="BM519" s="27" t="s">
        <v>8</v>
      </c>
      <c r="BN519" s="27" t="s">
        <v>7</v>
      </c>
      <c r="BR519" s="27" t="s">
        <v>7</v>
      </c>
      <c r="BS519" s="27" t="s">
        <v>8</v>
      </c>
      <c r="BT519" s="27" t="s">
        <v>7</v>
      </c>
      <c r="BU519" s="27" t="s">
        <v>8</v>
      </c>
      <c r="BW519" s="27" t="s">
        <v>8</v>
      </c>
      <c r="BX519" s="27" t="s">
        <v>7</v>
      </c>
      <c r="CO519" s="27" t="s">
        <v>8</v>
      </c>
      <c r="CP519" s="27" t="s">
        <v>7</v>
      </c>
    </row>
    <row r="520" spans="1:98" x14ac:dyDescent="0.25">
      <c r="A520" s="7">
        <v>3.7688730417113687</v>
      </c>
      <c r="B520"/>
      <c r="C520"/>
      <c r="D520"/>
      <c r="E520" t="s">
        <v>8</v>
      </c>
      <c r="X520" s="27" t="s">
        <v>7</v>
      </c>
      <c r="Y520" s="27" t="s">
        <v>8</v>
      </c>
      <c r="AF520" s="27" t="s">
        <v>7</v>
      </c>
      <c r="AG520" s="27" t="s">
        <v>8</v>
      </c>
      <c r="AP520" s="27" t="s">
        <v>7</v>
      </c>
      <c r="AQ520" s="27" t="s">
        <v>8</v>
      </c>
      <c r="AR520" s="27" t="s">
        <v>7</v>
      </c>
      <c r="AS520" s="27" t="s">
        <v>8</v>
      </c>
      <c r="AT520" s="27" t="s">
        <v>7</v>
      </c>
      <c r="AU520" s="27" t="s">
        <v>8</v>
      </c>
      <c r="BE520" s="27" t="s">
        <v>8</v>
      </c>
      <c r="BF520" s="27" t="s">
        <v>7</v>
      </c>
      <c r="BG520" s="27" t="s">
        <v>8</v>
      </c>
      <c r="BL520" s="27" t="s">
        <v>7</v>
      </c>
      <c r="BM520" s="27" t="s">
        <v>8</v>
      </c>
      <c r="BR520" s="27" t="s">
        <v>7</v>
      </c>
      <c r="BS520" s="27" t="s">
        <v>8</v>
      </c>
      <c r="BT520" s="27" t="s">
        <v>7</v>
      </c>
      <c r="BU520" s="27" t="s">
        <v>8</v>
      </c>
      <c r="BV520" s="27" t="s">
        <v>7</v>
      </c>
      <c r="BW520" s="27" t="s">
        <v>8</v>
      </c>
      <c r="BX520" s="27" t="s">
        <v>7</v>
      </c>
      <c r="CA520" s="27" t="s">
        <v>8</v>
      </c>
      <c r="CO520" s="27" t="s">
        <v>8</v>
      </c>
      <c r="CP520" s="27" t="s">
        <v>7</v>
      </c>
      <c r="CQ520" s="27" t="s">
        <v>8</v>
      </c>
    </row>
    <row r="521" spans="1:98" x14ac:dyDescent="0.25">
      <c r="A521" s="7">
        <v>3.6949735703052635</v>
      </c>
      <c r="B521"/>
      <c r="C521"/>
      <c r="D521"/>
      <c r="E521" t="s">
        <v>8</v>
      </c>
      <c r="X521" s="27" t="s">
        <v>7</v>
      </c>
      <c r="Y521" s="27" t="s">
        <v>8</v>
      </c>
      <c r="AF521" s="27" t="s">
        <v>7</v>
      </c>
      <c r="AG521" s="27" t="s">
        <v>8</v>
      </c>
      <c r="AP521" s="27" t="s">
        <v>7</v>
      </c>
      <c r="AR521" s="27" t="s">
        <v>7</v>
      </c>
      <c r="AT521" s="27" t="s">
        <v>7</v>
      </c>
      <c r="AU521" s="27" t="s">
        <v>8</v>
      </c>
      <c r="AV521" s="27" t="s">
        <v>7</v>
      </c>
      <c r="AW521" s="27" t="s">
        <v>8</v>
      </c>
      <c r="BE521" s="27" t="s">
        <v>8</v>
      </c>
      <c r="BF521" s="27" t="s">
        <v>7</v>
      </c>
      <c r="BG521" s="27" t="s">
        <v>8</v>
      </c>
      <c r="BL521" s="27" t="s">
        <v>7</v>
      </c>
      <c r="BM521" s="27" t="s">
        <v>8</v>
      </c>
      <c r="BR521" s="27" t="s">
        <v>7</v>
      </c>
      <c r="BS521" s="27" t="s">
        <v>8</v>
      </c>
      <c r="BT521" s="27" t="s">
        <v>7</v>
      </c>
      <c r="BU521" s="27" t="s">
        <v>8</v>
      </c>
      <c r="BV521" s="27" t="s">
        <v>7</v>
      </c>
      <c r="BW521" s="27" t="s">
        <v>8</v>
      </c>
      <c r="BX521" s="27" t="s">
        <v>7</v>
      </c>
      <c r="CA521" s="27" t="s">
        <v>8</v>
      </c>
      <c r="CB521" s="27" t="s">
        <v>7</v>
      </c>
      <c r="CO521" s="27" t="s">
        <v>8</v>
      </c>
      <c r="CP521" s="27" t="s">
        <v>7</v>
      </c>
      <c r="CQ521" s="27" t="s">
        <v>8</v>
      </c>
      <c r="CR521" s="27" t="s">
        <v>7</v>
      </c>
    </row>
    <row r="522" spans="1:98" x14ac:dyDescent="0.25">
      <c r="A522" s="7">
        <v>3.6225231081424152</v>
      </c>
      <c r="B522"/>
      <c r="C522"/>
      <c r="D522"/>
      <c r="E522" t="s">
        <v>8</v>
      </c>
      <c r="X522" s="27" t="s">
        <v>7</v>
      </c>
      <c r="Y522" s="27" t="s">
        <v>8</v>
      </c>
      <c r="AF522" s="27" t="s">
        <v>7</v>
      </c>
      <c r="AT522" s="27" t="s">
        <v>7</v>
      </c>
      <c r="AU522" s="27" t="s">
        <v>8</v>
      </c>
      <c r="AV522" s="27" t="s">
        <v>7</v>
      </c>
      <c r="AW522" s="27" t="s">
        <v>8</v>
      </c>
      <c r="AX522" s="27" t="s">
        <v>7</v>
      </c>
      <c r="BE522" s="27" t="s">
        <v>8</v>
      </c>
      <c r="BF522" s="27" t="s">
        <v>7</v>
      </c>
      <c r="BG522" s="27" t="s">
        <v>8</v>
      </c>
      <c r="BL522" s="27" t="s">
        <v>7</v>
      </c>
      <c r="BR522" s="27" t="s">
        <v>7</v>
      </c>
      <c r="BS522" s="27" t="s">
        <v>8</v>
      </c>
      <c r="BT522" s="27" t="s">
        <v>7</v>
      </c>
      <c r="BU522" s="27" t="s">
        <v>8</v>
      </c>
      <c r="BV522" s="27" t="s">
        <v>7</v>
      </c>
      <c r="BW522" s="27" t="s">
        <v>8</v>
      </c>
      <c r="BX522" s="27" t="s">
        <v>7</v>
      </c>
      <c r="CA522" s="27" t="s">
        <v>8</v>
      </c>
      <c r="CB522" s="27" t="s">
        <v>7</v>
      </c>
      <c r="CO522" s="27" t="s">
        <v>8</v>
      </c>
      <c r="CP522" s="27" t="s">
        <v>7</v>
      </c>
      <c r="CQ522" s="27" t="s">
        <v>8</v>
      </c>
      <c r="CR522" s="27" t="s">
        <v>7</v>
      </c>
    </row>
    <row r="523" spans="1:98" x14ac:dyDescent="0.25">
      <c r="A523" s="7">
        <v>3.5514932432768775</v>
      </c>
      <c r="B523"/>
      <c r="C523"/>
      <c r="D523"/>
      <c r="E523" t="s">
        <v>8</v>
      </c>
      <c r="X523" s="27" t="s">
        <v>7</v>
      </c>
      <c r="Y523" s="27" t="s">
        <v>8</v>
      </c>
      <c r="AT523" s="27" t="s">
        <v>7</v>
      </c>
      <c r="AU523" s="27" t="s">
        <v>8</v>
      </c>
      <c r="AV523" s="27" t="s">
        <v>7</v>
      </c>
      <c r="AW523" s="27" t="s">
        <v>8</v>
      </c>
      <c r="AX523" s="27" t="s">
        <v>7</v>
      </c>
      <c r="BC523" s="27" t="s">
        <v>8</v>
      </c>
      <c r="BE523" s="27" t="s">
        <v>8</v>
      </c>
      <c r="BF523" s="27" t="s">
        <v>7</v>
      </c>
      <c r="BG523" s="27" t="s">
        <v>8</v>
      </c>
      <c r="BR523" s="27" t="s">
        <v>7</v>
      </c>
      <c r="BS523" s="27" t="s">
        <v>8</v>
      </c>
      <c r="BT523" s="27" t="s">
        <v>7</v>
      </c>
      <c r="BU523" s="27" t="s">
        <v>8</v>
      </c>
      <c r="BV523" s="27" t="s">
        <v>7</v>
      </c>
      <c r="BW523" s="27" t="s">
        <v>8</v>
      </c>
      <c r="BX523" s="27" t="s">
        <v>7</v>
      </c>
      <c r="CA523" s="27" t="s">
        <v>8</v>
      </c>
      <c r="CB523" s="27" t="s">
        <v>7</v>
      </c>
      <c r="CO523" s="27" t="s">
        <v>8</v>
      </c>
      <c r="CP523" s="27" t="s">
        <v>7</v>
      </c>
      <c r="CQ523" s="27" t="s">
        <v>8</v>
      </c>
      <c r="CR523" s="27" t="s">
        <v>7</v>
      </c>
    </row>
    <row r="524" spans="1:98" x14ac:dyDescent="0.25">
      <c r="A524" s="7">
        <v>3.4818561208596837</v>
      </c>
      <c r="B524"/>
      <c r="C524"/>
      <c r="D524"/>
      <c r="E524" t="s">
        <v>8</v>
      </c>
      <c r="X524" s="27" t="s">
        <v>7</v>
      </c>
      <c r="Y524" s="27" t="s">
        <v>8</v>
      </c>
      <c r="AT524" s="27" t="s">
        <v>7</v>
      </c>
      <c r="AV524" s="27" t="s">
        <v>7</v>
      </c>
      <c r="AW524" s="27" t="s">
        <v>8</v>
      </c>
      <c r="AX524" s="27" t="s">
        <v>7</v>
      </c>
      <c r="BC524" s="27" t="s">
        <v>8</v>
      </c>
      <c r="BD524" s="27" t="s">
        <v>7</v>
      </c>
      <c r="BE524" s="27" t="s">
        <v>8</v>
      </c>
      <c r="BF524" s="27" t="s">
        <v>7</v>
      </c>
      <c r="BG524" s="27" t="s">
        <v>8</v>
      </c>
      <c r="BR524" s="27" t="s">
        <v>7</v>
      </c>
      <c r="BS524" s="27" t="s">
        <v>8</v>
      </c>
      <c r="BT524" s="27" t="s">
        <v>7</v>
      </c>
      <c r="BU524" s="27" t="s">
        <v>8</v>
      </c>
      <c r="BV524" s="27" t="s">
        <v>7</v>
      </c>
      <c r="BX524" s="27" t="s">
        <v>7</v>
      </c>
      <c r="CA524" s="27" t="s">
        <v>8</v>
      </c>
      <c r="CB524" s="27" t="s">
        <v>7</v>
      </c>
      <c r="CE524" s="27" t="s">
        <v>8</v>
      </c>
      <c r="CO524" s="27" t="s">
        <v>8</v>
      </c>
      <c r="CP524" s="27" t="s">
        <v>7</v>
      </c>
      <c r="CQ524" s="27" t="s">
        <v>8</v>
      </c>
      <c r="CR524" s="27" t="s">
        <v>7</v>
      </c>
    </row>
    <row r="525" spans="1:98" x14ac:dyDescent="0.25">
      <c r="A525" s="7">
        <v>3.4135844322153761</v>
      </c>
      <c r="B525"/>
      <c r="C525"/>
      <c r="D525"/>
      <c r="E525" t="s">
        <v>8</v>
      </c>
      <c r="X525" s="27" t="s">
        <v>7</v>
      </c>
      <c r="Y525" s="27" t="s">
        <v>8</v>
      </c>
      <c r="AV525" s="27" t="s">
        <v>7</v>
      </c>
      <c r="AW525" s="27" t="s">
        <v>8</v>
      </c>
      <c r="AX525" s="27" t="s">
        <v>7</v>
      </c>
      <c r="BC525" s="27" t="s">
        <v>8</v>
      </c>
      <c r="BD525" s="27" t="s">
        <v>7</v>
      </c>
      <c r="BE525" s="27" t="s">
        <v>8</v>
      </c>
      <c r="BF525" s="27" t="s">
        <v>7</v>
      </c>
      <c r="BG525" s="27" t="s">
        <v>8</v>
      </c>
      <c r="BR525" s="27" t="s">
        <v>7</v>
      </c>
      <c r="BS525" s="27" t="s">
        <v>8</v>
      </c>
      <c r="BT525" s="27" t="s">
        <v>7</v>
      </c>
      <c r="BX525" s="27" t="s">
        <v>7</v>
      </c>
      <c r="CA525" s="27" t="s">
        <v>8</v>
      </c>
      <c r="CB525" s="27" t="s">
        <v>7</v>
      </c>
      <c r="CE525" s="27" t="s">
        <v>8</v>
      </c>
      <c r="CF525" s="27" t="s">
        <v>7</v>
      </c>
      <c r="CG525" s="27" t="s">
        <v>8</v>
      </c>
      <c r="CO525" s="27" t="s">
        <v>8</v>
      </c>
      <c r="CP525" s="27" t="s">
        <v>7</v>
      </c>
      <c r="CQ525" s="27" t="s">
        <v>8</v>
      </c>
      <c r="CR525" s="27" t="s">
        <v>7</v>
      </c>
      <c r="CS525" s="27" t="s">
        <v>8</v>
      </c>
    </row>
    <row r="526" spans="1:98" x14ac:dyDescent="0.25">
      <c r="A526" s="7">
        <v>3.3466514041327216</v>
      </c>
      <c r="B526"/>
      <c r="C526"/>
      <c r="D526"/>
      <c r="E526" t="s">
        <v>8</v>
      </c>
      <c r="X526" s="27" t="s">
        <v>7</v>
      </c>
      <c r="Y526" s="27" t="s">
        <v>8</v>
      </c>
      <c r="AV526" s="27" t="s">
        <v>7</v>
      </c>
      <c r="AW526" s="27" t="s">
        <v>8</v>
      </c>
      <c r="AX526" s="27" t="s">
        <v>7</v>
      </c>
      <c r="BC526" s="27" t="s">
        <v>8</v>
      </c>
      <c r="BD526" s="27" t="s">
        <v>7</v>
      </c>
      <c r="BE526" s="27" t="s">
        <v>8</v>
      </c>
      <c r="BF526" s="27" t="s">
        <v>7</v>
      </c>
      <c r="BR526" s="27" t="s">
        <v>7</v>
      </c>
      <c r="BX526" s="27" t="s">
        <v>7</v>
      </c>
      <c r="CA526" s="27" t="s">
        <v>8</v>
      </c>
      <c r="CB526" s="27" t="s">
        <v>7</v>
      </c>
      <c r="CC526" s="27" t="s">
        <v>8</v>
      </c>
      <c r="CE526" s="27" t="s">
        <v>8</v>
      </c>
      <c r="CF526" s="27" t="s">
        <v>7</v>
      </c>
      <c r="CG526" s="27" t="s">
        <v>8</v>
      </c>
      <c r="CH526" s="27" t="s">
        <v>7</v>
      </c>
      <c r="CK526" s="27" t="s">
        <v>8</v>
      </c>
      <c r="CM526" s="27" t="s">
        <v>8</v>
      </c>
      <c r="CO526" s="27" t="s">
        <v>8</v>
      </c>
      <c r="CP526" s="27" t="s">
        <v>7</v>
      </c>
      <c r="CQ526" s="27" t="s">
        <v>8</v>
      </c>
      <c r="CR526" s="27" t="s">
        <v>7</v>
      </c>
      <c r="CS526" s="27" t="s">
        <v>8</v>
      </c>
      <c r="CT526" s="27" t="s">
        <v>7</v>
      </c>
    </row>
    <row r="527" spans="1:98" x14ac:dyDescent="0.25">
      <c r="A527" s="7">
        <v>3.2810307883654133</v>
      </c>
      <c r="B527"/>
      <c r="C527"/>
      <c r="D527"/>
      <c r="E527" t="s">
        <v>8</v>
      </c>
      <c r="X527" s="27" t="s">
        <v>7</v>
      </c>
      <c r="AV527" s="27" t="s">
        <v>7</v>
      </c>
      <c r="AW527" s="27" t="s">
        <v>8</v>
      </c>
      <c r="AX527" s="27" t="s">
        <v>7</v>
      </c>
      <c r="BA527" s="27" t="s">
        <v>8</v>
      </c>
      <c r="BC527" s="27" t="s">
        <v>8</v>
      </c>
      <c r="BD527" s="27" t="s">
        <v>7</v>
      </c>
      <c r="BE527" s="27" t="s">
        <v>8</v>
      </c>
      <c r="BX527" s="27" t="s">
        <v>7</v>
      </c>
      <c r="CA527" s="27" t="s">
        <v>8</v>
      </c>
      <c r="CB527" s="27" t="s">
        <v>7</v>
      </c>
      <c r="CC527" s="27" t="s">
        <v>8</v>
      </c>
      <c r="CD527" s="27" t="s">
        <v>7</v>
      </c>
      <c r="CE527" s="27" t="s">
        <v>8</v>
      </c>
      <c r="CF527" s="27" t="s">
        <v>7</v>
      </c>
      <c r="CG527" s="27" t="s">
        <v>8</v>
      </c>
      <c r="CH527" s="27" t="s">
        <v>7</v>
      </c>
      <c r="CK527" s="27" t="s">
        <v>8</v>
      </c>
      <c r="CL527" s="27" t="s">
        <v>7</v>
      </c>
      <c r="CM527" s="27" t="s">
        <v>8</v>
      </c>
      <c r="CN527" s="27" t="s">
        <v>7</v>
      </c>
      <c r="CO527" s="27" t="s">
        <v>8</v>
      </c>
      <c r="CP527" s="27" t="s">
        <v>7</v>
      </c>
      <c r="CR527" s="27" t="s">
        <v>7</v>
      </c>
      <c r="CS527" s="27" t="s">
        <v>8</v>
      </c>
      <c r="CT527" s="27" t="s">
        <v>7</v>
      </c>
    </row>
    <row r="528" spans="1:98" x14ac:dyDescent="0.25">
      <c r="A528" s="7">
        <v>3.2166968513386403</v>
      </c>
      <c r="B528"/>
      <c r="C528"/>
      <c r="D528"/>
      <c r="E528" t="s">
        <v>8</v>
      </c>
      <c r="AV528" s="27" t="s">
        <v>7</v>
      </c>
      <c r="AX528" s="27" t="s">
        <v>7</v>
      </c>
      <c r="BA528" s="27" t="s">
        <v>8</v>
      </c>
      <c r="BB528" s="27" t="s">
        <v>7</v>
      </c>
      <c r="BC528" s="27" t="s">
        <v>8</v>
      </c>
      <c r="BD528" s="27" t="s">
        <v>7</v>
      </c>
      <c r="BE528" s="27" t="s">
        <v>8</v>
      </c>
      <c r="BX528" s="27" t="s">
        <v>7</v>
      </c>
      <c r="BY528" s="27" t="s">
        <v>8</v>
      </c>
      <c r="CA528" s="27" t="s">
        <v>8</v>
      </c>
      <c r="CB528" s="27" t="s">
        <v>7</v>
      </c>
      <c r="CC528" s="27" t="s">
        <v>8</v>
      </c>
      <c r="CD528" s="27" t="s">
        <v>7</v>
      </c>
      <c r="CE528" s="27" t="s">
        <v>8</v>
      </c>
      <c r="CF528" s="27" t="s">
        <v>7</v>
      </c>
      <c r="CG528" s="27" t="s">
        <v>8</v>
      </c>
      <c r="CH528" s="27" t="s">
        <v>7</v>
      </c>
      <c r="CK528" s="27" t="s">
        <v>8</v>
      </c>
      <c r="CL528" s="27" t="s">
        <v>7</v>
      </c>
      <c r="CM528" s="27" t="s">
        <v>8</v>
      </c>
      <c r="CN528" s="27" t="s">
        <v>7</v>
      </c>
      <c r="CO528" s="27" t="s">
        <v>8</v>
      </c>
      <c r="CR528" s="27" t="s">
        <v>7</v>
      </c>
      <c r="CT528" s="27" t="s">
        <v>7</v>
      </c>
    </row>
    <row r="529" spans="1:116" x14ac:dyDescent="0.25">
      <c r="A529" s="7">
        <v>3.1536243640574906</v>
      </c>
      <c r="B529"/>
      <c r="C529"/>
      <c r="D529"/>
      <c r="E529" t="s">
        <v>8</v>
      </c>
      <c r="AX529" s="27" t="s">
        <v>7</v>
      </c>
      <c r="BA529" s="27" t="s">
        <v>8</v>
      </c>
      <c r="BB529" s="27" t="s">
        <v>7</v>
      </c>
      <c r="BC529" s="27" t="s">
        <v>8</v>
      </c>
      <c r="BD529" s="27" t="s">
        <v>7</v>
      </c>
      <c r="BX529" s="27" t="s">
        <v>7</v>
      </c>
      <c r="BY529" s="27" t="s">
        <v>8</v>
      </c>
      <c r="BZ529" s="27" t="s">
        <v>7</v>
      </c>
      <c r="CA529" s="27" t="s">
        <v>8</v>
      </c>
      <c r="CB529" s="27" t="s">
        <v>7</v>
      </c>
      <c r="CC529" s="27" t="s">
        <v>8</v>
      </c>
      <c r="CD529" s="27" t="s">
        <v>7</v>
      </c>
      <c r="CE529" s="27" t="s">
        <v>8</v>
      </c>
      <c r="CF529" s="27" t="s">
        <v>7</v>
      </c>
      <c r="CG529" s="27" t="s">
        <v>8</v>
      </c>
      <c r="CH529" s="27" t="s">
        <v>7</v>
      </c>
      <c r="CI529" s="27" t="s">
        <v>8</v>
      </c>
      <c r="CK529" s="27" t="s">
        <v>8</v>
      </c>
      <c r="CL529" s="27" t="s">
        <v>7</v>
      </c>
      <c r="CM529" s="27" t="s">
        <v>8</v>
      </c>
      <c r="CN529" s="27" t="s">
        <v>7</v>
      </c>
      <c r="CO529" s="27" t="s">
        <v>8</v>
      </c>
      <c r="CT529" s="27" t="s">
        <v>7</v>
      </c>
    </row>
    <row r="530" spans="1:116" x14ac:dyDescent="0.25">
      <c r="A530" s="7">
        <v>3.0917885922132262</v>
      </c>
      <c r="B530"/>
      <c r="C530"/>
      <c r="D530"/>
      <c r="E530" t="s">
        <v>8</v>
      </c>
      <c r="AX530" s="27" t="s">
        <v>7</v>
      </c>
      <c r="AY530" s="27" t="s">
        <v>8</v>
      </c>
      <c r="BA530" s="27" t="s">
        <v>8</v>
      </c>
      <c r="BB530" s="27" t="s">
        <v>7</v>
      </c>
      <c r="BC530" s="27" t="s">
        <v>8</v>
      </c>
      <c r="BX530" s="27" t="s">
        <v>7</v>
      </c>
      <c r="BY530" s="27" t="s">
        <v>8</v>
      </c>
      <c r="BZ530" s="27" t="s">
        <v>7</v>
      </c>
      <c r="CA530" s="27" t="s">
        <v>8</v>
      </c>
      <c r="CB530" s="27" t="s">
        <v>7</v>
      </c>
      <c r="CD530" s="27" t="s">
        <v>7</v>
      </c>
      <c r="CE530" s="27" t="s">
        <v>8</v>
      </c>
      <c r="CF530" s="27" t="s">
        <v>7</v>
      </c>
      <c r="CG530" s="27" t="s">
        <v>8</v>
      </c>
      <c r="CH530" s="27" t="s">
        <v>7</v>
      </c>
      <c r="CI530" s="27" t="s">
        <v>8</v>
      </c>
      <c r="CJ530" s="27" t="s">
        <v>7</v>
      </c>
      <c r="CK530" s="27" t="s">
        <v>8</v>
      </c>
      <c r="CL530" s="27" t="s">
        <v>7</v>
      </c>
      <c r="CN530" s="27" t="s">
        <v>7</v>
      </c>
      <c r="CO530" s="27" t="s">
        <v>8</v>
      </c>
      <c r="CT530" s="27" t="s">
        <v>7</v>
      </c>
      <c r="CU530" s="27" t="s">
        <v>8</v>
      </c>
    </row>
    <row r="531" spans="1:116" x14ac:dyDescent="0.25">
      <c r="A531" s="7">
        <v>3.0311652864835552</v>
      </c>
      <c r="B531"/>
      <c r="C531"/>
      <c r="D531"/>
      <c r="E531" t="s">
        <v>8</v>
      </c>
      <c r="AX531" s="27" t="s">
        <v>7</v>
      </c>
      <c r="AY531" s="27" t="s">
        <v>8</v>
      </c>
      <c r="AZ531" s="27" t="s">
        <v>7</v>
      </c>
      <c r="BA531" s="27" t="s">
        <v>8</v>
      </c>
      <c r="BB531" s="27" t="s">
        <v>7</v>
      </c>
      <c r="BC531" s="27" t="s">
        <v>8</v>
      </c>
      <c r="BX531" s="27" t="s">
        <v>7</v>
      </c>
      <c r="BY531" s="27" t="s">
        <v>8</v>
      </c>
      <c r="BZ531" s="27" t="s">
        <v>7</v>
      </c>
      <c r="CA531" s="27" t="s">
        <v>8</v>
      </c>
      <c r="CD531" s="27" t="s">
        <v>7</v>
      </c>
      <c r="CE531" s="27" t="s">
        <v>8</v>
      </c>
      <c r="CF531" s="27" t="s">
        <v>7</v>
      </c>
      <c r="CG531" s="27" t="s">
        <v>8</v>
      </c>
      <c r="CH531" s="27" t="s">
        <v>7</v>
      </c>
      <c r="CI531" s="27" t="s">
        <v>8</v>
      </c>
      <c r="CJ531" s="27" t="s">
        <v>7</v>
      </c>
      <c r="CK531" s="27" t="s">
        <v>8</v>
      </c>
      <c r="CN531" s="27" t="s">
        <v>7</v>
      </c>
      <c r="CT531" s="27" t="s">
        <v>7</v>
      </c>
      <c r="CU531" s="27" t="s">
        <v>8</v>
      </c>
      <c r="CV531" s="27" t="s">
        <v>7</v>
      </c>
    </row>
    <row r="532" spans="1:116" x14ac:dyDescent="0.25">
      <c r="A532" s="7">
        <v>2.9717306730230932</v>
      </c>
      <c r="B532"/>
      <c r="C532"/>
      <c r="D532"/>
      <c r="E532" t="s">
        <v>8</v>
      </c>
      <c r="AX532" s="27" t="s">
        <v>7</v>
      </c>
      <c r="AY532" s="27" t="s">
        <v>8</v>
      </c>
      <c r="AZ532" s="27" t="s">
        <v>7</v>
      </c>
      <c r="BA532" s="27" t="s">
        <v>8</v>
      </c>
      <c r="BB532" s="27" t="s">
        <v>7</v>
      </c>
      <c r="BC532" s="27" t="s">
        <v>8</v>
      </c>
      <c r="BX532" s="27" t="s">
        <v>7</v>
      </c>
      <c r="BZ532" s="27" t="s">
        <v>7</v>
      </c>
      <c r="CA532" s="27" t="s">
        <v>8</v>
      </c>
      <c r="CD532" s="27" t="s">
        <v>7</v>
      </c>
      <c r="CE532" s="27" t="s">
        <v>8</v>
      </c>
      <c r="CF532" s="27" t="s">
        <v>7</v>
      </c>
      <c r="CG532" s="27" t="s">
        <v>8</v>
      </c>
      <c r="CH532" s="27" t="s">
        <v>7</v>
      </c>
      <c r="CJ532" s="27" t="s">
        <v>7</v>
      </c>
      <c r="CK532" s="27" t="s">
        <v>8</v>
      </c>
      <c r="CT532" s="27" t="s">
        <v>7</v>
      </c>
      <c r="CU532" s="27" t="s">
        <v>8</v>
      </c>
      <c r="CV532" s="27" t="s">
        <v>7</v>
      </c>
    </row>
    <row r="533" spans="1:116" x14ac:dyDescent="0.25">
      <c r="A533" s="7">
        <v>2.9134614441402875</v>
      </c>
      <c r="B533"/>
      <c r="C533"/>
      <c r="D533"/>
      <c r="E533" t="s">
        <v>8</v>
      </c>
      <c r="AX533" s="27" t="s">
        <v>7</v>
      </c>
      <c r="AY533" s="27" t="s">
        <v>8</v>
      </c>
      <c r="AZ533" s="27" t="s">
        <v>7</v>
      </c>
      <c r="BA533" s="27" t="s">
        <v>8</v>
      </c>
      <c r="BB533" s="27" t="s">
        <v>7</v>
      </c>
      <c r="BZ533" s="27" t="s">
        <v>7</v>
      </c>
      <c r="CA533" s="27" t="s">
        <v>8</v>
      </c>
      <c r="CD533" s="27" t="s">
        <v>7</v>
      </c>
      <c r="CE533" s="27" t="s">
        <v>8</v>
      </c>
      <c r="CF533" s="27" t="s">
        <v>7</v>
      </c>
      <c r="CG533" s="27" t="s">
        <v>8</v>
      </c>
      <c r="CJ533" s="27" t="s">
        <v>7</v>
      </c>
      <c r="CK533" s="27" t="s">
        <v>8</v>
      </c>
      <c r="CT533" s="27" t="s">
        <v>7</v>
      </c>
      <c r="CU533" s="27" t="s">
        <v>8</v>
      </c>
      <c r="CV533" s="27" t="s">
        <v>7</v>
      </c>
    </row>
    <row r="534" spans="1:116" x14ac:dyDescent="0.25">
      <c r="A534" s="7">
        <v>2.8563347491571447</v>
      </c>
      <c r="B534"/>
      <c r="C534"/>
      <c r="D534"/>
      <c r="E534" t="s">
        <v>8</v>
      </c>
      <c r="AX534" s="27" t="s">
        <v>7</v>
      </c>
      <c r="AY534" s="27" t="s">
        <v>8</v>
      </c>
      <c r="AZ534" s="27" t="s">
        <v>7</v>
      </c>
      <c r="BZ534" s="27" t="s">
        <v>7</v>
      </c>
      <c r="CA534" s="27" t="s">
        <v>8</v>
      </c>
      <c r="CD534" s="27" t="s">
        <v>7</v>
      </c>
      <c r="CE534" s="27" t="s">
        <v>8</v>
      </c>
      <c r="CF534" s="27" t="s">
        <v>7</v>
      </c>
      <c r="CG534" s="27" t="s">
        <v>8</v>
      </c>
      <c r="CJ534" s="27" t="s">
        <v>7</v>
      </c>
      <c r="CK534" s="27" t="s">
        <v>8</v>
      </c>
      <c r="CT534" s="27" t="s">
        <v>7</v>
      </c>
      <c r="CU534" s="27" t="s">
        <v>8</v>
      </c>
      <c r="CV534" s="27" t="s">
        <v>7</v>
      </c>
      <c r="DE534" s="27" t="s">
        <v>8</v>
      </c>
    </row>
    <row r="535" spans="1:116" x14ac:dyDescent="0.25">
      <c r="A535" s="7">
        <v>2.8003281854481812</v>
      </c>
      <c r="B535"/>
      <c r="C535"/>
      <c r="D535"/>
      <c r="E535" t="s">
        <v>8</v>
      </c>
      <c r="AX535" s="18" t="s">
        <v>7</v>
      </c>
      <c r="AY535" s="27" t="s">
        <v>8</v>
      </c>
      <c r="BZ535" s="27" t="s">
        <v>7</v>
      </c>
      <c r="CD535" s="27" t="s">
        <v>7</v>
      </c>
      <c r="CE535" s="27" t="s">
        <v>8</v>
      </c>
      <c r="CF535" s="27" t="s">
        <v>7</v>
      </c>
      <c r="CJ535" s="27" t="s">
        <v>7</v>
      </c>
      <c r="CT535" s="27" t="s">
        <v>7</v>
      </c>
      <c r="CU535" s="27" t="s">
        <v>8</v>
      </c>
      <c r="CV535" s="27" t="s">
        <v>7</v>
      </c>
      <c r="CY535" s="27" t="s">
        <v>8</v>
      </c>
      <c r="DA535" s="27" t="s">
        <v>8</v>
      </c>
      <c r="DE535" s="27" t="s">
        <v>8</v>
      </c>
      <c r="DF535" s="27" t="s">
        <v>7</v>
      </c>
    </row>
    <row r="536" spans="1:116" x14ac:dyDescent="0.25">
      <c r="A536" s="7">
        <v>2.7454197896550796</v>
      </c>
      <c r="B536"/>
      <c r="C536"/>
      <c r="D536"/>
      <c r="E536" t="s">
        <v>8</v>
      </c>
      <c r="AX536" s="27" t="s">
        <v>7</v>
      </c>
      <c r="AY536" s="27" t="s">
        <v>8</v>
      </c>
      <c r="CD536" s="27" t="s">
        <v>7</v>
      </c>
      <c r="CE536" s="27" t="s">
        <v>8</v>
      </c>
      <c r="CT536" s="27" t="s">
        <v>7</v>
      </c>
      <c r="CU536" s="27" t="s">
        <v>8</v>
      </c>
      <c r="CV536" s="27" t="s">
        <v>7</v>
      </c>
      <c r="CY536" s="27" t="s">
        <v>8</v>
      </c>
      <c r="CZ536" s="27" t="s">
        <v>7</v>
      </c>
      <c r="DA536" s="27" t="s">
        <v>8</v>
      </c>
      <c r="DB536" s="27" t="s">
        <v>7</v>
      </c>
      <c r="DE536" s="27" t="s">
        <v>8</v>
      </c>
      <c r="DF536" s="27" t="s">
        <v>7</v>
      </c>
      <c r="DG536" s="27" t="s">
        <v>8</v>
      </c>
      <c r="DI536" s="27" t="s">
        <v>8</v>
      </c>
    </row>
    <row r="537" spans="1:116" x14ac:dyDescent="0.25">
      <c r="A537" s="7">
        <v>2.6915880290736074</v>
      </c>
      <c r="B537"/>
      <c r="C537"/>
      <c r="D537"/>
      <c r="E537" t="s">
        <v>8</v>
      </c>
      <c r="AX537" s="27" t="s">
        <v>7</v>
      </c>
      <c r="AY537" s="27" t="s">
        <v>8</v>
      </c>
      <c r="CD537" s="27" t="s">
        <v>7</v>
      </c>
      <c r="CT537" s="27" t="s">
        <v>7</v>
      </c>
      <c r="CU537" s="27" t="s">
        <v>8</v>
      </c>
      <c r="CV537" s="27" t="s">
        <v>7</v>
      </c>
      <c r="CW537" s="27" t="s">
        <v>8</v>
      </c>
      <c r="CY537" s="27" t="s">
        <v>8</v>
      </c>
      <c r="CZ537" s="27" t="s">
        <v>7</v>
      </c>
      <c r="DA537" s="27" t="s">
        <v>8</v>
      </c>
      <c r="DB537" s="27" t="s">
        <v>7</v>
      </c>
      <c r="DE537" s="27" t="s">
        <v>8</v>
      </c>
      <c r="DF537" s="27" t="s">
        <v>7</v>
      </c>
      <c r="DG537" s="27" t="s">
        <v>8</v>
      </c>
      <c r="DH537" s="27" t="s">
        <v>7</v>
      </c>
      <c r="DI537" s="27" t="s">
        <v>8</v>
      </c>
      <c r="DJ537" s="27" t="s">
        <v>7</v>
      </c>
    </row>
    <row r="538" spans="1:116" x14ac:dyDescent="0.25">
      <c r="A538" s="7">
        <v>2.6388117932094191</v>
      </c>
      <c r="B538"/>
      <c r="C538"/>
      <c r="D538"/>
      <c r="E538" t="s">
        <v>8</v>
      </c>
      <c r="AX538" s="27" t="s">
        <v>7</v>
      </c>
      <c r="AY538" s="27" t="s">
        <v>8</v>
      </c>
      <c r="CT538" s="27" t="s">
        <v>7</v>
      </c>
      <c r="CV538" s="27" t="s">
        <v>7</v>
      </c>
      <c r="CW538" s="27" t="s">
        <v>8</v>
      </c>
      <c r="CX538" s="27" t="s">
        <v>7</v>
      </c>
      <c r="CY538" s="27" t="s">
        <v>8</v>
      </c>
      <c r="CZ538" s="27" t="s">
        <v>7</v>
      </c>
      <c r="DB538" s="27" t="s">
        <v>7</v>
      </c>
      <c r="DE538" s="27" t="s">
        <v>8</v>
      </c>
      <c r="DF538" s="27" t="s">
        <v>7</v>
      </c>
      <c r="DG538" s="27" t="s">
        <v>8</v>
      </c>
      <c r="DH538" s="27" t="s">
        <v>7</v>
      </c>
      <c r="DI538" s="27" t="s">
        <v>8</v>
      </c>
      <c r="DJ538" s="27" t="s">
        <v>7</v>
      </c>
    </row>
    <row r="539" spans="1:116" x14ac:dyDescent="0.25">
      <c r="A539" s="7">
        <v>2.5870703854994304</v>
      </c>
      <c r="B539"/>
      <c r="C539"/>
      <c r="D539"/>
      <c r="E539" t="s">
        <v>8</v>
      </c>
      <c r="AX539" s="27" t="s">
        <v>7</v>
      </c>
      <c r="AY539" s="27" t="s">
        <v>8</v>
      </c>
      <c r="CV539" s="27" t="s">
        <v>7</v>
      </c>
      <c r="CW539" s="27" t="s">
        <v>8</v>
      </c>
      <c r="CX539" s="27" t="s">
        <v>7</v>
      </c>
      <c r="CY539" s="27" t="s">
        <v>8</v>
      </c>
      <c r="DB539" s="27" t="s">
        <v>7</v>
      </c>
      <c r="DE539" s="27" t="s">
        <v>8</v>
      </c>
      <c r="DF539" s="27" t="s">
        <v>7</v>
      </c>
      <c r="DG539" s="27" t="s">
        <v>8</v>
      </c>
      <c r="DH539" s="27" t="s">
        <v>7</v>
      </c>
      <c r="DI539" s="27" t="s">
        <v>8</v>
      </c>
      <c r="DJ539" s="27" t="s">
        <v>7</v>
      </c>
    </row>
    <row r="540" spans="1:116" x14ac:dyDescent="0.25">
      <c r="A540" s="7">
        <v>2.53634351519552</v>
      </c>
      <c r="B540"/>
      <c r="C540"/>
      <c r="D540"/>
      <c r="E540" t="s">
        <v>8</v>
      </c>
      <c r="AX540" s="27" t="s">
        <v>7</v>
      </c>
      <c r="CV540" s="27" t="s">
        <v>7</v>
      </c>
      <c r="CX540" s="27" t="s">
        <v>7</v>
      </c>
      <c r="DB540" s="27" t="s">
        <v>7</v>
      </c>
      <c r="DE540" s="27" t="s">
        <v>8</v>
      </c>
      <c r="DF540" s="27" t="s">
        <v>7</v>
      </c>
      <c r="DG540" s="27" t="s">
        <v>8</v>
      </c>
      <c r="DH540" s="27" t="s">
        <v>7</v>
      </c>
      <c r="DI540" s="27" t="s">
        <v>8</v>
      </c>
      <c r="DJ540" s="27" t="s">
        <v>7</v>
      </c>
      <c r="DK540" s="27" t="s">
        <v>8</v>
      </c>
    </row>
    <row r="541" spans="1:116" x14ac:dyDescent="0.25">
      <c r="A541" s="7">
        <v>2.4866112894073726</v>
      </c>
      <c r="B541"/>
      <c r="C541"/>
      <c r="D541"/>
      <c r="E541" t="s">
        <v>8</v>
      </c>
      <c r="DB541" s="27" t="s">
        <v>7</v>
      </c>
      <c r="DE541" s="27" t="s">
        <v>8</v>
      </c>
      <c r="DF541" s="27" t="s">
        <v>7</v>
      </c>
      <c r="DG541" s="27" t="s">
        <v>8</v>
      </c>
      <c r="DH541" s="27" t="s">
        <v>7</v>
      </c>
      <c r="DI541" s="27" t="s">
        <v>8</v>
      </c>
      <c r="DJ541" s="27" t="s">
        <v>7</v>
      </c>
      <c r="DK541" s="27" t="s">
        <v>8</v>
      </c>
      <c r="DL541" s="27" t="s">
        <v>7</v>
      </c>
    </row>
    <row r="542" spans="1:116" x14ac:dyDescent="0.25">
      <c r="A542" s="7">
        <v>2.4378542053013459</v>
      </c>
      <c r="B542"/>
      <c r="C542"/>
      <c r="D542"/>
      <c r="E542" t="s">
        <v>8</v>
      </c>
      <c r="DB542" s="27" t="s">
        <v>7</v>
      </c>
      <c r="DE542" s="27" t="s">
        <v>8</v>
      </c>
      <c r="DF542" s="27" t="s">
        <v>7</v>
      </c>
      <c r="DG542" s="27" t="s">
        <v>8</v>
      </c>
      <c r="DH542" s="27" t="s">
        <v>7</v>
      </c>
      <c r="DJ542" s="27" t="s">
        <v>7</v>
      </c>
      <c r="DK542" s="27" t="s">
        <v>8</v>
      </c>
      <c r="DL542" s="27" t="s">
        <v>7</v>
      </c>
    </row>
    <row r="543" spans="1:116" x14ac:dyDescent="0.25">
      <c r="A543" s="7">
        <v>2.3900531424522997</v>
      </c>
      <c r="B543"/>
      <c r="C543"/>
      <c r="D543"/>
      <c r="E543" t="s">
        <v>8</v>
      </c>
      <c r="DB543" s="27" t="s">
        <v>7</v>
      </c>
      <c r="DC543" s="27" t="s">
        <v>8</v>
      </c>
      <c r="DE543" s="27" t="s">
        <v>8</v>
      </c>
      <c r="DF543" s="27" t="s">
        <v>7</v>
      </c>
      <c r="DG543" s="27" t="s">
        <v>8</v>
      </c>
      <c r="DJ543" s="27" t="s">
        <v>7</v>
      </c>
      <c r="DL543" s="27" t="s">
        <v>7</v>
      </c>
    </row>
    <row r="544" spans="1:116" x14ac:dyDescent="0.25">
      <c r="A544" s="7">
        <v>2.343189355345392</v>
      </c>
      <c r="B544"/>
      <c r="C544"/>
      <c r="D544"/>
      <c r="E544" t="s">
        <v>8</v>
      </c>
      <c r="DB544" s="27" t="s">
        <v>7</v>
      </c>
      <c r="DC544" s="27" t="s">
        <v>8</v>
      </c>
      <c r="DD544" s="27" t="s">
        <v>7</v>
      </c>
      <c r="DE544" s="27" t="s">
        <v>8</v>
      </c>
      <c r="DF544" s="27" t="s">
        <v>7</v>
      </c>
      <c r="DG544" s="27" t="s">
        <v>8</v>
      </c>
      <c r="DL544" s="27" t="s">
        <v>7</v>
      </c>
    </row>
    <row r="545" spans="1:118" x14ac:dyDescent="0.25">
      <c r="A545" s="7">
        <v>2.2972444660248938</v>
      </c>
      <c r="B545"/>
      <c r="C545"/>
      <c r="D545"/>
      <c r="E545" t="s">
        <v>8</v>
      </c>
      <c r="DB545" s="27" t="s">
        <v>7</v>
      </c>
      <c r="DC545" s="27" t="s">
        <v>8</v>
      </c>
      <c r="DD545" s="27" t="s">
        <v>7</v>
      </c>
      <c r="DE545" s="27" t="s">
        <v>8</v>
      </c>
      <c r="DF545" s="27" t="s">
        <v>7</v>
      </c>
      <c r="DG545" s="27" t="s">
        <v>8</v>
      </c>
      <c r="DL545" s="27" t="s">
        <v>7</v>
      </c>
    </row>
    <row r="546" spans="1:118" x14ac:dyDescent="0.25">
      <c r="A546" s="7">
        <v>2.252200456887151</v>
      </c>
      <c r="B546"/>
      <c r="C546"/>
      <c r="D546"/>
      <c r="E546" t="s">
        <v>8</v>
      </c>
      <c r="DB546" s="27" t="s">
        <v>7</v>
      </c>
      <c r="DC546" s="27" t="s">
        <v>8</v>
      </c>
      <c r="DD546" s="27" t="s">
        <v>7</v>
      </c>
      <c r="DE546" s="27" t="s">
        <v>8</v>
      </c>
      <c r="DF546" s="27" t="s">
        <v>7</v>
      </c>
      <c r="DG546" s="27" t="s">
        <v>8</v>
      </c>
      <c r="DL546" s="27" t="s">
        <v>7</v>
      </c>
    </row>
    <row r="547" spans="1:118" x14ac:dyDescent="0.25">
      <c r="A547" s="7">
        <v>2.208039663614854</v>
      </c>
      <c r="B547"/>
      <c r="C547"/>
      <c r="D547"/>
      <c r="E547" t="s">
        <v>8</v>
      </c>
      <c r="DB547" s="27" t="s">
        <v>7</v>
      </c>
      <c r="DC547" s="27" t="s">
        <v>8</v>
      </c>
      <c r="DD547" s="27" t="s">
        <v>7</v>
      </c>
      <c r="DE547" s="27" t="s">
        <v>8</v>
      </c>
      <c r="DF547" s="27" t="s">
        <v>7</v>
      </c>
      <c r="DG547" s="27" t="s">
        <v>8</v>
      </c>
      <c r="DL547" s="27" t="s">
        <v>7</v>
      </c>
    </row>
    <row r="548" spans="1:118" x14ac:dyDescent="0.25">
      <c r="A548" s="7">
        <v>2.1647447682498568</v>
      </c>
      <c r="B548"/>
      <c r="C548"/>
      <c r="D548"/>
      <c r="E548" t="s">
        <v>8</v>
      </c>
      <c r="DB548" s="27" t="s">
        <v>7</v>
      </c>
      <c r="DC548" s="27" t="s">
        <v>8</v>
      </c>
      <c r="DD548" s="27" t="s">
        <v>7</v>
      </c>
      <c r="DE548" s="27" t="s">
        <v>8</v>
      </c>
      <c r="DF548" s="27" t="s">
        <v>7</v>
      </c>
      <c r="DG548" s="27" t="s">
        <v>8</v>
      </c>
      <c r="DL548" s="27" t="s">
        <v>7</v>
      </c>
    </row>
    <row r="549" spans="1:118" x14ac:dyDescent="0.25">
      <c r="A549" s="7">
        <v>2.1222987924018204</v>
      </c>
      <c r="B549"/>
      <c r="C549"/>
      <c r="D549"/>
      <c r="E549" t="s">
        <v>8</v>
      </c>
      <c r="DB549" s="27" t="s">
        <v>7</v>
      </c>
      <c r="DD549" s="27" t="s">
        <v>7</v>
      </c>
      <c r="DF549" s="27" t="s">
        <v>7</v>
      </c>
      <c r="DL549" s="27" t="s">
        <v>7</v>
      </c>
    </row>
    <row r="550" spans="1:118" x14ac:dyDescent="0.25">
      <c r="A550" s="7">
        <v>2.0806850905900198</v>
      </c>
      <c r="B550"/>
      <c r="C550"/>
      <c r="D550"/>
      <c r="E550" t="s">
        <v>8</v>
      </c>
      <c r="DL550" s="27" t="s">
        <v>7</v>
      </c>
    </row>
    <row r="551" spans="1:118" x14ac:dyDescent="0.25">
      <c r="A551" s="7">
        <v>2.0398873437157055</v>
      </c>
      <c r="B551"/>
      <c r="C551"/>
      <c r="D551"/>
      <c r="E551" t="s">
        <v>8</v>
      </c>
      <c r="DL551" s="27" t="s">
        <v>7</v>
      </c>
    </row>
    <row r="552" spans="1:118" x14ac:dyDescent="0.25">
      <c r="A552" s="7">
        <v>1.9998895526624565</v>
      </c>
      <c r="B552"/>
      <c r="C552"/>
      <c r="D552"/>
      <c r="E552" t="s">
        <v>8</v>
      </c>
      <c r="DL552" s="27" t="s">
        <v>7</v>
      </c>
    </row>
    <row r="553" spans="1:118" x14ac:dyDescent="0.25">
      <c r="A553" s="7">
        <v>1.9606760320220162</v>
      </c>
      <c r="B553"/>
      <c r="C553"/>
      <c r="D553"/>
      <c r="E553" t="s">
        <v>8</v>
      </c>
      <c r="DL553" s="27" t="s">
        <v>7</v>
      </c>
      <c r="DM553" s="27" t="s">
        <v>8</v>
      </c>
    </row>
    <row r="554" spans="1:118" x14ac:dyDescent="0.25">
      <c r="A554" s="7">
        <v>1.9222314039431532</v>
      </c>
      <c r="B554"/>
      <c r="C554"/>
      <c r="D554"/>
      <c r="E554" t="s">
        <v>8</v>
      </c>
      <c r="DL554" s="27" t="s">
        <v>7</v>
      </c>
      <c r="DM554" s="27" t="s">
        <v>8</v>
      </c>
      <c r="DN554" s="27" t="s">
        <v>7</v>
      </c>
    </row>
    <row r="555" spans="1:118" x14ac:dyDescent="0.25">
      <c r="A555" s="7">
        <v>1.8845405921011305</v>
      </c>
      <c r="B555"/>
      <c r="C555"/>
      <c r="D555"/>
      <c r="E555" t="s">
        <v>8</v>
      </c>
      <c r="DL555" s="27" t="s">
        <v>7</v>
      </c>
      <c r="DM555" s="27" t="s">
        <v>8</v>
      </c>
      <c r="DN555" s="27" t="s">
        <v>7</v>
      </c>
    </row>
    <row r="556" spans="1:118" x14ac:dyDescent="0.25">
      <c r="A556" s="7">
        <v>1.8475888157854219</v>
      </c>
      <c r="B556"/>
      <c r="C556"/>
      <c r="D556"/>
      <c r="E556" t="s">
        <v>8</v>
      </c>
      <c r="DL556" s="27" t="s">
        <v>7</v>
      </c>
      <c r="DM556" s="27" t="s">
        <v>8</v>
      </c>
      <c r="DN556" s="27" t="s">
        <v>7</v>
      </c>
    </row>
    <row r="557" spans="1:118" x14ac:dyDescent="0.25">
      <c r="A557" s="7">
        <v>1.8113615841033548</v>
      </c>
      <c r="B557"/>
      <c r="C557"/>
      <c r="D557"/>
      <c r="E557" t="s">
        <v>8</v>
      </c>
      <c r="DL557" s="27" t="s">
        <v>7</v>
      </c>
      <c r="DM557" s="27" t="s">
        <v>8</v>
      </c>
      <c r="DN557" s="27" t="s">
        <v>7</v>
      </c>
    </row>
    <row r="558" spans="1:118" x14ac:dyDescent="0.25">
      <c r="A558" s="7">
        <v>1.7758446902974065</v>
      </c>
      <c r="B558"/>
      <c r="C558"/>
      <c r="D558"/>
      <c r="E558" t="s">
        <v>8</v>
      </c>
      <c r="DL558" s="27" t="s">
        <v>7</v>
      </c>
      <c r="DM558" s="27" t="s">
        <v>8</v>
      </c>
      <c r="DN558" s="27" t="s">
        <v>7</v>
      </c>
    </row>
    <row r="559" spans="1:118" x14ac:dyDescent="0.25">
      <c r="A559" s="7">
        <v>1.7410242061739281</v>
      </c>
      <c r="B559"/>
      <c r="C559"/>
      <c r="D559"/>
      <c r="E559" t="s">
        <v>8</v>
      </c>
      <c r="DL559" s="27" t="s">
        <v>7</v>
      </c>
      <c r="DN559" s="27" t="s">
        <v>7</v>
      </c>
    </row>
    <row r="560" spans="1:118" x14ac:dyDescent="0.25">
      <c r="A560" s="7">
        <v>1.7068864766411058</v>
      </c>
      <c r="B560"/>
      <c r="C560"/>
      <c r="D560"/>
      <c r="E560" t="s">
        <v>8</v>
      </c>
      <c r="DN560" s="27" t="s">
        <v>7</v>
      </c>
    </row>
    <row r="561" spans="1:118" x14ac:dyDescent="0.25">
      <c r="A561" s="7">
        <v>1.6734181143540252</v>
      </c>
      <c r="B561"/>
      <c r="C561"/>
      <c r="D561"/>
      <c r="E561" t="s">
        <v>8</v>
      </c>
      <c r="DN561" s="27" t="s">
        <v>7</v>
      </c>
    </row>
    <row r="562" spans="1:118" x14ac:dyDescent="0.25">
      <c r="A562" s="7">
        <v>1.6406059944647307</v>
      </c>
      <c r="B562"/>
      <c r="C562"/>
      <c r="D562"/>
      <c r="E562" t="s">
        <v>8</v>
      </c>
      <c r="DN562" s="27" t="s">
        <v>7</v>
      </c>
    </row>
    <row r="563" spans="1:118" x14ac:dyDescent="0.25">
      <c r="A563" s="7">
        <v>1.6084372494752261</v>
      </c>
      <c r="B563"/>
      <c r="C563"/>
      <c r="D563"/>
      <c r="E563" t="s">
        <v>8</v>
      </c>
      <c r="DN563" s="27" t="s">
        <v>7</v>
      </c>
    </row>
    <row r="564" spans="1:118" x14ac:dyDescent="0.25">
      <c r="A564" s="7">
        <v>1.5768992641913981</v>
      </c>
      <c r="B564"/>
      <c r="C564"/>
      <c r="D564"/>
      <c r="E564" t="s">
        <v>8</v>
      </c>
      <c r="DN564" s="27" t="s">
        <v>7</v>
      </c>
    </row>
    <row r="565" spans="1:118" x14ac:dyDescent="0.25">
      <c r="A565" s="7">
        <v>1.5459796707758806</v>
      </c>
      <c r="B565"/>
      <c r="C565"/>
      <c r="D565"/>
      <c r="E565" t="s">
        <v>8</v>
      </c>
      <c r="DN565" s="27" t="s">
        <v>7</v>
      </c>
    </row>
    <row r="566" spans="1:118" x14ac:dyDescent="0.25">
      <c r="A566" s="7">
        <v>1.5156663438979221</v>
      </c>
      <c r="B566"/>
      <c r="C566"/>
      <c r="D566"/>
      <c r="E566" t="s">
        <v>8</v>
      </c>
      <c r="DN566" s="27" t="s">
        <v>7</v>
      </c>
    </row>
    <row r="567" spans="1:118" x14ac:dyDescent="0.25">
      <c r="A567" s="7">
        <v>1.4859473959783549</v>
      </c>
      <c r="B567"/>
      <c r="C567"/>
      <c r="D567"/>
      <c r="E567" t="s">
        <v>8</v>
      </c>
      <c r="DN567" s="27" t="s">
        <v>7</v>
      </c>
    </row>
    <row r="568" spans="1:118" x14ac:dyDescent="0.25">
      <c r="A568" s="7">
        <v>1.4568111725277988</v>
      </c>
      <c r="B568"/>
      <c r="C568"/>
      <c r="D568"/>
      <c r="E568" t="s">
        <v>8</v>
      </c>
      <c r="DN568" s="27" t="s">
        <v>7</v>
      </c>
    </row>
    <row r="569" spans="1:118" x14ac:dyDescent="0.25">
      <c r="A569" s="7">
        <v>1.4282462475762734</v>
      </c>
      <c r="B569"/>
      <c r="C569"/>
      <c r="D569"/>
      <c r="E569" t="s">
        <v>8</v>
      </c>
      <c r="DN569" s="27" t="s">
        <v>7</v>
      </c>
    </row>
    <row r="570" spans="1:118" x14ac:dyDescent="0.25">
      <c r="A570" s="7">
        <v>1.4002414191924248</v>
      </c>
      <c r="B570"/>
      <c r="C570"/>
      <c r="D570"/>
      <c r="E570" t="s">
        <v>8</v>
      </c>
      <c r="DN570" s="27" t="s">
        <v>7</v>
      </c>
    </row>
    <row r="571" spans="1:118" x14ac:dyDescent="0.25">
      <c r="A571" s="7">
        <v>1.3727857050906125</v>
      </c>
      <c r="B571"/>
      <c r="C571"/>
      <c r="D571"/>
      <c r="E571" t="s">
        <v>8</v>
      </c>
      <c r="DN571" s="27" t="s">
        <v>7</v>
      </c>
    </row>
    <row r="572" spans="1:118" x14ac:dyDescent="0.25">
      <c r="A572" s="7">
        <v>1.3458683383241299</v>
      </c>
      <c r="B572"/>
      <c r="C572"/>
      <c r="D572"/>
      <c r="E572" t="s">
        <v>8</v>
      </c>
      <c r="DN572" s="27" t="s">
        <v>7</v>
      </c>
    </row>
    <row r="573" spans="1:118" x14ac:dyDescent="0.25">
      <c r="A573" s="7">
        <v>1.3194787630628724</v>
      </c>
      <c r="B573"/>
      <c r="C573"/>
      <c r="D573"/>
      <c r="E573" t="s">
        <v>8</v>
      </c>
      <c r="DN573" s="27" t="s">
        <v>7</v>
      </c>
    </row>
    <row r="574" spans="1:118" x14ac:dyDescent="0.25">
      <c r="A574" s="7">
        <v>1.2936066304537963</v>
      </c>
      <c r="B574"/>
      <c r="C574"/>
      <c r="D574"/>
      <c r="E574" t="s">
        <v>8</v>
      </c>
      <c r="DN574" s="27" t="s">
        <v>7</v>
      </c>
    </row>
    <row r="575" spans="1:118" x14ac:dyDescent="0.25">
      <c r="A575" s="7">
        <v>1.2682417945625455</v>
      </c>
      <c r="B575"/>
      <c r="C575"/>
      <c r="D575"/>
      <c r="E575" t="s">
        <v>8</v>
      </c>
      <c r="DN575" s="27" t="s">
        <v>7</v>
      </c>
    </row>
    <row r="576" spans="1:118" x14ac:dyDescent="0.25">
      <c r="A576" s="7">
        <v>1.2433743083946525</v>
      </c>
      <c r="B576"/>
      <c r="C576"/>
      <c r="D576"/>
      <c r="E576" t="s">
        <v>8</v>
      </c>
      <c r="DN576" s="27" t="s">
        <v>7</v>
      </c>
    </row>
    <row r="577" spans="1:118" x14ac:dyDescent="0.25">
      <c r="A577" s="7">
        <v>1.2189944199947573</v>
      </c>
      <c r="B577"/>
      <c r="C577"/>
      <c r="D577"/>
      <c r="E577" t="s">
        <v>8</v>
      </c>
      <c r="DN577" s="27" t="s">
        <v>7</v>
      </c>
    </row>
    <row r="578" spans="1:118" x14ac:dyDescent="0.25">
      <c r="A578" s="7">
        <v>1.1950925686223111</v>
      </c>
      <c r="B578"/>
      <c r="C578"/>
      <c r="D578"/>
      <c r="E578" t="s">
        <v>8</v>
      </c>
      <c r="DN578" s="27" t="s">
        <v>7</v>
      </c>
    </row>
    <row r="579" spans="1:118" x14ac:dyDescent="0.25">
      <c r="A579" s="7">
        <v>1.1716593810022657</v>
      </c>
      <c r="B579"/>
      <c r="C579"/>
      <c r="D579"/>
      <c r="E579" t="s">
        <v>8</v>
      </c>
      <c r="DN579" s="27" t="s">
        <v>7</v>
      </c>
    </row>
    <row r="580" spans="1:118" x14ac:dyDescent="0.25">
      <c r="A580" s="7">
        <v>1.14868566764928</v>
      </c>
      <c r="B580"/>
      <c r="C580"/>
      <c r="D580"/>
      <c r="E580" t="s">
        <v>8</v>
      </c>
    </row>
    <row r="581" spans="1:118" x14ac:dyDescent="0.25">
      <c r="A581" s="7">
        <v>1.1261624192640001</v>
      </c>
      <c r="B581"/>
      <c r="C581"/>
      <c r="D581"/>
      <c r="E581" t="s">
        <v>8</v>
      </c>
    </row>
    <row r="582" spans="1:118" x14ac:dyDescent="0.25">
      <c r="A582" s="7">
        <v>1.1040808032</v>
      </c>
      <c r="B582"/>
      <c r="C582"/>
      <c r="D582"/>
      <c r="E582" t="s">
        <v>8</v>
      </c>
    </row>
    <row r="583" spans="1:118" x14ac:dyDescent="0.25">
      <c r="A583" s="7">
        <v>1.08243216</v>
      </c>
      <c r="B583"/>
      <c r="C583"/>
      <c r="D583"/>
      <c r="E583" t="s">
        <v>8</v>
      </c>
    </row>
    <row r="584" spans="1:118" x14ac:dyDescent="0.25">
      <c r="A584" s="7">
        <v>1.0612079999999999</v>
      </c>
      <c r="B584"/>
      <c r="C584"/>
      <c r="D584"/>
      <c r="E584" t="s">
        <v>8</v>
      </c>
    </row>
    <row r="585" spans="1:118" x14ac:dyDescent="0.25">
      <c r="A585" s="7">
        <v>1.0404</v>
      </c>
      <c r="B585"/>
      <c r="C585"/>
      <c r="D585"/>
      <c r="E585" t="s">
        <v>8</v>
      </c>
    </row>
    <row r="586" spans="1:118" x14ac:dyDescent="0.25">
      <c r="A586" s="7">
        <v>1.02</v>
      </c>
      <c r="B586"/>
      <c r="C586"/>
      <c r="D586"/>
      <c r="E586" t="s">
        <v>8</v>
      </c>
    </row>
    <row r="587" spans="1:118" x14ac:dyDescent="0.25">
      <c r="A587" s="7">
        <v>1</v>
      </c>
      <c r="B587"/>
      <c r="C587"/>
      <c r="D587"/>
      <c r="E587" s="29" t="s">
        <v>8</v>
      </c>
    </row>
    <row r="588" spans="1:118" x14ac:dyDescent="0.25">
      <c r="A588" s="7">
        <v>0.98039215686274506</v>
      </c>
      <c r="B588"/>
      <c r="C588"/>
      <c r="D588"/>
      <c r="E588"/>
    </row>
    <row r="589" spans="1:118" x14ac:dyDescent="0.25">
      <c r="A589" s="7">
        <v>0.96116878123798544</v>
      </c>
      <c r="B589"/>
      <c r="C589"/>
      <c r="D589"/>
      <c r="E589"/>
    </row>
    <row r="590" spans="1:118" x14ac:dyDescent="0.25">
      <c r="A590" s="7">
        <v>0.94232233454704462</v>
      </c>
      <c r="B590"/>
      <c r="C590"/>
      <c r="D590"/>
      <c r="E590"/>
    </row>
    <row r="591" spans="1:118" x14ac:dyDescent="0.25">
      <c r="A591" s="7">
        <v>0.92384542602651432</v>
      </c>
      <c r="B591"/>
      <c r="C591"/>
      <c r="D591"/>
      <c r="E591"/>
    </row>
    <row r="592" spans="1:118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89" operator="equal">
      <formula>$U$1</formula>
    </cfRule>
    <cfRule type="cellIs" dxfId="89" priority="690" operator="equal">
      <formula>$S$1</formula>
    </cfRule>
  </conditionalFormatting>
  <conditionalFormatting sqref="D27">
    <cfRule type="cellIs" dxfId="88" priority="687" operator="equal">
      <formula>$S$1</formula>
    </cfRule>
    <cfRule type="cellIs" dxfId="87" priority="688" operator="equal">
      <formula>$U$1</formula>
    </cfRule>
  </conditionalFormatting>
  <conditionalFormatting sqref="C164">
    <cfRule type="cellIs" dxfId="86" priority="685" operator="equal">
      <formula>$U$1</formula>
    </cfRule>
    <cfRule type="cellIs" dxfId="85" priority="686" operator="equal">
      <formula>$S$1</formula>
    </cfRule>
  </conditionalFormatting>
  <conditionalFormatting sqref="D164">
    <cfRule type="cellIs" dxfId="84" priority="683" operator="equal">
      <formula>$S$1</formula>
    </cfRule>
    <cfRule type="cellIs" dxfId="83" priority="684" operator="equal">
      <formula>$U$1</formula>
    </cfRule>
  </conditionalFormatting>
  <conditionalFormatting sqref="C55">
    <cfRule type="cellIs" dxfId="82" priority="681" operator="equal">
      <formula>$U$1</formula>
    </cfRule>
    <cfRule type="cellIs" dxfId="81" priority="682" operator="equal">
      <formula>$S$1</formula>
    </cfRule>
  </conditionalFormatting>
  <conditionalFormatting sqref="D55">
    <cfRule type="cellIs" dxfId="80" priority="679" operator="equal">
      <formula>$S$1</formula>
    </cfRule>
    <cfRule type="cellIs" dxfId="79" priority="680" operator="equal">
      <formula>$U$1</formula>
    </cfRule>
  </conditionalFormatting>
  <conditionalFormatting sqref="C89">
    <cfRule type="cellIs" dxfId="78" priority="677" operator="equal">
      <formula>$U$1</formula>
    </cfRule>
    <cfRule type="cellIs" dxfId="77" priority="678" operator="equal">
      <formula>$S$1</formula>
    </cfRule>
  </conditionalFormatting>
  <conditionalFormatting sqref="D89">
    <cfRule type="cellIs" dxfId="76" priority="675" operator="equal">
      <formula>$S$1</formula>
    </cfRule>
    <cfRule type="cellIs" dxfId="75" priority="676" operator="equal">
      <formula>$U$1</formula>
    </cfRule>
  </conditionalFormatting>
  <conditionalFormatting sqref="C136">
    <cfRule type="cellIs" dxfId="74" priority="673" operator="equal">
      <formula>$U$1</formula>
    </cfRule>
    <cfRule type="cellIs" dxfId="73" priority="674" operator="equal">
      <formula>$S$1</formula>
    </cfRule>
  </conditionalFormatting>
  <conditionalFormatting sqref="D136">
    <cfRule type="cellIs" dxfId="72" priority="671" operator="equal">
      <formula>$S$1</formula>
    </cfRule>
    <cfRule type="cellIs" dxfId="71" priority="672" operator="equal">
      <formula>$U$1</formula>
    </cfRule>
  </conditionalFormatting>
  <conditionalFormatting sqref="C1">
    <cfRule type="cellIs" dxfId="70" priority="67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P236" sqref="AP23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$A$235</v>
      </c>
      <c r="D111" s="1" t="str">
        <f>ADDRESS(C121-1,D121,1,1)</f>
        <v>$AP$235</v>
      </c>
      <c r="E111"/>
    </row>
    <row r="112" spans="1:5" x14ac:dyDescent="0.25">
      <c r="A112" s="30">
        <v>515.50191262726139</v>
      </c>
      <c r="C112" s="1" t="str">
        <f>ADDRESS(C121,1,1,1)</f>
        <v>$A$236</v>
      </c>
      <c r="D112" s="1" t="str">
        <f>ADDRESS(C121,D121-1,1,1)</f>
        <v>$AO$236</v>
      </c>
      <c r="E112"/>
    </row>
    <row r="113" spans="1:5" x14ac:dyDescent="0.25">
      <c r="A113" s="30">
        <v>490.95420250215363</v>
      </c>
      <c r="C113" s="1" t="str">
        <f>ADDRESS(C121+1,1,1,1)</f>
        <v>$A$237</v>
      </c>
      <c r="D113" s="1" t="str">
        <f>ADDRESS(C121-1,D121+1,1,1)</f>
        <v>$AQ$235</v>
      </c>
    </row>
    <row r="114" spans="1:5" x14ac:dyDescent="0.25">
      <c r="A114" s="30">
        <v>467.57543095443202</v>
      </c>
      <c r="C114" s="1" t="str">
        <f>ADDRESS(C121,D121,1,1)</f>
        <v>$AP$236</v>
      </c>
      <c r="D114" s="1" t="str">
        <f>ADDRESS(C121+1,D121+1,1,1)</f>
        <v>$AQ$237</v>
      </c>
    </row>
    <row r="115" spans="1:5" x14ac:dyDescent="0.25">
      <c r="A115" s="30">
        <v>445.30993424231622</v>
      </c>
      <c r="C115" s="1" t="str">
        <f>ADDRESS(C121+1,D121,1,1)</f>
        <v>$AP$237</v>
      </c>
    </row>
    <row r="116" spans="1:5" x14ac:dyDescent="0.25">
      <c r="A116" s="30">
        <v>424.10469927839637</v>
      </c>
      <c r="C116" s="1">
        <f>C117-1</f>
        <v>235</v>
      </c>
    </row>
    <row r="117" spans="1:5" x14ac:dyDescent="0.25">
      <c r="A117" s="30">
        <v>403.9092374079965</v>
      </c>
      <c r="C117" s="1">
        <f>C121</f>
        <v>236</v>
      </c>
      <c r="D117" s="1">
        <f>D121</f>
        <v>42</v>
      </c>
    </row>
    <row r="118" spans="1:5" x14ac:dyDescent="0.25">
      <c r="A118" s="30">
        <v>384.6754641980919</v>
      </c>
      <c r="C118" s="1">
        <f>C117+1</f>
        <v>237</v>
      </c>
      <c r="D118" s="1">
        <f>D117+1</f>
        <v>43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236</v>
      </c>
      <c r="D121" s="19">
        <v>42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R236</v>
      </c>
      <c r="D123" s="1" t="str">
        <f>"C"&amp;D121</f>
        <v>C42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1.2155062500000002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8" x14ac:dyDescent="0.25">
      <c r="A177" s="30">
        <v>21.623492570684135</v>
      </c>
      <c r="E177"/>
    </row>
    <row r="178" spans="1:8" x14ac:dyDescent="0.25">
      <c r="A178" s="30">
        <v>20.593802448270605</v>
      </c>
      <c r="C178" s="7"/>
      <c r="D178"/>
      <c r="E178"/>
    </row>
    <row r="179" spans="1:8" x14ac:dyDescent="0.25">
      <c r="A179" s="30">
        <v>19.613145188829147</v>
      </c>
      <c r="E179"/>
    </row>
    <row r="180" spans="1:8" x14ac:dyDescent="0.25">
      <c r="A180" s="30">
        <v>18.679185894122998</v>
      </c>
      <c r="E180"/>
    </row>
    <row r="181" spans="1:8" x14ac:dyDescent="0.25">
      <c r="A181" s="30">
        <v>17.78970085154571</v>
      </c>
      <c r="C181"/>
      <c r="D181"/>
      <c r="E181"/>
    </row>
    <row r="182" spans="1:8" x14ac:dyDescent="0.25">
      <c r="A182" s="30">
        <v>16.942572239567344</v>
      </c>
      <c r="E182"/>
    </row>
    <row r="183" spans="1:8" x14ac:dyDescent="0.25">
      <c r="A183" s="30">
        <v>16.135783085302233</v>
      </c>
      <c r="E183"/>
    </row>
    <row r="184" spans="1:8" x14ac:dyDescent="0.25">
      <c r="A184" s="30">
        <v>15.367412462192602</v>
      </c>
      <c r="E184"/>
    </row>
    <row r="185" spans="1:8" x14ac:dyDescent="0.25">
      <c r="A185" s="30">
        <v>14.635630916373906</v>
      </c>
      <c r="C185"/>
      <c r="E185"/>
    </row>
    <row r="186" spans="1:8" x14ac:dyDescent="0.25">
      <c r="A186" s="30">
        <v>13.938696110832291</v>
      </c>
      <c r="E186"/>
    </row>
    <row r="187" spans="1: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8" x14ac:dyDescent="0.25">
      <c r="A188" s="30">
        <v>12.64280826379346</v>
      </c>
      <c r="E188"/>
    </row>
    <row r="189" spans="1:8" x14ac:dyDescent="0.25">
      <c r="A189" s="30">
        <v>12.04076977504139</v>
      </c>
      <c r="E189"/>
      <c r="G189" s="27" t="s">
        <v>8</v>
      </c>
    </row>
    <row r="190" spans="1:8" x14ac:dyDescent="0.25">
      <c r="A190" s="30">
        <v>11.467399785753704</v>
      </c>
      <c r="E190"/>
      <c r="G190" s="27" t="s">
        <v>8</v>
      </c>
      <c r="H190" s="27" t="s">
        <v>7</v>
      </c>
    </row>
    <row r="191" spans="1:8" x14ac:dyDescent="0.25">
      <c r="A191" s="30">
        <v>10.921333129289241</v>
      </c>
      <c r="E191"/>
      <c r="G191" s="27" t="s">
        <v>8</v>
      </c>
      <c r="H191" s="27" t="s">
        <v>7</v>
      </c>
    </row>
    <row r="192" spans="1:8" x14ac:dyDescent="0.25">
      <c r="A192" s="30">
        <v>10.401269646942135</v>
      </c>
      <c r="E192"/>
      <c r="G192" s="27" t="s">
        <v>8</v>
      </c>
      <c r="H192" s="27" t="s">
        <v>7</v>
      </c>
    </row>
    <row r="193" spans="1:21" x14ac:dyDescent="0.25">
      <c r="A193" s="30">
        <v>9.9059710923258422</v>
      </c>
      <c r="E193" t="s">
        <v>8</v>
      </c>
      <c r="G193" s="27" t="s">
        <v>8</v>
      </c>
      <c r="H193" s="27" t="s">
        <v>7</v>
      </c>
    </row>
    <row r="194" spans="1:21" x14ac:dyDescent="0.25">
      <c r="A194" s="30">
        <v>9.4342581831674686</v>
      </c>
      <c r="E194" t="s">
        <v>8</v>
      </c>
      <c r="F194" s="27" t="s">
        <v>7</v>
      </c>
      <c r="G194" s="27" t="s">
        <v>8</v>
      </c>
      <c r="H194" s="27" t="s">
        <v>7</v>
      </c>
    </row>
    <row r="195" spans="1:21" x14ac:dyDescent="0.25">
      <c r="A195" s="30">
        <v>8.9850077934928265</v>
      </c>
      <c r="E195" t="s">
        <v>8</v>
      </c>
      <c r="F195" s="27" t="s">
        <v>7</v>
      </c>
      <c r="G195" s="27" t="s">
        <v>8</v>
      </c>
      <c r="H195" s="27" t="s">
        <v>7</v>
      </c>
    </row>
    <row r="196" spans="1:21" x14ac:dyDescent="0.25">
      <c r="A196" s="30">
        <v>8.5571502795169767</v>
      </c>
      <c r="E196" t="s">
        <v>8</v>
      </c>
      <c r="F196" s="27" t="s">
        <v>7</v>
      </c>
      <c r="H196" s="27" t="s">
        <v>7</v>
      </c>
    </row>
    <row r="197" spans="1:21" x14ac:dyDescent="0.25">
      <c r="A197" s="30">
        <v>8.1496669328733109</v>
      </c>
      <c r="E197" t="s">
        <v>8</v>
      </c>
      <c r="H197" s="27" t="s">
        <v>7</v>
      </c>
    </row>
    <row r="198" spans="1:21" x14ac:dyDescent="0.25">
      <c r="A198" s="30">
        <v>7.7615875551174378</v>
      </c>
      <c r="E198" t="s">
        <v>8</v>
      </c>
      <c r="H198" s="27" t="s">
        <v>7</v>
      </c>
    </row>
    <row r="199" spans="1:21" x14ac:dyDescent="0.25">
      <c r="A199" s="30">
        <v>7.3919881477308929</v>
      </c>
      <c r="E199" t="s">
        <v>8</v>
      </c>
      <c r="H199" s="27" t="s">
        <v>7</v>
      </c>
      <c r="O199" s="27" t="s">
        <v>8</v>
      </c>
    </row>
    <row r="200" spans="1:21" x14ac:dyDescent="0.25">
      <c r="A200" s="30">
        <v>7.0399887121246598</v>
      </c>
      <c r="E200" t="s">
        <v>8</v>
      </c>
      <c r="H200" s="27" t="s">
        <v>7</v>
      </c>
      <c r="O200" s="27" t="s">
        <v>8</v>
      </c>
      <c r="P200" s="27" t="s">
        <v>7</v>
      </c>
    </row>
    <row r="201" spans="1:21" x14ac:dyDescent="0.25">
      <c r="A201" s="30">
        <v>6.7047511544044376</v>
      </c>
      <c r="E201" t="s">
        <v>8</v>
      </c>
      <c r="H201" s="27" t="s">
        <v>7</v>
      </c>
      <c r="O201" s="27" t="s">
        <v>8</v>
      </c>
      <c r="P201" s="27" t="s">
        <v>7</v>
      </c>
    </row>
    <row r="202" spans="1:21" x14ac:dyDescent="0.25">
      <c r="A202" s="30">
        <v>6.3854772899089882</v>
      </c>
      <c r="E202" t="s">
        <v>8</v>
      </c>
      <c r="H202" s="27" t="s">
        <v>7</v>
      </c>
      <c r="I202" s="27" t="s">
        <v>8</v>
      </c>
      <c r="O202" s="27" t="s">
        <v>8</v>
      </c>
      <c r="P202" s="27" t="s">
        <v>7</v>
      </c>
    </row>
    <row r="203" spans="1:21" x14ac:dyDescent="0.25">
      <c r="A203" s="30">
        <v>6.0814069427704647</v>
      </c>
      <c r="C203" s="7"/>
      <c r="D203"/>
      <c r="E203" t="s">
        <v>8</v>
      </c>
      <c r="H203" s="27" t="s">
        <v>7</v>
      </c>
      <c r="I203" s="27" t="s">
        <v>8</v>
      </c>
      <c r="J203" s="27" t="s">
        <v>7</v>
      </c>
      <c r="K203" s="27" t="s">
        <v>8</v>
      </c>
      <c r="O203" s="27" t="s">
        <v>8</v>
      </c>
      <c r="P203" s="27" t="s">
        <v>7</v>
      </c>
    </row>
    <row r="204" spans="1:21" x14ac:dyDescent="0.25">
      <c r="A204" s="30">
        <v>5.7918161359718709</v>
      </c>
      <c r="E204" t="s">
        <v>8</v>
      </c>
      <c r="H204" s="27" t="s">
        <v>7</v>
      </c>
      <c r="I204" s="27" t="s">
        <v>8</v>
      </c>
      <c r="J204" s="27" t="s">
        <v>7</v>
      </c>
      <c r="K204" s="27" t="s">
        <v>8</v>
      </c>
      <c r="L204" s="27" t="s">
        <v>7</v>
      </c>
      <c r="O204" s="27" t="s">
        <v>8</v>
      </c>
      <c r="P204" s="27" t="s">
        <v>7</v>
      </c>
    </row>
    <row r="205" spans="1:21" x14ac:dyDescent="0.25">
      <c r="A205" s="30">
        <v>5.5160153675922574</v>
      </c>
      <c r="E205" t="s">
        <v>8</v>
      </c>
      <c r="H205" s="27" t="s">
        <v>7</v>
      </c>
      <c r="I205" s="27" t="s">
        <v>8</v>
      </c>
      <c r="J205" s="27" t="s">
        <v>7</v>
      </c>
      <c r="K205" s="27" t="s">
        <v>8</v>
      </c>
      <c r="L205" s="27" t="s">
        <v>7</v>
      </c>
      <c r="O205" s="27" t="s">
        <v>8</v>
      </c>
      <c r="P205" s="27" t="s">
        <v>7</v>
      </c>
    </row>
    <row r="206" spans="1:21" x14ac:dyDescent="0.25">
      <c r="A206" s="30">
        <v>5.2533479691354827</v>
      </c>
      <c r="C206"/>
      <c r="D206"/>
      <c r="E206" t="s">
        <v>8</v>
      </c>
      <c r="H206" s="27" t="s">
        <v>7</v>
      </c>
      <c r="J206" s="27" t="s">
        <v>7</v>
      </c>
      <c r="K206" s="27" t="s">
        <v>8</v>
      </c>
      <c r="L206" s="27" t="s">
        <v>7</v>
      </c>
      <c r="M206" s="27" t="s">
        <v>8</v>
      </c>
      <c r="O206" s="27" t="s">
        <v>8</v>
      </c>
      <c r="P206" s="27" t="s">
        <v>7</v>
      </c>
      <c r="Q206" s="27" t="s">
        <v>8</v>
      </c>
    </row>
    <row r="207" spans="1:21" x14ac:dyDescent="0.25">
      <c r="A207" s="30">
        <v>5.0031885420337927</v>
      </c>
      <c r="E207" t="s">
        <v>8</v>
      </c>
      <c r="J207" s="27" t="s">
        <v>7</v>
      </c>
      <c r="K207" s="27" t="s">
        <v>8</v>
      </c>
      <c r="L207" s="27" t="s">
        <v>7</v>
      </c>
      <c r="M207" s="27" t="s">
        <v>8</v>
      </c>
      <c r="N207" s="27" t="s">
        <v>7</v>
      </c>
      <c r="O207" s="27" t="s">
        <v>8</v>
      </c>
      <c r="P207" s="27" t="s">
        <v>7</v>
      </c>
      <c r="Q207" s="27" t="s">
        <v>8</v>
      </c>
      <c r="R207" s="27" t="s">
        <v>7</v>
      </c>
    </row>
    <row r="208" spans="1:21" x14ac:dyDescent="0.25">
      <c r="A208" s="30">
        <v>4.7649414686036122</v>
      </c>
      <c r="E208" t="s">
        <v>8</v>
      </c>
      <c r="J208" s="27" t="s">
        <v>7</v>
      </c>
      <c r="K208" s="27" t="s">
        <v>8</v>
      </c>
      <c r="L208" s="27" t="s">
        <v>7</v>
      </c>
      <c r="M208" s="27" t="s">
        <v>8</v>
      </c>
      <c r="N208" s="27" t="s">
        <v>7</v>
      </c>
      <c r="O208" s="27" t="s">
        <v>8</v>
      </c>
      <c r="P208" s="27" t="s">
        <v>7</v>
      </c>
      <c r="Q208" s="27" t="s">
        <v>8</v>
      </c>
      <c r="R208" s="27" t="s">
        <v>7</v>
      </c>
      <c r="S208" s="27" t="s">
        <v>8</v>
      </c>
      <c r="U208" s="27" t="s">
        <v>8</v>
      </c>
    </row>
    <row r="209" spans="1:42" x14ac:dyDescent="0.25">
      <c r="A209" s="30">
        <v>4.5380394939082018</v>
      </c>
      <c r="E209" t="s">
        <v>8</v>
      </c>
      <c r="J209" s="27" t="s">
        <v>7</v>
      </c>
      <c r="K209" s="27" t="s">
        <v>8</v>
      </c>
      <c r="L209" s="27" t="s">
        <v>7</v>
      </c>
      <c r="N209" s="27" t="s">
        <v>7</v>
      </c>
      <c r="O209" s="27" t="s">
        <v>8</v>
      </c>
      <c r="P209" s="27" t="s">
        <v>7</v>
      </c>
      <c r="Q209" s="27" t="s">
        <v>8</v>
      </c>
      <c r="R209" s="27" t="s">
        <v>7</v>
      </c>
      <c r="S209" s="27" t="s">
        <v>8</v>
      </c>
      <c r="T209" s="27" t="s">
        <v>7</v>
      </c>
      <c r="U209" s="27" t="s">
        <v>8</v>
      </c>
      <c r="V209" s="27" t="s">
        <v>7</v>
      </c>
    </row>
    <row r="210" spans="1:42" x14ac:dyDescent="0.25">
      <c r="A210" s="30">
        <v>4.3219423751506678</v>
      </c>
      <c r="C210"/>
      <c r="E210" t="s">
        <v>8</v>
      </c>
      <c r="J210" s="27" t="s">
        <v>7</v>
      </c>
      <c r="K210" s="27" t="s">
        <v>8</v>
      </c>
      <c r="N210" s="27" t="s">
        <v>7</v>
      </c>
      <c r="O210" s="27" t="s">
        <v>8</v>
      </c>
      <c r="P210" s="27" t="s">
        <v>7</v>
      </c>
      <c r="R210" s="27" t="s">
        <v>7</v>
      </c>
      <c r="S210" s="27" t="s">
        <v>8</v>
      </c>
      <c r="T210" s="27" t="s">
        <v>7</v>
      </c>
      <c r="U210" s="27" t="s">
        <v>8</v>
      </c>
      <c r="V210" s="27" t="s">
        <v>7</v>
      </c>
      <c r="W210" s="27" t="s">
        <v>8</v>
      </c>
      <c r="AA210" s="27" t="s">
        <v>8</v>
      </c>
    </row>
    <row r="211" spans="1:42" x14ac:dyDescent="0.25">
      <c r="A211" s="30">
        <v>4.1161355953815884</v>
      </c>
      <c r="E211" t="s">
        <v>8</v>
      </c>
      <c r="J211" s="27" t="s">
        <v>7</v>
      </c>
      <c r="K211" s="27" t="s">
        <v>8</v>
      </c>
      <c r="N211" s="27" t="s">
        <v>7</v>
      </c>
      <c r="O211" s="27" t="s">
        <v>8</v>
      </c>
      <c r="R211" s="27" t="s">
        <v>7</v>
      </c>
      <c r="S211" s="27" t="s">
        <v>8</v>
      </c>
      <c r="T211" s="27" t="s">
        <v>7</v>
      </c>
      <c r="V211" s="27" t="s">
        <v>7</v>
      </c>
      <c r="W211" s="27" t="s">
        <v>8</v>
      </c>
      <c r="X211" s="27" t="s">
        <v>7</v>
      </c>
      <c r="Y211" s="27" t="s">
        <v>8</v>
      </c>
      <c r="AA211" s="27" t="s">
        <v>8</v>
      </c>
      <c r="AB211" s="27" t="s">
        <v>7</v>
      </c>
      <c r="AI211" s="27" t="s">
        <v>8</v>
      </c>
    </row>
    <row r="212" spans="1:42" x14ac:dyDescent="0.25">
      <c r="A212" s="30">
        <v>3.9201291384586554</v>
      </c>
      <c r="E212" t="s">
        <v>8</v>
      </c>
      <c r="J212" s="27" t="s">
        <v>7</v>
      </c>
      <c r="K212" s="27" t="s">
        <v>8</v>
      </c>
      <c r="N212" s="27" t="s">
        <v>7</v>
      </c>
      <c r="O212" s="27" t="s">
        <v>8</v>
      </c>
      <c r="R212" s="27" t="s">
        <v>7</v>
      </c>
      <c r="S212" s="27" t="s">
        <v>8</v>
      </c>
      <c r="V212" s="27" t="s">
        <v>7</v>
      </c>
      <c r="W212" s="27" t="s">
        <v>8</v>
      </c>
      <c r="X212" s="27" t="s">
        <v>7</v>
      </c>
      <c r="Y212" s="27" t="s">
        <v>8</v>
      </c>
      <c r="Z212" s="27" t="s">
        <v>7</v>
      </c>
      <c r="AA212" s="27" t="s">
        <v>8</v>
      </c>
      <c r="AB212" s="27" t="s">
        <v>7</v>
      </c>
      <c r="AI212" s="27" t="s">
        <v>8</v>
      </c>
      <c r="AJ212" s="27" t="s">
        <v>7</v>
      </c>
    </row>
    <row r="213" spans="1:42" x14ac:dyDescent="0.25">
      <c r="A213" s="30">
        <v>3.7334563223415764</v>
      </c>
      <c r="E213" t="s">
        <v>8</v>
      </c>
      <c r="J213" s="27" t="s">
        <v>7</v>
      </c>
      <c r="K213" s="27" t="s">
        <v>8</v>
      </c>
      <c r="N213" s="27" t="s">
        <v>7</v>
      </c>
      <c r="R213" s="27" t="s">
        <v>7</v>
      </c>
      <c r="S213" s="27" t="s">
        <v>8</v>
      </c>
      <c r="V213" s="27" t="s">
        <v>7</v>
      </c>
      <c r="X213" s="27" t="s">
        <v>7</v>
      </c>
      <c r="Y213" s="27" t="s">
        <v>8</v>
      </c>
      <c r="Z213" s="27" t="s">
        <v>7</v>
      </c>
      <c r="AA213" s="27" t="s">
        <v>8</v>
      </c>
      <c r="AB213" s="27" t="s">
        <v>7</v>
      </c>
      <c r="AC213" s="27" t="s">
        <v>8</v>
      </c>
      <c r="AI213" s="27" t="s">
        <v>8</v>
      </c>
      <c r="AJ213" s="27" t="s">
        <v>7</v>
      </c>
    </row>
    <row r="214" spans="1:42" x14ac:dyDescent="0.25">
      <c r="A214" s="30">
        <v>3.5556726879443583</v>
      </c>
      <c r="E214" t="s">
        <v>8</v>
      </c>
      <c r="J214" s="27" t="s">
        <v>7</v>
      </c>
      <c r="K214" s="27" t="s">
        <v>8</v>
      </c>
      <c r="R214" s="27" t="s">
        <v>7</v>
      </c>
      <c r="S214" s="27" t="s">
        <v>8</v>
      </c>
      <c r="X214" s="27" t="s">
        <v>7</v>
      </c>
      <c r="Y214" s="27" t="s">
        <v>8</v>
      </c>
      <c r="Z214" s="27" t="s">
        <v>7</v>
      </c>
      <c r="AB214" s="27" t="s">
        <v>7</v>
      </c>
      <c r="AC214" s="27" t="s">
        <v>8</v>
      </c>
      <c r="AD214" s="27" t="s">
        <v>7</v>
      </c>
      <c r="AI214" s="27" t="s">
        <v>8</v>
      </c>
      <c r="AJ214" s="27" t="s">
        <v>7</v>
      </c>
    </row>
    <row r="215" spans="1:42" x14ac:dyDescent="0.25">
      <c r="A215" s="30">
        <v>3.3863549408993889</v>
      </c>
      <c r="E215" t="s">
        <v>8</v>
      </c>
      <c r="J215" s="27" t="s">
        <v>7</v>
      </c>
      <c r="R215" s="27" t="s">
        <v>7</v>
      </c>
      <c r="S215" s="27" t="s">
        <v>8</v>
      </c>
      <c r="X215" s="27" t="s">
        <v>7</v>
      </c>
      <c r="AB215" s="27" t="s">
        <v>7</v>
      </c>
      <c r="AC215" s="27" t="s">
        <v>8</v>
      </c>
      <c r="AD215" s="27" t="s">
        <v>7</v>
      </c>
      <c r="AE215" s="27" t="s">
        <v>8</v>
      </c>
      <c r="AG215" s="27" t="s">
        <v>8</v>
      </c>
      <c r="AI215" s="27" t="s">
        <v>8</v>
      </c>
      <c r="AJ215" s="27" t="s">
        <v>7</v>
      </c>
    </row>
    <row r="216" spans="1:42" x14ac:dyDescent="0.25">
      <c r="A216" s="30">
        <v>3.2250999437137038</v>
      </c>
      <c r="E216" t="s">
        <v>8</v>
      </c>
      <c r="R216" s="27" t="s">
        <v>7</v>
      </c>
      <c r="S216" s="27" t="s">
        <v>8</v>
      </c>
      <c r="AB216" s="27" t="s">
        <v>7</v>
      </c>
      <c r="AC216" s="27" t="s">
        <v>8</v>
      </c>
      <c r="AD216" s="27" t="s">
        <v>7</v>
      </c>
      <c r="AE216" s="27" t="s">
        <v>8</v>
      </c>
      <c r="AF216" s="27" t="s">
        <v>7</v>
      </c>
      <c r="AG216" s="27" t="s">
        <v>8</v>
      </c>
      <c r="AH216" s="27" t="s">
        <v>7</v>
      </c>
      <c r="AI216" s="27" t="s">
        <v>8</v>
      </c>
      <c r="AJ216" s="27" t="s">
        <v>7</v>
      </c>
    </row>
    <row r="217" spans="1:42" x14ac:dyDescent="0.25">
      <c r="A217" s="30">
        <v>3.0715237559178128</v>
      </c>
      <c r="E217" t="s">
        <v>8</v>
      </c>
      <c r="R217" s="27" t="s">
        <v>7</v>
      </c>
      <c r="S217" s="27" t="s">
        <v>8</v>
      </c>
      <c r="AB217" s="27" t="s">
        <v>7</v>
      </c>
      <c r="AC217" s="27" t="s">
        <v>8</v>
      </c>
      <c r="AD217" s="27" t="s">
        <v>7</v>
      </c>
      <c r="AE217" s="27" t="s">
        <v>8</v>
      </c>
      <c r="AF217" s="27" t="s">
        <v>7</v>
      </c>
      <c r="AG217" s="27" t="s">
        <v>8</v>
      </c>
      <c r="AH217" s="27" t="s">
        <v>7</v>
      </c>
      <c r="AI217" s="27" t="s">
        <v>8</v>
      </c>
      <c r="AJ217" s="27" t="s">
        <v>7</v>
      </c>
      <c r="AK217" s="27" t="s">
        <v>8</v>
      </c>
    </row>
    <row r="218" spans="1:42" x14ac:dyDescent="0.25">
      <c r="A218" s="30">
        <v>2.9252607199217264</v>
      </c>
      <c r="E218" t="s">
        <v>8</v>
      </c>
      <c r="R218" s="27" t="s">
        <v>7</v>
      </c>
      <c r="S218" s="27" t="s">
        <v>8</v>
      </c>
      <c r="AB218" s="27" t="s">
        <v>7</v>
      </c>
      <c r="AC218" s="27" t="s">
        <v>8</v>
      </c>
      <c r="AD218" s="27" t="s">
        <v>7</v>
      </c>
      <c r="AE218" s="27" t="s">
        <v>8</v>
      </c>
      <c r="AF218" s="27" t="s">
        <v>7</v>
      </c>
      <c r="AH218" s="27" t="s">
        <v>7</v>
      </c>
      <c r="AI218" s="27" t="s">
        <v>8</v>
      </c>
      <c r="AJ218" s="27" t="s">
        <v>7</v>
      </c>
      <c r="AK218" s="27" t="s">
        <v>8</v>
      </c>
      <c r="AL218" s="27" t="s">
        <v>7</v>
      </c>
    </row>
    <row r="219" spans="1:42" x14ac:dyDescent="0.25">
      <c r="A219" s="30">
        <v>2.7859625904016441</v>
      </c>
      <c r="E219" t="s">
        <v>8</v>
      </c>
      <c r="R219" s="18" t="s">
        <v>7</v>
      </c>
      <c r="S219" s="27" t="s">
        <v>8</v>
      </c>
      <c r="AB219" s="27" t="s">
        <v>7</v>
      </c>
      <c r="AD219" s="27" t="s">
        <v>7</v>
      </c>
      <c r="AH219" s="27" t="s">
        <v>7</v>
      </c>
      <c r="AJ219" s="27" t="s">
        <v>7</v>
      </c>
      <c r="AK219" s="27" t="s">
        <v>8</v>
      </c>
      <c r="AL219" s="27" t="s">
        <v>7</v>
      </c>
      <c r="AM219" s="27" t="s">
        <v>8</v>
      </c>
    </row>
    <row r="220" spans="1:42" x14ac:dyDescent="0.25">
      <c r="A220" s="30">
        <v>2.6532977051444226</v>
      </c>
      <c r="E220" t="s">
        <v>8</v>
      </c>
      <c r="R220" s="27" t="s">
        <v>7</v>
      </c>
      <c r="S220" s="27" t="s">
        <v>8</v>
      </c>
      <c r="AJ220" s="27" t="s">
        <v>7</v>
      </c>
      <c r="AL220" s="27" t="s">
        <v>7</v>
      </c>
      <c r="AM220" s="27" t="s">
        <v>8</v>
      </c>
      <c r="AN220" s="27" t="s">
        <v>7</v>
      </c>
      <c r="AO220" s="27" t="s">
        <v>8</v>
      </c>
    </row>
    <row r="221" spans="1:42" x14ac:dyDescent="0.25">
      <c r="A221" s="30">
        <v>2.5269501953756404</v>
      </c>
      <c r="E221" t="s">
        <v>8</v>
      </c>
      <c r="R221" s="27" t="s">
        <v>7</v>
      </c>
      <c r="AL221" s="27" t="s">
        <v>7</v>
      </c>
      <c r="AM221" s="27" t="s">
        <v>8</v>
      </c>
      <c r="AN221" s="27" t="s">
        <v>7</v>
      </c>
      <c r="AO221" s="27" t="s">
        <v>8</v>
      </c>
      <c r="AP221" s="27" t="s">
        <v>7</v>
      </c>
    </row>
    <row r="222" spans="1:42" x14ac:dyDescent="0.25">
      <c r="A222" s="30">
        <v>2.4066192336910861</v>
      </c>
      <c r="E222" t="s">
        <v>8</v>
      </c>
      <c r="AL222" s="27" t="s">
        <v>7</v>
      </c>
      <c r="AM222" s="27" t="s">
        <v>8</v>
      </c>
      <c r="AN222" s="27" t="s">
        <v>7</v>
      </c>
      <c r="AO222" s="27" t="s">
        <v>8</v>
      </c>
      <c r="AP222" s="27" t="s">
        <v>7</v>
      </c>
    </row>
    <row r="223" spans="1:42" x14ac:dyDescent="0.25">
      <c r="A223" s="30">
        <v>2.2920183178010345</v>
      </c>
      <c r="E223" t="s">
        <v>8</v>
      </c>
      <c r="AL223" s="27" t="s">
        <v>7</v>
      </c>
      <c r="AM223" s="27" t="s">
        <v>8</v>
      </c>
      <c r="AN223" s="27" t="s">
        <v>7</v>
      </c>
      <c r="AO223" s="27" t="s">
        <v>8</v>
      </c>
      <c r="AP223" s="27" t="s">
        <v>7</v>
      </c>
    </row>
    <row r="224" spans="1:42" x14ac:dyDescent="0.25">
      <c r="A224" s="30">
        <v>2.1828745883819374</v>
      </c>
      <c r="E224" t="s">
        <v>8</v>
      </c>
      <c r="AL224" s="27" t="s">
        <v>7</v>
      </c>
      <c r="AM224" s="27" t="s">
        <v>8</v>
      </c>
      <c r="AN224" s="27" t="s">
        <v>7</v>
      </c>
      <c r="AP224" s="27" t="s">
        <v>7</v>
      </c>
    </row>
    <row r="225" spans="1:42" x14ac:dyDescent="0.25">
      <c r="A225" s="30">
        <v>2.0789281794113688</v>
      </c>
      <c r="E225" t="s">
        <v>8</v>
      </c>
      <c r="AL225" s="27" t="s">
        <v>7</v>
      </c>
      <c r="AP225" s="27" t="s">
        <v>7</v>
      </c>
    </row>
    <row r="226" spans="1:42" x14ac:dyDescent="0.25">
      <c r="A226" s="30">
        <v>1.9799315994393987</v>
      </c>
      <c r="E226" t="s">
        <v>8</v>
      </c>
      <c r="AP226" s="27" t="s">
        <v>7</v>
      </c>
    </row>
    <row r="227" spans="1:42" x14ac:dyDescent="0.25">
      <c r="A227" s="30">
        <v>1.8856491423232367</v>
      </c>
      <c r="E227" t="s">
        <v>8</v>
      </c>
      <c r="AP227" s="27" t="s">
        <v>7</v>
      </c>
    </row>
    <row r="228" spans="1:42" x14ac:dyDescent="0.25">
      <c r="A228" s="30">
        <v>1.7958563260221301</v>
      </c>
      <c r="C228" s="7"/>
      <c r="D228"/>
      <c r="E228" t="s">
        <v>8</v>
      </c>
      <c r="AP228" s="27" t="s">
        <v>7</v>
      </c>
    </row>
    <row r="229" spans="1:42" x14ac:dyDescent="0.25">
      <c r="A229" s="30">
        <v>1.7103393581163142</v>
      </c>
      <c r="E229" t="s">
        <v>8</v>
      </c>
      <c r="AP229" s="27" t="s">
        <v>7</v>
      </c>
    </row>
    <row r="230" spans="1:42" x14ac:dyDescent="0.25">
      <c r="A230" s="30">
        <v>1.628894626777442</v>
      </c>
      <c r="E230" t="s">
        <v>8</v>
      </c>
      <c r="AP230" s="27" t="s">
        <v>7</v>
      </c>
    </row>
    <row r="231" spans="1:42" x14ac:dyDescent="0.25">
      <c r="A231" s="30">
        <v>1.5513282159785162</v>
      </c>
      <c r="C231"/>
      <c r="D231"/>
      <c r="E231" t="s">
        <v>8</v>
      </c>
      <c r="AP231" s="27" t="s">
        <v>7</v>
      </c>
    </row>
    <row r="232" spans="1:42" x14ac:dyDescent="0.25">
      <c r="A232" s="30">
        <v>1.477455443789063</v>
      </c>
      <c r="E232" t="s">
        <v>8</v>
      </c>
      <c r="AP232" s="27" t="s">
        <v>7</v>
      </c>
    </row>
    <row r="233" spans="1:42" x14ac:dyDescent="0.25">
      <c r="A233" s="30">
        <v>1.4071004226562505</v>
      </c>
      <c r="E233" t="s">
        <v>8</v>
      </c>
      <c r="AP233" s="27" t="s">
        <v>7</v>
      </c>
    </row>
    <row r="234" spans="1:42" x14ac:dyDescent="0.25">
      <c r="A234" s="30">
        <v>1.3400956406250004</v>
      </c>
      <c r="E234" t="s">
        <v>8</v>
      </c>
      <c r="AP234" s="27" t="s">
        <v>7</v>
      </c>
    </row>
    <row r="235" spans="1:42" x14ac:dyDescent="0.25">
      <c r="A235" s="30">
        <v>1.2762815625000004</v>
      </c>
      <c r="C235"/>
      <c r="E235" t="s">
        <v>8</v>
      </c>
      <c r="AP235" s="27" t="s">
        <v>7</v>
      </c>
    </row>
    <row r="236" spans="1:42" x14ac:dyDescent="0.25">
      <c r="A236" s="30">
        <v>1.2155062500000002</v>
      </c>
      <c r="E236" t="s">
        <v>8</v>
      </c>
      <c r="AP236" s="27" t="s">
        <v>7</v>
      </c>
    </row>
    <row r="237" spans="1:4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42" x14ac:dyDescent="0.25">
      <c r="A238" s="30">
        <v>1.1025</v>
      </c>
      <c r="E238" t="s">
        <v>8</v>
      </c>
    </row>
    <row r="239" spans="1:42" x14ac:dyDescent="0.25">
      <c r="A239" s="30">
        <v>1.05</v>
      </c>
      <c r="E239" t="s">
        <v>8</v>
      </c>
    </row>
    <row r="240" spans="1:42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04" operator="equal">
      <formula>$U$1</formula>
    </cfRule>
    <cfRule type="cellIs" dxfId="67" priority="705" operator="equal">
      <formula>$S$1</formula>
    </cfRule>
  </conditionalFormatting>
  <conditionalFormatting sqref="D136">
    <cfRule type="cellIs" dxfId="66" priority="702" operator="equal">
      <formula>$S$1</formula>
    </cfRule>
    <cfRule type="cellIs" dxfId="65" priority="703" operator="equal">
      <formula>$U$1</formula>
    </cfRule>
  </conditionalFormatting>
  <conditionalFormatting sqref="C162">
    <cfRule type="cellIs" dxfId="64" priority="700" operator="equal">
      <formula>$U$1</formula>
    </cfRule>
    <cfRule type="cellIs" dxfId="63" priority="701" operator="equal">
      <formula>$S$1</formula>
    </cfRule>
  </conditionalFormatting>
  <conditionalFormatting sqref="D162">
    <cfRule type="cellIs" dxfId="62" priority="698" operator="equal">
      <formula>$S$1</formula>
    </cfRule>
    <cfRule type="cellIs" dxfId="61" priority="699" operator="equal">
      <formula>$U$1</formula>
    </cfRule>
  </conditionalFormatting>
  <conditionalFormatting sqref="C187">
    <cfRule type="cellIs" dxfId="60" priority="696" operator="equal">
      <formula>$U$1</formula>
    </cfRule>
    <cfRule type="cellIs" dxfId="59" priority="697" operator="equal">
      <formula>$S$1</formula>
    </cfRule>
  </conditionalFormatting>
  <conditionalFormatting sqref="D187">
    <cfRule type="cellIs" dxfId="58" priority="694" operator="equal">
      <formula>$S$1</formula>
    </cfRule>
    <cfRule type="cellIs" dxfId="57" priority="695" operator="equal">
      <formula>$U$1</formula>
    </cfRule>
  </conditionalFormatting>
  <conditionalFormatting sqref="C212">
    <cfRule type="cellIs" dxfId="56" priority="692" operator="equal">
      <formula>$U$1</formula>
    </cfRule>
    <cfRule type="cellIs" dxfId="55" priority="693" operator="equal">
      <formula>$S$1</formula>
    </cfRule>
  </conditionalFormatting>
  <conditionalFormatting sqref="D212">
    <cfRule type="cellIs" dxfId="54" priority="690" operator="equal">
      <formula>$S$1</formula>
    </cfRule>
    <cfRule type="cellIs" dxfId="53" priority="691" operator="equal">
      <formula>$U$1</formula>
    </cfRule>
  </conditionalFormatting>
  <conditionalFormatting sqref="C237">
    <cfRule type="cellIs" dxfId="52" priority="688" operator="equal">
      <formula>$U$1</formula>
    </cfRule>
    <cfRule type="cellIs" dxfId="51" priority="689" operator="equal">
      <formula>$S$1</formula>
    </cfRule>
  </conditionalFormatting>
  <conditionalFormatting sqref="D237">
    <cfRule type="cellIs" dxfId="50" priority="686" operator="equal">
      <formula>$S$1</formula>
    </cfRule>
    <cfRule type="cellIs" dxfId="49" priority="687" operator="equal">
      <formula>$U$1</formula>
    </cfRule>
  </conditionalFormatting>
  <conditionalFormatting sqref="C106">
    <cfRule type="cellIs" dxfId="48" priority="684" operator="equal">
      <formula>$U$1</formula>
    </cfRule>
    <cfRule type="cellIs" dxfId="47" priority="685" operator="equal">
      <formula>$S$1</formula>
    </cfRule>
  </conditionalFormatting>
  <conditionalFormatting sqref="D106">
    <cfRule type="cellIs" dxfId="46" priority="682" operator="equal">
      <formula>$S$1</formula>
    </cfRule>
    <cfRule type="cellIs" dxfId="45" priority="683" operator="equal">
      <formula>$U$1</formula>
    </cfRule>
  </conditionalFormatting>
  <conditionalFormatting sqref="C81">
    <cfRule type="cellIs" dxfId="44" priority="680" operator="equal">
      <formula>$U$1</formula>
    </cfRule>
    <cfRule type="cellIs" dxfId="43" priority="681" operator="equal">
      <formula>$S$1</formula>
    </cfRule>
  </conditionalFormatting>
  <conditionalFormatting sqref="D81">
    <cfRule type="cellIs" dxfId="42" priority="678" operator="equal">
      <formula>$S$1</formula>
    </cfRule>
    <cfRule type="cellIs" dxfId="41" priority="679" operator="equal">
      <formula>$U$1</formula>
    </cfRule>
  </conditionalFormatting>
  <conditionalFormatting sqref="C56">
    <cfRule type="cellIs" dxfId="40" priority="676" operator="equal">
      <formula>$U$1</formula>
    </cfRule>
    <cfRule type="cellIs" dxfId="39" priority="677" operator="equal">
      <formula>$S$1</formula>
    </cfRule>
  </conditionalFormatting>
  <conditionalFormatting sqref="D56">
    <cfRule type="cellIs" dxfId="38" priority="674" operator="equal">
      <formula>$S$1</formula>
    </cfRule>
    <cfRule type="cellIs" dxfId="37" priority="675" operator="equal">
      <formula>$U$1</formula>
    </cfRule>
  </conditionalFormatting>
  <conditionalFormatting sqref="C31">
    <cfRule type="cellIs" dxfId="36" priority="672" operator="equal">
      <formula>$U$1</formula>
    </cfRule>
    <cfRule type="cellIs" dxfId="35" priority="673" operator="equal">
      <formula>$S$1</formula>
    </cfRule>
  </conditionalFormatting>
  <conditionalFormatting sqref="D31">
    <cfRule type="cellIs" dxfId="34" priority="670" operator="equal">
      <formula>$S$1</formula>
    </cfRule>
    <cfRule type="cellIs" dxfId="33" priority="67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R119" sqref="R11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6" x14ac:dyDescent="0.25">
      <c r="A81" s="30">
        <v>45.259255568176073</v>
      </c>
      <c r="E81"/>
    </row>
    <row r="82" spans="1:6" x14ac:dyDescent="0.25">
      <c r="A82" s="30">
        <v>41.144777789250973</v>
      </c>
      <c r="E82"/>
    </row>
    <row r="83" spans="1:6" x14ac:dyDescent="0.25">
      <c r="A83" s="30">
        <v>37.404343444773609</v>
      </c>
      <c r="E83"/>
    </row>
    <row r="84" spans="1:6" x14ac:dyDescent="0.25">
      <c r="A84" s="30">
        <v>34.003948586157826</v>
      </c>
      <c r="E84"/>
    </row>
    <row r="85" spans="1:6" x14ac:dyDescent="0.25">
      <c r="A85" s="30">
        <v>30.912680532870748</v>
      </c>
      <c r="E85"/>
    </row>
    <row r="86" spans="1:6" x14ac:dyDescent="0.25">
      <c r="A86" s="30">
        <v>28.102436848064315</v>
      </c>
      <c r="E86"/>
    </row>
    <row r="87" spans="1:6" x14ac:dyDescent="0.25">
      <c r="A87" s="30">
        <v>25.547669861876649</v>
      </c>
      <c r="E87"/>
    </row>
    <row r="88" spans="1:6" x14ac:dyDescent="0.25">
      <c r="A88" s="30">
        <v>23.225154419887861</v>
      </c>
      <c r="E88"/>
    </row>
    <row r="89" spans="1:6" x14ac:dyDescent="0.25">
      <c r="A89" s="30">
        <v>21.113776745352599</v>
      </c>
      <c r="E89"/>
    </row>
    <row r="90" spans="1:6" x14ac:dyDescent="0.25">
      <c r="A90" s="30">
        <v>19.194342495775089</v>
      </c>
      <c r="E90"/>
    </row>
    <row r="91" spans="1:6" x14ac:dyDescent="0.25">
      <c r="A91" s="30">
        <v>17.449402268886445</v>
      </c>
      <c r="E91"/>
    </row>
    <row r="92" spans="1:6" x14ac:dyDescent="0.25">
      <c r="A92" s="30">
        <v>15.863092971714948</v>
      </c>
      <c r="C92" s="1" t="s">
        <v>15</v>
      </c>
      <c r="E92"/>
    </row>
    <row r="93" spans="1:6" x14ac:dyDescent="0.25">
      <c r="A93" s="30">
        <v>14.420993610649951</v>
      </c>
      <c r="C93" s="7">
        <v>0.11167815779424731</v>
      </c>
      <c r="D93"/>
      <c r="E93"/>
    </row>
    <row r="94" spans="1:6" x14ac:dyDescent="0.25">
      <c r="A94" s="30">
        <v>13.109994191499954</v>
      </c>
      <c r="E94"/>
    </row>
    <row r="95" spans="1:6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6" x14ac:dyDescent="0.25">
      <c r="A96" s="30">
        <v>10.834705943388391</v>
      </c>
      <c r="C96"/>
      <c r="D96"/>
      <c r="E96" t="s">
        <v>8</v>
      </c>
      <c r="F96" s="27" t="s">
        <v>7</v>
      </c>
    </row>
    <row r="97" spans="1:18" x14ac:dyDescent="0.25">
      <c r="A97" s="30">
        <v>9.849732675807628</v>
      </c>
      <c r="E97" t="s">
        <v>8</v>
      </c>
      <c r="F97" s="27" t="s">
        <v>7</v>
      </c>
    </row>
    <row r="98" spans="1:18" x14ac:dyDescent="0.25">
      <c r="A98" s="30">
        <v>8.9543024325523888</v>
      </c>
      <c r="C98" s="1" t="s">
        <v>13</v>
      </c>
      <c r="E98" t="s">
        <v>8</v>
      </c>
      <c r="F98" s="27" t="s">
        <v>7</v>
      </c>
    </row>
    <row r="99" spans="1:18" x14ac:dyDescent="0.25">
      <c r="A99" s="30">
        <v>8.140274938683989</v>
      </c>
      <c r="C99" s="1">
        <f>C88</f>
        <v>0</v>
      </c>
      <c r="E99" t="s">
        <v>8</v>
      </c>
      <c r="F99" s="27" t="s">
        <v>7</v>
      </c>
    </row>
    <row r="100" spans="1:18" x14ac:dyDescent="0.25">
      <c r="A100" s="30">
        <v>7.4002499442581717</v>
      </c>
      <c r="C100"/>
      <c r="D100"/>
      <c r="E100" t="s">
        <v>8</v>
      </c>
      <c r="F100" s="27" t="s">
        <v>7</v>
      </c>
    </row>
    <row r="101" spans="1:18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I101" s="27" t="s">
        <v>8</v>
      </c>
    </row>
    <row r="102" spans="1:1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I102" s="27" t="s">
        <v>8</v>
      </c>
      <c r="J102" s="27" t="s">
        <v>7</v>
      </c>
    </row>
    <row r="103" spans="1:18" x14ac:dyDescent="0.25">
      <c r="A103" s="30">
        <v>5.5599173134922388</v>
      </c>
      <c r="E103" t="s">
        <v>8</v>
      </c>
      <c r="F103" s="27" t="s">
        <v>7</v>
      </c>
      <c r="G103" s="27" t="s">
        <v>8</v>
      </c>
      <c r="I103" s="27" t="s">
        <v>8</v>
      </c>
      <c r="J103" s="27" t="s">
        <v>7</v>
      </c>
    </row>
    <row r="104" spans="1:18" x14ac:dyDescent="0.25">
      <c r="A104" s="30">
        <v>5.0544702849929442</v>
      </c>
      <c r="E104" t="s">
        <v>8</v>
      </c>
      <c r="F104" s="27" t="s">
        <v>7</v>
      </c>
      <c r="G104" s="27" t="s">
        <v>8</v>
      </c>
      <c r="H104" s="27" t="s">
        <v>7</v>
      </c>
      <c r="I104" s="27" t="s">
        <v>8</v>
      </c>
      <c r="J104" s="27" t="s">
        <v>7</v>
      </c>
    </row>
    <row r="105" spans="1:18" x14ac:dyDescent="0.25">
      <c r="A105" s="30">
        <v>4.594972986357222</v>
      </c>
      <c r="E105" t="s">
        <v>8</v>
      </c>
      <c r="F105" s="27" t="s">
        <v>7</v>
      </c>
      <c r="G105" s="27" t="s">
        <v>8</v>
      </c>
      <c r="H105" s="27" t="s">
        <v>7</v>
      </c>
      <c r="I105" s="27" t="s">
        <v>8</v>
      </c>
      <c r="J105" s="27" t="s">
        <v>7</v>
      </c>
      <c r="K105" s="27" t="s">
        <v>8</v>
      </c>
    </row>
    <row r="106" spans="1:18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  <c r="I106" s="27" t="s">
        <v>8</v>
      </c>
      <c r="J106" s="27" t="s">
        <v>7</v>
      </c>
      <c r="K106" s="27" t="s">
        <v>8</v>
      </c>
      <c r="L106" s="27" t="s">
        <v>7</v>
      </c>
    </row>
    <row r="107" spans="1:18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J107" s="27" t="s">
        <v>7</v>
      </c>
      <c r="K107" s="27" t="s">
        <v>8</v>
      </c>
      <c r="L107" s="27" t="s">
        <v>7</v>
      </c>
      <c r="M107" s="27" t="s">
        <v>8</v>
      </c>
      <c r="O107" s="27" t="s">
        <v>8</v>
      </c>
    </row>
    <row r="108" spans="1:18" x14ac:dyDescent="0.25">
      <c r="A108" s="30">
        <v>3.4522712143931042</v>
      </c>
      <c r="E108" t="s">
        <v>8</v>
      </c>
      <c r="F108" s="27" t="s">
        <v>7</v>
      </c>
      <c r="J108" s="27" t="s">
        <v>7</v>
      </c>
      <c r="K108" s="27" t="s">
        <v>8</v>
      </c>
      <c r="L108" s="27" t="s">
        <v>7</v>
      </c>
      <c r="M108" s="27" t="s">
        <v>8</v>
      </c>
      <c r="N108" s="27" t="s">
        <v>7</v>
      </c>
      <c r="O108" s="27" t="s">
        <v>8</v>
      </c>
      <c r="P108" s="27" t="s">
        <v>7</v>
      </c>
    </row>
    <row r="109" spans="1:18" x14ac:dyDescent="0.25">
      <c r="A109" s="30">
        <v>3.1384283767210035</v>
      </c>
      <c r="E109" t="s">
        <v>8</v>
      </c>
      <c r="J109" s="27" t="s">
        <v>7</v>
      </c>
      <c r="K109" s="27" t="s">
        <v>8</v>
      </c>
      <c r="L109" s="27" t="s">
        <v>7</v>
      </c>
      <c r="M109" s="27" t="s">
        <v>8</v>
      </c>
      <c r="N109" s="27" t="s">
        <v>7</v>
      </c>
      <c r="O109" s="27" t="s">
        <v>8</v>
      </c>
      <c r="P109" s="27" t="s">
        <v>7</v>
      </c>
    </row>
    <row r="110" spans="1:18" x14ac:dyDescent="0.25">
      <c r="A110" s="30">
        <v>2.8531167061100029</v>
      </c>
      <c r="E110" t="s">
        <v>8</v>
      </c>
      <c r="J110" s="18" t="s">
        <v>7</v>
      </c>
      <c r="K110" s="27" t="s">
        <v>8</v>
      </c>
      <c r="L110" s="27" t="s">
        <v>7</v>
      </c>
      <c r="N110" s="27" t="s">
        <v>7</v>
      </c>
      <c r="P110" s="27" t="s">
        <v>7</v>
      </c>
      <c r="Q110" s="27" t="s">
        <v>8</v>
      </c>
    </row>
    <row r="111" spans="1:18" x14ac:dyDescent="0.25">
      <c r="A111" s="30">
        <v>2.5937424601000023</v>
      </c>
      <c r="C111" s="1" t="str">
        <f>ADDRESS(C121-1,1,1,1)</f>
        <v>$A$118</v>
      </c>
      <c r="D111" s="1" t="str">
        <f>ADDRESS(C121-1,D121,1,1)</f>
        <v>$R$118</v>
      </c>
      <c r="E111" t="s">
        <v>8</v>
      </c>
      <c r="J111" s="27" t="s">
        <v>7</v>
      </c>
      <c r="P111" s="27" t="s">
        <v>7</v>
      </c>
      <c r="Q111" s="27" t="s">
        <v>8</v>
      </c>
      <c r="R111" s="27" t="s">
        <v>7</v>
      </c>
    </row>
    <row r="112" spans="1:18" x14ac:dyDescent="0.25">
      <c r="A112" s="30">
        <v>2.3579476910000019</v>
      </c>
      <c r="C112" s="1" t="str">
        <f>ADDRESS(C121,1,1,1)</f>
        <v>$A$119</v>
      </c>
      <c r="D112" s="1" t="str">
        <f>ADDRESS(C121,D121-1,1,1)</f>
        <v>$Q$119</v>
      </c>
      <c r="E112" t="s">
        <v>8</v>
      </c>
      <c r="P112" s="27" t="s">
        <v>7</v>
      </c>
      <c r="Q112" s="27" t="s">
        <v>8</v>
      </c>
      <c r="R112" s="27" t="s">
        <v>7</v>
      </c>
    </row>
    <row r="113" spans="1:18" x14ac:dyDescent="0.25">
      <c r="A113" s="30">
        <v>2.1435888100000016</v>
      </c>
      <c r="C113" s="1" t="str">
        <f>ADDRESS(C121+1,1,1,1)</f>
        <v>$A$120</v>
      </c>
      <c r="D113" s="1" t="str">
        <f>ADDRESS(C121-1,D121+1,1,1)</f>
        <v>$S$118</v>
      </c>
      <c r="E113" s="1" t="s">
        <v>8</v>
      </c>
      <c r="P113" s="27" t="s">
        <v>7</v>
      </c>
      <c r="R113" s="27" t="s">
        <v>7</v>
      </c>
    </row>
    <row r="114" spans="1:18" x14ac:dyDescent="0.25">
      <c r="A114" s="30">
        <v>1.9487171000000014</v>
      </c>
      <c r="C114" s="1" t="str">
        <f>ADDRESS(C121,D121,1,1)</f>
        <v>$R$119</v>
      </c>
      <c r="D114" s="1" t="str">
        <f>ADDRESS(C121+1,D121+1,1,1)</f>
        <v>$S$120</v>
      </c>
      <c r="E114" s="1" t="s">
        <v>8</v>
      </c>
      <c r="R114" s="27" t="s">
        <v>7</v>
      </c>
    </row>
    <row r="115" spans="1:18" x14ac:dyDescent="0.25">
      <c r="A115" s="30">
        <v>1.7715610000000011</v>
      </c>
      <c r="C115" s="1" t="str">
        <f>ADDRESS(C121+1,D121,1,1)</f>
        <v>$R$120</v>
      </c>
      <c r="E115" s="1" t="s">
        <v>8</v>
      </c>
      <c r="R115" s="27" t="s">
        <v>7</v>
      </c>
    </row>
    <row r="116" spans="1:18" x14ac:dyDescent="0.25">
      <c r="A116" s="30">
        <v>1.6105100000000008</v>
      </c>
      <c r="C116" s="1">
        <f>C117-1</f>
        <v>118</v>
      </c>
      <c r="E116" s="1" t="s">
        <v>8</v>
      </c>
      <c r="R116" s="27" t="s">
        <v>7</v>
      </c>
    </row>
    <row r="117" spans="1:18" x14ac:dyDescent="0.25">
      <c r="A117" s="30">
        <v>1.4641000000000006</v>
      </c>
      <c r="C117" s="1">
        <f>C121</f>
        <v>119</v>
      </c>
      <c r="D117" s="1">
        <f>D121</f>
        <v>18</v>
      </c>
      <c r="E117" s="1" t="s">
        <v>8</v>
      </c>
      <c r="R117" s="27" t="s">
        <v>7</v>
      </c>
    </row>
    <row r="118" spans="1:18" x14ac:dyDescent="0.25">
      <c r="A118" s="30">
        <v>1.3310000000000004</v>
      </c>
      <c r="C118" s="1">
        <f>C117+1</f>
        <v>120</v>
      </c>
      <c r="D118" s="1">
        <f>D117+1</f>
        <v>19</v>
      </c>
      <c r="E118" s="1" t="s">
        <v>8</v>
      </c>
      <c r="R118" s="27" t="s">
        <v>7</v>
      </c>
    </row>
    <row r="119" spans="1:18" x14ac:dyDescent="0.25">
      <c r="A119" s="30">
        <v>1.2100000000000002</v>
      </c>
      <c r="E119" s="1" t="s">
        <v>8</v>
      </c>
      <c r="R119" s="27" t="s">
        <v>7</v>
      </c>
    </row>
    <row r="120" spans="1:18" x14ac:dyDescent="0.25">
      <c r="A120" s="30">
        <v>1.1000000000000001</v>
      </c>
      <c r="C120" s="1" t="s">
        <v>9</v>
      </c>
      <c r="E120" s="1" t="s">
        <v>8</v>
      </c>
    </row>
    <row r="121" spans="1:18" x14ac:dyDescent="0.25">
      <c r="A121" s="30">
        <v>1</v>
      </c>
      <c r="C121" s="18">
        <v>119</v>
      </c>
      <c r="D121" s="19">
        <v>18</v>
      </c>
      <c r="E121" s="18" t="s">
        <v>8</v>
      </c>
    </row>
    <row r="122" spans="1:18" x14ac:dyDescent="0.25">
      <c r="A122" s="30">
        <v>0.90909090909090895</v>
      </c>
      <c r="C122" s="1" t="str">
        <f>INDEX(1:1048576,C117,D117)</f>
        <v>O</v>
      </c>
    </row>
    <row r="123" spans="1:18" x14ac:dyDescent="0.25">
      <c r="A123" s="30">
        <v>0.82644628099173523</v>
      </c>
      <c r="C123" s="1" t="str">
        <f>"R"&amp;C121</f>
        <v>R119</v>
      </c>
      <c r="D123" s="1" t="str">
        <f>"C"&amp;D121</f>
        <v>C18</v>
      </c>
    </row>
    <row r="124" spans="1:18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18" x14ac:dyDescent="0.25">
      <c r="A125" s="30">
        <v>0.68301345536507019</v>
      </c>
    </row>
    <row r="126" spans="1:18" x14ac:dyDescent="0.25">
      <c r="A126" s="30">
        <v>0.6209213230591546</v>
      </c>
      <c r="C126" s="1" t="s">
        <v>10</v>
      </c>
    </row>
    <row r="127" spans="1:18" x14ac:dyDescent="0.25">
      <c r="A127" s="30">
        <v>0.56447393005377677</v>
      </c>
      <c r="C127" s="30">
        <v>1.2100000000000002</v>
      </c>
      <c r="D127"/>
    </row>
    <row r="128" spans="1:18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88" operator="equal">
      <formula>$U$1</formula>
    </cfRule>
    <cfRule type="cellIs" dxfId="30" priority="689" operator="equal">
      <formula>$S$1</formula>
    </cfRule>
  </conditionalFormatting>
  <conditionalFormatting sqref="D136">
    <cfRule type="cellIs" dxfId="29" priority="686" operator="equal">
      <formula>$S$1</formula>
    </cfRule>
    <cfRule type="cellIs" dxfId="28" priority="687" operator="equal">
      <formula>$U$1</formula>
    </cfRule>
  </conditionalFormatting>
  <conditionalFormatting sqref="C102">
    <cfRule type="cellIs" dxfId="27" priority="684" operator="equal">
      <formula>$U$1</formula>
    </cfRule>
    <cfRule type="cellIs" dxfId="26" priority="685" operator="equal">
      <formula>$S$1</formula>
    </cfRule>
  </conditionalFormatting>
  <conditionalFormatting sqref="D102">
    <cfRule type="cellIs" dxfId="25" priority="682" operator="equal">
      <formula>$S$1</formula>
    </cfRule>
    <cfRule type="cellIs" dxfId="24" priority="683" operator="equal">
      <formula>$U$1</formula>
    </cfRule>
  </conditionalFormatting>
  <conditionalFormatting sqref="C77">
    <cfRule type="cellIs" dxfId="23" priority="680" operator="equal">
      <formula>$U$1</formula>
    </cfRule>
    <cfRule type="cellIs" dxfId="22" priority="681" operator="equal">
      <formula>$S$1</formula>
    </cfRule>
  </conditionalFormatting>
  <conditionalFormatting sqref="D77">
    <cfRule type="cellIs" dxfId="21" priority="678" operator="equal">
      <formula>$S$1</formula>
    </cfRule>
    <cfRule type="cellIs" dxfId="20" priority="679" operator="equal">
      <formula>$U$1</formula>
    </cfRule>
  </conditionalFormatting>
  <conditionalFormatting sqref="C52">
    <cfRule type="cellIs" dxfId="19" priority="676" operator="equal">
      <formula>$U$1</formula>
    </cfRule>
    <cfRule type="cellIs" dxfId="18" priority="677" operator="equal">
      <formula>$S$1</formula>
    </cfRule>
  </conditionalFormatting>
  <conditionalFormatting sqref="D52">
    <cfRule type="cellIs" dxfId="17" priority="674" operator="equal">
      <formula>$S$1</formula>
    </cfRule>
    <cfRule type="cellIs" dxfId="16" priority="675" operator="equal">
      <formula>$U$1</formula>
    </cfRule>
  </conditionalFormatting>
  <conditionalFormatting sqref="C26">
    <cfRule type="cellIs" dxfId="15" priority="672" operator="equal">
      <formula>$U$1</formula>
    </cfRule>
    <cfRule type="cellIs" dxfId="14" priority="673" operator="equal">
      <formula>$S$1</formula>
    </cfRule>
  </conditionalFormatting>
  <conditionalFormatting sqref="D26">
    <cfRule type="cellIs" dxfId="13" priority="670" operator="equal">
      <formula>$S$1</formula>
    </cfRule>
    <cfRule type="cellIs" dxfId="12" priority="67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2022-01-28T01:19:04Z</dcterms:modified>
</cp:coreProperties>
</file>