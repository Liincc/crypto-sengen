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933B98B-D3A4-45CE-B46E-99A1CBDF0EC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8" i="4"/>
  <c r="C116" i="4"/>
  <c r="D136" i="5"/>
  <c r="C136" i="5"/>
  <c r="C136" i="4"/>
  <c r="D136" i="4"/>
  <c r="C122" i="3"/>
  <c r="C133" i="3" s="1"/>
  <c r="D136" i="3" s="1"/>
  <c r="C116" i="3"/>
  <c r="R1194" i="1"/>
  <c r="C138" i="5" l="1"/>
  <c r="C138" i="4"/>
  <c r="C136" i="3"/>
  <c r="C138" i="3" s="1"/>
  <c r="R1193" i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R37" i="1" l="1"/>
  <c r="S38" i="1"/>
  <c r="T38" i="1" s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<sst xmlns="http://schemas.openxmlformats.org/spreadsheetml/2006/main" count="1761" uniqueCount="34">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</sst>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17.73</c:v>
                </c:pt>
                <c:pt idx="1">
                  <c:v>18.14</c:v>
                </c:pt>
                <c:pt idx="2">
                  <c:v>18.239999999999998</c:v>
                </c:pt>
                <c:pt idx="3">
                  <c:v>18.11</c:v>
                </c:pt>
                <c:pt idx="4">
                  <c:v>18.61</c:v>
                </c:pt>
                <c:pt idx="5">
                  <c:v>17.84</c:v>
                </c:pt>
                <c:pt idx="6">
                  <c:v>19.559999999999999</c:v>
                </c:pt>
                <c:pt idx="7">
                  <c:v>22.71</c:v>
                </c:pt>
                <c:pt idx="8">
                  <c:v>23.83</c:v>
                </c:pt>
                <c:pt idx="9">
                  <c:v>25.42</c:v>
                </c:pt>
                <c:pt idx="10">
                  <c:v>23.95</c:v>
                </c:pt>
                <c:pt idx="11">
                  <c:v>25.16</c:v>
                </c:pt>
                <c:pt idx="12">
                  <c:v>25.32</c:v>
                </c:pt>
                <c:pt idx="13">
                  <c:v>24.86</c:v>
                </c:pt>
                <c:pt idx="14">
                  <c:v>23.53</c:v>
                </c:pt>
                <c:pt idx="15">
                  <c:v>24.76</c:v>
                </c:pt>
                <c:pt idx="16">
                  <c:v>23.82</c:v>
                </c:pt>
                <c:pt idx="17">
                  <c:v>22.68</c:v>
                </c:pt>
                <c:pt idx="18">
                  <c:v>23.66</c:v>
                </c:pt>
                <c:pt idx="19">
                  <c:v>23.07</c:v>
                </c:pt>
                <c:pt idx="20">
                  <c:v>23.65</c:v>
                </c:pt>
                <c:pt idx="21">
                  <c:v>24.75</c:v>
                </c:pt>
                <c:pt idx="22">
                  <c:v>24.44</c:v>
                </c:pt>
                <c:pt idx="23">
                  <c:v>26.03</c:v>
                </c:pt>
                <c:pt idx="24">
                  <c:v>26.63</c:v>
                </c:pt>
                <c:pt idx="25">
                  <c:v>27.01</c:v>
                </c:pt>
                <c:pt idx="26">
                  <c:v>26.38</c:v>
                </c:pt>
                <c:pt idx="27">
                  <c:v>25.69</c:v>
                </c:pt>
                <c:pt idx="28">
                  <c:v>26.14</c:v>
                </c:pt>
                <c:pt idx="29">
                  <c:v>26.06</c:v>
                </c:pt>
                <c:pt idx="30">
                  <c:v>27</c:v>
                </c:pt>
                <c:pt idx="31">
                  <c:v>29.58</c:v>
                </c:pt>
                <c:pt idx="32">
                  <c:v>29.52</c:v>
                </c:pt>
                <c:pt idx="33">
                  <c:v>29.45</c:v>
                </c:pt>
                <c:pt idx="34">
                  <c:v>28.95</c:v>
                </c:pt>
                <c:pt idx="35">
                  <c:v>29.69</c:v>
                </c:pt>
                <c:pt idx="36">
                  <c:v>27.3</c:v>
                </c:pt>
                <c:pt idx="37">
                  <c:v>26.38</c:v>
                </c:pt>
                <c:pt idx="38">
                  <c:v>25.65</c:v>
                </c:pt>
                <c:pt idx="39">
                  <c:v>25.31</c:v>
                </c:pt>
                <c:pt idx="40">
                  <c:v>25.86</c:v>
                </c:pt>
                <c:pt idx="41">
                  <c:v>25.4</c:v>
                </c:pt>
                <c:pt idx="42">
                  <c:v>26.43</c:v>
                </c:pt>
                <c:pt idx="43">
                  <c:v>27.14</c:v>
                </c:pt>
                <c:pt idx="44">
                  <c:v>26.34</c:v>
                </c:pt>
                <c:pt idx="45">
                  <c:v>25.32</c:v>
                </c:pt>
                <c:pt idx="46">
                  <c:v>28.13</c:v>
                </c:pt>
                <c:pt idx="47">
                  <c:v>26.99</c:v>
                </c:pt>
                <c:pt idx="48">
                  <c:v>26.76</c:v>
                </c:pt>
                <c:pt idx="49">
                  <c:v>27.95</c:v>
                </c:pt>
                <c:pt idx="50">
                  <c:v>31.14</c:v>
                </c:pt>
                <c:pt idx="51">
                  <c:v>29.67</c:v>
                </c:pt>
                <c:pt idx="52">
                  <c:v>29.37</c:v>
                </c:pt>
                <c:pt idx="53">
                  <c:v>28.22</c:v>
                </c:pt>
                <c:pt idx="54">
                  <c:v>29.63</c:v>
                </c:pt>
                <c:pt idx="55">
                  <c:v>35.04</c:v>
                </c:pt>
                <c:pt idx="56">
                  <c:v>36.53</c:v>
                </c:pt>
                <c:pt idx="57">
                  <c:v>37.36</c:v>
                </c:pt>
                <c:pt idx="58">
                  <c:v>37.5</c:v>
                </c:pt>
                <c:pt idx="59">
                  <c:v>38.39</c:v>
                </c:pt>
                <c:pt idx="60">
                  <c:v>38.04</c:v>
                </c:pt>
                <c:pt idx="61">
                  <c:v>37.53</c:v>
                </c:pt>
                <c:pt idx="62">
                  <c:v>37.14</c:v>
                </c:pt>
                <c:pt idx="63">
                  <c:v>41.14</c:v>
                </c:pt>
                <c:pt idx="64">
                  <c:v>39.479999999999997</c:v>
                </c:pt>
                <c:pt idx="65">
                  <c:v>40.28</c:v>
                </c:pt>
                <c:pt idx="66">
                  <c:v>40.229999999999997</c:v>
                </c:pt>
                <c:pt idx="67">
                  <c:v>41.57</c:v>
                </c:pt>
                <c:pt idx="68">
                  <c:v>42.08</c:v>
                </c:pt>
                <c:pt idx="69">
                  <c:v>41.51</c:v>
                </c:pt>
                <c:pt idx="70">
                  <c:v>39.840000000000003</c:v>
                </c:pt>
                <c:pt idx="71">
                  <c:v>43.28</c:v>
                </c:pt>
                <c:pt idx="72">
                  <c:v>42.83</c:v>
                </c:pt>
                <c:pt idx="73">
                  <c:v>47.07</c:v>
                </c:pt>
                <c:pt idx="74">
                  <c:v>48.48</c:v>
                </c:pt>
                <c:pt idx="75">
                  <c:v>49.05</c:v>
                </c:pt>
                <c:pt idx="76">
                  <c:v>47.31</c:v>
                </c:pt>
                <c:pt idx="77">
                  <c:v>48.52</c:v>
                </c:pt>
                <c:pt idx="78">
                  <c:v>48.22</c:v>
                </c:pt>
                <c:pt idx="79">
                  <c:v>52.54</c:v>
                </c:pt>
                <c:pt idx="80">
                  <c:v>50.59</c:v>
                </c:pt>
                <c:pt idx="81">
                  <c:v>46.33</c:v>
                </c:pt>
                <c:pt idx="82">
                  <c:v>45</c:v>
                </c:pt>
                <c:pt idx="83">
                  <c:v>45.17</c:v>
                </c:pt>
                <c:pt idx="84">
                  <c:v>46.4</c:v>
                </c:pt>
                <c:pt idx="85">
                  <c:v>46.99</c:v>
                </c:pt>
                <c:pt idx="86">
                  <c:v>46.39</c:v>
                </c:pt>
                <c:pt idx="87">
                  <c:v>45.18</c:v>
                </c:pt>
                <c:pt idx="88">
                  <c:v>44.67</c:v>
                </c:pt>
                <c:pt idx="89">
                  <c:v>42.57</c:v>
                </c:pt>
                <c:pt idx="90">
                  <c:v>43.28</c:v>
                </c:pt>
                <c:pt idx="91">
                  <c:v>41.33</c:v>
                </c:pt>
                <c:pt idx="92">
                  <c:v>39.229999999999997</c:v>
                </c:pt>
                <c:pt idx="93">
                  <c:v>44.37</c:v>
                </c:pt>
                <c:pt idx="94">
                  <c:v>44.55</c:v>
                </c:pt>
                <c:pt idx="95">
                  <c:v>43.79</c:v>
                </c:pt>
                <c:pt idx="96">
                  <c:v>44.74</c:v>
                </c:pt>
                <c:pt idx="97">
                  <c:v>44.4</c:v>
                </c:pt>
                <c:pt idx="98">
                  <c:v>45.01</c:v>
                </c:pt>
                <c:pt idx="99">
                  <c:v>45.51</c:v>
                </c:pt>
                <c:pt idx="100">
                  <c:v>42.91</c:v>
                </c:pt>
                <c:pt idx="101">
                  <c:v>42.94</c:v>
                </c:pt>
                <c:pt idx="102">
                  <c:v>43.26</c:v>
                </c:pt>
                <c:pt idx="103">
                  <c:v>44.49</c:v>
                </c:pt>
                <c:pt idx="104">
                  <c:v>44.73</c:v>
                </c:pt>
                <c:pt idx="105">
                  <c:v>44.91</c:v>
                </c:pt>
                <c:pt idx="106">
                  <c:v>44.83</c:v>
                </c:pt>
                <c:pt idx="107">
                  <c:v>44.28</c:v>
                </c:pt>
                <c:pt idx="108">
                  <c:v>45.12</c:v>
                </c:pt>
                <c:pt idx="109">
                  <c:v>45.31</c:v>
                </c:pt>
                <c:pt idx="110">
                  <c:v>48.74</c:v>
                </c:pt>
                <c:pt idx="111">
                  <c:v>46.82</c:v>
                </c:pt>
                <c:pt idx="112">
                  <c:v>46.08</c:v>
                </c:pt>
                <c:pt idx="113">
                  <c:v>46.32</c:v>
                </c:pt>
                <c:pt idx="114">
                  <c:v>46.81</c:v>
                </c:pt>
                <c:pt idx="115">
                  <c:v>43.11</c:v>
                </c:pt>
                <c:pt idx="116">
                  <c:v>44.43</c:v>
                </c:pt>
                <c:pt idx="117">
                  <c:v>42.33</c:v>
                </c:pt>
                <c:pt idx="118">
                  <c:v>42.37</c:v>
                </c:pt>
                <c:pt idx="119">
                  <c:v>39.25</c:v>
                </c:pt>
                <c:pt idx="120">
                  <c:v>37.08</c:v>
                </c:pt>
                <c:pt idx="121">
                  <c:v>35.93</c:v>
                </c:pt>
                <c:pt idx="122">
                  <c:v>37.450000000000003</c:v>
                </c:pt>
                <c:pt idx="123">
                  <c:v>38.72</c:v>
                </c:pt>
                <c:pt idx="124">
                  <c:v>39.01</c:v>
                </c:pt>
                <c:pt idx="125">
                  <c:v>39.74</c:v>
                </c:pt>
                <c:pt idx="126">
                  <c:v>43.9</c:v>
                </c:pt>
                <c:pt idx="127">
                  <c:v>42.93</c:v>
                </c:pt>
                <c:pt idx="128">
                  <c:v>37.49</c:v>
                </c:pt>
                <c:pt idx="129">
                  <c:v>43.86</c:v>
                </c:pt>
                <c:pt idx="130">
                  <c:v>48.16</c:v>
                </c:pt>
                <c:pt idx="131">
                  <c:v>49.65</c:v>
                </c:pt>
                <c:pt idx="132">
                  <c:v>48.77</c:v>
                </c:pt>
                <c:pt idx="133">
                  <c:v>50.62</c:v>
                </c:pt>
                <c:pt idx="134">
                  <c:v>52.79</c:v>
                </c:pt>
                <c:pt idx="135">
                  <c:v>51.83</c:v>
                </c:pt>
                <c:pt idx="136">
                  <c:v>48.43</c:v>
                </c:pt>
                <c:pt idx="137">
                  <c:v>51.56</c:v>
                </c:pt>
                <c:pt idx="138">
                  <c:v>49.03</c:v>
                </c:pt>
                <c:pt idx="139">
                  <c:v>48.09</c:v>
                </c:pt>
                <c:pt idx="140">
                  <c:v>50.62</c:v>
                </c:pt>
                <c:pt idx="141">
                  <c:v>49.14</c:v>
                </c:pt>
                <c:pt idx="142">
                  <c:v>49.84</c:v>
                </c:pt>
                <c:pt idx="143">
                  <c:v>63.62</c:v>
                </c:pt>
                <c:pt idx="144">
                  <c:v>65.78</c:v>
                </c:pt>
                <c:pt idx="145">
                  <c:v>57.95</c:v>
                </c:pt>
                <c:pt idx="146">
                  <c:v>57.27</c:v>
                </c:pt>
                <c:pt idx="147">
                  <c:v>55.41</c:v>
                </c:pt>
                <c:pt idx="148">
                  <c:v>55.19</c:v>
                </c:pt>
                <c:pt idx="149">
                  <c:v>52.09</c:v>
                </c:pt>
                <c:pt idx="150">
                  <c:v>51.58</c:v>
                </c:pt>
                <c:pt idx="151">
                  <c:v>54.45</c:v>
                </c:pt>
                <c:pt idx="152">
                  <c:v>54.51</c:v>
                </c:pt>
                <c:pt idx="153">
                  <c:v>55.52</c:v>
                </c:pt>
                <c:pt idx="154">
                  <c:v>51.39</c:v>
                </c:pt>
                <c:pt idx="155">
                  <c:v>56.304000000000002</c:v>
                </c:pt>
                <c:pt idx="156">
                  <c:v>55.527999999999999</c:v>
                </c:pt>
                <c:pt idx="157">
                  <c:v>60.762999999999998</c:v>
                </c:pt>
                <c:pt idx="158">
                  <c:v>56.322000000000003</c:v>
                </c:pt>
                <c:pt idx="159">
                  <c:v>55.368000000000002</c:v>
                </c:pt>
                <c:pt idx="160">
                  <c:v>56.542000000000002</c:v>
                </c:pt>
                <c:pt idx="161">
                  <c:v>54.334000000000003</c:v>
                </c:pt>
                <c:pt idx="162">
                  <c:v>51.555999999999997</c:v>
                </c:pt>
                <c:pt idx="163">
                  <c:v>51.863</c:v>
                </c:pt>
                <c:pt idx="164">
                  <c:v>56.34</c:v>
                </c:pt>
                <c:pt idx="165">
                  <c:v>58.912999999999997</c:v>
                </c:pt>
                <c:pt idx="166">
                  <c:v>55.808999999999997</c:v>
                </c:pt>
                <c:pt idx="167">
                  <c:v>55.423999999999999</c:v>
                </c:pt>
                <c:pt idx="168">
                  <c:v>48.610999999999997</c:v>
                </c:pt>
                <c:pt idx="169">
                  <c:v>48.741</c:v>
                </c:pt>
                <c:pt idx="170">
                  <c:v>46.680999999999997</c:v>
                </c:pt>
                <c:pt idx="171">
                  <c:v>46.500999999999998</c:v>
                </c:pt>
                <c:pt idx="172">
                  <c:v>45.051000000000002</c:v>
                </c:pt>
                <c:pt idx="173">
                  <c:v>46.954000000000001</c:v>
                </c:pt>
                <c:pt idx="174">
                  <c:v>44.472999999999999</c:v>
                </c:pt>
                <c:pt idx="175">
                  <c:v>43.890999999999998</c:v>
                </c:pt>
                <c:pt idx="176">
                  <c:v>43.64</c:v>
                </c:pt>
                <c:pt idx="177">
                  <c:v>41.472999999999999</c:v>
                </c:pt>
                <c:pt idx="178">
                  <c:v>43.389000000000003</c:v>
                </c:pt>
                <c:pt idx="179">
                  <c:v>42.101999999999997</c:v>
                </c:pt>
                <c:pt idx="180">
                  <c:v>45.81</c:v>
                </c:pt>
                <c:pt idx="181">
                  <c:v>41.66</c:v>
                </c:pt>
                <c:pt idx="182">
                  <c:v>35.231000000000002</c:v>
                </c:pt>
                <c:pt idx="183">
                  <c:v>34.555</c:v>
                </c:pt>
                <c:pt idx="184">
                  <c:v>34.072000000000003</c:v>
                </c:pt>
                <c:pt idx="185">
                  <c:v>32.451000000000001</c:v>
                </c:pt>
                <c:pt idx="186">
                  <c:v>30.759</c:v>
                </c:pt>
                <c:pt idx="187">
                  <c:v>30.712</c:v>
                </c:pt>
                <c:pt idx="188">
                  <c:v>29.568000000000001</c:v>
                </c:pt>
                <c:pt idx="189">
                  <c:v>28.93</c:v>
                </c:pt>
                <c:pt idx="190">
                  <c:v>27.907</c:v>
                </c:pt>
                <c:pt idx="191">
                  <c:v>25.844999999999999</c:v>
                </c:pt>
                <c:pt idx="192">
                  <c:v>27.702000000000002</c:v>
                </c:pt>
                <c:pt idx="193">
                  <c:v>29.733000000000001</c:v>
                </c:pt>
                <c:pt idx="194">
                  <c:v>29.588999999999999</c:v>
                </c:pt>
                <c:pt idx="195">
                  <c:v>29.664999999999999</c:v>
                </c:pt>
                <c:pt idx="196">
                  <c:v>31.405999999999999</c:v>
                </c:pt>
                <c:pt idx="197">
                  <c:v>32.838999999999999</c:v>
                </c:pt>
                <c:pt idx="198">
                  <c:v>33.463000000000001</c:v>
                </c:pt>
                <c:pt idx="199">
                  <c:v>33.747</c:v>
                </c:pt>
                <c:pt idx="200">
                  <c:v>34.203000000000003</c:v>
                </c:pt>
                <c:pt idx="201">
                  <c:v>34.061999999999998</c:v>
                </c:pt>
                <c:pt idx="202">
                  <c:v>34.673999999999999</c:v>
                </c:pt>
                <c:pt idx="203">
                  <c:v>34.018000000000001</c:v>
                </c:pt>
                <c:pt idx="204">
                  <c:v>36.997999999999998</c:v>
                </c:pt>
                <c:pt idx="205">
                  <c:v>36.880000000000003</c:v>
                </c:pt>
                <c:pt idx="206">
                  <c:v>35.915999999999997</c:v>
                </c:pt>
                <c:pt idx="207">
                  <c:v>37.545000000000002</c:v>
                </c:pt>
                <c:pt idx="208">
                  <c:v>36.347999999999999</c:v>
                </c:pt>
                <c:pt idx="209">
                  <c:v>35.438000000000002</c:v>
                </c:pt>
                <c:pt idx="210">
                  <c:v>34.097000000000001</c:v>
                </c:pt>
                <c:pt idx="211">
                  <c:v>36.648000000000003</c:v>
                </c:pt>
                <c:pt idx="212">
                  <c:v>35.148000000000003</c:v>
                </c:pt>
                <c:pt idx="213">
                  <c:v>33.170999999999999</c:v>
                </c:pt>
                <c:pt idx="214">
                  <c:v>31.960999999999999</c:v>
                </c:pt>
                <c:pt idx="215">
                  <c:v>31.167000000000002</c:v>
                </c:pt>
                <c:pt idx="216">
                  <c:v>31.228999999999999</c:v>
                </c:pt>
                <c:pt idx="217">
                  <c:v>34.978000000000002</c:v>
                </c:pt>
                <c:pt idx="218">
                  <c:v>33.453000000000003</c:v>
                </c:pt>
                <c:pt idx="219">
                  <c:v>30.114999999999998</c:v>
                </c:pt>
                <c:pt idx="220">
                  <c:v>32.045999999999999</c:v>
                </c:pt>
                <c:pt idx="221">
                  <c:v>44.679000000000002</c:v>
                </c:pt>
                <c:pt idx="222">
                  <c:v>44.445</c:v>
                </c:pt>
                <c:pt idx="223">
                  <c:v>45.421999999999997</c:v>
                </c:pt>
                <c:pt idx="224">
                  <c:v>48.622999999999998</c:v>
                </c:pt>
                <c:pt idx="225">
                  <c:v>48.639000000000003</c:v>
                </c:pt>
                <c:pt idx="226">
                  <c:v>50.139000000000003</c:v>
                </c:pt>
                <c:pt idx="227">
                  <c:v>50.734999999999999</c:v>
                </c:pt>
                <c:pt idx="228">
                  <c:v>49.201000000000001</c:v>
                </c:pt>
                <c:pt idx="229">
                  <c:v>46.25</c:v>
                </c:pt>
                <c:pt idx="230">
                  <c:v>47.442999999999998</c:v>
                </c:pt>
                <c:pt idx="231">
                  <c:v>50.561</c:v>
                </c:pt>
                <c:pt idx="232">
                  <c:v>51.296999999999997</c:v>
                </c:pt>
                <c:pt idx="233">
                  <c:v>48.734999999999999</c:v>
                </c:pt>
                <c:pt idx="234">
                  <c:v>51.08</c:v>
                </c:pt>
                <c:pt idx="235">
                  <c:v>56.7</c:v>
                </c:pt>
                <c:pt idx="236">
                  <c:v>55.634999999999998</c:v>
                </c:pt>
                <c:pt idx="237">
                  <c:v>56.25</c:v>
                </c:pt>
                <c:pt idx="238">
                  <c:v>61.320999999999998</c:v>
                </c:pt>
                <c:pt idx="239">
                  <c:v>57.8</c:v>
                </c:pt>
                <c:pt idx="240">
                  <c:v>53.951000000000001</c:v>
                </c:pt>
                <c:pt idx="241">
                  <c:v>55.865000000000002</c:v>
                </c:pt>
                <c:pt idx="242">
                  <c:v>51.579000000000001</c:v>
                </c:pt>
                <c:pt idx="243">
                  <c:v>50.091999999999999</c:v>
                </c:pt>
                <c:pt idx="244">
                  <c:v>54.420999999999999</c:v>
                </c:pt>
                <c:pt idx="245">
                  <c:v>62.947000000000003</c:v>
                </c:pt>
                <c:pt idx="246">
                  <c:v>62.5</c:v>
                </c:pt>
                <c:pt idx="247">
                  <c:v>56.598999999999997</c:v>
                </c:pt>
                <c:pt idx="248">
                  <c:v>54.04</c:v>
                </c:pt>
                <c:pt idx="249">
                  <c:v>43.103000000000002</c:v>
                </c:pt>
                <c:pt idx="250">
                  <c:v>51.384999999999998</c:v>
                </c:pt>
                <c:pt idx="251">
                  <c:v>57.850999999999999</c:v>
                </c:pt>
                <c:pt idx="252">
                  <c:v>71.704999999999998</c:v>
                </c:pt>
                <c:pt idx="253">
                  <c:v>55.124000000000002</c:v>
                </c:pt>
                <c:pt idx="254">
                  <c:v>87.421000000000006</c:v>
                </c:pt>
                <c:pt idx="255">
                  <c:v>85.634</c:v>
                </c:pt>
                <c:pt idx="256">
                  <c:v>92.911000000000001</c:v>
                </c:pt>
                <c:pt idx="257">
                  <c:v>92.734999999999999</c:v>
                </c:pt>
                <c:pt idx="258">
                  <c:v>100.86199999999999</c:v>
                </c:pt>
                <c:pt idx="259">
                  <c:v>96.686000000000007</c:v>
                </c:pt>
                <c:pt idx="260">
                  <c:v>94.286000000000001</c:v>
                </c:pt>
                <c:pt idx="261">
                  <c:v>115.724</c:v>
                </c:pt>
                <c:pt idx="262">
                  <c:v>104.943</c:v>
                </c:pt>
                <c:pt idx="263">
                  <c:v>119.599</c:v>
                </c:pt>
                <c:pt idx="264">
                  <c:v>116.473</c:v>
                </c:pt>
                <c:pt idx="265">
                  <c:v>117.78400000000001</c:v>
                </c:pt>
                <c:pt idx="266">
                  <c:v>122.794</c:v>
                </c:pt>
                <c:pt idx="267">
                  <c:v>114.883</c:v>
                </c:pt>
                <c:pt idx="268">
                  <c:v>96.468000000000004</c:v>
                </c:pt>
                <c:pt idx="269">
                  <c:v>107.04600000000001</c:v>
                </c:pt>
                <c:pt idx="270">
                  <c:v>106.81699999999999</c:v>
                </c:pt>
                <c:pt idx="271">
                  <c:v>102.2</c:v>
                </c:pt>
                <c:pt idx="272">
                  <c:v>96.965000000000003</c:v>
                </c:pt>
                <c:pt idx="273">
                  <c:v>89.447999999999993</c:v>
                </c:pt>
                <c:pt idx="274">
                  <c:v>91.795000000000002</c:v>
                </c:pt>
                <c:pt idx="275">
                  <c:v>94.117000000000004</c:v>
                </c:pt>
                <c:pt idx="276">
                  <c:v>90.206000000000003</c:v>
                </c:pt>
                <c:pt idx="277">
                  <c:v>79.596000000000004</c:v>
                </c:pt>
                <c:pt idx="278">
                  <c:v>79.543999999999997</c:v>
                </c:pt>
                <c:pt idx="279">
                  <c:v>86.096000000000004</c:v>
                </c:pt>
                <c:pt idx="280">
                  <c:v>89.828000000000003</c:v>
                </c:pt>
                <c:pt idx="281">
                  <c:v>96.846000000000004</c:v>
                </c:pt>
                <c:pt idx="282">
                  <c:v>108.13800000000001</c:v>
                </c:pt>
                <c:pt idx="283">
                  <c:v>109.129</c:v>
                </c:pt>
                <c:pt idx="284">
                  <c:v>119.84099999999999</c:v>
                </c:pt>
                <c:pt idx="285">
                  <c:v>93.96</c:v>
                </c:pt>
                <c:pt idx="286">
                  <c:v>86.832999999999998</c:v>
                </c:pt>
                <c:pt idx="287">
                  <c:v>74.828999999999994</c:v>
                </c:pt>
                <c:pt idx="288">
                  <c:v>69.12</c:v>
                </c:pt>
                <c:pt idx="289">
                  <c:v>66.587000000000003</c:v>
                </c:pt>
                <c:pt idx="290">
                  <c:v>64.650000000000006</c:v>
                </c:pt>
                <c:pt idx="291">
                  <c:v>63.921999999999997</c:v>
                </c:pt>
                <c:pt idx="292">
                  <c:v>61.685000000000002</c:v>
                </c:pt>
                <c:pt idx="293">
                  <c:v>60.801000000000002</c:v>
                </c:pt>
                <c:pt idx="294">
                  <c:v>63.350999999999999</c:v>
                </c:pt>
                <c:pt idx="295">
                  <c:v>59.777999999999999</c:v>
                </c:pt>
                <c:pt idx="296">
                  <c:v>63.036000000000001</c:v>
                </c:pt>
                <c:pt idx="297">
                  <c:v>59.067999999999998</c:v>
                </c:pt>
                <c:pt idx="298">
                  <c:v>54.567</c:v>
                </c:pt>
                <c:pt idx="299">
                  <c:v>50.709000000000003</c:v>
                </c:pt>
                <c:pt idx="300">
                  <c:v>52.957999999999998</c:v>
                </c:pt>
                <c:pt idx="301">
                  <c:v>52.326000000000001</c:v>
                </c:pt>
                <c:pt idx="302">
                  <c:v>50.777999999999999</c:v>
                </c:pt>
                <c:pt idx="303">
                  <c:v>44.947000000000003</c:v>
                </c:pt>
                <c:pt idx="304">
                  <c:v>45.499000000000002</c:v>
                </c:pt>
                <c:pt idx="305">
                  <c:v>44.762999999999998</c:v>
                </c:pt>
                <c:pt idx="306">
                  <c:v>41.106000000000002</c:v>
                </c:pt>
                <c:pt idx="307">
                  <c:v>41.652000000000001</c:v>
                </c:pt>
                <c:pt idx="308">
                  <c:v>38.631999999999998</c:v>
                </c:pt>
                <c:pt idx="309">
                  <c:v>39.529000000000003</c:v>
                </c:pt>
                <c:pt idx="310">
                  <c:v>41.081000000000003</c:v>
                </c:pt>
                <c:pt idx="311">
                  <c:v>40.695</c:v>
                </c:pt>
                <c:pt idx="312">
                  <c:v>42.420999999999999</c:v>
                </c:pt>
                <c:pt idx="313">
                  <c:v>43.08</c:v>
                </c:pt>
                <c:pt idx="314">
                  <c:v>44.023000000000003</c:v>
                </c:pt>
                <c:pt idx="315">
                  <c:v>43.643000000000001</c:v>
                </c:pt>
                <c:pt idx="316">
                  <c:v>46.427999999999997</c:v>
                </c:pt>
                <c:pt idx="317">
                  <c:v>40.792999999999999</c:v>
                </c:pt>
                <c:pt idx="318">
                  <c:v>38.597000000000001</c:v>
                </c:pt>
                <c:pt idx="319">
                  <c:v>39.616</c:v>
                </c:pt>
                <c:pt idx="320">
                  <c:v>42.043999999999997</c:v>
                </c:pt>
                <c:pt idx="321">
                  <c:v>39.895000000000003</c:v>
                </c:pt>
                <c:pt idx="322">
                  <c:v>41.936999999999998</c:v>
                </c:pt>
                <c:pt idx="323">
                  <c:v>40.866999999999997</c:v>
                </c:pt>
                <c:pt idx="324">
                  <c:v>42.587000000000003</c:v>
                </c:pt>
                <c:pt idx="325">
                  <c:v>40.113</c:v>
                </c:pt>
                <c:pt idx="326">
                  <c:v>39.279000000000003</c:v>
                </c:pt>
                <c:pt idx="327">
                  <c:v>38.079000000000001</c:v>
                </c:pt>
                <c:pt idx="328">
                  <c:v>37.408000000000001</c:v>
                </c:pt>
                <c:pt idx="329">
                  <c:v>37.826999999999998</c:v>
                </c:pt>
                <c:pt idx="330">
                  <c:v>39.6</c:v>
                </c:pt>
                <c:pt idx="331">
                  <c:v>37.732999999999997</c:v>
                </c:pt>
                <c:pt idx="332">
                  <c:v>38.119999999999997</c:v>
                </c:pt>
                <c:pt idx="333">
                  <c:v>35.261000000000003</c:v>
                </c:pt>
                <c:pt idx="334">
                  <c:v>37.28</c:v>
                </c:pt>
                <c:pt idx="335">
                  <c:v>37.68</c:v>
                </c:pt>
                <c:pt idx="336">
                  <c:v>38.540999999999997</c:v>
                </c:pt>
                <c:pt idx="337">
                  <c:v>40.619</c:v>
                </c:pt>
                <c:pt idx="338">
                  <c:v>38.65</c:v>
                </c:pt>
                <c:pt idx="339">
                  <c:v>46.878999999999998</c:v>
                </c:pt>
                <c:pt idx="340">
                  <c:v>54.9</c:v>
                </c:pt>
                <c:pt idx="341">
                  <c:v>43.866</c:v>
                </c:pt>
                <c:pt idx="342">
                  <c:v>47.847000000000001</c:v>
                </c:pt>
                <c:pt idx="343">
                  <c:v>43.783000000000001</c:v>
                </c:pt>
                <c:pt idx="344">
                  <c:v>42.551000000000002</c:v>
                </c:pt>
                <c:pt idx="345">
                  <c:v>40.945</c:v>
                </c:pt>
                <c:pt idx="346">
                  <c:v>41.575000000000003</c:v>
                </c:pt>
                <c:pt idx="347">
                  <c:v>43.942</c:v>
                </c:pt>
                <c:pt idx="348">
                  <c:v>42.414999999999999</c:v>
                </c:pt>
                <c:pt idx="349">
                  <c:v>37.572000000000003</c:v>
                </c:pt>
                <c:pt idx="350">
                  <c:v>36.296999999999997</c:v>
                </c:pt>
                <c:pt idx="351">
                  <c:v>33.39</c:v>
                </c:pt>
                <c:pt idx="352">
                  <c:v>31.065000000000001</c:v>
                </c:pt>
                <c:pt idx="353">
                  <c:v>27.38</c:v>
                </c:pt>
                <c:pt idx="354">
                  <c:v>24.526</c:v>
                </c:pt>
                <c:pt idx="355">
                  <c:v>24.834</c:v>
                </c:pt>
                <c:pt idx="356">
                  <c:v>26.07</c:v>
                </c:pt>
                <c:pt idx="357">
                  <c:v>23.75</c:v>
                </c:pt>
                <c:pt idx="358">
                  <c:v>24.661999999999999</c:v>
                </c:pt>
                <c:pt idx="359">
                  <c:v>23.74</c:v>
                </c:pt>
                <c:pt idx="360">
                  <c:v>23.119</c:v>
                </c:pt>
                <c:pt idx="361">
                  <c:v>22.276</c:v>
                </c:pt>
                <c:pt idx="362">
                  <c:v>22.864000000000001</c:v>
                </c:pt>
                <c:pt idx="363">
                  <c:v>22.548999999999999</c:v>
                </c:pt>
                <c:pt idx="364">
                  <c:v>22.245000000000001</c:v>
                </c:pt>
                <c:pt idx="365">
                  <c:v>21.033000000000001</c:v>
                </c:pt>
                <c:pt idx="366">
                  <c:v>23.158000000000001</c:v>
                </c:pt>
                <c:pt idx="367">
                  <c:v>23.312999999999999</c:v>
                </c:pt>
                <c:pt idx="368">
                  <c:v>24.401</c:v>
                </c:pt>
                <c:pt idx="369">
                  <c:v>24.425000000000001</c:v>
                </c:pt>
                <c:pt idx="370">
                  <c:v>23.469000000000001</c:v>
                </c:pt>
                <c:pt idx="371">
                  <c:v>22.096</c:v>
                </c:pt>
                <c:pt idx="372">
                  <c:v>26.071999999999999</c:v>
                </c:pt>
                <c:pt idx="373">
                  <c:v>26.273</c:v>
                </c:pt>
                <c:pt idx="374">
                  <c:v>27.055</c:v>
                </c:pt>
                <c:pt idx="375">
                  <c:v>23.841000000000001</c:v>
                </c:pt>
                <c:pt idx="376">
                  <c:v>23.58</c:v>
                </c:pt>
                <c:pt idx="377">
                  <c:v>23.492999999999999</c:v>
                </c:pt>
                <c:pt idx="378">
                  <c:v>23.103999999999999</c:v>
                </c:pt>
                <c:pt idx="379">
                  <c:v>23.228999999999999</c:v>
                </c:pt>
                <c:pt idx="380">
                  <c:v>22.148</c:v>
                </c:pt>
                <c:pt idx="381">
                  <c:v>23.658000000000001</c:v>
                </c:pt>
                <c:pt idx="382">
                  <c:v>24.920999999999999</c:v>
                </c:pt>
                <c:pt idx="383">
                  <c:v>21.338000000000001</c:v>
                </c:pt>
                <c:pt idx="384">
                  <c:v>19.724</c:v>
                </c:pt>
                <c:pt idx="385">
                  <c:v>20.888999999999999</c:v>
                </c:pt>
                <c:pt idx="386">
                  <c:v>19.535</c:v>
                </c:pt>
                <c:pt idx="387">
                  <c:v>16.867999999999999</c:v>
                </c:pt>
                <c:pt idx="388">
                  <c:v>16.372</c:v>
                </c:pt>
                <c:pt idx="389">
                  <c:v>16.024000000000001</c:v>
                </c:pt>
                <c:pt idx="390">
                  <c:v>14.426</c:v>
                </c:pt>
                <c:pt idx="391">
                  <c:v>14.461</c:v>
                </c:pt>
                <c:pt idx="392">
                  <c:v>14.256</c:v>
                </c:pt>
                <c:pt idx="393">
                  <c:v>14.722</c:v>
                </c:pt>
                <c:pt idx="394">
                  <c:v>15.054</c:v>
                </c:pt>
                <c:pt idx="395">
                  <c:v>15.63</c:v>
                </c:pt>
                <c:pt idx="396">
                  <c:v>15.112</c:v>
                </c:pt>
                <c:pt idx="397">
                  <c:v>14.984</c:v>
                </c:pt>
                <c:pt idx="398">
                  <c:v>15.173</c:v>
                </c:pt>
                <c:pt idx="399">
                  <c:v>15.269</c:v>
                </c:pt>
                <c:pt idx="400">
                  <c:v>13.456</c:v>
                </c:pt>
                <c:pt idx="401">
                  <c:v>16.515999999999998</c:v>
                </c:pt>
                <c:pt idx="402">
                  <c:v>16.513999999999999</c:v>
                </c:pt>
                <c:pt idx="403">
                  <c:v>17.541</c:v>
                </c:pt>
                <c:pt idx="404">
                  <c:v>17.835000000000001</c:v>
                </c:pt>
                <c:pt idx="405">
                  <c:v>17.917999999999999</c:v>
                </c:pt>
                <c:pt idx="406">
                  <c:v>17.773</c:v>
                </c:pt>
                <c:pt idx="407">
                  <c:v>17.952000000000002</c:v>
                </c:pt>
                <c:pt idx="408">
                  <c:v>17.103000000000002</c:v>
                </c:pt>
                <c:pt idx="409">
                  <c:v>17.398</c:v>
                </c:pt>
                <c:pt idx="410">
                  <c:v>17.260999999999999</c:v>
                </c:pt>
                <c:pt idx="411">
                  <c:v>16.463000000000001</c:v>
                </c:pt>
                <c:pt idx="412">
                  <c:v>15.898</c:v>
                </c:pt>
                <c:pt idx="413">
                  <c:v>16.238</c:v>
                </c:pt>
                <c:pt idx="414">
                  <c:v>16.899000000000001</c:v>
                </c:pt>
                <c:pt idx="415">
                  <c:v>16.456</c:v>
                </c:pt>
                <c:pt idx="416">
                  <c:v>17.442</c:v>
                </c:pt>
                <c:pt idx="417">
                  <c:v>17.89</c:v>
                </c:pt>
                <c:pt idx="418">
                  <c:v>17.975000000000001</c:v>
                </c:pt>
                <c:pt idx="419">
                  <c:v>17.297999999999998</c:v>
                </c:pt>
                <c:pt idx="420">
                  <c:v>18.853000000000002</c:v>
                </c:pt>
                <c:pt idx="421">
                  <c:v>18.026</c:v>
                </c:pt>
                <c:pt idx="422">
                  <c:v>17.53</c:v>
                </c:pt>
                <c:pt idx="423">
                  <c:v>18.577000000000002</c:v>
                </c:pt>
                <c:pt idx="424">
                  <c:v>17.684000000000001</c:v>
                </c:pt>
                <c:pt idx="425">
                  <c:v>17.533000000000001</c:v>
                </c:pt>
                <c:pt idx="426">
                  <c:v>17.12</c:v>
                </c:pt>
                <c:pt idx="427">
                  <c:v>17.192</c:v>
                </c:pt>
                <c:pt idx="428">
                  <c:v>19.710999999999999</c:v>
                </c:pt>
                <c:pt idx="429">
                  <c:v>20.498999999999999</c:v>
                </c:pt>
                <c:pt idx="430">
                  <c:v>19.093</c:v>
                </c:pt>
                <c:pt idx="431">
                  <c:v>17.18</c:v>
                </c:pt>
                <c:pt idx="432">
                  <c:v>18.32</c:v>
                </c:pt>
                <c:pt idx="433">
                  <c:v>16.443999999999999</c:v>
                </c:pt>
                <c:pt idx="434">
                  <c:v>16.094999999999999</c:v>
                </c:pt>
                <c:pt idx="435">
                  <c:v>15.718</c:v>
                </c:pt>
                <c:pt idx="436">
                  <c:v>16.149999999999999</c:v>
                </c:pt>
                <c:pt idx="437">
                  <c:v>15.72</c:v>
                </c:pt>
                <c:pt idx="438">
                  <c:v>15.317</c:v>
                </c:pt>
                <c:pt idx="439">
                  <c:v>15.683999999999999</c:v>
                </c:pt>
                <c:pt idx="440">
                  <c:v>16.007000000000001</c:v>
                </c:pt>
                <c:pt idx="441">
                  <c:v>15.456</c:v>
                </c:pt>
                <c:pt idx="442">
                  <c:v>15.391</c:v>
                </c:pt>
                <c:pt idx="443">
                  <c:v>15.585000000000001</c:v>
                </c:pt>
                <c:pt idx="444">
                  <c:v>15.378</c:v>
                </c:pt>
                <c:pt idx="445">
                  <c:v>15.45</c:v>
                </c:pt>
                <c:pt idx="446">
                  <c:v>14.813000000000001</c:v>
                </c:pt>
                <c:pt idx="447">
                  <c:v>15.712</c:v>
                </c:pt>
                <c:pt idx="448">
                  <c:v>14.401</c:v>
                </c:pt>
                <c:pt idx="449">
                  <c:v>14.048999999999999</c:v>
                </c:pt>
                <c:pt idx="450">
                  <c:v>14.676</c:v>
                </c:pt>
                <c:pt idx="451">
                  <c:v>15.215</c:v>
                </c:pt>
                <c:pt idx="452">
                  <c:v>14.941000000000001</c:v>
                </c:pt>
                <c:pt idx="453">
                  <c:v>14.702</c:v>
                </c:pt>
                <c:pt idx="454">
                  <c:v>14.788</c:v>
                </c:pt>
                <c:pt idx="455">
                  <c:v>15.276</c:v>
                </c:pt>
                <c:pt idx="456">
                  <c:v>15.87</c:v>
                </c:pt>
                <c:pt idx="457">
                  <c:v>17.007000000000001</c:v>
                </c:pt>
                <c:pt idx="458">
                  <c:v>17.084</c:v>
                </c:pt>
                <c:pt idx="459">
                  <c:v>17.864999999999998</c:v>
                </c:pt>
                <c:pt idx="460">
                  <c:v>18.312000000000001</c:v>
                </c:pt>
                <c:pt idx="461">
                  <c:v>18.135999999999999</c:v>
                </c:pt>
                <c:pt idx="462">
                  <c:v>18.652999999999999</c:v>
                </c:pt>
                <c:pt idx="463">
                  <c:v>18.332000000000001</c:v>
                </c:pt>
                <c:pt idx="464">
                  <c:v>16.948</c:v>
                </c:pt>
                <c:pt idx="465">
                  <c:v>17.568999999999999</c:v>
                </c:pt>
                <c:pt idx="466">
                  <c:v>17.428000000000001</c:v>
                </c:pt>
                <c:pt idx="467">
                  <c:v>17.190999999999999</c:v>
                </c:pt>
                <c:pt idx="468">
                  <c:v>17.021000000000001</c:v>
                </c:pt>
                <c:pt idx="469">
                  <c:v>17.239999999999998</c:v>
                </c:pt>
                <c:pt idx="470">
                  <c:v>16.959</c:v>
                </c:pt>
                <c:pt idx="471">
                  <c:v>17.591000000000001</c:v>
                </c:pt>
                <c:pt idx="472">
                  <c:v>17.983000000000001</c:v>
                </c:pt>
                <c:pt idx="473">
                  <c:v>17.786999999999999</c:v>
                </c:pt>
                <c:pt idx="474">
                  <c:v>17.533999999999999</c:v>
                </c:pt>
                <c:pt idx="475">
                  <c:v>17.39</c:v>
                </c:pt>
                <c:pt idx="476">
                  <c:v>17.018999999999998</c:v>
                </c:pt>
                <c:pt idx="477">
                  <c:v>16.763999999999999</c:v>
                </c:pt>
                <c:pt idx="478">
                  <c:v>16.568999999999999</c:v>
                </c:pt>
                <c:pt idx="479">
                  <c:v>17.664000000000001</c:v>
                </c:pt>
                <c:pt idx="480">
                  <c:v>18.125</c:v>
                </c:pt>
                <c:pt idx="481">
                  <c:v>17.806000000000001</c:v>
                </c:pt>
                <c:pt idx="482">
                  <c:v>18.088999999999999</c:v>
                </c:pt>
                <c:pt idx="483">
                  <c:v>18.786000000000001</c:v>
                </c:pt>
                <c:pt idx="484">
                  <c:v>19.077999999999999</c:v>
                </c:pt>
                <c:pt idx="485">
                  <c:v>19.690999999999999</c:v>
                </c:pt>
                <c:pt idx="486">
                  <c:v>20.11</c:v>
                </c:pt>
                <c:pt idx="487">
                  <c:v>21.146999999999998</c:v>
                </c:pt>
                <c:pt idx="488">
                  <c:v>21.004000000000001</c:v>
                </c:pt>
                <c:pt idx="489">
                  <c:v>21.311</c:v>
                </c:pt>
                <c:pt idx="490">
                  <c:v>21.812999999999999</c:v>
                </c:pt>
                <c:pt idx="491">
                  <c:v>19.684999999999999</c:v>
                </c:pt>
                <c:pt idx="492">
                  <c:v>20.204999999999998</c:v>
                </c:pt>
                <c:pt idx="493">
                  <c:v>20.111999999999998</c:v>
                </c:pt>
                <c:pt idx="494">
                  <c:v>23.579000000000001</c:v>
                </c:pt>
                <c:pt idx="495">
                  <c:v>24.5</c:v>
                </c:pt>
                <c:pt idx="496">
                  <c:v>25.306999999999999</c:v>
                </c:pt>
                <c:pt idx="497">
                  <c:v>23.832999999999998</c:v>
                </c:pt>
                <c:pt idx="498">
                  <c:v>20.997</c:v>
                </c:pt>
                <c:pt idx="499">
                  <c:v>20.27</c:v>
                </c:pt>
                <c:pt idx="500">
                  <c:v>22.018000000000001</c:v>
                </c:pt>
                <c:pt idx="501">
                  <c:v>20.338999999999999</c:v>
                </c:pt>
                <c:pt idx="502">
                  <c:v>21.725000000000001</c:v>
                </c:pt>
                <c:pt idx="503">
                  <c:v>20.318999999999999</c:v>
                </c:pt>
                <c:pt idx="504">
                  <c:v>18.462</c:v>
                </c:pt>
                <c:pt idx="505">
                  <c:v>17.282</c:v>
                </c:pt>
                <c:pt idx="506">
                  <c:v>17.122</c:v>
                </c:pt>
                <c:pt idx="507">
                  <c:v>18.204000000000001</c:v>
                </c:pt>
                <c:pt idx="508">
                  <c:v>17.155999999999999</c:v>
                </c:pt>
                <c:pt idx="509">
                  <c:v>16.963999999999999</c:v>
                </c:pt>
                <c:pt idx="510">
                  <c:v>18.904</c:v>
                </c:pt>
                <c:pt idx="511">
                  <c:v>17.725000000000001</c:v>
                </c:pt>
                <c:pt idx="512">
                  <c:v>20.329999999999998</c:v>
                </c:pt>
                <c:pt idx="513">
                  <c:v>21.516999999999999</c:v>
                </c:pt>
                <c:pt idx="514">
                  <c:v>20.443000000000001</c:v>
                </c:pt>
                <c:pt idx="515">
                  <c:v>20.661999999999999</c:v>
                </c:pt>
                <c:pt idx="516">
                  <c:v>21.140999999999998</c:v>
                </c:pt>
                <c:pt idx="517">
                  <c:v>18.294</c:v>
                </c:pt>
                <c:pt idx="518">
                  <c:v>17.649000000000001</c:v>
                </c:pt>
                <c:pt idx="519">
                  <c:v>17.321999999999999</c:v>
                </c:pt>
                <c:pt idx="520">
                  <c:v>17.023</c:v>
                </c:pt>
                <c:pt idx="521">
                  <c:v>18.074000000000002</c:v>
                </c:pt>
                <c:pt idx="522">
                  <c:v>18.170000000000002</c:v>
                </c:pt>
                <c:pt idx="523">
                  <c:v>18.936</c:v>
                </c:pt>
                <c:pt idx="524">
                  <c:v>16.387</c:v>
                </c:pt>
                <c:pt idx="525">
                  <c:v>17.841999999999999</c:v>
                </c:pt>
                <c:pt idx="526">
                  <c:v>15.834</c:v>
                </c:pt>
                <c:pt idx="527">
                  <c:v>16.12</c:v>
                </c:pt>
                <c:pt idx="528">
                  <c:v>16.559999999999999</c:v>
                </c:pt>
                <c:pt idx="529">
                  <c:v>15.49</c:v>
                </c:pt>
                <c:pt idx="530">
                  <c:v>15.103</c:v>
                </c:pt>
                <c:pt idx="531">
                  <c:v>14.813000000000001</c:v>
                </c:pt>
                <c:pt idx="532">
                  <c:v>14.545</c:v>
                </c:pt>
                <c:pt idx="533">
                  <c:v>14.343999999999999</c:v>
                </c:pt>
                <c:pt idx="534">
                  <c:v>13.686</c:v>
                </c:pt>
                <c:pt idx="535">
                  <c:v>14.526</c:v>
                </c:pt>
                <c:pt idx="536">
                  <c:v>12.997</c:v>
                </c:pt>
                <c:pt idx="537">
                  <c:v>13.122999999999999</c:v>
                </c:pt>
                <c:pt idx="538">
                  <c:v>12.856</c:v>
                </c:pt>
                <c:pt idx="539">
                  <c:v>12.951000000000001</c:v>
                </c:pt>
                <c:pt idx="540">
                  <c:v>12.868</c:v>
                </c:pt>
                <c:pt idx="541">
                  <c:v>12.561</c:v>
                </c:pt>
                <c:pt idx="542">
                  <c:v>12.4</c:v>
                </c:pt>
                <c:pt idx="543">
                  <c:v>12.16</c:v>
                </c:pt>
                <c:pt idx="544">
                  <c:v>13.396000000000001</c:v>
                </c:pt>
                <c:pt idx="545">
                  <c:v>12.244999999999999</c:v>
                </c:pt>
                <c:pt idx="546">
                  <c:v>11.773999999999999</c:v>
                </c:pt>
                <c:pt idx="547">
                  <c:v>11.67</c:v>
                </c:pt>
                <c:pt idx="548">
                  <c:v>11.738</c:v>
                </c:pt>
                <c:pt idx="549">
                  <c:v>11.619</c:v>
                </c:pt>
                <c:pt idx="550">
                  <c:v>11.62</c:v>
                </c:pt>
                <c:pt idx="551">
                  <c:v>11.608000000000001</c:v>
                </c:pt>
                <c:pt idx="552">
                  <c:v>11.101000000000001</c:v>
                </c:pt>
                <c:pt idx="553">
                  <c:v>11.432</c:v>
                </c:pt>
                <c:pt idx="554">
                  <c:v>11.558999999999999</c:v>
                </c:pt>
                <c:pt idx="555">
                  <c:v>11.183999999999999</c:v>
                </c:pt>
                <c:pt idx="556">
                  <c:v>10.385999999999999</c:v>
                </c:pt>
                <c:pt idx="557">
                  <c:v>10.651</c:v>
                </c:pt>
                <c:pt idx="558">
                  <c:v>10.545</c:v>
                </c:pt>
                <c:pt idx="559">
                  <c:v>10.590999999999999</c:v>
                </c:pt>
                <c:pt idx="560">
                  <c:v>10.694000000000001</c:v>
                </c:pt>
                <c:pt idx="561">
                  <c:v>10.989000000000001</c:v>
                </c:pt>
                <c:pt idx="562">
                  <c:v>10.83</c:v>
                </c:pt>
                <c:pt idx="563">
                  <c:v>10.677</c:v>
                </c:pt>
                <c:pt idx="564">
                  <c:v>10.797000000000001</c:v>
                </c:pt>
                <c:pt idx="565">
                  <c:v>10.741</c:v>
                </c:pt>
                <c:pt idx="566">
                  <c:v>10.499000000000001</c:v>
                </c:pt>
                <c:pt idx="567">
                  <c:v>10.768000000000001</c:v>
                </c:pt>
                <c:pt idx="568">
                  <c:v>11.08</c:v>
                </c:pt>
                <c:pt idx="569">
                  <c:v>10.56</c:v>
                </c:pt>
                <c:pt idx="570">
                  <c:v>10.574999999999999</c:v>
                </c:pt>
                <c:pt idx="571">
                  <c:v>10.07</c:v>
                </c:pt>
                <c:pt idx="572">
                  <c:v>9.9730000000000008</c:v>
                </c:pt>
                <c:pt idx="573">
                  <c:v>9.7799999999999994</c:v>
                </c:pt>
                <c:pt idx="574">
                  <c:v>9.9220000000000006</c:v>
                </c:pt>
                <c:pt idx="575">
                  <c:v>10.138</c:v>
                </c:pt>
                <c:pt idx="576">
                  <c:v>10.034000000000001</c:v>
                </c:pt>
                <c:pt idx="577">
                  <c:v>10.212999999999999</c:v>
                </c:pt>
                <c:pt idx="578">
                  <c:v>10.045</c:v>
                </c:pt>
                <c:pt idx="579">
                  <c:v>9.7029999999999994</c:v>
                </c:pt>
                <c:pt idx="580">
                  <c:v>10.196</c:v>
                </c:pt>
                <c:pt idx="581">
                  <c:v>10.335000000000001</c:v>
                </c:pt>
                <c:pt idx="582">
                  <c:v>10.491</c:v>
                </c:pt>
                <c:pt idx="583">
                  <c:v>10.941000000000001</c:v>
                </c:pt>
                <c:pt idx="584">
                  <c:v>10.8</c:v>
                </c:pt>
                <c:pt idx="585">
                  <c:v>10.298</c:v>
                </c:pt>
                <c:pt idx="586">
                  <c:v>10.263999999999999</c:v>
                </c:pt>
                <c:pt idx="587">
                  <c:v>10.268000000000001</c:v>
                </c:pt>
                <c:pt idx="588">
                  <c:v>10.413</c:v>
                </c:pt>
                <c:pt idx="589">
                  <c:v>10.587999999999999</c:v>
                </c:pt>
                <c:pt idx="590">
                  <c:v>10.56</c:v>
                </c:pt>
                <c:pt idx="591">
                  <c:v>10.43</c:v>
                </c:pt>
                <c:pt idx="592">
                  <c:v>10.615</c:v>
                </c:pt>
                <c:pt idx="593">
                  <c:v>11.08</c:v>
                </c:pt>
                <c:pt idx="594">
                  <c:v>10.917</c:v>
                </c:pt>
                <c:pt idx="595">
                  <c:v>10.679</c:v>
                </c:pt>
                <c:pt idx="596">
                  <c:v>11.935</c:v>
                </c:pt>
                <c:pt idx="597">
                  <c:v>12.026</c:v>
                </c:pt>
                <c:pt idx="598">
                  <c:v>11.656000000000001</c:v>
                </c:pt>
                <c:pt idx="599">
                  <c:v>11.776</c:v>
                </c:pt>
                <c:pt idx="600">
                  <c:v>11.813000000000001</c:v>
                </c:pt>
                <c:pt idx="601">
                  <c:v>11.803000000000001</c:v>
                </c:pt>
                <c:pt idx="602">
                  <c:v>12.164</c:v>
                </c:pt>
                <c:pt idx="603">
                  <c:v>12.393000000000001</c:v>
                </c:pt>
                <c:pt idx="604">
                  <c:v>12.135</c:v>
                </c:pt>
                <c:pt idx="605">
                  <c:v>12.413</c:v>
                </c:pt>
                <c:pt idx="606">
                  <c:v>10.945</c:v>
                </c:pt>
                <c:pt idx="607">
                  <c:v>11.03</c:v>
                </c:pt>
                <c:pt idx="608">
                  <c:v>10.242000000000001</c:v>
                </c:pt>
                <c:pt idx="609">
                  <c:v>10.429</c:v>
                </c:pt>
                <c:pt idx="610">
                  <c:v>10.009</c:v>
                </c:pt>
                <c:pt idx="611">
                  <c:v>9.9350000000000005</c:v>
                </c:pt>
                <c:pt idx="612">
                  <c:v>9.923</c:v>
                </c:pt>
                <c:pt idx="613">
                  <c:v>9.6310000000000002</c:v>
                </c:pt>
                <c:pt idx="614">
                  <c:v>10.202999999999999</c:v>
                </c:pt>
                <c:pt idx="615">
                  <c:v>10.388</c:v>
                </c:pt>
                <c:pt idx="616">
                  <c:v>9.5370000000000008</c:v>
                </c:pt>
                <c:pt idx="617">
                  <c:v>10.14</c:v>
                </c:pt>
                <c:pt idx="618">
                  <c:v>10.327999999999999</c:v>
                </c:pt>
                <c:pt idx="619">
                  <c:v>10.244999999999999</c:v>
                </c:pt>
                <c:pt idx="620">
                  <c:v>10.156000000000001</c:v>
                </c:pt>
                <c:pt idx="621">
                  <c:v>10.007999999999999</c:v>
                </c:pt>
                <c:pt idx="622">
                  <c:v>10.032999999999999</c:v>
                </c:pt>
                <c:pt idx="623">
                  <c:v>10.186</c:v>
                </c:pt>
                <c:pt idx="624">
                  <c:v>10.285</c:v>
                </c:pt>
                <c:pt idx="625">
                  <c:v>10.000999999999999</c:v>
                </c:pt>
                <c:pt idx="626">
                  <c:v>9.6289999999999996</c:v>
                </c:pt>
                <c:pt idx="627">
                  <c:v>9.7249999999999996</c:v>
                </c:pt>
                <c:pt idx="628">
                  <c:v>10.994</c:v>
                </c:pt>
                <c:pt idx="629">
                  <c:v>11.301</c:v>
                </c:pt>
                <c:pt idx="630">
                  <c:v>9.891</c:v>
                </c:pt>
                <c:pt idx="631">
                  <c:v>9.1479999999999997</c:v>
                </c:pt>
                <c:pt idx="632">
                  <c:v>9.1010000000000009</c:v>
                </c:pt>
                <c:pt idx="633">
                  <c:v>9.0050000000000008</c:v>
                </c:pt>
                <c:pt idx="634">
                  <c:v>9.0690000000000008</c:v>
                </c:pt>
                <c:pt idx="635">
                  <c:v>9.2249999999999996</c:v>
                </c:pt>
                <c:pt idx="636">
                  <c:v>9.0109999999999992</c:v>
                </c:pt>
                <c:pt idx="637">
                  <c:v>8.8970000000000002</c:v>
                </c:pt>
                <c:pt idx="638">
                  <c:v>9.2070000000000007</c:v>
                </c:pt>
                <c:pt idx="639">
                  <c:v>8.4570000000000007</c:v>
                </c:pt>
                <c:pt idx="640">
                  <c:v>8.4260000000000002</c:v>
                </c:pt>
                <c:pt idx="641">
                  <c:v>8.6310000000000002</c:v>
                </c:pt>
                <c:pt idx="642">
                  <c:v>8.4280000000000008</c:v>
                </c:pt>
                <c:pt idx="643">
                  <c:v>8.07</c:v>
                </c:pt>
                <c:pt idx="644">
                  <c:v>7.8540000000000001</c:v>
                </c:pt>
                <c:pt idx="645">
                  <c:v>7.5339999999999998</c:v>
                </c:pt>
                <c:pt idx="646">
                  <c:v>7.2270000000000003</c:v>
                </c:pt>
                <c:pt idx="647">
                  <c:v>7.2050000000000001</c:v>
                </c:pt>
                <c:pt idx="648">
                  <c:v>7.6139999999999999</c:v>
                </c:pt>
                <c:pt idx="649">
                  <c:v>7.8769999999999998</c:v>
                </c:pt>
                <c:pt idx="650">
                  <c:v>7.468</c:v>
                </c:pt>
                <c:pt idx="651">
                  <c:v>7.6159999999999997</c:v>
                </c:pt>
                <c:pt idx="652">
                  <c:v>6.9930000000000003</c:v>
                </c:pt>
                <c:pt idx="653">
                  <c:v>7.2569999999999997</c:v>
                </c:pt>
                <c:pt idx="654">
                  <c:v>7.2809999999999997</c:v>
                </c:pt>
                <c:pt idx="655">
                  <c:v>7.3559999999999999</c:v>
                </c:pt>
                <c:pt idx="656">
                  <c:v>7.306</c:v>
                </c:pt>
                <c:pt idx="657">
                  <c:v>7.2990000000000004</c:v>
                </c:pt>
                <c:pt idx="658">
                  <c:v>8.0190000000000001</c:v>
                </c:pt>
                <c:pt idx="659">
                  <c:v>7.9950000000000001</c:v>
                </c:pt>
                <c:pt idx="660">
                  <c:v>7.7210000000000001</c:v>
                </c:pt>
                <c:pt idx="661">
                  <c:v>7.8230000000000004</c:v>
                </c:pt>
                <c:pt idx="662">
                  <c:v>7.0170000000000003</c:v>
                </c:pt>
                <c:pt idx="663">
                  <c:v>7.1879999999999997</c:v>
                </c:pt>
                <c:pt idx="664">
                  <c:v>7.02</c:v>
                </c:pt>
                <c:pt idx="665">
                  <c:v>6.976</c:v>
                </c:pt>
                <c:pt idx="666">
                  <c:v>6.8120000000000003</c:v>
                </c:pt>
                <c:pt idx="667">
                  <c:v>6.7720000000000002</c:v>
                </c:pt>
                <c:pt idx="668">
                  <c:v>6.5679999999999996</c:v>
                </c:pt>
                <c:pt idx="669">
                  <c:v>6.1790000000000003</c:v>
                </c:pt>
                <c:pt idx="670">
                  <c:v>6.6280000000000001</c:v>
                </c:pt>
                <c:pt idx="671">
                  <c:v>6.5030000000000001</c:v>
                </c:pt>
                <c:pt idx="672">
                  <c:v>7.03</c:v>
                </c:pt>
                <c:pt idx="673">
                  <c:v>6.93</c:v>
                </c:pt>
                <c:pt idx="674">
                  <c:v>6.8970000000000002</c:v>
                </c:pt>
                <c:pt idx="675">
                  <c:v>6.6829999999999998</c:v>
                </c:pt>
                <c:pt idx="676">
                  <c:v>5.9470000000000001</c:v>
                </c:pt>
                <c:pt idx="677">
                  <c:v>6.2359999999999998</c:v>
                </c:pt>
                <c:pt idx="678">
                  <c:v>6.2729999999999997</c:v>
                </c:pt>
                <c:pt idx="679">
                  <c:v>6.4720000000000004</c:v>
                </c:pt>
                <c:pt idx="680">
                  <c:v>5.726</c:v>
                </c:pt>
                <c:pt idx="681">
                  <c:v>5.6260000000000003</c:v>
                </c:pt>
                <c:pt idx="682">
                  <c:v>5.3940000000000001</c:v>
                </c:pt>
                <c:pt idx="683">
                  <c:v>5.9790000000000001</c:v>
                </c:pt>
                <c:pt idx="684">
                  <c:v>5.7519999999999998</c:v>
                </c:pt>
                <c:pt idx="685">
                  <c:v>6.2160000000000002</c:v>
                </c:pt>
                <c:pt idx="686">
                  <c:v>5.7060000000000004</c:v>
                </c:pt>
                <c:pt idx="687">
                  <c:v>9.43</c:v>
                </c:pt>
                <c:pt idx="688">
                  <c:v>9.8699999999999992</c:v>
                </c:pt>
                <c:pt idx="689">
                  <c:v>9.9019999999999992</c:v>
                </c:pt>
                <c:pt idx="690">
                  <c:v>10.050000000000001</c:v>
                </c:pt>
                <c:pt idx="691">
                  <c:v>11.589</c:v>
                </c:pt>
                <c:pt idx="692">
                  <c:v>12.377000000000001</c:v>
                </c:pt>
                <c:pt idx="693">
                  <c:v>12.073</c:v>
                </c:pt>
                <c:pt idx="694">
                  <c:v>11.755000000000001</c:v>
                </c:pt>
                <c:pt idx="695">
                  <c:v>11.555999999999999</c:v>
                </c:pt>
                <c:pt idx="696">
                  <c:v>12.087999999999999</c:v>
                </c:pt>
                <c:pt idx="697">
                  <c:v>11.31</c:v>
                </c:pt>
                <c:pt idx="698">
                  <c:v>11.103</c:v>
                </c:pt>
                <c:pt idx="699">
                  <c:v>11.311</c:v>
                </c:pt>
                <c:pt idx="700">
                  <c:v>11.51</c:v>
                </c:pt>
                <c:pt idx="701">
                  <c:v>11.007</c:v>
                </c:pt>
                <c:pt idx="702">
                  <c:v>12.393000000000001</c:v>
                </c:pt>
                <c:pt idx="703">
                  <c:v>13.361000000000001</c:v>
                </c:pt>
                <c:pt idx="704">
                  <c:v>14.294</c:v>
                </c:pt>
                <c:pt idx="705">
                  <c:v>13.72</c:v>
                </c:pt>
                <c:pt idx="706">
                  <c:v>14.016999999999999</c:v>
                </c:pt>
                <c:pt idx="707">
                  <c:v>14.03</c:v>
                </c:pt>
                <c:pt idx="708">
                  <c:v>14.042999999999999</c:v>
                </c:pt>
                <c:pt idx="709">
                  <c:v>15.5</c:v>
                </c:pt>
                <c:pt idx="710">
                  <c:v>15.026999999999999</c:v>
                </c:pt>
                <c:pt idx="711">
                  <c:v>14.625</c:v>
                </c:pt>
                <c:pt idx="712">
                  <c:v>15.127000000000001</c:v>
                </c:pt>
                <c:pt idx="713">
                  <c:v>16.675999999999998</c:v>
                </c:pt>
                <c:pt idx="714">
                  <c:v>15.141</c:v>
                </c:pt>
                <c:pt idx="715">
                  <c:v>14.821999999999999</c:v>
                </c:pt>
                <c:pt idx="716">
                  <c:v>13.791</c:v>
                </c:pt>
                <c:pt idx="717">
                  <c:v>13.551</c:v>
                </c:pt>
                <c:pt idx="718">
                  <c:v>14.201000000000001</c:v>
                </c:pt>
                <c:pt idx="719">
                  <c:v>12.688000000000001</c:v>
                </c:pt>
                <c:pt idx="720">
                  <c:v>12.792</c:v>
                </c:pt>
                <c:pt idx="721">
                  <c:v>12.914</c:v>
                </c:pt>
                <c:pt idx="722">
                  <c:v>12.762</c:v>
                </c:pt>
                <c:pt idx="723">
                  <c:v>12.177</c:v>
                </c:pt>
                <c:pt idx="724">
                  <c:v>11.88</c:v>
                </c:pt>
                <c:pt idx="725">
                  <c:v>12.016</c:v>
                </c:pt>
                <c:pt idx="726">
                  <c:v>11.422000000000001</c:v>
                </c:pt>
                <c:pt idx="727">
                  <c:v>11.452999999999999</c:v>
                </c:pt>
                <c:pt idx="728">
                  <c:v>11.734999999999999</c:v>
                </c:pt>
                <c:pt idx="729">
                  <c:v>11.201000000000001</c:v>
                </c:pt>
                <c:pt idx="730">
                  <c:v>11.36</c:v>
                </c:pt>
                <c:pt idx="731">
                  <c:v>11.082000000000001</c:v>
                </c:pt>
                <c:pt idx="732">
                  <c:v>10.797000000000001</c:v>
                </c:pt>
                <c:pt idx="733">
                  <c:v>10.35</c:v>
                </c:pt>
                <c:pt idx="734">
                  <c:v>10.510999999999999</c:v>
                </c:pt>
                <c:pt idx="735">
                  <c:v>10.621</c:v>
                </c:pt>
                <c:pt idx="736">
                  <c:v>11.247</c:v>
                </c:pt>
                <c:pt idx="737">
                  <c:v>11.226000000000001</c:v>
                </c:pt>
                <c:pt idx="738">
                  <c:v>11.114000000000001</c:v>
                </c:pt>
                <c:pt idx="739">
                  <c:v>11.244999999999999</c:v>
                </c:pt>
                <c:pt idx="740">
                  <c:v>11.875999999999999</c:v>
                </c:pt>
                <c:pt idx="741">
                  <c:v>11.848000000000001</c:v>
                </c:pt>
                <c:pt idx="742">
                  <c:v>11.271000000000001</c:v>
                </c:pt>
                <c:pt idx="743">
                  <c:v>11.412000000000001</c:v>
                </c:pt>
                <c:pt idx="744">
                  <c:v>11.204000000000001</c:v>
                </c:pt>
                <c:pt idx="745">
                  <c:v>10</c:v>
                </c:pt>
                <c:pt idx="746">
                  <c:v>10.271000000000001</c:v>
                </c:pt>
                <c:pt idx="747">
                  <c:v>9.6959999999999997</c:v>
                </c:pt>
                <c:pt idx="748">
                  <c:v>9.8620000000000001</c:v>
                </c:pt>
                <c:pt idx="749">
                  <c:v>9.3870000000000005</c:v>
                </c:pt>
                <c:pt idx="750">
                  <c:v>9.4480000000000004</c:v>
                </c:pt>
                <c:pt idx="751">
                  <c:v>9.8010000000000002</c:v>
                </c:pt>
                <c:pt idx="752">
                  <c:v>9.7569999999999997</c:v>
                </c:pt>
                <c:pt idx="753">
                  <c:v>9.02</c:v>
                </c:pt>
                <c:pt idx="754">
                  <c:v>9.077</c:v>
                </c:pt>
                <c:pt idx="755">
                  <c:v>8.8879999999999999</c:v>
                </c:pt>
                <c:pt idx="756">
                  <c:v>8.4619999999999997</c:v>
                </c:pt>
                <c:pt idx="757">
                  <c:v>8.85</c:v>
                </c:pt>
                <c:pt idx="758">
                  <c:v>8.6780000000000008</c:v>
                </c:pt>
                <c:pt idx="759">
                  <c:v>8.9429999999999996</c:v>
                </c:pt>
                <c:pt idx="760">
                  <c:v>9.2010000000000005</c:v>
                </c:pt>
                <c:pt idx="761">
                  <c:v>8.766</c:v>
                </c:pt>
                <c:pt idx="762">
                  <c:v>8.7230000000000008</c:v>
                </c:pt>
                <c:pt idx="763">
                  <c:v>8.5250000000000004</c:v>
                </c:pt>
                <c:pt idx="764">
                  <c:v>8.6010000000000009</c:v>
                </c:pt>
                <c:pt idx="765">
                  <c:v>8.6950000000000003</c:v>
                </c:pt>
                <c:pt idx="766">
                  <c:v>8.5579999999999998</c:v>
                </c:pt>
                <c:pt idx="767">
                  <c:v>8.8800000000000008</c:v>
                </c:pt>
                <c:pt idx="768">
                  <c:v>8.5030000000000001</c:v>
                </c:pt>
                <c:pt idx="769">
                  <c:v>8.6010000000000009</c:v>
                </c:pt>
                <c:pt idx="770">
                  <c:v>8.5850000000000009</c:v>
                </c:pt>
                <c:pt idx="771">
                  <c:v>8.7799999999999994</c:v>
                </c:pt>
                <c:pt idx="772">
                  <c:v>7.8819999999999997</c:v>
                </c:pt>
                <c:pt idx="773">
                  <c:v>8.3620000000000001</c:v>
                </c:pt>
                <c:pt idx="774">
                  <c:v>8.9139999999999997</c:v>
                </c:pt>
                <c:pt idx="775">
                  <c:v>8.8040000000000003</c:v>
                </c:pt>
                <c:pt idx="776">
                  <c:v>8.8940000000000001</c:v>
                </c:pt>
                <c:pt idx="777">
                  <c:v>8.6440000000000001</c:v>
                </c:pt>
                <c:pt idx="778">
                  <c:v>8.5370000000000008</c:v>
                </c:pt>
                <c:pt idx="779">
                  <c:v>8.5350000000000001</c:v>
                </c:pt>
                <c:pt idx="780">
                  <c:v>8.7210000000000001</c:v>
                </c:pt>
                <c:pt idx="781">
                  <c:v>9.0310000000000006</c:v>
                </c:pt>
                <c:pt idx="782">
                  <c:v>8.9109999999999996</c:v>
                </c:pt>
                <c:pt idx="783">
                  <c:v>8.7460000000000004</c:v>
                </c:pt>
                <c:pt idx="784">
                  <c:v>8.7309999999999999</c:v>
                </c:pt>
                <c:pt idx="785">
                  <c:v>8.6</c:v>
                </c:pt>
                <c:pt idx="786">
                  <c:v>8.9369999999999994</c:v>
                </c:pt>
                <c:pt idx="787">
                  <c:v>8.9369999999999994</c:v>
                </c:pt>
                <c:pt idx="788">
                  <c:v>9.2460000000000004</c:v>
                </c:pt>
                <c:pt idx="789">
                  <c:v>9.3160000000000007</c:v>
                </c:pt>
                <c:pt idx="790">
                  <c:v>9.7050000000000001</c:v>
                </c:pt>
                <c:pt idx="791">
                  <c:v>9.2639999999999993</c:v>
                </c:pt>
                <c:pt idx="792">
                  <c:v>9.452</c:v>
                </c:pt>
                <c:pt idx="793">
                  <c:v>9.27</c:v>
                </c:pt>
                <c:pt idx="794">
                  <c:v>9.06</c:v>
                </c:pt>
                <c:pt idx="795">
                  <c:v>8.9710000000000001</c:v>
                </c:pt>
                <c:pt idx="796">
                  <c:v>10.003</c:v>
                </c:pt>
                <c:pt idx="797">
                  <c:v>9.6709999999999994</c:v>
                </c:pt>
                <c:pt idx="798">
                  <c:v>11.05</c:v>
                </c:pt>
                <c:pt idx="799">
                  <c:v>11.500999999999999</c:v>
                </c:pt>
                <c:pt idx="800">
                  <c:v>11.72</c:v>
                </c:pt>
                <c:pt idx="801">
                  <c:v>11.32</c:v>
                </c:pt>
                <c:pt idx="802">
                  <c:v>12.055</c:v>
                </c:pt>
                <c:pt idx="803">
                  <c:v>12.394</c:v>
                </c:pt>
                <c:pt idx="804">
                  <c:v>12.012</c:v>
                </c:pt>
                <c:pt idx="805">
                  <c:v>12.673999999999999</c:v>
                </c:pt>
                <c:pt idx="806">
                  <c:v>13.159000000000001</c:v>
                </c:pt>
                <c:pt idx="807">
                  <c:v>12.116</c:v>
                </c:pt>
                <c:pt idx="808">
                  <c:v>11.147</c:v>
                </c:pt>
                <c:pt idx="809">
                  <c:v>11.016</c:v>
                </c:pt>
                <c:pt idx="810">
                  <c:v>10.68</c:v>
                </c:pt>
                <c:pt idx="811">
                  <c:v>10.637</c:v>
                </c:pt>
                <c:pt idx="812">
                  <c:v>11.122999999999999</c:v>
                </c:pt>
                <c:pt idx="813">
                  <c:v>11.085000000000001</c:v>
                </c:pt>
                <c:pt idx="814">
                  <c:v>11.14</c:v>
                </c:pt>
                <c:pt idx="815">
                  <c:v>11.412000000000001</c:v>
                </c:pt>
                <c:pt idx="816">
                  <c:v>11.05</c:v>
                </c:pt>
                <c:pt idx="817">
                  <c:v>10.946</c:v>
                </c:pt>
                <c:pt idx="818">
                  <c:v>10.609</c:v>
                </c:pt>
                <c:pt idx="819">
                  <c:v>10.536</c:v>
                </c:pt>
                <c:pt idx="820">
                  <c:v>11.255000000000001</c:v>
                </c:pt>
                <c:pt idx="821">
                  <c:v>10.784000000000001</c:v>
                </c:pt>
                <c:pt idx="822">
                  <c:v>10.675000000000001</c:v>
                </c:pt>
                <c:pt idx="823">
                  <c:v>11.502000000000001</c:v>
                </c:pt>
                <c:pt idx="824">
                  <c:v>9.1199999999999992</c:v>
                </c:pt>
                <c:pt idx="825">
                  <c:v>7.7859999999999996</c:v>
                </c:pt>
                <c:pt idx="826">
                  <c:v>6.9660000000000002</c:v>
                </c:pt>
                <c:pt idx="827">
                  <c:v>6.907</c:v>
                </c:pt>
                <c:pt idx="828">
                  <c:v>7.2640000000000002</c:v>
                </c:pt>
                <c:pt idx="829">
                  <c:v>7.3979999999999997</c:v>
                </c:pt>
                <c:pt idx="830">
                  <c:v>7.3029999999999999</c:v>
                </c:pt>
                <c:pt idx="831">
                  <c:v>7.1050000000000004</c:v>
                </c:pt>
                <c:pt idx="832">
                  <c:v>7.1109999999999998</c:v>
                </c:pt>
                <c:pt idx="833">
                  <c:v>7.2519999999999998</c:v>
                </c:pt>
                <c:pt idx="834">
                  <c:v>6.9950000000000001</c:v>
                </c:pt>
                <c:pt idx="835">
                  <c:v>7.367</c:v>
                </c:pt>
                <c:pt idx="836">
                  <c:v>7.5289999999999999</c:v>
                </c:pt>
                <c:pt idx="837">
                  <c:v>7.2960000000000003</c:v>
                </c:pt>
                <c:pt idx="838">
                  <c:v>7.24</c:v>
                </c:pt>
                <c:pt idx="839">
                  <c:v>7.2190000000000003</c:v>
                </c:pt>
                <c:pt idx="840">
                  <c:v>7.468</c:v>
                </c:pt>
                <c:pt idx="841">
                  <c:v>7.75</c:v>
                </c:pt>
                <c:pt idx="842">
                  <c:v>7.4980000000000002</c:v>
                </c:pt>
                <c:pt idx="843">
                  <c:v>7.4450000000000003</c:v>
                </c:pt>
                <c:pt idx="844">
                  <c:v>7.14</c:v>
                </c:pt>
                <c:pt idx="845">
                  <c:v>7.3339999999999996</c:v>
                </c:pt>
                <c:pt idx="846">
                  <c:v>7.3460000000000001</c:v>
                </c:pt>
                <c:pt idx="847">
                  <c:v>7.3419999999999996</c:v>
                </c:pt>
                <c:pt idx="848">
                  <c:v>7.617</c:v>
                </c:pt>
                <c:pt idx="849">
                  <c:v>7.4720000000000004</c:v>
                </c:pt>
                <c:pt idx="850">
                  <c:v>7.5990000000000002</c:v>
                </c:pt>
                <c:pt idx="851">
                  <c:v>7.1260000000000003</c:v>
                </c:pt>
                <c:pt idx="852">
                  <c:v>7.3049999999999997</c:v>
                </c:pt>
                <c:pt idx="853">
                  <c:v>7.3380000000000001</c:v>
                </c:pt>
                <c:pt idx="854">
                  <c:v>7.1470000000000002</c:v>
                </c:pt>
                <c:pt idx="855">
                  <c:v>7.4539999999999997</c:v>
                </c:pt>
                <c:pt idx="856">
                  <c:v>7.2309999999999999</c:v>
                </c:pt>
                <c:pt idx="857">
                  <c:v>8.6170000000000009</c:v>
                </c:pt>
                <c:pt idx="858">
                  <c:v>9.0679999999999996</c:v>
                </c:pt>
                <c:pt idx="859">
                  <c:v>9.4190000000000005</c:v>
                </c:pt>
                <c:pt idx="860">
                  <c:v>9.5489999999999995</c:v>
                </c:pt>
                <c:pt idx="861">
                  <c:v>9.7149999999999999</c:v>
                </c:pt>
                <c:pt idx="862">
                  <c:v>10.106999999999999</c:v>
                </c:pt>
                <c:pt idx="863">
                  <c:v>9.5050000000000008</c:v>
                </c:pt>
                <c:pt idx="864">
                  <c:v>9.0820000000000007</c:v>
                </c:pt>
                <c:pt idx="865">
                  <c:v>9.0619999999999994</c:v>
                </c:pt>
                <c:pt idx="866">
                  <c:v>9.1039999999999992</c:v>
                </c:pt>
                <c:pt idx="867">
                  <c:v>8.9410000000000007</c:v>
                </c:pt>
                <c:pt idx="868">
                  <c:v>9.0150000000000006</c:v>
                </c:pt>
                <c:pt idx="869">
                  <c:v>8.798</c:v>
                </c:pt>
                <c:pt idx="870">
                  <c:v>8.8339999999999996</c:v>
                </c:pt>
                <c:pt idx="871">
                  <c:v>9.0890000000000004</c:v>
                </c:pt>
                <c:pt idx="872">
                  <c:v>9.2620000000000005</c:v>
                </c:pt>
                <c:pt idx="873">
                  <c:v>9.0589999999999993</c:v>
                </c:pt>
                <c:pt idx="874">
                  <c:v>8.6869999999999994</c:v>
                </c:pt>
                <c:pt idx="875">
                  <c:v>8.9990000000000006</c:v>
                </c:pt>
                <c:pt idx="876">
                  <c:v>9.0530000000000008</c:v>
                </c:pt>
                <c:pt idx="877">
                  <c:v>9.2550000000000008</c:v>
                </c:pt>
                <c:pt idx="878">
                  <c:v>9.1219999999999999</c:v>
                </c:pt>
                <c:pt idx="879">
                  <c:v>8.7629999999999999</c:v>
                </c:pt>
                <c:pt idx="880">
                  <c:v>8.7910000000000004</c:v>
                </c:pt>
                <c:pt idx="881">
                  <c:v>8.7270000000000003</c:v>
                </c:pt>
                <c:pt idx="882">
                  <c:v>8.7609999999999992</c:v>
                </c:pt>
                <c:pt idx="883">
                  <c:v>9.1449999999999996</c:v>
                </c:pt>
                <c:pt idx="884">
                  <c:v>9.5939999999999994</c:v>
                </c:pt>
                <c:pt idx="885">
                  <c:v>9.8260000000000005</c:v>
                </c:pt>
                <c:pt idx="886">
                  <c:v>9.6620000000000008</c:v>
                </c:pt>
                <c:pt idx="887">
                  <c:v>10.102</c:v>
                </c:pt>
                <c:pt idx="888">
                  <c:v>9.8800000000000008</c:v>
                </c:pt>
                <c:pt idx="889">
                  <c:v>9.7940000000000005</c:v>
                </c:pt>
                <c:pt idx="890">
                  <c:v>9.468</c:v>
                </c:pt>
                <c:pt idx="891">
                  <c:v>9.8979999999999997</c:v>
                </c:pt>
                <c:pt idx="892">
                  <c:v>10.137</c:v>
                </c:pt>
                <c:pt idx="893">
                  <c:v>9.8390000000000004</c:v>
                </c:pt>
                <c:pt idx="894">
                  <c:v>9.6630000000000003</c:v>
                </c:pt>
                <c:pt idx="895">
                  <c:v>9.8030000000000008</c:v>
                </c:pt>
                <c:pt idx="896">
                  <c:v>9.8970000000000002</c:v>
                </c:pt>
                <c:pt idx="897">
                  <c:v>9.4529999999999994</c:v>
                </c:pt>
                <c:pt idx="898">
                  <c:v>10.494</c:v>
                </c:pt>
                <c:pt idx="899">
                  <c:v>10.691000000000001</c:v>
                </c:pt>
                <c:pt idx="900">
                  <c:v>11.1</c:v>
                </c:pt>
                <c:pt idx="901">
                  <c:v>10.596</c:v>
                </c:pt>
                <c:pt idx="902">
                  <c:v>10.367000000000001</c:v>
                </c:pt>
                <c:pt idx="903">
                  <c:v>10.887</c:v>
                </c:pt>
                <c:pt idx="904">
                  <c:v>11.31</c:v>
                </c:pt>
                <c:pt idx="905">
                  <c:v>11.355</c:v>
                </c:pt>
                <c:pt idx="906">
                  <c:v>12.004</c:v>
                </c:pt>
                <c:pt idx="907">
                  <c:v>11.88</c:v>
                </c:pt>
                <c:pt idx="908">
                  <c:v>12.121</c:v>
                </c:pt>
                <c:pt idx="909">
                  <c:v>11.66</c:v>
                </c:pt>
                <c:pt idx="910">
                  <c:v>11.862</c:v>
                </c:pt>
                <c:pt idx="911">
                  <c:v>11.727</c:v>
                </c:pt>
                <c:pt idx="912">
                  <c:v>11.247999999999999</c:v>
                </c:pt>
                <c:pt idx="913">
                  <c:v>11.268000000000001</c:v>
                </c:pt>
                <c:pt idx="914">
                  <c:v>11.238</c:v>
                </c:pt>
                <c:pt idx="915">
                  <c:v>11.37</c:v>
                </c:pt>
                <c:pt idx="916">
                  <c:v>11.962</c:v>
                </c:pt>
                <c:pt idx="917">
                  <c:v>11.935</c:v>
                </c:pt>
                <c:pt idx="918">
                  <c:v>11.765000000000001</c:v>
                </c:pt>
                <c:pt idx="919">
                  <c:v>11.228</c:v>
                </c:pt>
                <c:pt idx="920">
                  <c:v>12.07</c:v>
                </c:pt>
                <c:pt idx="921">
                  <c:v>12.954000000000001</c:v>
                </c:pt>
                <c:pt idx="922">
                  <c:v>13.321999999999999</c:v>
                </c:pt>
                <c:pt idx="923">
                  <c:v>12.961</c:v>
                </c:pt>
                <c:pt idx="924">
                  <c:v>13.01</c:v>
                </c:pt>
                <c:pt idx="925">
                  <c:v>10.763999999999999</c:v>
                </c:pt>
                <c:pt idx="926">
                  <c:v>10.202</c:v>
                </c:pt>
                <c:pt idx="927">
                  <c:v>12.281000000000001</c:v>
                </c:pt>
                <c:pt idx="928">
                  <c:v>12.021000000000001</c:v>
                </c:pt>
                <c:pt idx="929">
                  <c:v>14.156000000000001</c:v>
                </c:pt>
                <c:pt idx="930">
                  <c:v>15.321999999999999</c:v>
                </c:pt>
                <c:pt idx="931">
                  <c:v>14.645</c:v>
                </c:pt>
                <c:pt idx="932">
                  <c:v>16.195</c:v>
                </c:pt>
                <c:pt idx="933">
                  <c:v>17.245000000000001</c:v>
                </c:pt>
                <c:pt idx="934">
                  <c:v>17.524000000000001</c:v>
                </c:pt>
                <c:pt idx="935">
                  <c:v>17.187999999999999</c:v>
                </c:pt>
                <c:pt idx="936">
                  <c:v>16.853000000000002</c:v>
                </c:pt>
                <c:pt idx="937">
                  <c:v>17.029</c:v>
                </c:pt>
                <c:pt idx="938">
                  <c:v>17.010999999999999</c:v>
                </c:pt>
                <c:pt idx="939">
                  <c:v>17.904</c:v>
                </c:pt>
                <c:pt idx="940">
                  <c:v>17.937000000000001</c:v>
                </c:pt>
                <c:pt idx="941">
                  <c:v>16.956</c:v>
                </c:pt>
                <c:pt idx="942">
                  <c:v>16.747</c:v>
                </c:pt>
                <c:pt idx="943">
                  <c:v>18.434000000000001</c:v>
                </c:pt>
                <c:pt idx="944">
                  <c:v>18.227</c:v>
                </c:pt>
                <c:pt idx="945">
                  <c:v>17.201000000000001</c:v>
                </c:pt>
                <c:pt idx="946">
                  <c:v>19.367000000000001</c:v>
                </c:pt>
                <c:pt idx="947">
                  <c:v>19.606000000000002</c:v>
                </c:pt>
                <c:pt idx="948">
                  <c:v>17.971</c:v>
                </c:pt>
                <c:pt idx="949">
                  <c:v>16.859000000000002</c:v>
                </c:pt>
                <c:pt idx="950">
                  <c:v>17.481000000000002</c:v>
                </c:pt>
                <c:pt idx="951">
                  <c:v>14.01</c:v>
                </c:pt>
                <c:pt idx="952">
                  <c:v>13.538</c:v>
                </c:pt>
                <c:pt idx="953">
                  <c:v>13.718999999999999</c:v>
                </c:pt>
                <c:pt idx="954">
                  <c:v>13.667999999999999</c:v>
                </c:pt>
                <c:pt idx="955">
                  <c:v>14.196999999999999</c:v>
                </c:pt>
                <c:pt idx="956">
                  <c:v>13.984999999999999</c:v>
                </c:pt>
                <c:pt idx="957">
                  <c:v>13.945</c:v>
                </c:pt>
                <c:pt idx="958">
                  <c:v>13.442</c:v>
                </c:pt>
                <c:pt idx="959">
                  <c:v>13.042</c:v>
                </c:pt>
                <c:pt idx="960">
                  <c:v>12.903</c:v>
                </c:pt>
                <c:pt idx="961">
                  <c:v>12.268000000000001</c:v>
                </c:pt>
                <c:pt idx="962">
                  <c:v>12.292</c:v>
                </c:pt>
                <c:pt idx="963">
                  <c:v>11.475</c:v>
                </c:pt>
                <c:pt idx="964">
                  <c:v>11.971</c:v>
                </c:pt>
                <c:pt idx="965">
                  <c:v>12.167</c:v>
                </c:pt>
                <c:pt idx="966">
                  <c:v>11.628</c:v>
                </c:pt>
                <c:pt idx="967">
                  <c:v>11.574999999999999</c:v>
                </c:pt>
                <c:pt idx="968">
                  <c:v>11.475</c:v>
                </c:pt>
                <c:pt idx="969">
                  <c:v>12.417999999999999</c:v>
                </c:pt>
                <c:pt idx="970">
                  <c:v>14.11</c:v>
                </c:pt>
                <c:pt idx="971">
                  <c:v>13.709</c:v>
                </c:pt>
                <c:pt idx="972">
                  <c:v>13.542999999999999</c:v>
                </c:pt>
                <c:pt idx="973">
                  <c:v>12.574999999999999</c:v>
                </c:pt>
                <c:pt idx="974">
                  <c:v>13.632999999999999</c:v>
                </c:pt>
                <c:pt idx="975">
                  <c:v>12.662000000000001</c:v>
                </c:pt>
                <c:pt idx="976">
                  <c:v>12.363</c:v>
                </c:pt>
                <c:pt idx="977">
                  <c:v>11.836</c:v>
                </c:pt>
                <c:pt idx="978">
                  <c:v>11.416</c:v>
                </c:pt>
                <c:pt idx="979">
                  <c:v>11.519</c:v>
                </c:pt>
                <c:pt idx="980">
                  <c:v>11.411</c:v>
                </c:pt>
                <c:pt idx="981">
                  <c:v>11.154</c:v>
                </c:pt>
                <c:pt idx="982">
                  <c:v>12.079000000000001</c:v>
                </c:pt>
                <c:pt idx="983">
                  <c:v>11.997999999999999</c:v>
                </c:pt>
                <c:pt idx="984">
                  <c:v>11.654999999999999</c:v>
                </c:pt>
                <c:pt idx="985">
                  <c:v>10.7</c:v>
                </c:pt>
                <c:pt idx="986">
                  <c:v>11.265000000000001</c:v>
                </c:pt>
                <c:pt idx="987">
                  <c:v>12.089</c:v>
                </c:pt>
                <c:pt idx="988">
                  <c:v>12.85</c:v>
                </c:pt>
                <c:pt idx="989">
                  <c:v>11.051</c:v>
                </c:pt>
                <c:pt idx="990">
                  <c:v>9.7070000000000007</c:v>
                </c:pt>
                <c:pt idx="991">
                  <c:v>9.3230000000000004</c:v>
                </c:pt>
                <c:pt idx="992">
                  <c:v>9.6370000000000005</c:v>
                </c:pt>
                <c:pt idx="993">
                  <c:v>8.7750000000000004</c:v>
                </c:pt>
                <c:pt idx="994">
                  <c:v>8.6630000000000003</c:v>
                </c:pt>
                <c:pt idx="995">
                  <c:v>9.0429999999999993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B-42AB-B0AB-B850ED4FA4C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0.75141420971576678</c:v>
                </c:pt>
                <c:pt idx="1">
                  <c:v>0.75180866710559724</c:v>
                </c:pt>
                <c:pt idx="2">
                  <c:v>0.75546930872606233</c:v>
                </c:pt>
                <c:pt idx="3">
                  <c:v>0.7526511418760623</c:v>
                </c:pt>
                <c:pt idx="4">
                  <c:v>0.74755144586200606</c:v>
                </c:pt>
                <c:pt idx="5">
                  <c:v>0.74517163771438699</c:v>
                </c:pt>
                <c:pt idx="6">
                  <c:v>0.74696035695370644</c:v>
                </c:pt>
                <c:pt idx="7">
                  <c:v>0.75341962929804973</c:v>
                </c:pt>
                <c:pt idx="8">
                  <c:v>0.75618400172316824</c:v>
                </c:pt>
                <c:pt idx="9">
                  <c:v>0.76130760358942329</c:v>
                </c:pt>
                <c:pt idx="10">
                  <c:v>0.75624527738779723</c:v>
                </c:pt>
                <c:pt idx="11">
                  <c:v>0.75739821458608303</c:v>
                </c:pt>
                <c:pt idx="12">
                  <c:v>0.75692317803345144</c:v>
                </c:pt>
                <c:pt idx="13">
                  <c:v>0.75739533635953837</c:v>
                </c:pt>
                <c:pt idx="14">
                  <c:v>0.75488721095162881</c:v>
                </c:pt>
                <c:pt idx="15">
                  <c:v>0.75696654027176302</c:v>
                </c:pt>
                <c:pt idx="16">
                  <c:v>0.755199917911763</c:v>
                </c:pt>
                <c:pt idx="17">
                  <c:v>0.75263750309358124</c:v>
                </c:pt>
                <c:pt idx="18">
                  <c:v>0.75404423647460994</c:v>
                </c:pt>
                <c:pt idx="19">
                  <c:v>0.75344083321097355</c:v>
                </c:pt>
                <c:pt idx="20">
                  <c:v>0.7558248282957355</c:v>
                </c:pt>
                <c:pt idx="21">
                  <c:v>0.75647715559695505</c:v>
                </c:pt>
                <c:pt idx="22">
                  <c:v>0.75339654648362175</c:v>
                </c:pt>
                <c:pt idx="23">
                  <c:v>0.75627829047278172</c:v>
                </c:pt>
                <c:pt idx="24">
                  <c:v>0.75935079852278153</c:v>
                </c:pt>
                <c:pt idx="25">
                  <c:v>0.75942088526073781</c:v>
                </c:pt>
                <c:pt idx="26">
                  <c:v>0.75787276956317684</c:v>
                </c:pt>
                <c:pt idx="27">
                  <c:v>0.75653204638501581</c:v>
                </c:pt>
                <c:pt idx="28">
                  <c:v>0.7573333454755421</c:v>
                </c:pt>
                <c:pt idx="29">
                  <c:v>0.75665631785528065</c:v>
                </c:pt>
                <c:pt idx="30">
                  <c:v>0.75893211612535361</c:v>
                </c:pt>
                <c:pt idx="31">
                  <c:v>0.76221097686113959</c:v>
                </c:pt>
                <c:pt idx="32">
                  <c:v>0.76443182396455833</c:v>
                </c:pt>
                <c:pt idx="33">
                  <c:v>0.76252846964691123</c:v>
                </c:pt>
                <c:pt idx="34">
                  <c:v>0.76263581931357804</c:v>
                </c:pt>
                <c:pt idx="35">
                  <c:v>0.76448652488734858</c:v>
                </c:pt>
                <c:pt idx="36">
                  <c:v>0.75979344939628335</c:v>
                </c:pt>
                <c:pt idx="37">
                  <c:v>0.75898290786028322</c:v>
                </c:pt>
                <c:pt idx="38">
                  <c:v>0.75705095232028319</c:v>
                </c:pt>
                <c:pt idx="39">
                  <c:v>0.75326909456250557</c:v>
                </c:pt>
                <c:pt idx="40">
                  <c:v>0.7553238272320707</c:v>
                </c:pt>
                <c:pt idx="41">
                  <c:v>0.75430703803359744</c:v>
                </c:pt>
                <c:pt idx="42">
                  <c:v>0.75630826294885178</c:v>
                </c:pt>
                <c:pt idx="43">
                  <c:v>0.76162966034045476</c:v>
                </c:pt>
                <c:pt idx="44">
                  <c:v>0.75834952624954566</c:v>
                </c:pt>
                <c:pt idx="45">
                  <c:v>0.75578322049470692</c:v>
                </c:pt>
                <c:pt idx="46">
                  <c:v>0.75909341396775043</c:v>
                </c:pt>
                <c:pt idx="47">
                  <c:v>0.75797962355514525</c:v>
                </c:pt>
                <c:pt idx="48">
                  <c:v>0.75770931355384663</c:v>
                </c:pt>
                <c:pt idx="49">
                  <c:v>0.76247205718188404</c:v>
                </c:pt>
                <c:pt idx="50">
                  <c:v>0.76731599752720137</c:v>
                </c:pt>
                <c:pt idx="51">
                  <c:v>0.76268463535120135</c:v>
                </c:pt>
                <c:pt idx="52">
                  <c:v>0.76325314761345298</c:v>
                </c:pt>
                <c:pt idx="53">
                  <c:v>0.75555265702397922</c:v>
                </c:pt>
                <c:pt idx="54">
                  <c:v>0.75882304641518161</c:v>
                </c:pt>
                <c:pt idx="55">
                  <c:v>0.75702140385208305</c:v>
                </c:pt>
                <c:pt idx="56">
                  <c:v>0.75963936111510044</c:v>
                </c:pt>
                <c:pt idx="57">
                  <c:v>0.75985518409280739</c:v>
                </c:pt>
                <c:pt idx="58">
                  <c:v>0.76086627246780736</c:v>
                </c:pt>
                <c:pt idx="59">
                  <c:v>0.7641831141815798</c:v>
                </c:pt>
                <c:pt idx="60">
                  <c:v>0.76197991943157994</c:v>
                </c:pt>
                <c:pt idx="61">
                  <c:v>0.75843085173157987</c:v>
                </c:pt>
                <c:pt idx="62">
                  <c:v>0.75916392130406307</c:v>
                </c:pt>
                <c:pt idx="63">
                  <c:v>0.76348435550095017</c:v>
                </c:pt>
                <c:pt idx="64">
                  <c:v>0.76068567034153001</c:v>
                </c:pt>
                <c:pt idx="65">
                  <c:v>0.76142976644803873</c:v>
                </c:pt>
                <c:pt idx="66">
                  <c:v>0.76004389557817575</c:v>
                </c:pt>
                <c:pt idx="67">
                  <c:v>0.76177981061477162</c:v>
                </c:pt>
                <c:pt idx="68">
                  <c:v>0.76365569822010493</c:v>
                </c:pt>
                <c:pt idx="69">
                  <c:v>0.76131162459874568</c:v>
                </c:pt>
                <c:pt idx="70">
                  <c:v>0.75877402209874567</c:v>
                </c:pt>
                <c:pt idx="71">
                  <c:v>0.76114304492374574</c:v>
                </c:pt>
                <c:pt idx="72">
                  <c:v>0.75811173773522111</c:v>
                </c:pt>
                <c:pt idx="73">
                  <c:v>0.7604176495809184</c:v>
                </c:pt>
                <c:pt idx="74">
                  <c:v>0.76338332103070916</c:v>
                </c:pt>
                <c:pt idx="75">
                  <c:v>0.76301523911884472</c:v>
                </c:pt>
                <c:pt idx="76">
                  <c:v>0.76092875956773354</c:v>
                </c:pt>
                <c:pt idx="77">
                  <c:v>0.76092875956773354</c:v>
                </c:pt>
                <c:pt idx="78">
                  <c:v>0.76149733623807836</c:v>
                </c:pt>
                <c:pt idx="79">
                  <c:v>0.76443813810934269</c:v>
                </c:pt>
                <c:pt idx="80">
                  <c:v>0.75833974604154619</c:v>
                </c:pt>
                <c:pt idx="81">
                  <c:v>0.74877130105409517</c:v>
                </c:pt>
                <c:pt idx="82">
                  <c:v>0.74549514999788224</c:v>
                </c:pt>
                <c:pt idx="83">
                  <c:v>0.74327276850110802</c:v>
                </c:pt>
                <c:pt idx="84">
                  <c:v>0.74464301473127559</c:v>
                </c:pt>
                <c:pt idx="85">
                  <c:v>0.74503408888861333</c:v>
                </c:pt>
                <c:pt idx="86">
                  <c:v>0.74086289466194666</c:v>
                </c:pt>
                <c:pt idx="87">
                  <c:v>0.73743530625764564</c:v>
                </c:pt>
                <c:pt idx="88">
                  <c:v>0.73707689042425562</c:v>
                </c:pt>
                <c:pt idx="89">
                  <c:v>0.73621961725993623</c:v>
                </c:pt>
                <c:pt idx="90">
                  <c:v>0.73532946674106836</c:v>
                </c:pt>
                <c:pt idx="91">
                  <c:v>0.73204900444106824</c:v>
                </c:pt>
                <c:pt idx="92">
                  <c:v>0.7302039741473183</c:v>
                </c:pt>
                <c:pt idx="93">
                  <c:v>0.73442942743375283</c:v>
                </c:pt>
                <c:pt idx="94">
                  <c:v>0.73596591238006159</c:v>
                </c:pt>
                <c:pt idx="95">
                  <c:v>0.73472704949770862</c:v>
                </c:pt>
                <c:pt idx="96">
                  <c:v>0.7350845875141695</c:v>
                </c:pt>
                <c:pt idx="97">
                  <c:v>0.73412463445200737</c:v>
                </c:pt>
                <c:pt idx="98">
                  <c:v>0.73543424225503773</c:v>
                </c:pt>
                <c:pt idx="99">
                  <c:v>0.7374879091999057</c:v>
                </c:pt>
                <c:pt idx="100">
                  <c:v>0.73354373083574387</c:v>
                </c:pt>
                <c:pt idx="101">
                  <c:v>0.73426109098343617</c:v>
                </c:pt>
                <c:pt idx="102">
                  <c:v>0.7338158511747942</c:v>
                </c:pt>
                <c:pt idx="103">
                  <c:v>0.73361915343246276</c:v>
                </c:pt>
                <c:pt idx="104">
                  <c:v>0.7347743405914372</c:v>
                </c:pt>
                <c:pt idx="105">
                  <c:v>0.73383929873143727</c:v>
                </c:pt>
                <c:pt idx="106">
                  <c:v>0.73481727440948585</c:v>
                </c:pt>
                <c:pt idx="107">
                  <c:v>0.73155743663608686</c:v>
                </c:pt>
                <c:pt idx="108">
                  <c:v>0.72954533540086675</c:v>
                </c:pt>
                <c:pt idx="109">
                  <c:v>0.73028075527477987</c:v>
                </c:pt>
                <c:pt idx="110">
                  <c:v>0.73372708054320079</c:v>
                </c:pt>
                <c:pt idx="111">
                  <c:v>0.73138705416846395</c:v>
                </c:pt>
                <c:pt idx="112">
                  <c:v>0.73113039277581693</c:v>
                </c:pt>
                <c:pt idx="113">
                  <c:v>0.73146471863726281</c:v>
                </c:pt>
                <c:pt idx="114">
                  <c:v>0.72960851275586236</c:v>
                </c:pt>
                <c:pt idx="115">
                  <c:v>0.72345048731616757</c:v>
                </c:pt>
                <c:pt idx="116">
                  <c:v>0.72374259316561207</c:v>
                </c:pt>
                <c:pt idx="117">
                  <c:v>0.72135088387424362</c:v>
                </c:pt>
                <c:pt idx="118">
                  <c:v>0.72261927280501292</c:v>
                </c:pt>
                <c:pt idx="119">
                  <c:v>0.71679789670445426</c:v>
                </c:pt>
                <c:pt idx="120">
                  <c:v>0.71256463633408396</c:v>
                </c:pt>
                <c:pt idx="121">
                  <c:v>0.71334017468657696</c:v>
                </c:pt>
                <c:pt idx="122">
                  <c:v>0.71651851300590452</c:v>
                </c:pt>
                <c:pt idx="123">
                  <c:v>0.72029028134977802</c:v>
                </c:pt>
                <c:pt idx="124">
                  <c:v>0.71751843515114277</c:v>
                </c:pt>
                <c:pt idx="125">
                  <c:v>0.71850516907164474</c:v>
                </c:pt>
                <c:pt idx="126">
                  <c:v>0.72118224554791599</c:v>
                </c:pt>
                <c:pt idx="127">
                  <c:v>0.71773113846050851</c:v>
                </c:pt>
                <c:pt idx="128">
                  <c:v>0.71218778921922954</c:v>
                </c:pt>
                <c:pt idx="129">
                  <c:v>0.71815893416325127</c:v>
                </c:pt>
                <c:pt idx="130">
                  <c:v>0.72148193648570025</c:v>
                </c:pt>
                <c:pt idx="131">
                  <c:v>0.72316329215694619</c:v>
                </c:pt>
                <c:pt idx="132">
                  <c:v>0.72238780009276715</c:v>
                </c:pt>
                <c:pt idx="133">
                  <c:v>0.72508265975289576</c:v>
                </c:pt>
                <c:pt idx="134">
                  <c:v>0.72665854968877375</c:v>
                </c:pt>
                <c:pt idx="135">
                  <c:v>0.72228923714336302</c:v>
                </c:pt>
                <c:pt idx="136">
                  <c:v>0.71446289976928901</c:v>
                </c:pt>
                <c:pt idx="137">
                  <c:v>0.71539381212994491</c:v>
                </c:pt>
                <c:pt idx="138">
                  <c:v>0.71050753089358121</c:v>
                </c:pt>
                <c:pt idx="139">
                  <c:v>0.70953896682552553</c:v>
                </c:pt>
                <c:pt idx="140">
                  <c:v>0.71501595665261197</c:v>
                </c:pt>
                <c:pt idx="141">
                  <c:v>0.71356602395408253</c:v>
                </c:pt>
                <c:pt idx="142">
                  <c:v>0.70861386401056792</c:v>
                </c:pt>
                <c:pt idx="143">
                  <c:v>0.71852247774557043</c:v>
                </c:pt>
                <c:pt idx="144">
                  <c:v>0.72024270173493343</c:v>
                </c:pt>
                <c:pt idx="145">
                  <c:v>0.70238585368058259</c:v>
                </c:pt>
                <c:pt idx="146">
                  <c:v>0.70183290987246083</c:v>
                </c:pt>
                <c:pt idx="147">
                  <c:v>0.69918597016877271</c:v>
                </c:pt>
                <c:pt idx="148">
                  <c:v>0.70080257596725171</c:v>
                </c:pt>
                <c:pt idx="149">
                  <c:v>0.69166021792563337</c:v>
                </c:pt>
                <c:pt idx="150">
                  <c:v>0.69438242570622166</c:v>
                </c:pt>
                <c:pt idx="151">
                  <c:v>0.69843636043556623</c:v>
                </c:pt>
                <c:pt idx="152">
                  <c:v>0.70167405108001069</c:v>
                </c:pt>
                <c:pt idx="153">
                  <c:v>0.70230323819035545</c:v>
                </c:pt>
                <c:pt idx="154">
                  <c:v>0.69418469641193936</c:v>
                </c:pt>
                <c:pt idx="155">
                  <c:v>0.70225855018932992</c:v>
                </c:pt>
                <c:pt idx="156">
                  <c:v>0.69439130132594185</c:v>
                </c:pt>
                <c:pt idx="157">
                  <c:v>0.70744824586319843</c:v>
                </c:pt>
                <c:pt idx="158">
                  <c:v>0.69324084667034114</c:v>
                </c:pt>
                <c:pt idx="159">
                  <c:v>0.69215325061622845</c:v>
                </c:pt>
                <c:pt idx="160">
                  <c:v>0.69650207573496714</c:v>
                </c:pt>
                <c:pt idx="161">
                  <c:v>0.68942441130580323</c:v>
                </c:pt>
                <c:pt idx="162">
                  <c:v>0.6814063553118227</c:v>
                </c:pt>
                <c:pt idx="163">
                  <c:v>0.67912058071736536</c:v>
                </c:pt>
                <c:pt idx="164">
                  <c:v>0.68792052841709983</c:v>
                </c:pt>
                <c:pt idx="165">
                  <c:v>0.69605015717997776</c:v>
                </c:pt>
                <c:pt idx="166">
                  <c:v>0.68767429774138611</c:v>
                </c:pt>
                <c:pt idx="167">
                  <c:v>0.68246765228598272</c:v>
                </c:pt>
                <c:pt idx="168">
                  <c:v>0.67302876557154534</c:v>
                </c:pt>
                <c:pt idx="169">
                  <c:v>0.67653064435111043</c:v>
                </c:pt>
                <c:pt idx="170">
                  <c:v>0.6770702491820374</c:v>
                </c:pt>
                <c:pt idx="171">
                  <c:v>0.67316036717166572</c:v>
                </c:pt>
                <c:pt idx="172">
                  <c:v>0.66822610566244722</c:v>
                </c:pt>
                <c:pt idx="173">
                  <c:v>0.67245118017599714</c:v>
                </c:pt>
                <c:pt idx="174">
                  <c:v>0.66798441786226181</c:v>
                </c:pt>
                <c:pt idx="175">
                  <c:v>0.6664104751022657</c:v>
                </c:pt>
                <c:pt idx="176">
                  <c:v>0.66187310876114136</c:v>
                </c:pt>
                <c:pt idx="177">
                  <c:v>0.65891435327976755</c:v>
                </c:pt>
                <c:pt idx="178">
                  <c:v>0.66199045964776559</c:v>
                </c:pt>
                <c:pt idx="179">
                  <c:v>0.66452791088889684</c:v>
                </c:pt>
                <c:pt idx="180">
                  <c:v>0.67338674144617205</c:v>
                </c:pt>
                <c:pt idx="181">
                  <c:v>0.66236231584883642</c:v>
                </c:pt>
                <c:pt idx="182">
                  <c:v>0.64428687610412216</c:v>
                </c:pt>
                <c:pt idx="183">
                  <c:v>0.64122605019862966</c:v>
                </c:pt>
                <c:pt idx="184">
                  <c:v>0.63591058252682564</c:v>
                </c:pt>
                <c:pt idx="185">
                  <c:v>0.62936713798688815</c:v>
                </c:pt>
                <c:pt idx="186">
                  <c:v>0.63350408645915424</c:v>
                </c:pt>
                <c:pt idx="187">
                  <c:v>0.63105496003418959</c:v>
                </c:pt>
                <c:pt idx="188">
                  <c:v>0.62749645888822536</c:v>
                </c:pt>
                <c:pt idx="189">
                  <c:v>0.62311282046304339</c:v>
                </c:pt>
                <c:pt idx="190">
                  <c:v>0.62024214818212797</c:v>
                </c:pt>
                <c:pt idx="191">
                  <c:v>0.61631045428760134</c:v>
                </c:pt>
                <c:pt idx="192">
                  <c:v>0.61998775824012409</c:v>
                </c:pt>
                <c:pt idx="193">
                  <c:v>0.62393966793393574</c:v>
                </c:pt>
                <c:pt idx="194">
                  <c:v>0.62462740824102936</c:v>
                </c:pt>
                <c:pt idx="195">
                  <c:v>0.62501985073192889</c:v>
                </c:pt>
                <c:pt idx="196">
                  <c:v>0.62984997144677934</c:v>
                </c:pt>
                <c:pt idx="197">
                  <c:v>0.63189840492247484</c:v>
                </c:pt>
                <c:pt idx="198">
                  <c:v>0.62941621209448195</c:v>
                </c:pt>
                <c:pt idx="199">
                  <c:v>0.62857689752937507</c:v>
                </c:pt>
                <c:pt idx="200">
                  <c:v>0.62951505703222776</c:v>
                </c:pt>
                <c:pt idx="201">
                  <c:v>0.62899616019904103</c:v>
                </c:pt>
                <c:pt idx="202">
                  <c:v>0.62989964160740775</c:v>
                </c:pt>
                <c:pt idx="203">
                  <c:v>0.62642350450137108</c:v>
                </c:pt>
                <c:pt idx="204">
                  <c:v>0.63064936706567531</c:v>
                </c:pt>
                <c:pt idx="205">
                  <c:v>0.63288482960590375</c:v>
                </c:pt>
                <c:pt idx="206">
                  <c:v>0.63303920791397728</c:v>
                </c:pt>
                <c:pt idx="207">
                  <c:v>0.63583356975303584</c:v>
                </c:pt>
                <c:pt idx="208">
                  <c:v>0.63399881964428195</c:v>
                </c:pt>
                <c:pt idx="209">
                  <c:v>0.6335275689940052</c:v>
                </c:pt>
                <c:pt idx="210">
                  <c:v>0.62598768315333597</c:v>
                </c:pt>
                <c:pt idx="211">
                  <c:v>0.63049208563246328</c:v>
                </c:pt>
                <c:pt idx="212">
                  <c:v>0.62200307444827996</c:v>
                </c:pt>
                <c:pt idx="213">
                  <c:v>0.6206440189036504</c:v>
                </c:pt>
                <c:pt idx="214">
                  <c:v>0.61017948924764898</c:v>
                </c:pt>
                <c:pt idx="215">
                  <c:v>0.60189710981157551</c:v>
                </c:pt>
                <c:pt idx="216">
                  <c:v>0.60084829782821425</c:v>
                </c:pt>
                <c:pt idx="217">
                  <c:v>0.60863766320230328</c:v>
                </c:pt>
                <c:pt idx="218">
                  <c:v>0.60322014672777569</c:v>
                </c:pt>
                <c:pt idx="219">
                  <c:v>0.59553556847441036</c:v>
                </c:pt>
                <c:pt idx="220">
                  <c:v>0.59589927984230706</c:v>
                </c:pt>
                <c:pt idx="221">
                  <c:v>0.61400185164181686</c:v>
                </c:pt>
                <c:pt idx="222">
                  <c:v>0.60981176320999209</c:v>
                </c:pt>
                <c:pt idx="223">
                  <c:v>0.61221428819179402</c:v>
                </c:pt>
                <c:pt idx="224">
                  <c:v>0.61413512188051722</c:v>
                </c:pt>
                <c:pt idx="225">
                  <c:v>0.61567116253215814</c:v>
                </c:pt>
                <c:pt idx="226">
                  <c:v>0.6179487044920452</c:v>
                </c:pt>
                <c:pt idx="227">
                  <c:v>0.61956687265639543</c:v>
                </c:pt>
                <c:pt idx="228">
                  <c:v>0.61688041142544225</c:v>
                </c:pt>
                <c:pt idx="229">
                  <c:v>0.61293780998721603</c:v>
                </c:pt>
                <c:pt idx="230">
                  <c:v>0.61121689323992545</c:v>
                </c:pt>
                <c:pt idx="231">
                  <c:v>0.61469579882560987</c:v>
                </c:pt>
                <c:pt idx="232">
                  <c:v>0.62129851825869675</c:v>
                </c:pt>
                <c:pt idx="233">
                  <c:v>0.61395486855968062</c:v>
                </c:pt>
                <c:pt idx="234">
                  <c:v>0.61273818455645979</c:v>
                </c:pt>
                <c:pt idx="235">
                  <c:v>0.61834504405242452</c:v>
                </c:pt>
                <c:pt idx="236">
                  <c:v>0.61751296178205117</c:v>
                </c:pt>
                <c:pt idx="237">
                  <c:v>0.62141700088408436</c:v>
                </c:pt>
                <c:pt idx="238">
                  <c:v>0.62484257442707514</c:v>
                </c:pt>
                <c:pt idx="239">
                  <c:v>0.61854139702423205</c:v>
                </c:pt>
                <c:pt idx="240">
                  <c:v>0.61514556121196295</c:v>
                </c:pt>
                <c:pt idx="241">
                  <c:v>0.61669169597764228</c:v>
                </c:pt>
                <c:pt idx="242">
                  <c:v>0.61018253392187027</c:v>
                </c:pt>
                <c:pt idx="243">
                  <c:v>0.6071852722619977</c:v>
                </c:pt>
                <c:pt idx="244">
                  <c:v>0.61173862522739519</c:v>
                </c:pt>
                <c:pt idx="245">
                  <c:v>0.62002070159292533</c:v>
                </c:pt>
                <c:pt idx="246">
                  <c:v>0.61608864011679609</c:v>
                </c:pt>
                <c:pt idx="247">
                  <c:v>0.60630805222970274</c:v>
                </c:pt>
                <c:pt idx="248">
                  <c:v>0.59950334809035599</c:v>
                </c:pt>
                <c:pt idx="249">
                  <c:v>0.57925320613632525</c:v>
                </c:pt>
                <c:pt idx="250">
                  <c:v>0.58886074546884848</c:v>
                </c:pt>
                <c:pt idx="251">
                  <c:v>0.5974974360594647</c:v>
                </c:pt>
                <c:pt idx="252">
                  <c:v>0.60556865766569756</c:v>
                </c:pt>
                <c:pt idx="253">
                  <c:v>0.5842814357015349</c:v>
                </c:pt>
                <c:pt idx="254">
                  <c:v>0.59991180628174967</c:v>
                </c:pt>
                <c:pt idx="255">
                  <c:v>0.60177427914386161</c:v>
                </c:pt>
                <c:pt idx="256">
                  <c:v>0.60365114127108033</c:v>
                </c:pt>
                <c:pt idx="257">
                  <c:v>0.60533093951512951</c:v>
                </c:pt>
                <c:pt idx="258">
                  <c:v>0.61188959740266435</c:v>
                </c:pt>
                <c:pt idx="259">
                  <c:v>0.60875011633411324</c:v>
                </c:pt>
                <c:pt idx="260">
                  <c:v>0.60503888181487253</c:v>
                </c:pt>
                <c:pt idx="261">
                  <c:v>0.61832824170770184</c:v>
                </c:pt>
                <c:pt idx="262">
                  <c:v>0.60557848412984527</c:v>
                </c:pt>
                <c:pt idx="263">
                  <c:v>0.61081156664134062</c:v>
                </c:pt>
                <c:pt idx="264">
                  <c:v>0.60324245898269735</c:v>
                </c:pt>
                <c:pt idx="265">
                  <c:v>0.60325785331930148</c:v>
                </c:pt>
                <c:pt idx="266">
                  <c:v>0.62377431926085325</c:v>
                </c:pt>
                <c:pt idx="267">
                  <c:v>0.6064289784181095</c:v>
                </c:pt>
                <c:pt idx="268">
                  <c:v>0.58766914018931526</c:v>
                </c:pt>
                <c:pt idx="269">
                  <c:v>0.59977191067154356</c:v>
                </c:pt>
                <c:pt idx="270">
                  <c:v>0.60817865283403127</c:v>
                </c:pt>
                <c:pt idx="271">
                  <c:v>0.59992790697067389</c:v>
                </c:pt>
                <c:pt idx="272">
                  <c:v>0.59225286685295386</c:v>
                </c:pt>
                <c:pt idx="273">
                  <c:v>0.58507641851246772</c:v>
                </c:pt>
                <c:pt idx="274">
                  <c:v>0.58577339844790122</c:v>
                </c:pt>
                <c:pt idx="275">
                  <c:v>0.58671973085229889</c:v>
                </c:pt>
                <c:pt idx="276">
                  <c:v>0.57915061604385309</c:v>
                </c:pt>
                <c:pt idx="277">
                  <c:v>0.56429828245136182</c:v>
                </c:pt>
                <c:pt idx="278">
                  <c:v>0.56818307718774186</c:v>
                </c:pt>
                <c:pt idx="279">
                  <c:v>0.58642552609328502</c:v>
                </c:pt>
                <c:pt idx="280">
                  <c:v>0.57230681354340296</c:v>
                </c:pt>
                <c:pt idx="281">
                  <c:v>0.5885745813563954</c:v>
                </c:pt>
                <c:pt idx="282">
                  <c:v>0.60223180035908319</c:v>
                </c:pt>
                <c:pt idx="283">
                  <c:v>0.60096710624156802</c:v>
                </c:pt>
                <c:pt idx="284">
                  <c:v>0.64779482808693023</c:v>
                </c:pt>
                <c:pt idx="285">
                  <c:v>0.58717138909160504</c:v>
                </c:pt>
                <c:pt idx="286">
                  <c:v>0.59543130696516866</c:v>
                </c:pt>
                <c:pt idx="287">
                  <c:v>0.56368882819333055</c:v>
                </c:pt>
                <c:pt idx="288">
                  <c:v>0.55089637975623984</c:v>
                </c:pt>
                <c:pt idx="289">
                  <c:v>0.54129769325081356</c:v>
                </c:pt>
                <c:pt idx="290">
                  <c:v>0.53530502459831331</c:v>
                </c:pt>
                <c:pt idx="291">
                  <c:v>0.52560461582043105</c:v>
                </c:pt>
                <c:pt idx="292">
                  <c:v>0.52524264989338021</c:v>
                </c:pt>
                <c:pt idx="293">
                  <c:v>0.52376769870931306</c:v>
                </c:pt>
                <c:pt idx="294">
                  <c:v>0.52859884583706751</c:v>
                </c:pt>
                <c:pt idx="295">
                  <c:v>0.51703654631006757</c:v>
                </c:pt>
                <c:pt idx="296">
                  <c:v>0.53068852154513102</c:v>
                </c:pt>
                <c:pt idx="297">
                  <c:v>0.51590514755228456</c:v>
                </c:pt>
                <c:pt idx="298">
                  <c:v>0.50091604486507435</c:v>
                </c:pt>
                <c:pt idx="299">
                  <c:v>0.49142943712795095</c:v>
                </c:pt>
                <c:pt idx="300">
                  <c:v>0.50688027815321857</c:v>
                </c:pt>
                <c:pt idx="301">
                  <c:v>0.50772497419310325</c:v>
                </c:pt>
                <c:pt idx="302">
                  <c:v>0.504454056487458</c:v>
                </c:pt>
                <c:pt idx="303">
                  <c:v>0.48620406750424089</c:v>
                </c:pt>
                <c:pt idx="304">
                  <c:v>0.48797057760492646</c:v>
                </c:pt>
                <c:pt idx="305">
                  <c:v>0.48336286405380302</c:v>
                </c:pt>
                <c:pt idx="306">
                  <c:v>0.46659487018002355</c:v>
                </c:pt>
                <c:pt idx="307">
                  <c:v>0.46926139338850553</c:v>
                </c:pt>
                <c:pt idx="308">
                  <c:v>0.46186029535132522</c:v>
                </c:pt>
                <c:pt idx="309">
                  <c:v>0.46682389944340069</c:v>
                </c:pt>
                <c:pt idx="310">
                  <c:v>0.47770883947232745</c:v>
                </c:pt>
                <c:pt idx="311">
                  <c:v>0.47869162368015089</c:v>
                </c:pt>
                <c:pt idx="312">
                  <c:v>0.4861191197448726</c:v>
                </c:pt>
                <c:pt idx="313">
                  <c:v>0.48541043394196703</c:v>
                </c:pt>
                <c:pt idx="314">
                  <c:v>0.49234652020537051</c:v>
                </c:pt>
                <c:pt idx="315">
                  <c:v>0.49233966393239875</c:v>
                </c:pt>
                <c:pt idx="316">
                  <c:v>0.50350435601694365</c:v>
                </c:pt>
                <c:pt idx="317">
                  <c:v>0.47933570985522089</c:v>
                </c:pt>
                <c:pt idx="318">
                  <c:v>0.47065804191630201</c:v>
                </c:pt>
                <c:pt idx="319">
                  <c:v>0.4737626188627414</c:v>
                </c:pt>
                <c:pt idx="320">
                  <c:v>0.48160257727639144</c:v>
                </c:pt>
                <c:pt idx="321">
                  <c:v>0.47346263949076833</c:v>
                </c:pt>
                <c:pt idx="322">
                  <c:v>0.47540849718005834</c:v>
                </c:pt>
                <c:pt idx="323">
                  <c:v>0.46885922158959498</c:v>
                </c:pt>
                <c:pt idx="324">
                  <c:v>0.47315390148955205</c:v>
                </c:pt>
                <c:pt idx="325">
                  <c:v>0.46405502251005221</c:v>
                </c:pt>
                <c:pt idx="326">
                  <c:v>0.45547146736571248</c:v>
                </c:pt>
                <c:pt idx="327">
                  <c:v>0.450306736456343</c:v>
                </c:pt>
                <c:pt idx="328">
                  <c:v>0.44739616900058216</c:v>
                </c:pt>
                <c:pt idx="329">
                  <c:v>0.44370215825147091</c:v>
                </c:pt>
                <c:pt idx="330">
                  <c:v>0.44942913246041533</c:v>
                </c:pt>
                <c:pt idx="331">
                  <c:v>0.44772187690614046</c:v>
                </c:pt>
                <c:pt idx="332">
                  <c:v>0.44796903744346228</c:v>
                </c:pt>
                <c:pt idx="333">
                  <c:v>0.43950865614346235</c:v>
                </c:pt>
                <c:pt idx="334">
                  <c:v>0.43591296670574525</c:v>
                </c:pt>
                <c:pt idx="335">
                  <c:v>0.44039756736835389</c:v>
                </c:pt>
                <c:pt idx="336">
                  <c:v>0.4392388731990256</c:v>
                </c:pt>
                <c:pt idx="337">
                  <c:v>0.45082007777716948</c:v>
                </c:pt>
                <c:pt idx="338">
                  <c:v>0.45047049736597189</c:v>
                </c:pt>
                <c:pt idx="339">
                  <c:v>0.45480335400315047</c:v>
                </c:pt>
                <c:pt idx="340">
                  <c:v>0.46029711781218763</c:v>
                </c:pt>
                <c:pt idx="341">
                  <c:v>0.41994107192560354</c:v>
                </c:pt>
                <c:pt idx="342">
                  <c:v>0.42740957839794852</c:v>
                </c:pt>
                <c:pt idx="343">
                  <c:v>0.41419533965965166</c:v>
                </c:pt>
                <c:pt idx="344">
                  <c:v>0.40807807467340762</c:v>
                </c:pt>
                <c:pt idx="345">
                  <c:v>0.40086722214232834</c:v>
                </c:pt>
                <c:pt idx="346">
                  <c:v>0.4090420317909304</c:v>
                </c:pt>
                <c:pt idx="347">
                  <c:v>0.40382565962824446</c:v>
                </c:pt>
                <c:pt idx="348">
                  <c:v>0.40362915100956193</c:v>
                </c:pt>
                <c:pt idx="349">
                  <c:v>0.37908174157204344</c:v>
                </c:pt>
                <c:pt idx="350">
                  <c:v>0.36832041442652985</c:v>
                </c:pt>
                <c:pt idx="351">
                  <c:v>0.36241969371013583</c:v>
                </c:pt>
                <c:pt idx="352">
                  <c:v>0.35753582883672502</c:v>
                </c:pt>
                <c:pt idx="353">
                  <c:v>0.33087720305180635</c:v>
                </c:pt>
                <c:pt idx="354">
                  <c:v>0.31380145417580951</c:v>
                </c:pt>
                <c:pt idx="355">
                  <c:v>0.31346637621056594</c:v>
                </c:pt>
                <c:pt idx="356">
                  <c:v>0.32072180928240096</c:v>
                </c:pt>
                <c:pt idx="357">
                  <c:v>0.3071653803340938</c:v>
                </c:pt>
                <c:pt idx="358">
                  <c:v>0.31008652787102664</c:v>
                </c:pt>
                <c:pt idx="359">
                  <c:v>0.30232898983232404</c:v>
                </c:pt>
                <c:pt idx="360">
                  <c:v>0.29417888277912813</c:v>
                </c:pt>
                <c:pt idx="361">
                  <c:v>0.29062466081832816</c:v>
                </c:pt>
                <c:pt idx="362">
                  <c:v>0.29845807109748285</c:v>
                </c:pt>
                <c:pt idx="363">
                  <c:v>0.29026156403038184</c:v>
                </c:pt>
                <c:pt idx="364">
                  <c:v>0.2951154246252457</c:v>
                </c:pt>
                <c:pt idx="365">
                  <c:v>0.29137076861594619</c:v>
                </c:pt>
                <c:pt idx="366">
                  <c:v>0.29690183187064878</c:v>
                </c:pt>
                <c:pt idx="367">
                  <c:v>0.29690714671047647</c:v>
                </c:pt>
                <c:pt idx="368">
                  <c:v>0.30476233427333366</c:v>
                </c:pt>
                <c:pt idx="369">
                  <c:v>0.30716130544843029</c:v>
                </c:pt>
                <c:pt idx="370">
                  <c:v>0.30454267167356547</c:v>
                </c:pt>
                <c:pt idx="371">
                  <c:v>0.29697624535299444</c:v>
                </c:pt>
                <c:pt idx="372">
                  <c:v>0.31535120025824231</c:v>
                </c:pt>
                <c:pt idx="373">
                  <c:v>0.30406196781908984</c:v>
                </c:pt>
                <c:pt idx="374">
                  <c:v>0.32810568073754792</c:v>
                </c:pt>
                <c:pt idx="375">
                  <c:v>0.30904623009742727</c:v>
                </c:pt>
                <c:pt idx="376">
                  <c:v>0.30450351557055227</c:v>
                </c:pt>
                <c:pt idx="377">
                  <c:v>0.30642322974757752</c:v>
                </c:pt>
                <c:pt idx="378">
                  <c:v>0.30642322974757752</c:v>
                </c:pt>
                <c:pt idx="379">
                  <c:v>0.30532855875933912</c:v>
                </c:pt>
                <c:pt idx="380">
                  <c:v>0.2951974310725391</c:v>
                </c:pt>
                <c:pt idx="381">
                  <c:v>0.30988138406979016</c:v>
                </c:pt>
                <c:pt idx="382">
                  <c:v>0.30495876204506722</c:v>
                </c:pt>
                <c:pt idx="383">
                  <c:v>0.27943233673966389</c:v>
                </c:pt>
                <c:pt idx="384">
                  <c:v>0.26270376349664704</c:v>
                </c:pt>
                <c:pt idx="385">
                  <c:v>0.26738198814503417</c:v>
                </c:pt>
                <c:pt idx="386">
                  <c:v>0.26537834761198148</c:v>
                </c:pt>
                <c:pt idx="387">
                  <c:v>0.24992112363800958</c:v>
                </c:pt>
                <c:pt idx="388">
                  <c:v>0.24044567903423678</c:v>
                </c:pt>
                <c:pt idx="389">
                  <c:v>0.23724020564004855</c:v>
                </c:pt>
                <c:pt idx="390">
                  <c:v>0.22255148229589933</c:v>
                </c:pt>
                <c:pt idx="391">
                  <c:v>0.22284246115712494</c:v>
                </c:pt>
                <c:pt idx="392">
                  <c:v>0.22372240123018516</c:v>
                </c:pt>
                <c:pt idx="393">
                  <c:v>0.22462086043888749</c:v>
                </c:pt>
                <c:pt idx="394">
                  <c:v>0.22629542627538676</c:v>
                </c:pt>
                <c:pt idx="395">
                  <c:v>0.22775079733381531</c:v>
                </c:pt>
                <c:pt idx="396">
                  <c:v>0.22784705213491421</c:v>
                </c:pt>
                <c:pt idx="397">
                  <c:v>0.22654789465023337</c:v>
                </c:pt>
                <c:pt idx="398">
                  <c:v>0.22640585922792564</c:v>
                </c:pt>
                <c:pt idx="399">
                  <c:v>0.2266859363810538</c:v>
                </c:pt>
                <c:pt idx="400">
                  <c:v>0.21614797436816216</c:v>
                </c:pt>
                <c:pt idx="401">
                  <c:v>0.22228533674768272</c:v>
                </c:pt>
                <c:pt idx="402">
                  <c:v>0.22045162792030079</c:v>
                </c:pt>
                <c:pt idx="403">
                  <c:v>0.22510648774822403</c:v>
                </c:pt>
                <c:pt idx="404">
                  <c:v>0.2272896296275797</c:v>
                </c:pt>
                <c:pt idx="405">
                  <c:v>0.22977358677622831</c:v>
                </c:pt>
                <c:pt idx="406">
                  <c:v>0.22874166493582998</c:v>
                </c:pt>
                <c:pt idx="407">
                  <c:v>0.23388431554822059</c:v>
                </c:pt>
                <c:pt idx="408">
                  <c:v>0.22722546682328473</c:v>
                </c:pt>
                <c:pt idx="409">
                  <c:v>0.2275870093019482</c:v>
                </c:pt>
                <c:pt idx="410">
                  <c:v>0.22679291310600849</c:v>
                </c:pt>
                <c:pt idx="411">
                  <c:v>0.22499477963551329</c:v>
                </c:pt>
                <c:pt idx="412">
                  <c:v>0.22328057705113039</c:v>
                </c:pt>
                <c:pt idx="413">
                  <c:v>0.22342659989631378</c:v>
                </c:pt>
                <c:pt idx="414">
                  <c:v>0.22534552492481111</c:v>
                </c:pt>
                <c:pt idx="415">
                  <c:v>0.21993240280677787</c:v>
                </c:pt>
                <c:pt idx="416">
                  <c:v>0.22277030281367016</c:v>
                </c:pt>
                <c:pt idx="417">
                  <c:v>0.22410212123860523</c:v>
                </c:pt>
                <c:pt idx="418">
                  <c:v>0.22345998587182891</c:v>
                </c:pt>
                <c:pt idx="419">
                  <c:v>0.22002246980311199</c:v>
                </c:pt>
                <c:pt idx="420">
                  <c:v>0.22661358307186269</c:v>
                </c:pt>
                <c:pt idx="421">
                  <c:v>0.2220315066116692</c:v>
                </c:pt>
                <c:pt idx="422">
                  <c:v>0.21949105567954086</c:v>
                </c:pt>
                <c:pt idx="423">
                  <c:v>0.22804560100307533</c:v>
                </c:pt>
                <c:pt idx="424">
                  <c:v>0.21987797274506704</c:v>
                </c:pt>
                <c:pt idx="425">
                  <c:v>0.21623694085341219</c:v>
                </c:pt>
                <c:pt idx="426">
                  <c:v>0.21361566276879526</c:v>
                </c:pt>
                <c:pt idx="427">
                  <c:v>0.2110824810591049</c:v>
                </c:pt>
                <c:pt idx="428">
                  <c:v>0.22364586773507994</c:v>
                </c:pt>
                <c:pt idx="429">
                  <c:v>0.23255380559245184</c:v>
                </c:pt>
                <c:pt idx="430">
                  <c:v>0.21869826593165953</c:v>
                </c:pt>
                <c:pt idx="431">
                  <c:v>0.20486264295953072</c:v>
                </c:pt>
                <c:pt idx="432">
                  <c:v>0.20863124191722998</c:v>
                </c:pt>
                <c:pt idx="433">
                  <c:v>0.19362991716364422</c:v>
                </c:pt>
                <c:pt idx="434">
                  <c:v>0.19387127896367062</c:v>
                </c:pt>
                <c:pt idx="435">
                  <c:v>0.19101669034025379</c:v>
                </c:pt>
                <c:pt idx="436">
                  <c:v>0.19174938606659844</c:v>
                </c:pt>
                <c:pt idx="437">
                  <c:v>0.19196512007388564</c:v>
                </c:pt>
                <c:pt idx="438">
                  <c:v>0.18964310689995512</c:v>
                </c:pt>
                <c:pt idx="439">
                  <c:v>0.19126464790098605</c:v>
                </c:pt>
                <c:pt idx="440">
                  <c:v>0.19243975980237932</c:v>
                </c:pt>
                <c:pt idx="441">
                  <c:v>0.18956027020640914</c:v>
                </c:pt>
                <c:pt idx="442">
                  <c:v>0.190881484720068</c:v>
                </c:pt>
                <c:pt idx="443">
                  <c:v>0.19474724870875484</c:v>
                </c:pt>
                <c:pt idx="444">
                  <c:v>0.19356989843789893</c:v>
                </c:pt>
                <c:pt idx="445">
                  <c:v>0.19104136272217725</c:v>
                </c:pt>
                <c:pt idx="446">
                  <c:v>0.18805627029265345</c:v>
                </c:pt>
                <c:pt idx="447">
                  <c:v>0.19948861845498381</c:v>
                </c:pt>
                <c:pt idx="448">
                  <c:v>0.19279570103817298</c:v>
                </c:pt>
                <c:pt idx="449">
                  <c:v>0.18972515775932966</c:v>
                </c:pt>
                <c:pt idx="450">
                  <c:v>0.19009859100313611</c:v>
                </c:pt>
                <c:pt idx="451">
                  <c:v>0.19134983219026339</c:v>
                </c:pt>
                <c:pt idx="452">
                  <c:v>0.194252147138399</c:v>
                </c:pt>
                <c:pt idx="453">
                  <c:v>0.19259298044549064</c:v>
                </c:pt>
                <c:pt idx="454">
                  <c:v>0.19494543745964402</c:v>
                </c:pt>
                <c:pt idx="455">
                  <c:v>0.19448215666080187</c:v>
                </c:pt>
                <c:pt idx="456">
                  <c:v>0.19650827760206727</c:v>
                </c:pt>
                <c:pt idx="457">
                  <c:v>0.20109351335942943</c:v>
                </c:pt>
                <c:pt idx="458">
                  <c:v>0.2026879898166212</c:v>
                </c:pt>
                <c:pt idx="459">
                  <c:v>0.20426741405365245</c:v>
                </c:pt>
                <c:pt idx="460">
                  <c:v>0.20541075514985296</c:v>
                </c:pt>
                <c:pt idx="461">
                  <c:v>0.20445327661854865</c:v>
                </c:pt>
                <c:pt idx="462">
                  <c:v>0.20541121473592452</c:v>
                </c:pt>
                <c:pt idx="463">
                  <c:v>0.20612499731811806</c:v>
                </c:pt>
                <c:pt idx="464">
                  <c:v>0.20191046733149304</c:v>
                </c:pt>
                <c:pt idx="465">
                  <c:v>0.20867927231150168</c:v>
                </c:pt>
                <c:pt idx="466">
                  <c:v>0.20283829267422898</c:v>
                </c:pt>
                <c:pt idx="467">
                  <c:v>0.20513480603435424</c:v>
                </c:pt>
                <c:pt idx="468">
                  <c:v>0.20345386214311439</c:v>
                </c:pt>
                <c:pt idx="469">
                  <c:v>0.20328789169685046</c:v>
                </c:pt>
                <c:pt idx="470">
                  <c:v>0.20035632651918253</c:v>
                </c:pt>
                <c:pt idx="471">
                  <c:v>0.20499155931967333</c:v>
                </c:pt>
                <c:pt idx="472">
                  <c:v>0.20602078647185848</c:v>
                </c:pt>
                <c:pt idx="473">
                  <c:v>0.20570888938206255</c:v>
                </c:pt>
                <c:pt idx="474">
                  <c:v>0.20424505608164836</c:v>
                </c:pt>
                <c:pt idx="475">
                  <c:v>0.20854115407794466</c:v>
                </c:pt>
                <c:pt idx="476">
                  <c:v>0.20609709511050162</c:v>
                </c:pt>
                <c:pt idx="477">
                  <c:v>0.20217531899316266</c:v>
                </c:pt>
                <c:pt idx="478">
                  <c:v>0.19859154775431023</c:v>
                </c:pt>
                <c:pt idx="479">
                  <c:v>0.20617299186770272</c:v>
                </c:pt>
                <c:pt idx="480">
                  <c:v>0.20956174378117182</c:v>
                </c:pt>
                <c:pt idx="481">
                  <c:v>0.20627567432273994</c:v>
                </c:pt>
                <c:pt idx="482">
                  <c:v>0.20874093464946844</c:v>
                </c:pt>
                <c:pt idx="483">
                  <c:v>0.20935046900801763</c:v>
                </c:pt>
                <c:pt idx="484">
                  <c:v>0.2138151700149272</c:v>
                </c:pt>
                <c:pt idx="485">
                  <c:v>0.21952375056527343</c:v>
                </c:pt>
                <c:pt idx="486">
                  <c:v>0.21929085687169053</c:v>
                </c:pt>
                <c:pt idx="487">
                  <c:v>0.22815436304224923</c:v>
                </c:pt>
                <c:pt idx="488">
                  <c:v>0.22932619347907293</c:v>
                </c:pt>
                <c:pt idx="489">
                  <c:v>0.23501897814477207</c:v>
                </c:pt>
                <c:pt idx="490">
                  <c:v>0.25114557624296419</c:v>
                </c:pt>
                <c:pt idx="491">
                  <c:v>0.23870523370695593</c:v>
                </c:pt>
                <c:pt idx="492">
                  <c:v>0.24811685886693313</c:v>
                </c:pt>
                <c:pt idx="493">
                  <c:v>0.23978343948767353</c:v>
                </c:pt>
                <c:pt idx="494">
                  <c:v>0.25944920055611442</c:v>
                </c:pt>
                <c:pt idx="495">
                  <c:v>0.26446591029383559</c:v>
                </c:pt>
                <c:pt idx="496">
                  <c:v>0.26416283274002417</c:v>
                </c:pt>
                <c:pt idx="497">
                  <c:v>0.25379807604863958</c:v>
                </c:pt>
                <c:pt idx="498">
                  <c:v>0.24151717699089079</c:v>
                </c:pt>
                <c:pt idx="499">
                  <c:v>0.23840176061756024</c:v>
                </c:pt>
                <c:pt idx="500">
                  <c:v>0.24716786885537889</c:v>
                </c:pt>
                <c:pt idx="501">
                  <c:v>0.23977719792078128</c:v>
                </c:pt>
                <c:pt idx="502">
                  <c:v>0.24209718446856934</c:v>
                </c:pt>
                <c:pt idx="503">
                  <c:v>0.2324666967219875</c:v>
                </c:pt>
                <c:pt idx="504">
                  <c:v>0.22141567159134531</c:v>
                </c:pt>
                <c:pt idx="505">
                  <c:v>0.21719883731119302</c:v>
                </c:pt>
                <c:pt idx="506">
                  <c:v>0.21718179986976868</c:v>
                </c:pt>
                <c:pt idx="507">
                  <c:v>0.22092738563328224</c:v>
                </c:pt>
                <c:pt idx="508">
                  <c:v>0.21052398131600983</c:v>
                </c:pt>
                <c:pt idx="509">
                  <c:v>0.20892201469513061</c:v>
                </c:pt>
                <c:pt idx="510">
                  <c:v>0.21681344471041997</c:v>
                </c:pt>
                <c:pt idx="511">
                  <c:v>0.2128458076440688</c:v>
                </c:pt>
                <c:pt idx="512">
                  <c:v>0.22068453996644075</c:v>
                </c:pt>
                <c:pt idx="513">
                  <c:v>0.22258150611772906</c:v>
                </c:pt>
                <c:pt idx="514">
                  <c:v>0.22042420728934292</c:v>
                </c:pt>
                <c:pt idx="515">
                  <c:v>0.22825967021042456</c:v>
                </c:pt>
                <c:pt idx="516">
                  <c:v>0.24399368823614054</c:v>
                </c:pt>
                <c:pt idx="517">
                  <c:v>0.23072273853426398</c:v>
                </c:pt>
                <c:pt idx="518">
                  <c:v>0.22566320347933763</c:v>
                </c:pt>
                <c:pt idx="519">
                  <c:v>0.22131467496494434</c:v>
                </c:pt>
                <c:pt idx="520">
                  <c:v>0.22325739668969913</c:v>
                </c:pt>
                <c:pt idx="521">
                  <c:v>0.22507729783327829</c:v>
                </c:pt>
                <c:pt idx="522">
                  <c:v>0.23157797137151692</c:v>
                </c:pt>
                <c:pt idx="523">
                  <c:v>0.23835798250475884</c:v>
                </c:pt>
                <c:pt idx="524">
                  <c:v>0.22147448793917027</c:v>
                </c:pt>
                <c:pt idx="525">
                  <c:v>0.24539785308051296</c:v>
                </c:pt>
                <c:pt idx="526">
                  <c:v>0.23715412482998077</c:v>
                </c:pt>
                <c:pt idx="527">
                  <c:v>0.24251502808412936</c:v>
                </c:pt>
                <c:pt idx="528">
                  <c:v>0.25084181255481813</c:v>
                </c:pt>
                <c:pt idx="529">
                  <c:v>0.24381511046440146</c:v>
                </c:pt>
                <c:pt idx="530">
                  <c:v>0.23995574806835207</c:v>
                </c:pt>
                <c:pt idx="531">
                  <c:v>0.24042553479460993</c:v>
                </c:pt>
                <c:pt idx="532">
                  <c:v>0.24336245918831428</c:v>
                </c:pt>
                <c:pt idx="533">
                  <c:v>0.23890802533895816</c:v>
                </c:pt>
                <c:pt idx="534">
                  <c:v>0.23405194569869078</c:v>
                </c:pt>
                <c:pt idx="535">
                  <c:v>0.23757376119750134</c:v>
                </c:pt>
                <c:pt idx="536">
                  <c:v>0.23249810793439271</c:v>
                </c:pt>
                <c:pt idx="537">
                  <c:v>0.23340778935853063</c:v>
                </c:pt>
                <c:pt idx="538">
                  <c:v>0.2304746134545517</c:v>
                </c:pt>
                <c:pt idx="539">
                  <c:v>0.23297991510671168</c:v>
                </c:pt>
                <c:pt idx="540">
                  <c:v>0.23442980623240456</c:v>
                </c:pt>
                <c:pt idx="541">
                  <c:v>0.22998918626597722</c:v>
                </c:pt>
                <c:pt idx="542">
                  <c:v>0.22959924219793598</c:v>
                </c:pt>
                <c:pt idx="543">
                  <c:v>0.22942054014453681</c:v>
                </c:pt>
                <c:pt idx="544">
                  <c:v>0.23217448022327974</c:v>
                </c:pt>
                <c:pt idx="545">
                  <c:v>0.21661033412824768</c:v>
                </c:pt>
                <c:pt idx="546">
                  <c:v>0.21555327502289337</c:v>
                </c:pt>
                <c:pt idx="547">
                  <c:v>0.21347077671690257</c:v>
                </c:pt>
                <c:pt idx="548">
                  <c:v>0.21990451566312616</c:v>
                </c:pt>
                <c:pt idx="549">
                  <c:v>0.21823243910438117</c:v>
                </c:pt>
                <c:pt idx="550">
                  <c:v>0.21061868650352661</c:v>
                </c:pt>
                <c:pt idx="551">
                  <c:v>0.21196008866837812</c:v>
                </c:pt>
                <c:pt idx="552">
                  <c:v>0.20691429078837809</c:v>
                </c:pt>
                <c:pt idx="553">
                  <c:v>0.20981546785642352</c:v>
                </c:pt>
                <c:pt idx="554">
                  <c:v>0.21215358779768004</c:v>
                </c:pt>
                <c:pt idx="555">
                  <c:v>0.20814497611661412</c:v>
                </c:pt>
                <c:pt idx="556">
                  <c:v>0.20323168221382626</c:v>
                </c:pt>
                <c:pt idx="557">
                  <c:v>0.2049747169235186</c:v>
                </c:pt>
                <c:pt idx="558">
                  <c:v>0.20286522454156458</c:v>
                </c:pt>
                <c:pt idx="559">
                  <c:v>0.20370281915324603</c:v>
                </c:pt>
                <c:pt idx="560">
                  <c:v>0.20465873431532147</c:v>
                </c:pt>
                <c:pt idx="561">
                  <c:v>0.20440471863448006</c:v>
                </c:pt>
                <c:pt idx="562">
                  <c:v>0.20745936974202928</c:v>
                </c:pt>
                <c:pt idx="563">
                  <c:v>0.20494716390492784</c:v>
                </c:pt>
                <c:pt idx="564">
                  <c:v>0.20666106246423457</c:v>
                </c:pt>
                <c:pt idx="565">
                  <c:v>0.2046796527488195</c:v>
                </c:pt>
                <c:pt idx="566">
                  <c:v>0.20249182704994315</c:v>
                </c:pt>
                <c:pt idx="567">
                  <c:v>0.20360160302256114</c:v>
                </c:pt>
                <c:pt idx="568">
                  <c:v>0.20505216129256115</c:v>
                </c:pt>
                <c:pt idx="569">
                  <c:v>0.19957060802874038</c:v>
                </c:pt>
                <c:pt idx="570">
                  <c:v>0.19700132547441276</c:v>
                </c:pt>
                <c:pt idx="571">
                  <c:v>0.191379979964764</c:v>
                </c:pt>
                <c:pt idx="572">
                  <c:v>0.18857310242294578</c:v>
                </c:pt>
                <c:pt idx="573">
                  <c:v>0.18678327842426051</c:v>
                </c:pt>
                <c:pt idx="574">
                  <c:v>0.18820968602378266</c:v>
                </c:pt>
                <c:pt idx="575">
                  <c:v>0.18891892662111393</c:v>
                </c:pt>
                <c:pt idx="576">
                  <c:v>0.18804384834068899</c:v>
                </c:pt>
                <c:pt idx="577">
                  <c:v>0.18919709497211756</c:v>
                </c:pt>
                <c:pt idx="578">
                  <c:v>0.18752419991589062</c:v>
                </c:pt>
                <c:pt idx="579">
                  <c:v>0.18620261122971277</c:v>
                </c:pt>
                <c:pt idx="580">
                  <c:v>0.18696042625986262</c:v>
                </c:pt>
                <c:pt idx="581">
                  <c:v>0.18673239461714419</c:v>
                </c:pt>
                <c:pt idx="582">
                  <c:v>0.18520297529406726</c:v>
                </c:pt>
                <c:pt idx="583">
                  <c:v>0.18864139792394066</c:v>
                </c:pt>
                <c:pt idx="584">
                  <c:v>0.18892714428797577</c:v>
                </c:pt>
                <c:pt idx="585">
                  <c:v>0.18524104163843327</c:v>
                </c:pt>
                <c:pt idx="586">
                  <c:v>0.18690733824825145</c:v>
                </c:pt>
                <c:pt idx="587">
                  <c:v>0.18590116126873929</c:v>
                </c:pt>
                <c:pt idx="588">
                  <c:v>0.18632556561058883</c:v>
                </c:pt>
                <c:pt idx="589">
                  <c:v>0.18659841949362141</c:v>
                </c:pt>
                <c:pt idx="590">
                  <c:v>0.18654250436791178</c:v>
                </c:pt>
                <c:pt idx="591">
                  <c:v>0.18562173018135439</c:v>
                </c:pt>
                <c:pt idx="592">
                  <c:v>0.18164753570186359</c:v>
                </c:pt>
                <c:pt idx="593">
                  <c:v>0.18295325363708911</c:v>
                </c:pt>
                <c:pt idx="594">
                  <c:v>0.18056896977708914</c:v>
                </c:pt>
                <c:pt idx="595">
                  <c:v>0.17991257736361949</c:v>
                </c:pt>
                <c:pt idx="596">
                  <c:v>0.18605070179301528</c:v>
                </c:pt>
                <c:pt idx="597">
                  <c:v>0.18738254665641146</c:v>
                </c:pt>
                <c:pt idx="598">
                  <c:v>0.18488492720424457</c:v>
                </c:pt>
                <c:pt idx="599">
                  <c:v>0.18494230557374303</c:v>
                </c:pt>
                <c:pt idx="600">
                  <c:v>0.18335449840941714</c:v>
                </c:pt>
                <c:pt idx="601">
                  <c:v>0.18170292853668987</c:v>
                </c:pt>
                <c:pt idx="602">
                  <c:v>0.18462024791563725</c:v>
                </c:pt>
                <c:pt idx="603">
                  <c:v>0.1835602507227917</c:v>
                </c:pt>
                <c:pt idx="604">
                  <c:v>0.17855980496050466</c:v>
                </c:pt>
                <c:pt idx="605">
                  <c:v>0.18047911558906507</c:v>
                </c:pt>
                <c:pt idx="606">
                  <c:v>0.16719238939014966</c:v>
                </c:pt>
                <c:pt idx="607">
                  <c:v>0.17182700604215556</c:v>
                </c:pt>
                <c:pt idx="608">
                  <c:v>0.16573320464987837</c:v>
                </c:pt>
                <c:pt idx="609">
                  <c:v>0.16616486367439451</c:v>
                </c:pt>
                <c:pt idx="610">
                  <c:v>0.16168859433599525</c:v>
                </c:pt>
                <c:pt idx="611">
                  <c:v>0.16249972293285386</c:v>
                </c:pt>
                <c:pt idx="612">
                  <c:v>0.16114992975762896</c:v>
                </c:pt>
                <c:pt idx="613">
                  <c:v>0.15820462001879287</c:v>
                </c:pt>
                <c:pt idx="614">
                  <c:v>0.16303444762306649</c:v>
                </c:pt>
                <c:pt idx="615">
                  <c:v>0.1652925888152437</c:v>
                </c:pt>
                <c:pt idx="616">
                  <c:v>0.15960610227007729</c:v>
                </c:pt>
                <c:pt idx="617">
                  <c:v>0.16103515082277189</c:v>
                </c:pt>
                <c:pt idx="618">
                  <c:v>0.16162989525368099</c:v>
                </c:pt>
                <c:pt idx="619">
                  <c:v>0.15797955520337564</c:v>
                </c:pt>
                <c:pt idx="620">
                  <c:v>0.16060389499335009</c:v>
                </c:pt>
                <c:pt idx="621">
                  <c:v>0.1614692673104316</c:v>
                </c:pt>
                <c:pt idx="622">
                  <c:v>0.16180695808197526</c:v>
                </c:pt>
                <c:pt idx="623">
                  <c:v>0.16170336684179906</c:v>
                </c:pt>
                <c:pt idx="624">
                  <c:v>0.16265914711633891</c:v>
                </c:pt>
                <c:pt idx="625">
                  <c:v>0.16036455842343667</c:v>
                </c:pt>
                <c:pt idx="626">
                  <c:v>0.15825052121198099</c:v>
                </c:pt>
                <c:pt idx="627">
                  <c:v>0.16038081277652264</c:v>
                </c:pt>
                <c:pt idx="628">
                  <c:v>0.17068514746344846</c:v>
                </c:pt>
                <c:pt idx="629">
                  <c:v>0.17690253777205064</c:v>
                </c:pt>
                <c:pt idx="630">
                  <c:v>0.16986450630100317</c:v>
                </c:pt>
                <c:pt idx="631">
                  <c:v>0.16161705217470923</c:v>
                </c:pt>
                <c:pt idx="632">
                  <c:v>0.16394859441073334</c:v>
                </c:pt>
                <c:pt idx="633">
                  <c:v>0.16239229431802746</c:v>
                </c:pt>
                <c:pt idx="634">
                  <c:v>0.16012571961287478</c:v>
                </c:pt>
                <c:pt idx="635">
                  <c:v>0.15922882352827672</c:v>
                </c:pt>
                <c:pt idx="636">
                  <c:v>0.15693575387827674</c:v>
                </c:pt>
                <c:pt idx="637">
                  <c:v>0.15938335207742235</c:v>
                </c:pt>
                <c:pt idx="638">
                  <c:v>0.16355006690273488</c:v>
                </c:pt>
                <c:pt idx="639">
                  <c:v>0.15775264409301717</c:v>
                </c:pt>
                <c:pt idx="640">
                  <c:v>0.15718225612422404</c:v>
                </c:pt>
                <c:pt idx="641">
                  <c:v>0.15696012951819768</c:v>
                </c:pt>
                <c:pt idx="642">
                  <c:v>0.15332093651819767</c:v>
                </c:pt>
                <c:pt idx="643">
                  <c:v>0.14994334960446015</c:v>
                </c:pt>
                <c:pt idx="644">
                  <c:v>0.14972266824267669</c:v>
                </c:pt>
                <c:pt idx="645">
                  <c:v>0.14661193088592345</c:v>
                </c:pt>
                <c:pt idx="646">
                  <c:v>0.14430605469783039</c:v>
                </c:pt>
                <c:pt idx="647">
                  <c:v>0.14469189396063417</c:v>
                </c:pt>
                <c:pt idx="648">
                  <c:v>0.14909550394453977</c:v>
                </c:pt>
                <c:pt idx="649">
                  <c:v>0.15038533085080061</c:v>
                </c:pt>
                <c:pt idx="650">
                  <c:v>0.14753374687605941</c:v>
                </c:pt>
                <c:pt idx="651">
                  <c:v>0.14936083123707639</c:v>
                </c:pt>
                <c:pt idx="652">
                  <c:v>0.14323949645625891</c:v>
                </c:pt>
                <c:pt idx="653">
                  <c:v>0.14599667487852167</c:v>
                </c:pt>
                <c:pt idx="654">
                  <c:v>0.14666433072139368</c:v>
                </c:pt>
                <c:pt idx="655">
                  <c:v>0.14466157281743885</c:v>
                </c:pt>
                <c:pt idx="656">
                  <c:v>0.14596607592925867</c:v>
                </c:pt>
                <c:pt idx="657">
                  <c:v>0.14641447340830149</c:v>
                </c:pt>
                <c:pt idx="658">
                  <c:v>0.15006336997310149</c:v>
                </c:pt>
                <c:pt idx="659">
                  <c:v>0.14887753547129087</c:v>
                </c:pt>
                <c:pt idx="660">
                  <c:v>0.14500286552667344</c:v>
                </c:pt>
                <c:pt idx="661">
                  <c:v>0.1472549456114598</c:v>
                </c:pt>
                <c:pt idx="662">
                  <c:v>0.14043553884116181</c:v>
                </c:pt>
                <c:pt idx="663">
                  <c:v>0.14119805431900881</c:v>
                </c:pt>
                <c:pt idx="664">
                  <c:v>0.13916773703976351</c:v>
                </c:pt>
                <c:pt idx="665">
                  <c:v>0.13978615871210398</c:v>
                </c:pt>
                <c:pt idx="666">
                  <c:v>0.1423061264895954</c:v>
                </c:pt>
                <c:pt idx="667">
                  <c:v>0.13720968350918533</c:v>
                </c:pt>
                <c:pt idx="668">
                  <c:v>0.13629859485780921</c:v>
                </c:pt>
                <c:pt idx="669">
                  <c:v>0.1348323335743272</c:v>
                </c:pt>
                <c:pt idx="670">
                  <c:v>0.13820250043303395</c:v>
                </c:pt>
                <c:pt idx="671">
                  <c:v>0.13421896297651942</c:v>
                </c:pt>
                <c:pt idx="672">
                  <c:v>0.13707657174746279</c:v>
                </c:pt>
                <c:pt idx="673">
                  <c:v>0.13402447412049309</c:v>
                </c:pt>
                <c:pt idx="674">
                  <c:v>0.13190568527222507</c:v>
                </c:pt>
                <c:pt idx="675">
                  <c:v>0.12622238823301973</c:v>
                </c:pt>
                <c:pt idx="676">
                  <c:v>0.11698975889636468</c:v>
                </c:pt>
                <c:pt idx="677">
                  <c:v>0.12276072678600164</c:v>
                </c:pt>
                <c:pt idx="678">
                  <c:v>0.12003830854721062</c:v>
                </c:pt>
                <c:pt idx="679">
                  <c:v>0.12447142175134672</c:v>
                </c:pt>
                <c:pt idx="680">
                  <c:v>0.11918517983351382</c:v>
                </c:pt>
                <c:pt idx="681">
                  <c:v>0.11328807886659839</c:v>
                </c:pt>
                <c:pt idx="682">
                  <c:v>0.11286075511204979</c:v>
                </c:pt>
                <c:pt idx="683">
                  <c:v>0.11396058201311955</c:v>
                </c:pt>
                <c:pt idx="684">
                  <c:v>0.1150766750017146</c:v>
                </c:pt>
                <c:pt idx="685">
                  <c:v>0.1190653894788667</c:v>
                </c:pt>
                <c:pt idx="686">
                  <c:v>0.10238905556949798</c:v>
                </c:pt>
                <c:pt idx="687">
                  <c:v>0.12787728970662432</c:v>
                </c:pt>
                <c:pt idx="688">
                  <c:v>0.12720134219942564</c:v>
                </c:pt>
                <c:pt idx="689">
                  <c:v>0.1275860581515309</c:v>
                </c:pt>
                <c:pt idx="690">
                  <c:v>0.12680611137046396</c:v>
                </c:pt>
                <c:pt idx="691">
                  <c:v>0.13345103142179887</c:v>
                </c:pt>
                <c:pt idx="692">
                  <c:v>0.13777959433252027</c:v>
                </c:pt>
                <c:pt idx="693">
                  <c:v>0.13416071412116654</c:v>
                </c:pt>
                <c:pt idx="694">
                  <c:v>0.13412045233514758</c:v>
                </c:pt>
                <c:pt idx="695">
                  <c:v>0.13433799093001483</c:v>
                </c:pt>
                <c:pt idx="696">
                  <c:v>0.13681586786455052</c:v>
                </c:pt>
                <c:pt idx="697">
                  <c:v>0.13208588086050382</c:v>
                </c:pt>
                <c:pt idx="698">
                  <c:v>0.13495151034212147</c:v>
                </c:pt>
                <c:pt idx="699">
                  <c:v>0.13682077671921825</c:v>
                </c:pt>
                <c:pt idx="700">
                  <c:v>0.13438046750317176</c:v>
                </c:pt>
                <c:pt idx="701">
                  <c:v>0.12847291962323298</c:v>
                </c:pt>
                <c:pt idx="702">
                  <c:v>0.13950112698820763</c:v>
                </c:pt>
                <c:pt idx="703">
                  <c:v>0.14544377607905973</c:v>
                </c:pt>
                <c:pt idx="704">
                  <c:v>0.14901100879751913</c:v>
                </c:pt>
                <c:pt idx="705">
                  <c:v>0.14649642841236288</c:v>
                </c:pt>
                <c:pt idx="706">
                  <c:v>0.14742961463756149</c:v>
                </c:pt>
                <c:pt idx="707">
                  <c:v>0.14743826157842552</c:v>
                </c:pt>
                <c:pt idx="708">
                  <c:v>0.14538520016511891</c:v>
                </c:pt>
                <c:pt idx="709">
                  <c:v>0.15033721144453066</c:v>
                </c:pt>
                <c:pt idx="710">
                  <c:v>0.14140006840224822</c:v>
                </c:pt>
                <c:pt idx="711">
                  <c:v>0.12932804099309358</c:v>
                </c:pt>
                <c:pt idx="712">
                  <c:v>0.12954506252556616</c:v>
                </c:pt>
                <c:pt idx="713">
                  <c:v>0.1351641816661775</c:v>
                </c:pt>
                <c:pt idx="714">
                  <c:v>0.12708713897224724</c:v>
                </c:pt>
                <c:pt idx="715">
                  <c:v>0.12740946550648394</c:v>
                </c:pt>
                <c:pt idx="716">
                  <c:v>0.1236781051189194</c:v>
                </c:pt>
                <c:pt idx="717">
                  <c:v>0.11828720388096946</c:v>
                </c:pt>
                <c:pt idx="718">
                  <c:v>0.12133664834896944</c:v>
                </c:pt>
                <c:pt idx="719">
                  <c:v>0.11136258545397267</c:v>
                </c:pt>
                <c:pt idx="720">
                  <c:v>0.11017639621606667</c:v>
                </c:pt>
                <c:pt idx="721">
                  <c:v>0.11444043868193732</c:v>
                </c:pt>
                <c:pt idx="722">
                  <c:v>0.11271780023168543</c:v>
                </c:pt>
                <c:pt idx="723">
                  <c:v>0.10798844429825208</c:v>
                </c:pt>
                <c:pt idx="724">
                  <c:v>0.10501551835755901</c:v>
                </c:pt>
                <c:pt idx="725">
                  <c:v>0.10701903791425667</c:v>
                </c:pt>
                <c:pt idx="726">
                  <c:v>0.10561115486518452</c:v>
                </c:pt>
                <c:pt idx="727">
                  <c:v>0.10537111626759617</c:v>
                </c:pt>
                <c:pt idx="728">
                  <c:v>0.10499511070166398</c:v>
                </c:pt>
                <c:pt idx="729">
                  <c:v>0.10162676595576409</c:v>
                </c:pt>
                <c:pt idx="730">
                  <c:v>0.10422803712535243</c:v>
                </c:pt>
                <c:pt idx="731">
                  <c:v>0.10232226277126039</c:v>
                </c:pt>
                <c:pt idx="732">
                  <c:v>0.10144585679650629</c:v>
                </c:pt>
                <c:pt idx="733">
                  <c:v>9.9984782647335013E-2</c:v>
                </c:pt>
                <c:pt idx="734">
                  <c:v>9.9990320901123822E-2</c:v>
                </c:pt>
                <c:pt idx="735">
                  <c:v>9.9197904230332465E-2</c:v>
                </c:pt>
                <c:pt idx="736">
                  <c:v>0.10050093437220395</c:v>
                </c:pt>
                <c:pt idx="737">
                  <c:v>0.10065256136252394</c:v>
                </c:pt>
                <c:pt idx="738">
                  <c:v>9.9578029056623316E-2</c:v>
                </c:pt>
                <c:pt idx="739">
                  <c:v>9.9174002625301808E-2</c:v>
                </c:pt>
                <c:pt idx="740">
                  <c:v>0.10084457875435764</c:v>
                </c:pt>
                <c:pt idx="741">
                  <c:v>0.10022643705142431</c:v>
                </c:pt>
                <c:pt idx="742">
                  <c:v>9.6579000309448396E-2</c:v>
                </c:pt>
                <c:pt idx="743">
                  <c:v>9.5392654481269698E-2</c:v>
                </c:pt>
                <c:pt idx="744">
                  <c:v>9.4786995955064415E-2</c:v>
                </c:pt>
                <c:pt idx="745">
                  <c:v>9.1027586744184485E-2</c:v>
                </c:pt>
                <c:pt idx="746">
                  <c:v>9.1446535053458677E-2</c:v>
                </c:pt>
                <c:pt idx="747">
                  <c:v>8.9299539176177126E-2</c:v>
                </c:pt>
                <c:pt idx="748">
                  <c:v>9.0401380348925531E-2</c:v>
                </c:pt>
                <c:pt idx="749">
                  <c:v>8.8206650060524125E-2</c:v>
                </c:pt>
                <c:pt idx="750">
                  <c:v>8.8550025440808477E-2</c:v>
                </c:pt>
                <c:pt idx="751">
                  <c:v>9.0743159238804022E-2</c:v>
                </c:pt>
                <c:pt idx="752">
                  <c:v>8.918111863356265E-2</c:v>
                </c:pt>
                <c:pt idx="753">
                  <c:v>8.5513480960680885E-2</c:v>
                </c:pt>
                <c:pt idx="754">
                  <c:v>8.6272306242851718E-2</c:v>
                </c:pt>
                <c:pt idx="755">
                  <c:v>8.5307528583194389E-2</c:v>
                </c:pt>
                <c:pt idx="756">
                  <c:v>8.4110916229808472E-2</c:v>
                </c:pt>
                <c:pt idx="757">
                  <c:v>8.5448392891421351E-2</c:v>
                </c:pt>
                <c:pt idx="758">
                  <c:v>8.5252594519247452E-2</c:v>
                </c:pt>
                <c:pt idx="759">
                  <c:v>8.6207790476163532E-2</c:v>
                </c:pt>
                <c:pt idx="760">
                  <c:v>8.7749061768420747E-2</c:v>
                </c:pt>
                <c:pt idx="761">
                  <c:v>8.6195961447627339E-2</c:v>
                </c:pt>
                <c:pt idx="762">
                  <c:v>8.5980760088688782E-2</c:v>
                </c:pt>
                <c:pt idx="763">
                  <c:v>8.4363753678410036E-2</c:v>
                </c:pt>
                <c:pt idx="764">
                  <c:v>8.5815673943953494E-2</c:v>
                </c:pt>
                <c:pt idx="765">
                  <c:v>8.5708295470656018E-2</c:v>
                </c:pt>
                <c:pt idx="766">
                  <c:v>8.5486192672978745E-2</c:v>
                </c:pt>
                <c:pt idx="767">
                  <c:v>8.6979277046233663E-2</c:v>
                </c:pt>
                <c:pt idx="768">
                  <c:v>8.5728815275783202E-2</c:v>
                </c:pt>
                <c:pt idx="769">
                  <c:v>8.5957689960283204E-2</c:v>
                </c:pt>
                <c:pt idx="770">
                  <c:v>8.5815518458431342E-2</c:v>
                </c:pt>
                <c:pt idx="771">
                  <c:v>8.6369902164145612E-2</c:v>
                </c:pt>
                <c:pt idx="772">
                  <c:v>8.406578459378039E-2</c:v>
                </c:pt>
                <c:pt idx="773">
                  <c:v>8.5144938827217395E-2</c:v>
                </c:pt>
                <c:pt idx="774">
                  <c:v>8.6546907060769868E-2</c:v>
                </c:pt>
                <c:pt idx="775">
                  <c:v>8.5934654713328021E-2</c:v>
                </c:pt>
                <c:pt idx="776">
                  <c:v>8.6977448539609814E-2</c:v>
                </c:pt>
                <c:pt idx="777">
                  <c:v>8.6541924189965064E-2</c:v>
                </c:pt>
                <c:pt idx="778">
                  <c:v>8.5633889384510511E-2</c:v>
                </c:pt>
                <c:pt idx="779">
                  <c:v>8.555300140822733E-2</c:v>
                </c:pt>
                <c:pt idx="780">
                  <c:v>8.6176941985690023E-2</c:v>
                </c:pt>
                <c:pt idx="781">
                  <c:v>8.7438894702867268E-2</c:v>
                </c:pt>
                <c:pt idx="782">
                  <c:v>8.652930979648657E-2</c:v>
                </c:pt>
                <c:pt idx="783">
                  <c:v>8.7195404310933436E-2</c:v>
                </c:pt>
                <c:pt idx="784">
                  <c:v>8.6889152572427228E-2</c:v>
                </c:pt>
                <c:pt idx="785">
                  <c:v>8.5700569750132141E-2</c:v>
                </c:pt>
                <c:pt idx="786">
                  <c:v>8.8582409354223068E-2</c:v>
                </c:pt>
                <c:pt idx="787">
                  <c:v>8.9136526971686836E-2</c:v>
                </c:pt>
                <c:pt idx="788">
                  <c:v>9.030628415998912E-2</c:v>
                </c:pt>
                <c:pt idx="789">
                  <c:v>9.0019815159123717E-2</c:v>
                </c:pt>
                <c:pt idx="790">
                  <c:v>9.1745029879916104E-2</c:v>
                </c:pt>
                <c:pt idx="791">
                  <c:v>9.0738460120197803E-2</c:v>
                </c:pt>
                <c:pt idx="792">
                  <c:v>9.2173472323626368E-2</c:v>
                </c:pt>
                <c:pt idx="793">
                  <c:v>8.9810855124869096E-2</c:v>
                </c:pt>
                <c:pt idx="794">
                  <c:v>8.8161339418752371E-2</c:v>
                </c:pt>
                <c:pt idx="795">
                  <c:v>8.6558753601125665E-2</c:v>
                </c:pt>
                <c:pt idx="796">
                  <c:v>9.1358864169251208E-2</c:v>
                </c:pt>
                <c:pt idx="797">
                  <c:v>8.8340562604744544E-2</c:v>
                </c:pt>
                <c:pt idx="798">
                  <c:v>9.3824578790441135E-2</c:v>
                </c:pt>
                <c:pt idx="799">
                  <c:v>9.4118955610320645E-2</c:v>
                </c:pt>
                <c:pt idx="800">
                  <c:v>9.7019844648183251E-2</c:v>
                </c:pt>
                <c:pt idx="801">
                  <c:v>9.2234889378570342E-2</c:v>
                </c:pt>
                <c:pt idx="802">
                  <c:v>9.4144175653631146E-2</c:v>
                </c:pt>
                <c:pt idx="803">
                  <c:v>9.5986722810887395E-2</c:v>
                </c:pt>
                <c:pt idx="804">
                  <c:v>9.3504657069213237E-2</c:v>
                </c:pt>
                <c:pt idx="805">
                  <c:v>9.6514557447156674E-2</c:v>
                </c:pt>
                <c:pt idx="806">
                  <c:v>0.10020402990037773</c:v>
                </c:pt>
                <c:pt idx="807">
                  <c:v>9.3358229694353381E-2</c:v>
                </c:pt>
                <c:pt idx="808">
                  <c:v>8.8511334287855722E-2</c:v>
                </c:pt>
                <c:pt idx="809">
                  <c:v>8.6795208140338476E-2</c:v>
                </c:pt>
                <c:pt idx="810">
                  <c:v>8.6426385431566527E-2</c:v>
                </c:pt>
                <c:pt idx="811">
                  <c:v>8.6249399591252954E-2</c:v>
                </c:pt>
                <c:pt idx="812">
                  <c:v>8.7466405152665586E-2</c:v>
                </c:pt>
                <c:pt idx="813">
                  <c:v>8.4823460055847399E-2</c:v>
                </c:pt>
                <c:pt idx="814">
                  <c:v>8.5600144962604166E-2</c:v>
                </c:pt>
                <c:pt idx="815">
                  <c:v>8.7398250998221585E-2</c:v>
                </c:pt>
                <c:pt idx="816">
                  <c:v>8.580117698902158E-2</c:v>
                </c:pt>
                <c:pt idx="817">
                  <c:v>8.3033533929930639E-2</c:v>
                </c:pt>
                <c:pt idx="818">
                  <c:v>8.25213083156731E-2</c:v>
                </c:pt>
                <c:pt idx="819">
                  <c:v>7.8999083608450857E-2</c:v>
                </c:pt>
                <c:pt idx="820">
                  <c:v>8.3601393904308874E-2</c:v>
                </c:pt>
                <c:pt idx="821">
                  <c:v>7.4356531715443458E-2</c:v>
                </c:pt>
                <c:pt idx="822">
                  <c:v>7.4920048889279597E-2</c:v>
                </c:pt>
                <c:pt idx="823">
                  <c:v>0.10262137090312266</c:v>
                </c:pt>
                <c:pt idx="824">
                  <c:v>8.7689562015369066E-2</c:v>
                </c:pt>
                <c:pt idx="825">
                  <c:v>7.6516999255150736E-2</c:v>
                </c:pt>
                <c:pt idx="826">
                  <c:v>7.2739963898659346E-2</c:v>
                </c:pt>
                <c:pt idx="827">
                  <c:v>7.2389244942556621E-2</c:v>
                </c:pt>
                <c:pt idx="828">
                  <c:v>7.2712531964694974E-2</c:v>
                </c:pt>
                <c:pt idx="829">
                  <c:v>7.3748118242157656E-2</c:v>
                </c:pt>
                <c:pt idx="830">
                  <c:v>7.26403851814275E-2</c:v>
                </c:pt>
                <c:pt idx="831">
                  <c:v>7.2035935548291408E-2</c:v>
                </c:pt>
                <c:pt idx="832">
                  <c:v>7.1919931706186144E-2</c:v>
                </c:pt>
                <c:pt idx="833">
                  <c:v>7.2134604534871069E-2</c:v>
                </c:pt>
                <c:pt idx="834">
                  <c:v>7.028787770024382E-2</c:v>
                </c:pt>
                <c:pt idx="835">
                  <c:v>7.1241517910770144E-2</c:v>
                </c:pt>
                <c:pt idx="836">
                  <c:v>7.200870769646979E-2</c:v>
                </c:pt>
                <c:pt idx="837">
                  <c:v>7.0782214732748872E-2</c:v>
                </c:pt>
                <c:pt idx="838">
                  <c:v>7.1203782585248857E-2</c:v>
                </c:pt>
                <c:pt idx="839">
                  <c:v>7.1558942353954755E-2</c:v>
                </c:pt>
                <c:pt idx="840">
                  <c:v>7.3344139182299567E-2</c:v>
                </c:pt>
                <c:pt idx="841">
                  <c:v>7.4064206925093357E-2</c:v>
                </c:pt>
                <c:pt idx="842">
                  <c:v>7.1645233929569549E-2</c:v>
                </c:pt>
                <c:pt idx="843">
                  <c:v>7.122761088492667E-2</c:v>
                </c:pt>
                <c:pt idx="844">
                  <c:v>7.0046013178513861E-2</c:v>
                </c:pt>
                <c:pt idx="845">
                  <c:v>7.0495045549687579E-2</c:v>
                </c:pt>
                <c:pt idx="846">
                  <c:v>6.9986524025891672E-2</c:v>
                </c:pt>
                <c:pt idx="847">
                  <c:v>6.9856882682674287E-2</c:v>
                </c:pt>
                <c:pt idx="848">
                  <c:v>7.0208381506517412E-2</c:v>
                </c:pt>
                <c:pt idx="849">
                  <c:v>6.8708908318051348E-2</c:v>
                </c:pt>
                <c:pt idx="850">
                  <c:v>7.2529592091334916E-2</c:v>
                </c:pt>
                <c:pt idx="851">
                  <c:v>6.9776191527079895E-2</c:v>
                </c:pt>
                <c:pt idx="852">
                  <c:v>6.9813106777898301E-2</c:v>
                </c:pt>
                <c:pt idx="853">
                  <c:v>6.9831788949650891E-2</c:v>
                </c:pt>
                <c:pt idx="854">
                  <c:v>6.8824394493164395E-2</c:v>
                </c:pt>
                <c:pt idx="855">
                  <c:v>6.8448599290178963E-2</c:v>
                </c:pt>
                <c:pt idx="856">
                  <c:v>6.6592093661467316E-2</c:v>
                </c:pt>
                <c:pt idx="857">
                  <c:v>7.0122398093610885E-2</c:v>
                </c:pt>
                <c:pt idx="858">
                  <c:v>7.1802433653692183E-2</c:v>
                </c:pt>
                <c:pt idx="859">
                  <c:v>7.2852819745609282E-2</c:v>
                </c:pt>
                <c:pt idx="860">
                  <c:v>7.3450682573898252E-2</c:v>
                </c:pt>
                <c:pt idx="861">
                  <c:v>7.3409081767026221E-2</c:v>
                </c:pt>
                <c:pt idx="862">
                  <c:v>7.3409081767026221E-2</c:v>
                </c:pt>
                <c:pt idx="863">
                  <c:v>7.1653537628451308E-2</c:v>
                </c:pt>
                <c:pt idx="864">
                  <c:v>7.1118210832700368E-2</c:v>
                </c:pt>
                <c:pt idx="865">
                  <c:v>7.0786032805319407E-2</c:v>
                </c:pt>
                <c:pt idx="866">
                  <c:v>7.1073370603214142E-2</c:v>
                </c:pt>
                <c:pt idx="867">
                  <c:v>7.0673535571569412E-2</c:v>
                </c:pt>
                <c:pt idx="868">
                  <c:v>7.0489978564248656E-2</c:v>
                </c:pt>
                <c:pt idx="869">
                  <c:v>6.9560011921833795E-2</c:v>
                </c:pt>
                <c:pt idx="870">
                  <c:v>6.9898198280755622E-2</c:v>
                </c:pt>
                <c:pt idx="871">
                  <c:v>7.060384648036501E-2</c:v>
                </c:pt>
                <c:pt idx="872">
                  <c:v>7.0445016778237349E-2</c:v>
                </c:pt>
                <c:pt idx="873">
                  <c:v>6.9207383113052162E-2</c:v>
                </c:pt>
                <c:pt idx="874">
                  <c:v>6.8801973898336435E-2</c:v>
                </c:pt>
                <c:pt idx="875">
                  <c:v>7.0763635772142716E-2</c:v>
                </c:pt>
                <c:pt idx="876">
                  <c:v>6.9854707029072288E-2</c:v>
                </c:pt>
                <c:pt idx="877">
                  <c:v>7.0417916897121055E-2</c:v>
                </c:pt>
                <c:pt idx="878">
                  <c:v>7.004323101571755E-2</c:v>
                </c:pt>
                <c:pt idx="879">
                  <c:v>6.962630718994435E-2</c:v>
                </c:pt>
                <c:pt idx="880">
                  <c:v>6.958101424066436E-2</c:v>
                </c:pt>
                <c:pt idx="881">
                  <c:v>6.9356592538142622E-2</c:v>
                </c:pt>
                <c:pt idx="882">
                  <c:v>6.9866700134166709E-2</c:v>
                </c:pt>
                <c:pt idx="883">
                  <c:v>7.0188371089438276E-2</c:v>
                </c:pt>
                <c:pt idx="884">
                  <c:v>7.1335005204175128E-2</c:v>
                </c:pt>
                <c:pt idx="885">
                  <c:v>7.2023315301573507E-2</c:v>
                </c:pt>
                <c:pt idx="886">
                  <c:v>7.1860398774807932E-2</c:v>
                </c:pt>
                <c:pt idx="887">
                  <c:v>7.246950847833733E-2</c:v>
                </c:pt>
                <c:pt idx="888">
                  <c:v>7.173321183218348E-2</c:v>
                </c:pt>
                <c:pt idx="889">
                  <c:v>7.1565133855153507E-2</c:v>
                </c:pt>
                <c:pt idx="890">
                  <c:v>7.0161497672638531E-2</c:v>
                </c:pt>
                <c:pt idx="891">
                  <c:v>7.0791420986705864E-2</c:v>
                </c:pt>
                <c:pt idx="892">
                  <c:v>7.10616075655294E-2</c:v>
                </c:pt>
                <c:pt idx="893">
                  <c:v>6.9342128999430486E-2</c:v>
                </c:pt>
                <c:pt idx="894">
                  <c:v>6.9342128999430486E-2</c:v>
                </c:pt>
                <c:pt idx="895">
                  <c:v>6.9493351985468826E-2</c:v>
                </c:pt>
                <c:pt idx="896">
                  <c:v>6.8870937634946158E-2</c:v>
                </c:pt>
                <c:pt idx="897">
                  <c:v>6.7759886204086281E-2</c:v>
                </c:pt>
                <c:pt idx="898">
                  <c:v>7.0228929257267356E-2</c:v>
                </c:pt>
                <c:pt idx="899">
                  <c:v>7.0215835737717461E-2</c:v>
                </c:pt>
                <c:pt idx="900">
                  <c:v>7.1262542882884125E-2</c:v>
                </c:pt>
                <c:pt idx="901">
                  <c:v>6.9495968484438966E-2</c:v>
                </c:pt>
                <c:pt idx="902">
                  <c:v>7.1199880819965269E-2</c:v>
                </c:pt>
                <c:pt idx="903">
                  <c:v>7.2274466436419577E-2</c:v>
                </c:pt>
                <c:pt idx="904">
                  <c:v>7.3073218623965736E-2</c:v>
                </c:pt>
                <c:pt idx="905">
                  <c:v>7.3532122561493815E-2</c:v>
                </c:pt>
                <c:pt idx="906">
                  <c:v>7.5684223745511675E-2</c:v>
                </c:pt>
                <c:pt idx="907">
                  <c:v>7.8209669437041426E-2</c:v>
                </c:pt>
                <c:pt idx="908">
                  <c:v>7.9205626882235508E-2</c:v>
                </c:pt>
                <c:pt idx="909">
                  <c:v>7.7492632147199009E-2</c:v>
                </c:pt>
                <c:pt idx="910">
                  <c:v>7.8012485430319023E-2</c:v>
                </c:pt>
                <c:pt idx="911">
                  <c:v>7.5426621198936034E-2</c:v>
                </c:pt>
                <c:pt idx="912">
                  <c:v>7.4494991797818155E-2</c:v>
                </c:pt>
                <c:pt idx="913">
                  <c:v>7.4249542628097229E-2</c:v>
                </c:pt>
                <c:pt idx="914">
                  <c:v>7.4142241605231377E-2</c:v>
                </c:pt>
                <c:pt idx="915">
                  <c:v>7.3127827691802802E-2</c:v>
                </c:pt>
                <c:pt idx="916">
                  <c:v>7.5188781030752244E-2</c:v>
                </c:pt>
                <c:pt idx="917">
                  <c:v>7.4174271435514139E-2</c:v>
                </c:pt>
                <c:pt idx="918">
                  <c:v>7.5625546904038735E-2</c:v>
                </c:pt>
                <c:pt idx="919">
                  <c:v>7.3009396595361417E-2</c:v>
                </c:pt>
                <c:pt idx="920">
                  <c:v>7.8118086152593899E-2</c:v>
                </c:pt>
                <c:pt idx="921">
                  <c:v>8.0681109707017862E-2</c:v>
                </c:pt>
                <c:pt idx="922">
                  <c:v>8.126623989378283E-2</c:v>
                </c:pt>
                <c:pt idx="923">
                  <c:v>8.1156953526634934E-2</c:v>
                </c:pt>
                <c:pt idx="924">
                  <c:v>7.6734241315237067E-2</c:v>
                </c:pt>
                <c:pt idx="925">
                  <c:v>6.6684562526385049E-2</c:v>
                </c:pt>
                <c:pt idx="926">
                  <c:v>6.4188864242937654E-2</c:v>
                </c:pt>
                <c:pt idx="927">
                  <c:v>7.183047409663447E-2</c:v>
                </c:pt>
                <c:pt idx="928">
                  <c:v>6.656839317865651E-2</c:v>
                </c:pt>
                <c:pt idx="929">
                  <c:v>7.3332932620857966E-2</c:v>
                </c:pt>
                <c:pt idx="930">
                  <c:v>7.4836412765386676E-2</c:v>
                </c:pt>
                <c:pt idx="931">
                  <c:v>7.2277418304736468E-2</c:v>
                </c:pt>
                <c:pt idx="932">
                  <c:v>7.5745913079776628E-2</c:v>
                </c:pt>
                <c:pt idx="933">
                  <c:v>7.7091702816797281E-2</c:v>
                </c:pt>
                <c:pt idx="934">
                  <c:v>7.8645363042101138E-2</c:v>
                </c:pt>
                <c:pt idx="935">
                  <c:v>7.5703831870715346E-2</c:v>
                </c:pt>
                <c:pt idx="936">
                  <c:v>7.3708729582899896E-2</c:v>
                </c:pt>
                <c:pt idx="937">
                  <c:v>7.6019600292730374E-2</c:v>
                </c:pt>
                <c:pt idx="938">
                  <c:v>7.6650508857279309E-2</c:v>
                </c:pt>
                <c:pt idx="939">
                  <c:v>8.0265889865757764E-2</c:v>
                </c:pt>
                <c:pt idx="940">
                  <c:v>7.6351034938161519E-2</c:v>
                </c:pt>
                <c:pt idx="941">
                  <c:v>6.8908463146092863E-2</c:v>
                </c:pt>
                <c:pt idx="942">
                  <c:v>6.3848252948654177E-2</c:v>
                </c:pt>
                <c:pt idx="943">
                  <c:v>7.0073068569412325E-2</c:v>
                </c:pt>
                <c:pt idx="944">
                  <c:v>6.8221327435633625E-2</c:v>
                </c:pt>
                <c:pt idx="945">
                  <c:v>6.4500937625209309E-2</c:v>
                </c:pt>
                <c:pt idx="946">
                  <c:v>7.1904554269287366E-2</c:v>
                </c:pt>
                <c:pt idx="947">
                  <c:v>6.7502524573623449E-2</c:v>
                </c:pt>
                <c:pt idx="948">
                  <c:v>5.3641647141623415E-2</c:v>
                </c:pt>
                <c:pt idx="949">
                  <c:v>4.8132024598364014E-2</c:v>
                </c:pt>
                <c:pt idx="950">
                  <c:v>6.1848893549356646E-2</c:v>
                </c:pt>
                <c:pt idx="951">
                  <c:v>4.9822610616328061E-2</c:v>
                </c:pt>
                <c:pt idx="952">
                  <c:v>4.6023692321347683E-2</c:v>
                </c:pt>
                <c:pt idx="953">
                  <c:v>4.5213849249901891E-2</c:v>
                </c:pt>
                <c:pt idx="954">
                  <c:v>4.5373261109497853E-2</c:v>
                </c:pt>
                <c:pt idx="955">
                  <c:v>4.6088014377751826E-2</c:v>
                </c:pt>
                <c:pt idx="956">
                  <c:v>4.8323347543857621E-2</c:v>
                </c:pt>
                <c:pt idx="957">
                  <c:v>5.1137835411357628E-2</c:v>
                </c:pt>
                <c:pt idx="958">
                  <c:v>5.0813370560742858E-2</c:v>
                </c:pt>
                <c:pt idx="959">
                  <c:v>4.4083220449176119E-2</c:v>
                </c:pt>
                <c:pt idx="960">
                  <c:v>4.4896048271426653E-2</c:v>
                </c:pt>
                <c:pt idx="961">
                  <c:v>3.8596175173080782E-2</c:v>
                </c:pt>
                <c:pt idx="962">
                  <c:v>3.5371453534228312E-2</c:v>
                </c:pt>
                <c:pt idx="963">
                  <c:v>3.0015306746748426E-2</c:v>
                </c:pt>
                <c:pt idx="964">
                  <c:v>3.1483140028605069E-2</c:v>
                </c:pt>
                <c:pt idx="965">
                  <c:v>3.2435195969931468E-2</c:v>
                </c:pt>
                <c:pt idx="966">
                  <c:v>2.9767898039931472E-2</c:v>
                </c:pt>
                <c:pt idx="967">
                  <c:v>2.7204408064441275E-2</c:v>
                </c:pt>
                <c:pt idx="968">
                  <c:v>2.5993054647130729E-2</c:v>
                </c:pt>
                <c:pt idx="969">
                  <c:v>3.0226040334657905E-2</c:v>
                </c:pt>
                <c:pt idx="970">
                  <c:v>3.7997793169335339E-2</c:v>
                </c:pt>
                <c:pt idx="971">
                  <c:v>3.3586588558429491E-2</c:v>
                </c:pt>
                <c:pt idx="972">
                  <c:v>3.5766287192497297E-2</c:v>
                </c:pt>
                <c:pt idx="973">
                  <c:v>2.7271524596741759E-2</c:v>
                </c:pt>
                <c:pt idx="974">
                  <c:v>4.1832539183872017E-2</c:v>
                </c:pt>
                <c:pt idx="975">
                  <c:v>3.4323235482491596E-2</c:v>
                </c:pt>
                <c:pt idx="976">
                  <c:v>2.92093317033249E-2</c:v>
                </c:pt>
                <c:pt idx="977">
                  <c:v>2.8146545138132209E-2</c:v>
                </c:pt>
                <c:pt idx="978">
                  <c:v>2.5593564300404003E-2</c:v>
                </c:pt>
                <c:pt idx="979">
                  <c:v>2.7019744353809411E-2</c:v>
                </c:pt>
                <c:pt idx="980">
                  <c:v>2.6753547405524696E-2</c:v>
                </c:pt>
                <c:pt idx="981">
                  <c:v>2.1609690856436155E-2</c:v>
                </c:pt>
                <c:pt idx="982">
                  <c:v>2.7985832465803252E-2</c:v>
                </c:pt>
                <c:pt idx="983">
                  <c:v>2.8935901217690012E-2</c:v>
                </c:pt>
                <c:pt idx="984">
                  <c:v>2.2006690333090724E-2</c:v>
                </c:pt>
                <c:pt idx="985">
                  <c:v>1.5427952733432081E-2</c:v>
                </c:pt>
                <c:pt idx="986">
                  <c:v>2.0590517746533692E-2</c:v>
                </c:pt>
                <c:pt idx="987">
                  <c:v>2.2387201197578786E-2</c:v>
                </c:pt>
                <c:pt idx="988">
                  <c:v>3.1001593758285997E-2</c:v>
                </c:pt>
                <c:pt idx="989">
                  <c:v>2.2670263636806149E-2</c:v>
                </c:pt>
                <c:pt idx="990">
                  <c:v>1.1107102939752088E-2</c:v>
                </c:pt>
                <c:pt idx="991">
                  <c:v>9.734712323014108E-3</c:v>
                </c:pt>
                <c:pt idx="992">
                  <c:v>1.2777811278257898E-2</c:v>
                </c:pt>
                <c:pt idx="993">
                  <c:v>1.0907601585113669E-2</c:v>
                </c:pt>
                <c:pt idx="994">
                  <c:v>1.001515145516658E-2</c:v>
                </c:pt>
                <c:pt idx="995">
                  <c:v>1.2773908408229308E-2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2B-42AB-B0AB-B850ED4FA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84560"/>
        <c:axId val="496484976"/>
      </c:lineChart>
      <c:dateAx>
        <c:axId val="496484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84976"/>
        <c:crosses val="autoZero"/>
        <c:auto val="1"/>
        <c:lblOffset val="100"/>
        <c:baseTimeUnit val="days"/>
      </c:dateAx>
      <c:valAx>
        <c:axId val="49648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8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5D990D-B558-42DA-848D-E89869D841E6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03C598-7F4D-4F64-85C9-38328252B1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141</v>
      </c>
      <c r="D2" s="4">
        <f>MIN(D3:D1912)</f>
        <v>3.89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18.14</v>
      </c>
      <c r="C5">
        <v>18.3</v>
      </c>
      <c r="D5">
        <v>17.71</v>
      </c>
      <c r="E5">
        <v>17.73</v>
      </c>
      <c r="F5">
        <v>42314.52</v>
      </c>
      <c r="G5">
        <v>17.73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-0.93220338983050988</v>
      </c>
      <c r="Q5">
        <f t="shared" ref="Q5" si="1">F5*P5</f>
        <v>-39445.738983050906</v>
      </c>
      <c r="R5">
        <f t="shared" ref="R5" si="2">R6+Q5</f>
        <v>75141420.971576676</v>
      </c>
      <c r="S5">
        <f t="shared" ref="S5" si="3">R5/100000</f>
        <v>751.41420971576679</v>
      </c>
      <c r="T5">
        <f t="shared" ref="T5" si="4">S5/1000</f>
        <v>0.75141420971576678</v>
      </c>
    </row>
    <row r="6" spans="1:20" x14ac:dyDescent="0.25">
      <c r="A6" s="5">
        <v>44587</v>
      </c>
      <c r="B6">
        <v>18.25</v>
      </c>
      <c r="C6">
        <v>19.850000000000001</v>
      </c>
      <c r="D6">
        <v>17.7</v>
      </c>
      <c r="E6">
        <v>18.14</v>
      </c>
      <c r="F6">
        <v>619714.92000000004</v>
      </c>
      <c r="G6">
        <v>18.14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-0.59069767441860388</v>
      </c>
      <c r="Q6">
        <f t="shared" ref="Q6" si="6">F6*P6</f>
        <v>-366064.16204651119</v>
      </c>
      <c r="R6">
        <f t="shared" ref="R6" si="7">R7+Q6</f>
        <v>75180866.710559726</v>
      </c>
      <c r="S6">
        <f t="shared" ref="S6" si="8">R6/100000</f>
        <v>751.80866710559724</v>
      </c>
      <c r="T6">
        <f t="shared" ref="T6" si="9">S6/1000</f>
        <v>0.75180866710559724</v>
      </c>
    </row>
    <row r="7" spans="1:20" x14ac:dyDescent="0.25">
      <c r="A7" s="5">
        <v>44586</v>
      </c>
      <c r="B7">
        <v>18.12</v>
      </c>
      <c r="C7">
        <v>18.37</v>
      </c>
      <c r="D7">
        <v>17.57</v>
      </c>
      <c r="E7">
        <v>18.239999999999998</v>
      </c>
      <c r="F7">
        <v>417506.2</v>
      </c>
      <c r="G7">
        <v>18.239999999999998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0.67499999999999394</v>
      </c>
      <c r="Q7">
        <f t="shared" ref="Q7" si="11">F7*P7</f>
        <v>281816.68499999749</v>
      </c>
      <c r="R7">
        <f t="shared" ref="R7" si="12">R8+Q7</f>
        <v>75546930.872606233</v>
      </c>
      <c r="S7">
        <f t="shared" ref="S7" si="13">R7/100000</f>
        <v>755.46930872606231</v>
      </c>
      <c r="T7">
        <f t="shared" ref="T7" si="14">S7/1000</f>
        <v>0.75546930872606233</v>
      </c>
    </row>
    <row r="8" spans="1:20" x14ac:dyDescent="0.25">
      <c r="A8" s="5">
        <v>44585</v>
      </c>
      <c r="B8">
        <v>18.59</v>
      </c>
      <c r="C8">
        <v>18.600000000000001</v>
      </c>
      <c r="D8">
        <v>16.11</v>
      </c>
      <c r="E8">
        <v>18.11</v>
      </c>
      <c r="F8">
        <v>840943.25</v>
      </c>
      <c r="G8">
        <v>18.11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0.60642570281124375</v>
      </c>
      <c r="Q8">
        <f t="shared" ref="Q8" si="16">F8*P8</f>
        <v>509969.60140562145</v>
      </c>
      <c r="R8">
        <f t="shared" ref="R8" si="17">R9+Q8</f>
        <v>75265114.18760623</v>
      </c>
      <c r="S8">
        <f t="shared" ref="S8" si="18">R8/100000</f>
        <v>752.6511418760623</v>
      </c>
      <c r="T8">
        <f t="shared" ref="T8" si="19">S8/1000</f>
        <v>0.7526511418760623</v>
      </c>
    </row>
    <row r="9" spans="1:20" x14ac:dyDescent="0.25">
      <c r="A9" s="5">
        <v>44584</v>
      </c>
      <c r="B9">
        <v>17.84</v>
      </c>
      <c r="C9">
        <v>18.91</v>
      </c>
      <c r="D9">
        <v>17.649999999999999</v>
      </c>
      <c r="E9">
        <v>18.61</v>
      </c>
      <c r="F9">
        <v>454327.01</v>
      </c>
      <c r="G9">
        <v>18.61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0.52380952380952328</v>
      </c>
      <c r="Q9">
        <f t="shared" ref="Q9" si="21">F9*P9</f>
        <v>237980.81476190453</v>
      </c>
      <c r="R9">
        <f t="shared" ref="R9" si="22">R10+Q9</f>
        <v>74755144.58620061</v>
      </c>
      <c r="S9">
        <f t="shared" ref="S9" si="23">R9/100000</f>
        <v>747.55144586200606</v>
      </c>
      <c r="T9">
        <f t="shared" ref="T9" si="24">S9/1000</f>
        <v>0.74755144586200606</v>
      </c>
    </row>
    <row r="10" spans="1:20" x14ac:dyDescent="0.25">
      <c r="A10" s="5">
        <v>44583</v>
      </c>
      <c r="B10">
        <v>19.57</v>
      </c>
      <c r="C10">
        <v>20.04</v>
      </c>
      <c r="D10">
        <v>16.22</v>
      </c>
      <c r="E10">
        <v>17.84</v>
      </c>
      <c r="F10">
        <v>1178087.4990000001</v>
      </c>
      <c r="G10">
        <v>17.84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-0.15183246073298384</v>
      </c>
      <c r="Q10">
        <f t="shared" ref="Q10" si="26">F10*P10</f>
        <v>-178871.92393193665</v>
      </c>
      <c r="R10">
        <f t="shared" ref="R10" si="27">R11+Q10</f>
        <v>74517163.771438703</v>
      </c>
      <c r="S10">
        <f t="shared" ref="S10" si="28">R10/100000</f>
        <v>745.17163771438697</v>
      </c>
      <c r="T10">
        <f t="shared" ref="T10" si="29">S10/1000</f>
        <v>0.74517163771438699</v>
      </c>
    </row>
    <row r="11" spans="1:20" x14ac:dyDescent="0.25">
      <c r="A11" s="5">
        <v>44582</v>
      </c>
      <c r="B11">
        <v>22.71</v>
      </c>
      <c r="C11">
        <v>22.94</v>
      </c>
      <c r="D11">
        <v>19.21</v>
      </c>
      <c r="E11">
        <v>19.559999999999999</v>
      </c>
      <c r="F11">
        <v>795151.348</v>
      </c>
      <c r="G11">
        <v>19.559999999999999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-0.81233243967828539</v>
      </c>
      <c r="Q11">
        <f t="shared" ref="Q11" si="31">F11*P11</f>
        <v>-645927.23443431733</v>
      </c>
      <c r="R11">
        <f t="shared" ref="R11" si="32">R12+Q11</f>
        <v>74696035.695370644</v>
      </c>
      <c r="S11">
        <f t="shared" ref="S11" si="33">R11/100000</f>
        <v>746.96035695370642</v>
      </c>
      <c r="T11">
        <f t="shared" ref="T11" si="34">S11/1000</f>
        <v>0.74696035695370644</v>
      </c>
    </row>
    <row r="12" spans="1:20" x14ac:dyDescent="0.25">
      <c r="A12" s="5">
        <v>44581</v>
      </c>
      <c r="B12">
        <v>23.86</v>
      </c>
      <c r="C12">
        <v>24.67</v>
      </c>
      <c r="D12">
        <v>22.56</v>
      </c>
      <c r="E12">
        <v>22.71</v>
      </c>
      <c r="F12">
        <v>322255.57</v>
      </c>
      <c r="G12">
        <v>22.71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-0.85781990521326834</v>
      </c>
      <c r="Q12">
        <f t="shared" ref="Q12" si="36">F12*P12</f>
        <v>-276437.24251184775</v>
      </c>
      <c r="R12">
        <f t="shared" ref="R12" si="37">R13+Q12</f>
        <v>75341962.929804966</v>
      </c>
      <c r="S12">
        <f t="shared" ref="S12" si="38">R12/100000</f>
        <v>753.4196292980497</v>
      </c>
      <c r="T12">
        <f t="shared" ref="T12" si="39">S12/1000</f>
        <v>0.75341962929804973</v>
      </c>
    </row>
    <row r="13" spans="1:20" x14ac:dyDescent="0.25">
      <c r="A13" s="5">
        <v>44580</v>
      </c>
      <c r="B13">
        <v>25.41</v>
      </c>
      <c r="C13">
        <v>26.07</v>
      </c>
      <c r="D13">
        <v>23.64</v>
      </c>
      <c r="E13">
        <v>23.83</v>
      </c>
      <c r="F13">
        <v>607334.27</v>
      </c>
      <c r="G13">
        <v>23.83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-0.84362139917695655</v>
      </c>
      <c r="Q13">
        <f t="shared" ref="Q13" si="41">F13*P13</f>
        <v>-512360.18662551552</v>
      </c>
      <c r="R13">
        <f t="shared" ref="R13" si="42">R14+Q13</f>
        <v>75618400.172316819</v>
      </c>
      <c r="S13">
        <f t="shared" ref="S13" si="43">R13/100000</f>
        <v>756.18400172316819</v>
      </c>
      <c r="T13">
        <f t="shared" ref="T13" si="44">S13/1000</f>
        <v>0.75618400172316824</v>
      </c>
    </row>
    <row r="14" spans="1:20" x14ac:dyDescent="0.25">
      <c r="A14" s="5">
        <v>44579</v>
      </c>
      <c r="B14">
        <v>23.95</v>
      </c>
      <c r="C14">
        <v>25.89</v>
      </c>
      <c r="D14">
        <v>23.43</v>
      </c>
      <c r="E14">
        <v>25.42</v>
      </c>
      <c r="F14">
        <v>819297.53</v>
      </c>
      <c r="G14">
        <v>25.42</v>
      </c>
      <c r="L14" t="s">
        <v>8</v>
      </c>
      <c r="M14" t="s">
        <v>7</v>
      </c>
      <c r="N14" t="s">
        <v>7</v>
      </c>
      <c r="P14">
        <f t="shared" ref="P14" si="45">IF(C14=D14,0,((E14-D14)-(C14-E14))/(C14-D14))</f>
        <v>0.61788617886178965</v>
      </c>
      <c r="Q14">
        <f t="shared" ref="Q14" si="46">F14*P14</f>
        <v>506232.62016260251</v>
      </c>
      <c r="R14">
        <f t="shared" ref="R14" si="47">R15+Q14</f>
        <v>76130760.35894233</v>
      </c>
      <c r="S14">
        <f t="shared" ref="S14" si="48">R14/100000</f>
        <v>761.30760358942325</v>
      </c>
      <c r="T14">
        <f t="shared" ref="T14" si="49">S14/1000</f>
        <v>0.76130760358942329</v>
      </c>
    </row>
    <row r="15" spans="1:20" x14ac:dyDescent="0.25">
      <c r="A15" s="5">
        <v>44578</v>
      </c>
      <c r="B15">
        <v>25.16</v>
      </c>
      <c r="C15">
        <v>25.23</v>
      </c>
      <c r="D15">
        <v>23.48</v>
      </c>
      <c r="E15">
        <v>23.95</v>
      </c>
      <c r="F15">
        <v>249091.37</v>
      </c>
      <c r="G15">
        <v>23.95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-0.46285714285714413</v>
      </c>
      <c r="Q15">
        <f t="shared" ref="Q15" si="51">F15*P15</f>
        <v>-115293.71982857175</v>
      </c>
      <c r="R15">
        <f t="shared" ref="R15" si="52">R16+Q15</f>
        <v>75624527.738779724</v>
      </c>
      <c r="S15">
        <f t="shared" ref="S15" si="53">R15/100000</f>
        <v>756.24527738779727</v>
      </c>
      <c r="T15">
        <f t="shared" ref="T15" si="54">S15/1000</f>
        <v>0.75624527738779723</v>
      </c>
    </row>
    <row r="16" spans="1:20" x14ac:dyDescent="0.25">
      <c r="A16" s="5">
        <v>44577</v>
      </c>
      <c r="B16">
        <v>25.31</v>
      </c>
      <c r="C16">
        <v>25.44</v>
      </c>
      <c r="D16">
        <v>24.68</v>
      </c>
      <c r="E16">
        <v>25.16</v>
      </c>
      <c r="F16">
        <v>180513.89</v>
      </c>
      <c r="G16">
        <v>25.16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0.26315789473684065</v>
      </c>
      <c r="Q16">
        <f t="shared" ref="Q16" si="56">F16*P16</f>
        <v>47503.655263157634</v>
      </c>
      <c r="R16">
        <f t="shared" ref="R16" si="57">R17+Q16</f>
        <v>75739821.458608299</v>
      </c>
      <c r="S16">
        <f t="shared" ref="S16" si="58">R16/100000</f>
        <v>757.39821458608299</v>
      </c>
      <c r="T16">
        <f t="shared" ref="T16" si="59">S16/1000</f>
        <v>0.75739821458608303</v>
      </c>
    </row>
    <row r="17" spans="1:20" x14ac:dyDescent="0.25">
      <c r="A17" s="5">
        <v>44576</v>
      </c>
      <c r="B17">
        <v>24.88</v>
      </c>
      <c r="C17">
        <v>25.97</v>
      </c>
      <c r="D17">
        <v>24.82</v>
      </c>
      <c r="E17">
        <v>25.32</v>
      </c>
      <c r="F17">
        <v>361988.05</v>
      </c>
      <c r="G17">
        <v>25.32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-0.13043478260869457</v>
      </c>
      <c r="Q17">
        <f t="shared" ref="Q17" si="61">F17*P17</f>
        <v>-47215.832608695258</v>
      </c>
      <c r="R17">
        <f t="shared" ref="R17" si="62">R18+Q17</f>
        <v>75692317.803345144</v>
      </c>
      <c r="S17">
        <f t="shared" ref="S17" si="63">R17/100000</f>
        <v>756.92317803345145</v>
      </c>
      <c r="T17">
        <f t="shared" ref="T17" si="64">S17/1000</f>
        <v>0.75692317803345144</v>
      </c>
    </row>
    <row r="18" spans="1:20" x14ac:dyDescent="0.25">
      <c r="A18" s="5">
        <v>44575</v>
      </c>
      <c r="B18">
        <v>23.51</v>
      </c>
      <c r="C18">
        <v>25.09</v>
      </c>
      <c r="D18">
        <v>23.32</v>
      </c>
      <c r="E18">
        <v>24.86</v>
      </c>
      <c r="F18">
        <v>338884.12</v>
      </c>
      <c r="G18">
        <v>24.86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0.74011299435028199</v>
      </c>
      <c r="Q18">
        <f t="shared" ref="Q18" si="66">F18*P18</f>
        <v>250812.54079096028</v>
      </c>
      <c r="R18">
        <f t="shared" ref="R18" si="67">R19+Q18</f>
        <v>75739533.635953844</v>
      </c>
      <c r="S18">
        <f t="shared" ref="S18" si="68">R18/100000</f>
        <v>757.39533635953842</v>
      </c>
      <c r="T18">
        <f t="shared" ref="T18" si="69">S18/1000</f>
        <v>0.75739533635953837</v>
      </c>
    </row>
    <row r="19" spans="1:20" x14ac:dyDescent="0.25">
      <c r="A19" s="5">
        <v>44574</v>
      </c>
      <c r="B19">
        <v>24.74</v>
      </c>
      <c r="C19">
        <v>24.91</v>
      </c>
      <c r="D19">
        <v>23.42</v>
      </c>
      <c r="E19">
        <v>23.53</v>
      </c>
      <c r="F19">
        <v>243952.81</v>
      </c>
      <c r="G19">
        <v>23.53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-0.85234899328859126</v>
      </c>
      <c r="Q19">
        <f t="shared" ref="Q19" si="71">F19*P19</f>
        <v>-207932.93201342298</v>
      </c>
      <c r="R19">
        <f t="shared" ref="R19" si="72">R20+Q19</f>
        <v>75488721.095162883</v>
      </c>
      <c r="S19">
        <f t="shared" ref="S19" si="73">R19/100000</f>
        <v>754.88721095162884</v>
      </c>
      <c r="T19">
        <f t="shared" ref="T19" si="74">S19/1000</f>
        <v>0.75488721095162881</v>
      </c>
    </row>
    <row r="20" spans="1:20" x14ac:dyDescent="0.25">
      <c r="A20" s="5">
        <v>44573</v>
      </c>
      <c r="B20">
        <v>23.83</v>
      </c>
      <c r="C20">
        <v>25.01</v>
      </c>
      <c r="D20">
        <v>23.76</v>
      </c>
      <c r="E20">
        <v>24.76</v>
      </c>
      <c r="F20">
        <v>294437.06</v>
      </c>
      <c r="G20">
        <v>24.76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</v>
      </c>
      <c r="Q20">
        <f t="shared" ref="Q20" si="76">F20*P20</f>
        <v>176662.236</v>
      </c>
      <c r="R20">
        <f t="shared" ref="R20" si="77">R21+Q20</f>
        <v>75696654.027176306</v>
      </c>
      <c r="S20">
        <f t="shared" ref="S20" si="78">R20/100000</f>
        <v>756.96654027176305</v>
      </c>
      <c r="T20">
        <f t="shared" ref="T20" si="79">S20/1000</f>
        <v>0.75696654027176302</v>
      </c>
    </row>
    <row r="21" spans="1:20" x14ac:dyDescent="0.25">
      <c r="A21" s="5">
        <v>44572</v>
      </c>
      <c r="B21">
        <v>22.66</v>
      </c>
      <c r="C21">
        <v>23.88</v>
      </c>
      <c r="D21">
        <v>22.56</v>
      </c>
      <c r="E21">
        <v>23.82</v>
      </c>
      <c r="F21">
        <v>281865.63</v>
      </c>
      <c r="G21">
        <v>23.82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0.90909090909091106</v>
      </c>
      <c r="Q21">
        <f t="shared" ref="Q21" si="81">F21*P21</f>
        <v>256241.48181818236</v>
      </c>
      <c r="R21">
        <f t="shared" ref="R21" si="82">R22+Q21</f>
        <v>75519991.791176304</v>
      </c>
      <c r="S21">
        <f t="shared" ref="S21" si="83">R21/100000</f>
        <v>755.19991791176301</v>
      </c>
      <c r="T21">
        <f t="shared" ref="T21" si="84">S21/1000</f>
        <v>0.755199917911763</v>
      </c>
    </row>
    <row r="22" spans="1:20" x14ac:dyDescent="0.25">
      <c r="A22" s="5">
        <v>44571</v>
      </c>
      <c r="B22">
        <v>23.66</v>
      </c>
      <c r="C22">
        <v>24.26</v>
      </c>
      <c r="D22">
        <v>21.83</v>
      </c>
      <c r="E22">
        <v>22.68</v>
      </c>
      <c r="F22">
        <v>468268.783</v>
      </c>
      <c r="G22">
        <v>22.68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-0.30041152263374465</v>
      </c>
      <c r="Q22">
        <f t="shared" ref="Q22" si="86">F22*P22</f>
        <v>-140673.33810288057</v>
      </c>
      <c r="R22">
        <f t="shared" ref="R22" si="87">R23+Q22</f>
        <v>75263750.30935812</v>
      </c>
      <c r="S22">
        <f t="shared" ref="S22" si="88">R22/100000</f>
        <v>752.63750309358124</v>
      </c>
      <c r="T22">
        <f t="shared" ref="T22" si="89">S22/1000</f>
        <v>0.75263750309358124</v>
      </c>
    </row>
    <row r="23" spans="1:20" x14ac:dyDescent="0.25">
      <c r="A23" s="5">
        <v>44570</v>
      </c>
      <c r="B23">
        <v>23.08</v>
      </c>
      <c r="C23">
        <v>24.12</v>
      </c>
      <c r="D23">
        <v>22.91</v>
      </c>
      <c r="E23">
        <v>23.66</v>
      </c>
      <c r="F23">
        <v>251764.81</v>
      </c>
      <c r="G23">
        <v>23.66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0.23966942148760242</v>
      </c>
      <c r="Q23">
        <f t="shared" ref="Q23" si="91">F23*P23</f>
        <v>60340.326363636144</v>
      </c>
      <c r="R23">
        <f t="shared" ref="R23" si="92">R24+Q23</f>
        <v>75404423.647460997</v>
      </c>
      <c r="S23">
        <f t="shared" ref="S23" si="93">R23/100000</f>
        <v>754.04423647460999</v>
      </c>
      <c r="T23">
        <f t="shared" ref="T23" si="94">S23/1000</f>
        <v>0.75404423647460994</v>
      </c>
    </row>
    <row r="24" spans="1:20" x14ac:dyDescent="0.25">
      <c r="A24" s="5">
        <v>44569</v>
      </c>
      <c r="B24">
        <v>23.67</v>
      </c>
      <c r="C24">
        <v>25</v>
      </c>
      <c r="D24">
        <v>22.48</v>
      </c>
      <c r="E24">
        <v>23.07</v>
      </c>
      <c r="F24">
        <v>448333.40399999998</v>
      </c>
      <c r="G24">
        <v>23.07</v>
      </c>
      <c r="L24" t="s">
        <v>8</v>
      </c>
      <c r="M24" t="s">
        <v>7</v>
      </c>
      <c r="N24" t="s">
        <v>7</v>
      </c>
      <c r="P24">
        <f t="shared" ref="P24" si="95">IF(C24=D24,0,((E24-D24)-(C24-E24))/(C24-D24))</f>
        <v>-0.53174603174603174</v>
      </c>
      <c r="Q24">
        <f t="shared" ref="Q24" si="96">F24*P24</f>
        <v>-238399.50847619047</v>
      </c>
      <c r="R24">
        <f t="shared" ref="R24" si="97">R25+Q24</f>
        <v>75344083.321097359</v>
      </c>
      <c r="S24">
        <f t="shared" ref="S24" si="98">R24/100000</f>
        <v>753.44083321097355</v>
      </c>
      <c r="T24">
        <f t="shared" ref="T24" si="99">S24/1000</f>
        <v>0.75344083321097355</v>
      </c>
    </row>
    <row r="25" spans="1:20" x14ac:dyDescent="0.25">
      <c r="A25" s="5">
        <v>44568</v>
      </c>
      <c r="B25">
        <v>24.73</v>
      </c>
      <c r="C25">
        <v>24.8</v>
      </c>
      <c r="D25">
        <v>22.75</v>
      </c>
      <c r="E25">
        <v>23.65</v>
      </c>
      <c r="F25">
        <v>534908.38699999999</v>
      </c>
      <c r="G25">
        <v>23.65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-0.12195121951219681</v>
      </c>
      <c r="Q25">
        <f t="shared" ref="Q25" si="101">F25*P25</f>
        <v>-65232.730121952125</v>
      </c>
      <c r="R25">
        <f t="shared" ref="R25" si="102">R26+Q25</f>
        <v>75582482.829573557</v>
      </c>
      <c r="S25">
        <f t="shared" ref="S25" si="103">R25/100000</f>
        <v>755.82482829573553</v>
      </c>
      <c r="T25">
        <f t="shared" ref="T25" si="104">S25/1000</f>
        <v>0.7558248282957355</v>
      </c>
    </row>
    <row r="26" spans="1:20" x14ac:dyDescent="0.25">
      <c r="A26" s="5">
        <v>44567</v>
      </c>
      <c r="B26">
        <v>24.44</v>
      </c>
      <c r="C26">
        <v>24.89</v>
      </c>
      <c r="D26">
        <v>23.69</v>
      </c>
      <c r="E26">
        <v>24.75</v>
      </c>
      <c r="F26">
        <v>401818.58</v>
      </c>
      <c r="G26">
        <v>24.75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0.76666666666666561</v>
      </c>
      <c r="Q26">
        <f t="shared" ref="Q26" si="106">F26*P26</f>
        <v>308060.91133333294</v>
      </c>
      <c r="R26">
        <f t="shared" ref="R26" si="107">R27+Q26</f>
        <v>75647715.559695512</v>
      </c>
      <c r="S26">
        <f t="shared" ref="S26" si="108">R26/100000</f>
        <v>756.47715559695507</v>
      </c>
      <c r="T26">
        <f t="shared" ref="T26" si="109">S26/1000</f>
        <v>0.75647715559695505</v>
      </c>
    </row>
    <row r="27" spans="1:20" x14ac:dyDescent="0.25">
      <c r="A27" s="5">
        <v>44566</v>
      </c>
      <c r="B27">
        <v>26.02</v>
      </c>
      <c r="C27">
        <v>27.22</v>
      </c>
      <c r="D27">
        <v>23.53</v>
      </c>
      <c r="E27">
        <v>24.44</v>
      </c>
      <c r="F27">
        <v>568643.6</v>
      </c>
      <c r="G27">
        <v>24.44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-0.50677506775067716</v>
      </c>
      <c r="Q27">
        <f t="shared" ref="Q27" si="111">F27*P27</f>
        <v>-288174.39891598898</v>
      </c>
      <c r="R27">
        <f t="shared" ref="R27" si="112">R28+Q27</f>
        <v>75339654.648362175</v>
      </c>
      <c r="S27">
        <f t="shared" ref="S27" si="113">R27/100000</f>
        <v>753.39654648362171</v>
      </c>
      <c r="T27">
        <f t="shared" ref="T27" si="114">S27/1000</f>
        <v>0.75339654648362175</v>
      </c>
    </row>
    <row r="28" spans="1:20" x14ac:dyDescent="0.25">
      <c r="A28" s="5">
        <v>44565</v>
      </c>
      <c r="B28">
        <v>26.63</v>
      </c>
      <c r="C28">
        <v>26.94</v>
      </c>
      <c r="D28">
        <v>25.9</v>
      </c>
      <c r="E28">
        <v>26.03</v>
      </c>
      <c r="F28">
        <v>409667.74</v>
      </c>
      <c r="G28">
        <v>26.03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-0.74999999999999578</v>
      </c>
      <c r="Q28">
        <f t="shared" ref="Q28" si="116">F28*P28</f>
        <v>-307250.80499999825</v>
      </c>
      <c r="R28">
        <f t="shared" ref="R28" si="117">R29+Q28</f>
        <v>75627829.047278166</v>
      </c>
      <c r="S28">
        <f t="shared" ref="S28" si="118">R28/100000</f>
        <v>756.27829047278169</v>
      </c>
      <c r="T28">
        <f t="shared" ref="T28" si="119">S28/1000</f>
        <v>0.75627829047278172</v>
      </c>
    </row>
    <row r="29" spans="1:20" x14ac:dyDescent="0.25">
      <c r="A29" s="5">
        <v>44564</v>
      </c>
      <c r="B29">
        <v>27</v>
      </c>
      <c r="C29">
        <v>27.33</v>
      </c>
      <c r="D29">
        <v>25.96</v>
      </c>
      <c r="E29">
        <v>26.63</v>
      </c>
      <c r="F29">
        <v>320062.77</v>
      </c>
      <c r="G29">
        <v>26.63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-2.1897810218978974E-2</v>
      </c>
      <c r="Q29">
        <f t="shared" ref="Q29" si="121">F29*P29</f>
        <v>-7008.6737956207171</v>
      </c>
      <c r="R29">
        <f t="shared" ref="R29" si="122">R30+Q29</f>
        <v>75935079.852278158</v>
      </c>
      <c r="S29">
        <f t="shared" ref="S29" si="123">R29/100000</f>
        <v>759.35079852278159</v>
      </c>
      <c r="T29">
        <f t="shared" ref="T29" si="124">S29/1000</f>
        <v>0.75935079852278153</v>
      </c>
    </row>
    <row r="30" spans="1:20" x14ac:dyDescent="0.25">
      <c r="A30" s="5">
        <v>44563</v>
      </c>
      <c r="B30">
        <v>26.38</v>
      </c>
      <c r="C30">
        <v>27.31</v>
      </c>
      <c r="D30">
        <v>26.08</v>
      </c>
      <c r="E30">
        <v>27.01</v>
      </c>
      <c r="F30">
        <v>302251.15999999997</v>
      </c>
      <c r="G30">
        <v>27.01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0.5121951219512243</v>
      </c>
      <c r="Q30">
        <f t="shared" ref="Q30" si="126">F30*P30</f>
        <v>154811.56975609899</v>
      </c>
      <c r="R30">
        <f t="shared" ref="R30" si="127">R31+Q30</f>
        <v>75942088.526073784</v>
      </c>
      <c r="S30">
        <f t="shared" ref="S30" si="128">R30/100000</f>
        <v>759.4208852607378</v>
      </c>
      <c r="T30">
        <f t="shared" ref="T30" si="129">S30/1000</f>
        <v>0.75942088526073781</v>
      </c>
    </row>
    <row r="31" spans="1:20" x14ac:dyDescent="0.25">
      <c r="A31" s="5">
        <v>44562</v>
      </c>
      <c r="B31">
        <v>25.67</v>
      </c>
      <c r="C31">
        <v>26.54</v>
      </c>
      <c r="D31">
        <v>25.67</v>
      </c>
      <c r="E31">
        <v>26.38</v>
      </c>
      <c r="F31">
        <v>212078.03</v>
      </c>
      <c r="G31">
        <v>26.38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0.63218390804597557</v>
      </c>
      <c r="Q31">
        <f t="shared" ref="Q31" si="131">F31*P31</f>
        <v>134072.31781609164</v>
      </c>
      <c r="R31">
        <f t="shared" ref="R31" si="132">R32+Q31</f>
        <v>75787276.956317678</v>
      </c>
      <c r="S31">
        <f t="shared" ref="S31" si="133">R31/100000</f>
        <v>757.8727695631768</v>
      </c>
      <c r="T31">
        <f t="shared" ref="T31" si="134">S31/1000</f>
        <v>0.75787276956317684</v>
      </c>
    </row>
    <row r="32" spans="1:20" x14ac:dyDescent="0.25">
      <c r="A32" s="5">
        <v>44561</v>
      </c>
      <c r="B32">
        <v>26.13</v>
      </c>
      <c r="C32">
        <v>26.88</v>
      </c>
      <c r="D32">
        <v>24.98</v>
      </c>
      <c r="E32">
        <v>25.69</v>
      </c>
      <c r="F32">
        <v>317180.89</v>
      </c>
      <c r="G32">
        <v>25.69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-0.25263157894736699</v>
      </c>
      <c r="Q32">
        <f t="shared" ref="Q32" si="136">F32*P32</f>
        <v>-80129.909052631134</v>
      </c>
      <c r="R32">
        <f t="shared" ref="R32" si="137">R33+Q32</f>
        <v>75653204.638501585</v>
      </c>
      <c r="S32">
        <f t="shared" ref="S32" si="138">R32/100000</f>
        <v>756.53204638501586</v>
      </c>
      <c r="T32">
        <f t="shared" ref="T32" si="139">S32/1000</f>
        <v>0.75653204638501581</v>
      </c>
    </row>
    <row r="33" spans="1:20" x14ac:dyDescent="0.25">
      <c r="A33" s="5">
        <v>44560</v>
      </c>
      <c r="B33">
        <v>26.06</v>
      </c>
      <c r="C33">
        <v>26.75</v>
      </c>
      <c r="D33">
        <v>25.22</v>
      </c>
      <c r="E33">
        <v>26.14</v>
      </c>
      <c r="F33">
        <v>334145.89</v>
      </c>
      <c r="G33">
        <v>26.14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0.20261437908496865</v>
      </c>
      <c r="Q33">
        <f t="shared" ref="Q33" si="141">F33*P33</f>
        <v>67702.762026144235</v>
      </c>
      <c r="R33">
        <f t="shared" ref="R33" si="142">R34+Q33</f>
        <v>75733334.54755421</v>
      </c>
      <c r="S33">
        <f t="shared" ref="S33" si="143">R33/100000</f>
        <v>757.33334547554205</v>
      </c>
      <c r="T33">
        <f t="shared" ref="T33" si="144">S33/1000</f>
        <v>0.7573333454755421</v>
      </c>
    </row>
    <row r="34" spans="1:20" x14ac:dyDescent="0.25">
      <c r="A34" s="5">
        <v>44559</v>
      </c>
      <c r="B34">
        <v>27</v>
      </c>
      <c r="C34">
        <v>27.24</v>
      </c>
      <c r="D34">
        <v>25.87</v>
      </c>
      <c r="E34">
        <v>26.06</v>
      </c>
      <c r="F34">
        <v>314933.7</v>
      </c>
      <c r="G34">
        <v>26.06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-0.72262773722628015</v>
      </c>
      <c r="Q34">
        <f t="shared" ref="Q34" si="146">F34*P34</f>
        <v>-227579.82700730016</v>
      </c>
      <c r="R34">
        <f t="shared" ref="R34" si="147">R35+Q34</f>
        <v>75665631.785528064</v>
      </c>
      <c r="S34">
        <f t="shared" ref="S34" si="148">R34/100000</f>
        <v>756.65631785528069</v>
      </c>
      <c r="T34">
        <f t="shared" ref="T34" si="149">S34/1000</f>
        <v>0.75665631785528065</v>
      </c>
    </row>
    <row r="35" spans="1:20" x14ac:dyDescent="0.25">
      <c r="A35" s="5">
        <v>44558</v>
      </c>
      <c r="B35">
        <v>29.57</v>
      </c>
      <c r="C35">
        <v>29.57</v>
      </c>
      <c r="D35">
        <v>26.58</v>
      </c>
      <c r="E35">
        <v>27</v>
      </c>
      <c r="F35">
        <v>455990.4</v>
      </c>
      <c r="G35">
        <v>27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-0.71906354515050075</v>
      </c>
      <c r="Q35">
        <f t="shared" ref="Q35" si="151">F35*P35</f>
        <v>-327886.07357859489</v>
      </c>
      <c r="R35">
        <f t="shared" ref="R35" si="152">R36+Q35</f>
        <v>75893211.612535357</v>
      </c>
      <c r="S35">
        <f t="shared" ref="S35" si="153">R35/100000</f>
        <v>758.93211612535356</v>
      </c>
      <c r="T35">
        <f t="shared" ref="T35" si="154">S35/1000</f>
        <v>0.75893211612535361</v>
      </c>
    </row>
    <row r="36" spans="1:20" x14ac:dyDescent="0.25">
      <c r="A36" s="5">
        <v>44557</v>
      </c>
      <c r="B36">
        <v>29.54</v>
      </c>
      <c r="C36">
        <v>30.58</v>
      </c>
      <c r="D36">
        <v>29.41</v>
      </c>
      <c r="E36">
        <v>29.58</v>
      </c>
      <c r="F36">
        <v>313059.17</v>
      </c>
      <c r="G36">
        <v>29.58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-0.7094017094017121</v>
      </c>
      <c r="Q36">
        <f t="shared" ref="Q36" si="156">F36*P36</f>
        <v>-222084.71034188117</v>
      </c>
      <c r="R36">
        <f t="shared" ref="R36" si="157">R37+Q36</f>
        <v>76221097.686113954</v>
      </c>
      <c r="S36">
        <f t="shared" ref="S36" si="158">R36/100000</f>
        <v>762.21097686113956</v>
      </c>
      <c r="T36">
        <f t="shared" ref="T36" si="159">S36/1000</f>
        <v>0.76221097686113959</v>
      </c>
    </row>
    <row r="37" spans="1:20" x14ac:dyDescent="0.25">
      <c r="A37" s="5">
        <v>44556</v>
      </c>
      <c r="B37">
        <v>29.45</v>
      </c>
      <c r="C37">
        <v>29.64</v>
      </c>
      <c r="D37">
        <v>28.62</v>
      </c>
      <c r="E37">
        <v>29.52</v>
      </c>
      <c r="F37">
        <v>248900.18</v>
      </c>
      <c r="G37">
        <v>29.52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0.76470588235293913</v>
      </c>
      <c r="Q37">
        <f t="shared" ref="Q37" si="161">F37*P37</f>
        <v>190335.43176470537</v>
      </c>
      <c r="R37">
        <f t="shared" ref="R37" si="162">R38+Q37</f>
        <v>76443182.396455839</v>
      </c>
      <c r="S37">
        <f t="shared" ref="S37" si="163">R37/100000</f>
        <v>764.43182396455836</v>
      </c>
      <c r="T37">
        <f t="shared" ref="T37" si="164">S37/1000</f>
        <v>0.76443182396455833</v>
      </c>
    </row>
    <row r="38" spans="1:20" x14ac:dyDescent="0.25">
      <c r="A38" s="5">
        <v>44555</v>
      </c>
      <c r="B38">
        <v>28.96</v>
      </c>
      <c r="C38">
        <v>30.12</v>
      </c>
      <c r="D38">
        <v>28.83</v>
      </c>
      <c r="E38">
        <v>29.45</v>
      </c>
      <c r="F38">
        <v>276962.14</v>
      </c>
      <c r="G38">
        <v>29.45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-3.8759689922481091E-2</v>
      </c>
      <c r="Q38">
        <f t="shared" ref="Q38" si="166">F38*P38</f>
        <v>-10734.966666666798</v>
      </c>
      <c r="R38">
        <f t="shared" ref="R38" si="167">R39+Q38</f>
        <v>76252846.964691132</v>
      </c>
      <c r="S38">
        <f t="shared" ref="S38" si="168">R38/100000</f>
        <v>762.52846964691128</v>
      </c>
      <c r="T38">
        <f t="shared" ref="T38" si="169">S38/1000</f>
        <v>0.76252846964691123</v>
      </c>
    </row>
    <row r="39" spans="1:20" x14ac:dyDescent="0.25">
      <c r="A39" s="5">
        <v>44554</v>
      </c>
      <c r="B39">
        <v>29.7</v>
      </c>
      <c r="C39">
        <v>29.88</v>
      </c>
      <c r="D39">
        <v>28.66</v>
      </c>
      <c r="E39">
        <v>28.95</v>
      </c>
      <c r="F39">
        <v>352790.75</v>
      </c>
      <c r="G39">
        <v>28.95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-0.52459016393442714</v>
      </c>
      <c r="Q39">
        <f t="shared" ref="Q39" si="171">F39*P39</f>
        <v>-185070.5573770495</v>
      </c>
      <c r="R39">
        <f t="shared" ref="R39" si="172">R40+Q39</f>
        <v>76263581.931357801</v>
      </c>
      <c r="S39">
        <f t="shared" ref="S39" si="173">R39/100000</f>
        <v>762.63581931357805</v>
      </c>
      <c r="T39">
        <f t="shared" ref="T39" si="174">S39/1000</f>
        <v>0.76263581931357804</v>
      </c>
    </row>
    <row r="40" spans="1:20" x14ac:dyDescent="0.25">
      <c r="A40" s="5">
        <v>44553</v>
      </c>
      <c r="B40">
        <v>27.3</v>
      </c>
      <c r="C40">
        <v>29.88</v>
      </c>
      <c r="D40">
        <v>26.97</v>
      </c>
      <c r="E40">
        <v>29.69</v>
      </c>
      <c r="F40">
        <v>539796.43000000005</v>
      </c>
      <c r="G40">
        <v>29.69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0.86941580756013903</v>
      </c>
      <c r="Q40">
        <f t="shared" ref="Q40" si="176">F40*P40</f>
        <v>469307.54910653009</v>
      </c>
      <c r="R40">
        <f t="shared" ref="R40" si="177">R41+Q40</f>
        <v>76448652.488734856</v>
      </c>
      <c r="S40">
        <f t="shared" ref="S40" si="178">R40/100000</f>
        <v>764.48652488734854</v>
      </c>
      <c r="T40">
        <f t="shared" ref="T40" si="179">S40/1000</f>
        <v>0.76448652488734858</v>
      </c>
    </row>
    <row r="41" spans="1:20" x14ac:dyDescent="0.25">
      <c r="A41" s="5">
        <v>44552</v>
      </c>
      <c r="B41">
        <v>26.38</v>
      </c>
      <c r="C41">
        <v>27.99</v>
      </c>
      <c r="D41">
        <v>26.24</v>
      </c>
      <c r="E41">
        <v>27.3</v>
      </c>
      <c r="F41">
        <v>383364.24</v>
      </c>
      <c r="G41">
        <v>27.3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0.21142857142857402</v>
      </c>
      <c r="Q41">
        <f t="shared" ref="Q41" si="181">F41*P41</f>
        <v>81054.153600000995</v>
      </c>
      <c r="R41">
        <f t="shared" ref="R41" si="182">R42+Q41</f>
        <v>75979344.939628333</v>
      </c>
      <c r="S41">
        <f t="shared" ref="S41" si="183">R41/100000</f>
        <v>759.79344939628334</v>
      </c>
      <c r="T41">
        <f t="shared" ref="T41" si="184">S41/1000</f>
        <v>0.75979344939628335</v>
      </c>
    </row>
    <row r="42" spans="1:20" x14ac:dyDescent="0.25">
      <c r="A42" s="5">
        <v>44551</v>
      </c>
      <c r="B42">
        <v>25.65</v>
      </c>
      <c r="C42">
        <v>26.62</v>
      </c>
      <c r="D42">
        <v>25.42</v>
      </c>
      <c r="E42">
        <v>26.38</v>
      </c>
      <c r="F42">
        <v>321992.59000000003</v>
      </c>
      <c r="G42">
        <v>26.38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0.59999999999999643</v>
      </c>
      <c r="Q42">
        <f t="shared" ref="Q42" si="186">F42*P42</f>
        <v>193195.55399999887</v>
      </c>
      <c r="R42">
        <f t="shared" ref="R42" si="187">R43+Q42</f>
        <v>75898290.786028326</v>
      </c>
      <c r="S42">
        <f t="shared" ref="S42" si="188">R42/100000</f>
        <v>758.98290786028326</v>
      </c>
      <c r="T42">
        <f t="shared" ref="T42" si="189">S42/1000</f>
        <v>0.75898290786028322</v>
      </c>
    </row>
    <row r="43" spans="1:20" x14ac:dyDescent="0.25">
      <c r="A43" s="5">
        <v>44550</v>
      </c>
      <c r="B43">
        <v>25.29</v>
      </c>
      <c r="C43">
        <v>25.84</v>
      </c>
      <c r="D43">
        <v>24.04</v>
      </c>
      <c r="E43">
        <v>25.65</v>
      </c>
      <c r="F43">
        <v>479390.42</v>
      </c>
      <c r="G43">
        <v>25.65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0.78888888888888753</v>
      </c>
      <c r="Q43">
        <f t="shared" ref="Q43" si="191">F43*P43</f>
        <v>378185.77577777713</v>
      </c>
      <c r="R43">
        <f t="shared" ref="R43" si="192">R44+Q43</f>
        <v>75705095.23202832</v>
      </c>
      <c r="S43">
        <f t="shared" ref="S43" si="193">R43/100000</f>
        <v>757.05095232028316</v>
      </c>
      <c r="T43">
        <f t="shared" ref="T43" si="194">S43/1000</f>
        <v>0.75705095232028319</v>
      </c>
    </row>
    <row r="44" spans="1:20" x14ac:dyDescent="0.25">
      <c r="A44" s="5">
        <v>44549</v>
      </c>
      <c r="B44">
        <v>25.84</v>
      </c>
      <c r="C44">
        <v>26.4</v>
      </c>
      <c r="D44">
        <v>25.25</v>
      </c>
      <c r="E44">
        <v>25.31</v>
      </c>
      <c r="F44">
        <v>229411.9</v>
      </c>
      <c r="G44">
        <v>25.31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-0.89565217391304552</v>
      </c>
      <c r="Q44">
        <f t="shared" ref="Q44" si="196">F44*P44</f>
        <v>-205473.26695652222</v>
      </c>
      <c r="R44">
        <f t="shared" ref="R44" si="197">R45+Q44</f>
        <v>75326909.456250548</v>
      </c>
      <c r="S44">
        <f t="shared" ref="S44" si="198">R44/100000</f>
        <v>753.26909456250553</v>
      </c>
      <c r="T44">
        <f t="shared" ref="T44" si="199">S44/1000</f>
        <v>0.75326909456250557</v>
      </c>
    </row>
    <row r="45" spans="1:20" x14ac:dyDescent="0.25">
      <c r="A45" s="5">
        <v>44548</v>
      </c>
      <c r="B45">
        <v>25.4</v>
      </c>
      <c r="C45">
        <v>26.24</v>
      </c>
      <c r="D45">
        <v>24.93</v>
      </c>
      <c r="E45">
        <v>25.86</v>
      </c>
      <c r="F45">
        <v>242180.7</v>
      </c>
      <c r="G45">
        <v>25.86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0.41984732824427579</v>
      </c>
      <c r="Q45">
        <f t="shared" ref="Q45" si="201">F45*P45</f>
        <v>101678.91984732849</v>
      </c>
      <c r="R45">
        <f t="shared" ref="R45" si="202">R46+Q45</f>
        <v>75532382.723207071</v>
      </c>
      <c r="S45">
        <f t="shared" ref="S45" si="203">R45/100000</f>
        <v>755.3238272320707</v>
      </c>
      <c r="T45">
        <f t="shared" ref="T45" si="204">S45/1000</f>
        <v>0.7553238272320707</v>
      </c>
    </row>
    <row r="46" spans="1:20" x14ac:dyDescent="0.25">
      <c r="A46" s="5">
        <v>44547</v>
      </c>
      <c r="B46">
        <v>26.42</v>
      </c>
      <c r="C46">
        <v>27.08</v>
      </c>
      <c r="D46">
        <v>24.72</v>
      </c>
      <c r="E46">
        <v>25.4</v>
      </c>
      <c r="F46">
        <v>472289.08</v>
      </c>
      <c r="G46">
        <v>25.4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-0.42372881355932213</v>
      </c>
      <c r="Q46">
        <f t="shared" ref="Q46" si="206">F46*P46</f>
        <v>-200122.49152542377</v>
      </c>
      <c r="R46">
        <f t="shared" ref="R46" si="207">R47+Q46</f>
        <v>75430703.803359747</v>
      </c>
      <c r="S46">
        <f t="shared" ref="S46" si="208">R46/100000</f>
        <v>754.30703803359745</v>
      </c>
      <c r="T46">
        <f t="shared" ref="T46" si="209">S46/1000</f>
        <v>0.75430703803359744</v>
      </c>
    </row>
    <row r="47" spans="1:20" x14ac:dyDescent="0.25">
      <c r="A47" s="5">
        <v>44546</v>
      </c>
      <c r="B47">
        <v>27.14</v>
      </c>
      <c r="C47">
        <v>28.95</v>
      </c>
      <c r="D47">
        <v>26.33</v>
      </c>
      <c r="E47">
        <v>26.43</v>
      </c>
      <c r="F47">
        <v>576118.23</v>
      </c>
      <c r="G47">
        <v>26.43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-0.92366412213740356</v>
      </c>
      <c r="Q47">
        <f t="shared" ref="Q47" si="211">F47*P47</f>
        <v>-532139.73916030477</v>
      </c>
      <c r="R47">
        <f t="shared" ref="R47" si="212">R48+Q47</f>
        <v>75630826.294885173</v>
      </c>
      <c r="S47">
        <f t="shared" ref="S47" si="213">R47/100000</f>
        <v>756.30826294885173</v>
      </c>
      <c r="T47">
        <f t="shared" ref="T47" si="214">S47/1000</f>
        <v>0.75630826294885178</v>
      </c>
    </row>
    <row r="48" spans="1:20" x14ac:dyDescent="0.25">
      <c r="A48" s="5">
        <v>44545</v>
      </c>
      <c r="B48">
        <v>26.32</v>
      </c>
      <c r="C48">
        <v>27.51</v>
      </c>
      <c r="D48">
        <v>24.87</v>
      </c>
      <c r="E48">
        <v>27.14</v>
      </c>
      <c r="F48">
        <v>455766</v>
      </c>
      <c r="G48">
        <v>27.14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0.71969696969696906</v>
      </c>
      <c r="Q48">
        <f t="shared" ref="Q48" si="216">F48*P48</f>
        <v>328013.40909090883</v>
      </c>
      <c r="R48">
        <f t="shared" ref="R48" si="217">R49+Q48</f>
        <v>76162966.034045473</v>
      </c>
      <c r="S48">
        <f t="shared" ref="S48" si="218">R48/100000</f>
        <v>761.62966034045473</v>
      </c>
      <c r="T48">
        <f t="shared" ref="T48" si="219">S48/1000</f>
        <v>0.76162966034045476</v>
      </c>
    </row>
    <row r="49" spans="1:20" x14ac:dyDescent="0.25">
      <c r="A49" s="5">
        <v>44544</v>
      </c>
      <c r="B49">
        <v>25.29</v>
      </c>
      <c r="C49">
        <v>26.73</v>
      </c>
      <c r="D49">
        <v>24.87</v>
      </c>
      <c r="E49">
        <v>26.34</v>
      </c>
      <c r="F49">
        <v>441974.88</v>
      </c>
      <c r="G49">
        <v>26.34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0.58064516129032184</v>
      </c>
      <c r="Q49">
        <f t="shared" ref="Q49" si="221">F49*P49</f>
        <v>256630.57548387063</v>
      </c>
      <c r="R49">
        <f t="shared" ref="R49" si="222">R50+Q49</f>
        <v>75834952.624954566</v>
      </c>
      <c r="S49">
        <f t="shared" ref="S49" si="223">R49/100000</f>
        <v>758.34952624954565</v>
      </c>
      <c r="T49">
        <f t="shared" ref="T49" si="224">S49/1000</f>
        <v>0.75834952624954566</v>
      </c>
    </row>
    <row r="50" spans="1:20" x14ac:dyDescent="0.25">
      <c r="A50" s="5">
        <v>44543</v>
      </c>
      <c r="B50">
        <v>28.13</v>
      </c>
      <c r="C50">
        <v>28.26</v>
      </c>
      <c r="D50">
        <v>24.81</v>
      </c>
      <c r="E50">
        <v>25.32</v>
      </c>
      <c r="F50">
        <v>469965.74</v>
      </c>
      <c r="G50">
        <v>25.32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-0.7043478260869559</v>
      </c>
      <c r="Q50">
        <f t="shared" ref="Q50" si="226">F50*P50</f>
        <v>-331019.34730434755</v>
      </c>
      <c r="R50">
        <f t="shared" ref="R50" si="227">R51+Q50</f>
        <v>75578322.049470693</v>
      </c>
      <c r="S50">
        <f t="shared" ref="S50" si="228">R50/100000</f>
        <v>755.78322049470694</v>
      </c>
      <c r="T50">
        <f t="shared" ref="T50" si="229">S50/1000</f>
        <v>0.75578322049470692</v>
      </c>
    </row>
    <row r="51" spans="1:20" x14ac:dyDescent="0.25">
      <c r="A51" s="5">
        <v>44542</v>
      </c>
      <c r="B51">
        <v>28.05</v>
      </c>
      <c r="C51">
        <v>28.46</v>
      </c>
      <c r="D51">
        <v>27.27</v>
      </c>
      <c r="E51">
        <v>28.13</v>
      </c>
      <c r="F51">
        <v>250077.47</v>
      </c>
      <c r="G51">
        <v>28.13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0.44537815126050168</v>
      </c>
      <c r="Q51">
        <f t="shared" ref="Q51" si="231">F51*P51</f>
        <v>111379.04126050357</v>
      </c>
      <c r="R51">
        <f t="shared" ref="R51" si="232">R52+Q51</f>
        <v>75909341.396775037</v>
      </c>
      <c r="S51">
        <f t="shared" ref="S51" si="233">R51/100000</f>
        <v>759.09341396775039</v>
      </c>
      <c r="T51">
        <f t="shared" ref="T51" si="234">S51/1000</f>
        <v>0.75909341396775043</v>
      </c>
    </row>
    <row r="52" spans="1:20" x14ac:dyDescent="0.25">
      <c r="A52" s="5">
        <v>44541</v>
      </c>
      <c r="B52">
        <v>26.76</v>
      </c>
      <c r="C52">
        <v>27.12</v>
      </c>
      <c r="D52">
        <v>26.35</v>
      </c>
      <c r="E52">
        <v>26.99</v>
      </c>
      <c r="F52">
        <v>40811.51</v>
      </c>
      <c r="G52">
        <v>26.99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0.66233766233765545</v>
      </c>
      <c r="Q52">
        <f t="shared" ref="Q52" si="236">F52*P52</f>
        <v>27031.000129869852</v>
      </c>
      <c r="R52">
        <f t="shared" ref="R52" si="237">R53+Q52</f>
        <v>75797962.355514526</v>
      </c>
      <c r="S52">
        <f t="shared" ref="S52" si="238">R52/100000</f>
        <v>757.97962355514528</v>
      </c>
      <c r="T52">
        <f t="shared" ref="T52" si="239">S52/1000</f>
        <v>0.75797962355514525</v>
      </c>
    </row>
    <row r="53" spans="1:20" x14ac:dyDescent="0.25">
      <c r="A53" s="5">
        <v>44540</v>
      </c>
      <c r="B53">
        <v>27.93</v>
      </c>
      <c r="C53">
        <v>28.82</v>
      </c>
      <c r="D53">
        <v>26.68</v>
      </c>
      <c r="E53">
        <v>26.76</v>
      </c>
      <c r="F53">
        <v>514761.18</v>
      </c>
      <c r="G53">
        <v>26.76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-0.92523364485981141</v>
      </c>
      <c r="Q53">
        <f t="shared" ref="Q53" si="241">F53*P53</f>
        <v>-476274.36280373746</v>
      </c>
      <c r="R53">
        <f t="shared" ref="R53" si="242">R54+Q53</f>
        <v>75770931.355384663</v>
      </c>
      <c r="S53">
        <f t="shared" ref="S53" si="243">R53/100000</f>
        <v>757.70931355384664</v>
      </c>
      <c r="T53">
        <f t="shared" ref="T53" si="244">S53/1000</f>
        <v>0.75770931355384663</v>
      </c>
    </row>
    <row r="54" spans="1:20" x14ac:dyDescent="0.25">
      <c r="A54" s="5">
        <v>44539</v>
      </c>
      <c r="B54">
        <v>31.13</v>
      </c>
      <c r="C54">
        <v>31.22</v>
      </c>
      <c r="D54">
        <v>27.91</v>
      </c>
      <c r="E54">
        <v>27.95</v>
      </c>
      <c r="F54">
        <v>496391.41</v>
      </c>
      <c r="G54">
        <v>27.95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-0.97583081570997032</v>
      </c>
      <c r="Q54">
        <f t="shared" ref="Q54" si="246">F54*P54</f>
        <v>-484394.03453172231</v>
      </c>
      <c r="R54">
        <f t="shared" ref="R54" si="247">R55+Q54</f>
        <v>76247205.718188405</v>
      </c>
      <c r="S54">
        <f t="shared" ref="S54" si="248">R54/100000</f>
        <v>762.472057181884</v>
      </c>
      <c r="T54">
        <f t="shared" ref="T54" si="249">S54/1000</f>
        <v>0.76247205718188404</v>
      </c>
    </row>
    <row r="55" spans="1:20" x14ac:dyDescent="0.25">
      <c r="A55" s="5">
        <v>44538</v>
      </c>
      <c r="B55">
        <v>29.69</v>
      </c>
      <c r="C55">
        <v>31.63</v>
      </c>
      <c r="D55">
        <v>29.13</v>
      </c>
      <c r="E55">
        <v>31.14</v>
      </c>
      <c r="F55">
        <v>761737.2</v>
      </c>
      <c r="G55">
        <v>31.14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0.60800000000000121</v>
      </c>
      <c r="Q55">
        <f t="shared" ref="Q55" si="251">F55*P55</f>
        <v>463136.21760000091</v>
      </c>
      <c r="R55">
        <f t="shared" ref="R55" si="252">R56+Q55</f>
        <v>76731599.752720132</v>
      </c>
      <c r="S55">
        <f t="shared" ref="S55" si="253">R55/100000</f>
        <v>767.31599752720138</v>
      </c>
      <c r="T55">
        <f t="shared" ref="T55" si="254">S55/1000</f>
        <v>0.76731599752720137</v>
      </c>
    </row>
    <row r="56" spans="1:20" x14ac:dyDescent="0.25">
      <c r="A56" s="5">
        <v>44537</v>
      </c>
      <c r="B56">
        <v>29.38</v>
      </c>
      <c r="C56">
        <v>30.52</v>
      </c>
      <c r="D56">
        <v>29.01</v>
      </c>
      <c r="E56">
        <v>29.67</v>
      </c>
      <c r="F56">
        <v>451817.64</v>
      </c>
      <c r="G56">
        <v>29.67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-0.1258278145695351</v>
      </c>
      <c r="Q56">
        <f t="shared" ref="Q56" si="256">F56*P56</f>
        <v>-56851.226225164966</v>
      </c>
      <c r="R56">
        <f t="shared" ref="R56" si="257">R57+Q56</f>
        <v>76268463.53512013</v>
      </c>
      <c r="S56">
        <f t="shared" ref="S56" si="258">R56/100000</f>
        <v>762.68463535120134</v>
      </c>
      <c r="T56">
        <f t="shared" ref="T56" si="259">S56/1000</f>
        <v>0.76268463535120135</v>
      </c>
    </row>
    <row r="57" spans="1:20" x14ac:dyDescent="0.25">
      <c r="A57" s="5">
        <v>44536</v>
      </c>
      <c r="B57">
        <v>28.21</v>
      </c>
      <c r="C57">
        <v>29.59</v>
      </c>
      <c r="D57">
        <v>25.98</v>
      </c>
      <c r="E57">
        <v>29.37</v>
      </c>
      <c r="F57">
        <v>876932.84</v>
      </c>
      <c r="G57">
        <v>29.37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0.87811634349030532</v>
      </c>
      <c r="Q57">
        <f t="shared" ref="Q57" si="261">F57*P57</f>
        <v>770049.05894736887</v>
      </c>
      <c r="R57">
        <f t="shared" ref="R57" si="262">R58+Q57</f>
        <v>76325314.761345297</v>
      </c>
      <c r="S57">
        <f t="shared" ref="S57" si="263">R57/100000</f>
        <v>763.25314761345294</v>
      </c>
      <c r="T57">
        <f t="shared" ref="T57" si="264">S57/1000</f>
        <v>0.76325314761345298</v>
      </c>
    </row>
    <row r="58" spans="1:20" x14ac:dyDescent="0.25">
      <c r="A58" s="5">
        <v>44535</v>
      </c>
      <c r="B58">
        <v>29.61</v>
      </c>
      <c r="C58">
        <v>30.62</v>
      </c>
      <c r="D58">
        <v>27.21</v>
      </c>
      <c r="E58">
        <v>28.22</v>
      </c>
      <c r="F58">
        <v>802304.16</v>
      </c>
      <c r="G58">
        <v>28.22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-0.40762463343108624</v>
      </c>
      <c r="Q58">
        <f t="shared" ref="Q58" si="266">F58*P58</f>
        <v>-327038.93912023556</v>
      </c>
      <c r="R58">
        <f t="shared" ref="R58" si="267">R59+Q58</f>
        <v>75555265.702397928</v>
      </c>
      <c r="S58">
        <f t="shared" ref="S58" si="268">R58/100000</f>
        <v>755.55265702397924</v>
      </c>
      <c r="T58">
        <f t="shared" ref="T58" si="269">S58/1000</f>
        <v>0.75555265702397922</v>
      </c>
    </row>
    <row r="59" spans="1:20" x14ac:dyDescent="0.25">
      <c r="A59" s="5">
        <v>44534</v>
      </c>
      <c r="B59">
        <v>35.020000000000003</v>
      </c>
      <c r="C59">
        <v>35.07</v>
      </c>
      <c r="D59">
        <v>23</v>
      </c>
      <c r="E59">
        <v>29.63</v>
      </c>
      <c r="F59">
        <v>1827380.314</v>
      </c>
      <c r="G59">
        <v>29.63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9.8591549295774461E-2</v>
      </c>
      <c r="Q59">
        <f t="shared" ref="Q59" si="271">F59*P59</f>
        <v>180164.25630985881</v>
      </c>
      <c r="R59">
        <f t="shared" ref="R59" si="272">R60+Q59</f>
        <v>75882304.641518161</v>
      </c>
      <c r="S59">
        <f t="shared" ref="S59" si="273">R59/100000</f>
        <v>758.82304641518158</v>
      </c>
      <c r="T59">
        <f t="shared" ref="T59" si="274">S59/1000</f>
        <v>0.75882304641518161</v>
      </c>
    </row>
    <row r="60" spans="1:20" x14ac:dyDescent="0.25">
      <c r="A60" s="5">
        <v>44533</v>
      </c>
      <c r="B60">
        <v>36.549999999999997</v>
      </c>
      <c r="C60">
        <v>38.299999999999997</v>
      </c>
      <c r="D60">
        <v>33.659999999999997</v>
      </c>
      <c r="E60">
        <v>35.04</v>
      </c>
      <c r="F60">
        <v>646134.13300000003</v>
      </c>
      <c r="G60">
        <v>35.04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-0.40517241379310243</v>
      </c>
      <c r="Q60">
        <f t="shared" ref="Q60" si="276">F60*P60</f>
        <v>-261795.72630172348</v>
      </c>
      <c r="R60">
        <f t="shared" ref="R60" si="277">R61+Q60</f>
        <v>75702140.385208309</v>
      </c>
      <c r="S60">
        <f t="shared" ref="S60" si="278">R60/100000</f>
        <v>757.02140385208304</v>
      </c>
      <c r="T60">
        <f t="shared" ref="T60" si="279">S60/1000</f>
        <v>0.75702140385208305</v>
      </c>
    </row>
    <row r="61" spans="1:20" x14ac:dyDescent="0.25">
      <c r="A61" s="5">
        <v>44532</v>
      </c>
      <c r="B61">
        <v>37.340000000000003</v>
      </c>
      <c r="C61">
        <v>37.369999999999997</v>
      </c>
      <c r="D61">
        <v>35.799999999999997</v>
      </c>
      <c r="E61">
        <v>36.53</v>
      </c>
      <c r="F61">
        <v>308038.25</v>
      </c>
      <c r="G61">
        <v>36.53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-7.0063694267511023E-2</v>
      </c>
      <c r="Q61">
        <f t="shared" ref="Q61" si="281">F61*P61</f>
        <v>-21582.297770699126</v>
      </c>
      <c r="R61">
        <f t="shared" ref="R61" si="282">R62+Q61</f>
        <v>75963936.111510038</v>
      </c>
      <c r="S61">
        <f t="shared" ref="S61" si="283">R61/100000</f>
        <v>759.63936111510043</v>
      </c>
      <c r="T61">
        <f t="shared" ref="T61" si="284">S61/1000</f>
        <v>0.75963936111510044</v>
      </c>
    </row>
    <row r="62" spans="1:20" x14ac:dyDescent="0.25">
      <c r="A62" s="5">
        <v>44531</v>
      </c>
      <c r="B62">
        <v>37.520000000000003</v>
      </c>
      <c r="C62">
        <v>38.380000000000003</v>
      </c>
      <c r="D62">
        <v>36.78</v>
      </c>
      <c r="E62">
        <v>37.36</v>
      </c>
      <c r="F62">
        <v>367668.5</v>
      </c>
      <c r="G62">
        <v>37.36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-0.2750000000000028</v>
      </c>
      <c r="Q62">
        <f t="shared" ref="Q62" si="286">F62*P62</f>
        <v>-101108.83750000103</v>
      </c>
      <c r="R62">
        <f t="shared" ref="R62" si="287">R63+Q62</f>
        <v>75985518.409280732</v>
      </c>
      <c r="S62">
        <f t="shared" ref="S62" si="288">R62/100000</f>
        <v>759.85518409280735</v>
      </c>
      <c r="T62">
        <f t="shared" ref="T62" si="289">S62/1000</f>
        <v>0.75985518409280739</v>
      </c>
    </row>
    <row r="63" spans="1:20" x14ac:dyDescent="0.25">
      <c r="A63" s="5">
        <v>44530</v>
      </c>
      <c r="B63">
        <v>38.380000000000003</v>
      </c>
      <c r="C63">
        <v>38.99</v>
      </c>
      <c r="D63">
        <v>37.32</v>
      </c>
      <c r="E63">
        <v>37.5</v>
      </c>
      <c r="F63">
        <v>422834.02</v>
      </c>
      <c r="G63">
        <v>37.5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-0.78443113772455142</v>
      </c>
      <c r="Q63">
        <f t="shared" ref="Q63" si="291">F63*P63</f>
        <v>-331684.17137724574</v>
      </c>
      <c r="R63">
        <f t="shared" ref="R63" si="292">R64+Q63</f>
        <v>76086627.246780738</v>
      </c>
      <c r="S63">
        <f t="shared" ref="S63" si="293">R63/100000</f>
        <v>760.86627246780733</v>
      </c>
      <c r="T63">
        <f t="shared" ref="T63" si="294">S63/1000</f>
        <v>0.76086627246780736</v>
      </c>
    </row>
    <row r="64" spans="1:20" x14ac:dyDescent="0.25">
      <c r="A64" s="5">
        <v>44529</v>
      </c>
      <c r="B64">
        <v>38.01</v>
      </c>
      <c r="C64">
        <v>38.58</v>
      </c>
      <c r="D64">
        <v>37.06</v>
      </c>
      <c r="E64">
        <v>38.39</v>
      </c>
      <c r="F64">
        <v>293759.3</v>
      </c>
      <c r="G64">
        <v>38.39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0.75000000000000233</v>
      </c>
      <c r="Q64">
        <f t="shared" ref="Q64" si="296">F64*P64</f>
        <v>220319.47500000068</v>
      </c>
      <c r="R64">
        <f t="shared" ref="R64" si="297">R65+Q64</f>
        <v>76418311.41815798</v>
      </c>
      <c r="S64">
        <f t="shared" ref="S64" si="298">R64/100000</f>
        <v>764.18311418157975</v>
      </c>
      <c r="T64">
        <f t="shared" ref="T64" si="299">S64/1000</f>
        <v>0.7641831141815798</v>
      </c>
    </row>
    <row r="65" spans="1:20" x14ac:dyDescent="0.25">
      <c r="A65" s="5">
        <v>44528</v>
      </c>
      <c r="B65">
        <v>37.520000000000003</v>
      </c>
      <c r="C65">
        <v>38.04</v>
      </c>
      <c r="D65">
        <v>35.11</v>
      </c>
      <c r="E65">
        <v>38.04</v>
      </c>
      <c r="F65">
        <v>354906.77</v>
      </c>
      <c r="G65">
        <v>38.04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1</v>
      </c>
      <c r="Q65">
        <f t="shared" ref="Q65" si="301">F65*P65</f>
        <v>354906.77</v>
      </c>
      <c r="R65">
        <f t="shared" ref="R65" si="302">R66+Q65</f>
        <v>76197991.943157986</v>
      </c>
      <c r="S65">
        <f t="shared" ref="S65" si="303">R65/100000</f>
        <v>761.9799194315799</v>
      </c>
      <c r="T65">
        <f t="shared" ref="T65" si="304">S65/1000</f>
        <v>0.76197991943157994</v>
      </c>
    </row>
    <row r="66" spans="1:20" x14ac:dyDescent="0.25">
      <c r="A66" s="5">
        <v>44527</v>
      </c>
      <c r="B66">
        <v>37.159999999999997</v>
      </c>
      <c r="C66">
        <v>38.47</v>
      </c>
      <c r="D66">
        <v>36.979999999999997</v>
      </c>
      <c r="E66">
        <v>37.53</v>
      </c>
      <c r="F66">
        <v>280070.17</v>
      </c>
      <c r="G66">
        <v>37.53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-0.26174496644294826</v>
      </c>
      <c r="Q66">
        <f t="shared" ref="Q66" si="306">F66*P66</f>
        <v>-73306.957248320803</v>
      </c>
      <c r="R66">
        <f t="shared" ref="R66" si="307">R67+Q66</f>
        <v>75843085.17315799</v>
      </c>
      <c r="S66">
        <f t="shared" ref="S66" si="308">R66/100000</f>
        <v>758.43085173157988</v>
      </c>
      <c r="T66">
        <f t="shared" ref="T66" si="309">S66/1000</f>
        <v>0.75843085173157987</v>
      </c>
    </row>
    <row r="67" spans="1:20" x14ac:dyDescent="0.25">
      <c r="A67" s="5">
        <v>44526</v>
      </c>
      <c r="B67">
        <v>41.16</v>
      </c>
      <c r="C67">
        <v>41.29</v>
      </c>
      <c r="D67">
        <v>36.15</v>
      </c>
      <c r="E67">
        <v>37.14</v>
      </c>
      <c r="F67">
        <v>702754.17</v>
      </c>
      <c r="G67">
        <v>37.14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-0.61478599221789809</v>
      </c>
      <c r="Q67">
        <f t="shared" ref="Q67" si="311">F67*P67</f>
        <v>-432043.41968871548</v>
      </c>
      <c r="R67">
        <f t="shared" ref="R67" si="312">R68+Q67</f>
        <v>75916392.130406305</v>
      </c>
      <c r="S67">
        <f t="shared" ref="S67" si="313">R67/100000</f>
        <v>759.16392130406302</v>
      </c>
      <c r="T67">
        <f t="shared" ref="T67" si="314">S67/1000</f>
        <v>0.75916392130406307</v>
      </c>
    </row>
    <row r="68" spans="1:20" x14ac:dyDescent="0.25">
      <c r="A68" s="5">
        <v>44525</v>
      </c>
      <c r="B68">
        <v>39.15</v>
      </c>
      <c r="C68">
        <v>41.58</v>
      </c>
      <c r="D68">
        <v>38.82</v>
      </c>
      <c r="E68">
        <v>41.14</v>
      </c>
      <c r="F68">
        <v>410870.8</v>
      </c>
      <c r="G68">
        <v>41.14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0.68115942028985654</v>
      </c>
      <c r="Q68">
        <f t="shared" ref="Q68" si="316">F68*P68</f>
        <v>279868.5159420296</v>
      </c>
      <c r="R68">
        <f t="shared" ref="R68" si="317">R69+Q68</f>
        <v>76348435.550095022</v>
      </c>
      <c r="S68">
        <f t="shared" ref="S68" si="318">R68/100000</f>
        <v>763.48435550095019</v>
      </c>
      <c r="T68">
        <f t="shared" ref="T68" si="319">S68/1000</f>
        <v>0.76348435550095017</v>
      </c>
    </row>
    <row r="69" spans="1:20" x14ac:dyDescent="0.25">
      <c r="A69" s="5">
        <v>44524</v>
      </c>
      <c r="B69">
        <v>40.31</v>
      </c>
      <c r="C69">
        <v>40.85</v>
      </c>
      <c r="D69">
        <v>39.159999999999997</v>
      </c>
      <c r="E69">
        <v>39.479999999999997</v>
      </c>
      <c r="F69">
        <v>119764.04</v>
      </c>
      <c r="G69">
        <v>39.479999999999997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-0.62130177514792972</v>
      </c>
      <c r="Q69">
        <f t="shared" ref="Q69" si="321">F69*P69</f>
        <v>-74409.610650887655</v>
      </c>
      <c r="R69">
        <f t="shared" ref="R69" si="322">R70+Q69</f>
        <v>76068567.034153</v>
      </c>
      <c r="S69">
        <f t="shared" ref="S69" si="323">R69/100000</f>
        <v>760.68567034153</v>
      </c>
      <c r="T69">
        <f t="shared" ref="T69" si="324">S69/1000</f>
        <v>0.76068567034153001</v>
      </c>
    </row>
    <row r="70" spans="1:20" x14ac:dyDescent="0.25">
      <c r="A70" s="5">
        <v>44523</v>
      </c>
      <c r="B70">
        <v>40.229999999999997</v>
      </c>
      <c r="C70">
        <v>40.72</v>
      </c>
      <c r="D70">
        <v>39.26</v>
      </c>
      <c r="E70">
        <v>40.28</v>
      </c>
      <c r="F70">
        <v>348857.15</v>
      </c>
      <c r="G70">
        <v>40.28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0.39726027397260621</v>
      </c>
      <c r="Q70">
        <f t="shared" ref="Q70" si="326">F70*P70</f>
        <v>138587.0869863026</v>
      </c>
      <c r="R70">
        <f t="shared" ref="R70" si="327">R71+Q70</f>
        <v>76142976.644803882</v>
      </c>
      <c r="S70">
        <f t="shared" ref="S70" si="328">R70/100000</f>
        <v>761.42976644803878</v>
      </c>
      <c r="T70">
        <f t="shared" ref="T70" si="329">S70/1000</f>
        <v>0.76142976644803873</v>
      </c>
    </row>
    <row r="71" spans="1:20" x14ac:dyDescent="0.25">
      <c r="A71" s="5">
        <v>44522</v>
      </c>
      <c r="B71">
        <v>41.57</v>
      </c>
      <c r="C71">
        <v>41.9</v>
      </c>
      <c r="D71">
        <v>39.549999999999997</v>
      </c>
      <c r="E71">
        <v>40.229999999999997</v>
      </c>
      <c r="F71">
        <v>412060.64</v>
      </c>
      <c r="G71">
        <v>40.229999999999997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-0.42127659574468146</v>
      </c>
      <c r="Q71">
        <f t="shared" ref="Q71" si="331">F71*P71</f>
        <v>-173591.50365957472</v>
      </c>
      <c r="R71">
        <f t="shared" ref="R71" si="332">R72+Q71</f>
        <v>76004389.557817578</v>
      </c>
      <c r="S71">
        <f t="shared" ref="S71" si="333">R71/100000</f>
        <v>760.04389557817581</v>
      </c>
      <c r="T71">
        <f t="shared" ref="T71" si="334">S71/1000</f>
        <v>0.76004389557817575</v>
      </c>
    </row>
    <row r="72" spans="1:20" x14ac:dyDescent="0.25">
      <c r="A72" s="5">
        <v>44521</v>
      </c>
      <c r="B72">
        <v>42.08</v>
      </c>
      <c r="C72">
        <v>42.78</v>
      </c>
      <c r="D72">
        <v>41.28</v>
      </c>
      <c r="E72">
        <v>41.57</v>
      </c>
      <c r="F72">
        <v>305851.24</v>
      </c>
      <c r="G72">
        <v>41.57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-0.61333333333333451</v>
      </c>
      <c r="Q72">
        <f t="shared" ref="Q72" si="336">F72*P72</f>
        <v>-187588.7605333337</v>
      </c>
      <c r="R72">
        <f t="shared" ref="R72" si="337">R73+Q72</f>
        <v>76177981.061477154</v>
      </c>
      <c r="S72">
        <f t="shared" ref="S72" si="338">R72/100000</f>
        <v>761.77981061477158</v>
      </c>
      <c r="T72">
        <f t="shared" ref="T72" si="339">S72/1000</f>
        <v>0.76177981061477162</v>
      </c>
    </row>
    <row r="73" spans="1:20" x14ac:dyDescent="0.25">
      <c r="A73" s="5">
        <v>44520</v>
      </c>
      <c r="B73">
        <v>41.52</v>
      </c>
      <c r="C73">
        <v>42.34</v>
      </c>
      <c r="D73">
        <v>40.28</v>
      </c>
      <c r="E73">
        <v>42.08</v>
      </c>
      <c r="F73">
        <v>313557.90000000002</v>
      </c>
      <c r="G73">
        <v>42.08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0.74757281553397592</v>
      </c>
      <c r="Q73">
        <f t="shared" ref="Q73" si="341">F73*P73</f>
        <v>234407.36213592088</v>
      </c>
      <c r="R73">
        <f t="shared" ref="R73" si="342">R74+Q73</f>
        <v>76365569.822010487</v>
      </c>
      <c r="S73">
        <f t="shared" ref="S73" si="343">R73/100000</f>
        <v>763.65569822010491</v>
      </c>
      <c r="T73">
        <f t="shared" ref="T73" si="344">S73/1000</f>
        <v>0.76365569822010493</v>
      </c>
    </row>
    <row r="74" spans="1:20" x14ac:dyDescent="0.25">
      <c r="A74" s="5">
        <v>44519</v>
      </c>
      <c r="B74">
        <v>39.82</v>
      </c>
      <c r="C74">
        <v>41.75</v>
      </c>
      <c r="D74">
        <v>39.270000000000003</v>
      </c>
      <c r="E74">
        <v>41.51</v>
      </c>
      <c r="F74">
        <v>314662.71000000002</v>
      </c>
      <c r="G74">
        <v>41.51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0.80645161290322398</v>
      </c>
      <c r="Q74">
        <f t="shared" ref="Q74" si="346">F74*P74</f>
        <v>253760.24999999945</v>
      </c>
      <c r="R74">
        <f t="shared" ref="R74" si="347">R75+Q74</f>
        <v>76131162.45987457</v>
      </c>
      <c r="S74">
        <f t="shared" ref="S74" si="348">R74/100000</f>
        <v>761.31162459874565</v>
      </c>
      <c r="T74">
        <f t="shared" ref="T74" si="349">S74/1000</f>
        <v>0.76131162459874568</v>
      </c>
    </row>
    <row r="75" spans="1:20" x14ac:dyDescent="0.25">
      <c r="A75" s="5">
        <v>44518</v>
      </c>
      <c r="B75">
        <v>43.25</v>
      </c>
      <c r="C75">
        <v>43.65</v>
      </c>
      <c r="D75">
        <v>38.369999999999997</v>
      </c>
      <c r="E75">
        <v>39.840000000000003</v>
      </c>
      <c r="F75">
        <v>534548.74</v>
      </c>
      <c r="G75">
        <v>39.840000000000003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-0.44318181818181607</v>
      </c>
      <c r="Q75">
        <f t="shared" ref="Q75" si="351">F75*P75</f>
        <v>-236902.28249999887</v>
      </c>
      <c r="R75">
        <f t="shared" ref="R75" si="352">R76+Q75</f>
        <v>75877402.20987457</v>
      </c>
      <c r="S75">
        <f t="shared" ref="S75" si="353">R75/100000</f>
        <v>758.77402209874572</v>
      </c>
      <c r="T75">
        <f t="shared" ref="T75" si="354">S75/1000</f>
        <v>0.75877402209874567</v>
      </c>
    </row>
    <row r="76" spans="1:20" x14ac:dyDescent="0.25">
      <c r="A76" s="5">
        <v>44517</v>
      </c>
      <c r="B76">
        <v>42.81</v>
      </c>
      <c r="C76">
        <v>43.6</v>
      </c>
      <c r="D76">
        <v>41.16</v>
      </c>
      <c r="E76">
        <v>43.28</v>
      </c>
      <c r="F76">
        <v>410910.53</v>
      </c>
      <c r="G76">
        <v>43.28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0.73770491803278715</v>
      </c>
      <c r="Q76">
        <f t="shared" ref="Q76" si="356">F76*P76</f>
        <v>303130.71885245916</v>
      </c>
      <c r="R76">
        <f t="shared" ref="R76" si="357">R77+Q76</f>
        <v>76114304.492374569</v>
      </c>
      <c r="S76">
        <f t="shared" ref="S76" si="358">R76/100000</f>
        <v>761.14304492374572</v>
      </c>
      <c r="T76">
        <f t="shared" ref="T76" si="359">S76/1000</f>
        <v>0.76114304492374574</v>
      </c>
    </row>
    <row r="77" spans="1:20" x14ac:dyDescent="0.25">
      <c r="A77" s="5">
        <v>44516</v>
      </c>
      <c r="B77">
        <v>47.08</v>
      </c>
      <c r="C77">
        <v>47.1</v>
      </c>
      <c r="D77">
        <v>40.36</v>
      </c>
      <c r="E77">
        <v>42.83</v>
      </c>
      <c r="F77">
        <v>863435.88</v>
      </c>
      <c r="G77">
        <v>42.83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-0.26706231454005991</v>
      </c>
      <c r="Q77">
        <f t="shared" ref="Q77" si="361">F77*P77</f>
        <v>-230591.18456973342</v>
      </c>
      <c r="R77">
        <f t="shared" ref="R77" si="362">R78+Q77</f>
        <v>75811173.773522109</v>
      </c>
      <c r="S77">
        <f t="shared" ref="S77" si="363">R77/100000</f>
        <v>758.11173773522114</v>
      </c>
      <c r="T77">
        <f t="shared" ref="T77" si="364">S77/1000</f>
        <v>0.75811173773522111</v>
      </c>
    </row>
    <row r="78" spans="1:20" x14ac:dyDescent="0.25">
      <c r="A78" s="5">
        <v>44515</v>
      </c>
      <c r="B78">
        <v>48.51</v>
      </c>
      <c r="C78">
        <v>49.19</v>
      </c>
      <c r="D78">
        <v>46.8</v>
      </c>
      <c r="E78">
        <v>47.07</v>
      </c>
      <c r="F78">
        <v>383132.69</v>
      </c>
      <c r="G78">
        <v>47.07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-0.77405857740585515</v>
      </c>
      <c r="Q78">
        <f t="shared" ref="Q78" si="366">F78*P78</f>
        <v>-296567.1449790785</v>
      </c>
      <c r="R78">
        <f t="shared" ref="R78" si="367">R79+Q78</f>
        <v>76041764.95809184</v>
      </c>
      <c r="S78">
        <f t="shared" ref="S78" si="368">R78/100000</f>
        <v>760.41764958091835</v>
      </c>
      <c r="T78">
        <f t="shared" ref="T78" si="369">S78/1000</f>
        <v>0.7604176495809184</v>
      </c>
    </row>
    <row r="79" spans="1:20" x14ac:dyDescent="0.25">
      <c r="A79" s="5">
        <v>44514</v>
      </c>
      <c r="B79">
        <v>49.09</v>
      </c>
      <c r="C79">
        <v>49.5</v>
      </c>
      <c r="D79">
        <v>47.14</v>
      </c>
      <c r="E79">
        <v>48.48</v>
      </c>
      <c r="F79">
        <v>271460.40999999997</v>
      </c>
      <c r="G79">
        <v>48.48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0.13559322033898019</v>
      </c>
      <c r="Q79">
        <f t="shared" ref="Q79" si="371">F79*P79</f>
        <v>36808.191186439901</v>
      </c>
      <c r="R79">
        <f t="shared" ref="R79" si="372">R80+Q79</f>
        <v>76338332.103070915</v>
      </c>
      <c r="S79">
        <f t="shared" ref="S79" si="373">R79/100000</f>
        <v>763.38332103070911</v>
      </c>
      <c r="T79">
        <f t="shared" ref="T79" si="374">S79/1000</f>
        <v>0.76338332103070916</v>
      </c>
    </row>
    <row r="80" spans="1:20" x14ac:dyDescent="0.25">
      <c r="A80" s="5">
        <v>44513</v>
      </c>
      <c r="B80">
        <v>47.31</v>
      </c>
      <c r="C80">
        <v>49.82</v>
      </c>
      <c r="D80">
        <v>46.67</v>
      </c>
      <c r="E80">
        <v>49.05</v>
      </c>
      <c r="F80">
        <v>408224.26</v>
      </c>
      <c r="G80">
        <v>49.05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0.51111111111110885</v>
      </c>
      <c r="Q80">
        <f t="shared" ref="Q80" si="376">F80*P80</f>
        <v>208647.9551111102</v>
      </c>
      <c r="R80">
        <f t="shared" ref="R80" si="377">R81+Q80</f>
        <v>76301523.911884472</v>
      </c>
      <c r="S80">
        <f t="shared" ref="S80" si="378">R80/100000</f>
        <v>763.01523911884476</v>
      </c>
      <c r="T80">
        <f t="shared" ref="T80" si="379">S80/1000</f>
        <v>0.76301523911884472</v>
      </c>
    </row>
    <row r="81" spans="1:20" x14ac:dyDescent="0.25">
      <c r="A81" s="5">
        <v>44512</v>
      </c>
      <c r="B81">
        <v>48.54</v>
      </c>
      <c r="C81">
        <v>48.99</v>
      </c>
      <c r="D81">
        <v>45.63</v>
      </c>
      <c r="E81">
        <v>47.31</v>
      </c>
      <c r="F81">
        <v>504107.79</v>
      </c>
      <c r="G81">
        <v>47.31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</v>
      </c>
      <c r="Q81">
        <f t="shared" ref="Q81" si="381">F81*P81</f>
        <v>0</v>
      </c>
      <c r="R81">
        <f t="shared" ref="R81" si="382">R82+Q81</f>
        <v>76092875.956773356</v>
      </c>
      <c r="S81">
        <f t="shared" ref="S81" si="383">R81/100000</f>
        <v>760.92875956773355</v>
      </c>
      <c r="T81">
        <f t="shared" ref="T81" si="384">S81/1000</f>
        <v>0.76092875956773354</v>
      </c>
    </row>
    <row r="82" spans="1:20" x14ac:dyDescent="0.25">
      <c r="A82" s="5">
        <v>44511</v>
      </c>
      <c r="B82">
        <v>48.18</v>
      </c>
      <c r="C82">
        <v>50.11</v>
      </c>
      <c r="D82">
        <v>47.21</v>
      </c>
      <c r="E82">
        <v>48.52</v>
      </c>
      <c r="F82">
        <v>588882.98</v>
      </c>
      <c r="G82">
        <v>48.52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-9.6551724137929021E-2</v>
      </c>
      <c r="Q82">
        <f t="shared" ref="Q82" si="386">F82*P82</f>
        <v>-56857.667034481572</v>
      </c>
      <c r="R82">
        <f t="shared" ref="R82" si="387">R83+Q82</f>
        <v>76092875.956773356</v>
      </c>
      <c r="S82">
        <f t="shared" ref="S82" si="388">R82/100000</f>
        <v>760.92875956773355</v>
      </c>
      <c r="T82">
        <f t="shared" ref="T82" si="389">S82/1000</f>
        <v>0.76092875956773354</v>
      </c>
    </row>
    <row r="83" spans="1:20" x14ac:dyDescent="0.25">
      <c r="A83" s="5">
        <v>44510</v>
      </c>
      <c r="B83">
        <v>52.57</v>
      </c>
      <c r="C83">
        <v>53.13</v>
      </c>
      <c r="D83">
        <v>45.3</v>
      </c>
      <c r="E83">
        <v>48.22</v>
      </c>
      <c r="F83">
        <v>1157109.48</v>
      </c>
      <c r="G83">
        <v>48.22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-0.25415070242656457</v>
      </c>
      <c r="Q83">
        <f t="shared" ref="Q83" si="391">F83*P83</f>
        <v>-294080.18712643685</v>
      </c>
      <c r="R83">
        <f t="shared" ref="R83" si="392">R84+Q83</f>
        <v>76149733.623807833</v>
      </c>
      <c r="S83">
        <f t="shared" ref="S83" si="393">R83/100000</f>
        <v>761.49733623807833</v>
      </c>
      <c r="T83">
        <f t="shared" ref="T83" si="394">S83/1000</f>
        <v>0.76149733623807836</v>
      </c>
    </row>
    <row r="84" spans="1:20" x14ac:dyDescent="0.25">
      <c r="A84" s="5">
        <v>44509</v>
      </c>
      <c r="B84">
        <v>50.63</v>
      </c>
      <c r="C84">
        <v>53.5</v>
      </c>
      <c r="D84">
        <v>49.96</v>
      </c>
      <c r="E84">
        <v>52.54</v>
      </c>
      <c r="F84">
        <v>1332611.6000000001</v>
      </c>
      <c r="G84">
        <v>52.54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0.45762711864406719</v>
      </c>
      <c r="Q84">
        <f t="shared" ref="Q84" si="396">F84*P84</f>
        <v>609839.20677966019</v>
      </c>
      <c r="R84">
        <f t="shared" ref="R84" si="397">R85+Q84</f>
        <v>76443813.810934275</v>
      </c>
      <c r="S84">
        <f t="shared" ref="S84" si="398">R84/100000</f>
        <v>764.43813810934273</v>
      </c>
      <c r="T84">
        <f t="shared" ref="T84" si="399">S84/1000</f>
        <v>0.76443813810934269</v>
      </c>
    </row>
    <row r="85" spans="1:20" x14ac:dyDescent="0.25">
      <c r="A85" s="5">
        <v>44508</v>
      </c>
      <c r="B85">
        <v>46.34</v>
      </c>
      <c r="C85">
        <v>50.88</v>
      </c>
      <c r="D85">
        <v>45.78</v>
      </c>
      <c r="E85">
        <v>50.59</v>
      </c>
      <c r="F85">
        <v>1079625.43</v>
      </c>
      <c r="G85">
        <v>50.59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0.88627450980392197</v>
      </c>
      <c r="Q85">
        <f t="shared" ref="Q85" si="401">F85*P85</f>
        <v>956844.49874509836</v>
      </c>
      <c r="R85">
        <f t="shared" ref="R85" si="402">R86+Q85</f>
        <v>75833974.604154617</v>
      </c>
      <c r="S85">
        <f t="shared" ref="S85" si="403">R85/100000</f>
        <v>758.33974604154616</v>
      </c>
      <c r="T85">
        <f t="shared" ref="T85" si="404">S85/1000</f>
        <v>0.75833974604154619</v>
      </c>
    </row>
    <row r="86" spans="1:20" x14ac:dyDescent="0.25">
      <c r="A86" s="5">
        <v>44507</v>
      </c>
      <c r="B86">
        <v>45</v>
      </c>
      <c r="C86">
        <v>46.35</v>
      </c>
      <c r="D86">
        <v>44.66</v>
      </c>
      <c r="E86">
        <v>46.33</v>
      </c>
      <c r="F86">
        <v>335557.29</v>
      </c>
      <c r="G86">
        <v>46.33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0.97633136094674189</v>
      </c>
      <c r="Q86">
        <f t="shared" ref="Q86" si="406">F86*P86</f>
        <v>327615.10562130052</v>
      </c>
      <c r="R86">
        <f t="shared" ref="R86" si="407">R87+Q86</f>
        <v>74877130.105409518</v>
      </c>
      <c r="S86">
        <f t="shared" ref="S86" si="408">R86/100000</f>
        <v>748.77130105409515</v>
      </c>
      <c r="T86">
        <f t="shared" ref="T86" si="409">S86/1000</f>
        <v>0.74877130105409517</v>
      </c>
    </row>
    <row r="87" spans="1:20" x14ac:dyDescent="0.25">
      <c r="A87" s="5">
        <v>44506</v>
      </c>
      <c r="B87">
        <v>45.16</v>
      </c>
      <c r="C87">
        <v>45.65</v>
      </c>
      <c r="D87">
        <v>42.55</v>
      </c>
      <c r="E87">
        <v>45</v>
      </c>
      <c r="F87">
        <v>382743.48</v>
      </c>
      <c r="G87">
        <v>45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0.58064516129032373</v>
      </c>
      <c r="Q87">
        <f t="shared" ref="Q87" si="411">F87*P87</f>
        <v>222238.14967741977</v>
      </c>
      <c r="R87">
        <f t="shared" ref="R87" si="412">R88+Q87</f>
        <v>74549514.999788225</v>
      </c>
      <c r="S87">
        <f t="shared" ref="S87" si="413">R87/100000</f>
        <v>745.49514999788221</v>
      </c>
      <c r="T87">
        <f t="shared" ref="T87" si="414">S87/1000</f>
        <v>0.74549514999788224</v>
      </c>
    </row>
    <row r="88" spans="1:20" x14ac:dyDescent="0.25">
      <c r="A88" s="5">
        <v>44505</v>
      </c>
      <c r="B88">
        <v>46.4</v>
      </c>
      <c r="C88">
        <v>46.45</v>
      </c>
      <c r="D88">
        <v>44.66</v>
      </c>
      <c r="E88">
        <v>45.17</v>
      </c>
      <c r="F88">
        <v>318537.76</v>
      </c>
      <c r="G88">
        <v>45.17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-0.4301675977653594</v>
      </c>
      <c r="Q88">
        <f t="shared" ref="Q88" si="416">F88*P88</f>
        <v>-137024.62301675859</v>
      </c>
      <c r="R88">
        <f t="shared" ref="R88" si="417">R89+Q88</f>
        <v>74327276.850110799</v>
      </c>
      <c r="S88">
        <f t="shared" ref="S88" si="418">R88/100000</f>
        <v>743.27276850110798</v>
      </c>
      <c r="T88">
        <f t="shared" ref="T88" si="419">S88/1000</f>
        <v>0.74327276850110802</v>
      </c>
    </row>
    <row r="89" spans="1:20" x14ac:dyDescent="0.25">
      <c r="A89" s="5">
        <v>44504</v>
      </c>
      <c r="B89">
        <v>46.99</v>
      </c>
      <c r="C89">
        <v>47.98</v>
      </c>
      <c r="D89">
        <v>45.05</v>
      </c>
      <c r="E89">
        <v>46.4</v>
      </c>
      <c r="F89">
        <v>498194.47</v>
      </c>
      <c r="G89">
        <v>46.4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-7.8498293515357309E-2</v>
      </c>
      <c r="Q89">
        <f t="shared" ref="Q89" si="421">F89*P89</f>
        <v>-39107.415733787871</v>
      </c>
      <c r="R89">
        <f t="shared" ref="R89" si="422">R90+Q89</f>
        <v>74464301.473127559</v>
      </c>
      <c r="S89">
        <f t="shared" ref="S89" si="423">R89/100000</f>
        <v>744.64301473127557</v>
      </c>
      <c r="T89">
        <f t="shared" ref="T89" si="424">S89/1000</f>
        <v>0.74464301473127559</v>
      </c>
    </row>
    <row r="90" spans="1:20" x14ac:dyDescent="0.25">
      <c r="A90" s="5">
        <v>44503</v>
      </c>
      <c r="B90">
        <v>46.39</v>
      </c>
      <c r="C90">
        <v>47.55</v>
      </c>
      <c r="D90">
        <v>44.55</v>
      </c>
      <c r="E90">
        <v>46.99</v>
      </c>
      <c r="F90">
        <v>665616.1</v>
      </c>
      <c r="G90">
        <v>46.99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0.62666666666666992</v>
      </c>
      <c r="Q90">
        <f t="shared" ref="Q90" si="426">F90*P90</f>
        <v>417119.42266666883</v>
      </c>
      <c r="R90">
        <f t="shared" ref="R90" si="427">R91+Q90</f>
        <v>74503408.888861343</v>
      </c>
      <c r="S90">
        <f t="shared" ref="S90" si="428">R90/100000</f>
        <v>745.03408888861338</v>
      </c>
      <c r="T90">
        <f t="shared" ref="T90" si="429">S90/1000</f>
        <v>0.74503408888861333</v>
      </c>
    </row>
    <row r="91" spans="1:20" x14ac:dyDescent="0.25">
      <c r="A91" s="5">
        <v>44502</v>
      </c>
      <c r="B91">
        <v>45.21</v>
      </c>
      <c r="C91">
        <v>46.64</v>
      </c>
      <c r="D91">
        <v>44.78</v>
      </c>
      <c r="E91">
        <v>46.39</v>
      </c>
      <c r="F91">
        <v>468773.12</v>
      </c>
      <c r="G91">
        <v>46.39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0.73118279569892464</v>
      </c>
      <c r="Q91">
        <f t="shared" ref="Q91" si="431">F91*P91</f>
        <v>342758.84043010749</v>
      </c>
      <c r="R91">
        <f t="shared" ref="R91" si="432">R92+Q91</f>
        <v>74086289.466194674</v>
      </c>
      <c r="S91">
        <f t="shared" ref="S91" si="433">R91/100000</f>
        <v>740.86289466194671</v>
      </c>
      <c r="T91">
        <f t="shared" ref="T91" si="434">S91/1000</f>
        <v>0.74086289466194666</v>
      </c>
    </row>
    <row r="92" spans="1:20" x14ac:dyDescent="0.25">
      <c r="A92" s="5">
        <v>44501</v>
      </c>
      <c r="B92">
        <v>44.7</v>
      </c>
      <c r="C92">
        <v>48</v>
      </c>
      <c r="D92">
        <v>42.13</v>
      </c>
      <c r="E92">
        <v>45.18</v>
      </c>
      <c r="F92">
        <v>914739.54</v>
      </c>
      <c r="G92">
        <v>45.18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3.9182282793866603E-2</v>
      </c>
      <c r="Q92">
        <f t="shared" ref="Q92" si="436">F92*P92</f>
        <v>35841.583339011449</v>
      </c>
      <c r="R92">
        <f t="shared" ref="R92" si="437">R93+Q92</f>
        <v>73743530.625764564</v>
      </c>
      <c r="S92">
        <f t="shared" ref="S92" si="438">R92/100000</f>
        <v>737.43530625764561</v>
      </c>
      <c r="T92">
        <f t="shared" ref="T92" si="439">S92/1000</f>
        <v>0.73743530625764564</v>
      </c>
    </row>
    <row r="93" spans="1:20" x14ac:dyDescent="0.25">
      <c r="A93" s="5">
        <v>44500</v>
      </c>
      <c r="B93">
        <v>42.58</v>
      </c>
      <c r="C93">
        <v>46.6</v>
      </c>
      <c r="D93">
        <v>42.34</v>
      </c>
      <c r="E93">
        <v>44.67</v>
      </c>
      <c r="F93">
        <v>912995.92</v>
      </c>
      <c r="G93">
        <v>44.67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9.3896713615023178E-2</v>
      </c>
      <c r="Q93">
        <f t="shared" ref="Q93" si="441">F93*P93</f>
        <v>85727.316431924613</v>
      </c>
      <c r="R93">
        <f t="shared" ref="R93" si="442">R94+Q93</f>
        <v>73707689.042425558</v>
      </c>
      <c r="S93">
        <f t="shared" ref="S93" si="443">R93/100000</f>
        <v>737.07689042425557</v>
      </c>
      <c r="T93">
        <f t="shared" ref="T93" si="444">S93/1000</f>
        <v>0.73707689042425562</v>
      </c>
    </row>
    <row r="94" spans="1:20" x14ac:dyDescent="0.25">
      <c r="A94" s="5">
        <v>44499</v>
      </c>
      <c r="B94">
        <v>43.24</v>
      </c>
      <c r="C94">
        <v>43.36</v>
      </c>
      <c r="D94">
        <v>41.24</v>
      </c>
      <c r="E94">
        <v>42.57</v>
      </c>
      <c r="F94">
        <v>349466.5</v>
      </c>
      <c r="G94">
        <v>42.57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0.25471698113207536</v>
      </c>
      <c r="Q94">
        <f t="shared" ref="Q94" si="446">F94*P94</f>
        <v>89015.051886792411</v>
      </c>
      <c r="R94">
        <f t="shared" ref="R94" si="447">R95+Q94</f>
        <v>73621961.725993633</v>
      </c>
      <c r="S94">
        <f t="shared" ref="S94" si="448">R94/100000</f>
        <v>736.21961725993629</v>
      </c>
      <c r="T94">
        <f t="shared" ref="T94" si="449">S94/1000</f>
        <v>0.73621961725993623</v>
      </c>
    </row>
    <row r="95" spans="1:20" x14ac:dyDescent="0.25">
      <c r="A95" s="5">
        <v>44498</v>
      </c>
      <c r="B95">
        <v>41.36</v>
      </c>
      <c r="C95">
        <v>43.28</v>
      </c>
      <c r="D95">
        <v>40.98</v>
      </c>
      <c r="E95">
        <v>43.28</v>
      </c>
      <c r="F95">
        <v>328046.23</v>
      </c>
      <c r="G95">
        <v>43.28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1</v>
      </c>
      <c r="Q95">
        <f t="shared" ref="Q95" si="451">F95*P95</f>
        <v>328046.23</v>
      </c>
      <c r="R95">
        <f t="shared" ref="R95" si="452">R96+Q95</f>
        <v>73532946.674106836</v>
      </c>
      <c r="S95">
        <f t="shared" ref="S95" si="453">R95/100000</f>
        <v>735.32946674106836</v>
      </c>
      <c r="T95">
        <f t="shared" ref="T95" si="454">S95/1000</f>
        <v>0.73532946674106836</v>
      </c>
    </row>
    <row r="96" spans="1:20" x14ac:dyDescent="0.25">
      <c r="A96" s="5">
        <v>44497</v>
      </c>
      <c r="B96">
        <v>39.25</v>
      </c>
      <c r="C96">
        <v>42.31</v>
      </c>
      <c r="D96">
        <v>39.11</v>
      </c>
      <c r="E96">
        <v>41.33</v>
      </c>
      <c r="F96">
        <v>476136.85</v>
      </c>
      <c r="G96">
        <v>41.33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0.38749999999999807</v>
      </c>
      <c r="Q96">
        <f t="shared" ref="Q96" si="456">F96*P96</f>
        <v>184503.02937499908</v>
      </c>
      <c r="R96">
        <f t="shared" ref="R96" si="457">R97+Q96</f>
        <v>73204900.444106832</v>
      </c>
      <c r="S96">
        <f t="shared" ref="S96" si="458">R96/100000</f>
        <v>732.04900444106829</v>
      </c>
      <c r="T96">
        <f t="shared" ref="T96" si="459">S96/1000</f>
        <v>0.73204900444106824</v>
      </c>
    </row>
    <row r="97" spans="1:20" x14ac:dyDescent="0.25">
      <c r="A97" s="5">
        <v>44496</v>
      </c>
      <c r="B97">
        <v>44.39</v>
      </c>
      <c r="C97">
        <v>45.24</v>
      </c>
      <c r="D97">
        <v>36.909999999999997</v>
      </c>
      <c r="E97">
        <v>39.229999999999997</v>
      </c>
      <c r="F97">
        <v>953876.04</v>
      </c>
      <c r="G97">
        <v>39.229999999999997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-0.44297719087635085</v>
      </c>
      <c r="Q97">
        <f t="shared" ref="Q97" si="461">F97*P97</f>
        <v>-422545.32864345767</v>
      </c>
      <c r="R97">
        <f t="shared" ref="R97" si="462">R98+Q97</f>
        <v>73020397.41473183</v>
      </c>
      <c r="S97">
        <f t="shared" ref="S97" si="463">R97/100000</f>
        <v>730.20397414731826</v>
      </c>
      <c r="T97">
        <f t="shared" ref="T97" si="464">S97/1000</f>
        <v>0.7302039741473183</v>
      </c>
    </row>
    <row r="98" spans="1:20" x14ac:dyDescent="0.25">
      <c r="A98" s="5">
        <v>44495</v>
      </c>
      <c r="B98">
        <v>44.55</v>
      </c>
      <c r="C98">
        <v>45.39</v>
      </c>
      <c r="D98">
        <v>43.9</v>
      </c>
      <c r="E98">
        <v>44.37</v>
      </c>
      <c r="F98">
        <v>416247.74</v>
      </c>
      <c r="G98">
        <v>44.37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-0.36912751677852584</v>
      </c>
      <c r="Q98">
        <f t="shared" ref="Q98" si="466">F98*P98</f>
        <v>-153648.49463087347</v>
      </c>
      <c r="R98">
        <f t="shared" ref="R98" si="467">R99+Q98</f>
        <v>73442942.743375286</v>
      </c>
      <c r="S98">
        <f t="shared" ref="S98" si="468">R98/100000</f>
        <v>734.42942743375283</v>
      </c>
      <c r="T98">
        <f t="shared" ref="T98" si="469">S98/1000</f>
        <v>0.73442942743375283</v>
      </c>
    </row>
    <row r="99" spans="1:20" x14ac:dyDescent="0.25">
      <c r="A99" s="5">
        <v>44494</v>
      </c>
      <c r="B99">
        <v>43.77</v>
      </c>
      <c r="C99">
        <v>45</v>
      </c>
      <c r="D99">
        <v>43.47</v>
      </c>
      <c r="E99">
        <v>44.55</v>
      </c>
      <c r="F99">
        <v>300866.7</v>
      </c>
      <c r="G99">
        <v>44.55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0.41176470588234965</v>
      </c>
      <c r="Q99">
        <f t="shared" ref="Q99" si="471">F99*P99</f>
        <v>123886.28823529313</v>
      </c>
      <c r="R99">
        <f t="shared" ref="R99" si="472">R100+Q99</f>
        <v>73596591.23800616</v>
      </c>
      <c r="S99">
        <f t="shared" ref="S99" si="473">R99/100000</f>
        <v>735.96591238006158</v>
      </c>
      <c r="T99">
        <f t="shared" ref="T99" si="474">S99/1000</f>
        <v>0.73596591238006159</v>
      </c>
    </row>
    <row r="100" spans="1:20" x14ac:dyDescent="0.25">
      <c r="A100" s="5">
        <v>44493</v>
      </c>
      <c r="B100">
        <v>44.74</v>
      </c>
      <c r="C100">
        <v>45.15</v>
      </c>
      <c r="D100">
        <v>42.72</v>
      </c>
      <c r="E100">
        <v>43.79</v>
      </c>
      <c r="F100">
        <v>299592.2</v>
      </c>
      <c r="G100">
        <v>43.79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-0.1193415637860079</v>
      </c>
      <c r="Q100">
        <f t="shared" ref="Q100" si="476">F100*P100</f>
        <v>-35753.801646090433</v>
      </c>
      <c r="R100">
        <f t="shared" ref="R100" si="477">R101+Q100</f>
        <v>73472704.949770868</v>
      </c>
      <c r="S100">
        <f t="shared" ref="S100" si="478">R100/100000</f>
        <v>734.72704949770866</v>
      </c>
      <c r="T100">
        <f t="shared" ref="T100" si="479">S100/1000</f>
        <v>0.73472704949770862</v>
      </c>
    </row>
    <row r="101" spans="1:20" x14ac:dyDescent="0.25">
      <c r="A101" s="5">
        <v>44492</v>
      </c>
      <c r="B101">
        <v>44.44</v>
      </c>
      <c r="C101">
        <v>45.19</v>
      </c>
      <c r="D101">
        <v>43.71</v>
      </c>
      <c r="E101">
        <v>44.74</v>
      </c>
      <c r="F101">
        <v>244953.54</v>
      </c>
      <c r="G101">
        <v>44.74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0.39189189189189638</v>
      </c>
      <c r="Q101">
        <f t="shared" ref="Q101" si="481">F101*P101</f>
        <v>95995.306216217316</v>
      </c>
      <c r="R101">
        <f t="shared" ref="R101" si="482">R102+Q101</f>
        <v>73508458.751416951</v>
      </c>
      <c r="S101">
        <f t="shared" ref="S101" si="483">R101/100000</f>
        <v>735.08458751416947</v>
      </c>
      <c r="T101">
        <f t="shared" ref="T101" si="484">S101/1000</f>
        <v>0.7350845875141695</v>
      </c>
    </row>
    <row r="102" spans="1:20" x14ac:dyDescent="0.25">
      <c r="A102" s="5">
        <v>44491</v>
      </c>
      <c r="B102">
        <v>45.03</v>
      </c>
      <c r="C102">
        <v>46.18</v>
      </c>
      <c r="D102">
        <v>43.54</v>
      </c>
      <c r="E102">
        <v>44.4</v>
      </c>
      <c r="F102">
        <v>375800.5</v>
      </c>
      <c r="G102">
        <v>44.4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-0.34848484848484906</v>
      </c>
      <c r="Q102">
        <f t="shared" ref="Q102" si="486">F102*P102</f>
        <v>-130960.78030303052</v>
      </c>
      <c r="R102">
        <f t="shared" ref="R102" si="487">R103+Q102</f>
        <v>73412463.445200741</v>
      </c>
      <c r="S102">
        <f t="shared" ref="S102" si="488">R102/100000</f>
        <v>734.1246344520074</v>
      </c>
      <c r="T102">
        <f t="shared" ref="T102" si="489">S102/1000</f>
        <v>0.73412463445200737</v>
      </c>
    </row>
    <row r="103" spans="1:20" x14ac:dyDescent="0.25">
      <c r="A103" s="5">
        <v>44490</v>
      </c>
      <c r="B103">
        <v>45.51</v>
      </c>
      <c r="C103">
        <v>47.35</v>
      </c>
      <c r="D103">
        <v>43.94</v>
      </c>
      <c r="E103">
        <v>45.01</v>
      </c>
      <c r="F103">
        <v>551417.66</v>
      </c>
      <c r="G103">
        <v>45.01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-0.37243401759530842</v>
      </c>
      <c r="Q103">
        <f t="shared" ref="Q103" si="491">F103*P103</f>
        <v>-205366.69448680381</v>
      </c>
      <c r="R103">
        <f t="shared" ref="R103" si="492">R104+Q103</f>
        <v>73543424.225503772</v>
      </c>
      <c r="S103">
        <f t="shared" ref="S103" si="493">R103/100000</f>
        <v>735.4342422550377</v>
      </c>
      <c r="T103">
        <f t="shared" ref="T103" si="494">S103/1000</f>
        <v>0.73543424225503773</v>
      </c>
    </row>
    <row r="104" spans="1:20" x14ac:dyDescent="0.25">
      <c r="A104" s="5">
        <v>44489</v>
      </c>
      <c r="B104">
        <v>42.94</v>
      </c>
      <c r="C104">
        <v>45.98</v>
      </c>
      <c r="D104">
        <v>42.52</v>
      </c>
      <c r="E104">
        <v>45.51</v>
      </c>
      <c r="F104">
        <v>541541.94999999995</v>
      </c>
      <c r="G104">
        <v>45.51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0.72832369942196551</v>
      </c>
      <c r="Q104">
        <f t="shared" ref="Q104" si="496">F104*P104</f>
        <v>394417.83641618502</v>
      </c>
      <c r="R104">
        <f t="shared" ref="R104" si="497">R105+Q104</f>
        <v>73748790.919990569</v>
      </c>
      <c r="S104">
        <f t="shared" ref="S104" si="498">R104/100000</f>
        <v>737.48790919990574</v>
      </c>
      <c r="T104">
        <f t="shared" ref="T104" si="499">S104/1000</f>
        <v>0.7374879091999057</v>
      </c>
    </row>
    <row r="105" spans="1:20" x14ac:dyDescent="0.25">
      <c r="A105" s="5">
        <v>44488</v>
      </c>
      <c r="B105">
        <v>42.94</v>
      </c>
      <c r="C105">
        <v>43.74</v>
      </c>
      <c r="D105">
        <v>42.44</v>
      </c>
      <c r="E105">
        <v>42.91</v>
      </c>
      <c r="F105">
        <v>259046.72</v>
      </c>
      <c r="G105">
        <v>42.91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-0.27692307692308105</v>
      </c>
      <c r="Q105">
        <f t="shared" ref="Q105" si="501">F105*P105</f>
        <v>-71736.014769231842</v>
      </c>
      <c r="R105">
        <f t="shared" ref="R105" si="502">R106+Q105</f>
        <v>73354373.083574384</v>
      </c>
      <c r="S105">
        <f t="shared" ref="S105" si="503">R105/100000</f>
        <v>733.54373083574387</v>
      </c>
      <c r="T105">
        <f t="shared" ref="T105" si="504">S105/1000</f>
        <v>0.73354373083574387</v>
      </c>
    </row>
    <row r="106" spans="1:20" x14ac:dyDescent="0.25">
      <c r="A106" s="5">
        <v>44487</v>
      </c>
      <c r="B106">
        <v>43.26</v>
      </c>
      <c r="C106">
        <v>43.62</v>
      </c>
      <c r="D106">
        <v>42</v>
      </c>
      <c r="E106">
        <v>42.94</v>
      </c>
      <c r="F106">
        <v>277418.65000000002</v>
      </c>
      <c r="G106">
        <v>42.94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0.16049382716049285</v>
      </c>
      <c r="Q106">
        <f t="shared" ref="Q106" si="506">F106*P106</f>
        <v>44523.980864197263</v>
      </c>
      <c r="R106">
        <f t="shared" ref="R106" si="507">R107+Q106</f>
        <v>73426109.098343611</v>
      </c>
      <c r="S106">
        <f t="shared" ref="S106" si="508">R106/100000</f>
        <v>734.26109098343613</v>
      </c>
      <c r="T106">
        <f t="shared" ref="T106" si="509">S106/1000</f>
        <v>0.73426109098343617</v>
      </c>
    </row>
    <row r="107" spans="1:20" x14ac:dyDescent="0.25">
      <c r="A107" s="5">
        <v>44486</v>
      </c>
      <c r="B107">
        <v>44.49</v>
      </c>
      <c r="C107">
        <v>44.79</v>
      </c>
      <c r="D107">
        <v>41.53</v>
      </c>
      <c r="E107">
        <v>43.26</v>
      </c>
      <c r="F107">
        <v>320617.32</v>
      </c>
      <c r="G107">
        <v>43.26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6.1349693251532472E-2</v>
      </c>
      <c r="Q107">
        <f t="shared" ref="Q107" si="511">F107*P107</f>
        <v>19669.774233128428</v>
      </c>
      <c r="R107">
        <f t="shared" ref="R107" si="512">R108+Q107</f>
        <v>73381585.117479414</v>
      </c>
      <c r="S107">
        <f t="shared" ref="S107" si="513">R107/100000</f>
        <v>733.81585117479415</v>
      </c>
      <c r="T107">
        <f t="shared" ref="T107" si="514">S107/1000</f>
        <v>0.7338158511747942</v>
      </c>
    </row>
    <row r="108" spans="1:20" x14ac:dyDescent="0.25">
      <c r="A108" s="5">
        <v>44485</v>
      </c>
      <c r="B108">
        <v>44.72</v>
      </c>
      <c r="C108">
        <v>45.59</v>
      </c>
      <c r="D108">
        <v>44.03</v>
      </c>
      <c r="E108">
        <v>44.49</v>
      </c>
      <c r="F108">
        <v>281576.87</v>
      </c>
      <c r="G108">
        <v>44.49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-0.41025641025641002</v>
      </c>
      <c r="Q108">
        <f t="shared" ref="Q108" si="516">F108*P108</f>
        <v>-115518.71589743583</v>
      </c>
      <c r="R108">
        <f t="shared" ref="R108" si="517">R109+Q108</f>
        <v>73361915.343246281</v>
      </c>
      <c r="S108">
        <f t="shared" ref="S108" si="518">R108/100000</f>
        <v>733.61915343246278</v>
      </c>
      <c r="T108">
        <f t="shared" ref="T108" si="519">S108/1000</f>
        <v>0.73361915343246276</v>
      </c>
    </row>
    <row r="109" spans="1:20" x14ac:dyDescent="0.25">
      <c r="A109" s="5">
        <v>44484</v>
      </c>
      <c r="B109">
        <v>44.91</v>
      </c>
      <c r="C109">
        <v>45.69</v>
      </c>
      <c r="D109">
        <v>43.29</v>
      </c>
      <c r="E109">
        <v>44.73</v>
      </c>
      <c r="F109">
        <v>467520.93</v>
      </c>
      <c r="G109">
        <v>44.73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0.19999999999999882</v>
      </c>
      <c r="Q109">
        <f t="shared" ref="Q109" si="521">F109*P109</f>
        <v>93504.185999999449</v>
      </c>
      <c r="R109">
        <f t="shared" ref="R109" si="522">R110+Q109</f>
        <v>73477434.059143722</v>
      </c>
      <c r="S109">
        <f t="shared" ref="S109" si="523">R109/100000</f>
        <v>734.77434059143718</v>
      </c>
      <c r="T109">
        <f t="shared" ref="T109" si="524">S109/1000</f>
        <v>0.7347743405914372</v>
      </c>
    </row>
    <row r="110" spans="1:20" x14ac:dyDescent="0.25">
      <c r="A110" s="5">
        <v>44483</v>
      </c>
      <c r="B110">
        <v>44.88</v>
      </c>
      <c r="C110">
        <v>45.97</v>
      </c>
      <c r="D110">
        <v>44.33</v>
      </c>
      <c r="E110">
        <v>44.91</v>
      </c>
      <c r="F110">
        <v>334141.69</v>
      </c>
      <c r="G110">
        <v>44.91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-0.29268292682927061</v>
      </c>
      <c r="Q110">
        <f t="shared" ref="Q110" si="526">F110*P110</f>
        <v>-97797.567804878825</v>
      </c>
      <c r="R110">
        <f t="shared" ref="R110" si="527">R111+Q110</f>
        <v>73383929.873143718</v>
      </c>
      <c r="S110">
        <f t="shared" ref="S110" si="528">R110/100000</f>
        <v>733.83929873143722</v>
      </c>
      <c r="T110">
        <f t="shared" ref="T110" si="529">S110/1000</f>
        <v>0.73383929873143727</v>
      </c>
    </row>
    <row r="111" spans="1:20" x14ac:dyDescent="0.25">
      <c r="A111" s="5">
        <v>44482</v>
      </c>
      <c r="B111">
        <v>44.31</v>
      </c>
      <c r="C111">
        <v>44.96</v>
      </c>
      <c r="D111">
        <v>42.93</v>
      </c>
      <c r="E111">
        <v>44.83</v>
      </c>
      <c r="F111">
        <v>373868.4</v>
      </c>
      <c r="G111">
        <v>44.83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0.87192118226600746</v>
      </c>
      <c r="Q111">
        <f t="shared" ref="Q111" si="531">F111*P111</f>
        <v>325983.77733990061</v>
      </c>
      <c r="R111">
        <f t="shared" ref="R111" si="532">R112+Q111</f>
        <v>73481727.440948591</v>
      </c>
      <c r="S111">
        <f t="shared" ref="S111" si="533">R111/100000</f>
        <v>734.81727440948589</v>
      </c>
      <c r="T111">
        <f t="shared" ref="T111" si="534">S111/1000</f>
        <v>0.73481727440948585</v>
      </c>
    </row>
    <row r="112" spans="1:20" x14ac:dyDescent="0.25">
      <c r="A112" s="5">
        <v>44481</v>
      </c>
      <c r="B112">
        <v>45.12</v>
      </c>
      <c r="C112">
        <v>45.13</v>
      </c>
      <c r="D112">
        <v>41.95</v>
      </c>
      <c r="E112">
        <v>44.28</v>
      </c>
      <c r="F112">
        <v>432329.86</v>
      </c>
      <c r="G112">
        <v>44.28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0.4654088050314456</v>
      </c>
      <c r="Q112">
        <f t="shared" ref="Q112" si="536">F112*P112</f>
        <v>201210.12352201217</v>
      </c>
      <c r="R112">
        <f t="shared" ref="R112" si="537">R113+Q112</f>
        <v>73155743.663608685</v>
      </c>
      <c r="S112">
        <f t="shared" ref="S112" si="538">R112/100000</f>
        <v>731.55743663608689</v>
      </c>
      <c r="T112">
        <f t="shared" ref="T112" si="539">S112/1000</f>
        <v>0.73155743663608686</v>
      </c>
    </row>
    <row r="113" spans="1:20" x14ac:dyDescent="0.25">
      <c r="A113" s="5">
        <v>44480</v>
      </c>
      <c r="B113">
        <v>45.29</v>
      </c>
      <c r="C113">
        <v>47.04</v>
      </c>
      <c r="D113">
        <v>43.82</v>
      </c>
      <c r="E113">
        <v>45.12</v>
      </c>
      <c r="F113">
        <v>381943.87</v>
      </c>
      <c r="G113">
        <v>45.12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-0.19254658385093315</v>
      </c>
      <c r="Q113">
        <f t="shared" ref="Q113" si="541">F113*P113</f>
        <v>-73541.987391304909</v>
      </c>
      <c r="R113">
        <f t="shared" ref="R113" si="542">R114+Q113</f>
        <v>72954533.540086672</v>
      </c>
      <c r="S113">
        <f t="shared" ref="S113" si="543">R113/100000</f>
        <v>729.54533540086675</v>
      </c>
      <c r="T113">
        <f t="shared" ref="T113" si="544">S113/1000</f>
        <v>0.72954533540086675</v>
      </c>
    </row>
    <row r="114" spans="1:20" x14ac:dyDescent="0.25">
      <c r="A114" s="5">
        <v>44479</v>
      </c>
      <c r="B114">
        <v>48.71</v>
      </c>
      <c r="C114">
        <v>48.73</v>
      </c>
      <c r="D114">
        <v>45.12</v>
      </c>
      <c r="E114">
        <v>45.31</v>
      </c>
      <c r="F114">
        <v>385177.53</v>
      </c>
      <c r="G114">
        <v>45.31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-0.8947368421052605</v>
      </c>
      <c r="Q114">
        <f t="shared" ref="Q114" si="546">F114*P114</f>
        <v>-344632.52684210427</v>
      </c>
      <c r="R114">
        <f t="shared" ref="R114" si="547">R115+Q114</f>
        <v>73028075.52747798</v>
      </c>
      <c r="S114">
        <f t="shared" ref="S114" si="548">R114/100000</f>
        <v>730.28075527477984</v>
      </c>
      <c r="T114">
        <f t="shared" ref="T114" si="549">S114/1000</f>
        <v>0.73028075527477987</v>
      </c>
    </row>
    <row r="115" spans="1:20" x14ac:dyDescent="0.25">
      <c r="A115" s="5">
        <v>44478</v>
      </c>
      <c r="B115">
        <v>46.83</v>
      </c>
      <c r="C115">
        <v>50</v>
      </c>
      <c r="D115">
        <v>46.2</v>
      </c>
      <c r="E115">
        <v>48.74</v>
      </c>
      <c r="F115">
        <v>694695.33</v>
      </c>
      <c r="G115">
        <v>48.74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0.33684210526315844</v>
      </c>
      <c r="Q115">
        <f t="shared" ref="Q115" si="551">F115*P115</f>
        <v>234002.63747368459</v>
      </c>
      <c r="R115">
        <f t="shared" ref="R115" si="552">R116+Q115</f>
        <v>73372708.054320082</v>
      </c>
      <c r="S115">
        <f t="shared" ref="S115" si="553">R115/100000</f>
        <v>733.72708054320083</v>
      </c>
      <c r="T115">
        <f t="shared" ref="T115" si="554">S115/1000</f>
        <v>0.73372708054320079</v>
      </c>
    </row>
    <row r="116" spans="1:20" x14ac:dyDescent="0.25">
      <c r="A116" s="5">
        <v>44477</v>
      </c>
      <c r="B116">
        <v>46.08</v>
      </c>
      <c r="C116">
        <v>48.11</v>
      </c>
      <c r="D116">
        <v>45.39</v>
      </c>
      <c r="E116">
        <v>46.82</v>
      </c>
      <c r="F116">
        <v>498656.42</v>
      </c>
      <c r="G116">
        <v>46.82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5.1470588235294351E-2</v>
      </c>
      <c r="Q116">
        <f t="shared" ref="Q116" si="556">F116*P116</f>
        <v>25666.139264705998</v>
      </c>
      <c r="R116">
        <f t="shared" ref="R116" si="557">R117+Q116</f>
        <v>73138705.416846395</v>
      </c>
      <c r="S116">
        <f t="shared" ref="S116" si="558">R116/100000</f>
        <v>731.38705416846392</v>
      </c>
      <c r="T116">
        <f t="shared" ref="T116" si="559">S116/1000</f>
        <v>0.73138705416846395</v>
      </c>
    </row>
    <row r="117" spans="1:20" x14ac:dyDescent="0.25">
      <c r="A117" s="5">
        <v>44476</v>
      </c>
      <c r="B117">
        <v>46.32</v>
      </c>
      <c r="C117">
        <v>47.4</v>
      </c>
      <c r="D117">
        <v>44.91</v>
      </c>
      <c r="E117">
        <v>46.08</v>
      </c>
      <c r="F117">
        <v>554980.93000000005</v>
      </c>
      <c r="G117">
        <v>46.08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-6.0240963855421069E-2</v>
      </c>
      <c r="Q117">
        <f t="shared" ref="Q117" si="561">F117*P117</f>
        <v>-33432.586144577974</v>
      </c>
      <c r="R117">
        <f t="shared" ref="R117" si="562">R118+Q117</f>
        <v>73113039.277581692</v>
      </c>
      <c r="S117">
        <f t="shared" ref="S117" si="563">R117/100000</f>
        <v>731.13039277581697</v>
      </c>
      <c r="T117">
        <f t="shared" ref="T117" si="564">S117/1000</f>
        <v>0.73113039277581693</v>
      </c>
    </row>
    <row r="118" spans="1:20" x14ac:dyDescent="0.25">
      <c r="A118" s="5">
        <v>44475</v>
      </c>
      <c r="B118">
        <v>46.83</v>
      </c>
      <c r="C118">
        <v>48.12</v>
      </c>
      <c r="D118">
        <v>43.55</v>
      </c>
      <c r="E118">
        <v>46.32</v>
      </c>
      <c r="F118">
        <v>874521.74</v>
      </c>
      <c r="G118">
        <v>46.32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0.21225382932166431</v>
      </c>
      <c r="Q118">
        <f t="shared" ref="Q118" si="566">F118*P118</f>
        <v>185620.58814004489</v>
      </c>
      <c r="R118">
        <f t="shared" ref="R118" si="567">R119+Q118</f>
        <v>73146471.863726273</v>
      </c>
      <c r="S118">
        <f t="shared" ref="S118" si="568">R118/100000</f>
        <v>731.46471863726276</v>
      </c>
      <c r="T118">
        <f t="shared" ref="T118" si="569">S118/1000</f>
        <v>0.73146471863726281</v>
      </c>
    </row>
    <row r="119" spans="1:20" x14ac:dyDescent="0.25">
      <c r="A119" s="5">
        <v>44474</v>
      </c>
      <c r="B119">
        <v>43.02</v>
      </c>
      <c r="C119">
        <v>48.01</v>
      </c>
      <c r="D119">
        <v>42.77</v>
      </c>
      <c r="E119">
        <v>46.81</v>
      </c>
      <c r="F119">
        <v>1136199.06</v>
      </c>
      <c r="G119">
        <v>46.81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0.54198473282442861</v>
      </c>
      <c r="Q119">
        <f t="shared" ref="Q119" si="571">F119*P119</f>
        <v>615802.54396946693</v>
      </c>
      <c r="R119">
        <f t="shared" ref="R119" si="572">R120+Q119</f>
        <v>72960851.275586233</v>
      </c>
      <c r="S119">
        <f t="shared" ref="S119" si="573">R119/100000</f>
        <v>729.60851275586231</v>
      </c>
      <c r="T119">
        <f t="shared" ref="T119" si="574">S119/1000</f>
        <v>0.72960851275586236</v>
      </c>
    </row>
    <row r="120" spans="1:20" x14ac:dyDescent="0.25">
      <c r="A120" s="5">
        <v>44473</v>
      </c>
      <c r="B120">
        <v>44.47</v>
      </c>
      <c r="C120">
        <v>45.02</v>
      </c>
      <c r="D120">
        <v>41.42</v>
      </c>
      <c r="E120">
        <v>43.11</v>
      </c>
      <c r="F120">
        <v>477991.39</v>
      </c>
      <c r="G120">
        <v>43.11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-6.1111111111112747E-2</v>
      </c>
      <c r="Q120">
        <f t="shared" ref="Q120" si="576">F120*P120</f>
        <v>-29210.584944445229</v>
      </c>
      <c r="R120">
        <f t="shared" ref="R120" si="577">R121+Q120</f>
        <v>72345048.731616765</v>
      </c>
      <c r="S120">
        <f t="shared" ref="S120" si="578">R120/100000</f>
        <v>723.4504873161676</v>
      </c>
      <c r="T120">
        <f t="shared" ref="T120" si="579">S120/1000</f>
        <v>0.72345048731616757</v>
      </c>
    </row>
    <row r="121" spans="1:20" x14ac:dyDescent="0.25">
      <c r="A121" s="5">
        <v>44472</v>
      </c>
      <c r="B121">
        <v>42.34</v>
      </c>
      <c r="C121">
        <v>46.06</v>
      </c>
      <c r="D121">
        <v>41.31</v>
      </c>
      <c r="E121">
        <v>44.43</v>
      </c>
      <c r="F121">
        <v>762457.66</v>
      </c>
      <c r="G121">
        <v>44.43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0.31368421052631473</v>
      </c>
      <c r="Q121">
        <f t="shared" ref="Q121" si="581">F121*P121</f>
        <v>239170.9291368413</v>
      </c>
      <c r="R121">
        <f t="shared" ref="R121" si="582">R122+Q121</f>
        <v>72374259.316561207</v>
      </c>
      <c r="S121">
        <f t="shared" ref="S121" si="583">R121/100000</f>
        <v>723.74259316561211</v>
      </c>
      <c r="T121">
        <f t="shared" ref="T121" si="584">S121/1000</f>
        <v>0.72374259316561207</v>
      </c>
    </row>
    <row r="122" spans="1:20" x14ac:dyDescent="0.25">
      <c r="A122" s="5">
        <v>44471</v>
      </c>
      <c r="B122">
        <v>42.36</v>
      </c>
      <c r="C122">
        <v>43.58</v>
      </c>
      <c r="D122">
        <v>41.63</v>
      </c>
      <c r="E122">
        <v>42.33</v>
      </c>
      <c r="F122">
        <v>449701.53</v>
      </c>
      <c r="G122">
        <v>42.33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-0.28205128205128488</v>
      </c>
      <c r="Q122">
        <f t="shared" ref="Q122" si="586">F122*P122</f>
        <v>-126838.89307692436</v>
      </c>
      <c r="R122">
        <f t="shared" ref="R122" si="587">R123+Q122</f>
        <v>72135088.387424365</v>
      </c>
      <c r="S122">
        <f t="shared" ref="S122" si="588">R122/100000</f>
        <v>721.35088387424366</v>
      </c>
      <c r="T122">
        <f t="shared" ref="T122" si="589">S122/1000</f>
        <v>0.72135088387424362</v>
      </c>
    </row>
    <row r="123" spans="1:20" x14ac:dyDescent="0.25">
      <c r="A123" s="5">
        <v>44470</v>
      </c>
      <c r="B123">
        <v>39.229999999999997</v>
      </c>
      <c r="C123">
        <v>42.46</v>
      </c>
      <c r="D123">
        <v>38.880000000000003</v>
      </c>
      <c r="E123">
        <v>42.37</v>
      </c>
      <c r="F123">
        <v>612956.66</v>
      </c>
      <c r="G123">
        <v>42.37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0.94972067039105956</v>
      </c>
      <c r="Q123">
        <f t="shared" ref="Q123" si="591">F123*P123</f>
        <v>582137.61005586479</v>
      </c>
      <c r="R123">
        <f t="shared" ref="R123" si="592">R124+Q123</f>
        <v>72261927.280501291</v>
      </c>
      <c r="S123">
        <f t="shared" ref="S123" si="593">R123/100000</f>
        <v>722.61927280501288</v>
      </c>
      <c r="T123">
        <f t="shared" ref="T123" si="594">S123/1000</f>
        <v>0.72261927280501292</v>
      </c>
    </row>
    <row r="124" spans="1:20" x14ac:dyDescent="0.25">
      <c r="A124" s="5">
        <v>44469</v>
      </c>
      <c r="B124">
        <v>37.090000000000003</v>
      </c>
      <c r="C124">
        <v>39.31</v>
      </c>
      <c r="D124">
        <v>36.880000000000003</v>
      </c>
      <c r="E124">
        <v>39.25</v>
      </c>
      <c r="F124">
        <v>445317</v>
      </c>
      <c r="G124">
        <v>39.25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0.9506172839506154</v>
      </c>
      <c r="Q124">
        <f t="shared" ref="Q124" si="596">F124*P124</f>
        <v>423326.03703703621</v>
      </c>
      <c r="R124">
        <f t="shared" ref="R124" si="597">R125+Q124</f>
        <v>71679789.670445427</v>
      </c>
      <c r="S124">
        <f t="shared" ref="S124" si="598">R124/100000</f>
        <v>716.79789670445427</v>
      </c>
      <c r="T124">
        <f t="shared" ref="T124" si="599">S124/1000</f>
        <v>0.71679789670445426</v>
      </c>
    </row>
    <row r="125" spans="1:20" x14ac:dyDescent="0.25">
      <c r="A125" s="5">
        <v>44468</v>
      </c>
      <c r="B125">
        <v>35.92</v>
      </c>
      <c r="C125">
        <v>39.1</v>
      </c>
      <c r="D125">
        <v>35.57</v>
      </c>
      <c r="E125">
        <v>37.08</v>
      </c>
      <c r="F125">
        <v>536794.19299999997</v>
      </c>
      <c r="G125">
        <v>37.08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-0.1444759206798881</v>
      </c>
      <c r="Q125">
        <f t="shared" ref="Q125" si="601">F125*P125</f>
        <v>-77553.835249292533</v>
      </c>
      <c r="R125">
        <f t="shared" ref="R125" si="602">R126+Q125</f>
        <v>71256463.633408397</v>
      </c>
      <c r="S125">
        <f t="shared" ref="S125" si="603">R125/100000</f>
        <v>712.56463633408396</v>
      </c>
      <c r="T125">
        <f t="shared" ref="T125" si="604">S125/1000</f>
        <v>0.71256463633408396</v>
      </c>
    </row>
    <row r="126" spans="1:20" x14ac:dyDescent="0.25">
      <c r="A126" s="5">
        <v>44467</v>
      </c>
      <c r="B126">
        <v>37.450000000000003</v>
      </c>
      <c r="C126">
        <v>38.119999999999997</v>
      </c>
      <c r="D126">
        <v>35.74</v>
      </c>
      <c r="E126">
        <v>35.93</v>
      </c>
      <c r="F126">
        <v>378222.26</v>
      </c>
      <c r="G126">
        <v>35.93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-0.84033613445378308</v>
      </c>
      <c r="Q126">
        <f t="shared" ref="Q126" si="606">F126*P126</f>
        <v>-317833.8319327737</v>
      </c>
      <c r="R126">
        <f t="shared" ref="R126" si="607">R127+Q126</f>
        <v>71334017.468657687</v>
      </c>
      <c r="S126">
        <f t="shared" ref="S126" si="608">R126/100000</f>
        <v>713.34017468657692</v>
      </c>
      <c r="T126">
        <f t="shared" ref="T126" si="609">S126/1000</f>
        <v>0.71334017468657696</v>
      </c>
    </row>
    <row r="127" spans="1:20" x14ac:dyDescent="0.25">
      <c r="A127" s="5">
        <v>44466</v>
      </c>
      <c r="B127">
        <v>38.71</v>
      </c>
      <c r="C127">
        <v>39.96</v>
      </c>
      <c r="D127">
        <v>37.43</v>
      </c>
      <c r="E127">
        <v>37.450000000000003</v>
      </c>
      <c r="F127">
        <v>383235.9</v>
      </c>
      <c r="G127">
        <v>37.450000000000003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-0.98418972332015564</v>
      </c>
      <c r="Q127">
        <f t="shared" ref="Q127" si="611">F127*P127</f>
        <v>-377176.83438735089</v>
      </c>
      <c r="R127">
        <f t="shared" ref="R127" si="612">R128+Q127</f>
        <v>71651851.300590456</v>
      </c>
      <c r="S127">
        <f t="shared" ref="S127" si="613">R127/100000</f>
        <v>716.51851300590454</v>
      </c>
      <c r="T127">
        <f t="shared" ref="T127" si="614">S127/1000</f>
        <v>0.71651851300590452</v>
      </c>
    </row>
    <row r="128" spans="1:20" x14ac:dyDescent="0.25">
      <c r="A128" s="5">
        <v>44465</v>
      </c>
      <c r="B128">
        <v>39.01</v>
      </c>
      <c r="C128">
        <v>39.85</v>
      </c>
      <c r="D128">
        <v>35.82</v>
      </c>
      <c r="E128">
        <v>38.72</v>
      </c>
      <c r="F128">
        <v>631103.96499999997</v>
      </c>
      <c r="G128">
        <v>38.72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0.43920595533498646</v>
      </c>
      <c r="Q128">
        <f t="shared" ref="Q128" si="616">F128*P128</f>
        <v>277184.61986352282</v>
      </c>
      <c r="R128">
        <f t="shared" ref="R128" si="617">R129+Q128</f>
        <v>72029028.134977803</v>
      </c>
      <c r="S128">
        <f t="shared" ref="S128" si="618">R128/100000</f>
        <v>720.29028134977807</v>
      </c>
      <c r="T128">
        <f t="shared" ref="T128" si="619">S128/1000</f>
        <v>0.72029028134977802</v>
      </c>
    </row>
    <row r="129" spans="1:20" x14ac:dyDescent="0.25">
      <c r="A129" s="5">
        <v>44464</v>
      </c>
      <c r="B129">
        <v>39.74</v>
      </c>
      <c r="C129">
        <v>40.479999999999997</v>
      </c>
      <c r="D129">
        <v>38.090000000000003</v>
      </c>
      <c r="E129">
        <v>39.01</v>
      </c>
      <c r="F129">
        <v>428780.74</v>
      </c>
      <c r="G129">
        <v>39.01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-0.23012552301255471</v>
      </c>
      <c r="Q129">
        <f t="shared" ref="Q129" si="621">F129*P129</f>
        <v>-98673.392050210241</v>
      </c>
      <c r="R129">
        <f t="shared" ref="R129" si="622">R130+Q129</f>
        <v>71751843.515114278</v>
      </c>
      <c r="S129">
        <f t="shared" ref="S129" si="623">R129/100000</f>
        <v>717.51843515114274</v>
      </c>
      <c r="T129">
        <f t="shared" ref="T129" si="624">S129/1000</f>
        <v>0.71751843515114277</v>
      </c>
    </row>
    <row r="130" spans="1:20" x14ac:dyDescent="0.25">
      <c r="A130" s="5">
        <v>44463</v>
      </c>
      <c r="B130">
        <v>43.9</v>
      </c>
      <c r="C130">
        <v>44.14</v>
      </c>
      <c r="D130">
        <v>37.65</v>
      </c>
      <c r="E130">
        <v>39.74</v>
      </c>
      <c r="F130">
        <v>752131.01</v>
      </c>
      <c r="G130">
        <v>39.74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-0.35593220338982967</v>
      </c>
      <c r="Q130">
        <f t="shared" ref="Q130" si="626">F130*P130</f>
        <v>-267707.64762711804</v>
      </c>
      <c r="R130">
        <f t="shared" ref="R130" si="627">R131+Q130</f>
        <v>71850516.907164484</v>
      </c>
      <c r="S130">
        <f t="shared" ref="S130" si="628">R130/100000</f>
        <v>718.50516907164479</v>
      </c>
      <c r="T130">
        <f t="shared" ref="T130" si="629">S130/1000</f>
        <v>0.71850516907164474</v>
      </c>
    </row>
    <row r="131" spans="1:20" x14ac:dyDescent="0.25">
      <c r="A131" s="5">
        <v>44462</v>
      </c>
      <c r="B131">
        <v>42.93</v>
      </c>
      <c r="C131">
        <v>44.31</v>
      </c>
      <c r="D131">
        <v>41.61</v>
      </c>
      <c r="E131">
        <v>43.9</v>
      </c>
      <c r="F131">
        <v>495637.72</v>
      </c>
      <c r="G131">
        <v>43.9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0.69629629629629386</v>
      </c>
      <c r="Q131">
        <f t="shared" ref="Q131" si="631">F131*P131</f>
        <v>345110.7087407395</v>
      </c>
      <c r="R131">
        <f t="shared" ref="R131" si="632">R132+Q131</f>
        <v>72118224.5547916</v>
      </c>
      <c r="S131">
        <f t="shared" ref="S131" si="633">R131/100000</f>
        <v>721.18224554791595</v>
      </c>
      <c r="T131">
        <f t="shared" ref="T131" si="634">S131/1000</f>
        <v>0.72118224554791599</v>
      </c>
    </row>
    <row r="132" spans="1:20" x14ac:dyDescent="0.25">
      <c r="A132" s="5">
        <v>44461</v>
      </c>
      <c r="B132">
        <v>37.49</v>
      </c>
      <c r="C132">
        <v>43.47</v>
      </c>
      <c r="D132">
        <v>36.590000000000003</v>
      </c>
      <c r="E132">
        <v>42.93</v>
      </c>
      <c r="F132">
        <v>657555.91</v>
      </c>
      <c r="G132">
        <v>42.93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0.84302325581395365</v>
      </c>
      <c r="Q132">
        <f t="shared" ref="Q132" si="636">F132*P132</f>
        <v>554334.92412790714</v>
      </c>
      <c r="R132">
        <f t="shared" ref="R132" si="637">R133+Q132</f>
        <v>71773113.846050858</v>
      </c>
      <c r="S132">
        <f t="shared" ref="S132" si="638">R132/100000</f>
        <v>717.73113846050853</v>
      </c>
      <c r="T132">
        <f t="shared" ref="T132" si="639">S132/1000</f>
        <v>0.71773113846050851</v>
      </c>
    </row>
    <row r="133" spans="1:20" x14ac:dyDescent="0.25">
      <c r="A133" s="5">
        <v>44460</v>
      </c>
      <c r="B133">
        <v>41.55</v>
      </c>
      <c r="C133">
        <v>42.2</v>
      </c>
      <c r="D133">
        <v>36.68</v>
      </c>
      <c r="E133">
        <v>37.49</v>
      </c>
      <c r="F133">
        <v>845146.66899999999</v>
      </c>
      <c r="G133">
        <v>37.49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-0.70652173913043415</v>
      </c>
      <c r="Q133">
        <f t="shared" ref="Q133" si="641">F133*P133</f>
        <v>-597114.49440217332</v>
      </c>
      <c r="R133">
        <f t="shared" ref="R133" si="642">R134+Q133</f>
        <v>71218778.921922952</v>
      </c>
      <c r="S133">
        <f t="shared" ref="S133" si="643">R133/100000</f>
        <v>712.18778921922956</v>
      </c>
      <c r="T133">
        <f t="shared" ref="T133" si="644">S133/1000</f>
        <v>0.71218778921922954</v>
      </c>
    </row>
    <row r="134" spans="1:20" x14ac:dyDescent="0.25">
      <c r="A134" s="5">
        <v>44459</v>
      </c>
      <c r="B134">
        <v>48.14</v>
      </c>
      <c r="C134">
        <v>48.26</v>
      </c>
      <c r="D134">
        <v>43.36</v>
      </c>
      <c r="E134">
        <v>43.86</v>
      </c>
      <c r="F134">
        <v>417505.42</v>
      </c>
      <c r="G134">
        <v>43.86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-0.79591836734693877</v>
      </c>
      <c r="Q134">
        <f t="shared" ref="Q134" si="646">F134*P134</f>
        <v>-332300.23224489792</v>
      </c>
      <c r="R134">
        <f t="shared" ref="R134" si="647">R135+Q134</f>
        <v>71815893.416325122</v>
      </c>
      <c r="S134">
        <f t="shared" ref="S134" si="648">R134/100000</f>
        <v>718.15893416325127</v>
      </c>
      <c r="T134">
        <f t="shared" ref="T134" si="649">S134/1000</f>
        <v>0.71815893416325127</v>
      </c>
    </row>
    <row r="135" spans="1:20" x14ac:dyDescent="0.25">
      <c r="A135" s="5">
        <v>44458</v>
      </c>
      <c r="B135">
        <v>49.67</v>
      </c>
      <c r="C135">
        <v>50.43</v>
      </c>
      <c r="D135">
        <v>47.3</v>
      </c>
      <c r="E135">
        <v>48.16</v>
      </c>
      <c r="F135">
        <v>373237.11</v>
      </c>
      <c r="G135">
        <v>48.16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-0.45047923322683786</v>
      </c>
      <c r="Q135">
        <f t="shared" ref="Q135" si="651">F135*P135</f>
        <v>-168135.56712460093</v>
      </c>
      <c r="R135">
        <f t="shared" ref="R135" si="652">R136+Q135</f>
        <v>72148193.648570016</v>
      </c>
      <c r="S135">
        <f t="shared" ref="S135" si="653">R135/100000</f>
        <v>721.4819364857002</v>
      </c>
      <c r="T135">
        <f t="shared" ref="T135" si="654">S135/1000</f>
        <v>0.72148193648570025</v>
      </c>
    </row>
    <row r="136" spans="1:20" x14ac:dyDescent="0.25">
      <c r="A136" s="5">
        <v>44457</v>
      </c>
      <c r="B136">
        <v>48.77</v>
      </c>
      <c r="C136">
        <v>50.76</v>
      </c>
      <c r="D136">
        <v>48.08</v>
      </c>
      <c r="E136">
        <v>49.65</v>
      </c>
      <c r="F136">
        <v>451808.42</v>
      </c>
      <c r="G136">
        <v>49.65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0.17164179104477645</v>
      </c>
      <c r="Q136">
        <f t="shared" ref="Q136" si="656">F136*P136</f>
        <v>77549.206417910595</v>
      </c>
      <c r="R136">
        <f t="shared" ref="R136" si="657">R137+Q136</f>
        <v>72316329.215694621</v>
      </c>
      <c r="S136">
        <f t="shared" ref="S136" si="658">R136/100000</f>
        <v>723.16329215694623</v>
      </c>
      <c r="T136">
        <f t="shared" ref="T136" si="659">S136/1000</f>
        <v>0.72316329215694619</v>
      </c>
    </row>
    <row r="137" spans="1:20" x14ac:dyDescent="0.25">
      <c r="A137" s="5">
        <v>44456</v>
      </c>
      <c r="B137">
        <v>50.62</v>
      </c>
      <c r="C137">
        <v>51.21</v>
      </c>
      <c r="D137">
        <v>48.1</v>
      </c>
      <c r="E137">
        <v>48.77</v>
      </c>
      <c r="F137">
        <v>473503.59</v>
      </c>
      <c r="G137">
        <v>48.77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-0.56913183279742652</v>
      </c>
      <c r="Q137">
        <f t="shared" ref="Q137" si="661">F137*P137</f>
        <v>-269485.96601286123</v>
      </c>
      <c r="R137">
        <f t="shared" ref="R137" si="662">R138+Q137</f>
        <v>72238780.009276718</v>
      </c>
      <c r="S137">
        <f t="shared" ref="S137" si="663">R137/100000</f>
        <v>722.38780009276718</v>
      </c>
      <c r="T137">
        <f t="shared" ref="T137" si="664">S137/1000</f>
        <v>0.72238780009276715</v>
      </c>
    </row>
    <row r="138" spans="1:20" x14ac:dyDescent="0.25">
      <c r="A138" s="5">
        <v>44455</v>
      </c>
      <c r="B138">
        <v>52.78</v>
      </c>
      <c r="C138">
        <v>53.1</v>
      </c>
      <c r="D138">
        <v>49.17</v>
      </c>
      <c r="E138">
        <v>50.62</v>
      </c>
      <c r="F138">
        <v>601286.16</v>
      </c>
      <c r="G138">
        <v>50.62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-0.26208651399491306</v>
      </c>
      <c r="Q138">
        <f t="shared" ref="Q138" si="666">F138*P138</f>
        <v>-157588.99358778755</v>
      </c>
      <c r="R138">
        <f t="shared" ref="R138" si="667">R139+Q138</f>
        <v>72508265.975289583</v>
      </c>
      <c r="S138">
        <f t="shared" ref="S138" si="668">R138/100000</f>
        <v>725.08265975289578</v>
      </c>
      <c r="T138">
        <f t="shared" ref="T138" si="669">S138/1000</f>
        <v>0.72508265975289576</v>
      </c>
    </row>
    <row r="139" spans="1:20" x14ac:dyDescent="0.25">
      <c r="A139" s="5">
        <v>44454</v>
      </c>
      <c r="B139">
        <v>51.77</v>
      </c>
      <c r="C139">
        <v>52.89</v>
      </c>
      <c r="D139">
        <v>50.82</v>
      </c>
      <c r="E139">
        <v>52.79</v>
      </c>
      <c r="F139">
        <v>483661.87</v>
      </c>
      <c r="G139">
        <v>52.79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0.90338164251207598</v>
      </c>
      <c r="Q139">
        <f t="shared" ref="Q139" si="671">F139*P139</f>
        <v>436931.25454106217</v>
      </c>
      <c r="R139">
        <f t="shared" ref="R139" si="672">R140+Q139</f>
        <v>72665854.968877375</v>
      </c>
      <c r="S139">
        <f t="shared" ref="S139" si="673">R139/100000</f>
        <v>726.65854968877375</v>
      </c>
      <c r="T139">
        <f t="shared" ref="T139" si="674">S139/1000</f>
        <v>0.72665854968877375</v>
      </c>
    </row>
    <row r="140" spans="1:20" x14ac:dyDescent="0.25">
      <c r="A140" s="5">
        <v>44453</v>
      </c>
      <c r="B140">
        <v>48.42</v>
      </c>
      <c r="C140">
        <v>52.17</v>
      </c>
      <c r="D140">
        <v>47.85</v>
      </c>
      <c r="E140">
        <v>51.83</v>
      </c>
      <c r="F140">
        <v>928840.04</v>
      </c>
      <c r="G140">
        <v>51.83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0.84259259259259101</v>
      </c>
      <c r="Q140">
        <f t="shared" ref="Q140" si="676">F140*P140</f>
        <v>782633.73740740598</v>
      </c>
      <c r="R140">
        <f t="shared" ref="R140" si="677">R141+Q140</f>
        <v>72228923.714336306</v>
      </c>
      <c r="S140">
        <f t="shared" ref="S140" si="678">R140/100000</f>
        <v>722.28923714336304</v>
      </c>
      <c r="T140">
        <f t="shared" ref="T140" si="679">S140/1000</f>
        <v>0.72228923714336302</v>
      </c>
    </row>
    <row r="141" spans="1:20" x14ac:dyDescent="0.25">
      <c r="A141" s="5">
        <v>44452</v>
      </c>
      <c r="B141">
        <v>51.55</v>
      </c>
      <c r="C141">
        <v>51.77</v>
      </c>
      <c r="D141">
        <v>45.67</v>
      </c>
      <c r="E141">
        <v>48.43</v>
      </c>
      <c r="F141">
        <v>979063</v>
      </c>
      <c r="G141">
        <v>48.43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-9.5081967213115612E-2</v>
      </c>
      <c r="Q141">
        <f t="shared" ref="Q141" si="681">F141*P141</f>
        <v>-93091.236065574616</v>
      </c>
      <c r="R141">
        <f t="shared" ref="R141" si="682">R142+Q141</f>
        <v>71446289.976928905</v>
      </c>
      <c r="S141">
        <f t="shared" ref="S141" si="683">R141/100000</f>
        <v>714.46289976928904</v>
      </c>
      <c r="T141">
        <f t="shared" ref="T141" si="684">S141/1000</f>
        <v>0.71446289976928901</v>
      </c>
    </row>
    <row r="142" spans="1:20" x14ac:dyDescent="0.25">
      <c r="A142" s="5">
        <v>44451</v>
      </c>
      <c r="B142">
        <v>49.02</v>
      </c>
      <c r="C142">
        <v>51.98</v>
      </c>
      <c r="D142">
        <v>47.58</v>
      </c>
      <c r="E142">
        <v>51.56</v>
      </c>
      <c r="F142">
        <v>603922.4</v>
      </c>
      <c r="G142">
        <v>51.56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0.80909090909091153</v>
      </c>
      <c r="Q142">
        <f t="shared" ref="Q142" si="686">F142*P142</f>
        <v>488628.12363636511</v>
      </c>
      <c r="R142">
        <f t="shared" ref="R142" si="687">R143+Q142</f>
        <v>71539381.212994486</v>
      </c>
      <c r="S142">
        <f t="shared" ref="S142" si="688">R142/100000</f>
        <v>715.39381212994488</v>
      </c>
      <c r="T142">
        <f t="shared" ref="T142" si="689">S142/1000</f>
        <v>0.71539381212994491</v>
      </c>
    </row>
    <row r="143" spans="1:20" x14ac:dyDescent="0.25">
      <c r="A143" s="5">
        <v>44450</v>
      </c>
      <c r="B143">
        <v>48.08</v>
      </c>
      <c r="C143">
        <v>50.13</v>
      </c>
      <c r="D143">
        <v>47.25</v>
      </c>
      <c r="E143">
        <v>49.03</v>
      </c>
      <c r="F143">
        <v>410215.37</v>
      </c>
      <c r="G143">
        <v>49.03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0.2361111111111108</v>
      </c>
      <c r="Q143">
        <f t="shared" ref="Q143" si="691">F143*P143</f>
        <v>96856.406805555423</v>
      </c>
      <c r="R143">
        <f t="shared" ref="R143" si="692">R144+Q143</f>
        <v>71050753.089358121</v>
      </c>
      <c r="S143">
        <f t="shared" ref="S143" si="693">R143/100000</f>
        <v>710.50753089358125</v>
      </c>
      <c r="T143">
        <f t="shared" ref="T143" si="694">S143/1000</f>
        <v>0.71050753089358121</v>
      </c>
    </row>
    <row r="144" spans="1:20" x14ac:dyDescent="0.25">
      <c r="A144" s="5">
        <v>44449</v>
      </c>
      <c r="B144">
        <v>50.63</v>
      </c>
      <c r="C144">
        <v>53.29</v>
      </c>
      <c r="D144">
        <v>46.46</v>
      </c>
      <c r="E144">
        <v>48.09</v>
      </c>
      <c r="F144">
        <v>1047838.67</v>
      </c>
      <c r="G144">
        <v>48.09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-0.52269399707174147</v>
      </c>
      <c r="Q144">
        <f t="shared" ref="Q144" si="696">F144*P144</f>
        <v>-547698.98270863749</v>
      </c>
      <c r="R144">
        <f t="shared" ref="R144" si="697">R145+Q144</f>
        <v>70953896.682552561</v>
      </c>
      <c r="S144">
        <f t="shared" ref="S144" si="698">R144/100000</f>
        <v>709.53896682552556</v>
      </c>
      <c r="T144">
        <f t="shared" ref="T144" si="699">S144/1000</f>
        <v>0.70953896682552553</v>
      </c>
    </row>
    <row r="145" spans="1:20" x14ac:dyDescent="0.25">
      <c r="A145" s="5">
        <v>44448</v>
      </c>
      <c r="B145">
        <v>49.11</v>
      </c>
      <c r="C145">
        <v>52.31</v>
      </c>
      <c r="D145">
        <v>48.23</v>
      </c>
      <c r="E145">
        <v>50.62</v>
      </c>
      <c r="F145">
        <v>845103.63</v>
      </c>
      <c r="G145">
        <v>50.62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0.17156862745097912</v>
      </c>
      <c r="Q145">
        <f t="shared" ref="Q145" si="701">F145*P145</f>
        <v>144993.26985294011</v>
      </c>
      <c r="R145">
        <f t="shared" ref="R145" si="702">R146+Q145</f>
        <v>71501595.665261194</v>
      </c>
      <c r="S145">
        <f t="shared" ref="S145" si="703">R145/100000</f>
        <v>715.01595665261198</v>
      </c>
      <c r="T145">
        <f t="shared" ref="T145" si="704">S145/1000</f>
        <v>0.71501595665261197</v>
      </c>
    </row>
    <row r="146" spans="1:20" x14ac:dyDescent="0.25">
      <c r="A146" s="5">
        <v>44447</v>
      </c>
      <c r="B146">
        <v>49.88</v>
      </c>
      <c r="C146">
        <v>51.42</v>
      </c>
      <c r="D146">
        <v>44.25</v>
      </c>
      <c r="E146">
        <v>49.14</v>
      </c>
      <c r="F146">
        <v>1360420.95</v>
      </c>
      <c r="G146">
        <v>49.14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0.36401673640167348</v>
      </c>
      <c r="Q146">
        <f t="shared" ref="Q146" si="706">F146*P146</f>
        <v>495215.99435146421</v>
      </c>
      <c r="R146">
        <f t="shared" ref="R146" si="707">R147+Q146</f>
        <v>71356602.395408258</v>
      </c>
      <c r="S146">
        <f t="shared" ref="S146" si="708">R146/100000</f>
        <v>713.56602395408254</v>
      </c>
      <c r="T146">
        <f t="shared" ref="T146" si="709">S146/1000</f>
        <v>0.71356602395408253</v>
      </c>
    </row>
    <row r="147" spans="1:20" x14ac:dyDescent="0.25">
      <c r="A147" s="5">
        <v>44446</v>
      </c>
      <c r="B147">
        <v>63.66</v>
      </c>
      <c r="C147">
        <v>64.25</v>
      </c>
      <c r="D147">
        <v>43.48</v>
      </c>
      <c r="E147">
        <v>49.84</v>
      </c>
      <c r="F147">
        <v>2556545.432</v>
      </c>
      <c r="G147">
        <v>49.84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-0.38757823784304229</v>
      </c>
      <c r="Q147">
        <f t="shared" ref="Q147" si="711">F147*P147</f>
        <v>-990861.37350023934</v>
      </c>
      <c r="R147">
        <f t="shared" ref="R147" si="712">R148+Q147</f>
        <v>70861386.401056796</v>
      </c>
      <c r="S147">
        <f t="shared" ref="S147" si="713">R147/100000</f>
        <v>708.61386401056791</v>
      </c>
      <c r="T147">
        <f t="shared" ref="T147" si="714">S147/1000</f>
        <v>0.70861386401056792</v>
      </c>
    </row>
    <row r="148" spans="1:20" x14ac:dyDescent="0.25">
      <c r="A148" s="5">
        <v>44445</v>
      </c>
      <c r="B148">
        <v>65.78</v>
      </c>
      <c r="C148">
        <v>66.838999999999999</v>
      </c>
      <c r="D148">
        <v>61.03</v>
      </c>
      <c r="E148">
        <v>63.62</v>
      </c>
      <c r="F148">
        <v>1588677.449</v>
      </c>
      <c r="G148">
        <v>63.62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-0.10828025477707096</v>
      </c>
      <c r="Q148">
        <f t="shared" ref="Q148" si="716">F148*P148</f>
        <v>-172022.39893630715</v>
      </c>
      <c r="R148">
        <f t="shared" ref="R148" si="717">R149+Q148</f>
        <v>71852247.774557039</v>
      </c>
      <c r="S148">
        <f t="shared" ref="S148" si="718">R148/100000</f>
        <v>718.52247774557043</v>
      </c>
      <c r="T148">
        <f t="shared" ref="T148" si="719">S148/1000</f>
        <v>0.71852247774557043</v>
      </c>
    </row>
    <row r="149" spans="1:20" x14ac:dyDescent="0.25">
      <c r="A149" s="5">
        <v>44444</v>
      </c>
      <c r="B149">
        <v>57.97</v>
      </c>
      <c r="C149">
        <v>66.28</v>
      </c>
      <c r="D149">
        <v>57.5</v>
      </c>
      <c r="E149">
        <v>65.78</v>
      </c>
      <c r="F149">
        <v>2015207.274</v>
      </c>
      <c r="G149">
        <v>65.78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0.88610478359908884</v>
      </c>
      <c r="Q149">
        <f t="shared" ref="Q149" si="721">F149*P149</f>
        <v>1785684.8054350796</v>
      </c>
      <c r="R149">
        <f t="shared" ref="R149" si="722">R150+Q149</f>
        <v>72024270.173493341</v>
      </c>
      <c r="S149">
        <f t="shared" ref="S149" si="723">R149/100000</f>
        <v>720.24270173493346</v>
      </c>
      <c r="T149">
        <f t="shared" ref="T149" si="724">S149/1000</f>
        <v>0.72024270173493343</v>
      </c>
    </row>
    <row r="150" spans="1:20" x14ac:dyDescent="0.25">
      <c r="A150" s="5">
        <v>44443</v>
      </c>
      <c r="B150">
        <v>57.29</v>
      </c>
      <c r="C150">
        <v>58.87</v>
      </c>
      <c r="D150">
        <v>56.9</v>
      </c>
      <c r="E150">
        <v>57.95</v>
      </c>
      <c r="F150">
        <v>837922.54</v>
      </c>
      <c r="G150">
        <v>57.95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6.5989847715740985E-2</v>
      </c>
      <c r="Q150">
        <f t="shared" ref="Q150" si="726">F150*P150</f>
        <v>55294.380812186886</v>
      </c>
      <c r="R150">
        <f t="shared" ref="R150" si="727">R151+Q150</f>
        <v>70238585.368058264</v>
      </c>
      <c r="S150">
        <f t="shared" ref="S150" si="728">R150/100000</f>
        <v>702.38585368058261</v>
      </c>
      <c r="T150">
        <f t="shared" ref="T150" si="729">S150/1000</f>
        <v>0.70238585368058259</v>
      </c>
    </row>
    <row r="151" spans="1:20" x14ac:dyDescent="0.25">
      <c r="A151" s="5">
        <v>44442</v>
      </c>
      <c r="B151">
        <v>55.41</v>
      </c>
      <c r="C151">
        <v>59.27</v>
      </c>
      <c r="D151">
        <v>54.01</v>
      </c>
      <c r="E151">
        <v>57.27</v>
      </c>
      <c r="F151">
        <v>1104992.2890000001</v>
      </c>
      <c r="G151">
        <v>57.27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0.23954372623574219</v>
      </c>
      <c r="Q151">
        <f t="shared" ref="Q151" si="731">F151*P151</f>
        <v>264693.97036882216</v>
      </c>
      <c r="R151">
        <f t="shared" ref="R151" si="732">R152+Q151</f>
        <v>70183290.987246081</v>
      </c>
      <c r="S151">
        <f t="shared" ref="S151" si="733">R151/100000</f>
        <v>701.83290987246085</v>
      </c>
      <c r="T151">
        <f t="shared" ref="T151" si="734">S151/1000</f>
        <v>0.70183290987246083</v>
      </c>
    </row>
    <row r="152" spans="1:20" x14ac:dyDescent="0.25">
      <c r="A152" s="5">
        <v>44441</v>
      </c>
      <c r="B152">
        <v>55.2</v>
      </c>
      <c r="C152">
        <v>57</v>
      </c>
      <c r="D152">
        <v>54.37</v>
      </c>
      <c r="E152">
        <v>55.41</v>
      </c>
      <c r="F152">
        <v>773031.5</v>
      </c>
      <c r="G152">
        <v>55.41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-0.20912547528517253</v>
      </c>
      <c r="Q152">
        <f t="shared" ref="Q152" si="736">F152*P152</f>
        <v>-161660.57984790986</v>
      </c>
      <c r="R152">
        <f t="shared" ref="R152" si="737">R153+Q152</f>
        <v>69918597.016877264</v>
      </c>
      <c r="S152">
        <f t="shared" ref="S152" si="738">R152/100000</f>
        <v>699.18597016877266</v>
      </c>
      <c r="T152">
        <f t="shared" ref="T152" si="739">S152/1000</f>
        <v>0.69918597016877271</v>
      </c>
    </row>
    <row r="153" spans="1:20" x14ac:dyDescent="0.25">
      <c r="A153" s="5">
        <v>44440</v>
      </c>
      <c r="B153">
        <v>52.12</v>
      </c>
      <c r="C153">
        <v>55.45</v>
      </c>
      <c r="D153">
        <v>50.26</v>
      </c>
      <c r="E153">
        <v>55.19</v>
      </c>
      <c r="F153">
        <v>1016035.08</v>
      </c>
      <c r="G153">
        <v>55.19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0.89980732177263778</v>
      </c>
      <c r="Q153">
        <f t="shared" ref="Q153" si="741">F153*P153</f>
        <v>914235.80416184769</v>
      </c>
      <c r="R153">
        <f t="shared" ref="R153" si="742">R154+Q153</f>
        <v>70080257.596725181</v>
      </c>
      <c r="S153">
        <f t="shared" ref="S153" si="743">R153/100000</f>
        <v>700.80257596725176</v>
      </c>
      <c r="T153">
        <f t="shared" ref="T153" si="744">S153/1000</f>
        <v>0.70080257596725171</v>
      </c>
    </row>
    <row r="154" spans="1:20" x14ac:dyDescent="0.25">
      <c r="A154" s="5">
        <v>44439</v>
      </c>
      <c r="B154">
        <v>51.56</v>
      </c>
      <c r="C154">
        <v>54.4</v>
      </c>
      <c r="D154">
        <v>51</v>
      </c>
      <c r="E154">
        <v>52.09</v>
      </c>
      <c r="F154">
        <v>758648.07</v>
      </c>
      <c r="G154">
        <v>52.09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-0.35882352941176243</v>
      </c>
      <c r="Q154">
        <f t="shared" ref="Q154" si="746">F154*P154</f>
        <v>-272220.7780588218</v>
      </c>
      <c r="R154">
        <f t="shared" ref="R154" si="747">R155+Q154</f>
        <v>69166021.792563334</v>
      </c>
      <c r="S154">
        <f t="shared" ref="S154" si="748">R154/100000</f>
        <v>691.66021792563333</v>
      </c>
      <c r="T154">
        <f t="shared" ref="T154" si="749">S154/1000</f>
        <v>0.69166021792563337</v>
      </c>
    </row>
    <row r="155" spans="1:20" x14ac:dyDescent="0.25">
      <c r="A155" s="5">
        <v>44438</v>
      </c>
      <c r="B155">
        <v>54.44</v>
      </c>
      <c r="C155">
        <v>54.56</v>
      </c>
      <c r="D155">
        <v>51.05</v>
      </c>
      <c r="E155">
        <v>51.58</v>
      </c>
      <c r="F155">
        <v>580788.19999999995</v>
      </c>
      <c r="G155">
        <v>51.58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-0.69800569800569778</v>
      </c>
      <c r="Q155">
        <f t="shared" ref="Q155" si="751">F155*P155</f>
        <v>-405393.47293447278</v>
      </c>
      <c r="R155">
        <f t="shared" ref="R155" si="752">R156+Q155</f>
        <v>69438242.570622161</v>
      </c>
      <c r="S155">
        <f t="shared" ref="S155" si="753">R155/100000</f>
        <v>694.38242570622162</v>
      </c>
      <c r="T155">
        <f t="shared" ref="T155" si="754">S155/1000</f>
        <v>0.69438242570622166</v>
      </c>
    </row>
    <row r="156" spans="1:20" x14ac:dyDescent="0.25">
      <c r="A156" s="5">
        <v>44437</v>
      </c>
      <c r="B156">
        <v>54.53</v>
      </c>
      <c r="C156">
        <v>57.18</v>
      </c>
      <c r="D156">
        <v>53.67</v>
      </c>
      <c r="E156">
        <v>54.45</v>
      </c>
      <c r="F156">
        <v>582784.31599999999</v>
      </c>
      <c r="G156">
        <v>54.45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-0.55555555555555469</v>
      </c>
      <c r="Q156">
        <f t="shared" ref="Q156" si="756">F156*P156</f>
        <v>-323769.06444444391</v>
      </c>
      <c r="R156">
        <f t="shared" ref="R156" si="757">R157+Q156</f>
        <v>69843636.043556631</v>
      </c>
      <c r="S156">
        <f t="shared" ref="S156" si="758">R156/100000</f>
        <v>698.43636043556626</v>
      </c>
      <c r="T156">
        <f t="shared" ref="T156" si="759">S156/1000</f>
        <v>0.69843636043556623</v>
      </c>
    </row>
    <row r="157" spans="1:20" x14ac:dyDescent="0.25">
      <c r="A157" s="5">
        <v>44436</v>
      </c>
      <c r="B157">
        <v>55.47</v>
      </c>
      <c r="C157">
        <v>56.16</v>
      </c>
      <c r="D157">
        <v>53.26</v>
      </c>
      <c r="E157">
        <v>54.51</v>
      </c>
      <c r="F157">
        <v>456160.65500000003</v>
      </c>
      <c r="G157">
        <v>54.51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-0.1379310344827582</v>
      </c>
      <c r="Q157">
        <f t="shared" ref="Q157" si="761">F157*P157</f>
        <v>-62918.711034482571</v>
      </c>
      <c r="R157">
        <f t="shared" ref="R157" si="762">R158+Q157</f>
        <v>70167405.108001068</v>
      </c>
      <c r="S157">
        <f t="shared" ref="S157" si="763">R157/100000</f>
        <v>701.67405108001071</v>
      </c>
      <c r="T157">
        <f t="shared" ref="T157" si="764">S157/1000</f>
        <v>0.70167405108001069</v>
      </c>
    </row>
    <row r="158" spans="1:20" x14ac:dyDescent="0.25">
      <c r="A158" s="5">
        <v>44435</v>
      </c>
      <c r="B158">
        <v>51.35</v>
      </c>
      <c r="C158">
        <v>55.79</v>
      </c>
      <c r="D158">
        <v>49.54</v>
      </c>
      <c r="E158">
        <v>55.52</v>
      </c>
      <c r="F158">
        <v>888631.98100000003</v>
      </c>
      <c r="G158">
        <v>55.52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0.9136000000000013</v>
      </c>
      <c r="Q158">
        <f t="shared" ref="Q158" si="766">F158*P158</f>
        <v>811854.17784160119</v>
      </c>
      <c r="R158">
        <f t="shared" ref="R158" si="767">R159+Q158</f>
        <v>70230323.819035545</v>
      </c>
      <c r="S158">
        <f t="shared" ref="S158" si="768">R158/100000</f>
        <v>702.3032381903555</v>
      </c>
      <c r="T158">
        <f t="shared" ref="T158" si="769">S158/1000</f>
        <v>0.70230323819035545</v>
      </c>
    </row>
    <row r="159" spans="1:20" x14ac:dyDescent="0.25">
      <c r="A159" s="5">
        <v>44434</v>
      </c>
      <c r="B159">
        <v>56.313000000000002</v>
      </c>
      <c r="C159">
        <v>58.923999999999999</v>
      </c>
      <c r="D159">
        <v>51.03</v>
      </c>
      <c r="E159">
        <v>51.39</v>
      </c>
      <c r="F159">
        <v>888416.52800000005</v>
      </c>
      <c r="G159">
        <v>51.39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-0.90879148720547265</v>
      </c>
      <c r="Q159">
        <f t="shared" ref="Q159" si="771">F159*P159</f>
        <v>-807385.37773904251</v>
      </c>
      <c r="R159">
        <f t="shared" ref="R159" si="772">R160+Q159</f>
        <v>69418469.641193941</v>
      </c>
      <c r="S159">
        <f t="shared" ref="S159" si="773">R159/100000</f>
        <v>694.1846964119394</v>
      </c>
      <c r="T159">
        <f t="shared" ref="T159" si="774">S159/1000</f>
        <v>0.69418469641193936</v>
      </c>
    </row>
    <row r="160" spans="1:20" x14ac:dyDescent="0.25">
      <c r="A160" s="5">
        <v>44433</v>
      </c>
      <c r="B160">
        <v>55.527000000000001</v>
      </c>
      <c r="C160">
        <v>57.167000000000002</v>
      </c>
      <c r="D160">
        <v>52.408999999999999</v>
      </c>
      <c r="E160">
        <v>56.304000000000002</v>
      </c>
      <c r="F160">
        <v>1234576.8500000001</v>
      </c>
      <c r="G160">
        <v>56.304000000000002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0.63724253888188354</v>
      </c>
      <c r="Q160">
        <f t="shared" ref="Q160" si="776">F160*P160</f>
        <v>786724.88633879833</v>
      </c>
      <c r="R160">
        <f t="shared" ref="R160" si="777">R161+Q160</f>
        <v>70225855.018932983</v>
      </c>
      <c r="S160">
        <f t="shared" ref="S160" si="778">R160/100000</f>
        <v>702.25855018932987</v>
      </c>
      <c r="T160">
        <f t="shared" ref="T160" si="779">S160/1000</f>
        <v>0.70225855018932992</v>
      </c>
    </row>
    <row r="161" spans="1:20" x14ac:dyDescent="0.25">
      <c r="A161" s="5">
        <v>44432</v>
      </c>
      <c r="B161">
        <v>60.76</v>
      </c>
      <c r="C161">
        <v>62.98</v>
      </c>
      <c r="D161">
        <v>54.615000000000002</v>
      </c>
      <c r="E161">
        <v>55.527999999999999</v>
      </c>
      <c r="F161">
        <v>1670306.4850000001</v>
      </c>
      <c r="G161">
        <v>55.527999999999999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-0.78170950388523675</v>
      </c>
      <c r="Q161">
        <f t="shared" ref="Q161" si="781">F161*P161</f>
        <v>-1305694.4537256437</v>
      </c>
      <c r="R161">
        <f t="shared" ref="R161" si="782">R162+Q161</f>
        <v>69439130.132594183</v>
      </c>
      <c r="S161">
        <f t="shared" ref="S161" si="783">R161/100000</f>
        <v>694.39130132594187</v>
      </c>
      <c r="T161">
        <f t="shared" ref="T161" si="784">S161/1000</f>
        <v>0.69439130132594185</v>
      </c>
    </row>
    <row r="162" spans="1:20" x14ac:dyDescent="0.25">
      <c r="A162" s="5">
        <v>44431</v>
      </c>
      <c r="B162">
        <v>55.462000000000003</v>
      </c>
      <c r="C162">
        <v>62</v>
      </c>
      <c r="D162">
        <v>55.021000000000001</v>
      </c>
      <c r="E162">
        <v>60.762999999999998</v>
      </c>
      <c r="F162">
        <v>2200964.2390000001</v>
      </c>
      <c r="G162">
        <v>60.762999999999998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0.64550795242871417</v>
      </c>
      <c r="Q162">
        <f t="shared" ref="Q162" si="786">F162*P162</f>
        <v>1420739.9192857132</v>
      </c>
      <c r="R162">
        <f t="shared" ref="R162" si="787">R163+Q162</f>
        <v>70744824.586319834</v>
      </c>
      <c r="S162">
        <f t="shared" ref="S162" si="788">R162/100000</f>
        <v>707.44824586319839</v>
      </c>
      <c r="T162">
        <f t="shared" ref="T162" si="789">S162/1000</f>
        <v>0.70744824586319843</v>
      </c>
    </row>
    <row r="163" spans="1:20" x14ac:dyDescent="0.25">
      <c r="A163" s="5">
        <v>44430</v>
      </c>
      <c r="B163">
        <v>55.38</v>
      </c>
      <c r="C163">
        <v>56.487000000000002</v>
      </c>
      <c r="D163">
        <v>55.05</v>
      </c>
      <c r="E163">
        <v>56.322000000000003</v>
      </c>
      <c r="F163">
        <v>141181.16800000001</v>
      </c>
      <c r="G163">
        <v>56.322000000000003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0.7703549060542817</v>
      </c>
      <c r="Q163">
        <f t="shared" ref="Q163" si="791">F163*P163</f>
        <v>108759.60541127376</v>
      </c>
      <c r="R163">
        <f t="shared" ref="R163" si="792">R164+Q163</f>
        <v>69324084.667034119</v>
      </c>
      <c r="S163">
        <f t="shared" ref="S163" si="793">R163/100000</f>
        <v>693.24084667034117</v>
      </c>
      <c r="T163">
        <f t="shared" ref="T163" si="794">S163/1000</f>
        <v>0.69324084667034114</v>
      </c>
    </row>
    <row r="164" spans="1:20" x14ac:dyDescent="0.25">
      <c r="A164" s="5">
        <v>44429</v>
      </c>
      <c r="B164">
        <v>56.533000000000001</v>
      </c>
      <c r="C164">
        <v>57.354999999999997</v>
      </c>
      <c r="D164">
        <v>54.912999999999997</v>
      </c>
      <c r="E164">
        <v>55.368000000000002</v>
      </c>
      <c r="F164">
        <v>693200.45299999998</v>
      </c>
      <c r="G164">
        <v>55.368000000000002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-0.627354627354623</v>
      </c>
      <c r="Q164">
        <f t="shared" ref="Q164" si="796">F164*P164</f>
        <v>-434882.51187387086</v>
      </c>
      <c r="R164">
        <f t="shared" ref="R164" si="797">R165+Q164</f>
        <v>69215325.061622843</v>
      </c>
      <c r="S164">
        <f t="shared" ref="S164" si="798">R164/100000</f>
        <v>692.15325061622843</v>
      </c>
      <c r="T164">
        <f t="shared" ref="T164" si="799">S164/1000</f>
        <v>0.69215325061622845</v>
      </c>
    </row>
    <row r="165" spans="1:20" x14ac:dyDescent="0.25">
      <c r="A165" s="5">
        <v>44428</v>
      </c>
      <c r="B165">
        <v>54.33</v>
      </c>
      <c r="C165">
        <v>56.71</v>
      </c>
      <c r="D165">
        <v>53.947000000000003</v>
      </c>
      <c r="E165">
        <v>56.542000000000002</v>
      </c>
      <c r="F165">
        <v>805751.41399999999</v>
      </c>
      <c r="G165">
        <v>56.542000000000002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0.87839305103148801</v>
      </c>
      <c r="Q165">
        <f t="shared" ref="Q165" si="801">F165*P165</f>
        <v>707766.44291639561</v>
      </c>
      <c r="R165">
        <f t="shared" ref="R165" si="802">R166+Q165</f>
        <v>69650207.573496714</v>
      </c>
      <c r="S165">
        <f t="shared" ref="S165" si="803">R165/100000</f>
        <v>696.50207573496709</v>
      </c>
      <c r="T165">
        <f t="shared" ref="T165" si="804">S165/1000</f>
        <v>0.69650207573496714</v>
      </c>
    </row>
    <row r="166" spans="1:20" x14ac:dyDescent="0.25">
      <c r="A166" s="5">
        <v>44427</v>
      </c>
      <c r="B166">
        <v>51.588000000000001</v>
      </c>
      <c r="C166">
        <v>54.432000000000002</v>
      </c>
      <c r="D166">
        <v>49.116</v>
      </c>
      <c r="E166">
        <v>54.334000000000003</v>
      </c>
      <c r="F166">
        <v>832499.72</v>
      </c>
      <c r="G166">
        <v>54.334000000000003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0.96313017306245341</v>
      </c>
      <c r="Q166">
        <f t="shared" ref="Q166" si="806">F166*P166</f>
        <v>801805.59939804394</v>
      </c>
      <c r="R166">
        <f t="shared" ref="R166" si="807">R167+Q166</f>
        <v>68942441.130580321</v>
      </c>
      <c r="S166">
        <f t="shared" ref="S166" si="808">R166/100000</f>
        <v>689.42441130580323</v>
      </c>
      <c r="T166">
        <f t="shared" ref="T166" si="809">S166/1000</f>
        <v>0.68942441130580323</v>
      </c>
    </row>
    <row r="167" spans="1:20" x14ac:dyDescent="0.25">
      <c r="A167" s="5">
        <v>44426</v>
      </c>
      <c r="B167">
        <v>51.813000000000002</v>
      </c>
      <c r="C167">
        <v>53.439</v>
      </c>
      <c r="D167">
        <v>48.6</v>
      </c>
      <c r="E167">
        <v>51.555999999999997</v>
      </c>
      <c r="F167">
        <v>1030835.346</v>
      </c>
      <c r="G167">
        <v>51.555999999999997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0.22174002893159611</v>
      </c>
      <c r="Q167">
        <f t="shared" ref="Q167" si="811">F167*P167</f>
        <v>228577.45944575188</v>
      </c>
      <c r="R167">
        <f t="shared" ref="R167" si="812">R168+Q167</f>
        <v>68140635.531182274</v>
      </c>
      <c r="S167">
        <f t="shared" ref="S167" si="813">R167/100000</f>
        <v>681.40635531182272</v>
      </c>
      <c r="T167">
        <f t="shared" ref="T167" si="814">S167/1000</f>
        <v>0.6814063553118227</v>
      </c>
    </row>
    <row r="168" spans="1:20" x14ac:dyDescent="0.25">
      <c r="A168" s="5">
        <v>44425</v>
      </c>
      <c r="B168">
        <v>56.338000000000001</v>
      </c>
      <c r="C168">
        <v>58.146999999999998</v>
      </c>
      <c r="D168">
        <v>51.363999999999997</v>
      </c>
      <c r="E168">
        <v>51.863</v>
      </c>
      <c r="F168">
        <v>1031807.178</v>
      </c>
      <c r="G168">
        <v>51.863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-0.85286746277458281</v>
      </c>
      <c r="Q168">
        <f t="shared" ref="Q168" si="816">F168*P168</f>
        <v>-879994.76997346233</v>
      </c>
      <c r="R168">
        <f t="shared" ref="R168" si="817">R169+Q168</f>
        <v>67912058.071736529</v>
      </c>
      <c r="S168">
        <f t="shared" ref="S168" si="818">R168/100000</f>
        <v>679.12058071736533</v>
      </c>
      <c r="T168">
        <f t="shared" ref="T168" si="819">S168/1000</f>
        <v>0.67912058071736536</v>
      </c>
    </row>
    <row r="169" spans="1:20" x14ac:dyDescent="0.25">
      <c r="A169" s="5">
        <v>44424</v>
      </c>
      <c r="B169">
        <v>58.921999999999997</v>
      </c>
      <c r="C169">
        <v>60.183999999999997</v>
      </c>
      <c r="D169">
        <v>55.5</v>
      </c>
      <c r="E169">
        <v>56.34</v>
      </c>
      <c r="F169">
        <v>1267615.8829999999</v>
      </c>
      <c r="G169">
        <v>56.34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-0.64133219470537839</v>
      </c>
      <c r="Q169">
        <f t="shared" ref="Q169" si="821">F169*P169</f>
        <v>-812962.87628778606</v>
      </c>
      <c r="R169">
        <f t="shared" ref="R169" si="822">R170+Q169</f>
        <v>68792052.841709986</v>
      </c>
      <c r="S169">
        <f t="shared" ref="S169" si="823">R169/100000</f>
        <v>687.92052841709983</v>
      </c>
      <c r="T169">
        <f t="shared" ref="T169" si="824">S169/1000</f>
        <v>0.68792052841709983</v>
      </c>
    </row>
    <row r="170" spans="1:20" x14ac:dyDescent="0.25">
      <c r="A170" s="5">
        <v>44423</v>
      </c>
      <c r="B170">
        <v>55.808</v>
      </c>
      <c r="C170">
        <v>59.9</v>
      </c>
      <c r="D170">
        <v>52.7</v>
      </c>
      <c r="E170">
        <v>58.912999999999997</v>
      </c>
      <c r="F170">
        <v>1153964.561</v>
      </c>
      <c r="G170">
        <v>58.912999999999997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0.72583333333333266</v>
      </c>
      <c r="Q170">
        <f t="shared" ref="Q170" si="826">F170*P170</f>
        <v>837585.94385916588</v>
      </c>
      <c r="R170">
        <f t="shared" ref="R170" si="827">R171+Q170</f>
        <v>69605015.717997774</v>
      </c>
      <c r="S170">
        <f t="shared" ref="S170" si="828">R170/100000</f>
        <v>696.05015717997776</v>
      </c>
      <c r="T170">
        <f t="shared" ref="T170" si="829">S170/1000</f>
        <v>0.69605015717997776</v>
      </c>
    </row>
    <row r="171" spans="1:20" x14ac:dyDescent="0.25">
      <c r="A171" s="5">
        <v>44422</v>
      </c>
      <c r="B171">
        <v>55.417999999999999</v>
      </c>
      <c r="C171">
        <v>57</v>
      </c>
      <c r="D171">
        <v>52.688000000000002</v>
      </c>
      <c r="E171">
        <v>55.808999999999997</v>
      </c>
      <c r="F171">
        <v>1163267.1089999999</v>
      </c>
      <c r="G171">
        <v>55.808999999999997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0.44758812615955329</v>
      </c>
      <c r="Q171">
        <f t="shared" ref="Q171" si="831">F171*P171</f>
        <v>520664.54554035078</v>
      </c>
      <c r="R171">
        <f t="shared" ref="R171" si="832">R172+Q171</f>
        <v>68767429.774138615</v>
      </c>
      <c r="S171">
        <f t="shared" ref="S171" si="833">R171/100000</f>
        <v>687.67429774138611</v>
      </c>
      <c r="T171">
        <f t="shared" ref="T171" si="834">S171/1000</f>
        <v>0.68767429774138611</v>
      </c>
    </row>
    <row r="172" spans="1:20" x14ac:dyDescent="0.25">
      <c r="A172" s="5">
        <v>44421</v>
      </c>
      <c r="B172">
        <v>48.643000000000001</v>
      </c>
      <c r="C172">
        <v>56</v>
      </c>
      <c r="D172">
        <v>47.985999999999997</v>
      </c>
      <c r="E172">
        <v>55.423999999999999</v>
      </c>
      <c r="F172">
        <v>1102349.7250000001</v>
      </c>
      <c r="G172">
        <v>55.423999999999999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0.85625155977040168</v>
      </c>
      <c r="Q172">
        <f t="shared" ref="Q172" si="836">F172*P172</f>
        <v>943888.67144372349</v>
      </c>
      <c r="R172">
        <f t="shared" ref="R172" si="837">R173+Q172</f>
        <v>68246765.228598267</v>
      </c>
      <c r="S172">
        <f t="shared" ref="S172" si="838">R172/100000</f>
        <v>682.46765228598269</v>
      </c>
      <c r="T172">
        <f t="shared" ref="T172" si="839">S172/1000</f>
        <v>0.68246765228598272</v>
      </c>
    </row>
    <row r="173" spans="1:20" x14ac:dyDescent="0.25">
      <c r="A173" s="5">
        <v>44420</v>
      </c>
      <c r="B173">
        <v>48.698</v>
      </c>
      <c r="C173">
        <v>52.969000000000001</v>
      </c>
      <c r="D173">
        <v>46.255000000000003</v>
      </c>
      <c r="E173">
        <v>48.610999999999997</v>
      </c>
      <c r="F173">
        <v>1174406.3</v>
      </c>
      <c r="G173">
        <v>48.610999999999997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-0.29818290140006104</v>
      </c>
      <c r="Q173">
        <f t="shared" ref="Q173" si="841">F173*P173</f>
        <v>-350187.87795651052</v>
      </c>
      <c r="R173">
        <f t="shared" ref="R173" si="842">R174+Q173</f>
        <v>67302876.557154536</v>
      </c>
      <c r="S173">
        <f t="shared" ref="S173" si="843">R173/100000</f>
        <v>673.02876557154536</v>
      </c>
      <c r="T173">
        <f t="shared" ref="T173" si="844">S173/1000</f>
        <v>0.67302876557154534</v>
      </c>
    </row>
    <row r="174" spans="1:20" x14ac:dyDescent="0.25">
      <c r="A174" s="5">
        <v>44419</v>
      </c>
      <c r="B174">
        <v>46.694000000000003</v>
      </c>
      <c r="C174">
        <v>50.988</v>
      </c>
      <c r="D174">
        <v>46.694000000000003</v>
      </c>
      <c r="E174">
        <v>48.741</v>
      </c>
      <c r="F174">
        <v>1158531.5719999999</v>
      </c>
      <c r="G174">
        <v>48.741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-4.6576618537494875E-2</v>
      </c>
      <c r="Q174">
        <f t="shared" ref="Q174" si="846">F174*P174</f>
        <v>-53960.483092688279</v>
      </c>
      <c r="R174">
        <f t="shared" ref="R174" si="847">R175+Q174</f>
        <v>67653064.435111046</v>
      </c>
      <c r="S174">
        <f t="shared" ref="S174" si="848">R174/100000</f>
        <v>676.53064435111048</v>
      </c>
      <c r="T174">
        <f t="shared" ref="T174" si="849">S174/1000</f>
        <v>0.67653064435111043</v>
      </c>
    </row>
    <row r="175" spans="1:20" x14ac:dyDescent="0.25">
      <c r="A175" s="5">
        <v>44418</v>
      </c>
      <c r="B175">
        <v>46.491</v>
      </c>
      <c r="C175">
        <v>47.667000000000002</v>
      </c>
      <c r="D175">
        <v>44.466000000000001</v>
      </c>
      <c r="E175">
        <v>46.680999999999997</v>
      </c>
      <c r="F175">
        <v>1018350.88</v>
      </c>
      <c r="G175">
        <v>46.680999999999997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0.383942517963134</v>
      </c>
      <c r="Q175">
        <f t="shared" ref="Q175" si="851">F175*P175</f>
        <v>390988.20103717333</v>
      </c>
      <c r="R175">
        <f t="shared" ref="R175" si="852">R176+Q175</f>
        <v>67707024.918203741</v>
      </c>
      <c r="S175">
        <f t="shared" ref="S175" si="853">R175/100000</f>
        <v>677.0702491820374</v>
      </c>
      <c r="T175">
        <f t="shared" ref="T175" si="854">S175/1000</f>
        <v>0.6770702491820374</v>
      </c>
    </row>
    <row r="176" spans="1:20" x14ac:dyDescent="0.25">
      <c r="A176" s="5">
        <v>44417</v>
      </c>
      <c r="B176">
        <v>45.075000000000003</v>
      </c>
      <c r="C176">
        <v>46.936999999999998</v>
      </c>
      <c r="D176">
        <v>43.444000000000003</v>
      </c>
      <c r="E176">
        <v>46.500999999999998</v>
      </c>
      <c r="F176">
        <v>657587.77</v>
      </c>
      <c r="G176">
        <v>46.500999999999998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0.75035785857429116</v>
      </c>
      <c r="Q176">
        <f t="shared" ref="Q176" si="856">F176*P176</f>
        <v>493426.15092184354</v>
      </c>
      <c r="R176">
        <f t="shared" ref="R176" si="857">R177+Q176</f>
        <v>67316036.717166573</v>
      </c>
      <c r="S176">
        <f t="shared" ref="S176" si="858">R176/100000</f>
        <v>673.16036717166571</v>
      </c>
      <c r="T176">
        <f t="shared" ref="T176" si="859">S176/1000</f>
        <v>0.67316036717166572</v>
      </c>
    </row>
    <row r="177" spans="1:20" x14ac:dyDescent="0.25">
      <c r="A177" s="5">
        <v>44416</v>
      </c>
      <c r="B177">
        <v>46.93</v>
      </c>
      <c r="C177">
        <v>48.2</v>
      </c>
      <c r="D177">
        <v>43.89</v>
      </c>
      <c r="E177">
        <v>45.051000000000002</v>
      </c>
      <c r="F177">
        <v>915999.55500000005</v>
      </c>
      <c r="G177">
        <v>45.051000000000002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-0.4612529002320182</v>
      </c>
      <c r="Q177">
        <f t="shared" ref="Q177" si="861">F177*P177</f>
        <v>-422507.45135498809</v>
      </c>
      <c r="R177">
        <f t="shared" ref="R177" si="862">R178+Q177</f>
        <v>66822610.566244729</v>
      </c>
      <c r="S177">
        <f t="shared" ref="S177" si="863">R177/100000</f>
        <v>668.22610566244725</v>
      </c>
      <c r="T177">
        <f t="shared" ref="T177" si="864">S177/1000</f>
        <v>0.66822610566244722</v>
      </c>
    </row>
    <row r="178" spans="1:20" x14ac:dyDescent="0.25">
      <c r="A178" s="5">
        <v>44415</v>
      </c>
      <c r="B178">
        <v>44.468000000000004</v>
      </c>
      <c r="C178">
        <v>48.377000000000002</v>
      </c>
      <c r="D178">
        <v>44.008000000000003</v>
      </c>
      <c r="E178">
        <v>46.954000000000001</v>
      </c>
      <c r="F178">
        <v>1281371.277</v>
      </c>
      <c r="G178">
        <v>46.954000000000001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0.34859235523002891</v>
      </c>
      <c r="Q178">
        <f t="shared" ref="Q178" si="866">F178*P178</f>
        <v>446676.23137353978</v>
      </c>
      <c r="R178">
        <f t="shared" ref="R178" si="867">R179+Q178</f>
        <v>67245118.017599717</v>
      </c>
      <c r="S178">
        <f t="shared" ref="S178" si="868">R178/100000</f>
        <v>672.45118017599714</v>
      </c>
      <c r="T178">
        <f t="shared" ref="T178" si="869">S178/1000</f>
        <v>0.67245118017599714</v>
      </c>
    </row>
    <row r="179" spans="1:20" x14ac:dyDescent="0.25">
      <c r="A179" s="5">
        <v>44414</v>
      </c>
      <c r="B179">
        <v>43.896999999999998</v>
      </c>
      <c r="C179">
        <v>45.5</v>
      </c>
      <c r="D179">
        <v>42.982999999999997</v>
      </c>
      <c r="E179">
        <v>44.472999999999999</v>
      </c>
      <c r="F179">
        <v>855640.15700000001</v>
      </c>
      <c r="G179">
        <v>44.472999999999999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0.18394914580850236</v>
      </c>
      <c r="Q179">
        <f t="shared" ref="Q179" si="871">F179*P179</f>
        <v>157394.27599960286</v>
      </c>
      <c r="R179">
        <f t="shared" ref="R179" si="872">R180+Q179</f>
        <v>66798441.786226176</v>
      </c>
      <c r="S179">
        <f t="shared" ref="S179" si="873">R179/100000</f>
        <v>667.98441786226181</v>
      </c>
      <c r="T179">
        <f t="shared" ref="T179" si="874">S179/1000</f>
        <v>0.66798441786226181</v>
      </c>
    </row>
    <row r="180" spans="1:20" x14ac:dyDescent="0.25">
      <c r="A180" s="5">
        <v>44413</v>
      </c>
      <c r="B180">
        <v>43.656999999999996</v>
      </c>
      <c r="C180">
        <v>44.399000000000001</v>
      </c>
      <c r="D180">
        <v>41.384</v>
      </c>
      <c r="E180">
        <v>43.890999999999998</v>
      </c>
      <c r="F180">
        <v>684350.15099999995</v>
      </c>
      <c r="G180">
        <v>43.890999999999998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0.66301824212271798</v>
      </c>
      <c r="Q180">
        <f t="shared" ref="Q180" si="876">F180*P180</f>
        <v>453736.63411243656</v>
      </c>
      <c r="R180">
        <f t="shared" ref="R180" si="877">R181+Q180</f>
        <v>66641047.51022657</v>
      </c>
      <c r="S180">
        <f t="shared" ref="S180" si="878">R180/100000</f>
        <v>666.41047510226565</v>
      </c>
      <c r="T180">
        <f t="shared" ref="T180" si="879">S180/1000</f>
        <v>0.6664104751022657</v>
      </c>
    </row>
    <row r="181" spans="1:20" x14ac:dyDescent="0.25">
      <c r="A181" s="5">
        <v>44412</v>
      </c>
      <c r="B181">
        <v>41.49</v>
      </c>
      <c r="C181">
        <v>44.781999999999996</v>
      </c>
      <c r="D181">
        <v>40.822000000000003</v>
      </c>
      <c r="E181">
        <v>43.64</v>
      </c>
      <c r="F181">
        <v>699085.424</v>
      </c>
      <c r="G181">
        <v>43.64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0.4232323232323244</v>
      </c>
      <c r="Q181">
        <f t="shared" ref="Q181" si="881">F181*P181</f>
        <v>295875.54813737457</v>
      </c>
      <c r="R181">
        <f t="shared" ref="R181" si="882">R182+Q181</f>
        <v>66187310.87611413</v>
      </c>
      <c r="S181">
        <f t="shared" ref="S181" si="883">R181/100000</f>
        <v>661.87310876114134</v>
      </c>
      <c r="T181">
        <f t="shared" ref="T181" si="884">S181/1000</f>
        <v>0.66187310876114136</v>
      </c>
    </row>
    <row r="182" spans="1:20" x14ac:dyDescent="0.25">
      <c r="A182" s="5">
        <v>44411</v>
      </c>
      <c r="B182">
        <v>43.389000000000003</v>
      </c>
      <c r="C182">
        <v>43.92</v>
      </c>
      <c r="D182">
        <v>40.713000000000001</v>
      </c>
      <c r="E182">
        <v>41.472999999999999</v>
      </c>
      <c r="F182">
        <v>584770.19099999999</v>
      </c>
      <c r="G182">
        <v>41.472999999999999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-0.52603679451200636</v>
      </c>
      <c r="Q182">
        <f t="shared" ref="Q182" si="886">F182*P182</f>
        <v>-307610.63679981371</v>
      </c>
      <c r="R182">
        <f t="shared" ref="R182" si="887">R183+Q182</f>
        <v>65891435.327976756</v>
      </c>
      <c r="S182">
        <f t="shared" ref="S182" si="888">R182/100000</f>
        <v>658.91435327976751</v>
      </c>
      <c r="T182">
        <f t="shared" ref="T182" si="889">S182/1000</f>
        <v>0.65891435327976755</v>
      </c>
    </row>
    <row r="183" spans="1:20" x14ac:dyDescent="0.25">
      <c r="A183" s="5">
        <v>44410</v>
      </c>
      <c r="B183">
        <v>42.113</v>
      </c>
      <c r="C183">
        <v>46.74</v>
      </c>
      <c r="D183">
        <v>41.091000000000001</v>
      </c>
      <c r="E183">
        <v>43.389000000000003</v>
      </c>
      <c r="F183">
        <v>1361259.4550000001</v>
      </c>
      <c r="G183">
        <v>43.389000000000003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-0.18640467339352046</v>
      </c>
      <c r="Q183">
        <f t="shared" ref="Q183" si="891">F183*P183</f>
        <v>-253745.12411311668</v>
      </c>
      <c r="R183">
        <f t="shared" ref="R183" si="892">R184+Q183</f>
        <v>66199045.964776568</v>
      </c>
      <c r="S183">
        <f t="shared" ref="S183" si="893">R183/100000</f>
        <v>661.99045964776565</v>
      </c>
      <c r="T183">
        <f t="shared" ref="T183" si="894">S183/1000</f>
        <v>0.66199045964776559</v>
      </c>
    </row>
    <row r="184" spans="1:20" x14ac:dyDescent="0.25">
      <c r="A184" s="5">
        <v>44409</v>
      </c>
      <c r="B184">
        <v>45.826999999999998</v>
      </c>
      <c r="C184">
        <v>45.914000000000001</v>
      </c>
      <c r="D184">
        <v>41.253</v>
      </c>
      <c r="E184">
        <v>42.101999999999997</v>
      </c>
      <c r="F184">
        <v>1393554.142</v>
      </c>
      <c r="G184">
        <v>42.101999999999997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-0.63570049345634139</v>
      </c>
      <c r="Q184">
        <f t="shared" ref="Q184" si="896">F184*P184</f>
        <v>-885883.05572752841</v>
      </c>
      <c r="R184">
        <f t="shared" ref="R184" si="897">R185+Q184</f>
        <v>66452791.088889688</v>
      </c>
      <c r="S184">
        <f t="shared" ref="S184" si="898">R184/100000</f>
        <v>664.52791088889683</v>
      </c>
      <c r="T184">
        <f t="shared" ref="T184" si="899">S184/1000</f>
        <v>0.66452791088889684</v>
      </c>
    </row>
    <row r="185" spans="1:20" x14ac:dyDescent="0.25">
      <c r="A185" s="5">
        <v>44408</v>
      </c>
      <c r="B185">
        <v>41.661000000000001</v>
      </c>
      <c r="C185">
        <v>48.5</v>
      </c>
      <c r="D185">
        <v>40.509</v>
      </c>
      <c r="E185">
        <v>45.81</v>
      </c>
      <c r="F185">
        <v>3374040.0210000002</v>
      </c>
      <c r="G185">
        <v>45.81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0.3267425854085852</v>
      </c>
      <c r="Q185">
        <f t="shared" ref="Q185" si="901">F185*P185</f>
        <v>1102442.5597335771</v>
      </c>
      <c r="R185">
        <f t="shared" ref="R185" si="902">R186+Q185</f>
        <v>67338674.144617215</v>
      </c>
      <c r="S185">
        <f t="shared" ref="S185" si="903">R185/100000</f>
        <v>673.3867414461721</v>
      </c>
      <c r="T185">
        <f t="shared" ref="T185" si="904">S185/1000</f>
        <v>0.67338674144617205</v>
      </c>
    </row>
    <row r="186" spans="1:20" x14ac:dyDescent="0.25">
      <c r="A186" s="5">
        <v>44407</v>
      </c>
      <c r="B186">
        <v>35.238</v>
      </c>
      <c r="C186">
        <v>42.567</v>
      </c>
      <c r="D186">
        <v>33.625999999999998</v>
      </c>
      <c r="E186">
        <v>41.66</v>
      </c>
      <c r="F186">
        <v>2267609.1869999999</v>
      </c>
      <c r="G186">
        <v>41.66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0.79711441673190842</v>
      </c>
      <c r="Q186">
        <f t="shared" ref="Q186" si="906">F186*P186</f>
        <v>1807543.9744714219</v>
      </c>
      <c r="R186">
        <f t="shared" ref="R186" si="907">R187+Q186</f>
        <v>66236231.584883638</v>
      </c>
      <c r="S186">
        <f t="shared" ref="S186" si="908">R186/100000</f>
        <v>662.36231584883637</v>
      </c>
      <c r="T186">
        <f t="shared" ref="T186" si="909">S186/1000</f>
        <v>0.66236231584883642</v>
      </c>
    </row>
    <row r="187" spans="1:20" x14ac:dyDescent="0.25">
      <c r="A187" s="5">
        <v>44406</v>
      </c>
      <c r="B187">
        <v>34.548000000000002</v>
      </c>
      <c r="C187">
        <v>35.549999999999997</v>
      </c>
      <c r="D187">
        <v>33.54</v>
      </c>
      <c r="E187">
        <v>35.231000000000002</v>
      </c>
      <c r="F187">
        <v>448415.45699999999</v>
      </c>
      <c r="G187">
        <v>35.231000000000002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0.68258706467662111</v>
      </c>
      <c r="Q187">
        <f t="shared" ref="Q187" si="911">F187*P187</f>
        <v>306082.5905492556</v>
      </c>
      <c r="R187">
        <f t="shared" ref="R187" si="912">R188+Q187</f>
        <v>64428687.610412218</v>
      </c>
      <c r="S187">
        <f t="shared" ref="S187" si="913">R187/100000</f>
        <v>644.28687610412214</v>
      </c>
      <c r="T187">
        <f t="shared" ref="T187" si="914">S187/1000</f>
        <v>0.64428687610412216</v>
      </c>
    </row>
    <row r="188" spans="1:20" x14ac:dyDescent="0.25">
      <c r="A188" s="5">
        <v>44405</v>
      </c>
      <c r="B188">
        <v>34.031999999999996</v>
      </c>
      <c r="C188">
        <v>34.823</v>
      </c>
      <c r="D188">
        <v>32.915999999999997</v>
      </c>
      <c r="E188">
        <v>34.555</v>
      </c>
      <c r="F188">
        <v>739357.90300000005</v>
      </c>
      <c r="G188">
        <v>34.555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0.71893025694808577</v>
      </c>
      <c r="Q188">
        <f t="shared" ref="Q188" si="916">F188*P188</f>
        <v>531546.76718038786</v>
      </c>
      <c r="R188">
        <f t="shared" ref="R188" si="917">R189+Q188</f>
        <v>64122605.019862965</v>
      </c>
      <c r="S188">
        <f t="shared" ref="S188" si="918">R188/100000</f>
        <v>641.22605019862965</v>
      </c>
      <c r="T188">
        <f t="shared" ref="T188" si="919">S188/1000</f>
        <v>0.64122605019862966</v>
      </c>
    </row>
    <row r="189" spans="1:20" x14ac:dyDescent="0.25">
      <c r="A189" s="5">
        <v>44404</v>
      </c>
      <c r="B189">
        <v>32.450000000000003</v>
      </c>
      <c r="C189">
        <v>34.252000000000002</v>
      </c>
      <c r="D189">
        <v>31.363</v>
      </c>
      <c r="E189">
        <v>34.072000000000003</v>
      </c>
      <c r="F189">
        <v>747489.57200000004</v>
      </c>
      <c r="G189">
        <v>34.072000000000003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0.87538940809968879</v>
      </c>
      <c r="Q189">
        <f t="shared" ref="Q189" si="921">F189*P189</f>
        <v>654344.45399376971</v>
      </c>
      <c r="R189">
        <f t="shared" ref="R189" si="922">R190+Q189</f>
        <v>63591058.252682574</v>
      </c>
      <c r="S189">
        <f t="shared" ref="S189" si="923">R189/100000</f>
        <v>635.91058252682569</v>
      </c>
      <c r="T189">
        <f t="shared" ref="T189" si="924">S189/1000</f>
        <v>0.63591058252682564</v>
      </c>
    </row>
    <row r="190" spans="1:20" x14ac:dyDescent="0.25">
      <c r="A190" s="5">
        <v>44403</v>
      </c>
      <c r="B190">
        <v>30.756</v>
      </c>
      <c r="C190">
        <v>35.595999999999997</v>
      </c>
      <c r="D190">
        <v>30.547999999999998</v>
      </c>
      <c r="E190">
        <v>32.451000000000001</v>
      </c>
      <c r="F190">
        <v>1681426.4</v>
      </c>
      <c r="G190">
        <v>32.451000000000001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-0.24603803486529205</v>
      </c>
      <c r="Q190">
        <f t="shared" ref="Q190" si="926">F190*P190</f>
        <v>-413694.84722662246</v>
      </c>
      <c r="R190">
        <f t="shared" ref="R190" si="927">R191+Q190</f>
        <v>62936713.798688807</v>
      </c>
      <c r="S190">
        <f t="shared" ref="S190" si="928">R190/100000</f>
        <v>629.36713798688811</v>
      </c>
      <c r="T190">
        <f t="shared" ref="T190" si="929">S190/1000</f>
        <v>0.62936713798688815</v>
      </c>
    </row>
    <row r="191" spans="1:20" x14ac:dyDescent="0.25">
      <c r="A191" s="5">
        <v>44402</v>
      </c>
      <c r="B191">
        <v>30.696999999999999</v>
      </c>
      <c r="C191">
        <v>31.117999999999999</v>
      </c>
      <c r="D191">
        <v>29.561</v>
      </c>
      <c r="E191">
        <v>30.759</v>
      </c>
      <c r="F191">
        <v>454504.15299999999</v>
      </c>
      <c r="G191">
        <v>30.759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0.53885677585099734</v>
      </c>
      <c r="Q191">
        <f t="shared" ref="Q191" si="931">F191*P191</f>
        <v>244912.64249646838</v>
      </c>
      <c r="R191">
        <f t="shared" ref="R191" si="932">R192+Q191</f>
        <v>63350408.645915426</v>
      </c>
      <c r="S191">
        <f t="shared" ref="S191" si="933">R191/100000</f>
        <v>633.50408645915422</v>
      </c>
      <c r="T191">
        <f t="shared" ref="T191:T197" si="934">S191/1000</f>
        <v>0.63350408645915424</v>
      </c>
    </row>
    <row r="192" spans="1:20" x14ac:dyDescent="0.25">
      <c r="A192" s="5">
        <v>44401</v>
      </c>
      <c r="B192">
        <v>29.58</v>
      </c>
      <c r="C192">
        <v>31.253</v>
      </c>
      <c r="D192">
        <v>29.126999999999999</v>
      </c>
      <c r="E192">
        <v>30.712</v>
      </c>
      <c r="F192">
        <v>724652.62800000003</v>
      </c>
      <c r="G192">
        <v>30.712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0.49106302916274691</v>
      </c>
      <c r="Q192">
        <f t="shared" ref="Q192" si="936">F192*P192</f>
        <v>355850.11459642521</v>
      </c>
      <c r="R192">
        <f t="shared" ref="R192" si="937">R193+Q192</f>
        <v>63105496.00341896</v>
      </c>
      <c r="S192">
        <f t="shared" ref="S192" si="938">R192/100000</f>
        <v>631.05496003418955</v>
      </c>
      <c r="T192">
        <f t="shared" si="934"/>
        <v>0.63105496003418959</v>
      </c>
    </row>
    <row r="193" spans="1:20" x14ac:dyDescent="0.25">
      <c r="A193" s="5">
        <v>44400</v>
      </c>
      <c r="B193">
        <v>28.925000000000001</v>
      </c>
      <c r="C193">
        <v>29.745000000000001</v>
      </c>
      <c r="D193">
        <v>27.904</v>
      </c>
      <c r="E193">
        <v>29.568000000000001</v>
      </c>
      <c r="F193">
        <v>542722.14800000004</v>
      </c>
      <c r="G193">
        <v>29.568000000000001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0.80771319934818087</v>
      </c>
      <c r="Q193">
        <f t="shared" ref="Q193" si="940">F193*P193</f>
        <v>438363.84251819697</v>
      </c>
      <c r="R193">
        <f t="shared" ref="R193" si="941">R194+Q193</f>
        <v>62749645.888822533</v>
      </c>
      <c r="S193">
        <f t="shared" ref="S193" si="942">R193/100000</f>
        <v>627.49645888822533</v>
      </c>
      <c r="T193">
        <f t="shared" si="934"/>
        <v>0.62749645888822536</v>
      </c>
    </row>
    <row r="194" spans="1:20" x14ac:dyDescent="0.25">
      <c r="A194" s="5">
        <v>44399</v>
      </c>
      <c r="B194">
        <v>27.907</v>
      </c>
      <c r="C194">
        <v>29.481999999999999</v>
      </c>
      <c r="D194">
        <v>27.341000000000001</v>
      </c>
      <c r="E194">
        <v>28.93</v>
      </c>
      <c r="F194">
        <v>592681.71200000006</v>
      </c>
      <c r="G194">
        <v>28.93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0.4843531060252218</v>
      </c>
      <c r="Q194">
        <f t="shared" ref="Q194" si="944">F194*P194</f>
        <v>287067.22809154599</v>
      </c>
      <c r="R194">
        <f t="shared" ref="R194" si="945">R195+Q194</f>
        <v>62311282.046304338</v>
      </c>
      <c r="S194">
        <f t="shared" ref="S194" si="946">R194/100000</f>
        <v>623.11282046304336</v>
      </c>
      <c r="T194">
        <f t="shared" si="934"/>
        <v>0.62311282046304339</v>
      </c>
    </row>
    <row r="195" spans="1:20" x14ac:dyDescent="0.25">
      <c r="A195" s="5">
        <v>44398</v>
      </c>
      <c r="B195">
        <v>25.849</v>
      </c>
      <c r="C195">
        <v>28.893000000000001</v>
      </c>
      <c r="D195">
        <v>25.228000000000002</v>
      </c>
      <c r="E195">
        <v>27.907</v>
      </c>
      <c r="F195">
        <v>851131.60800000001</v>
      </c>
      <c r="G195">
        <v>27.907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0.46193724420190946</v>
      </c>
      <c r="Q195">
        <f t="shared" ref="Q195" si="948">F195*P195</f>
        <v>393169.38945265987</v>
      </c>
      <c r="R195">
        <f t="shared" ref="R195" si="949">R196+Q195</f>
        <v>62024214.818212792</v>
      </c>
      <c r="S195">
        <f t="shared" ref="S195" si="950">R195/100000</f>
        <v>620.24214818212795</v>
      </c>
      <c r="T195">
        <f t="shared" si="934"/>
        <v>0.62024214818212797</v>
      </c>
    </row>
    <row r="196" spans="1:20" x14ac:dyDescent="0.25">
      <c r="A196" s="5">
        <v>44397</v>
      </c>
      <c r="B196">
        <v>27.707000000000001</v>
      </c>
      <c r="C196">
        <v>28.21</v>
      </c>
      <c r="D196">
        <v>25.023</v>
      </c>
      <c r="E196">
        <v>25.844999999999999</v>
      </c>
      <c r="F196">
        <v>759531.28300000005</v>
      </c>
      <c r="G196">
        <v>25.844999999999999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-0.48415437715720183</v>
      </c>
      <c r="Q196">
        <f t="shared" ref="Q196" si="952">F196*P196</f>
        <v>-367730.3952522754</v>
      </c>
      <c r="R196">
        <f t="shared" ref="R196" si="953">R197+Q196</f>
        <v>61631045.428760134</v>
      </c>
      <c r="S196">
        <f t="shared" ref="S196" si="954">R196/100000</f>
        <v>616.31045428760137</v>
      </c>
      <c r="T196">
        <f t="shared" si="934"/>
        <v>0.61631045428760134</v>
      </c>
    </row>
    <row r="197" spans="1:20" x14ac:dyDescent="0.25">
      <c r="A197" s="5">
        <v>44396</v>
      </c>
      <c r="B197">
        <v>29.718</v>
      </c>
      <c r="C197">
        <v>29.928000000000001</v>
      </c>
      <c r="D197">
        <v>27.600999999999999</v>
      </c>
      <c r="E197">
        <v>27.702000000000002</v>
      </c>
      <c r="F197">
        <v>432757.35800000001</v>
      </c>
      <c r="G197">
        <v>0</v>
      </c>
      <c r="P197">
        <f t="shared" ref="P197" si="955">IF(C197=D197,0,((E197-D197)-(C197-E197))/(C197-D197))</f>
        <v>-0.91319295229909536</v>
      </c>
      <c r="Q197">
        <f t="shared" ref="Q197" si="956">F197*P197</f>
        <v>-395190.96938117652</v>
      </c>
      <c r="R197">
        <f t="shared" ref="R197" si="957">R198+Q197</f>
        <v>61998775.824012406</v>
      </c>
      <c r="S197">
        <f t="shared" ref="S197" si="958">R197/100000</f>
        <v>619.98775824012409</v>
      </c>
      <c r="T197">
        <f t="shared" si="934"/>
        <v>0.61998775824012409</v>
      </c>
    </row>
    <row r="198" spans="1:20" x14ac:dyDescent="0.25">
      <c r="A198" s="5">
        <v>44395</v>
      </c>
      <c r="B198">
        <v>29.591000000000001</v>
      </c>
      <c r="C198">
        <v>30.782</v>
      </c>
      <c r="D198">
        <v>28.986000000000001</v>
      </c>
      <c r="E198">
        <v>29.733000000000001</v>
      </c>
      <c r="F198">
        <v>409000.527</v>
      </c>
      <c r="G198">
        <v>0</v>
      </c>
      <c r="P198">
        <f t="shared" ref="P198:P261" si="959">IF(C198=D198,0,((E198-D198)-(C198-E198))/(C198-D198))</f>
        <v>-0.16815144766146978</v>
      </c>
      <c r="Q198">
        <f t="shared" ref="Q198:Q261" si="960">F198*P198</f>
        <v>-68774.030709354061</v>
      </c>
      <c r="R198">
        <f t="shared" ref="R198:R261" si="961">R199+Q198</f>
        <v>62393966.793393582</v>
      </c>
      <c r="S198">
        <f t="shared" ref="S198:S261" si="962">R198/100000</f>
        <v>623.93966793393577</v>
      </c>
      <c r="T198">
        <f t="shared" ref="T198:T261" si="963">S198/1000</f>
        <v>0.62393966793393574</v>
      </c>
    </row>
    <row r="199" spans="1:20" x14ac:dyDescent="0.25">
      <c r="A199" s="5">
        <v>44394</v>
      </c>
      <c r="B199">
        <v>29.68</v>
      </c>
      <c r="C199">
        <v>30.370999999999999</v>
      </c>
      <c r="D199">
        <v>28.948</v>
      </c>
      <c r="E199">
        <v>29.588999999999999</v>
      </c>
      <c r="F199">
        <v>396060.755</v>
      </c>
      <c r="G199">
        <v>0</v>
      </c>
      <c r="P199">
        <f t="shared" si="959"/>
        <v>-9.908643710470974E-2</v>
      </c>
      <c r="Q199">
        <f t="shared" si="960"/>
        <v>-39244.249089951358</v>
      </c>
      <c r="R199">
        <f t="shared" si="961"/>
        <v>62462740.824102938</v>
      </c>
      <c r="S199">
        <f t="shared" si="962"/>
        <v>624.62740824102934</v>
      </c>
      <c r="T199">
        <f t="shared" si="963"/>
        <v>0.62462740824102936</v>
      </c>
    </row>
    <row r="200" spans="1:20" x14ac:dyDescent="0.25">
      <c r="A200" s="5">
        <v>44393</v>
      </c>
      <c r="B200">
        <v>31.407</v>
      </c>
      <c r="C200">
        <v>31.917999999999999</v>
      </c>
      <c r="D200">
        <v>29.542999999999999</v>
      </c>
      <c r="E200">
        <v>29.664999999999999</v>
      </c>
      <c r="F200">
        <v>538317.06700000004</v>
      </c>
      <c r="G200">
        <v>0</v>
      </c>
      <c r="P200">
        <f t="shared" si="959"/>
        <v>-0.89726315789473698</v>
      </c>
      <c r="Q200">
        <f t="shared" si="960"/>
        <v>-483012.07148505276</v>
      </c>
      <c r="R200">
        <f t="shared" si="961"/>
        <v>62501985.073192887</v>
      </c>
      <c r="S200">
        <f t="shared" si="962"/>
        <v>625.01985073192884</v>
      </c>
      <c r="T200">
        <f t="shared" si="963"/>
        <v>0.62501985073192889</v>
      </c>
    </row>
    <row r="201" spans="1:20" x14ac:dyDescent="0.25">
      <c r="A201" s="5">
        <v>44392</v>
      </c>
      <c r="B201">
        <v>32.829000000000001</v>
      </c>
      <c r="C201">
        <v>33.259</v>
      </c>
      <c r="D201">
        <v>30.75</v>
      </c>
      <c r="E201">
        <v>31.405999999999999</v>
      </c>
      <c r="F201">
        <v>429366.71600000001</v>
      </c>
      <c r="G201">
        <v>0</v>
      </c>
      <c r="P201">
        <f t="shared" si="959"/>
        <v>-0.47708250298923977</v>
      </c>
      <c r="Q201">
        <f t="shared" si="960"/>
        <v>-204843.34756955007</v>
      </c>
      <c r="R201">
        <f t="shared" si="961"/>
        <v>62984997.144677937</v>
      </c>
      <c r="S201">
        <f t="shared" si="962"/>
        <v>629.84997144677936</v>
      </c>
      <c r="T201">
        <f t="shared" si="963"/>
        <v>0.62984997144677934</v>
      </c>
    </row>
    <row r="202" spans="1:20" x14ac:dyDescent="0.25">
      <c r="A202" s="5">
        <v>44391</v>
      </c>
      <c r="B202">
        <v>33.484000000000002</v>
      </c>
      <c r="C202">
        <v>33.595999999999997</v>
      </c>
      <c r="D202">
        <v>30.780999999999999</v>
      </c>
      <c r="E202">
        <v>32.838999999999999</v>
      </c>
      <c r="F202">
        <v>537077.07999999996</v>
      </c>
      <c r="G202">
        <v>0</v>
      </c>
      <c r="P202">
        <f t="shared" si="959"/>
        <v>0.46216696269982344</v>
      </c>
      <c r="Q202">
        <f t="shared" si="960"/>
        <v>248219.28279929006</v>
      </c>
      <c r="R202">
        <f t="shared" si="961"/>
        <v>63189840.492247485</v>
      </c>
      <c r="S202">
        <f t="shared" si="962"/>
        <v>631.89840492247481</v>
      </c>
      <c r="T202">
        <f t="shared" si="963"/>
        <v>0.63189840492247484</v>
      </c>
    </row>
    <row r="203" spans="1:20" x14ac:dyDescent="0.25">
      <c r="A203" s="5">
        <v>44390</v>
      </c>
      <c r="B203">
        <v>33.755000000000003</v>
      </c>
      <c r="C203">
        <v>34.180999999999997</v>
      </c>
      <c r="D203">
        <v>32.450000000000003</v>
      </c>
      <c r="E203">
        <v>33.463000000000001</v>
      </c>
      <c r="F203">
        <v>492492.71600000001</v>
      </c>
      <c r="G203">
        <v>0</v>
      </c>
      <c r="P203">
        <f t="shared" si="959"/>
        <v>0.17042172154823954</v>
      </c>
      <c r="Q203">
        <f t="shared" si="960"/>
        <v>83931.456510688222</v>
      </c>
      <c r="R203">
        <f t="shared" si="961"/>
        <v>62941621.209448196</v>
      </c>
      <c r="S203">
        <f t="shared" si="962"/>
        <v>629.41621209448192</v>
      </c>
      <c r="T203">
        <f t="shared" si="963"/>
        <v>0.62941621209448195</v>
      </c>
    </row>
    <row r="204" spans="1:20" x14ac:dyDescent="0.25">
      <c r="A204" s="5">
        <v>44389</v>
      </c>
      <c r="B204">
        <v>34.22</v>
      </c>
      <c r="C204">
        <v>35.241999999999997</v>
      </c>
      <c r="D204">
        <v>32.704000000000001</v>
      </c>
      <c r="E204">
        <v>33.747</v>
      </c>
      <c r="F204">
        <v>526780.71200000006</v>
      </c>
      <c r="G204">
        <v>0</v>
      </c>
      <c r="P204">
        <f t="shared" si="959"/>
        <v>-0.17809298660362441</v>
      </c>
      <c r="Q204">
        <f t="shared" si="960"/>
        <v>-93815.950285263738</v>
      </c>
      <c r="R204">
        <f t="shared" si="961"/>
        <v>62857689.752937511</v>
      </c>
      <c r="S204">
        <f t="shared" si="962"/>
        <v>628.57689752937506</v>
      </c>
      <c r="T204">
        <f t="shared" si="963"/>
        <v>0.62857689752937507</v>
      </c>
    </row>
    <row r="205" spans="1:20" x14ac:dyDescent="0.25">
      <c r="A205" s="5">
        <v>44388</v>
      </c>
      <c r="B205">
        <v>34.084000000000003</v>
      </c>
      <c r="C205">
        <v>34.734999999999999</v>
      </c>
      <c r="D205">
        <v>33.417000000000002</v>
      </c>
      <c r="E205">
        <v>34.203000000000003</v>
      </c>
      <c r="F205">
        <v>269254.34100000001</v>
      </c>
      <c r="G205">
        <v>0</v>
      </c>
      <c r="P205">
        <f t="shared" si="959"/>
        <v>0.19271623672231056</v>
      </c>
      <c r="Q205">
        <f t="shared" si="960"/>
        <v>51889.683318665731</v>
      </c>
      <c r="R205">
        <f t="shared" si="961"/>
        <v>62951505.703222774</v>
      </c>
      <c r="S205">
        <f t="shared" si="962"/>
        <v>629.51505703222779</v>
      </c>
      <c r="T205">
        <f t="shared" si="963"/>
        <v>0.62951505703222776</v>
      </c>
    </row>
    <row r="206" spans="1:20" x14ac:dyDescent="0.25">
      <c r="A206" s="5">
        <v>44387</v>
      </c>
      <c r="B206">
        <v>34.69</v>
      </c>
      <c r="C206">
        <v>35.445999999999998</v>
      </c>
      <c r="D206">
        <v>33.192999999999998</v>
      </c>
      <c r="E206">
        <v>34.061999999999998</v>
      </c>
      <c r="F206">
        <v>395251.18699999998</v>
      </c>
      <c r="G206">
        <v>0</v>
      </c>
      <c r="P206">
        <f t="shared" si="959"/>
        <v>-0.22858411007545518</v>
      </c>
      <c r="Q206">
        <f t="shared" si="960"/>
        <v>-90348.140836662307</v>
      </c>
      <c r="R206">
        <f t="shared" si="961"/>
        <v>62899616.019904107</v>
      </c>
      <c r="S206">
        <f t="shared" si="962"/>
        <v>628.99616019904101</v>
      </c>
      <c r="T206">
        <f t="shared" si="963"/>
        <v>0.62899616019904103</v>
      </c>
    </row>
    <row r="207" spans="1:20" x14ac:dyDescent="0.25">
      <c r="A207" s="5">
        <v>44386</v>
      </c>
      <c r="B207">
        <v>34.014000000000003</v>
      </c>
      <c r="C207">
        <v>35.226999999999997</v>
      </c>
      <c r="D207">
        <v>32.222000000000001</v>
      </c>
      <c r="E207">
        <v>34.673999999999999</v>
      </c>
      <c r="F207">
        <v>550068.03599999996</v>
      </c>
      <c r="G207">
        <v>0</v>
      </c>
      <c r="P207">
        <f t="shared" si="959"/>
        <v>0.63194675540765521</v>
      </c>
      <c r="Q207">
        <f t="shared" si="960"/>
        <v>347613.71060366125</v>
      </c>
      <c r="R207">
        <f t="shared" si="961"/>
        <v>62989964.16074077</v>
      </c>
      <c r="S207">
        <f t="shared" si="962"/>
        <v>629.89964160740772</v>
      </c>
      <c r="T207">
        <f t="shared" si="963"/>
        <v>0.62989964160740775</v>
      </c>
    </row>
    <row r="208" spans="1:20" x14ac:dyDescent="0.25">
      <c r="A208" s="5">
        <v>44385</v>
      </c>
      <c r="B208">
        <v>37.018000000000001</v>
      </c>
      <c r="C208">
        <v>37.052</v>
      </c>
      <c r="D208">
        <v>33.179000000000002</v>
      </c>
      <c r="E208">
        <v>34.018000000000001</v>
      </c>
      <c r="F208">
        <v>745638.52899999998</v>
      </c>
      <c r="G208">
        <v>0</v>
      </c>
      <c r="P208">
        <f t="shared" si="959"/>
        <v>-0.56674412600051682</v>
      </c>
      <c r="Q208">
        <f t="shared" si="960"/>
        <v>-422586.25643041602</v>
      </c>
      <c r="R208">
        <f t="shared" si="961"/>
        <v>62642350.450137109</v>
      </c>
      <c r="S208">
        <f t="shared" si="962"/>
        <v>626.4235045013711</v>
      </c>
      <c r="T208">
        <f t="shared" si="963"/>
        <v>0.62642350450137108</v>
      </c>
    </row>
    <row r="209" spans="1:20" x14ac:dyDescent="0.25">
      <c r="A209" s="5">
        <v>44384</v>
      </c>
      <c r="B209">
        <v>36.863999999999997</v>
      </c>
      <c r="C209">
        <v>38.451000000000001</v>
      </c>
      <c r="D209">
        <v>36.481999999999999</v>
      </c>
      <c r="E209">
        <v>36.997999999999998</v>
      </c>
      <c r="F209">
        <v>469757.283</v>
      </c>
      <c r="G209">
        <v>0</v>
      </c>
      <c r="P209">
        <f t="shared" si="959"/>
        <v>-0.47587607922803665</v>
      </c>
      <c r="Q209">
        <f t="shared" si="960"/>
        <v>-223546.25402285522</v>
      </c>
      <c r="R209">
        <f t="shared" si="961"/>
        <v>63064936.706567526</v>
      </c>
      <c r="S209">
        <f t="shared" si="962"/>
        <v>630.64936706567528</v>
      </c>
      <c r="T209">
        <f t="shared" si="963"/>
        <v>0.63064936706567531</v>
      </c>
    </row>
    <row r="210" spans="1:20" x14ac:dyDescent="0.25">
      <c r="A210" s="5">
        <v>44383</v>
      </c>
      <c r="B210">
        <v>35.962000000000003</v>
      </c>
      <c r="C210">
        <v>37.987000000000002</v>
      </c>
      <c r="D210">
        <v>35.838000000000001</v>
      </c>
      <c r="E210">
        <v>36.880000000000003</v>
      </c>
      <c r="F210">
        <v>510398.43699999998</v>
      </c>
      <c r="G210">
        <v>0</v>
      </c>
      <c r="P210">
        <f t="shared" si="959"/>
        <v>-3.0246626337830478E-2</v>
      </c>
      <c r="Q210">
        <f t="shared" si="960"/>
        <v>-15437.830807351709</v>
      </c>
      <c r="R210">
        <f t="shared" si="961"/>
        <v>63288482.960590377</v>
      </c>
      <c r="S210">
        <f t="shared" si="962"/>
        <v>632.88482960590375</v>
      </c>
      <c r="T210">
        <f t="shared" si="963"/>
        <v>0.63288482960590375</v>
      </c>
    </row>
    <row r="211" spans="1:20" x14ac:dyDescent="0.25">
      <c r="A211" s="5">
        <v>44382</v>
      </c>
      <c r="B211">
        <v>37.518000000000001</v>
      </c>
      <c r="C211">
        <v>37.520000000000003</v>
      </c>
      <c r="D211">
        <v>35.161999999999999</v>
      </c>
      <c r="E211">
        <v>35.915999999999997</v>
      </c>
      <c r="F211">
        <v>775188.84900000005</v>
      </c>
      <c r="G211">
        <v>0</v>
      </c>
      <c r="P211">
        <f t="shared" si="959"/>
        <v>-0.36047497879559248</v>
      </c>
      <c r="Q211">
        <f t="shared" si="960"/>
        <v>-279436.18390585476</v>
      </c>
      <c r="R211">
        <f t="shared" si="961"/>
        <v>63303920.791397728</v>
      </c>
      <c r="S211">
        <f t="shared" si="962"/>
        <v>633.03920791397729</v>
      </c>
      <c r="T211">
        <f t="shared" si="963"/>
        <v>0.63303920791397728</v>
      </c>
    </row>
    <row r="212" spans="1:20" x14ac:dyDescent="0.25">
      <c r="A212" s="5">
        <v>44381</v>
      </c>
      <c r="B212">
        <v>36.335000000000001</v>
      </c>
      <c r="C212">
        <v>38.755000000000003</v>
      </c>
      <c r="D212">
        <v>35.481000000000002</v>
      </c>
      <c r="E212">
        <v>37.545000000000002</v>
      </c>
      <c r="F212">
        <v>703392.48899999994</v>
      </c>
      <c r="G212">
        <v>0</v>
      </c>
      <c r="P212">
        <f t="shared" si="959"/>
        <v>0.2608430054978616</v>
      </c>
      <c r="Q212">
        <f t="shared" si="960"/>
        <v>183475.01087538153</v>
      </c>
      <c r="R212">
        <f t="shared" si="961"/>
        <v>63583356.975303583</v>
      </c>
      <c r="S212">
        <f t="shared" si="962"/>
        <v>635.83356975303582</v>
      </c>
      <c r="T212">
        <f t="shared" si="963"/>
        <v>0.63583356975303584</v>
      </c>
    </row>
    <row r="213" spans="1:20" x14ac:dyDescent="0.25">
      <c r="A213" s="5">
        <v>44380</v>
      </c>
      <c r="B213">
        <v>35.439</v>
      </c>
      <c r="C213">
        <v>37.555999999999997</v>
      </c>
      <c r="D213">
        <v>34.956000000000003</v>
      </c>
      <c r="E213">
        <v>36.347999999999999</v>
      </c>
      <c r="F213">
        <v>665897.65800000005</v>
      </c>
      <c r="G213">
        <v>0</v>
      </c>
      <c r="P213">
        <f t="shared" si="959"/>
        <v>7.076923076922996E-2</v>
      </c>
      <c r="Q213">
        <f t="shared" si="960"/>
        <v>47125.065027691773</v>
      </c>
      <c r="R213">
        <f t="shared" si="961"/>
        <v>63399881.964428201</v>
      </c>
      <c r="S213">
        <f t="shared" si="962"/>
        <v>633.99881964428198</v>
      </c>
      <c r="T213">
        <f t="shared" si="963"/>
        <v>0.63399881964428195</v>
      </c>
    </row>
    <row r="214" spans="1:20" x14ac:dyDescent="0.25">
      <c r="A214" s="5">
        <v>44379</v>
      </c>
      <c r="B214">
        <v>34.094000000000001</v>
      </c>
      <c r="C214">
        <v>35.521000000000001</v>
      </c>
      <c r="D214">
        <v>33.369</v>
      </c>
      <c r="E214">
        <v>35.438000000000002</v>
      </c>
      <c r="F214">
        <v>817010.79200000002</v>
      </c>
      <c r="G214">
        <v>0</v>
      </c>
      <c r="P214">
        <f t="shared" si="959"/>
        <v>0.92286245353160001</v>
      </c>
      <c r="Q214">
        <f t="shared" si="960"/>
        <v>753988.58406691579</v>
      </c>
      <c r="R214">
        <f t="shared" si="961"/>
        <v>63352756.89940051</v>
      </c>
      <c r="S214">
        <f t="shared" si="962"/>
        <v>633.52756899400515</v>
      </c>
      <c r="T214">
        <f t="shared" si="963"/>
        <v>0.6335275689940052</v>
      </c>
    </row>
    <row r="215" spans="1:20" x14ac:dyDescent="0.25">
      <c r="A215" s="5">
        <v>44378</v>
      </c>
      <c r="B215">
        <v>36.648000000000003</v>
      </c>
      <c r="C215">
        <v>36.674999999999997</v>
      </c>
      <c r="D215">
        <v>33.375</v>
      </c>
      <c r="E215">
        <v>34.097000000000001</v>
      </c>
      <c r="F215">
        <v>800890.527</v>
      </c>
      <c r="G215">
        <v>0</v>
      </c>
      <c r="P215">
        <f t="shared" si="959"/>
        <v>-0.56242424242424127</v>
      </c>
      <c r="Q215">
        <f t="shared" si="960"/>
        <v>-450440.24791272637</v>
      </c>
      <c r="R215">
        <f t="shared" si="961"/>
        <v>62598768.315333597</v>
      </c>
      <c r="S215">
        <f t="shared" si="962"/>
        <v>625.98768315333598</v>
      </c>
      <c r="T215">
        <f t="shared" si="963"/>
        <v>0.62598768315333597</v>
      </c>
    </row>
    <row r="216" spans="1:20" x14ac:dyDescent="0.25">
      <c r="A216" s="5">
        <v>44377</v>
      </c>
      <c r="B216">
        <v>35.125999999999998</v>
      </c>
      <c r="C216">
        <v>37.796999999999997</v>
      </c>
      <c r="D216">
        <v>33.444000000000003</v>
      </c>
      <c r="E216">
        <v>36.648000000000003</v>
      </c>
      <c r="F216">
        <v>1798183.2450000001</v>
      </c>
      <c r="G216">
        <v>0</v>
      </c>
      <c r="P216">
        <f t="shared" si="959"/>
        <v>0.47208821502412346</v>
      </c>
      <c r="Q216">
        <f t="shared" si="960"/>
        <v>848901.11841833615</v>
      </c>
      <c r="R216">
        <f t="shared" si="961"/>
        <v>63049208.563246325</v>
      </c>
      <c r="S216">
        <f t="shared" si="962"/>
        <v>630.49208563246327</v>
      </c>
      <c r="T216">
        <f t="shared" si="963"/>
        <v>0.63049208563246328</v>
      </c>
    </row>
    <row r="217" spans="1:20" x14ac:dyDescent="0.25">
      <c r="A217" s="5">
        <v>44376</v>
      </c>
      <c r="B217">
        <v>33.173000000000002</v>
      </c>
      <c r="C217">
        <v>36.939</v>
      </c>
      <c r="D217">
        <v>32.999000000000002</v>
      </c>
      <c r="E217">
        <v>35.148000000000003</v>
      </c>
      <c r="F217">
        <v>1495720.348</v>
      </c>
      <c r="G217">
        <v>0</v>
      </c>
      <c r="P217">
        <f t="shared" si="959"/>
        <v>9.0862944162437634E-2</v>
      </c>
      <c r="Q217">
        <f t="shared" si="960"/>
        <v>135905.55446294579</v>
      </c>
      <c r="R217">
        <f t="shared" si="961"/>
        <v>62200307.444827989</v>
      </c>
      <c r="S217">
        <f t="shared" si="962"/>
        <v>622.0030744482799</v>
      </c>
      <c r="T217">
        <f t="shared" si="963"/>
        <v>0.62200307444827996</v>
      </c>
    </row>
    <row r="218" spans="1:20" x14ac:dyDescent="0.25">
      <c r="A218" s="5">
        <v>44375</v>
      </c>
      <c r="B218">
        <v>31.972000000000001</v>
      </c>
      <c r="C218">
        <v>33.347000000000001</v>
      </c>
      <c r="D218">
        <v>30.521000000000001</v>
      </c>
      <c r="E218">
        <v>33.170999999999999</v>
      </c>
      <c r="F218">
        <v>1195341.9890000001</v>
      </c>
      <c r="G218">
        <v>0</v>
      </c>
      <c r="P218">
        <f t="shared" si="959"/>
        <v>0.87544232130219257</v>
      </c>
      <c r="Q218">
        <f t="shared" si="960"/>
        <v>1046452.96560014</v>
      </c>
      <c r="R218">
        <f t="shared" si="961"/>
        <v>62064401.890365042</v>
      </c>
      <c r="S218">
        <f t="shared" si="962"/>
        <v>620.64401890365036</v>
      </c>
      <c r="T218">
        <f t="shared" si="963"/>
        <v>0.6206440189036504</v>
      </c>
    </row>
    <row r="219" spans="1:20" x14ac:dyDescent="0.25">
      <c r="A219" s="5">
        <v>44374</v>
      </c>
      <c r="B219">
        <v>31.17</v>
      </c>
      <c r="C219">
        <v>32.402999999999999</v>
      </c>
      <c r="D219">
        <v>29.571000000000002</v>
      </c>
      <c r="E219">
        <v>31.960999999999999</v>
      </c>
      <c r="F219">
        <v>1204091.3019999999</v>
      </c>
      <c r="G219">
        <v>0</v>
      </c>
      <c r="P219">
        <f t="shared" si="959"/>
        <v>0.68785310734463234</v>
      </c>
      <c r="Q219">
        <f t="shared" si="960"/>
        <v>828237.94360734406</v>
      </c>
      <c r="R219">
        <f t="shared" si="961"/>
        <v>61017948.924764901</v>
      </c>
      <c r="S219">
        <f t="shared" si="962"/>
        <v>610.17948924764903</v>
      </c>
      <c r="T219">
        <f t="shared" si="963"/>
        <v>0.61017948924764898</v>
      </c>
    </row>
    <row r="220" spans="1:20" x14ac:dyDescent="0.25">
      <c r="A220" s="5">
        <v>44373</v>
      </c>
      <c r="B220">
        <v>31.219000000000001</v>
      </c>
      <c r="C220">
        <v>32.651000000000003</v>
      </c>
      <c r="D220">
        <v>29.318999999999999</v>
      </c>
      <c r="E220">
        <v>31.167000000000002</v>
      </c>
      <c r="F220">
        <v>960066.35400000005</v>
      </c>
      <c r="G220">
        <v>0</v>
      </c>
      <c r="P220">
        <f t="shared" si="959"/>
        <v>0.10924369747899168</v>
      </c>
      <c r="Q220">
        <f t="shared" si="960"/>
        <v>104881.19833613453</v>
      </c>
      <c r="R220">
        <f t="shared" si="961"/>
        <v>60189710.981157556</v>
      </c>
      <c r="S220">
        <f t="shared" si="962"/>
        <v>601.89710981157555</v>
      </c>
      <c r="T220">
        <f t="shared" si="963"/>
        <v>0.60189710981157551</v>
      </c>
    </row>
    <row r="221" spans="1:20" x14ac:dyDescent="0.25">
      <c r="A221" s="5">
        <v>44372</v>
      </c>
      <c r="B221">
        <v>35.027000000000001</v>
      </c>
      <c r="C221">
        <v>35.950000000000003</v>
      </c>
      <c r="D221">
        <v>30.652999999999999</v>
      </c>
      <c r="E221">
        <v>31.228999999999999</v>
      </c>
      <c r="F221">
        <v>995422.63899999997</v>
      </c>
      <c r="G221">
        <v>0</v>
      </c>
      <c r="P221">
        <f t="shared" si="959"/>
        <v>-0.78251840664527084</v>
      </c>
      <c r="Q221">
        <f t="shared" si="960"/>
        <v>-778936.53740891058</v>
      </c>
      <c r="R221">
        <f t="shared" si="961"/>
        <v>60084829.782821424</v>
      </c>
      <c r="S221">
        <f t="shared" si="962"/>
        <v>600.8482978282143</v>
      </c>
      <c r="T221">
        <f t="shared" si="963"/>
        <v>0.60084829782821425</v>
      </c>
    </row>
    <row r="222" spans="1:20" x14ac:dyDescent="0.25">
      <c r="A222" s="5">
        <v>44371</v>
      </c>
      <c r="B222">
        <v>33.472000000000001</v>
      </c>
      <c r="C222">
        <v>35.5</v>
      </c>
      <c r="D222">
        <v>31.542000000000002</v>
      </c>
      <c r="E222">
        <v>34.978000000000002</v>
      </c>
      <c r="F222">
        <v>735845.23699999996</v>
      </c>
      <c r="G222">
        <v>0</v>
      </c>
      <c r="P222">
        <f t="shared" si="959"/>
        <v>0.7362304194037399</v>
      </c>
      <c r="Q222">
        <f t="shared" si="960"/>
        <v>541751.64745275432</v>
      </c>
      <c r="R222">
        <f t="shared" si="961"/>
        <v>60863766.320230335</v>
      </c>
      <c r="S222">
        <f t="shared" si="962"/>
        <v>608.63766320230332</v>
      </c>
      <c r="T222">
        <f t="shared" si="963"/>
        <v>0.60863766320230328</v>
      </c>
    </row>
    <row r="223" spans="1:20" x14ac:dyDescent="0.25">
      <c r="A223" s="5">
        <v>44370</v>
      </c>
      <c r="B223">
        <v>30.126999999999999</v>
      </c>
      <c r="C223">
        <v>35.061999999999998</v>
      </c>
      <c r="D223">
        <v>28.614000000000001</v>
      </c>
      <c r="E223">
        <v>33.453000000000003</v>
      </c>
      <c r="F223">
        <v>1534060.699</v>
      </c>
      <c r="G223">
        <v>0</v>
      </c>
      <c r="P223">
        <f t="shared" si="959"/>
        <v>0.5009305210918128</v>
      </c>
      <c r="Q223">
        <f t="shared" si="960"/>
        <v>768457.82533654058</v>
      </c>
      <c r="R223">
        <f t="shared" si="961"/>
        <v>60322014.672777578</v>
      </c>
      <c r="S223">
        <f t="shared" si="962"/>
        <v>603.22014672777573</v>
      </c>
      <c r="T223">
        <f t="shared" si="963"/>
        <v>0.60322014672777569</v>
      </c>
    </row>
    <row r="224" spans="1:20" x14ac:dyDescent="0.25">
      <c r="A224" s="5">
        <v>44369</v>
      </c>
      <c r="B224">
        <v>32.046999999999997</v>
      </c>
      <c r="C224">
        <v>34.417999999999999</v>
      </c>
      <c r="D224">
        <v>25.908000000000001</v>
      </c>
      <c r="E224">
        <v>30.114999999999998</v>
      </c>
      <c r="F224">
        <v>3224149.73</v>
      </c>
      <c r="G224">
        <v>0</v>
      </c>
      <c r="P224">
        <f t="shared" si="959"/>
        <v>-1.128084606345519E-2</v>
      </c>
      <c r="Q224">
        <f t="shared" si="960"/>
        <v>-36371.13678966061</v>
      </c>
      <c r="R224">
        <f t="shared" si="961"/>
        <v>59553556.84744104</v>
      </c>
      <c r="S224">
        <f t="shared" si="962"/>
        <v>595.53556847441041</v>
      </c>
      <c r="T224">
        <f t="shared" si="963"/>
        <v>0.59553556847441036</v>
      </c>
    </row>
    <row r="225" spans="1:20" x14ac:dyDescent="0.25">
      <c r="A225" s="5">
        <v>44368</v>
      </c>
      <c r="B225">
        <v>44.701000000000001</v>
      </c>
      <c r="C225">
        <v>44.948999999999998</v>
      </c>
      <c r="D225">
        <v>31.85</v>
      </c>
      <c r="E225">
        <v>32.045999999999999</v>
      </c>
      <c r="F225">
        <v>1866102.054</v>
      </c>
      <c r="G225">
        <v>0</v>
      </c>
      <c r="P225">
        <f t="shared" si="959"/>
        <v>-0.9700740514543098</v>
      </c>
      <c r="Q225">
        <f t="shared" si="960"/>
        <v>-1810257.1799509893</v>
      </c>
      <c r="R225">
        <f t="shared" si="961"/>
        <v>59589927.984230697</v>
      </c>
      <c r="S225">
        <f t="shared" si="962"/>
        <v>595.89927984230701</v>
      </c>
      <c r="T225">
        <f t="shared" si="963"/>
        <v>0.59589927984230706</v>
      </c>
    </row>
    <row r="226" spans="1:20" x14ac:dyDescent="0.25">
      <c r="A226" s="5">
        <v>44367</v>
      </c>
      <c r="B226">
        <v>44.454999999999998</v>
      </c>
      <c r="C226">
        <v>45.326000000000001</v>
      </c>
      <c r="D226">
        <v>40.761000000000003</v>
      </c>
      <c r="E226">
        <v>44.679000000000002</v>
      </c>
      <c r="F226">
        <v>584767.76800000004</v>
      </c>
      <c r="G226">
        <v>0</v>
      </c>
      <c r="P226">
        <f t="shared" si="959"/>
        <v>0.71653888280394362</v>
      </c>
      <c r="Q226">
        <f t="shared" si="960"/>
        <v>419008.84318247571</v>
      </c>
      <c r="R226">
        <f t="shared" si="961"/>
        <v>61400185.164181687</v>
      </c>
      <c r="S226">
        <f t="shared" si="962"/>
        <v>614.00185164181687</v>
      </c>
      <c r="T226">
        <f t="shared" si="963"/>
        <v>0.61400185164181686</v>
      </c>
    </row>
    <row r="227" spans="1:20" x14ac:dyDescent="0.25">
      <c r="A227" s="5">
        <v>44366</v>
      </c>
      <c r="B227">
        <v>45.447000000000003</v>
      </c>
      <c r="C227">
        <v>46.552</v>
      </c>
      <c r="D227">
        <v>44.31</v>
      </c>
      <c r="E227">
        <v>44.445</v>
      </c>
      <c r="F227">
        <v>273147.11</v>
      </c>
      <c r="G227">
        <v>0</v>
      </c>
      <c r="P227">
        <f t="shared" si="959"/>
        <v>-0.87957181088314174</v>
      </c>
      <c r="Q227">
        <f t="shared" si="960"/>
        <v>-240252.49818019671</v>
      </c>
      <c r="R227">
        <f t="shared" si="961"/>
        <v>60981176.320999213</v>
      </c>
      <c r="S227">
        <f t="shared" si="962"/>
        <v>609.81176320999214</v>
      </c>
      <c r="T227">
        <f t="shared" si="963"/>
        <v>0.60981176320999209</v>
      </c>
    </row>
    <row r="228" spans="1:20" x14ac:dyDescent="0.25">
      <c r="A228" s="5">
        <v>44365</v>
      </c>
      <c r="B228">
        <v>48.667999999999999</v>
      </c>
      <c r="C228">
        <v>48.667999999999999</v>
      </c>
      <c r="D228">
        <v>44.063000000000002</v>
      </c>
      <c r="E228">
        <v>45.421999999999997</v>
      </c>
      <c r="F228">
        <v>468756.71100000001</v>
      </c>
      <c r="G228">
        <v>0</v>
      </c>
      <c r="P228">
        <f t="shared" si="959"/>
        <v>-0.40977198697068595</v>
      </c>
      <c r="Q228">
        <f t="shared" si="960"/>
        <v>-192083.36887231361</v>
      </c>
      <c r="R228">
        <f t="shared" si="961"/>
        <v>61221428.819179408</v>
      </c>
      <c r="S228">
        <f t="shared" si="962"/>
        <v>612.21428819179403</v>
      </c>
      <c r="T228">
        <f t="shared" si="963"/>
        <v>0.61221428819179402</v>
      </c>
    </row>
    <row r="229" spans="1:20" x14ac:dyDescent="0.25">
      <c r="A229" s="5">
        <v>44364</v>
      </c>
      <c r="B229">
        <v>48.652000000000001</v>
      </c>
      <c r="C229">
        <v>50.677999999999997</v>
      </c>
      <c r="D229">
        <v>47.692</v>
      </c>
      <c r="E229">
        <v>48.622999999999998</v>
      </c>
      <c r="F229">
        <v>408062.04499999998</v>
      </c>
      <c r="G229">
        <v>0</v>
      </c>
      <c r="P229">
        <f t="shared" si="959"/>
        <v>-0.3764233087742811</v>
      </c>
      <c r="Q229">
        <f t="shared" si="960"/>
        <v>-153604.06516409959</v>
      </c>
      <c r="R229">
        <f t="shared" si="961"/>
        <v>61413512.188051723</v>
      </c>
      <c r="S229">
        <f t="shared" si="962"/>
        <v>614.1351218805172</v>
      </c>
      <c r="T229">
        <f t="shared" si="963"/>
        <v>0.61413512188051722</v>
      </c>
    </row>
    <row r="230" spans="1:20" x14ac:dyDescent="0.25">
      <c r="A230" s="5">
        <v>44363</v>
      </c>
      <c r="B230">
        <v>50.165999999999997</v>
      </c>
      <c r="C230">
        <v>51.25</v>
      </c>
      <c r="D230">
        <v>47.533000000000001</v>
      </c>
      <c r="E230">
        <v>48.639000000000003</v>
      </c>
      <c r="F230">
        <v>562499.89800000004</v>
      </c>
      <c r="G230">
        <v>0</v>
      </c>
      <c r="P230">
        <f t="shared" si="959"/>
        <v>-0.40489642184557328</v>
      </c>
      <c r="Q230">
        <f t="shared" si="960"/>
        <v>-227754.19598869997</v>
      </c>
      <c r="R230">
        <f t="shared" si="961"/>
        <v>61567116.25321582</v>
      </c>
      <c r="S230">
        <f t="shared" si="962"/>
        <v>615.67116253215818</v>
      </c>
      <c r="T230">
        <f t="shared" si="963"/>
        <v>0.61567116253215814</v>
      </c>
    </row>
    <row r="231" spans="1:20" x14ac:dyDescent="0.25">
      <c r="A231" s="5">
        <v>44362</v>
      </c>
      <c r="B231">
        <v>50.752000000000002</v>
      </c>
      <c r="C231">
        <v>52</v>
      </c>
      <c r="D231">
        <v>49.122</v>
      </c>
      <c r="E231">
        <v>50.139000000000003</v>
      </c>
      <c r="F231">
        <v>551787.67500000005</v>
      </c>
      <c r="G231">
        <v>0</v>
      </c>
      <c r="P231">
        <f t="shared" si="959"/>
        <v>-0.29325920778318071</v>
      </c>
      <c r="Q231">
        <f t="shared" si="960"/>
        <v>-161816.81643502321</v>
      </c>
      <c r="R231">
        <f t="shared" si="961"/>
        <v>61794870.449204519</v>
      </c>
      <c r="S231">
        <f t="shared" si="962"/>
        <v>617.94870449204518</v>
      </c>
      <c r="T231">
        <f t="shared" si="963"/>
        <v>0.6179487044920452</v>
      </c>
    </row>
    <row r="232" spans="1:20" x14ac:dyDescent="0.25">
      <c r="A232" s="5">
        <v>44361</v>
      </c>
      <c r="B232">
        <v>49.186999999999998</v>
      </c>
      <c r="C232">
        <v>51.744</v>
      </c>
      <c r="D232">
        <v>48.354999999999997</v>
      </c>
      <c r="E232">
        <v>50.734999999999999</v>
      </c>
      <c r="F232">
        <v>664071.27</v>
      </c>
      <c r="G232">
        <v>0</v>
      </c>
      <c r="P232">
        <f t="shared" si="959"/>
        <v>0.40454411330776069</v>
      </c>
      <c r="Q232">
        <f t="shared" si="960"/>
        <v>268646.12309530855</v>
      </c>
      <c r="R232">
        <f t="shared" si="961"/>
        <v>61956687.265639544</v>
      </c>
      <c r="S232">
        <f t="shared" si="962"/>
        <v>619.56687265639539</v>
      </c>
      <c r="T232">
        <f t="shared" si="963"/>
        <v>0.61956687265639543</v>
      </c>
    </row>
    <row r="233" spans="1:20" x14ac:dyDescent="0.25">
      <c r="A233" s="5">
        <v>44360</v>
      </c>
      <c r="B233">
        <v>46.247999999999998</v>
      </c>
      <c r="C233">
        <v>49.555</v>
      </c>
      <c r="D233">
        <v>44.570999999999998</v>
      </c>
      <c r="E233">
        <v>49.201000000000001</v>
      </c>
      <c r="F233">
        <v>459539.88699999999</v>
      </c>
      <c r="G233">
        <v>0</v>
      </c>
      <c r="P233">
        <f t="shared" si="959"/>
        <v>0.85794542536115603</v>
      </c>
      <c r="Q233">
        <f t="shared" si="960"/>
        <v>394260.14382263256</v>
      </c>
      <c r="R233">
        <f t="shared" si="961"/>
        <v>61688041.142544232</v>
      </c>
      <c r="S233">
        <f t="shared" si="962"/>
        <v>616.88041142544228</v>
      </c>
      <c r="T233">
        <f t="shared" si="963"/>
        <v>0.61688041142544225</v>
      </c>
    </row>
    <row r="234" spans="1:20" x14ac:dyDescent="0.25">
      <c r="A234" s="5">
        <v>44359</v>
      </c>
      <c r="B234">
        <v>47.43</v>
      </c>
      <c r="C234">
        <v>47.444000000000003</v>
      </c>
      <c r="D234">
        <v>43.923000000000002</v>
      </c>
      <c r="E234">
        <v>46.25</v>
      </c>
      <c r="F234">
        <v>534805.63699999999</v>
      </c>
      <c r="G234">
        <v>0</v>
      </c>
      <c r="P234">
        <f t="shared" si="959"/>
        <v>0.32178358420903019</v>
      </c>
      <c r="Q234">
        <f t="shared" si="960"/>
        <v>172091.67472905354</v>
      </c>
      <c r="R234">
        <f t="shared" si="961"/>
        <v>61293780.9987216</v>
      </c>
      <c r="S234">
        <f t="shared" si="962"/>
        <v>612.93780998721604</v>
      </c>
      <c r="T234">
        <f t="shared" si="963"/>
        <v>0.61293780998721603</v>
      </c>
    </row>
    <row r="235" spans="1:20" x14ac:dyDescent="0.25">
      <c r="A235" s="5">
        <v>44358</v>
      </c>
      <c r="B235">
        <v>50.546999999999997</v>
      </c>
      <c r="C235">
        <v>51</v>
      </c>
      <c r="D235">
        <v>46.594999999999999</v>
      </c>
      <c r="E235">
        <v>47.442999999999998</v>
      </c>
      <c r="F235">
        <v>565691.36600000004</v>
      </c>
      <c r="G235">
        <v>0</v>
      </c>
      <c r="P235">
        <f t="shared" si="959"/>
        <v>-0.61498297389330359</v>
      </c>
      <c r="Q235">
        <f t="shared" si="960"/>
        <v>-347890.55856844527</v>
      </c>
      <c r="R235">
        <f t="shared" si="961"/>
        <v>61121689.323992543</v>
      </c>
      <c r="S235">
        <f t="shared" si="962"/>
        <v>611.21689323992541</v>
      </c>
      <c r="T235">
        <f t="shared" si="963"/>
        <v>0.61121689323992545</v>
      </c>
    </row>
    <row r="236" spans="1:20" x14ac:dyDescent="0.25">
      <c r="A236" s="5">
        <v>44357</v>
      </c>
      <c r="B236">
        <v>51.326000000000001</v>
      </c>
      <c r="C236">
        <v>54.99</v>
      </c>
      <c r="D236">
        <v>49.609000000000002</v>
      </c>
      <c r="E236">
        <v>50.561</v>
      </c>
      <c r="F236">
        <v>1021835.872</v>
      </c>
      <c r="G236">
        <v>0</v>
      </c>
      <c r="P236">
        <f t="shared" si="959"/>
        <v>-0.64616242334138707</v>
      </c>
      <c r="Q236">
        <f t="shared" si="960"/>
        <v>-660271.94330867939</v>
      </c>
      <c r="R236">
        <f t="shared" si="961"/>
        <v>61469579.882560991</v>
      </c>
      <c r="S236">
        <f t="shared" si="962"/>
        <v>614.69579882560993</v>
      </c>
      <c r="T236">
        <f t="shared" si="963"/>
        <v>0.61469579882560987</v>
      </c>
    </row>
    <row r="237" spans="1:20" x14ac:dyDescent="0.25">
      <c r="A237" s="5">
        <v>44356</v>
      </c>
      <c r="B237">
        <v>48.731999999999999</v>
      </c>
      <c r="C237">
        <v>51.329000000000001</v>
      </c>
      <c r="D237">
        <v>45.921999999999997</v>
      </c>
      <c r="E237">
        <v>51.296999999999997</v>
      </c>
      <c r="F237">
        <v>743161.40599999996</v>
      </c>
      <c r="G237">
        <v>0</v>
      </c>
      <c r="P237">
        <f t="shared" si="959"/>
        <v>0.98816349176992657</v>
      </c>
      <c r="Q237">
        <f t="shared" si="960"/>
        <v>734364.96990160807</v>
      </c>
      <c r="R237">
        <f t="shared" si="961"/>
        <v>62129851.825869672</v>
      </c>
      <c r="S237">
        <f t="shared" si="962"/>
        <v>621.29851825869673</v>
      </c>
      <c r="T237">
        <f t="shared" si="963"/>
        <v>0.62129851825869675</v>
      </c>
    </row>
    <row r="238" spans="1:20" x14ac:dyDescent="0.25">
      <c r="A238" s="5">
        <v>44355</v>
      </c>
      <c r="B238">
        <v>51.112000000000002</v>
      </c>
      <c r="C238">
        <v>51.994999999999997</v>
      </c>
      <c r="D238">
        <v>44.643000000000001</v>
      </c>
      <c r="E238">
        <v>48.734999999999999</v>
      </c>
      <c r="F238">
        <v>1075127.4990000001</v>
      </c>
      <c r="G238">
        <v>0</v>
      </c>
      <c r="P238">
        <f t="shared" si="959"/>
        <v>0.11316648531011984</v>
      </c>
      <c r="Q238">
        <f t="shared" si="960"/>
        <v>121668.40032208939</v>
      </c>
      <c r="R238">
        <f t="shared" si="961"/>
        <v>61395486.855968066</v>
      </c>
      <c r="S238">
        <f t="shared" si="962"/>
        <v>613.95486855968068</v>
      </c>
      <c r="T238">
        <f t="shared" si="963"/>
        <v>0.61395486855968062</v>
      </c>
    </row>
    <row r="239" spans="1:20" x14ac:dyDescent="0.25">
      <c r="A239" s="5">
        <v>44354</v>
      </c>
      <c r="B239">
        <v>56.694000000000003</v>
      </c>
      <c r="C239">
        <v>58.369</v>
      </c>
      <c r="D239">
        <v>50.58</v>
      </c>
      <c r="E239">
        <v>51.08</v>
      </c>
      <c r="F239">
        <v>643273.36300000001</v>
      </c>
      <c r="G239">
        <v>0</v>
      </c>
      <c r="P239">
        <f t="shared" si="959"/>
        <v>-0.87161381435357554</v>
      </c>
      <c r="Q239">
        <f t="shared" si="960"/>
        <v>-560685.94959648221</v>
      </c>
      <c r="R239">
        <f t="shared" si="961"/>
        <v>61273818.455645978</v>
      </c>
      <c r="S239">
        <f t="shared" si="962"/>
        <v>612.73818455645983</v>
      </c>
      <c r="T239">
        <f t="shared" si="963"/>
        <v>0.61273818455645979</v>
      </c>
    </row>
    <row r="240" spans="1:20" x14ac:dyDescent="0.25">
      <c r="A240" s="5">
        <v>44353</v>
      </c>
      <c r="B240">
        <v>55.563000000000002</v>
      </c>
      <c r="C240">
        <v>57.886000000000003</v>
      </c>
      <c r="D240">
        <v>55.046999999999997</v>
      </c>
      <c r="E240">
        <v>56.7</v>
      </c>
      <c r="F240">
        <v>505841.87699999998</v>
      </c>
      <c r="G240">
        <v>0</v>
      </c>
      <c r="P240">
        <f t="shared" si="959"/>
        <v>0.16449454033110422</v>
      </c>
      <c r="Q240">
        <f t="shared" si="960"/>
        <v>83208.227037337958</v>
      </c>
      <c r="R240">
        <f t="shared" si="961"/>
        <v>61834504.405242458</v>
      </c>
      <c r="S240">
        <f t="shared" si="962"/>
        <v>618.34504405242456</v>
      </c>
      <c r="T240">
        <f t="shared" si="963"/>
        <v>0.61834504405242452</v>
      </c>
    </row>
    <row r="241" spans="1:20" x14ac:dyDescent="0.25">
      <c r="A241" s="5">
        <v>44352</v>
      </c>
      <c r="B241">
        <v>56.241999999999997</v>
      </c>
      <c r="C241">
        <v>60.677</v>
      </c>
      <c r="D241">
        <v>53.923999999999999</v>
      </c>
      <c r="E241">
        <v>55.634999999999998</v>
      </c>
      <c r="F241">
        <v>791473.31299999997</v>
      </c>
      <c r="G241">
        <v>0</v>
      </c>
      <c r="P241">
        <f t="shared" si="959"/>
        <v>-0.49326225381312055</v>
      </c>
      <c r="Q241">
        <f t="shared" si="960"/>
        <v>-390403.91020331741</v>
      </c>
      <c r="R241">
        <f t="shared" si="961"/>
        <v>61751296.178205118</v>
      </c>
      <c r="S241">
        <f t="shared" si="962"/>
        <v>617.51296178205121</v>
      </c>
      <c r="T241">
        <f t="shared" si="963"/>
        <v>0.61751296178205117</v>
      </c>
    </row>
    <row r="242" spans="1:20" x14ac:dyDescent="0.25">
      <c r="A242" s="5">
        <v>44351</v>
      </c>
      <c r="B242">
        <v>61.332000000000001</v>
      </c>
      <c r="C242">
        <v>62.573</v>
      </c>
      <c r="D242">
        <v>53.131</v>
      </c>
      <c r="E242">
        <v>56.25</v>
      </c>
      <c r="F242">
        <v>1009496.423</v>
      </c>
      <c r="G242">
        <v>0</v>
      </c>
      <c r="P242">
        <f t="shared" si="959"/>
        <v>-0.33933488667655165</v>
      </c>
      <c r="Q242">
        <f t="shared" si="960"/>
        <v>-342557.35429908923</v>
      </c>
      <c r="R242">
        <f t="shared" si="961"/>
        <v>62141700.088408433</v>
      </c>
      <c r="S242">
        <f t="shared" si="962"/>
        <v>621.41700088408436</v>
      </c>
      <c r="T242">
        <f t="shared" si="963"/>
        <v>0.62141700088408436</v>
      </c>
    </row>
    <row r="243" spans="1:20" x14ac:dyDescent="0.25">
      <c r="A243" s="5">
        <v>44350</v>
      </c>
      <c r="B243">
        <v>57.756999999999998</v>
      </c>
      <c r="C243">
        <v>62.7</v>
      </c>
      <c r="D243">
        <v>57.476999999999997</v>
      </c>
      <c r="E243">
        <v>61.320999999999998</v>
      </c>
      <c r="F243">
        <v>1335133.8570000001</v>
      </c>
      <c r="G243">
        <v>0</v>
      </c>
      <c r="P243">
        <f t="shared" si="959"/>
        <v>0.47195098602335694</v>
      </c>
      <c r="Q243">
        <f t="shared" si="960"/>
        <v>630117.74028431764</v>
      </c>
      <c r="R243">
        <f t="shared" si="961"/>
        <v>62484257.442707524</v>
      </c>
      <c r="S243">
        <f t="shared" si="962"/>
        <v>624.84257442707519</v>
      </c>
      <c r="T243">
        <f t="shared" si="963"/>
        <v>0.62484257442707514</v>
      </c>
    </row>
    <row r="244" spans="1:20" x14ac:dyDescent="0.25">
      <c r="A244" s="5">
        <v>44349</v>
      </c>
      <c r="B244">
        <v>53.959000000000003</v>
      </c>
      <c r="C244">
        <v>60.353999999999999</v>
      </c>
      <c r="D244">
        <v>52.500999999999998</v>
      </c>
      <c r="E244">
        <v>57.8</v>
      </c>
      <c r="F244">
        <v>971493.57499999995</v>
      </c>
      <c r="G244">
        <v>0</v>
      </c>
      <c r="P244">
        <f t="shared" si="959"/>
        <v>0.3495479434610973</v>
      </c>
      <c r="Q244">
        <f t="shared" si="960"/>
        <v>339583.58122691925</v>
      </c>
      <c r="R244">
        <f t="shared" si="961"/>
        <v>61854139.702423207</v>
      </c>
      <c r="S244">
        <f t="shared" si="962"/>
        <v>618.54139702423208</v>
      </c>
      <c r="T244">
        <f t="shared" si="963"/>
        <v>0.61854139702423205</v>
      </c>
    </row>
    <row r="245" spans="1:20" x14ac:dyDescent="0.25">
      <c r="A245" s="5">
        <v>44348</v>
      </c>
      <c r="B245">
        <v>55.868000000000002</v>
      </c>
      <c r="C245">
        <v>56.798999999999999</v>
      </c>
      <c r="D245">
        <v>52.2</v>
      </c>
      <c r="E245">
        <v>53.951000000000001</v>
      </c>
      <c r="F245">
        <v>648192.68799999997</v>
      </c>
      <c r="G245">
        <v>0</v>
      </c>
      <c r="P245">
        <f t="shared" si="959"/>
        <v>-0.23853011524244447</v>
      </c>
      <c r="Q245">
        <f t="shared" si="960"/>
        <v>-154613.47656794984</v>
      </c>
      <c r="R245">
        <f t="shared" si="961"/>
        <v>61514556.121196285</v>
      </c>
      <c r="S245">
        <f t="shared" si="962"/>
        <v>615.1455612119629</v>
      </c>
      <c r="T245">
        <f t="shared" si="963"/>
        <v>0.61514556121196295</v>
      </c>
    </row>
    <row r="246" spans="1:20" x14ac:dyDescent="0.25">
      <c r="A246" s="5">
        <v>44347</v>
      </c>
      <c r="B246">
        <v>51.514000000000003</v>
      </c>
      <c r="C246">
        <v>56</v>
      </c>
      <c r="D246">
        <v>49.33</v>
      </c>
      <c r="E246">
        <v>55.865000000000002</v>
      </c>
      <c r="F246">
        <v>678376.73300000001</v>
      </c>
      <c r="G246">
        <v>0</v>
      </c>
      <c r="P246">
        <f t="shared" si="959"/>
        <v>0.95952023988006052</v>
      </c>
      <c r="Q246">
        <f t="shared" si="960"/>
        <v>650916.2055772118</v>
      </c>
      <c r="R246">
        <f t="shared" si="961"/>
        <v>61669169.597764231</v>
      </c>
      <c r="S246">
        <f t="shared" si="962"/>
        <v>616.69169597764233</v>
      </c>
      <c r="T246">
        <f t="shared" si="963"/>
        <v>0.61669169597764228</v>
      </c>
    </row>
    <row r="247" spans="1:20" x14ac:dyDescent="0.25">
      <c r="A247" s="5">
        <v>44346</v>
      </c>
      <c r="B247">
        <v>50.155999999999999</v>
      </c>
      <c r="C247">
        <v>53.576999999999998</v>
      </c>
      <c r="D247">
        <v>46.831000000000003</v>
      </c>
      <c r="E247">
        <v>51.579000000000001</v>
      </c>
      <c r="F247">
        <v>735255.53300000005</v>
      </c>
      <c r="G247">
        <v>0</v>
      </c>
      <c r="P247">
        <f t="shared" si="959"/>
        <v>0.4076489771716576</v>
      </c>
      <c r="Q247">
        <f t="shared" si="960"/>
        <v>299726.16598725197</v>
      </c>
      <c r="R247">
        <f t="shared" si="961"/>
        <v>61018253.392187022</v>
      </c>
      <c r="S247">
        <f t="shared" si="962"/>
        <v>610.18253392187023</v>
      </c>
      <c r="T247">
        <f t="shared" si="963"/>
        <v>0.61018253392187027</v>
      </c>
    </row>
    <row r="248" spans="1:20" x14ac:dyDescent="0.25">
      <c r="A248" s="5">
        <v>44345</v>
      </c>
      <c r="B248">
        <v>54.411000000000001</v>
      </c>
      <c r="C248">
        <v>56.887</v>
      </c>
      <c r="D248">
        <v>47.982999999999997</v>
      </c>
      <c r="E248">
        <v>50.091999999999999</v>
      </c>
      <c r="F248">
        <v>865195.36499999999</v>
      </c>
      <c r="G248">
        <v>0</v>
      </c>
      <c r="P248">
        <f t="shared" si="959"/>
        <v>-0.52628032345013454</v>
      </c>
      <c r="Q248">
        <f t="shared" si="960"/>
        <v>-455335.29653975723</v>
      </c>
      <c r="R248">
        <f t="shared" si="961"/>
        <v>60718527.226199768</v>
      </c>
      <c r="S248">
        <f t="shared" si="962"/>
        <v>607.18527226199774</v>
      </c>
      <c r="T248">
        <f t="shared" si="963"/>
        <v>0.6071852722619977</v>
      </c>
    </row>
    <row r="249" spans="1:20" x14ac:dyDescent="0.25">
      <c r="A249" s="5">
        <v>44344</v>
      </c>
      <c r="B249">
        <v>62.923999999999999</v>
      </c>
      <c r="C249">
        <v>63.2</v>
      </c>
      <c r="D249">
        <v>52.295999999999999</v>
      </c>
      <c r="E249">
        <v>54.420999999999999</v>
      </c>
      <c r="F249">
        <v>1357195.081</v>
      </c>
      <c r="G249">
        <v>0</v>
      </c>
      <c r="P249">
        <f t="shared" si="959"/>
        <v>-0.61023477622890698</v>
      </c>
      <c r="Q249">
        <f t="shared" si="960"/>
        <v>-828207.63655300834</v>
      </c>
      <c r="R249">
        <f t="shared" si="961"/>
        <v>61173862.522739522</v>
      </c>
      <c r="S249">
        <f t="shared" si="962"/>
        <v>611.73862522739523</v>
      </c>
      <c r="T249">
        <f t="shared" si="963"/>
        <v>0.61173862522739519</v>
      </c>
    </row>
    <row r="250" spans="1:20" x14ac:dyDescent="0.25">
      <c r="A250" s="5">
        <v>44343</v>
      </c>
      <c r="B250">
        <v>62.496000000000002</v>
      </c>
      <c r="C250">
        <v>66.682000000000002</v>
      </c>
      <c r="D250">
        <v>56.697000000000003</v>
      </c>
      <c r="E250">
        <v>62.947000000000003</v>
      </c>
      <c r="F250">
        <v>1561098.7609999999</v>
      </c>
      <c r="G250">
        <v>0</v>
      </c>
      <c r="P250">
        <f t="shared" si="959"/>
        <v>0.25187781672508769</v>
      </c>
      <c r="Q250">
        <f t="shared" si="960"/>
        <v>393206.14761291945</v>
      </c>
      <c r="R250">
        <f t="shared" si="961"/>
        <v>62002070.159292534</v>
      </c>
      <c r="S250">
        <f t="shared" si="962"/>
        <v>620.02070159292532</v>
      </c>
      <c r="T250">
        <f t="shared" si="963"/>
        <v>0.62002070159292533</v>
      </c>
    </row>
    <row r="251" spans="1:20" x14ac:dyDescent="0.25">
      <c r="A251" s="5">
        <v>44342</v>
      </c>
      <c r="B251">
        <v>56.521999999999998</v>
      </c>
      <c r="C251">
        <v>63.5</v>
      </c>
      <c r="D251">
        <v>55.033000000000001</v>
      </c>
      <c r="E251">
        <v>62.5</v>
      </c>
      <c r="F251">
        <v>1280535.6059999999</v>
      </c>
      <c r="G251">
        <v>0</v>
      </c>
      <c r="P251">
        <f t="shared" si="959"/>
        <v>0.76378882721152708</v>
      </c>
      <c r="Q251">
        <f t="shared" si="960"/>
        <v>978058.78870934201</v>
      </c>
      <c r="R251">
        <f t="shared" si="961"/>
        <v>61608864.011679612</v>
      </c>
      <c r="S251">
        <f t="shared" si="962"/>
        <v>616.08864011679611</v>
      </c>
      <c r="T251">
        <f t="shared" si="963"/>
        <v>0.61608864011679609</v>
      </c>
    </row>
    <row r="252" spans="1:20" x14ac:dyDescent="0.25">
      <c r="A252" s="5">
        <v>44341</v>
      </c>
      <c r="B252">
        <v>54.045999999999999</v>
      </c>
      <c r="C252">
        <v>59.616999999999997</v>
      </c>
      <c r="D252">
        <v>50.938000000000002</v>
      </c>
      <c r="E252">
        <v>56.598999999999997</v>
      </c>
      <c r="F252">
        <v>2234507.273</v>
      </c>
      <c r="G252">
        <v>0</v>
      </c>
      <c r="P252">
        <f t="shared" si="959"/>
        <v>0.304528171448323</v>
      </c>
      <c r="Q252">
        <f t="shared" si="960"/>
        <v>680470.41393466876</v>
      </c>
      <c r="R252">
        <f t="shared" si="961"/>
        <v>60630805.22297027</v>
      </c>
      <c r="S252">
        <f t="shared" si="962"/>
        <v>606.30805222970275</v>
      </c>
      <c r="T252">
        <f t="shared" si="963"/>
        <v>0.60630805222970274</v>
      </c>
    </row>
    <row r="253" spans="1:20" x14ac:dyDescent="0.25">
      <c r="A253" s="5">
        <v>44340</v>
      </c>
      <c r="B253">
        <v>43.125</v>
      </c>
      <c r="C253">
        <v>54.47</v>
      </c>
      <c r="D253">
        <v>41.335999999999999</v>
      </c>
      <c r="E253">
        <v>54.04</v>
      </c>
      <c r="F253">
        <v>2166900.4759999998</v>
      </c>
      <c r="G253">
        <v>0</v>
      </c>
      <c r="P253">
        <f t="shared" si="959"/>
        <v>0.93452109029998487</v>
      </c>
      <c r="Q253">
        <f t="shared" si="960"/>
        <v>2025014.195403076</v>
      </c>
      <c r="R253">
        <f t="shared" si="961"/>
        <v>59950334.809035599</v>
      </c>
      <c r="S253">
        <f t="shared" si="962"/>
        <v>599.50334809035598</v>
      </c>
      <c r="T253">
        <f t="shared" si="963"/>
        <v>0.59950334809035599</v>
      </c>
    </row>
    <row r="254" spans="1:20" x14ac:dyDescent="0.25">
      <c r="A254" s="5">
        <v>44339</v>
      </c>
      <c r="B254">
        <v>51.393999999999998</v>
      </c>
      <c r="C254">
        <v>56.95</v>
      </c>
      <c r="D254">
        <v>35.462000000000003</v>
      </c>
      <c r="E254">
        <v>43.103000000000002</v>
      </c>
      <c r="F254">
        <v>3326567.9210000001</v>
      </c>
      <c r="G254">
        <v>0</v>
      </c>
      <c r="P254">
        <f t="shared" si="959"/>
        <v>-0.28881236038719299</v>
      </c>
      <c r="Q254">
        <f t="shared" si="960"/>
        <v>-960753.93325232738</v>
      </c>
      <c r="R254">
        <f t="shared" si="961"/>
        <v>57925320.613632523</v>
      </c>
      <c r="S254">
        <f t="shared" si="962"/>
        <v>579.25320613632528</v>
      </c>
      <c r="T254">
        <f t="shared" si="963"/>
        <v>0.57925320613632525</v>
      </c>
    </row>
    <row r="255" spans="1:20" x14ac:dyDescent="0.25">
      <c r="A255" s="5">
        <v>44338</v>
      </c>
      <c r="B255">
        <v>57.917999999999999</v>
      </c>
      <c r="C255">
        <v>58.351999999999997</v>
      </c>
      <c r="D255">
        <v>49.165999999999997</v>
      </c>
      <c r="E255">
        <v>51.384999999999998</v>
      </c>
      <c r="F255">
        <v>1670948.605</v>
      </c>
      <c r="G255">
        <v>0</v>
      </c>
      <c r="P255">
        <f t="shared" si="959"/>
        <v>-0.51687350315697778</v>
      </c>
      <c r="Q255">
        <f t="shared" si="960"/>
        <v>-863669.05906161515</v>
      </c>
      <c r="R255">
        <f t="shared" si="961"/>
        <v>58886074.54688485</v>
      </c>
      <c r="S255">
        <f t="shared" si="962"/>
        <v>588.86074546884845</v>
      </c>
      <c r="T255">
        <f t="shared" si="963"/>
        <v>0.58886074546884848</v>
      </c>
    </row>
    <row r="256" spans="1:20" x14ac:dyDescent="0.25">
      <c r="A256" s="5">
        <v>44337</v>
      </c>
      <c r="B256">
        <v>71.569999999999993</v>
      </c>
      <c r="C256">
        <v>73.3</v>
      </c>
      <c r="D256">
        <v>50.03</v>
      </c>
      <c r="E256">
        <v>57.850999999999999</v>
      </c>
      <c r="F256">
        <v>2462209.318</v>
      </c>
      <c r="G256">
        <v>0</v>
      </c>
      <c r="P256">
        <f t="shared" si="959"/>
        <v>-0.32780403953588316</v>
      </c>
      <c r="Q256">
        <f t="shared" si="960"/>
        <v>-807122.16062329186</v>
      </c>
      <c r="R256">
        <f t="shared" si="961"/>
        <v>59749743.605946466</v>
      </c>
      <c r="S256">
        <f t="shared" si="962"/>
        <v>597.49743605946469</v>
      </c>
      <c r="T256">
        <f t="shared" si="963"/>
        <v>0.5974974360594647</v>
      </c>
    </row>
    <row r="257" spans="1:20" x14ac:dyDescent="0.25">
      <c r="A257" s="5">
        <v>44336</v>
      </c>
      <c r="B257">
        <v>55.155000000000001</v>
      </c>
      <c r="C257">
        <v>72.52</v>
      </c>
      <c r="D257">
        <v>49.136000000000003</v>
      </c>
      <c r="E257">
        <v>71.704999999999998</v>
      </c>
      <c r="F257">
        <v>2288224.6869999999</v>
      </c>
      <c r="G257">
        <v>0</v>
      </c>
      <c r="P257">
        <f t="shared" si="959"/>
        <v>0.93029421826890202</v>
      </c>
      <c r="Q257">
        <f t="shared" si="960"/>
        <v>2128722.1964162681</v>
      </c>
      <c r="R257">
        <f t="shared" si="961"/>
        <v>60556865.766569756</v>
      </c>
      <c r="S257">
        <f t="shared" si="962"/>
        <v>605.56865766569751</v>
      </c>
      <c r="T257">
        <f t="shared" si="963"/>
        <v>0.60556865766569756</v>
      </c>
    </row>
    <row r="258" spans="1:20" x14ac:dyDescent="0.25">
      <c r="A258" s="5">
        <v>44335</v>
      </c>
      <c r="B258">
        <v>87.457999999999998</v>
      </c>
      <c r="C258">
        <v>89.168000000000006</v>
      </c>
      <c r="D258">
        <v>40</v>
      </c>
      <c r="E258">
        <v>55.124000000000002</v>
      </c>
      <c r="F258">
        <v>4061913.64</v>
      </c>
      <c r="G258">
        <v>0</v>
      </c>
      <c r="P258">
        <f t="shared" si="959"/>
        <v>-0.38480312398307842</v>
      </c>
      <c r="Q258">
        <f t="shared" si="960"/>
        <v>-1563037.0580214774</v>
      </c>
      <c r="R258">
        <f t="shared" si="961"/>
        <v>58428143.57015349</v>
      </c>
      <c r="S258">
        <f t="shared" si="962"/>
        <v>584.28143570153486</v>
      </c>
      <c r="T258">
        <f t="shared" si="963"/>
        <v>0.5842814357015349</v>
      </c>
    </row>
    <row r="259" spans="1:20" x14ac:dyDescent="0.25">
      <c r="A259" s="5">
        <v>44334</v>
      </c>
      <c r="B259">
        <v>85.644000000000005</v>
      </c>
      <c r="C259">
        <v>92.236999999999995</v>
      </c>
      <c r="D259">
        <v>84.215999999999994</v>
      </c>
      <c r="E259">
        <v>87.421000000000006</v>
      </c>
      <c r="F259">
        <v>927305.7</v>
      </c>
      <c r="G259">
        <v>0</v>
      </c>
      <c r="P259">
        <f t="shared" si="959"/>
        <v>-0.20084777459169376</v>
      </c>
      <c r="Q259">
        <f t="shared" si="960"/>
        <v>-186247.28621119278</v>
      </c>
      <c r="R259">
        <f t="shared" si="961"/>
        <v>59991180.628174968</v>
      </c>
      <c r="S259">
        <f t="shared" si="962"/>
        <v>599.9118062817497</v>
      </c>
      <c r="T259">
        <f t="shared" si="963"/>
        <v>0.59991180628174967</v>
      </c>
    </row>
    <row r="260" spans="1:20" x14ac:dyDescent="0.25">
      <c r="A260" s="5">
        <v>44333</v>
      </c>
      <c r="B260">
        <v>92.9</v>
      </c>
      <c r="C260">
        <v>92.957999999999998</v>
      </c>
      <c r="D260">
        <v>79.777000000000001</v>
      </c>
      <c r="E260">
        <v>85.634</v>
      </c>
      <c r="F260">
        <v>1686361.2609999999</v>
      </c>
      <c r="G260">
        <v>0</v>
      </c>
      <c r="P260">
        <f t="shared" si="959"/>
        <v>-0.11129656323495934</v>
      </c>
      <c r="Q260">
        <f t="shared" si="960"/>
        <v>-187686.21272187226</v>
      </c>
      <c r="R260">
        <f t="shared" si="961"/>
        <v>60177427.914386161</v>
      </c>
      <c r="S260">
        <f t="shared" si="962"/>
        <v>601.77427914386158</v>
      </c>
      <c r="T260">
        <f t="shared" si="963"/>
        <v>0.60177427914386161</v>
      </c>
    </row>
    <row r="261" spans="1:20" x14ac:dyDescent="0.25">
      <c r="A261" s="5">
        <v>44332</v>
      </c>
      <c r="B261">
        <v>92.611999999999995</v>
      </c>
      <c r="C261">
        <v>101.375</v>
      </c>
      <c r="D261">
        <v>86.507999999999996</v>
      </c>
      <c r="E261">
        <v>92.911000000000001</v>
      </c>
      <c r="F261">
        <v>1211720.548</v>
      </c>
      <c r="G261">
        <v>0</v>
      </c>
      <c r="P261">
        <f t="shared" si="959"/>
        <v>-0.13862917871796543</v>
      </c>
      <c r="Q261">
        <f t="shared" si="960"/>
        <v>-167979.82440492301</v>
      </c>
      <c r="R261">
        <f t="shared" si="961"/>
        <v>60365114.12710803</v>
      </c>
      <c r="S261">
        <f t="shared" si="962"/>
        <v>603.65114127108029</v>
      </c>
      <c r="T261">
        <f t="shared" si="963"/>
        <v>0.60365114127108033</v>
      </c>
    </row>
    <row r="262" spans="1:20" x14ac:dyDescent="0.25">
      <c r="A262" s="5">
        <v>44331</v>
      </c>
      <c r="B262">
        <v>100.782</v>
      </c>
      <c r="C262">
        <v>102</v>
      </c>
      <c r="D262">
        <v>91.153000000000006</v>
      </c>
      <c r="E262">
        <v>92.734999999999999</v>
      </c>
      <c r="F262">
        <v>925963.32299999997</v>
      </c>
      <c r="G262">
        <v>0</v>
      </c>
      <c r="P262">
        <f t="shared" ref="P262:P325" si="964">IF(C262=D262,0,((E262-D262)-(C262-E262))/(C262-D262))</f>
        <v>-0.70830644417811484</v>
      </c>
      <c r="Q262">
        <f t="shared" ref="Q262:Q325" si="965">F262*P262</f>
        <v>-655865.78875348123</v>
      </c>
      <c r="R262">
        <f t="shared" ref="R262:R325" si="966">R263+Q262</f>
        <v>60533093.951512955</v>
      </c>
      <c r="S262">
        <f t="shared" ref="S262:S325" si="967">R262/100000</f>
        <v>605.33093951512956</v>
      </c>
      <c r="T262">
        <f t="shared" ref="T262:T325" si="968">S262/1000</f>
        <v>0.60533093951512951</v>
      </c>
    </row>
    <row r="263" spans="1:20" x14ac:dyDescent="0.25">
      <c r="A263" s="5">
        <v>44330</v>
      </c>
      <c r="B263">
        <v>96.558999999999997</v>
      </c>
      <c r="C263">
        <v>103.694</v>
      </c>
      <c r="D263">
        <v>94.983999999999995</v>
      </c>
      <c r="E263">
        <v>100.86199999999999</v>
      </c>
      <c r="F263">
        <v>897730.79799999995</v>
      </c>
      <c r="G263">
        <v>0</v>
      </c>
      <c r="P263">
        <f t="shared" si="964"/>
        <v>0.3497129735935694</v>
      </c>
      <c r="Q263">
        <f t="shared" si="965"/>
        <v>313948.106855108</v>
      </c>
      <c r="R263">
        <f t="shared" si="966"/>
        <v>61188959.740266435</v>
      </c>
      <c r="S263">
        <f t="shared" si="967"/>
        <v>611.88959740266432</v>
      </c>
      <c r="T263">
        <f t="shared" si="968"/>
        <v>0.61188959740266435</v>
      </c>
    </row>
    <row r="264" spans="1:20" x14ac:dyDescent="0.25">
      <c r="A264" s="5">
        <v>44329</v>
      </c>
      <c r="B264">
        <v>94.037000000000006</v>
      </c>
      <c r="C264">
        <v>102.13800000000001</v>
      </c>
      <c r="D264">
        <v>88.23</v>
      </c>
      <c r="E264">
        <v>96.686000000000007</v>
      </c>
      <c r="F264">
        <v>1718237.34</v>
      </c>
      <c r="G264">
        <v>0</v>
      </c>
      <c r="P264">
        <f t="shared" si="964"/>
        <v>0.21599079666379095</v>
      </c>
      <c r="Q264">
        <f t="shared" si="965"/>
        <v>371123.45192407304</v>
      </c>
      <c r="R264">
        <f t="shared" si="966"/>
        <v>60875011.633411326</v>
      </c>
      <c r="S264">
        <f t="shared" si="967"/>
        <v>608.75011633411327</v>
      </c>
      <c r="T264">
        <f t="shared" si="968"/>
        <v>0.60875011633411324</v>
      </c>
    </row>
    <row r="265" spans="1:20" x14ac:dyDescent="0.25">
      <c r="A265" s="5">
        <v>44328</v>
      </c>
      <c r="B265">
        <v>115.69499999999999</v>
      </c>
      <c r="C265">
        <v>116.5</v>
      </c>
      <c r="D265">
        <v>92</v>
      </c>
      <c r="E265">
        <v>94.286000000000001</v>
      </c>
      <c r="F265">
        <v>1633828.3689999999</v>
      </c>
      <c r="G265">
        <v>0</v>
      </c>
      <c r="P265">
        <f t="shared" si="964"/>
        <v>-0.81338775510204075</v>
      </c>
      <c r="Q265">
        <f t="shared" si="965"/>
        <v>-1328935.9892829387</v>
      </c>
      <c r="R265">
        <f t="shared" si="966"/>
        <v>60503888.181487255</v>
      </c>
      <c r="S265">
        <f t="shared" si="967"/>
        <v>605.03888181487252</v>
      </c>
      <c r="T265">
        <f t="shared" si="968"/>
        <v>0.60503888181487253</v>
      </c>
    </row>
    <row r="266" spans="1:20" x14ac:dyDescent="0.25">
      <c r="A266" s="5">
        <v>44327</v>
      </c>
      <c r="B266">
        <v>104.76</v>
      </c>
      <c r="C266">
        <v>116.66500000000001</v>
      </c>
      <c r="D266">
        <v>100.18600000000001</v>
      </c>
      <c r="E266">
        <v>115.724</v>
      </c>
      <c r="F266">
        <v>1439359.15</v>
      </c>
      <c r="G266">
        <v>0</v>
      </c>
      <c r="P266">
        <f t="shared" si="964"/>
        <v>0.88579404090053981</v>
      </c>
      <c r="Q266">
        <f t="shared" si="965"/>
        <v>1274975.757785666</v>
      </c>
      <c r="R266">
        <f t="shared" si="966"/>
        <v>61832824.170770191</v>
      </c>
      <c r="S266">
        <f t="shared" si="967"/>
        <v>618.32824170770186</v>
      </c>
      <c r="T266">
        <f t="shared" si="968"/>
        <v>0.61832824170770184</v>
      </c>
    </row>
    <row r="267" spans="1:20" x14ac:dyDescent="0.25">
      <c r="A267" s="5">
        <v>44326</v>
      </c>
      <c r="B267">
        <v>119.599</v>
      </c>
      <c r="C267">
        <v>122</v>
      </c>
      <c r="D267">
        <v>96.146000000000001</v>
      </c>
      <c r="E267">
        <v>104.943</v>
      </c>
      <c r="F267">
        <v>1637967.497</v>
      </c>
      <c r="G267">
        <v>0</v>
      </c>
      <c r="P267">
        <f t="shared" si="964"/>
        <v>-0.31948634640674578</v>
      </c>
      <c r="Q267">
        <f t="shared" si="965"/>
        <v>-523308.25114953233</v>
      </c>
      <c r="R267">
        <f t="shared" si="966"/>
        <v>60557848.412984528</v>
      </c>
      <c r="S267">
        <f t="shared" si="967"/>
        <v>605.57848412984526</v>
      </c>
      <c r="T267">
        <f t="shared" si="968"/>
        <v>0.60557848412984527</v>
      </c>
    </row>
    <row r="268" spans="1:20" x14ac:dyDescent="0.25">
      <c r="A268" s="5">
        <v>44325</v>
      </c>
      <c r="B268">
        <v>116.366</v>
      </c>
      <c r="C268">
        <v>122.56</v>
      </c>
      <c r="D268">
        <v>110.259</v>
      </c>
      <c r="E268">
        <v>119.599</v>
      </c>
      <c r="F268">
        <v>1459595.443</v>
      </c>
      <c r="G268">
        <v>0</v>
      </c>
      <c r="P268">
        <f t="shared" si="964"/>
        <v>0.51857572555076858</v>
      </c>
      <c r="Q268">
        <f t="shared" si="965"/>
        <v>756910.76586432045</v>
      </c>
      <c r="R268">
        <f t="shared" si="966"/>
        <v>61081156.664134063</v>
      </c>
      <c r="S268">
        <f t="shared" si="967"/>
        <v>610.81156664134062</v>
      </c>
      <c r="T268">
        <f t="shared" si="968"/>
        <v>0.61081156664134062</v>
      </c>
    </row>
    <row r="269" spans="1:20" x14ac:dyDescent="0.25">
      <c r="A269" s="5">
        <v>44324</v>
      </c>
      <c r="B269">
        <v>117.71599999999999</v>
      </c>
      <c r="C269">
        <v>121.43300000000001</v>
      </c>
      <c r="D269">
        <v>111.524</v>
      </c>
      <c r="E269">
        <v>116.473</v>
      </c>
      <c r="F269">
        <v>1386749.831</v>
      </c>
      <c r="G269">
        <v>0</v>
      </c>
      <c r="P269">
        <f t="shared" si="964"/>
        <v>-1.1101019275416171E-3</v>
      </c>
      <c r="Q269">
        <f t="shared" si="965"/>
        <v>-1539.4336604111118</v>
      </c>
      <c r="R269">
        <f t="shared" si="966"/>
        <v>60324245.898269743</v>
      </c>
      <c r="S269">
        <f t="shared" si="967"/>
        <v>603.24245898269737</v>
      </c>
      <c r="T269">
        <f t="shared" si="968"/>
        <v>0.60324245898269735</v>
      </c>
    </row>
    <row r="270" spans="1:20" x14ac:dyDescent="0.25">
      <c r="A270" s="5">
        <v>44323</v>
      </c>
      <c r="B270">
        <v>122.825</v>
      </c>
      <c r="C270">
        <v>141</v>
      </c>
      <c r="D270">
        <v>110.3</v>
      </c>
      <c r="E270">
        <v>117.78400000000001</v>
      </c>
      <c r="F270">
        <v>4003658.1770000001</v>
      </c>
      <c r="G270">
        <v>0</v>
      </c>
      <c r="P270">
        <f t="shared" si="964"/>
        <v>-0.51244299674267046</v>
      </c>
      <c r="Q270">
        <f t="shared" si="965"/>
        <v>-2051646.594155177</v>
      </c>
      <c r="R270">
        <f t="shared" si="966"/>
        <v>60325785.331930153</v>
      </c>
      <c r="S270">
        <f t="shared" si="967"/>
        <v>603.25785331930149</v>
      </c>
      <c r="T270">
        <f t="shared" si="968"/>
        <v>0.60325785331930148</v>
      </c>
    </row>
    <row r="271" spans="1:20" x14ac:dyDescent="0.25">
      <c r="A271" s="5">
        <v>44322</v>
      </c>
      <c r="B271">
        <v>114.883</v>
      </c>
      <c r="C271">
        <v>128</v>
      </c>
      <c r="D271">
        <v>109.511</v>
      </c>
      <c r="E271">
        <v>122.794</v>
      </c>
      <c r="F271">
        <v>3970508.9369999999</v>
      </c>
      <c r="G271">
        <v>0</v>
      </c>
      <c r="P271">
        <f t="shared" si="964"/>
        <v>0.43685434582724841</v>
      </c>
      <c r="Q271">
        <f t="shared" si="965"/>
        <v>1734534.0842743784</v>
      </c>
      <c r="R271">
        <f t="shared" si="966"/>
        <v>62377431.926085331</v>
      </c>
      <c r="S271">
        <f t="shared" si="967"/>
        <v>623.7743192608533</v>
      </c>
      <c r="T271">
        <f t="shared" si="968"/>
        <v>0.62377431926085325</v>
      </c>
    </row>
    <row r="272" spans="1:20" x14ac:dyDescent="0.25">
      <c r="A272" s="5">
        <v>44321</v>
      </c>
      <c r="B272">
        <v>96.468000000000004</v>
      </c>
      <c r="C272">
        <v>116.86799999999999</v>
      </c>
      <c r="D272">
        <v>95.221999999999994</v>
      </c>
      <c r="E272">
        <v>114.883</v>
      </c>
      <c r="F272">
        <v>2297326.648</v>
      </c>
      <c r="G272">
        <v>0</v>
      </c>
      <c r="P272">
        <f t="shared" si="964"/>
        <v>0.81659428993809491</v>
      </c>
      <c r="Q272">
        <f t="shared" si="965"/>
        <v>1875983.8228794239</v>
      </c>
      <c r="R272">
        <f t="shared" si="966"/>
        <v>60642897.841810949</v>
      </c>
      <c r="S272">
        <f t="shared" si="967"/>
        <v>606.42897841810952</v>
      </c>
      <c r="T272">
        <f t="shared" si="968"/>
        <v>0.6064289784181095</v>
      </c>
    </row>
    <row r="273" spans="1:20" x14ac:dyDescent="0.25">
      <c r="A273" s="5">
        <v>44320</v>
      </c>
      <c r="B273">
        <v>107.078</v>
      </c>
      <c r="C273">
        <v>107.441</v>
      </c>
      <c r="D273">
        <v>93.61</v>
      </c>
      <c r="E273">
        <v>96.468000000000004</v>
      </c>
      <c r="F273">
        <v>2062765.4779999999</v>
      </c>
      <c r="G273">
        <v>0</v>
      </c>
      <c r="P273">
        <f t="shared" si="964"/>
        <v>-0.5867254717663215</v>
      </c>
      <c r="Q273">
        <f t="shared" si="965"/>
        <v>-1210277.0482228317</v>
      </c>
      <c r="R273">
        <f t="shared" si="966"/>
        <v>58766914.018931523</v>
      </c>
      <c r="S273">
        <f t="shared" si="967"/>
        <v>587.66914018931527</v>
      </c>
      <c r="T273">
        <f t="shared" si="968"/>
        <v>0.58766914018931526</v>
      </c>
    </row>
    <row r="274" spans="1:20" x14ac:dyDescent="0.25">
      <c r="A274" s="5">
        <v>44319</v>
      </c>
      <c r="B274">
        <v>106.81699999999999</v>
      </c>
      <c r="C274">
        <v>114.09399999999999</v>
      </c>
      <c r="D274">
        <v>105.339</v>
      </c>
      <c r="E274">
        <v>107.04600000000001</v>
      </c>
      <c r="F274">
        <v>1378038.338</v>
      </c>
      <c r="G274">
        <v>0</v>
      </c>
      <c r="P274">
        <f t="shared" si="964"/>
        <v>-0.61005139920045492</v>
      </c>
      <c r="Q274">
        <f t="shared" si="965"/>
        <v>-840674.21624876943</v>
      </c>
      <c r="R274">
        <f t="shared" si="966"/>
        <v>59977191.067154355</v>
      </c>
      <c r="S274">
        <f t="shared" si="967"/>
        <v>599.77191067154354</v>
      </c>
      <c r="T274">
        <f t="shared" si="968"/>
        <v>0.59977191067154356</v>
      </c>
    </row>
    <row r="275" spans="1:20" x14ac:dyDescent="0.25">
      <c r="A275" s="5">
        <v>44318</v>
      </c>
      <c r="B275">
        <v>102.203</v>
      </c>
      <c r="C275">
        <v>110</v>
      </c>
      <c r="D275">
        <v>98.652000000000001</v>
      </c>
      <c r="E275">
        <v>106.81699999999999</v>
      </c>
      <c r="F275">
        <v>1879354.959</v>
      </c>
      <c r="G275">
        <v>0</v>
      </c>
      <c r="P275">
        <f t="shared" si="964"/>
        <v>0.43902009164610378</v>
      </c>
      <c r="Q275">
        <f t="shared" si="965"/>
        <v>825074.58633573959</v>
      </c>
      <c r="R275">
        <f t="shared" si="966"/>
        <v>60817865.283403128</v>
      </c>
      <c r="S275">
        <f t="shared" si="967"/>
        <v>608.17865283403125</v>
      </c>
      <c r="T275">
        <f t="shared" si="968"/>
        <v>0.60817865283403127</v>
      </c>
    </row>
    <row r="276" spans="1:20" x14ac:dyDescent="0.25">
      <c r="A276" s="5">
        <v>44317</v>
      </c>
      <c r="B276">
        <v>96.968999999999994</v>
      </c>
      <c r="C276">
        <v>104.017</v>
      </c>
      <c r="D276">
        <v>93.6</v>
      </c>
      <c r="E276">
        <v>102.2</v>
      </c>
      <c r="F276">
        <v>1178695.1629999999</v>
      </c>
      <c r="G276">
        <v>0</v>
      </c>
      <c r="P276">
        <f t="shared" si="964"/>
        <v>0.65114716329077604</v>
      </c>
      <c r="Q276">
        <f t="shared" si="965"/>
        <v>767504.01177200885</v>
      </c>
      <c r="R276">
        <f t="shared" si="966"/>
        <v>59992790.697067387</v>
      </c>
      <c r="S276">
        <f t="shared" si="967"/>
        <v>599.92790697067392</v>
      </c>
      <c r="T276">
        <f t="shared" si="968"/>
        <v>0.59992790697067389</v>
      </c>
    </row>
    <row r="277" spans="1:20" x14ac:dyDescent="0.25">
      <c r="A277" s="5">
        <v>44316</v>
      </c>
      <c r="B277">
        <v>89.447999999999993</v>
      </c>
      <c r="C277">
        <v>99.73</v>
      </c>
      <c r="D277">
        <v>87.921000000000006</v>
      </c>
      <c r="E277">
        <v>96.965000000000003</v>
      </c>
      <c r="F277">
        <v>1349684.32</v>
      </c>
      <c r="G277">
        <v>0</v>
      </c>
      <c r="P277">
        <f t="shared" si="964"/>
        <v>0.53171310017783024</v>
      </c>
      <c r="Q277">
        <f t="shared" si="965"/>
        <v>717644.83404860669</v>
      </c>
      <c r="R277">
        <f t="shared" si="966"/>
        <v>59225286.685295381</v>
      </c>
      <c r="S277">
        <f t="shared" si="967"/>
        <v>592.25286685295384</v>
      </c>
      <c r="T277">
        <f t="shared" si="968"/>
        <v>0.59225286685295386</v>
      </c>
    </row>
    <row r="278" spans="1:20" x14ac:dyDescent="0.25">
      <c r="A278" s="5">
        <v>44315</v>
      </c>
      <c r="B278">
        <v>91.838999999999999</v>
      </c>
      <c r="C278">
        <v>93.347999999999999</v>
      </c>
      <c r="D278">
        <v>86.126000000000005</v>
      </c>
      <c r="E278">
        <v>89.447999999999993</v>
      </c>
      <c r="F278">
        <v>870863.16500000004</v>
      </c>
      <c r="G278">
        <v>0</v>
      </c>
      <c r="P278">
        <f t="shared" si="964"/>
        <v>-8.0033231791749884E-2</v>
      </c>
      <c r="Q278">
        <f t="shared" si="965"/>
        <v>-69697.99354334193</v>
      </c>
      <c r="R278">
        <f t="shared" si="966"/>
        <v>58507641.851246774</v>
      </c>
      <c r="S278">
        <f t="shared" si="967"/>
        <v>585.07641851246774</v>
      </c>
      <c r="T278">
        <f t="shared" si="968"/>
        <v>0.58507641851246772</v>
      </c>
    </row>
    <row r="279" spans="1:20" x14ac:dyDescent="0.25">
      <c r="A279" s="5">
        <v>44314</v>
      </c>
      <c r="B279">
        <v>94.117000000000004</v>
      </c>
      <c r="C279">
        <v>97.95</v>
      </c>
      <c r="D279">
        <v>86.444000000000003</v>
      </c>
      <c r="E279">
        <v>91.795000000000002</v>
      </c>
      <c r="F279">
        <v>1354291.125</v>
      </c>
      <c r="G279">
        <v>0</v>
      </c>
      <c r="P279">
        <f t="shared" si="964"/>
        <v>-6.9876586128976362E-2</v>
      </c>
      <c r="Q279">
        <f t="shared" si="965"/>
        <v>-94633.240439770787</v>
      </c>
      <c r="R279">
        <f t="shared" si="966"/>
        <v>58577339.844790116</v>
      </c>
      <c r="S279">
        <f t="shared" si="967"/>
        <v>585.77339844790117</v>
      </c>
      <c r="T279">
        <f t="shared" si="968"/>
        <v>0.58577339844790122</v>
      </c>
    </row>
    <row r="280" spans="1:20" x14ac:dyDescent="0.25">
      <c r="A280" s="5">
        <v>44313</v>
      </c>
      <c r="B280">
        <v>90.158000000000001</v>
      </c>
      <c r="C280">
        <v>95.713999999999999</v>
      </c>
      <c r="D280">
        <v>88.668999999999997</v>
      </c>
      <c r="E280">
        <v>94.117000000000004</v>
      </c>
      <c r="F280">
        <v>1384690.05</v>
      </c>
      <c r="G280">
        <v>0</v>
      </c>
      <c r="P280">
        <f t="shared" si="964"/>
        <v>0.54662881476224445</v>
      </c>
      <c r="Q280">
        <f t="shared" si="965"/>
        <v>756911.480844573</v>
      </c>
      <c r="R280">
        <f t="shared" si="966"/>
        <v>58671973.085229889</v>
      </c>
      <c r="S280">
        <f t="shared" si="967"/>
        <v>586.71973085229888</v>
      </c>
      <c r="T280">
        <f t="shared" si="968"/>
        <v>0.58671973085229889</v>
      </c>
    </row>
    <row r="281" spans="1:20" x14ac:dyDescent="0.25">
      <c r="A281" s="5">
        <v>44312</v>
      </c>
      <c r="B281">
        <v>79.594999999999999</v>
      </c>
      <c r="C281">
        <v>91.5</v>
      </c>
      <c r="D281">
        <v>78.8</v>
      </c>
      <c r="E281">
        <v>90.206000000000003</v>
      </c>
      <c r="F281">
        <v>1865354.3970000001</v>
      </c>
      <c r="G281">
        <v>0</v>
      </c>
      <c r="P281">
        <f t="shared" si="964"/>
        <v>0.7962204724409454</v>
      </c>
      <c r="Q281">
        <f t="shared" si="965"/>
        <v>1485233.359249135</v>
      </c>
      <c r="R281">
        <f t="shared" si="966"/>
        <v>57915061.604385316</v>
      </c>
      <c r="S281">
        <f t="shared" si="967"/>
        <v>579.15061604385312</v>
      </c>
      <c r="T281">
        <f t="shared" si="968"/>
        <v>0.57915061604385309</v>
      </c>
    </row>
    <row r="282" spans="1:20" x14ac:dyDescent="0.25">
      <c r="A282" s="5">
        <v>44311</v>
      </c>
      <c r="B282">
        <v>79.501000000000005</v>
      </c>
      <c r="C282">
        <v>88.2</v>
      </c>
      <c r="D282">
        <v>74.111000000000004</v>
      </c>
      <c r="E282">
        <v>79.596000000000004</v>
      </c>
      <c r="F282">
        <v>1754821.1939999999</v>
      </c>
      <c r="G282">
        <v>0</v>
      </c>
      <c r="P282">
        <f t="shared" si="964"/>
        <v>-0.22137838029668536</v>
      </c>
      <c r="Q282">
        <f t="shared" si="965"/>
        <v>-388479.47363801545</v>
      </c>
      <c r="R282">
        <f t="shared" si="966"/>
        <v>56429828.245136179</v>
      </c>
      <c r="S282">
        <f t="shared" si="967"/>
        <v>564.29828245136184</v>
      </c>
      <c r="T282">
        <f t="shared" si="968"/>
        <v>0.56429828245136182</v>
      </c>
    </row>
    <row r="283" spans="1:20" x14ac:dyDescent="0.25">
      <c r="A283" s="5">
        <v>44310</v>
      </c>
      <c r="B283">
        <v>86.102000000000004</v>
      </c>
      <c r="C283">
        <v>90.5</v>
      </c>
      <c r="D283">
        <v>78.733999999999995</v>
      </c>
      <c r="E283">
        <v>79.543999999999997</v>
      </c>
      <c r="F283">
        <v>2115519.9470000002</v>
      </c>
      <c r="G283">
        <v>0</v>
      </c>
      <c r="P283">
        <f t="shared" si="964"/>
        <v>-0.86231514533401299</v>
      </c>
      <c r="Q283">
        <f t="shared" si="965"/>
        <v>-1824244.8905543087</v>
      </c>
      <c r="R283">
        <f t="shared" si="966"/>
        <v>56818307.718774192</v>
      </c>
      <c r="S283">
        <f t="shared" si="967"/>
        <v>568.1830771877419</v>
      </c>
      <c r="T283">
        <f t="shared" si="968"/>
        <v>0.56818307718774186</v>
      </c>
    </row>
    <row r="284" spans="1:20" x14ac:dyDescent="0.25">
      <c r="A284" s="5">
        <v>44309</v>
      </c>
      <c r="B284">
        <v>89.765000000000001</v>
      </c>
      <c r="C284">
        <v>91.638999999999996</v>
      </c>
      <c r="D284">
        <v>73.335999999999999</v>
      </c>
      <c r="E284">
        <v>86.096000000000004</v>
      </c>
      <c r="F284">
        <v>3580640.0970000001</v>
      </c>
      <c r="G284">
        <v>0</v>
      </c>
      <c r="P284">
        <f t="shared" si="964"/>
        <v>0.39430694421679585</v>
      </c>
      <c r="Q284">
        <f t="shared" si="965"/>
        <v>1411871.2549882014</v>
      </c>
      <c r="R284">
        <f t="shared" si="966"/>
        <v>58642552.609328501</v>
      </c>
      <c r="S284">
        <f t="shared" si="967"/>
        <v>586.42552609328504</v>
      </c>
      <c r="T284">
        <f t="shared" si="968"/>
        <v>0.58642552609328502</v>
      </c>
    </row>
    <row r="285" spans="1:20" x14ac:dyDescent="0.25">
      <c r="A285" s="5">
        <v>44308</v>
      </c>
      <c r="B285">
        <v>96.822999999999993</v>
      </c>
      <c r="C285">
        <v>105.181</v>
      </c>
      <c r="D285">
        <v>85</v>
      </c>
      <c r="E285">
        <v>89.828000000000003</v>
      </c>
      <c r="F285">
        <v>3119238.216</v>
      </c>
      <c r="G285">
        <v>0</v>
      </c>
      <c r="P285">
        <f t="shared" si="964"/>
        <v>-0.52153015212328391</v>
      </c>
      <c r="Q285">
        <f t="shared" si="965"/>
        <v>-1626776.7812992407</v>
      </c>
      <c r="R285">
        <f t="shared" si="966"/>
        <v>57230681.3543403</v>
      </c>
      <c r="S285">
        <f t="shared" si="967"/>
        <v>572.306813543403</v>
      </c>
      <c r="T285">
        <f t="shared" si="968"/>
        <v>0.57230681354340296</v>
      </c>
    </row>
    <row r="286" spans="1:20" x14ac:dyDescent="0.25">
      <c r="A286" s="5">
        <v>44307</v>
      </c>
      <c r="B286">
        <v>108.13800000000001</v>
      </c>
      <c r="C286">
        <v>109.241</v>
      </c>
      <c r="D286">
        <v>93.998000000000005</v>
      </c>
      <c r="E286">
        <v>96.846000000000004</v>
      </c>
      <c r="F286">
        <v>2180548.7510000002</v>
      </c>
      <c r="G286">
        <v>0</v>
      </c>
      <c r="P286">
        <f t="shared" si="964"/>
        <v>-0.62632027816046709</v>
      </c>
      <c r="Q286">
        <f t="shared" si="965"/>
        <v>-1365721.9002687791</v>
      </c>
      <c r="R286">
        <f t="shared" si="966"/>
        <v>58857458.135639541</v>
      </c>
      <c r="S286">
        <f t="shared" si="967"/>
        <v>588.57458135639536</v>
      </c>
      <c r="T286">
        <f t="shared" si="968"/>
        <v>0.5885745813563954</v>
      </c>
    </row>
    <row r="287" spans="1:20" x14ac:dyDescent="0.25">
      <c r="A287" s="5">
        <v>44306</v>
      </c>
      <c r="B287">
        <v>109.00700000000001</v>
      </c>
      <c r="C287">
        <v>118</v>
      </c>
      <c r="D287">
        <v>97.652000000000001</v>
      </c>
      <c r="E287">
        <v>108.13800000000001</v>
      </c>
      <c r="F287">
        <v>4124037.8050000002</v>
      </c>
      <c r="G287">
        <v>0</v>
      </c>
      <c r="P287">
        <f t="shared" si="964"/>
        <v>3.0666404560645247E-2</v>
      </c>
      <c r="Q287">
        <f t="shared" si="965"/>
        <v>126469.41175152542</v>
      </c>
      <c r="R287">
        <f t="shared" si="966"/>
        <v>60223180.035908319</v>
      </c>
      <c r="S287">
        <f t="shared" si="967"/>
        <v>602.23180035908319</v>
      </c>
      <c r="T287">
        <f t="shared" si="968"/>
        <v>0.60223180035908319</v>
      </c>
    </row>
    <row r="288" spans="1:20" x14ac:dyDescent="0.25">
      <c r="A288" s="5">
        <v>44305</v>
      </c>
      <c r="B288">
        <v>119.84</v>
      </c>
      <c r="C288">
        <v>133.83699999999999</v>
      </c>
      <c r="D288">
        <v>102.69199999999999</v>
      </c>
      <c r="E288">
        <v>109.129</v>
      </c>
      <c r="F288">
        <v>7982318.4110000003</v>
      </c>
      <c r="G288">
        <v>0</v>
      </c>
      <c r="P288">
        <f t="shared" si="964"/>
        <v>-0.58664312088617676</v>
      </c>
      <c r="Q288">
        <f t="shared" si="965"/>
        <v>-4682772.184536228</v>
      </c>
      <c r="R288">
        <f t="shared" si="966"/>
        <v>60096710.624156795</v>
      </c>
      <c r="S288">
        <f t="shared" si="967"/>
        <v>600.96710624156799</v>
      </c>
      <c r="T288">
        <f t="shared" si="968"/>
        <v>0.60096710624156802</v>
      </c>
    </row>
    <row r="289" spans="1:20" x14ac:dyDescent="0.25">
      <c r="A289" s="5">
        <v>44304</v>
      </c>
      <c r="B289">
        <v>93.956000000000003</v>
      </c>
      <c r="C289">
        <v>120.989</v>
      </c>
      <c r="D289">
        <v>73</v>
      </c>
      <c r="E289">
        <v>119.84099999999999</v>
      </c>
      <c r="F289">
        <v>6366966.9620000003</v>
      </c>
      <c r="G289">
        <v>0</v>
      </c>
      <c r="P289">
        <f t="shared" si="964"/>
        <v>0.95215570234845448</v>
      </c>
      <c r="Q289">
        <f t="shared" si="965"/>
        <v>6062343.8995325156</v>
      </c>
      <c r="R289">
        <f t="shared" si="966"/>
        <v>64779482.808693022</v>
      </c>
      <c r="S289">
        <f t="shared" si="967"/>
        <v>647.79482808693024</v>
      </c>
      <c r="T289">
        <f t="shared" si="968"/>
        <v>0.64779482808693023</v>
      </c>
    </row>
    <row r="290" spans="1:20" x14ac:dyDescent="0.25">
      <c r="A290" s="5">
        <v>44303</v>
      </c>
      <c r="B290">
        <v>86.921000000000006</v>
      </c>
      <c r="C290">
        <v>105.77</v>
      </c>
      <c r="D290">
        <v>85.933000000000007</v>
      </c>
      <c r="E290">
        <v>93.96</v>
      </c>
      <c r="F290">
        <v>4331271.2359999996</v>
      </c>
      <c r="G290">
        <v>0</v>
      </c>
      <c r="P290">
        <f t="shared" si="964"/>
        <v>-0.19070423955235255</v>
      </c>
      <c r="Q290">
        <f t="shared" si="965"/>
        <v>-825991.78735635802</v>
      </c>
      <c r="R290">
        <f t="shared" si="966"/>
        <v>58717138.90916051</v>
      </c>
      <c r="S290">
        <f t="shared" si="967"/>
        <v>587.17138909160508</v>
      </c>
      <c r="T290">
        <f t="shared" si="968"/>
        <v>0.58717138909160504</v>
      </c>
    </row>
    <row r="291" spans="1:20" x14ac:dyDescent="0.25">
      <c r="A291" s="5">
        <v>44302</v>
      </c>
      <c r="B291">
        <v>74.813000000000002</v>
      </c>
      <c r="C291">
        <v>88.188999999999993</v>
      </c>
      <c r="D291">
        <v>74.099000000000004</v>
      </c>
      <c r="E291">
        <v>86.832999999999998</v>
      </c>
      <c r="F291">
        <v>3930844.84</v>
      </c>
      <c r="G291">
        <v>0</v>
      </c>
      <c r="P291">
        <f t="shared" si="964"/>
        <v>0.80752306600425894</v>
      </c>
      <c r="Q291">
        <f t="shared" si="965"/>
        <v>3174247.8771838206</v>
      </c>
      <c r="R291">
        <f t="shared" si="966"/>
        <v>59543130.696516871</v>
      </c>
      <c r="S291">
        <f t="shared" si="967"/>
        <v>595.43130696516869</v>
      </c>
      <c r="T291">
        <f t="shared" si="968"/>
        <v>0.59543130696516866</v>
      </c>
    </row>
    <row r="292" spans="1:20" x14ac:dyDescent="0.25">
      <c r="A292" s="5">
        <v>44301</v>
      </c>
      <c r="B292">
        <v>69.158000000000001</v>
      </c>
      <c r="C292">
        <v>75</v>
      </c>
      <c r="D292">
        <v>66.462000000000003</v>
      </c>
      <c r="E292">
        <v>74.828999999999994</v>
      </c>
      <c r="F292">
        <v>1332624.753</v>
      </c>
      <c r="G292">
        <v>0</v>
      </c>
      <c r="P292">
        <f t="shared" si="964"/>
        <v>0.95994378074490361</v>
      </c>
      <c r="Q292">
        <f t="shared" si="965"/>
        <v>1279244.8437090633</v>
      </c>
      <c r="R292">
        <f t="shared" si="966"/>
        <v>56368882.819333054</v>
      </c>
      <c r="S292">
        <f t="shared" si="967"/>
        <v>563.68882819333055</v>
      </c>
      <c r="T292">
        <f t="shared" si="968"/>
        <v>0.56368882819333055</v>
      </c>
    </row>
    <row r="293" spans="1:20" x14ac:dyDescent="0.25">
      <c r="A293" s="5">
        <v>44300</v>
      </c>
      <c r="B293">
        <v>66.643000000000001</v>
      </c>
      <c r="C293">
        <v>70.942999999999998</v>
      </c>
      <c r="D293">
        <v>63.505000000000003</v>
      </c>
      <c r="E293">
        <v>69.12</v>
      </c>
      <c r="F293">
        <v>1882780.3330000001</v>
      </c>
      <c r="G293">
        <v>0</v>
      </c>
      <c r="P293">
        <f t="shared" si="964"/>
        <v>0.50981446625437099</v>
      </c>
      <c r="Q293">
        <f t="shared" si="965"/>
        <v>959868.65054262197</v>
      </c>
      <c r="R293">
        <f t="shared" si="966"/>
        <v>55089637.975623988</v>
      </c>
      <c r="S293">
        <f t="shared" si="967"/>
        <v>550.89637975623987</v>
      </c>
      <c r="T293">
        <f t="shared" si="968"/>
        <v>0.55089637975623984</v>
      </c>
    </row>
    <row r="294" spans="1:20" x14ac:dyDescent="0.25">
      <c r="A294" s="5">
        <v>44299</v>
      </c>
      <c r="B294">
        <v>64.600999999999999</v>
      </c>
      <c r="C294">
        <v>68.400000000000006</v>
      </c>
      <c r="D294">
        <v>62.152999999999999</v>
      </c>
      <c r="E294">
        <v>66.587000000000003</v>
      </c>
      <c r="F294">
        <v>1428317.477</v>
      </c>
      <c r="G294">
        <v>0</v>
      </c>
      <c r="P294">
        <f t="shared" si="964"/>
        <v>0.41956138946694405</v>
      </c>
      <c r="Q294">
        <f t="shared" si="965"/>
        <v>599266.86525003985</v>
      </c>
      <c r="R294">
        <f t="shared" si="966"/>
        <v>54129769.325081363</v>
      </c>
      <c r="S294">
        <f t="shared" si="967"/>
        <v>541.29769325081361</v>
      </c>
      <c r="T294">
        <f t="shared" si="968"/>
        <v>0.54129769325081356</v>
      </c>
    </row>
    <row r="295" spans="1:20" x14ac:dyDescent="0.25">
      <c r="A295" s="5">
        <v>44298</v>
      </c>
      <c r="B295">
        <v>63.887</v>
      </c>
      <c r="C295">
        <v>64.992000000000004</v>
      </c>
      <c r="D295">
        <v>60.713999999999999</v>
      </c>
      <c r="E295">
        <v>64.650000000000006</v>
      </c>
      <c r="F295">
        <v>1154656.3370000001</v>
      </c>
      <c r="G295">
        <v>0</v>
      </c>
      <c r="P295">
        <f t="shared" si="964"/>
        <v>0.8401122019635352</v>
      </c>
      <c r="Q295">
        <f t="shared" si="965"/>
        <v>970040.87778821983</v>
      </c>
      <c r="R295">
        <f t="shared" si="966"/>
        <v>53530502.459831327</v>
      </c>
      <c r="S295">
        <f t="shared" si="967"/>
        <v>535.30502459831325</v>
      </c>
      <c r="T295">
        <f t="shared" si="968"/>
        <v>0.53530502459831331</v>
      </c>
    </row>
    <row r="296" spans="1:20" x14ac:dyDescent="0.25">
      <c r="A296" s="5">
        <v>44297</v>
      </c>
      <c r="B296">
        <v>61.691000000000003</v>
      </c>
      <c r="C296">
        <v>66.8</v>
      </c>
      <c r="D296">
        <v>60.9</v>
      </c>
      <c r="E296">
        <v>63.921999999999997</v>
      </c>
      <c r="F296">
        <v>1483054.84</v>
      </c>
      <c r="G296">
        <v>0</v>
      </c>
      <c r="P296">
        <f t="shared" si="964"/>
        <v>2.4406779661016675E-2</v>
      </c>
      <c r="Q296">
        <f t="shared" si="965"/>
        <v>36196.592705084338</v>
      </c>
      <c r="R296">
        <f t="shared" si="966"/>
        <v>52560461.582043104</v>
      </c>
      <c r="S296">
        <f t="shared" si="967"/>
        <v>525.60461582043104</v>
      </c>
      <c r="T296">
        <f t="shared" si="968"/>
        <v>0.52560461582043105</v>
      </c>
    </row>
    <row r="297" spans="1:20" x14ac:dyDescent="0.25">
      <c r="A297" s="5">
        <v>44296</v>
      </c>
      <c r="B297">
        <v>60.798999999999999</v>
      </c>
      <c r="C297">
        <v>63.389000000000003</v>
      </c>
      <c r="D297">
        <v>59.390999999999998</v>
      </c>
      <c r="E297">
        <v>61.685000000000002</v>
      </c>
      <c r="F297">
        <v>999466.92099999997</v>
      </c>
      <c r="G297">
        <v>0</v>
      </c>
      <c r="P297">
        <f t="shared" si="964"/>
        <v>0.14757378689344741</v>
      </c>
      <c r="Q297">
        <f t="shared" si="965"/>
        <v>147495.11840670404</v>
      </c>
      <c r="R297">
        <f t="shared" si="966"/>
        <v>52524264.989338018</v>
      </c>
      <c r="S297">
        <f t="shared" si="967"/>
        <v>525.24264989338019</v>
      </c>
      <c r="T297">
        <f t="shared" si="968"/>
        <v>0.52524264989338021</v>
      </c>
    </row>
    <row r="298" spans="1:20" x14ac:dyDescent="0.25">
      <c r="A298" s="5">
        <v>44295</v>
      </c>
      <c r="B298">
        <v>63.319000000000003</v>
      </c>
      <c r="C298">
        <v>63.421999999999997</v>
      </c>
      <c r="D298">
        <v>60.1</v>
      </c>
      <c r="E298">
        <v>60.801000000000002</v>
      </c>
      <c r="F298">
        <v>835889.10199999996</v>
      </c>
      <c r="G298">
        <v>0</v>
      </c>
      <c r="P298">
        <f t="shared" si="964"/>
        <v>-0.57796508127633872</v>
      </c>
      <c r="Q298">
        <f t="shared" si="965"/>
        <v>-483114.71277543576</v>
      </c>
      <c r="R298">
        <f t="shared" si="966"/>
        <v>52376769.870931312</v>
      </c>
      <c r="S298">
        <f t="shared" si="967"/>
        <v>523.76769870931309</v>
      </c>
      <c r="T298">
        <f t="shared" si="968"/>
        <v>0.52376769870931306</v>
      </c>
    </row>
    <row r="299" spans="1:20" x14ac:dyDescent="0.25">
      <c r="A299" s="5">
        <v>44294</v>
      </c>
      <c r="B299">
        <v>59.783999999999999</v>
      </c>
      <c r="C299">
        <v>63.369</v>
      </c>
      <c r="D299">
        <v>58.048999999999999</v>
      </c>
      <c r="E299">
        <v>63.350999999999999</v>
      </c>
      <c r="F299">
        <v>1164107.371</v>
      </c>
      <c r="G299">
        <v>0</v>
      </c>
      <c r="P299">
        <f t="shared" si="964"/>
        <v>0.99323308270676669</v>
      </c>
      <c r="Q299">
        <f t="shared" si="965"/>
        <v>1156229.9526999998</v>
      </c>
      <c r="R299">
        <f t="shared" si="966"/>
        <v>52859884.583706751</v>
      </c>
      <c r="S299">
        <f t="shared" si="967"/>
        <v>528.59884583706753</v>
      </c>
      <c r="T299">
        <f t="shared" si="968"/>
        <v>0.52859884583706751</v>
      </c>
    </row>
    <row r="300" spans="1:20" x14ac:dyDescent="0.25">
      <c r="A300" s="5">
        <v>44293</v>
      </c>
      <c r="B300">
        <v>63.036000000000001</v>
      </c>
      <c r="C300">
        <v>68.5</v>
      </c>
      <c r="D300">
        <v>56.353999999999999</v>
      </c>
      <c r="E300">
        <v>59.777999999999999</v>
      </c>
      <c r="F300">
        <v>3129801.6460000002</v>
      </c>
      <c r="G300">
        <v>0</v>
      </c>
      <c r="P300">
        <f t="shared" si="964"/>
        <v>-0.43619298534496964</v>
      </c>
      <c r="Q300">
        <f t="shared" si="965"/>
        <v>-1365197.5235063399</v>
      </c>
      <c r="R300">
        <f t="shared" si="966"/>
        <v>51703654.631006755</v>
      </c>
      <c r="S300">
        <f t="shared" si="967"/>
        <v>517.03654631006759</v>
      </c>
      <c r="T300">
        <f t="shared" si="968"/>
        <v>0.51703654631006757</v>
      </c>
    </row>
    <row r="301" spans="1:20" x14ac:dyDescent="0.25">
      <c r="A301" s="5">
        <v>44292</v>
      </c>
      <c r="B301">
        <v>59.091999999999999</v>
      </c>
      <c r="C301">
        <v>64.75</v>
      </c>
      <c r="D301">
        <v>57.52</v>
      </c>
      <c r="E301">
        <v>63.036000000000001</v>
      </c>
      <c r="F301">
        <v>2811251.8139999998</v>
      </c>
      <c r="G301">
        <v>0</v>
      </c>
      <c r="P301">
        <f t="shared" si="964"/>
        <v>0.52586445366528367</v>
      </c>
      <c r="Q301">
        <f t="shared" si="965"/>
        <v>1478337.3992846475</v>
      </c>
      <c r="R301">
        <f t="shared" si="966"/>
        <v>53068852.154513098</v>
      </c>
      <c r="S301">
        <f t="shared" si="967"/>
        <v>530.68852154513104</v>
      </c>
      <c r="T301">
        <f t="shared" si="968"/>
        <v>0.53068852154513102</v>
      </c>
    </row>
    <row r="302" spans="1:20" x14ac:dyDescent="0.25">
      <c r="A302" s="5">
        <v>44291</v>
      </c>
      <c r="B302">
        <v>54.566000000000003</v>
      </c>
      <c r="C302">
        <v>59.69</v>
      </c>
      <c r="D302">
        <v>51.618000000000002</v>
      </c>
      <c r="E302">
        <v>59.067999999999998</v>
      </c>
      <c r="F302">
        <v>1771998.1969999999</v>
      </c>
      <c r="G302">
        <v>0</v>
      </c>
      <c r="P302">
        <f t="shared" si="964"/>
        <v>0.84588701684836465</v>
      </c>
      <c r="Q302">
        <f t="shared" si="965"/>
        <v>1498910.2687210108</v>
      </c>
      <c r="R302">
        <f t="shared" si="966"/>
        <v>51590514.755228452</v>
      </c>
      <c r="S302">
        <f t="shared" si="967"/>
        <v>515.90514755228457</v>
      </c>
      <c r="T302">
        <f t="shared" si="968"/>
        <v>0.51590514755228456</v>
      </c>
    </row>
    <row r="303" spans="1:20" x14ac:dyDescent="0.25">
      <c r="A303" s="5">
        <v>44290</v>
      </c>
      <c r="B303">
        <v>50.732999999999997</v>
      </c>
      <c r="C303">
        <v>54.616</v>
      </c>
      <c r="D303">
        <v>49.61</v>
      </c>
      <c r="E303">
        <v>54.567</v>
      </c>
      <c r="F303">
        <v>967603.06299999997</v>
      </c>
      <c r="G303">
        <v>0</v>
      </c>
      <c r="P303">
        <f t="shared" si="964"/>
        <v>0.98042349180982846</v>
      </c>
      <c r="Q303">
        <f t="shared" si="965"/>
        <v>948660.7737123454</v>
      </c>
      <c r="R303">
        <f t="shared" si="966"/>
        <v>50091604.486507438</v>
      </c>
      <c r="S303">
        <f t="shared" si="967"/>
        <v>500.91604486507435</v>
      </c>
      <c r="T303">
        <f t="shared" si="968"/>
        <v>0.50091604486507435</v>
      </c>
    </row>
    <row r="304" spans="1:20" x14ac:dyDescent="0.25">
      <c r="A304" s="5">
        <v>44289</v>
      </c>
      <c r="B304">
        <v>52.960999999999999</v>
      </c>
      <c r="C304">
        <v>56.96</v>
      </c>
      <c r="D304">
        <v>50.421999999999997</v>
      </c>
      <c r="E304">
        <v>50.709000000000003</v>
      </c>
      <c r="F304">
        <v>1693789.38</v>
      </c>
      <c r="G304">
        <v>0</v>
      </c>
      <c r="P304">
        <f t="shared" si="964"/>
        <v>-0.91220556745181836</v>
      </c>
      <c r="Q304">
        <f t="shared" si="965"/>
        <v>-1545084.1025267635</v>
      </c>
      <c r="R304">
        <f t="shared" si="966"/>
        <v>49142943.712795094</v>
      </c>
      <c r="S304">
        <f t="shared" si="967"/>
        <v>491.42943712795096</v>
      </c>
      <c r="T304">
        <f t="shared" si="968"/>
        <v>0.49142943712795095</v>
      </c>
    </row>
    <row r="305" spans="1:20" x14ac:dyDescent="0.25">
      <c r="A305" s="5">
        <v>44288</v>
      </c>
      <c r="B305">
        <v>52.363999999999997</v>
      </c>
      <c r="C305">
        <v>55.271999999999998</v>
      </c>
      <c r="D305">
        <v>50.936999999999998</v>
      </c>
      <c r="E305">
        <v>52.957999999999998</v>
      </c>
      <c r="F305">
        <v>1249746.53</v>
      </c>
      <c r="G305">
        <v>0</v>
      </c>
      <c r="P305">
        <f t="shared" si="964"/>
        <v>-6.7589388696654942E-2</v>
      </c>
      <c r="Q305">
        <f t="shared" si="965"/>
        <v>-84469.603988465737</v>
      </c>
      <c r="R305">
        <f t="shared" si="966"/>
        <v>50688027.815321855</v>
      </c>
      <c r="S305">
        <f t="shared" si="967"/>
        <v>506.88027815321857</v>
      </c>
      <c r="T305">
        <f t="shared" si="968"/>
        <v>0.50688027815321857</v>
      </c>
    </row>
    <row r="306" spans="1:20" x14ac:dyDescent="0.25">
      <c r="A306" s="5">
        <v>44287</v>
      </c>
      <c r="B306">
        <v>50.777999999999999</v>
      </c>
      <c r="C306">
        <v>53.853000000000002</v>
      </c>
      <c r="D306">
        <v>50.25</v>
      </c>
      <c r="E306">
        <v>52.326000000000001</v>
      </c>
      <c r="F306">
        <v>2146651.4559999998</v>
      </c>
      <c r="G306">
        <v>0</v>
      </c>
      <c r="P306">
        <f t="shared" si="964"/>
        <v>0.15237302248126541</v>
      </c>
      <c r="Q306">
        <f t="shared" si="965"/>
        <v>327091.77056452911</v>
      </c>
      <c r="R306">
        <f t="shared" si="966"/>
        <v>50772497.419310324</v>
      </c>
      <c r="S306">
        <f t="shared" si="967"/>
        <v>507.72497419310326</v>
      </c>
      <c r="T306">
        <f t="shared" si="968"/>
        <v>0.50772497419310325</v>
      </c>
    </row>
    <row r="307" spans="1:20" x14ac:dyDescent="0.25">
      <c r="A307" s="5">
        <v>44286</v>
      </c>
      <c r="B307">
        <v>44.97</v>
      </c>
      <c r="C307">
        <v>52.22</v>
      </c>
      <c r="D307">
        <v>42.466000000000001</v>
      </c>
      <c r="E307">
        <v>50.777999999999999</v>
      </c>
      <c r="F307">
        <v>2591126.5290000001</v>
      </c>
      <c r="G307">
        <v>0</v>
      </c>
      <c r="P307">
        <f t="shared" si="964"/>
        <v>0.70432643018248908</v>
      </c>
      <c r="Q307">
        <f t="shared" si="965"/>
        <v>1824998.8983217138</v>
      </c>
      <c r="R307">
        <f t="shared" si="966"/>
        <v>50445405.648745798</v>
      </c>
      <c r="S307">
        <f t="shared" si="967"/>
        <v>504.45405648745799</v>
      </c>
      <c r="T307">
        <f t="shared" si="968"/>
        <v>0.504454056487458</v>
      </c>
    </row>
    <row r="308" spans="1:20" x14ac:dyDescent="0.25">
      <c r="A308" s="5">
        <v>44285</v>
      </c>
      <c r="B308">
        <v>45.496000000000002</v>
      </c>
      <c r="C308">
        <v>46.097999999999999</v>
      </c>
      <c r="D308">
        <v>44.201999999999998</v>
      </c>
      <c r="E308">
        <v>44.947000000000003</v>
      </c>
      <c r="F308">
        <v>824951.51500000001</v>
      </c>
      <c r="G308">
        <v>0</v>
      </c>
      <c r="P308">
        <f t="shared" si="964"/>
        <v>-0.21413502109704194</v>
      </c>
      <c r="Q308">
        <f t="shared" si="965"/>
        <v>-176651.01006856171</v>
      </c>
      <c r="R308">
        <f t="shared" si="966"/>
        <v>48620406.750424087</v>
      </c>
      <c r="S308">
        <f t="shared" si="967"/>
        <v>486.20406750424087</v>
      </c>
      <c r="T308">
        <f t="shared" si="968"/>
        <v>0.48620406750424089</v>
      </c>
    </row>
    <row r="309" spans="1:20" x14ac:dyDescent="0.25">
      <c r="A309" s="5">
        <v>44284</v>
      </c>
      <c r="B309">
        <v>44.753</v>
      </c>
      <c r="C309">
        <v>46.523000000000003</v>
      </c>
      <c r="D309">
        <v>43.372</v>
      </c>
      <c r="E309">
        <v>45.499000000000002</v>
      </c>
      <c r="F309">
        <v>1316310.5530000001</v>
      </c>
      <c r="G309">
        <v>0</v>
      </c>
      <c r="P309">
        <f t="shared" si="964"/>
        <v>0.35004760393525874</v>
      </c>
      <c r="Q309">
        <f t="shared" si="965"/>
        <v>460771.35511234542</v>
      </c>
      <c r="R309">
        <f t="shared" si="966"/>
        <v>48797057.760492645</v>
      </c>
      <c r="S309">
        <f t="shared" si="967"/>
        <v>487.97057760492646</v>
      </c>
      <c r="T309">
        <f t="shared" si="968"/>
        <v>0.48797057760492646</v>
      </c>
    </row>
    <row r="310" spans="1:20" x14ac:dyDescent="0.25">
      <c r="A310" s="5">
        <v>44283</v>
      </c>
      <c r="B310">
        <v>41.113</v>
      </c>
      <c r="C310">
        <v>45</v>
      </c>
      <c r="D310">
        <v>40.801000000000002</v>
      </c>
      <c r="E310">
        <v>44.762999999999998</v>
      </c>
      <c r="F310">
        <v>1890169.2960000001</v>
      </c>
      <c r="G310">
        <v>0</v>
      </c>
      <c r="P310">
        <f t="shared" si="964"/>
        <v>0.88711597999523606</v>
      </c>
      <c r="Q310">
        <f t="shared" si="965"/>
        <v>1676799.3873779455</v>
      </c>
      <c r="R310">
        <f t="shared" si="966"/>
        <v>48336286.405380301</v>
      </c>
      <c r="S310">
        <f t="shared" si="967"/>
        <v>483.36286405380304</v>
      </c>
      <c r="T310">
        <f t="shared" si="968"/>
        <v>0.48336286405380302</v>
      </c>
    </row>
    <row r="311" spans="1:20" x14ac:dyDescent="0.25">
      <c r="A311" s="5">
        <v>44282</v>
      </c>
      <c r="B311">
        <v>41.683999999999997</v>
      </c>
      <c r="C311">
        <v>42.7</v>
      </c>
      <c r="D311">
        <v>40.335000000000001</v>
      </c>
      <c r="E311">
        <v>41.106000000000002</v>
      </c>
      <c r="F311">
        <v>766260.92200000002</v>
      </c>
      <c r="G311">
        <v>0</v>
      </c>
      <c r="P311">
        <f t="shared" si="964"/>
        <v>-0.3479915433403804</v>
      </c>
      <c r="Q311">
        <f t="shared" si="965"/>
        <v>-266652.32084820286</v>
      </c>
      <c r="R311">
        <f t="shared" si="966"/>
        <v>46659487.018002354</v>
      </c>
      <c r="S311">
        <f t="shared" si="967"/>
        <v>466.59487018002352</v>
      </c>
      <c r="T311">
        <f t="shared" si="968"/>
        <v>0.46659487018002355</v>
      </c>
    </row>
    <row r="312" spans="1:20" x14ac:dyDescent="0.25">
      <c r="A312" s="5">
        <v>44281</v>
      </c>
      <c r="B312">
        <v>38.633000000000003</v>
      </c>
      <c r="C312">
        <v>41.982999999999997</v>
      </c>
      <c r="D312">
        <v>38.621000000000002</v>
      </c>
      <c r="E312">
        <v>41.652000000000001</v>
      </c>
      <c r="F312">
        <v>921573.76300000004</v>
      </c>
      <c r="G312">
        <v>0</v>
      </c>
      <c r="P312">
        <f t="shared" si="964"/>
        <v>0.80309339678762848</v>
      </c>
      <c r="Q312">
        <f t="shared" si="965"/>
        <v>740109.80371802696</v>
      </c>
      <c r="R312">
        <f t="shared" si="966"/>
        <v>46926139.338850558</v>
      </c>
      <c r="S312">
        <f t="shared" si="967"/>
        <v>469.26139338850555</v>
      </c>
      <c r="T312">
        <f t="shared" si="968"/>
        <v>0.46926139338850553</v>
      </c>
    </row>
    <row r="313" spans="1:20" x14ac:dyDescent="0.25">
      <c r="A313" s="5">
        <v>44280</v>
      </c>
      <c r="B313">
        <v>39.537999999999997</v>
      </c>
      <c r="C313">
        <v>40.948</v>
      </c>
      <c r="D313">
        <v>37.420999999999999</v>
      </c>
      <c r="E313">
        <v>38.631999999999998</v>
      </c>
      <c r="F313">
        <v>1584310.5549999999</v>
      </c>
      <c r="G313">
        <v>0</v>
      </c>
      <c r="P313">
        <f t="shared" si="964"/>
        <v>-0.31329741990360183</v>
      </c>
      <c r="Q313">
        <f t="shared" si="965"/>
        <v>-496360.40920754342</v>
      </c>
      <c r="R313">
        <f t="shared" si="966"/>
        <v>46186029.535132527</v>
      </c>
      <c r="S313">
        <f t="shared" si="967"/>
        <v>461.86029535132525</v>
      </c>
      <c r="T313">
        <f t="shared" si="968"/>
        <v>0.46186029535132522</v>
      </c>
    </row>
    <row r="314" spans="1:20" x14ac:dyDescent="0.25">
      <c r="A314" s="5">
        <v>44279</v>
      </c>
      <c r="B314">
        <v>41.052999999999997</v>
      </c>
      <c r="C314">
        <v>45.393999999999998</v>
      </c>
      <c r="D314">
        <v>37.762999999999998</v>
      </c>
      <c r="E314">
        <v>39.529000000000003</v>
      </c>
      <c r="F314">
        <v>2026420.5260000001</v>
      </c>
      <c r="G314">
        <v>0</v>
      </c>
      <c r="P314">
        <f t="shared" si="964"/>
        <v>-0.53715109422093954</v>
      </c>
      <c r="Q314">
        <f t="shared" si="965"/>
        <v>-1088494.0028926719</v>
      </c>
      <c r="R314">
        <f t="shared" si="966"/>
        <v>46682389.944340073</v>
      </c>
      <c r="S314">
        <f t="shared" si="967"/>
        <v>466.82389944340071</v>
      </c>
      <c r="T314">
        <f t="shared" si="968"/>
        <v>0.46682389944340069</v>
      </c>
    </row>
    <row r="315" spans="1:20" x14ac:dyDescent="0.25">
      <c r="A315" s="5">
        <v>44278</v>
      </c>
      <c r="B315">
        <v>40.700000000000003</v>
      </c>
      <c r="C315">
        <v>42.35</v>
      </c>
      <c r="D315">
        <v>40.061999999999998</v>
      </c>
      <c r="E315">
        <v>41.081000000000003</v>
      </c>
      <c r="F315">
        <v>899444.10699999996</v>
      </c>
      <c r="G315">
        <v>0</v>
      </c>
      <c r="P315">
        <f t="shared" si="964"/>
        <v>-0.10926573426573098</v>
      </c>
      <c r="Q315">
        <f t="shared" si="965"/>
        <v>-98278.420782339701</v>
      </c>
      <c r="R315">
        <f t="shared" si="966"/>
        <v>47770883.947232746</v>
      </c>
      <c r="S315">
        <f t="shared" si="967"/>
        <v>477.70883947232744</v>
      </c>
      <c r="T315">
        <f t="shared" si="968"/>
        <v>0.47770883947232745</v>
      </c>
    </row>
    <row r="316" spans="1:20" x14ac:dyDescent="0.25">
      <c r="A316" s="5">
        <v>44277</v>
      </c>
      <c r="B316">
        <v>42.451999999999998</v>
      </c>
      <c r="C316">
        <v>44.222000000000001</v>
      </c>
      <c r="D316">
        <v>40.143000000000001</v>
      </c>
      <c r="E316">
        <v>40.695</v>
      </c>
      <c r="F316">
        <v>1018378.368</v>
      </c>
      <c r="G316">
        <v>0</v>
      </c>
      <c r="P316">
        <f t="shared" si="964"/>
        <v>-0.72934542780093181</v>
      </c>
      <c r="Q316">
        <f t="shared" si="965"/>
        <v>-742749.60647217475</v>
      </c>
      <c r="R316">
        <f t="shared" si="966"/>
        <v>47869162.368015088</v>
      </c>
      <c r="S316">
        <f t="shared" si="967"/>
        <v>478.69162368015088</v>
      </c>
      <c r="T316">
        <f t="shared" si="968"/>
        <v>0.47869162368015089</v>
      </c>
    </row>
    <row r="317" spans="1:20" x14ac:dyDescent="0.25">
      <c r="A317" s="5">
        <v>44276</v>
      </c>
      <c r="B317">
        <v>43.072000000000003</v>
      </c>
      <c r="C317">
        <v>43.55</v>
      </c>
      <c r="D317">
        <v>41.072000000000003</v>
      </c>
      <c r="E317">
        <v>42.420999999999999</v>
      </c>
      <c r="F317">
        <v>798237.91799999995</v>
      </c>
      <c r="G317">
        <v>0</v>
      </c>
      <c r="P317">
        <f t="shared" si="964"/>
        <v>8.8781275221952935E-2</v>
      </c>
      <c r="Q317">
        <f t="shared" si="965"/>
        <v>70868.580290556696</v>
      </c>
      <c r="R317">
        <f t="shared" si="966"/>
        <v>48611911.97448726</v>
      </c>
      <c r="S317">
        <f t="shared" si="967"/>
        <v>486.11911974487259</v>
      </c>
      <c r="T317">
        <f t="shared" si="968"/>
        <v>0.4861191197448726</v>
      </c>
    </row>
    <row r="318" spans="1:20" x14ac:dyDescent="0.25">
      <c r="A318" s="5">
        <v>44275</v>
      </c>
      <c r="B318">
        <v>44.012</v>
      </c>
      <c r="C318">
        <v>45.465000000000003</v>
      </c>
      <c r="D318">
        <v>42.85</v>
      </c>
      <c r="E318">
        <v>43.08</v>
      </c>
      <c r="F318">
        <v>841664.29599999997</v>
      </c>
      <c r="G318">
        <v>0</v>
      </c>
      <c r="P318">
        <f t="shared" si="964"/>
        <v>-0.82409177820267943</v>
      </c>
      <c r="Q318">
        <f t="shared" si="965"/>
        <v>-693608.62634034629</v>
      </c>
      <c r="R318">
        <f t="shared" si="966"/>
        <v>48541043.394196704</v>
      </c>
      <c r="S318">
        <f t="shared" si="967"/>
        <v>485.41043394196703</v>
      </c>
      <c r="T318">
        <f t="shared" si="968"/>
        <v>0.48541043394196703</v>
      </c>
    </row>
    <row r="319" spans="1:20" x14ac:dyDescent="0.25">
      <c r="A319" s="5">
        <v>44274</v>
      </c>
      <c r="B319">
        <v>43.645000000000003</v>
      </c>
      <c r="C319">
        <v>45.63</v>
      </c>
      <c r="D319">
        <v>42.412999999999997</v>
      </c>
      <c r="E319">
        <v>44.023000000000003</v>
      </c>
      <c r="F319">
        <v>735221.005</v>
      </c>
      <c r="G319">
        <v>0</v>
      </c>
      <c r="P319">
        <f t="shared" si="964"/>
        <v>9.3254585017320908E-4</v>
      </c>
      <c r="Q319">
        <f t="shared" si="965"/>
        <v>685.62729717292621</v>
      </c>
      <c r="R319">
        <f t="shared" si="966"/>
        <v>49234652.020537049</v>
      </c>
      <c r="S319">
        <f t="shared" si="967"/>
        <v>492.3465202053705</v>
      </c>
      <c r="T319">
        <f t="shared" si="968"/>
        <v>0.49234652020537051</v>
      </c>
    </row>
    <row r="320" spans="1:20" x14ac:dyDescent="0.25">
      <c r="A320" s="5">
        <v>44273</v>
      </c>
      <c r="B320">
        <v>46.427999999999997</v>
      </c>
      <c r="C320">
        <v>48.000999999999998</v>
      </c>
      <c r="D320">
        <v>43.09</v>
      </c>
      <c r="E320">
        <v>43.643000000000001</v>
      </c>
      <c r="F320">
        <v>1440993.504</v>
      </c>
      <c r="G320">
        <v>0</v>
      </c>
      <c r="P320">
        <f t="shared" si="964"/>
        <v>-0.77479128487069926</v>
      </c>
      <c r="Q320">
        <f t="shared" si="965"/>
        <v>-1116469.2084544911</v>
      </c>
      <c r="R320">
        <f t="shared" si="966"/>
        <v>49233966.393239878</v>
      </c>
      <c r="S320">
        <f t="shared" si="967"/>
        <v>492.33966393239876</v>
      </c>
      <c r="T320">
        <f t="shared" si="968"/>
        <v>0.49233966393239875</v>
      </c>
    </row>
    <row r="321" spans="1:20" x14ac:dyDescent="0.25">
      <c r="A321" s="5">
        <v>44272</v>
      </c>
      <c r="B321">
        <v>40.813000000000002</v>
      </c>
      <c r="C321">
        <v>46.563000000000002</v>
      </c>
      <c r="D321">
        <v>40.119999999999997</v>
      </c>
      <c r="E321">
        <v>46.427999999999997</v>
      </c>
      <c r="F321">
        <v>2522575.5260000001</v>
      </c>
      <c r="G321">
        <v>0</v>
      </c>
      <c r="P321">
        <f t="shared" si="964"/>
        <v>0.95809405556417659</v>
      </c>
      <c r="Q321">
        <f t="shared" si="965"/>
        <v>2416864.616172276</v>
      </c>
      <c r="R321">
        <f t="shared" si="966"/>
        <v>50350435.601694368</v>
      </c>
      <c r="S321">
        <f t="shared" si="967"/>
        <v>503.50435601694369</v>
      </c>
      <c r="T321">
        <f t="shared" si="968"/>
        <v>0.50350435601694365</v>
      </c>
    </row>
    <row r="322" spans="1:20" x14ac:dyDescent="0.25">
      <c r="A322" s="5">
        <v>44271</v>
      </c>
      <c r="B322">
        <v>38.595999999999997</v>
      </c>
      <c r="C322">
        <v>40.945</v>
      </c>
      <c r="D322">
        <v>37.43</v>
      </c>
      <c r="E322">
        <v>40.792999999999999</v>
      </c>
      <c r="F322">
        <v>949922.23</v>
      </c>
      <c r="G322">
        <v>0</v>
      </c>
      <c r="P322">
        <f t="shared" si="964"/>
        <v>0.91351351351351295</v>
      </c>
      <c r="Q322">
        <f t="shared" si="965"/>
        <v>867766.79389189137</v>
      </c>
      <c r="R322">
        <f t="shared" si="966"/>
        <v>47933570.985522091</v>
      </c>
      <c r="S322">
        <f t="shared" si="967"/>
        <v>479.3357098552209</v>
      </c>
      <c r="T322">
        <f t="shared" si="968"/>
        <v>0.47933570985522089</v>
      </c>
    </row>
    <row r="323" spans="1:20" x14ac:dyDescent="0.25">
      <c r="A323" s="5">
        <v>44270</v>
      </c>
      <c r="B323">
        <v>39.561</v>
      </c>
      <c r="C323">
        <v>40.96</v>
      </c>
      <c r="D323">
        <v>37.232999999999997</v>
      </c>
      <c r="E323">
        <v>38.597000000000001</v>
      </c>
      <c r="F323">
        <v>1158234.0619999999</v>
      </c>
      <c r="G323">
        <v>0</v>
      </c>
      <c r="P323">
        <f t="shared" si="964"/>
        <v>-0.26804400321974625</v>
      </c>
      <c r="Q323">
        <f t="shared" si="965"/>
        <v>-310457.69464394776</v>
      </c>
      <c r="R323">
        <f t="shared" si="966"/>
        <v>47065804.1916302</v>
      </c>
      <c r="S323">
        <f t="shared" si="967"/>
        <v>470.65804191630201</v>
      </c>
      <c r="T323">
        <f t="shared" si="968"/>
        <v>0.47065804191630201</v>
      </c>
    </row>
    <row r="324" spans="1:20" x14ac:dyDescent="0.25">
      <c r="A324" s="5">
        <v>44269</v>
      </c>
      <c r="B324">
        <v>42.08</v>
      </c>
      <c r="C324">
        <v>42.939</v>
      </c>
      <c r="D324">
        <v>39.549999999999997</v>
      </c>
      <c r="E324">
        <v>39.616</v>
      </c>
      <c r="F324">
        <v>815769.69799999997</v>
      </c>
      <c r="G324">
        <v>0</v>
      </c>
      <c r="P324">
        <f t="shared" si="964"/>
        <v>-0.9610504573620523</v>
      </c>
      <c r="Q324">
        <f t="shared" si="965"/>
        <v>-783995.84136500326</v>
      </c>
      <c r="R324">
        <f t="shared" si="966"/>
        <v>47376261.886274144</v>
      </c>
      <c r="S324">
        <f t="shared" si="967"/>
        <v>473.76261886274142</v>
      </c>
      <c r="T324">
        <f t="shared" si="968"/>
        <v>0.4737626188627414</v>
      </c>
    </row>
    <row r="325" spans="1:20" x14ac:dyDescent="0.25">
      <c r="A325" s="5">
        <v>44268</v>
      </c>
      <c r="B325">
        <v>39.887999999999998</v>
      </c>
      <c r="C325">
        <v>42.5</v>
      </c>
      <c r="D325">
        <v>38.36</v>
      </c>
      <c r="E325">
        <v>42.043999999999997</v>
      </c>
      <c r="F325">
        <v>1043969.716</v>
      </c>
      <c r="G325">
        <v>0</v>
      </c>
      <c r="P325">
        <f t="shared" si="964"/>
        <v>0.77971014492753477</v>
      </c>
      <c r="Q325">
        <f t="shared" si="965"/>
        <v>813993.77856231737</v>
      </c>
      <c r="R325">
        <f t="shared" si="966"/>
        <v>48160257.727639146</v>
      </c>
      <c r="S325">
        <f t="shared" si="967"/>
        <v>481.60257727639146</v>
      </c>
      <c r="T325">
        <f t="shared" si="968"/>
        <v>0.48160257727639144</v>
      </c>
    </row>
    <row r="326" spans="1:20" x14ac:dyDescent="0.25">
      <c r="A326" s="5">
        <v>44267</v>
      </c>
      <c r="B326">
        <v>41.966999999999999</v>
      </c>
      <c r="C326">
        <v>42.064</v>
      </c>
      <c r="D326">
        <v>38.43</v>
      </c>
      <c r="E326">
        <v>39.895000000000003</v>
      </c>
      <c r="F326">
        <v>1004438.472</v>
      </c>
      <c r="G326">
        <v>0</v>
      </c>
      <c r="P326">
        <f t="shared" ref="P326:P389" si="969">IF(C326=D326,0,((E326-D326)-(C326-E326))/(C326-D326))</f>
        <v>-0.19372592184920018</v>
      </c>
      <c r="Q326">
        <f t="shared" ref="Q326:Q389" si="970">F326*P326</f>
        <v>-194585.76892900202</v>
      </c>
      <c r="R326">
        <f t="shared" ref="R326:R389" si="971">R327+Q326</f>
        <v>47346263.949076831</v>
      </c>
      <c r="S326">
        <f t="shared" ref="S326:S389" si="972">R326/100000</f>
        <v>473.46263949076831</v>
      </c>
      <c r="T326">
        <f t="shared" ref="T326:T389" si="973">S326/1000</f>
        <v>0.47346263949076833</v>
      </c>
    </row>
    <row r="327" spans="1:20" x14ac:dyDescent="0.25">
      <c r="A327" s="5">
        <v>44266</v>
      </c>
      <c r="B327">
        <v>40.868000000000002</v>
      </c>
      <c r="C327">
        <v>42.661999999999999</v>
      </c>
      <c r="D327">
        <v>39.015000000000001</v>
      </c>
      <c r="E327">
        <v>41.936999999999998</v>
      </c>
      <c r="F327">
        <v>1087173.7860000001</v>
      </c>
      <c r="G327">
        <v>0</v>
      </c>
      <c r="P327">
        <f t="shared" si="969"/>
        <v>0.60241294214422714</v>
      </c>
      <c r="Q327">
        <f t="shared" si="970"/>
        <v>654927.55904633843</v>
      </c>
      <c r="R327">
        <f t="shared" si="971"/>
        <v>47540849.718005836</v>
      </c>
      <c r="S327">
        <f t="shared" si="972"/>
        <v>475.40849718005836</v>
      </c>
      <c r="T327">
        <f t="shared" si="973"/>
        <v>0.47540849718005834</v>
      </c>
    </row>
    <row r="328" spans="1:20" x14ac:dyDescent="0.25">
      <c r="A328" s="5">
        <v>44265</v>
      </c>
      <c r="B328">
        <v>42.585999999999999</v>
      </c>
      <c r="C328">
        <v>43.079000000000001</v>
      </c>
      <c r="D328">
        <v>39.823999999999998</v>
      </c>
      <c r="E328">
        <v>40.866999999999997</v>
      </c>
      <c r="F328">
        <v>1195824.044</v>
      </c>
      <c r="G328">
        <v>0</v>
      </c>
      <c r="P328">
        <f t="shared" si="969"/>
        <v>-0.35913978494623749</v>
      </c>
      <c r="Q328">
        <f t="shared" si="970"/>
        <v>-429467.98999570002</v>
      </c>
      <c r="R328">
        <f t="shared" si="971"/>
        <v>46885922.1589595</v>
      </c>
      <c r="S328">
        <f t="shared" si="972"/>
        <v>468.85922158959499</v>
      </c>
      <c r="T328">
        <f t="shared" si="973"/>
        <v>0.46885922158959498</v>
      </c>
    </row>
    <row r="329" spans="1:20" x14ac:dyDescent="0.25">
      <c r="A329" s="5">
        <v>44264</v>
      </c>
      <c r="B329">
        <v>40.116999999999997</v>
      </c>
      <c r="C329">
        <v>43.079000000000001</v>
      </c>
      <c r="D329">
        <v>39.64</v>
      </c>
      <c r="E329">
        <v>42.587000000000003</v>
      </c>
      <c r="F329">
        <v>1274584.31</v>
      </c>
      <c r="G329">
        <v>0</v>
      </c>
      <c r="P329">
        <f t="shared" si="969"/>
        <v>0.71387031113695998</v>
      </c>
      <c r="Q329">
        <f t="shared" si="970"/>
        <v>909887.89794998744</v>
      </c>
      <c r="R329">
        <f t="shared" si="971"/>
        <v>47315390.148955204</v>
      </c>
      <c r="S329">
        <f t="shared" si="972"/>
        <v>473.15390148955203</v>
      </c>
      <c r="T329">
        <f t="shared" si="973"/>
        <v>0.47315390148955205</v>
      </c>
    </row>
    <row r="330" spans="1:20" x14ac:dyDescent="0.25">
      <c r="A330" s="5">
        <v>44263</v>
      </c>
      <c r="B330">
        <v>39.279000000000003</v>
      </c>
      <c r="C330">
        <v>40.156999999999996</v>
      </c>
      <c r="D330">
        <v>37.825000000000003</v>
      </c>
      <c r="E330">
        <v>40.113</v>
      </c>
      <c r="F330">
        <v>892016.51500000001</v>
      </c>
      <c r="G330">
        <v>0</v>
      </c>
      <c r="P330">
        <f t="shared" si="969"/>
        <v>0.96226415094339879</v>
      </c>
      <c r="Q330">
        <f t="shared" si="970"/>
        <v>858355.5144339645</v>
      </c>
      <c r="R330">
        <f t="shared" si="971"/>
        <v>46405502.251005217</v>
      </c>
      <c r="S330">
        <f t="shared" si="972"/>
        <v>464.0550225100522</v>
      </c>
      <c r="T330">
        <f t="shared" si="973"/>
        <v>0.46405502251005221</v>
      </c>
    </row>
    <row r="331" spans="1:20" x14ac:dyDescent="0.25">
      <c r="A331" s="5">
        <v>44262</v>
      </c>
      <c r="B331">
        <v>38.1</v>
      </c>
      <c r="C331">
        <v>39.39</v>
      </c>
      <c r="D331">
        <v>38.026000000000003</v>
      </c>
      <c r="E331">
        <v>39.279000000000003</v>
      </c>
      <c r="F331">
        <v>616873.28899999999</v>
      </c>
      <c r="G331">
        <v>0</v>
      </c>
      <c r="P331">
        <f t="shared" si="969"/>
        <v>0.83724340175953471</v>
      </c>
      <c r="Q331">
        <f t="shared" si="970"/>
        <v>516473.09093695256</v>
      </c>
      <c r="R331">
        <f t="shared" si="971"/>
        <v>45547146.736571252</v>
      </c>
      <c r="S331">
        <f t="shared" si="972"/>
        <v>455.4714673657125</v>
      </c>
      <c r="T331">
        <f t="shared" si="973"/>
        <v>0.45547146736571248</v>
      </c>
    </row>
    <row r="332" spans="1:20" x14ac:dyDescent="0.25">
      <c r="A332" s="5">
        <v>44261</v>
      </c>
      <c r="B332">
        <v>37.404000000000003</v>
      </c>
      <c r="C332">
        <v>38.588000000000001</v>
      </c>
      <c r="D332">
        <v>36.564</v>
      </c>
      <c r="E332">
        <v>38.079000000000001</v>
      </c>
      <c r="F332">
        <v>585585.34100000001</v>
      </c>
      <c r="G332">
        <v>0</v>
      </c>
      <c r="P332">
        <f t="shared" si="969"/>
        <v>0.49703557312252955</v>
      </c>
      <c r="Q332">
        <f t="shared" si="970"/>
        <v>291056.74557608692</v>
      </c>
      <c r="R332">
        <f t="shared" si="971"/>
        <v>45030673.645634301</v>
      </c>
      <c r="S332">
        <f t="shared" si="972"/>
        <v>450.306736456343</v>
      </c>
      <c r="T332">
        <f t="shared" si="973"/>
        <v>0.450306736456343</v>
      </c>
    </row>
    <row r="333" spans="1:20" x14ac:dyDescent="0.25">
      <c r="A333" s="5">
        <v>44260</v>
      </c>
      <c r="B333">
        <v>37.832999999999998</v>
      </c>
      <c r="C333">
        <v>38.119999999999997</v>
      </c>
      <c r="D333">
        <v>35.701000000000001</v>
      </c>
      <c r="E333">
        <v>37.408000000000001</v>
      </c>
      <c r="F333">
        <v>898071.55799999996</v>
      </c>
      <c r="G333">
        <v>0</v>
      </c>
      <c r="P333">
        <f t="shared" si="969"/>
        <v>0.41132699462588085</v>
      </c>
      <c r="Q333">
        <f t="shared" si="970"/>
        <v>369401.07491112244</v>
      </c>
      <c r="R333">
        <f t="shared" si="971"/>
        <v>44739616.900058217</v>
      </c>
      <c r="S333">
        <f t="shared" si="972"/>
        <v>447.39616900058218</v>
      </c>
      <c r="T333">
        <f t="shared" si="973"/>
        <v>0.44739616900058216</v>
      </c>
    </row>
    <row r="334" spans="1:20" x14ac:dyDescent="0.25">
      <c r="A334" s="5">
        <v>44259</v>
      </c>
      <c r="B334">
        <v>39.6</v>
      </c>
      <c r="C334">
        <v>41.1</v>
      </c>
      <c r="D334">
        <v>36.732999999999997</v>
      </c>
      <c r="E334">
        <v>37.826999999999998</v>
      </c>
      <c r="F334">
        <v>1147760.274</v>
      </c>
      <c r="G334">
        <v>0</v>
      </c>
      <c r="P334">
        <f t="shared" si="969"/>
        <v>-0.49896954430959467</v>
      </c>
      <c r="Q334">
        <f t="shared" si="970"/>
        <v>-572697.42089443549</v>
      </c>
      <c r="R334">
        <f t="shared" si="971"/>
        <v>44370215.825147092</v>
      </c>
      <c r="S334">
        <f t="shared" si="972"/>
        <v>443.70215825147091</v>
      </c>
      <c r="T334">
        <f t="shared" si="973"/>
        <v>0.44370215825147091</v>
      </c>
    </row>
    <row r="335" spans="1:20" x14ac:dyDescent="0.25">
      <c r="A335" s="5">
        <v>44258</v>
      </c>
      <c r="B335">
        <v>37.716000000000001</v>
      </c>
      <c r="C335">
        <v>41.396000000000001</v>
      </c>
      <c r="D335">
        <v>37.335000000000001</v>
      </c>
      <c r="E335">
        <v>39.6</v>
      </c>
      <c r="F335">
        <v>1478286.7390000001</v>
      </c>
      <c r="G335">
        <v>0</v>
      </c>
      <c r="P335">
        <f t="shared" si="969"/>
        <v>0.1154887958630882</v>
      </c>
      <c r="Q335">
        <f t="shared" si="970"/>
        <v>170725.55542748136</v>
      </c>
      <c r="R335">
        <f t="shared" si="971"/>
        <v>44942913.246041529</v>
      </c>
      <c r="S335">
        <f t="shared" si="972"/>
        <v>449.4291324604153</v>
      </c>
      <c r="T335">
        <f t="shared" si="973"/>
        <v>0.44942913246041533</v>
      </c>
    </row>
    <row r="336" spans="1:20" x14ac:dyDescent="0.25">
      <c r="A336" s="5">
        <v>44257</v>
      </c>
      <c r="B336">
        <v>38.119999999999997</v>
      </c>
      <c r="C336">
        <v>39.451999999999998</v>
      </c>
      <c r="D336">
        <v>36.084000000000003</v>
      </c>
      <c r="E336">
        <v>37.732999999999997</v>
      </c>
      <c r="F336">
        <v>1189195.2709999999</v>
      </c>
      <c r="G336">
        <v>0</v>
      </c>
      <c r="P336">
        <f t="shared" si="969"/>
        <v>-2.0783847980999848E-2</v>
      </c>
      <c r="Q336">
        <f t="shared" si="970"/>
        <v>-24716.053732187916</v>
      </c>
      <c r="R336">
        <f t="shared" si="971"/>
        <v>44772187.690614045</v>
      </c>
      <c r="S336">
        <f t="shared" si="972"/>
        <v>447.72187690614044</v>
      </c>
      <c r="T336">
        <f t="shared" si="973"/>
        <v>0.44772187690614046</v>
      </c>
    </row>
    <row r="337" spans="1:20" x14ac:dyDescent="0.25">
      <c r="A337" s="5">
        <v>44256</v>
      </c>
      <c r="B337">
        <v>35.228999999999999</v>
      </c>
      <c r="C337">
        <v>38.746000000000002</v>
      </c>
      <c r="D337">
        <v>35.009</v>
      </c>
      <c r="E337">
        <v>38.119999999999997</v>
      </c>
      <c r="F337">
        <v>1272291.5460000001</v>
      </c>
      <c r="G337">
        <v>0</v>
      </c>
      <c r="P337">
        <f t="shared" si="969"/>
        <v>0.66497190259566263</v>
      </c>
      <c r="Q337">
        <f t="shared" si="970"/>
        <v>846038.12999999709</v>
      </c>
      <c r="R337">
        <f t="shared" si="971"/>
        <v>44796903.744346231</v>
      </c>
      <c r="S337">
        <f t="shared" si="972"/>
        <v>447.9690374434623</v>
      </c>
      <c r="T337">
        <f t="shared" si="973"/>
        <v>0.44796903744346228</v>
      </c>
    </row>
    <row r="338" spans="1:20" x14ac:dyDescent="0.25">
      <c r="A338" s="5">
        <v>44255</v>
      </c>
      <c r="B338">
        <v>37.258000000000003</v>
      </c>
      <c r="C338">
        <v>37.5</v>
      </c>
      <c r="D338">
        <v>31.858000000000001</v>
      </c>
      <c r="E338">
        <v>35.261000000000003</v>
      </c>
      <c r="F338">
        <v>1742859.09</v>
      </c>
      <c r="G338">
        <v>0</v>
      </c>
      <c r="P338">
        <f t="shared" si="969"/>
        <v>0.20630981921304592</v>
      </c>
      <c r="Q338">
        <f t="shared" si="970"/>
        <v>359568.94377171376</v>
      </c>
      <c r="R338">
        <f t="shared" si="971"/>
        <v>43950865.614346236</v>
      </c>
      <c r="S338">
        <f t="shared" si="972"/>
        <v>439.50865614346236</v>
      </c>
      <c r="T338">
        <f t="shared" si="973"/>
        <v>0.43950865614346235</v>
      </c>
    </row>
    <row r="339" spans="1:20" x14ac:dyDescent="0.25">
      <c r="A339" s="5">
        <v>44254</v>
      </c>
      <c r="B339">
        <v>37.659999999999997</v>
      </c>
      <c r="C339">
        <v>39.569000000000003</v>
      </c>
      <c r="D339">
        <v>36.348999999999997</v>
      </c>
      <c r="E339">
        <v>37.28</v>
      </c>
      <c r="F339">
        <v>1063358.92</v>
      </c>
      <c r="G339">
        <v>0</v>
      </c>
      <c r="P339">
        <f t="shared" si="969"/>
        <v>-0.4217391304347809</v>
      </c>
      <c r="Q339">
        <f t="shared" si="970"/>
        <v>-448460.06626086769</v>
      </c>
      <c r="R339">
        <f t="shared" si="971"/>
        <v>43591296.670574524</v>
      </c>
      <c r="S339">
        <f t="shared" si="972"/>
        <v>435.91296670574525</v>
      </c>
      <c r="T339">
        <f t="shared" si="973"/>
        <v>0.43591296670574525</v>
      </c>
    </row>
    <row r="340" spans="1:20" x14ac:dyDescent="0.25">
      <c r="A340" s="5">
        <v>44253</v>
      </c>
      <c r="B340">
        <v>38.469000000000001</v>
      </c>
      <c r="C340">
        <v>39.902000000000001</v>
      </c>
      <c r="D340">
        <v>35.167999999999999</v>
      </c>
      <c r="E340">
        <v>37.68</v>
      </c>
      <c r="F340">
        <v>1891468.344</v>
      </c>
      <c r="G340">
        <v>0</v>
      </c>
      <c r="P340">
        <f t="shared" si="969"/>
        <v>6.1258977608787291E-2</v>
      </c>
      <c r="Q340">
        <f t="shared" si="970"/>
        <v>115869.41693282597</v>
      </c>
      <c r="R340">
        <f t="shared" si="971"/>
        <v>44039756.73683539</v>
      </c>
      <c r="S340">
        <f t="shared" si="972"/>
        <v>440.39756736835392</v>
      </c>
      <c r="T340">
        <f t="shared" si="973"/>
        <v>0.44039756736835389</v>
      </c>
    </row>
    <row r="341" spans="1:20" x14ac:dyDescent="0.25">
      <c r="A341" s="5">
        <v>44252</v>
      </c>
      <c r="B341">
        <v>40.659999999999997</v>
      </c>
      <c r="C341">
        <v>43</v>
      </c>
      <c r="D341">
        <v>38.021999999999998</v>
      </c>
      <c r="E341">
        <v>38.540999999999997</v>
      </c>
      <c r="F341">
        <v>1463229.35</v>
      </c>
      <c r="G341">
        <v>0</v>
      </c>
      <c r="P341">
        <f t="shared" si="969"/>
        <v>-0.79148252310164802</v>
      </c>
      <c r="Q341">
        <f t="shared" si="970"/>
        <v>-1158120.4578143845</v>
      </c>
      <c r="R341">
        <f t="shared" si="971"/>
        <v>43923887.319902562</v>
      </c>
      <c r="S341">
        <f t="shared" si="972"/>
        <v>439.23887319902559</v>
      </c>
      <c r="T341">
        <f t="shared" si="973"/>
        <v>0.4392388731990256</v>
      </c>
    </row>
    <row r="342" spans="1:20" x14ac:dyDescent="0.25">
      <c r="A342" s="5">
        <v>44251</v>
      </c>
      <c r="B342">
        <v>38.707999999999998</v>
      </c>
      <c r="C342">
        <v>44.289000000000001</v>
      </c>
      <c r="D342">
        <v>36.841000000000001</v>
      </c>
      <c r="E342">
        <v>40.619</v>
      </c>
      <c r="F342">
        <v>2410810.0950000002</v>
      </c>
      <c r="G342">
        <v>0</v>
      </c>
      <c r="P342">
        <f t="shared" si="969"/>
        <v>1.4500537056927628E-2</v>
      </c>
      <c r="Q342">
        <f t="shared" si="970"/>
        <v>34958.041119762718</v>
      </c>
      <c r="R342">
        <f t="shared" si="971"/>
        <v>45082007.77771695</v>
      </c>
      <c r="S342">
        <f t="shared" si="972"/>
        <v>450.8200777771695</v>
      </c>
      <c r="T342">
        <f t="shared" si="973"/>
        <v>0.45082007777716948</v>
      </c>
    </row>
    <row r="343" spans="1:20" x14ac:dyDescent="0.25">
      <c r="A343" s="5">
        <v>44250</v>
      </c>
      <c r="B343">
        <v>46.906999999999996</v>
      </c>
      <c r="C343">
        <v>47.548000000000002</v>
      </c>
      <c r="D343">
        <v>31.300999999999998</v>
      </c>
      <c r="E343">
        <v>38.65</v>
      </c>
      <c r="F343">
        <v>4544604.3760000002</v>
      </c>
      <c r="G343">
        <v>0</v>
      </c>
      <c r="P343">
        <f t="shared" si="969"/>
        <v>-9.5340678279067073E-2</v>
      </c>
      <c r="Q343">
        <f t="shared" si="970"/>
        <v>-433285.6637178564</v>
      </c>
      <c r="R343">
        <f t="shared" si="971"/>
        <v>45047049.736597188</v>
      </c>
      <c r="S343">
        <f t="shared" si="972"/>
        <v>450.47049736597188</v>
      </c>
      <c r="T343">
        <f t="shared" si="973"/>
        <v>0.45047049736597189</v>
      </c>
    </row>
    <row r="344" spans="1:20" x14ac:dyDescent="0.25">
      <c r="A344" s="5">
        <v>44249</v>
      </c>
      <c r="B344">
        <v>54.856999999999999</v>
      </c>
      <c r="C344">
        <v>55.444000000000003</v>
      </c>
      <c r="D344">
        <v>40.424999999999997</v>
      </c>
      <c r="E344">
        <v>46.878999999999998</v>
      </c>
      <c r="F344">
        <v>3908613.8629999999</v>
      </c>
      <c r="G344">
        <v>0</v>
      </c>
      <c r="P344">
        <f t="shared" si="969"/>
        <v>-0.14055529662427615</v>
      </c>
      <c r="Q344">
        <f t="shared" si="970"/>
        <v>-549376.38090372283</v>
      </c>
      <c r="R344">
        <f t="shared" si="971"/>
        <v>45480335.400315046</v>
      </c>
      <c r="S344">
        <f t="shared" si="972"/>
        <v>454.80335400315045</v>
      </c>
      <c r="T344">
        <f t="shared" si="973"/>
        <v>0.45480335400315047</v>
      </c>
    </row>
    <row r="345" spans="1:20" x14ac:dyDescent="0.25">
      <c r="A345" s="5">
        <v>44248</v>
      </c>
      <c r="B345">
        <v>43.866</v>
      </c>
      <c r="C345">
        <v>54.984000000000002</v>
      </c>
      <c r="D345">
        <v>42.7</v>
      </c>
      <c r="E345">
        <v>54.9</v>
      </c>
      <c r="F345">
        <v>4091562.13</v>
      </c>
      <c r="G345">
        <v>0</v>
      </c>
      <c r="P345">
        <f t="shared" si="969"/>
        <v>0.98632367307066049</v>
      </c>
      <c r="Q345">
        <f t="shared" si="970"/>
        <v>4035604.5886584152</v>
      </c>
      <c r="R345">
        <f t="shared" si="971"/>
        <v>46029711.781218767</v>
      </c>
      <c r="S345">
        <f t="shared" si="972"/>
        <v>460.29711781218765</v>
      </c>
      <c r="T345">
        <f t="shared" si="973"/>
        <v>0.46029711781218763</v>
      </c>
    </row>
    <row r="346" spans="1:20" x14ac:dyDescent="0.25">
      <c r="A346" s="5">
        <v>44247</v>
      </c>
      <c r="B346">
        <v>47.823999999999998</v>
      </c>
      <c r="C346">
        <v>49.892000000000003</v>
      </c>
      <c r="D346">
        <v>40.877000000000002</v>
      </c>
      <c r="E346">
        <v>43.866</v>
      </c>
      <c r="F346">
        <v>2216943.8870000001</v>
      </c>
      <c r="G346">
        <v>0</v>
      </c>
      <c r="P346">
        <f t="shared" si="969"/>
        <v>-0.33688297282307333</v>
      </c>
      <c r="Q346">
        <f t="shared" si="970"/>
        <v>-746850.64723449957</v>
      </c>
      <c r="R346">
        <f t="shared" si="971"/>
        <v>41994107.192560352</v>
      </c>
      <c r="S346">
        <f t="shared" si="972"/>
        <v>419.94107192560352</v>
      </c>
      <c r="T346">
        <f t="shared" si="973"/>
        <v>0.41994107192560354</v>
      </c>
    </row>
    <row r="347" spans="1:20" x14ac:dyDescent="0.25">
      <c r="A347" s="5">
        <v>44246</v>
      </c>
      <c r="B347">
        <v>43.808</v>
      </c>
      <c r="C347">
        <v>49.78</v>
      </c>
      <c r="D347">
        <v>41.654000000000003</v>
      </c>
      <c r="E347">
        <v>47.847000000000001</v>
      </c>
      <c r="F347">
        <v>2520631.5490000001</v>
      </c>
      <c r="G347">
        <v>0</v>
      </c>
      <c r="P347">
        <f t="shared" si="969"/>
        <v>0.52424317007137577</v>
      </c>
      <c r="Q347">
        <f t="shared" si="970"/>
        <v>1321423.8738296824</v>
      </c>
      <c r="R347">
        <f t="shared" si="971"/>
        <v>42740957.839794852</v>
      </c>
      <c r="S347">
        <f t="shared" si="972"/>
        <v>427.40957839794851</v>
      </c>
      <c r="T347">
        <f t="shared" si="973"/>
        <v>0.42740957839794852</v>
      </c>
    </row>
    <row r="348" spans="1:20" x14ac:dyDescent="0.25">
      <c r="A348" s="5">
        <v>44245</v>
      </c>
      <c r="B348">
        <v>42.546999999999997</v>
      </c>
      <c r="C348">
        <v>44.976999999999997</v>
      </c>
      <c r="D348">
        <v>41.01</v>
      </c>
      <c r="E348">
        <v>43.783000000000001</v>
      </c>
      <c r="F348">
        <v>1536870.817</v>
      </c>
      <c r="G348">
        <v>0</v>
      </c>
      <c r="P348">
        <f t="shared" si="969"/>
        <v>0.39803377867406309</v>
      </c>
      <c r="Q348">
        <f t="shared" si="970"/>
        <v>611726.49862440454</v>
      </c>
      <c r="R348">
        <f t="shared" si="971"/>
        <v>41419533.965965167</v>
      </c>
      <c r="S348">
        <f t="shared" si="972"/>
        <v>414.19533965965167</v>
      </c>
      <c r="T348">
        <f t="shared" si="973"/>
        <v>0.41419533965965166</v>
      </c>
    </row>
    <row r="349" spans="1:20" x14ac:dyDescent="0.25">
      <c r="A349" s="5">
        <v>44244</v>
      </c>
      <c r="B349">
        <v>40.945999999999998</v>
      </c>
      <c r="C349">
        <v>43.951000000000001</v>
      </c>
      <c r="D349">
        <v>38.642000000000003</v>
      </c>
      <c r="E349">
        <v>42.551000000000002</v>
      </c>
      <c r="F349">
        <v>1525803.75</v>
      </c>
      <c r="G349">
        <v>0</v>
      </c>
      <c r="P349">
        <f t="shared" si="969"/>
        <v>0.47259370879638379</v>
      </c>
      <c r="Q349">
        <f t="shared" si="970"/>
        <v>721085.25310793042</v>
      </c>
      <c r="R349">
        <f t="shared" si="971"/>
        <v>40807807.46734076</v>
      </c>
      <c r="S349">
        <f t="shared" si="972"/>
        <v>408.07807467340763</v>
      </c>
      <c r="T349">
        <f t="shared" si="973"/>
        <v>0.40807807467340762</v>
      </c>
    </row>
    <row r="350" spans="1:20" x14ac:dyDescent="0.25">
      <c r="A350" s="5">
        <v>44243</v>
      </c>
      <c r="B350">
        <v>41.601999999999997</v>
      </c>
      <c r="C350">
        <v>44.86</v>
      </c>
      <c r="D350">
        <v>39.408999999999999</v>
      </c>
      <c r="E350">
        <v>40.945</v>
      </c>
      <c r="F350">
        <v>1873093.2069999999</v>
      </c>
      <c r="G350">
        <v>0</v>
      </c>
      <c r="P350">
        <f t="shared" si="969"/>
        <v>-0.43643368189323017</v>
      </c>
      <c r="Q350">
        <f t="shared" si="970"/>
        <v>-817480.96486020833</v>
      </c>
      <c r="R350">
        <f t="shared" si="971"/>
        <v>40086722.214232832</v>
      </c>
      <c r="S350">
        <f t="shared" si="972"/>
        <v>400.86722214232833</v>
      </c>
      <c r="T350">
        <f t="shared" si="973"/>
        <v>0.40086722214232834</v>
      </c>
    </row>
    <row r="351" spans="1:20" x14ac:dyDescent="0.25">
      <c r="A351" s="5">
        <v>44242</v>
      </c>
      <c r="B351">
        <v>43.935000000000002</v>
      </c>
      <c r="C351">
        <v>45.473999999999997</v>
      </c>
      <c r="D351">
        <v>36.299999999999997</v>
      </c>
      <c r="E351">
        <v>41.575000000000003</v>
      </c>
      <c r="F351">
        <v>3477834.173</v>
      </c>
      <c r="G351">
        <v>0</v>
      </c>
      <c r="P351">
        <f t="shared" si="969"/>
        <v>0.14998909962938869</v>
      </c>
      <c r="Q351">
        <f t="shared" si="970"/>
        <v>521637.2162685896</v>
      </c>
      <c r="R351">
        <f t="shared" si="971"/>
        <v>40904203.179093041</v>
      </c>
      <c r="S351">
        <f t="shared" si="972"/>
        <v>409.04203179093042</v>
      </c>
      <c r="T351">
        <f t="shared" si="973"/>
        <v>0.4090420317909304</v>
      </c>
    </row>
    <row r="352" spans="1:20" x14ac:dyDescent="0.25">
      <c r="A352" s="5">
        <v>44241</v>
      </c>
      <c r="B352">
        <v>42.457999999999998</v>
      </c>
      <c r="C352">
        <v>47.444000000000003</v>
      </c>
      <c r="D352">
        <v>40.4</v>
      </c>
      <c r="E352">
        <v>43.942</v>
      </c>
      <c r="F352">
        <v>3460516.7749999999</v>
      </c>
      <c r="G352">
        <v>0</v>
      </c>
      <c r="P352">
        <f t="shared" si="969"/>
        <v>5.6785917092559805E-3</v>
      </c>
      <c r="Q352">
        <f t="shared" si="970"/>
        <v>19650.861868256245</v>
      </c>
      <c r="R352">
        <f t="shared" si="971"/>
        <v>40382565.962824449</v>
      </c>
      <c r="S352">
        <f t="shared" si="972"/>
        <v>403.82565962824447</v>
      </c>
      <c r="T352">
        <f t="shared" si="973"/>
        <v>0.40382565962824446</v>
      </c>
    </row>
    <row r="353" spans="1:20" x14ac:dyDescent="0.25">
      <c r="A353" s="5">
        <v>44240</v>
      </c>
      <c r="B353">
        <v>37.570999999999998</v>
      </c>
      <c r="C353">
        <v>43.6</v>
      </c>
      <c r="D353">
        <v>35.5</v>
      </c>
      <c r="E353">
        <v>42.414999999999999</v>
      </c>
      <c r="F353">
        <v>3470052.6430000002</v>
      </c>
      <c r="G353">
        <v>0</v>
      </c>
      <c r="P353">
        <f t="shared" si="969"/>
        <v>0.70740740740740693</v>
      </c>
      <c r="Q353">
        <f t="shared" si="970"/>
        <v>2454740.9437518502</v>
      </c>
      <c r="R353">
        <f t="shared" si="971"/>
        <v>40362915.100956194</v>
      </c>
      <c r="S353">
        <f t="shared" si="972"/>
        <v>403.62915100956195</v>
      </c>
      <c r="T353">
        <f t="shared" si="973"/>
        <v>0.40362915100956193</v>
      </c>
    </row>
    <row r="354" spans="1:20" x14ac:dyDescent="0.25">
      <c r="A354" s="5">
        <v>44239</v>
      </c>
      <c r="B354">
        <v>36.274000000000001</v>
      </c>
      <c r="C354">
        <v>38.4</v>
      </c>
      <c r="D354">
        <v>35.012</v>
      </c>
      <c r="E354">
        <v>37.572000000000003</v>
      </c>
      <c r="F354">
        <v>2105044.8250000002</v>
      </c>
      <c r="G354">
        <v>0</v>
      </c>
      <c r="P354">
        <f t="shared" si="969"/>
        <v>0.51121605667060432</v>
      </c>
      <c r="Q354">
        <f t="shared" si="970"/>
        <v>1076132.7145513624</v>
      </c>
      <c r="R354">
        <f t="shared" si="971"/>
        <v>37908174.157204345</v>
      </c>
      <c r="S354">
        <f t="shared" si="972"/>
        <v>379.08174157204343</v>
      </c>
      <c r="T354">
        <f t="shared" si="973"/>
        <v>0.37908174157204344</v>
      </c>
    </row>
    <row r="355" spans="1:20" x14ac:dyDescent="0.25">
      <c r="A355" s="5">
        <v>44238</v>
      </c>
      <c r="B355">
        <v>33.433999999999997</v>
      </c>
      <c r="C355">
        <v>38.799999999999997</v>
      </c>
      <c r="D355">
        <v>32.71</v>
      </c>
      <c r="E355">
        <v>36.296999999999997</v>
      </c>
      <c r="F355">
        <v>3315072.801</v>
      </c>
      <c r="G355">
        <v>0</v>
      </c>
      <c r="P355">
        <f t="shared" si="969"/>
        <v>0.17799671592774988</v>
      </c>
      <c r="Q355">
        <f t="shared" si="970"/>
        <v>590072.07163940708</v>
      </c>
      <c r="R355">
        <f t="shared" si="971"/>
        <v>36832041.442652985</v>
      </c>
      <c r="S355">
        <f t="shared" si="972"/>
        <v>368.32041442652985</v>
      </c>
      <c r="T355">
        <f t="shared" si="973"/>
        <v>0.36832041442652985</v>
      </c>
    </row>
    <row r="356" spans="1:20" x14ac:dyDescent="0.25">
      <c r="A356" s="5">
        <v>44237</v>
      </c>
      <c r="B356">
        <v>31.079000000000001</v>
      </c>
      <c r="C356">
        <v>36.5</v>
      </c>
      <c r="D356">
        <v>29.61</v>
      </c>
      <c r="E356">
        <v>33.39</v>
      </c>
      <c r="F356">
        <v>5022362.534</v>
      </c>
      <c r="G356">
        <v>0</v>
      </c>
      <c r="P356">
        <f t="shared" si="969"/>
        <v>9.7242380261248429E-2</v>
      </c>
      <c r="Q356">
        <f t="shared" si="970"/>
        <v>488386.48734107526</v>
      </c>
      <c r="R356">
        <f t="shared" si="971"/>
        <v>36241969.371013582</v>
      </c>
      <c r="S356">
        <f t="shared" si="972"/>
        <v>362.41969371013585</v>
      </c>
      <c r="T356">
        <f t="shared" si="973"/>
        <v>0.36241969371013583</v>
      </c>
    </row>
    <row r="357" spans="1:20" x14ac:dyDescent="0.25">
      <c r="A357" s="5">
        <v>44236</v>
      </c>
      <c r="B357">
        <v>27.385000000000002</v>
      </c>
      <c r="C357">
        <v>32.088000000000001</v>
      </c>
      <c r="D357">
        <v>26.431999999999999</v>
      </c>
      <c r="E357">
        <v>31.065000000000001</v>
      </c>
      <c r="F357">
        <v>4176764.1949999998</v>
      </c>
      <c r="G357">
        <v>0</v>
      </c>
      <c r="P357">
        <f t="shared" si="969"/>
        <v>0.63826025459688851</v>
      </c>
      <c r="Q357">
        <f t="shared" si="970"/>
        <v>2665862.578491868</v>
      </c>
      <c r="R357">
        <f t="shared" si="971"/>
        <v>35753582.883672506</v>
      </c>
      <c r="S357">
        <f t="shared" si="972"/>
        <v>357.53582883672505</v>
      </c>
      <c r="T357">
        <f t="shared" si="973"/>
        <v>0.35753582883672502</v>
      </c>
    </row>
    <row r="358" spans="1:20" x14ac:dyDescent="0.25">
      <c r="A358" s="5">
        <v>44235</v>
      </c>
      <c r="B358">
        <v>24.512</v>
      </c>
      <c r="C358">
        <v>27.777000000000001</v>
      </c>
      <c r="D358">
        <v>23.965</v>
      </c>
      <c r="E358">
        <v>27.38</v>
      </c>
      <c r="F358">
        <v>2156817.585</v>
      </c>
      <c r="G358">
        <v>0</v>
      </c>
      <c r="P358">
        <f t="shared" si="969"/>
        <v>0.79171038824763806</v>
      </c>
      <c r="Q358">
        <f t="shared" si="970"/>
        <v>1707574.8875996831</v>
      </c>
      <c r="R358">
        <f t="shared" si="971"/>
        <v>33087720.305180635</v>
      </c>
      <c r="S358">
        <f t="shared" si="972"/>
        <v>330.87720305180636</v>
      </c>
      <c r="T358">
        <f t="shared" si="973"/>
        <v>0.33087720305180635</v>
      </c>
    </row>
    <row r="359" spans="1:20" x14ac:dyDescent="0.25">
      <c r="A359" s="5">
        <v>44234</v>
      </c>
      <c r="B359">
        <v>24.838000000000001</v>
      </c>
      <c r="C359">
        <v>25.629000000000001</v>
      </c>
      <c r="D359">
        <v>23.370999999999999</v>
      </c>
      <c r="E359">
        <v>24.526</v>
      </c>
      <c r="F359">
        <v>1455011.6259999999</v>
      </c>
      <c r="G359">
        <v>0</v>
      </c>
      <c r="P359">
        <f t="shared" si="969"/>
        <v>2.3029229406554271E-2</v>
      </c>
      <c r="Q359">
        <f t="shared" si="970"/>
        <v>33507.796524357545</v>
      </c>
      <c r="R359">
        <f t="shared" si="971"/>
        <v>31380145.417580951</v>
      </c>
      <c r="S359">
        <f t="shared" si="972"/>
        <v>313.80145417580951</v>
      </c>
      <c r="T359">
        <f t="shared" si="973"/>
        <v>0.31380145417580951</v>
      </c>
    </row>
    <row r="360" spans="1:20" x14ac:dyDescent="0.25">
      <c r="A360" s="5">
        <v>44233</v>
      </c>
      <c r="B360">
        <v>26.079000000000001</v>
      </c>
      <c r="C360">
        <v>26.3</v>
      </c>
      <c r="D360">
        <v>24.36</v>
      </c>
      <c r="E360">
        <v>24.834</v>
      </c>
      <c r="F360">
        <v>1418905.2579999999</v>
      </c>
      <c r="G360">
        <v>0</v>
      </c>
      <c r="P360">
        <f t="shared" si="969"/>
        <v>-0.51134020618556708</v>
      </c>
      <c r="Q360">
        <f t="shared" si="970"/>
        <v>-725543.30718350527</v>
      </c>
      <c r="R360">
        <f t="shared" si="971"/>
        <v>31346637.621056594</v>
      </c>
      <c r="S360">
        <f t="shared" si="972"/>
        <v>313.46637621056595</v>
      </c>
      <c r="T360">
        <f t="shared" si="973"/>
        <v>0.31346637621056594</v>
      </c>
    </row>
    <row r="361" spans="1:20" x14ac:dyDescent="0.25">
      <c r="A361" s="5">
        <v>44232</v>
      </c>
      <c r="B361">
        <v>23.731000000000002</v>
      </c>
      <c r="C361">
        <v>26.46</v>
      </c>
      <c r="D361">
        <v>23.588999999999999</v>
      </c>
      <c r="E361">
        <v>26.07</v>
      </c>
      <c r="F361">
        <v>1861334.649</v>
      </c>
      <c r="G361">
        <v>0</v>
      </c>
      <c r="P361">
        <f t="shared" si="969"/>
        <v>0.72831765935214188</v>
      </c>
      <c r="Q361">
        <f t="shared" si="970"/>
        <v>1355642.8948307205</v>
      </c>
      <c r="R361">
        <f t="shared" si="971"/>
        <v>32072180.928240098</v>
      </c>
      <c r="S361">
        <f t="shared" si="972"/>
        <v>320.72180928240095</v>
      </c>
      <c r="T361">
        <f t="shared" si="973"/>
        <v>0.32072180928240096</v>
      </c>
    </row>
    <row r="362" spans="1:20" x14ac:dyDescent="0.25">
      <c r="A362" s="5">
        <v>44231</v>
      </c>
      <c r="B362">
        <v>24.669</v>
      </c>
      <c r="C362">
        <v>25.050999999999998</v>
      </c>
      <c r="D362">
        <v>22.922000000000001</v>
      </c>
      <c r="E362">
        <v>23.75</v>
      </c>
      <c r="F362">
        <v>1314825.1810000001</v>
      </c>
      <c r="G362">
        <v>0</v>
      </c>
      <c r="P362">
        <f t="shared" si="969"/>
        <v>-0.2221700328792858</v>
      </c>
      <c r="Q362">
        <f t="shared" si="970"/>
        <v>-292114.75369328295</v>
      </c>
      <c r="R362">
        <f t="shared" si="971"/>
        <v>30716538.033409379</v>
      </c>
      <c r="S362">
        <f t="shared" si="972"/>
        <v>307.16538033409381</v>
      </c>
      <c r="T362">
        <f t="shared" si="973"/>
        <v>0.3071653803340938</v>
      </c>
    </row>
    <row r="363" spans="1:20" x14ac:dyDescent="0.25">
      <c r="A363" s="5">
        <v>44230</v>
      </c>
      <c r="B363">
        <v>23.742000000000001</v>
      </c>
      <c r="C363">
        <v>24.972000000000001</v>
      </c>
      <c r="D363">
        <v>23.469000000000001</v>
      </c>
      <c r="E363">
        <v>24.661999999999999</v>
      </c>
      <c r="F363">
        <v>1320450.699</v>
      </c>
      <c r="G363">
        <v>0</v>
      </c>
      <c r="P363">
        <f t="shared" si="969"/>
        <v>0.58749168330006352</v>
      </c>
      <c r="Q363">
        <f t="shared" si="970"/>
        <v>775753.80387025548</v>
      </c>
      <c r="R363">
        <f t="shared" si="971"/>
        <v>31008652.787102662</v>
      </c>
      <c r="S363">
        <f t="shared" si="972"/>
        <v>310.08652787102665</v>
      </c>
      <c r="T363">
        <f t="shared" si="973"/>
        <v>0.31008652787102664</v>
      </c>
    </row>
    <row r="364" spans="1:20" x14ac:dyDescent="0.25">
      <c r="A364" s="5">
        <v>44229</v>
      </c>
      <c r="B364">
        <v>23.091999999999999</v>
      </c>
      <c r="C364">
        <v>23.856000000000002</v>
      </c>
      <c r="D364">
        <v>22.472999999999999</v>
      </c>
      <c r="E364">
        <v>23.74</v>
      </c>
      <c r="F364">
        <v>979287.40700000001</v>
      </c>
      <c r="G364">
        <v>0</v>
      </c>
      <c r="P364">
        <f t="shared" si="969"/>
        <v>0.8322487346348475</v>
      </c>
      <c r="Q364">
        <f t="shared" si="970"/>
        <v>815010.70531959087</v>
      </c>
      <c r="R364">
        <f t="shared" si="971"/>
        <v>30232898.983232405</v>
      </c>
      <c r="S364">
        <f t="shared" si="972"/>
        <v>302.32898983232405</v>
      </c>
      <c r="T364">
        <f t="shared" si="973"/>
        <v>0.30232898983232404</v>
      </c>
    </row>
    <row r="365" spans="1:20" x14ac:dyDescent="0.25">
      <c r="A365" s="5">
        <v>44228</v>
      </c>
      <c r="B365">
        <v>22.277000000000001</v>
      </c>
      <c r="C365">
        <v>23.988</v>
      </c>
      <c r="D365">
        <v>21.788</v>
      </c>
      <c r="E365">
        <v>23.119</v>
      </c>
      <c r="F365">
        <v>1692486.648</v>
      </c>
      <c r="G365">
        <v>0</v>
      </c>
      <c r="P365">
        <f t="shared" si="969"/>
        <v>0.20999999999999996</v>
      </c>
      <c r="Q365">
        <f t="shared" si="970"/>
        <v>355422.19607999997</v>
      </c>
      <c r="R365">
        <f t="shared" si="971"/>
        <v>29417888.277912814</v>
      </c>
      <c r="S365">
        <f t="shared" si="972"/>
        <v>294.17888277912812</v>
      </c>
      <c r="T365">
        <f t="shared" si="973"/>
        <v>0.29417888277912813</v>
      </c>
    </row>
    <row r="366" spans="1:20" x14ac:dyDescent="0.25">
      <c r="A366" s="5">
        <v>44227</v>
      </c>
      <c r="B366">
        <v>22.864000000000001</v>
      </c>
      <c r="C366">
        <v>24.818999999999999</v>
      </c>
      <c r="D366">
        <v>21.553999999999998</v>
      </c>
      <c r="E366">
        <v>22.276</v>
      </c>
      <c r="F366">
        <v>1404507.6640000001</v>
      </c>
      <c r="G366">
        <v>0</v>
      </c>
      <c r="P366">
        <f t="shared" si="969"/>
        <v>-0.55773353751914168</v>
      </c>
      <c r="Q366">
        <f t="shared" si="970"/>
        <v>-783341.02791546611</v>
      </c>
      <c r="R366">
        <f t="shared" si="971"/>
        <v>29062466.081832815</v>
      </c>
      <c r="S366">
        <f t="shared" si="972"/>
        <v>290.62466081832815</v>
      </c>
      <c r="T366">
        <f t="shared" si="973"/>
        <v>0.29062466081832816</v>
      </c>
    </row>
    <row r="367" spans="1:20" x14ac:dyDescent="0.25">
      <c r="A367" s="5">
        <v>44226</v>
      </c>
      <c r="B367">
        <v>22.565999999999999</v>
      </c>
      <c r="C367">
        <v>22.9</v>
      </c>
      <c r="D367">
        <v>21.81</v>
      </c>
      <c r="E367">
        <v>22.864000000000001</v>
      </c>
      <c r="F367">
        <v>877622.07299999997</v>
      </c>
      <c r="G367">
        <v>0</v>
      </c>
      <c r="P367">
        <f t="shared" si="969"/>
        <v>0.93394495412844436</v>
      </c>
      <c r="Q367">
        <f t="shared" si="970"/>
        <v>819650.70671009517</v>
      </c>
      <c r="R367">
        <f t="shared" si="971"/>
        <v>29845807.109748282</v>
      </c>
      <c r="S367">
        <f t="shared" si="972"/>
        <v>298.45807109748284</v>
      </c>
      <c r="T367">
        <f t="shared" si="973"/>
        <v>0.29845807109748285</v>
      </c>
    </row>
    <row r="368" spans="1:20" x14ac:dyDescent="0.25">
      <c r="A368" s="5">
        <v>44225</v>
      </c>
      <c r="B368">
        <v>22.241</v>
      </c>
      <c r="C368">
        <v>23.888000000000002</v>
      </c>
      <c r="D368">
        <v>21.832000000000001</v>
      </c>
      <c r="E368">
        <v>22.548999999999999</v>
      </c>
      <c r="F368">
        <v>1604427.2320000001</v>
      </c>
      <c r="G368">
        <v>0</v>
      </c>
      <c r="P368">
        <f t="shared" si="969"/>
        <v>-0.30252918287937897</v>
      </c>
      <c r="Q368">
        <f t="shared" si="970"/>
        <v>-485386.05948638381</v>
      </c>
      <c r="R368">
        <f t="shared" si="971"/>
        <v>29026156.403038185</v>
      </c>
      <c r="S368">
        <f t="shared" si="972"/>
        <v>290.26156403038186</v>
      </c>
      <c r="T368">
        <f t="shared" si="973"/>
        <v>0.29026156403038184</v>
      </c>
    </row>
    <row r="369" spans="1:20" x14ac:dyDescent="0.25">
      <c r="A369" s="5">
        <v>44224</v>
      </c>
      <c r="B369">
        <v>21.021999999999998</v>
      </c>
      <c r="C369">
        <v>22.936</v>
      </c>
      <c r="D369">
        <v>20.652000000000001</v>
      </c>
      <c r="E369">
        <v>22.245000000000001</v>
      </c>
      <c r="F369">
        <v>948203.36199999996</v>
      </c>
      <c r="G369">
        <v>0</v>
      </c>
      <c r="P369">
        <f t="shared" si="969"/>
        <v>0.39492119089317052</v>
      </c>
      <c r="Q369">
        <f t="shared" si="970"/>
        <v>374465.60092994804</v>
      </c>
      <c r="R369">
        <f t="shared" si="971"/>
        <v>29511542.462524571</v>
      </c>
      <c r="S369">
        <f t="shared" si="972"/>
        <v>295.11542462524568</v>
      </c>
      <c r="T369">
        <f t="shared" si="973"/>
        <v>0.2951154246252457</v>
      </c>
    </row>
    <row r="370" spans="1:20" x14ac:dyDescent="0.25">
      <c r="A370" s="5">
        <v>44223</v>
      </c>
      <c r="B370">
        <v>23.14</v>
      </c>
      <c r="C370">
        <v>23.190999999999999</v>
      </c>
      <c r="D370">
        <v>20.332999999999998</v>
      </c>
      <c r="E370">
        <v>21.033000000000001</v>
      </c>
      <c r="F370">
        <v>1084209.7930000001</v>
      </c>
      <c r="G370">
        <v>0</v>
      </c>
      <c r="P370">
        <f t="shared" si="969"/>
        <v>-0.51014695591322412</v>
      </c>
      <c r="Q370">
        <f t="shared" si="970"/>
        <v>-553106.32547025685</v>
      </c>
      <c r="R370">
        <f t="shared" si="971"/>
        <v>29137076.861594621</v>
      </c>
      <c r="S370">
        <f t="shared" si="972"/>
        <v>291.37076861594619</v>
      </c>
      <c r="T370">
        <f t="shared" si="973"/>
        <v>0.29137076861594619</v>
      </c>
    </row>
    <row r="371" spans="1:20" x14ac:dyDescent="0.25">
      <c r="A371" s="5">
        <v>44222</v>
      </c>
      <c r="B371">
        <v>23.309000000000001</v>
      </c>
      <c r="C371">
        <v>24</v>
      </c>
      <c r="D371">
        <v>22.317</v>
      </c>
      <c r="E371">
        <v>23.158000000000001</v>
      </c>
      <c r="F371">
        <v>894487.54299999995</v>
      </c>
      <c r="G371">
        <v>0</v>
      </c>
      <c r="P371">
        <f t="shared" si="969"/>
        <v>-5.9417706476391535E-4</v>
      </c>
      <c r="Q371">
        <f t="shared" si="970"/>
        <v>-531.48398276762646</v>
      </c>
      <c r="R371">
        <f t="shared" si="971"/>
        <v>29690183.187064879</v>
      </c>
      <c r="S371">
        <f t="shared" si="972"/>
        <v>296.90183187064878</v>
      </c>
      <c r="T371">
        <f t="shared" si="973"/>
        <v>0.29690183187064878</v>
      </c>
    </row>
    <row r="372" spans="1:20" x14ac:dyDescent="0.25">
      <c r="A372" s="5">
        <v>44221</v>
      </c>
      <c r="B372">
        <v>24.408000000000001</v>
      </c>
      <c r="C372">
        <v>25.248999999999999</v>
      </c>
      <c r="D372">
        <v>23.093</v>
      </c>
      <c r="E372">
        <v>23.312999999999999</v>
      </c>
      <c r="F372">
        <v>986933.82200000004</v>
      </c>
      <c r="G372">
        <v>0</v>
      </c>
      <c r="P372">
        <f t="shared" si="969"/>
        <v>-0.79591836734693977</v>
      </c>
      <c r="Q372">
        <f t="shared" si="970"/>
        <v>-785518.75628571527</v>
      </c>
      <c r="R372">
        <f t="shared" si="971"/>
        <v>29690714.671047647</v>
      </c>
      <c r="S372">
        <f t="shared" si="972"/>
        <v>296.90714671047647</v>
      </c>
      <c r="T372">
        <f t="shared" si="973"/>
        <v>0.29690714671047647</v>
      </c>
    </row>
    <row r="373" spans="1:20" x14ac:dyDescent="0.25">
      <c r="A373" s="5">
        <v>44220</v>
      </c>
      <c r="B373">
        <v>24.408999999999999</v>
      </c>
      <c r="C373">
        <v>25.614000000000001</v>
      </c>
      <c r="D373">
        <v>23.597000000000001</v>
      </c>
      <c r="E373">
        <v>24.401</v>
      </c>
      <c r="F373">
        <v>1183062.3130000001</v>
      </c>
      <c r="G373">
        <v>0</v>
      </c>
      <c r="P373">
        <f t="shared" si="969"/>
        <v>-0.20277640059494426</v>
      </c>
      <c r="Q373">
        <f t="shared" si="970"/>
        <v>-239897.11750966933</v>
      </c>
      <c r="R373">
        <f t="shared" si="971"/>
        <v>30476233.427333362</v>
      </c>
      <c r="S373">
        <f t="shared" si="972"/>
        <v>304.76233427333364</v>
      </c>
      <c r="T373">
        <f t="shared" si="973"/>
        <v>0.30476233427333366</v>
      </c>
    </row>
    <row r="374" spans="1:20" x14ac:dyDescent="0.25">
      <c r="A374" s="5">
        <v>44219</v>
      </c>
      <c r="B374">
        <v>23.434999999999999</v>
      </c>
      <c r="C374">
        <v>25.43</v>
      </c>
      <c r="D374">
        <v>23.024999999999999</v>
      </c>
      <c r="E374">
        <v>24.425000000000001</v>
      </c>
      <c r="F374">
        <v>1594383.3489999999</v>
      </c>
      <c r="G374">
        <v>0</v>
      </c>
      <c r="P374">
        <f t="shared" si="969"/>
        <v>0.16424116424116547</v>
      </c>
      <c r="Q374">
        <f t="shared" si="970"/>
        <v>261863.37748648843</v>
      </c>
      <c r="R374">
        <f t="shared" si="971"/>
        <v>30716130.544843033</v>
      </c>
      <c r="S374">
        <f t="shared" si="972"/>
        <v>307.16130544843031</v>
      </c>
      <c r="T374">
        <f t="shared" si="973"/>
        <v>0.30716130544843029</v>
      </c>
    </row>
    <row r="375" spans="1:20" x14ac:dyDescent="0.25">
      <c r="A375" s="5">
        <v>44218</v>
      </c>
      <c r="B375">
        <v>22.103000000000002</v>
      </c>
      <c r="C375">
        <v>24.518000000000001</v>
      </c>
      <c r="D375">
        <v>20.77</v>
      </c>
      <c r="E375">
        <v>23.469000000000001</v>
      </c>
      <c r="F375">
        <v>1718725.203</v>
      </c>
      <c r="G375">
        <v>0</v>
      </c>
      <c r="P375">
        <f t="shared" si="969"/>
        <v>0.44023479188900788</v>
      </c>
      <c r="Q375">
        <f t="shared" si="970"/>
        <v>756642.63205709786</v>
      </c>
      <c r="R375">
        <f t="shared" si="971"/>
        <v>30454267.167356543</v>
      </c>
      <c r="S375">
        <f t="shared" si="972"/>
        <v>304.54267167356545</v>
      </c>
      <c r="T375">
        <f t="shared" si="973"/>
        <v>0.30454267167356547</v>
      </c>
    </row>
    <row r="376" spans="1:20" x14ac:dyDescent="0.25">
      <c r="A376" s="5">
        <v>44217</v>
      </c>
      <c r="B376">
        <v>26.08</v>
      </c>
      <c r="C376">
        <v>26.24</v>
      </c>
      <c r="D376">
        <v>21.963999999999999</v>
      </c>
      <c r="E376">
        <v>22.096</v>
      </c>
      <c r="F376">
        <v>1958407.4569999999</v>
      </c>
      <c r="G376">
        <v>0</v>
      </c>
      <c r="P376">
        <f t="shared" si="969"/>
        <v>-0.93826005612722108</v>
      </c>
      <c r="Q376">
        <f t="shared" si="970"/>
        <v>-1837495.4905247882</v>
      </c>
      <c r="R376">
        <f t="shared" si="971"/>
        <v>29697624.535299446</v>
      </c>
      <c r="S376">
        <f t="shared" si="972"/>
        <v>296.97624535299445</v>
      </c>
      <c r="T376">
        <f t="shared" si="973"/>
        <v>0.29697624535299444</v>
      </c>
    </row>
    <row r="377" spans="1:20" x14ac:dyDescent="0.25">
      <c r="A377" s="5">
        <v>44216</v>
      </c>
      <c r="B377">
        <v>26.268000000000001</v>
      </c>
      <c r="C377">
        <v>26.82</v>
      </c>
      <c r="D377">
        <v>23.811</v>
      </c>
      <c r="E377">
        <v>26.071999999999999</v>
      </c>
      <c r="F377">
        <v>2245161.9569999999</v>
      </c>
      <c r="G377">
        <v>0</v>
      </c>
      <c r="P377">
        <f t="shared" si="969"/>
        <v>0.50282485875706151</v>
      </c>
      <c r="Q377">
        <f t="shared" si="970"/>
        <v>1128923.2439152529</v>
      </c>
      <c r="R377">
        <f t="shared" si="971"/>
        <v>31535120.025824234</v>
      </c>
      <c r="S377">
        <f t="shared" si="972"/>
        <v>315.35120025824233</v>
      </c>
      <c r="T377">
        <f t="shared" si="973"/>
        <v>0.31535120025824231</v>
      </c>
    </row>
    <row r="378" spans="1:20" x14ac:dyDescent="0.25">
      <c r="A378" s="5">
        <v>44215</v>
      </c>
      <c r="B378">
        <v>27.082999999999998</v>
      </c>
      <c r="C378">
        <v>28.867999999999999</v>
      </c>
      <c r="D378">
        <v>26.222000000000001</v>
      </c>
      <c r="E378">
        <v>26.273</v>
      </c>
      <c r="F378">
        <v>2500772.9709999999</v>
      </c>
      <c r="G378">
        <v>0</v>
      </c>
      <c r="P378">
        <f t="shared" si="969"/>
        <v>-0.9614512471655341</v>
      </c>
      <c r="Q378">
        <f t="shared" si="970"/>
        <v>-2404371.2918458078</v>
      </c>
      <c r="R378">
        <f t="shared" si="971"/>
        <v>30406196.781908982</v>
      </c>
      <c r="S378">
        <f t="shared" si="972"/>
        <v>304.06196781908983</v>
      </c>
      <c r="T378">
        <f t="shared" si="973"/>
        <v>0.30406196781908984</v>
      </c>
    </row>
    <row r="379" spans="1:20" x14ac:dyDescent="0.25">
      <c r="A379" s="5">
        <v>44214</v>
      </c>
      <c r="B379">
        <v>23.831</v>
      </c>
      <c r="C379">
        <v>28.349</v>
      </c>
      <c r="D379">
        <v>23.042999999999999</v>
      </c>
      <c r="E379">
        <v>27.055</v>
      </c>
      <c r="F379">
        <v>3720730.1359999999</v>
      </c>
      <c r="G379">
        <v>0</v>
      </c>
      <c r="P379">
        <f t="shared" si="969"/>
        <v>0.51225028269883144</v>
      </c>
      <c r="Q379">
        <f t="shared" si="970"/>
        <v>1905945.0640120616</v>
      </c>
      <c r="R379">
        <f t="shared" si="971"/>
        <v>32810568.073754791</v>
      </c>
      <c r="S379">
        <f t="shared" si="972"/>
        <v>328.10568073754791</v>
      </c>
      <c r="T379">
        <f t="shared" si="973"/>
        <v>0.32810568073754792</v>
      </c>
    </row>
    <row r="380" spans="1:20" x14ac:dyDescent="0.25">
      <c r="A380" s="5">
        <v>44213</v>
      </c>
      <c r="B380">
        <v>23.605</v>
      </c>
      <c r="C380">
        <v>24.7</v>
      </c>
      <c r="D380">
        <v>22.204000000000001</v>
      </c>
      <c r="E380">
        <v>23.841000000000001</v>
      </c>
      <c r="F380">
        <v>1457405.5859999999</v>
      </c>
      <c r="G380">
        <v>0</v>
      </c>
      <c r="P380">
        <f t="shared" si="969"/>
        <v>0.31169871794871901</v>
      </c>
      <c r="Q380">
        <f t="shared" si="970"/>
        <v>454271.4526875015</v>
      </c>
      <c r="R380">
        <f t="shared" si="971"/>
        <v>30904623.009742729</v>
      </c>
      <c r="S380">
        <f t="shared" si="972"/>
        <v>309.04623009742727</v>
      </c>
      <c r="T380">
        <f t="shared" si="973"/>
        <v>0.30904623009742727</v>
      </c>
    </row>
    <row r="381" spans="1:20" x14ac:dyDescent="0.25">
      <c r="A381" s="5">
        <v>44212</v>
      </c>
      <c r="B381">
        <v>23.425999999999998</v>
      </c>
      <c r="C381">
        <v>24.55</v>
      </c>
      <c r="D381">
        <v>22.802</v>
      </c>
      <c r="E381">
        <v>23.58</v>
      </c>
      <c r="F381">
        <v>1747739.7819999999</v>
      </c>
      <c r="G381">
        <v>0</v>
      </c>
      <c r="P381">
        <f t="shared" si="969"/>
        <v>-0.10983981693364051</v>
      </c>
      <c r="Q381">
        <f t="shared" si="970"/>
        <v>-191971.41770252076</v>
      </c>
      <c r="R381">
        <f t="shared" si="971"/>
        <v>30450351.557055227</v>
      </c>
      <c r="S381">
        <f t="shared" si="972"/>
        <v>304.50351557055228</v>
      </c>
      <c r="T381">
        <f t="shared" si="973"/>
        <v>0.30450351557055227</v>
      </c>
    </row>
    <row r="382" spans="1:20" x14ac:dyDescent="0.25">
      <c r="A382" s="5">
        <v>44211</v>
      </c>
      <c r="B382">
        <v>23.103999999999999</v>
      </c>
      <c r="C382">
        <v>25.486000000000001</v>
      </c>
      <c r="D382">
        <v>21.5</v>
      </c>
      <c r="E382">
        <v>23.492999999999999</v>
      </c>
      <c r="F382">
        <v>3099708.466</v>
      </c>
      <c r="G382">
        <v>0</v>
      </c>
      <c r="P382">
        <f t="shared" si="969"/>
        <v>-8.9129796256911692E-16</v>
      </c>
      <c r="Q382">
        <f t="shared" si="970"/>
        <v>-2.7627638403040429E-9</v>
      </c>
      <c r="R382">
        <f t="shared" si="971"/>
        <v>30642322.97475775</v>
      </c>
      <c r="S382">
        <f t="shared" si="972"/>
        <v>306.42322974757752</v>
      </c>
      <c r="T382">
        <f t="shared" si="973"/>
        <v>0.30642322974757752</v>
      </c>
    </row>
    <row r="383" spans="1:20" x14ac:dyDescent="0.25">
      <c r="A383" s="5">
        <v>44210</v>
      </c>
      <c r="B383">
        <v>23.207000000000001</v>
      </c>
      <c r="C383">
        <v>23.97</v>
      </c>
      <c r="D383">
        <v>22.108000000000001</v>
      </c>
      <c r="E383">
        <v>23.103999999999999</v>
      </c>
      <c r="F383">
        <v>1567905.6769999999</v>
      </c>
      <c r="G383">
        <v>0</v>
      </c>
      <c r="P383">
        <f t="shared" si="969"/>
        <v>6.9817400644467842E-2</v>
      </c>
      <c r="Q383">
        <f t="shared" si="970"/>
        <v>109467.09882384459</v>
      </c>
      <c r="R383">
        <f t="shared" si="971"/>
        <v>30642322.974757753</v>
      </c>
      <c r="S383">
        <f t="shared" si="972"/>
        <v>306.42322974757752</v>
      </c>
      <c r="T383">
        <f t="shared" si="973"/>
        <v>0.30642322974757752</v>
      </c>
    </row>
    <row r="384" spans="1:20" x14ac:dyDescent="0.25">
      <c r="A384" s="5">
        <v>44209</v>
      </c>
      <c r="B384">
        <v>22.164999999999999</v>
      </c>
      <c r="C384">
        <v>24</v>
      </c>
      <c r="D384">
        <v>20.7</v>
      </c>
      <c r="E384">
        <v>23.228999999999999</v>
      </c>
      <c r="F384">
        <v>1901747.5179999999</v>
      </c>
      <c r="G384">
        <v>0</v>
      </c>
      <c r="P384">
        <f t="shared" si="969"/>
        <v>0.53272727272727238</v>
      </c>
      <c r="Q384">
        <f t="shared" si="970"/>
        <v>1013112.7686799993</v>
      </c>
      <c r="R384">
        <f t="shared" si="971"/>
        <v>30532855.875933908</v>
      </c>
      <c r="S384">
        <f t="shared" si="972"/>
        <v>305.3285587593391</v>
      </c>
      <c r="T384">
        <f t="shared" si="973"/>
        <v>0.30532855875933912</v>
      </c>
    </row>
    <row r="385" spans="1:20" x14ac:dyDescent="0.25">
      <c r="A385" s="5">
        <v>44208</v>
      </c>
      <c r="B385">
        <v>23.666</v>
      </c>
      <c r="C385">
        <v>24.693999999999999</v>
      </c>
      <c r="D385">
        <v>21.5</v>
      </c>
      <c r="E385">
        <v>22.148</v>
      </c>
      <c r="F385">
        <v>2471050.889</v>
      </c>
      <c r="G385">
        <v>0</v>
      </c>
      <c r="P385">
        <f t="shared" si="969"/>
        <v>-0.59423919849718232</v>
      </c>
      <c r="Q385">
        <f t="shared" si="970"/>
        <v>-1468395.2997251097</v>
      </c>
      <c r="R385">
        <f t="shared" si="971"/>
        <v>29519743.107253909</v>
      </c>
      <c r="S385">
        <f t="shared" si="972"/>
        <v>295.19743107253908</v>
      </c>
      <c r="T385">
        <f t="shared" si="973"/>
        <v>0.2951974310725391</v>
      </c>
    </row>
    <row r="386" spans="1:20" x14ac:dyDescent="0.25">
      <c r="A386" s="5">
        <v>44207</v>
      </c>
      <c r="B386">
        <v>24.905999999999999</v>
      </c>
      <c r="C386">
        <v>26.715</v>
      </c>
      <c r="D386">
        <v>20.2</v>
      </c>
      <c r="E386">
        <v>23.658000000000001</v>
      </c>
      <c r="F386">
        <v>7997726.307</v>
      </c>
      <c r="G386">
        <v>0</v>
      </c>
      <c r="P386">
        <f t="shared" si="969"/>
        <v>6.1550268610898434E-2</v>
      </c>
      <c r="Q386">
        <f t="shared" si="970"/>
        <v>492262.20247229876</v>
      </c>
      <c r="R386">
        <f t="shared" si="971"/>
        <v>30988138.406979017</v>
      </c>
      <c r="S386">
        <f t="shared" si="972"/>
        <v>309.88138406979016</v>
      </c>
      <c r="T386">
        <f t="shared" si="973"/>
        <v>0.30988138406979016</v>
      </c>
    </row>
    <row r="387" spans="1:20" x14ac:dyDescent="0.25">
      <c r="A387" s="5">
        <v>44206</v>
      </c>
      <c r="B387">
        <v>21.35</v>
      </c>
      <c r="C387">
        <v>26.61</v>
      </c>
      <c r="D387">
        <v>20.201000000000001</v>
      </c>
      <c r="E387">
        <v>24.920999999999999</v>
      </c>
      <c r="F387">
        <v>5397520.943</v>
      </c>
      <c r="G387">
        <v>0</v>
      </c>
      <c r="P387">
        <f t="shared" si="969"/>
        <v>0.4729286940240286</v>
      </c>
      <c r="Q387">
        <f t="shared" si="970"/>
        <v>2552642.5305403331</v>
      </c>
      <c r="R387">
        <f t="shared" si="971"/>
        <v>30495876.204506718</v>
      </c>
      <c r="S387">
        <f t="shared" si="972"/>
        <v>304.9587620450672</v>
      </c>
      <c r="T387">
        <f t="shared" si="973"/>
        <v>0.30495876204506722</v>
      </c>
    </row>
    <row r="388" spans="1:20" x14ac:dyDescent="0.25">
      <c r="A388" s="5">
        <v>44205</v>
      </c>
      <c r="B388">
        <v>19.744</v>
      </c>
      <c r="C388">
        <v>21.675000000000001</v>
      </c>
      <c r="D388">
        <v>19</v>
      </c>
      <c r="E388">
        <v>21.338000000000001</v>
      </c>
      <c r="F388">
        <v>2236328.5070000002</v>
      </c>
      <c r="G388">
        <v>0</v>
      </c>
      <c r="P388">
        <f t="shared" si="969"/>
        <v>0.7480373831775704</v>
      </c>
      <c r="Q388">
        <f t="shared" si="970"/>
        <v>1672857.3243016831</v>
      </c>
      <c r="R388">
        <f t="shared" si="971"/>
        <v>27943233.673966385</v>
      </c>
      <c r="S388">
        <f t="shared" si="972"/>
        <v>279.43233673966387</v>
      </c>
      <c r="T388">
        <f t="shared" si="973"/>
        <v>0.27943233673966389</v>
      </c>
    </row>
    <row r="389" spans="1:20" x14ac:dyDescent="0.25">
      <c r="A389" s="5">
        <v>44204</v>
      </c>
      <c r="B389">
        <v>20.905999999999999</v>
      </c>
      <c r="C389">
        <v>21.5</v>
      </c>
      <c r="D389">
        <v>18.524000000000001</v>
      </c>
      <c r="E389">
        <v>19.724</v>
      </c>
      <c r="F389">
        <v>2417082.7349999999</v>
      </c>
      <c r="G389">
        <v>0</v>
      </c>
      <c r="P389">
        <f t="shared" si="969"/>
        <v>-0.19354838709677444</v>
      </c>
      <c r="Q389">
        <f t="shared" si="970"/>
        <v>-467822.46483871026</v>
      </c>
      <c r="R389">
        <f t="shared" si="971"/>
        <v>26270376.349664703</v>
      </c>
      <c r="S389">
        <f t="shared" si="972"/>
        <v>262.70376349664701</v>
      </c>
      <c r="T389">
        <f t="shared" si="973"/>
        <v>0.26270376349664704</v>
      </c>
    </row>
    <row r="390" spans="1:20" x14ac:dyDescent="0.25">
      <c r="A390" s="5">
        <v>44203</v>
      </c>
      <c r="B390">
        <v>19.552</v>
      </c>
      <c r="C390">
        <v>22.88</v>
      </c>
      <c r="D390">
        <v>18.7</v>
      </c>
      <c r="E390">
        <v>20.888999999999999</v>
      </c>
      <c r="F390">
        <v>4229907.7920000004</v>
      </c>
      <c r="G390">
        <v>0</v>
      </c>
      <c r="P390">
        <f t="shared" ref="P390:P453" si="974">IF(C390=D390,0,((E390-D390)-(C390-E390))/(C390-D390))</f>
        <v>4.7368421052631678E-2</v>
      </c>
      <c r="Q390">
        <f t="shared" ref="Q390:Q453" si="975">F390*P390</f>
        <v>200364.0533052636</v>
      </c>
      <c r="R390">
        <f t="shared" ref="R390:R453" si="976">R391+Q390</f>
        <v>26738198.814503413</v>
      </c>
      <c r="S390">
        <f t="shared" ref="S390:S453" si="977">R390/100000</f>
        <v>267.38198814503414</v>
      </c>
      <c r="T390">
        <f t="shared" ref="T390:T453" si="978">S390/1000</f>
        <v>0.26738198814503417</v>
      </c>
    </row>
    <row r="391" spans="1:20" x14ac:dyDescent="0.25">
      <c r="A391" s="5">
        <v>44202</v>
      </c>
      <c r="B391">
        <v>16.872</v>
      </c>
      <c r="C391">
        <v>20.65</v>
      </c>
      <c r="D391">
        <v>16.526</v>
      </c>
      <c r="E391">
        <v>19.535</v>
      </c>
      <c r="F391">
        <v>3365659.5389999999</v>
      </c>
      <c r="G391">
        <v>0</v>
      </c>
      <c r="P391">
        <f t="shared" si="974"/>
        <v>0.45926285160038854</v>
      </c>
      <c r="Q391">
        <f t="shared" si="975"/>
        <v>1545722.3973971892</v>
      </c>
      <c r="R391">
        <f t="shared" si="976"/>
        <v>26537834.761198148</v>
      </c>
      <c r="S391">
        <f t="shared" si="977"/>
        <v>265.3783476119815</v>
      </c>
      <c r="T391">
        <f t="shared" si="978"/>
        <v>0.26537834761198148</v>
      </c>
    </row>
    <row r="392" spans="1:20" x14ac:dyDescent="0.25">
      <c r="A392" s="5">
        <v>44201</v>
      </c>
      <c r="B392">
        <v>16.353000000000002</v>
      </c>
      <c r="C392">
        <v>17.318999999999999</v>
      </c>
      <c r="D392">
        <v>15.4</v>
      </c>
      <c r="E392">
        <v>16.867999999999999</v>
      </c>
      <c r="F392">
        <v>1787942.7919999999</v>
      </c>
      <c r="G392">
        <v>0</v>
      </c>
      <c r="P392">
        <f t="shared" si="974"/>
        <v>0.52996352266805546</v>
      </c>
      <c r="Q392">
        <f t="shared" si="975"/>
        <v>947544.46037727827</v>
      </c>
      <c r="R392">
        <f t="shared" si="976"/>
        <v>24992112.363800958</v>
      </c>
      <c r="S392">
        <f t="shared" si="977"/>
        <v>249.92112363800959</v>
      </c>
      <c r="T392">
        <f t="shared" si="978"/>
        <v>0.24992112363800958</v>
      </c>
    </row>
    <row r="393" spans="1:20" x14ac:dyDescent="0.25">
      <c r="A393" s="5">
        <v>44200</v>
      </c>
      <c r="B393">
        <v>16.024000000000001</v>
      </c>
      <c r="C393">
        <v>17.736000000000001</v>
      </c>
      <c r="D393">
        <v>14.57</v>
      </c>
      <c r="E393">
        <v>16.372</v>
      </c>
      <c r="F393">
        <v>2317015.7000000002</v>
      </c>
      <c r="G393">
        <v>0</v>
      </c>
      <c r="P393">
        <f t="shared" si="974"/>
        <v>0.1383449147188878</v>
      </c>
      <c r="Q393">
        <f t="shared" si="975"/>
        <v>320547.33941882412</v>
      </c>
      <c r="R393">
        <f t="shared" si="976"/>
        <v>24044567.903423678</v>
      </c>
      <c r="S393">
        <f t="shared" si="977"/>
        <v>240.44567903423678</v>
      </c>
      <c r="T393">
        <f t="shared" si="978"/>
        <v>0.24044567903423678</v>
      </c>
    </row>
    <row r="394" spans="1:20" x14ac:dyDescent="0.25">
      <c r="A394" s="5">
        <v>44199</v>
      </c>
      <c r="B394">
        <v>14.422000000000001</v>
      </c>
      <c r="C394">
        <v>16.332999999999998</v>
      </c>
      <c r="D394">
        <v>14</v>
      </c>
      <c r="E394">
        <v>16.024000000000001</v>
      </c>
      <c r="F394">
        <v>1998180.2660000001</v>
      </c>
      <c r="G394">
        <v>0</v>
      </c>
      <c r="P394">
        <f t="shared" si="974"/>
        <v>0.73510501500214509</v>
      </c>
      <c r="Q394">
        <f t="shared" si="975"/>
        <v>1468872.3344149203</v>
      </c>
      <c r="R394">
        <f t="shared" si="976"/>
        <v>23724020.564004853</v>
      </c>
      <c r="S394">
        <f t="shared" si="977"/>
        <v>237.24020564004854</v>
      </c>
      <c r="T394">
        <f t="shared" si="978"/>
        <v>0.23724020564004855</v>
      </c>
    </row>
    <row r="395" spans="1:20" x14ac:dyDescent="0.25">
      <c r="A395" s="5">
        <v>44198</v>
      </c>
      <c r="B395">
        <v>14.459</v>
      </c>
      <c r="C395">
        <v>14.798999999999999</v>
      </c>
      <c r="D395">
        <v>14.081</v>
      </c>
      <c r="E395">
        <v>14.426</v>
      </c>
      <c r="F395">
        <v>746152.93700000003</v>
      </c>
      <c r="G395">
        <v>0</v>
      </c>
      <c r="P395">
        <f t="shared" si="974"/>
        <v>-3.8997214484677849E-2</v>
      </c>
      <c r="Q395">
        <f t="shared" si="975"/>
        <v>-29097.886122561318</v>
      </c>
      <c r="R395">
        <f t="shared" si="976"/>
        <v>22255148.229589932</v>
      </c>
      <c r="S395">
        <f t="shared" si="977"/>
        <v>222.55148229589932</v>
      </c>
      <c r="T395">
        <f t="shared" si="978"/>
        <v>0.22255148229589933</v>
      </c>
    </row>
    <row r="396" spans="1:20" x14ac:dyDescent="0.25">
      <c r="A396" s="5">
        <v>44197</v>
      </c>
      <c r="B396">
        <v>14.262</v>
      </c>
      <c r="C396">
        <v>14.948</v>
      </c>
      <c r="D396">
        <v>14.118</v>
      </c>
      <c r="E396">
        <v>14.461</v>
      </c>
      <c r="F396">
        <v>507187.68099999998</v>
      </c>
      <c r="G396">
        <v>0</v>
      </c>
      <c r="P396">
        <f t="shared" si="974"/>
        <v>-0.17349397590361459</v>
      </c>
      <c r="Q396">
        <f t="shared" si="975"/>
        <v>-87994.007306024156</v>
      </c>
      <c r="R396">
        <f t="shared" si="976"/>
        <v>22284246.115712494</v>
      </c>
      <c r="S396">
        <f t="shared" si="977"/>
        <v>222.84246115712494</v>
      </c>
      <c r="T396">
        <f t="shared" si="978"/>
        <v>0.22284246115712494</v>
      </c>
    </row>
    <row r="397" spans="1:20" x14ac:dyDescent="0.25">
      <c r="A397" s="5">
        <v>44196</v>
      </c>
      <c r="B397">
        <v>14.724</v>
      </c>
      <c r="C397">
        <v>14.731</v>
      </c>
      <c r="D397">
        <v>13.945</v>
      </c>
      <c r="E397">
        <v>14.256</v>
      </c>
      <c r="F397">
        <v>430603.011</v>
      </c>
      <c r="G397">
        <v>0</v>
      </c>
      <c r="P397">
        <f t="shared" si="974"/>
        <v>-0.20865139949109388</v>
      </c>
      <c r="Q397">
        <f t="shared" si="975"/>
        <v>-89845.920870228889</v>
      </c>
      <c r="R397">
        <f t="shared" si="976"/>
        <v>22372240.123018518</v>
      </c>
      <c r="S397">
        <f t="shared" si="977"/>
        <v>223.72240123018517</v>
      </c>
      <c r="T397">
        <f t="shared" si="978"/>
        <v>0.22372240123018516</v>
      </c>
    </row>
    <row r="398" spans="1:20" x14ac:dyDescent="0.25">
      <c r="A398" s="5">
        <v>44195</v>
      </c>
      <c r="B398">
        <v>15.065</v>
      </c>
      <c r="C398">
        <v>15.218999999999999</v>
      </c>
      <c r="D398">
        <v>14.502000000000001</v>
      </c>
      <c r="E398">
        <v>14.722</v>
      </c>
      <c r="F398">
        <v>433452.60100000002</v>
      </c>
      <c r="G398">
        <v>0</v>
      </c>
      <c r="P398">
        <f t="shared" si="974"/>
        <v>-0.38633193863319598</v>
      </c>
      <c r="Q398">
        <f t="shared" si="975"/>
        <v>-167456.58364993118</v>
      </c>
      <c r="R398">
        <f t="shared" si="976"/>
        <v>22462086.043888748</v>
      </c>
      <c r="S398">
        <f t="shared" si="977"/>
        <v>224.62086043888749</v>
      </c>
      <c r="T398">
        <f t="shared" si="978"/>
        <v>0.22462086043888749</v>
      </c>
    </row>
    <row r="399" spans="1:20" x14ac:dyDescent="0.25">
      <c r="A399" s="5">
        <v>44194</v>
      </c>
      <c r="B399">
        <v>15.621</v>
      </c>
      <c r="C399">
        <v>15.945</v>
      </c>
      <c r="D399">
        <v>14.404999999999999</v>
      </c>
      <c r="E399">
        <v>15.054</v>
      </c>
      <c r="F399">
        <v>926145.21900000004</v>
      </c>
      <c r="G399">
        <v>0</v>
      </c>
      <c r="P399">
        <f t="shared" si="974"/>
        <v>-0.15714285714285647</v>
      </c>
      <c r="Q399">
        <f t="shared" si="975"/>
        <v>-145537.10584285652</v>
      </c>
      <c r="R399">
        <f t="shared" si="976"/>
        <v>22629542.627538677</v>
      </c>
      <c r="S399">
        <f t="shared" si="977"/>
        <v>226.29542627538677</v>
      </c>
      <c r="T399">
        <f t="shared" si="978"/>
        <v>0.22629542627538676</v>
      </c>
    </row>
    <row r="400" spans="1:20" x14ac:dyDescent="0.25">
      <c r="A400" s="5">
        <v>44193</v>
      </c>
      <c r="B400">
        <v>15.119</v>
      </c>
      <c r="C400">
        <v>16.274000000000001</v>
      </c>
      <c r="D400">
        <v>15</v>
      </c>
      <c r="E400">
        <v>15.63</v>
      </c>
      <c r="F400">
        <v>875918.69</v>
      </c>
      <c r="G400">
        <v>0</v>
      </c>
      <c r="P400">
        <f t="shared" si="974"/>
        <v>-1.0989010989010468E-2</v>
      </c>
      <c r="Q400">
        <f t="shared" si="975"/>
        <v>-9625.4801098896532</v>
      </c>
      <c r="R400">
        <f t="shared" si="976"/>
        <v>22775079.733381532</v>
      </c>
      <c r="S400">
        <f t="shared" si="977"/>
        <v>227.75079733381531</v>
      </c>
      <c r="T400">
        <f t="shared" si="978"/>
        <v>0.22775079733381531</v>
      </c>
    </row>
    <row r="401" spans="1:20" x14ac:dyDescent="0.25">
      <c r="A401" s="5">
        <v>44192</v>
      </c>
      <c r="B401">
        <v>14.978</v>
      </c>
      <c r="C401">
        <v>15.95</v>
      </c>
      <c r="D401">
        <v>14.07</v>
      </c>
      <c r="E401">
        <v>15.112</v>
      </c>
      <c r="F401">
        <v>1197262.78</v>
      </c>
      <c r="G401">
        <v>0</v>
      </c>
      <c r="P401">
        <f t="shared" si="974"/>
        <v>0.10851063829787273</v>
      </c>
      <c r="Q401">
        <f t="shared" si="975"/>
        <v>129915.74846808559</v>
      </c>
      <c r="R401">
        <f t="shared" si="976"/>
        <v>22784705.213491421</v>
      </c>
      <c r="S401">
        <f t="shared" si="977"/>
        <v>227.84705213491421</v>
      </c>
      <c r="T401">
        <f t="shared" si="978"/>
        <v>0.22784705213491421</v>
      </c>
    </row>
    <row r="402" spans="1:20" x14ac:dyDescent="0.25">
      <c r="A402" s="5">
        <v>44191</v>
      </c>
      <c r="B402">
        <v>15.173</v>
      </c>
      <c r="C402">
        <v>15.7</v>
      </c>
      <c r="D402">
        <v>14.244</v>
      </c>
      <c r="E402">
        <v>14.984</v>
      </c>
      <c r="F402">
        <v>861681.56200000003</v>
      </c>
      <c r="G402">
        <v>0</v>
      </c>
      <c r="P402">
        <f t="shared" si="974"/>
        <v>1.6483516483517112E-2</v>
      </c>
      <c r="Q402">
        <f t="shared" si="975"/>
        <v>14203.542230769774</v>
      </c>
      <c r="R402">
        <f t="shared" si="976"/>
        <v>22654789.465023335</v>
      </c>
      <c r="S402">
        <f t="shared" si="977"/>
        <v>226.54789465023336</v>
      </c>
      <c r="T402">
        <f t="shared" si="978"/>
        <v>0.22654789465023337</v>
      </c>
    </row>
    <row r="403" spans="1:20" x14ac:dyDescent="0.25">
      <c r="A403" s="5">
        <v>44190</v>
      </c>
      <c r="B403">
        <v>15.263</v>
      </c>
      <c r="C403">
        <v>15.888</v>
      </c>
      <c r="D403">
        <v>14.507</v>
      </c>
      <c r="E403">
        <v>15.173</v>
      </c>
      <c r="F403">
        <v>789360.30299999996</v>
      </c>
      <c r="G403">
        <v>0</v>
      </c>
      <c r="P403">
        <f t="shared" si="974"/>
        <v>-3.5481535119478262E-2</v>
      </c>
      <c r="Q403">
        <f t="shared" si="975"/>
        <v>-28007.715312816501</v>
      </c>
      <c r="R403">
        <f t="shared" si="976"/>
        <v>22640585.922792565</v>
      </c>
      <c r="S403">
        <f t="shared" si="977"/>
        <v>226.40585922792565</v>
      </c>
      <c r="T403">
        <f t="shared" si="978"/>
        <v>0.22640585922792564</v>
      </c>
    </row>
    <row r="404" spans="1:20" x14ac:dyDescent="0.25">
      <c r="A404" s="5">
        <v>44189</v>
      </c>
      <c r="B404">
        <v>13.452</v>
      </c>
      <c r="C404">
        <v>15.3</v>
      </c>
      <c r="D404">
        <v>13.066000000000001</v>
      </c>
      <c r="E404">
        <v>15.269</v>
      </c>
      <c r="F404">
        <v>1083876.94</v>
      </c>
      <c r="G404">
        <v>0</v>
      </c>
      <c r="P404">
        <f t="shared" si="974"/>
        <v>0.9722470904207694</v>
      </c>
      <c r="Q404">
        <f t="shared" si="975"/>
        <v>1053796.2012891667</v>
      </c>
      <c r="R404">
        <f t="shared" si="976"/>
        <v>22668593.638105381</v>
      </c>
      <c r="S404">
        <f t="shared" si="977"/>
        <v>226.68593638105381</v>
      </c>
      <c r="T404">
        <f t="shared" si="978"/>
        <v>0.2266859363810538</v>
      </c>
    </row>
    <row r="405" spans="1:20" x14ac:dyDescent="0.25">
      <c r="A405" s="5">
        <v>44188</v>
      </c>
      <c r="B405">
        <v>16.510999999999999</v>
      </c>
      <c r="C405">
        <v>16.638000000000002</v>
      </c>
      <c r="D405">
        <v>12.215999999999999</v>
      </c>
      <c r="E405">
        <v>13.456</v>
      </c>
      <c r="F405">
        <v>1397498.2720000001</v>
      </c>
      <c r="G405">
        <v>0</v>
      </c>
      <c r="P405">
        <f t="shared" si="974"/>
        <v>-0.43916779737675282</v>
      </c>
      <c r="Q405">
        <f t="shared" si="975"/>
        <v>-613736.2379520582</v>
      </c>
      <c r="R405">
        <f t="shared" si="976"/>
        <v>21614797.436816216</v>
      </c>
      <c r="S405">
        <f t="shared" si="977"/>
        <v>216.14797436816215</v>
      </c>
      <c r="T405">
        <f t="shared" si="978"/>
        <v>0.21614797436816216</v>
      </c>
    </row>
    <row r="406" spans="1:20" x14ac:dyDescent="0.25">
      <c r="A406" s="5">
        <v>44187</v>
      </c>
      <c r="B406">
        <v>16.526</v>
      </c>
      <c r="C406">
        <v>16.920999999999999</v>
      </c>
      <c r="D406">
        <v>15.756</v>
      </c>
      <c r="E406">
        <v>16.515999999999998</v>
      </c>
      <c r="F406">
        <v>601766.41799999995</v>
      </c>
      <c r="G406">
        <v>0</v>
      </c>
      <c r="P406">
        <f t="shared" si="974"/>
        <v>0.30472103004291601</v>
      </c>
      <c r="Q406">
        <f t="shared" si="975"/>
        <v>183370.88273819594</v>
      </c>
      <c r="R406">
        <f t="shared" si="976"/>
        <v>22228533.674768273</v>
      </c>
      <c r="S406">
        <f t="shared" si="977"/>
        <v>222.28533674768272</v>
      </c>
      <c r="T406">
        <f t="shared" si="978"/>
        <v>0.22228533674768272</v>
      </c>
    </row>
    <row r="407" spans="1:20" x14ac:dyDescent="0.25">
      <c r="A407" s="5">
        <v>44186</v>
      </c>
      <c r="B407">
        <v>17.54</v>
      </c>
      <c r="C407">
        <v>17.841999999999999</v>
      </c>
      <c r="D407">
        <v>16.07</v>
      </c>
      <c r="E407">
        <v>16.513999999999999</v>
      </c>
      <c r="F407">
        <v>933078.23699999996</v>
      </c>
      <c r="G407">
        <v>0</v>
      </c>
      <c r="P407">
        <f t="shared" si="974"/>
        <v>-0.49887133182844307</v>
      </c>
      <c r="Q407">
        <f t="shared" si="975"/>
        <v>-465485.98279232561</v>
      </c>
      <c r="R407">
        <f t="shared" si="976"/>
        <v>22045162.792030077</v>
      </c>
      <c r="S407">
        <f t="shared" si="977"/>
        <v>220.45162792030078</v>
      </c>
      <c r="T407">
        <f t="shared" si="978"/>
        <v>0.22045162792030079</v>
      </c>
    </row>
    <row r="408" spans="1:20" x14ac:dyDescent="0.25">
      <c r="A408" s="5">
        <v>44185</v>
      </c>
      <c r="B408">
        <v>17.841999999999999</v>
      </c>
      <c r="C408">
        <v>18.489999999999998</v>
      </c>
      <c r="D408">
        <v>17</v>
      </c>
      <c r="E408">
        <v>17.541</v>
      </c>
      <c r="F408">
        <v>797274.853</v>
      </c>
      <c r="G408">
        <v>0</v>
      </c>
      <c r="P408">
        <f t="shared" si="974"/>
        <v>-0.27382550335570344</v>
      </c>
      <c r="Q408">
        <f t="shared" si="975"/>
        <v>-218314.18793556947</v>
      </c>
      <c r="R408">
        <f t="shared" si="976"/>
        <v>22510648.774822403</v>
      </c>
      <c r="S408">
        <f t="shared" si="977"/>
        <v>225.10648774822403</v>
      </c>
      <c r="T408">
        <f t="shared" si="978"/>
        <v>0.22510648774822403</v>
      </c>
    </row>
    <row r="409" spans="1:20" x14ac:dyDescent="0.25">
      <c r="A409" s="5">
        <v>44184</v>
      </c>
      <c r="B409">
        <v>17.91</v>
      </c>
      <c r="C409">
        <v>18.443999999999999</v>
      </c>
      <c r="D409">
        <v>17.63</v>
      </c>
      <c r="E409">
        <v>17.835000000000001</v>
      </c>
      <c r="F409">
        <v>500480.47499999998</v>
      </c>
      <c r="G409">
        <v>0</v>
      </c>
      <c r="P409">
        <f t="shared" si="974"/>
        <v>-0.49631449631449182</v>
      </c>
      <c r="Q409">
        <f t="shared" si="975"/>
        <v>-248395.71486486259</v>
      </c>
      <c r="R409">
        <f t="shared" si="976"/>
        <v>22728962.962757971</v>
      </c>
      <c r="S409">
        <f t="shared" si="977"/>
        <v>227.2896296275797</v>
      </c>
      <c r="T409">
        <f t="shared" si="978"/>
        <v>0.2272896296275797</v>
      </c>
    </row>
    <row r="410" spans="1:20" x14ac:dyDescent="0.25">
      <c r="A410" s="5">
        <v>44183</v>
      </c>
      <c r="B410">
        <v>17.765999999999998</v>
      </c>
      <c r="C410">
        <v>18.32</v>
      </c>
      <c r="D410">
        <v>17.341000000000001</v>
      </c>
      <c r="E410">
        <v>17.917999999999999</v>
      </c>
      <c r="F410">
        <v>577286.56099999999</v>
      </c>
      <c r="G410">
        <v>0</v>
      </c>
      <c r="P410">
        <f t="shared" si="974"/>
        <v>0.17875383043922094</v>
      </c>
      <c r="Q410">
        <f t="shared" si="975"/>
        <v>103192.18403983497</v>
      </c>
      <c r="R410">
        <f t="shared" si="976"/>
        <v>22977358.677622832</v>
      </c>
      <c r="S410">
        <f t="shared" si="977"/>
        <v>229.77358677622831</v>
      </c>
      <c r="T410">
        <f t="shared" si="978"/>
        <v>0.22977358677622831</v>
      </c>
    </row>
    <row r="411" spans="1:20" x14ac:dyDescent="0.25">
      <c r="A411" s="5">
        <v>44182</v>
      </c>
      <c r="B411">
        <v>17.943000000000001</v>
      </c>
      <c r="C411">
        <v>18.748999999999999</v>
      </c>
      <c r="D411">
        <v>17.376999999999999</v>
      </c>
      <c r="E411">
        <v>17.773</v>
      </c>
      <c r="F411">
        <v>1216502.8689999999</v>
      </c>
      <c r="G411">
        <v>0</v>
      </c>
      <c r="P411">
        <f t="shared" si="974"/>
        <v>-0.42274052478133989</v>
      </c>
      <c r="Q411">
        <f t="shared" si="975"/>
        <v>-514265.06123906554</v>
      </c>
      <c r="R411">
        <f t="shared" si="976"/>
        <v>22874166.493582997</v>
      </c>
      <c r="S411">
        <f t="shared" si="977"/>
        <v>228.74166493582999</v>
      </c>
      <c r="T411">
        <f t="shared" si="978"/>
        <v>0.22874166493582998</v>
      </c>
    </row>
    <row r="412" spans="1:20" x14ac:dyDescent="0.25">
      <c r="A412" s="5">
        <v>44181</v>
      </c>
      <c r="B412">
        <v>17.099</v>
      </c>
      <c r="C412">
        <v>17.966000000000001</v>
      </c>
      <c r="D412">
        <v>16.640999999999998</v>
      </c>
      <c r="E412">
        <v>17.952000000000002</v>
      </c>
      <c r="F412">
        <v>680260.18200000003</v>
      </c>
      <c r="G412">
        <v>0</v>
      </c>
      <c r="P412">
        <f t="shared" si="974"/>
        <v>0.97886792452830296</v>
      </c>
      <c r="Q412">
        <f t="shared" si="975"/>
        <v>665884.87249358569</v>
      </c>
      <c r="R412">
        <f t="shared" si="976"/>
        <v>23388431.554822061</v>
      </c>
      <c r="S412">
        <f t="shared" si="977"/>
        <v>233.8843155482206</v>
      </c>
      <c r="T412">
        <f t="shared" si="978"/>
        <v>0.23388431554822059</v>
      </c>
    </row>
    <row r="413" spans="1:20" x14ac:dyDescent="0.25">
      <c r="A413" s="5">
        <v>44180</v>
      </c>
      <c r="B413">
        <v>17.398</v>
      </c>
      <c r="C413">
        <v>17.553999999999998</v>
      </c>
      <c r="D413">
        <v>16.716000000000001</v>
      </c>
      <c r="E413">
        <v>17.103000000000002</v>
      </c>
      <c r="F413">
        <v>473394.68300000002</v>
      </c>
      <c r="G413">
        <v>0</v>
      </c>
      <c r="P413">
        <f t="shared" si="974"/>
        <v>-7.6372315035795585E-2</v>
      </c>
      <c r="Q413">
        <f t="shared" si="975"/>
        <v>-36154.247866346588</v>
      </c>
      <c r="R413">
        <f t="shared" si="976"/>
        <v>22722546.682328474</v>
      </c>
      <c r="S413">
        <f t="shared" si="977"/>
        <v>227.22546682328473</v>
      </c>
      <c r="T413">
        <f t="shared" si="978"/>
        <v>0.22722546682328473</v>
      </c>
    </row>
    <row r="414" spans="1:20" x14ac:dyDescent="0.25">
      <c r="A414" s="5">
        <v>44179</v>
      </c>
      <c r="B414">
        <v>17.271000000000001</v>
      </c>
      <c r="C414">
        <v>17.661000000000001</v>
      </c>
      <c r="D414">
        <v>16.963999999999999</v>
      </c>
      <c r="E414">
        <v>17.398</v>
      </c>
      <c r="F414">
        <v>323675.467</v>
      </c>
      <c r="G414">
        <v>0</v>
      </c>
      <c r="P414">
        <f t="shared" si="974"/>
        <v>0.24533715925394362</v>
      </c>
      <c r="Q414">
        <f t="shared" si="975"/>
        <v>79409.619593973577</v>
      </c>
      <c r="R414">
        <f t="shared" si="976"/>
        <v>22758700.930194821</v>
      </c>
      <c r="S414">
        <f t="shared" si="977"/>
        <v>227.5870093019482</v>
      </c>
      <c r="T414">
        <f t="shared" si="978"/>
        <v>0.2275870093019482</v>
      </c>
    </row>
    <row r="415" spans="1:20" x14ac:dyDescent="0.25">
      <c r="A415" s="5">
        <v>44178</v>
      </c>
      <c r="B415">
        <v>16.474</v>
      </c>
      <c r="C415">
        <v>17.733000000000001</v>
      </c>
      <c r="D415">
        <v>16.38</v>
      </c>
      <c r="E415">
        <v>17.260999999999999</v>
      </c>
      <c r="F415">
        <v>594834.86199999996</v>
      </c>
      <c r="G415">
        <v>0</v>
      </c>
      <c r="P415">
        <f t="shared" si="974"/>
        <v>0.30229120473022797</v>
      </c>
      <c r="Q415">
        <f t="shared" si="975"/>
        <v>179813.3470495189</v>
      </c>
      <c r="R415">
        <f t="shared" si="976"/>
        <v>22679291.310600847</v>
      </c>
      <c r="S415">
        <f t="shared" si="977"/>
        <v>226.79291310600848</v>
      </c>
      <c r="T415">
        <f t="shared" si="978"/>
        <v>0.22679291310600849</v>
      </c>
    </row>
    <row r="416" spans="1:20" x14ac:dyDescent="0.25">
      <c r="A416" s="5">
        <v>44177</v>
      </c>
      <c r="B416">
        <v>15.917999999999999</v>
      </c>
      <c r="C416">
        <v>16.66</v>
      </c>
      <c r="D416">
        <v>15.866</v>
      </c>
      <c r="E416">
        <v>16.463000000000001</v>
      </c>
      <c r="F416">
        <v>340269.21299999999</v>
      </c>
      <c r="G416">
        <v>0</v>
      </c>
      <c r="P416">
        <f t="shared" si="974"/>
        <v>0.50377833753148848</v>
      </c>
      <c r="Q416">
        <f t="shared" si="975"/>
        <v>171420.25843828794</v>
      </c>
      <c r="R416">
        <f t="shared" si="976"/>
        <v>22499477.963551328</v>
      </c>
      <c r="S416">
        <f t="shared" si="977"/>
        <v>224.99477963551328</v>
      </c>
      <c r="T416">
        <f t="shared" si="978"/>
        <v>0.22499477963551329</v>
      </c>
    </row>
    <row r="417" spans="1:20" x14ac:dyDescent="0.25">
      <c r="A417" s="5">
        <v>44176</v>
      </c>
      <c r="B417">
        <v>16.245999999999999</v>
      </c>
      <c r="C417">
        <v>16.321000000000002</v>
      </c>
      <c r="D417">
        <v>15.503</v>
      </c>
      <c r="E417">
        <v>15.898</v>
      </c>
      <c r="F417">
        <v>426595.31199999998</v>
      </c>
      <c r="G417">
        <v>0</v>
      </c>
      <c r="P417">
        <f t="shared" si="974"/>
        <v>-3.4229828850858429E-2</v>
      </c>
      <c r="Q417">
        <f t="shared" si="975"/>
        <v>-14602.284518338553</v>
      </c>
      <c r="R417">
        <f t="shared" si="976"/>
        <v>22328057.705113038</v>
      </c>
      <c r="S417">
        <f t="shared" si="977"/>
        <v>223.28057705113039</v>
      </c>
      <c r="T417">
        <f t="shared" si="978"/>
        <v>0.22328057705113039</v>
      </c>
    </row>
    <row r="418" spans="1:20" x14ac:dyDescent="0.25">
      <c r="A418" s="5">
        <v>44175</v>
      </c>
      <c r="B418">
        <v>16.891999999999999</v>
      </c>
      <c r="C418">
        <v>16.965</v>
      </c>
      <c r="D418">
        <v>16.02</v>
      </c>
      <c r="E418">
        <v>16.238</v>
      </c>
      <c r="F418">
        <v>356264.07699999999</v>
      </c>
      <c r="G418">
        <v>0</v>
      </c>
      <c r="P418">
        <f t="shared" si="974"/>
        <v>-0.53862433862433878</v>
      </c>
      <c r="Q418">
        <f t="shared" si="975"/>
        <v>-191892.50284973549</v>
      </c>
      <c r="R418">
        <f t="shared" si="976"/>
        <v>22342659.989631377</v>
      </c>
      <c r="S418">
        <f t="shared" si="977"/>
        <v>223.42659989631377</v>
      </c>
      <c r="T418">
        <f t="shared" si="978"/>
        <v>0.22342659989631378</v>
      </c>
    </row>
    <row r="419" spans="1:20" x14ac:dyDescent="0.25">
      <c r="A419" s="5">
        <v>44174</v>
      </c>
      <c r="B419">
        <v>16.446999999999999</v>
      </c>
      <c r="C419">
        <v>17.03</v>
      </c>
      <c r="D419">
        <v>15.647</v>
      </c>
      <c r="E419">
        <v>16.899000000000001</v>
      </c>
      <c r="F419">
        <v>667827.64399999997</v>
      </c>
      <c r="G419">
        <v>0</v>
      </c>
      <c r="P419">
        <f t="shared" si="974"/>
        <v>0.81055676066522031</v>
      </c>
      <c r="Q419">
        <f t="shared" si="975"/>
        <v>541312.21180332592</v>
      </c>
      <c r="R419">
        <f t="shared" si="976"/>
        <v>22534552.492481112</v>
      </c>
      <c r="S419">
        <f t="shared" si="977"/>
        <v>225.34552492481112</v>
      </c>
      <c r="T419">
        <f t="shared" si="978"/>
        <v>0.22534552492481111</v>
      </c>
    </row>
    <row r="420" spans="1:20" x14ac:dyDescent="0.25">
      <c r="A420" s="5">
        <v>44173</v>
      </c>
      <c r="B420">
        <v>17.45</v>
      </c>
      <c r="C420">
        <v>17.523</v>
      </c>
      <c r="D420">
        <v>16.074999999999999</v>
      </c>
      <c r="E420">
        <v>16.456</v>
      </c>
      <c r="F420">
        <v>599020.29299999995</v>
      </c>
      <c r="G420">
        <v>0</v>
      </c>
      <c r="P420">
        <f t="shared" si="974"/>
        <v>-0.47375690607734788</v>
      </c>
      <c r="Q420">
        <f t="shared" si="975"/>
        <v>-283790.00068922638</v>
      </c>
      <c r="R420">
        <f t="shared" si="976"/>
        <v>21993240.280677788</v>
      </c>
      <c r="S420">
        <f t="shared" si="977"/>
        <v>219.93240280677787</v>
      </c>
      <c r="T420">
        <f t="shared" si="978"/>
        <v>0.21993240280677787</v>
      </c>
    </row>
    <row r="421" spans="1:20" x14ac:dyDescent="0.25">
      <c r="A421" s="5">
        <v>44172</v>
      </c>
      <c r="B421">
        <v>17.901</v>
      </c>
      <c r="C421">
        <v>17.928000000000001</v>
      </c>
      <c r="D421">
        <v>17.234999999999999</v>
      </c>
      <c r="E421">
        <v>17.442</v>
      </c>
      <c r="F421">
        <v>330806.51199999999</v>
      </c>
      <c r="G421">
        <v>0</v>
      </c>
      <c r="P421">
        <f t="shared" si="974"/>
        <v>-0.40259740259740168</v>
      </c>
      <c r="Q421">
        <f t="shared" si="975"/>
        <v>-133181.84249350618</v>
      </c>
      <c r="R421">
        <f t="shared" si="976"/>
        <v>22277030.281367015</v>
      </c>
      <c r="S421">
        <f t="shared" si="977"/>
        <v>222.77030281367016</v>
      </c>
      <c r="T421">
        <f t="shared" si="978"/>
        <v>0.22277030281367016</v>
      </c>
    </row>
    <row r="422" spans="1:20" x14ac:dyDescent="0.25">
      <c r="A422" s="5">
        <v>44171</v>
      </c>
      <c r="B422">
        <v>17.975000000000001</v>
      </c>
      <c r="C422">
        <v>18.138999999999999</v>
      </c>
      <c r="D422">
        <v>17.530999999999999</v>
      </c>
      <c r="E422">
        <v>17.89</v>
      </c>
      <c r="F422">
        <v>354925.73</v>
      </c>
      <c r="G422">
        <v>0</v>
      </c>
      <c r="P422">
        <f t="shared" si="974"/>
        <v>0.1809210526315837</v>
      </c>
      <c r="Q422">
        <f t="shared" si="975"/>
        <v>64213.536677633259</v>
      </c>
      <c r="R422">
        <f t="shared" si="976"/>
        <v>22410212.123860523</v>
      </c>
      <c r="S422">
        <f t="shared" si="977"/>
        <v>224.10212123860524</v>
      </c>
      <c r="T422">
        <f t="shared" si="978"/>
        <v>0.22410212123860523</v>
      </c>
    </row>
    <row r="423" spans="1:20" x14ac:dyDescent="0.25">
      <c r="A423" s="5">
        <v>44170</v>
      </c>
      <c r="B423">
        <v>17.295000000000002</v>
      </c>
      <c r="C423">
        <v>17.992000000000001</v>
      </c>
      <c r="D423">
        <v>17.010000000000002</v>
      </c>
      <c r="E423">
        <v>17.975000000000001</v>
      </c>
      <c r="F423">
        <v>356080.25099999999</v>
      </c>
      <c r="G423">
        <v>0</v>
      </c>
      <c r="P423">
        <f t="shared" si="974"/>
        <v>0.96537678207739419</v>
      </c>
      <c r="Q423">
        <f t="shared" si="975"/>
        <v>343751.60687169083</v>
      </c>
      <c r="R423">
        <f t="shared" si="976"/>
        <v>22345998.587182891</v>
      </c>
      <c r="S423">
        <f t="shared" si="977"/>
        <v>223.45998587182891</v>
      </c>
      <c r="T423">
        <f t="shared" si="978"/>
        <v>0.22345998587182891</v>
      </c>
    </row>
    <row r="424" spans="1:20" x14ac:dyDescent="0.25">
      <c r="A424" s="5">
        <v>44169</v>
      </c>
      <c r="B424">
        <v>18.844000000000001</v>
      </c>
      <c r="C424">
        <v>19.012</v>
      </c>
      <c r="D424">
        <v>17.091000000000001</v>
      </c>
      <c r="E424">
        <v>17.297999999999998</v>
      </c>
      <c r="F424">
        <v>840181.06099999999</v>
      </c>
      <c r="G424">
        <v>0</v>
      </c>
      <c r="P424">
        <f t="shared" si="974"/>
        <v>-0.7844872462259268</v>
      </c>
      <c r="Q424">
        <f t="shared" si="975"/>
        <v>-659111.32687506743</v>
      </c>
      <c r="R424">
        <f t="shared" si="976"/>
        <v>22002246.9803112</v>
      </c>
      <c r="S424">
        <f t="shared" si="977"/>
        <v>220.02246980311199</v>
      </c>
      <c r="T424">
        <f t="shared" si="978"/>
        <v>0.22002246980311199</v>
      </c>
    </row>
    <row r="425" spans="1:20" x14ac:dyDescent="0.25">
      <c r="A425" s="5">
        <v>44168</v>
      </c>
      <c r="B425">
        <v>18.010999999999999</v>
      </c>
      <c r="C425">
        <v>19.2</v>
      </c>
      <c r="D425">
        <v>17.856000000000002</v>
      </c>
      <c r="E425">
        <v>18.853000000000002</v>
      </c>
      <c r="F425">
        <v>947432.42500000005</v>
      </c>
      <c r="G425">
        <v>0</v>
      </c>
      <c r="P425">
        <f t="shared" si="974"/>
        <v>0.48363095238095483</v>
      </c>
      <c r="Q425">
        <f t="shared" si="975"/>
        <v>458207.64601934759</v>
      </c>
      <c r="R425">
        <f t="shared" si="976"/>
        <v>22661358.307186268</v>
      </c>
      <c r="S425">
        <f t="shared" si="977"/>
        <v>226.61358307186268</v>
      </c>
      <c r="T425">
        <f t="shared" si="978"/>
        <v>0.22661358307186269</v>
      </c>
    </row>
    <row r="426" spans="1:20" x14ac:dyDescent="0.25">
      <c r="A426" s="5">
        <v>44167</v>
      </c>
      <c r="B426">
        <v>17.52</v>
      </c>
      <c r="C426">
        <v>18.439</v>
      </c>
      <c r="D426">
        <v>17.207999999999998</v>
      </c>
      <c r="E426">
        <v>18.026</v>
      </c>
      <c r="F426">
        <v>772171.62899999996</v>
      </c>
      <c r="G426">
        <v>0</v>
      </c>
      <c r="P426">
        <f t="shared" si="974"/>
        <v>0.3290008123476853</v>
      </c>
      <c r="Q426">
        <f t="shared" si="975"/>
        <v>254045.09321283546</v>
      </c>
      <c r="R426">
        <f t="shared" si="976"/>
        <v>22203150.661166921</v>
      </c>
      <c r="S426">
        <f t="shared" si="977"/>
        <v>222.03150661166922</v>
      </c>
      <c r="T426">
        <f t="shared" si="978"/>
        <v>0.2220315066116692</v>
      </c>
    </row>
    <row r="427" spans="1:20" x14ac:dyDescent="0.25">
      <c r="A427" s="5">
        <v>44166</v>
      </c>
      <c r="B427">
        <v>18.579999999999998</v>
      </c>
      <c r="C427">
        <v>19.32</v>
      </c>
      <c r="D427">
        <v>17</v>
      </c>
      <c r="E427">
        <v>17.53</v>
      </c>
      <c r="F427">
        <v>1575122.6310000001</v>
      </c>
      <c r="G427">
        <v>0</v>
      </c>
      <c r="P427">
        <f t="shared" si="974"/>
        <v>-0.5431034482758611</v>
      </c>
      <c r="Q427">
        <f t="shared" si="975"/>
        <v>-855454.53235344682</v>
      </c>
      <c r="R427">
        <f t="shared" si="976"/>
        <v>21949105.567954086</v>
      </c>
      <c r="S427">
        <f t="shared" si="977"/>
        <v>219.49105567954086</v>
      </c>
      <c r="T427">
        <f t="shared" si="978"/>
        <v>0.21949105567954086</v>
      </c>
    </row>
    <row r="428" spans="1:20" x14ac:dyDescent="0.25">
      <c r="A428" s="5">
        <v>44165</v>
      </c>
      <c r="B428">
        <v>17.696999999999999</v>
      </c>
      <c r="C428">
        <v>18.771000000000001</v>
      </c>
      <c r="D428">
        <v>17.32</v>
      </c>
      <c r="E428">
        <v>18.577000000000002</v>
      </c>
      <c r="F428">
        <v>1114885.0989999999</v>
      </c>
      <c r="G428">
        <v>0</v>
      </c>
      <c r="P428">
        <f t="shared" si="974"/>
        <v>0.7325982081323239</v>
      </c>
      <c r="Q428">
        <f t="shared" si="975"/>
        <v>816762.82580082852</v>
      </c>
      <c r="R428">
        <f t="shared" si="976"/>
        <v>22804560.100307532</v>
      </c>
      <c r="S428">
        <f t="shared" si="977"/>
        <v>228.04560100307532</v>
      </c>
      <c r="T428">
        <f t="shared" si="978"/>
        <v>0.22804560100307533</v>
      </c>
    </row>
    <row r="429" spans="1:20" x14ac:dyDescent="0.25">
      <c r="A429" s="5">
        <v>44164</v>
      </c>
      <c r="B429">
        <v>17.521000000000001</v>
      </c>
      <c r="C429">
        <v>17.998999999999999</v>
      </c>
      <c r="D429">
        <v>16.875</v>
      </c>
      <c r="E429">
        <v>17.684000000000001</v>
      </c>
      <c r="F429">
        <v>828445.31299999997</v>
      </c>
      <c r="G429">
        <v>0</v>
      </c>
      <c r="P429">
        <f t="shared" si="974"/>
        <v>0.43950177935943402</v>
      </c>
      <c r="Q429">
        <f t="shared" si="975"/>
        <v>364103.18916548323</v>
      </c>
      <c r="R429">
        <f t="shared" si="976"/>
        <v>21987797.274506703</v>
      </c>
      <c r="S429">
        <f t="shared" si="977"/>
        <v>219.87797274506704</v>
      </c>
      <c r="T429">
        <f t="shared" si="978"/>
        <v>0.21987797274506704</v>
      </c>
    </row>
    <row r="430" spans="1:20" x14ac:dyDescent="0.25">
      <c r="A430" s="5">
        <v>44163</v>
      </c>
      <c r="B430">
        <v>17.106999999999999</v>
      </c>
      <c r="C430">
        <v>18.05</v>
      </c>
      <c r="D430">
        <v>16.523</v>
      </c>
      <c r="E430">
        <v>17.533000000000001</v>
      </c>
      <c r="F430">
        <v>811904.99699999997</v>
      </c>
      <c r="G430">
        <v>0</v>
      </c>
      <c r="P430">
        <f t="shared" si="974"/>
        <v>0.32285527177472284</v>
      </c>
      <c r="Q430">
        <f t="shared" si="975"/>
        <v>262127.80846169053</v>
      </c>
      <c r="R430">
        <f t="shared" si="976"/>
        <v>21623694.085341219</v>
      </c>
      <c r="S430">
        <f t="shared" si="977"/>
        <v>216.23694085341219</v>
      </c>
      <c r="T430">
        <f t="shared" si="978"/>
        <v>0.21623694085341219</v>
      </c>
    </row>
    <row r="431" spans="1:20" x14ac:dyDescent="0.25">
      <c r="A431" s="5">
        <v>44162</v>
      </c>
      <c r="B431">
        <v>17.184999999999999</v>
      </c>
      <c r="C431">
        <v>17.632000000000001</v>
      </c>
      <c r="D431">
        <v>16.210999999999999</v>
      </c>
      <c r="E431">
        <v>17.12</v>
      </c>
      <c r="F431">
        <v>906713.15099999995</v>
      </c>
      <c r="G431">
        <v>0</v>
      </c>
      <c r="P431">
        <f t="shared" si="974"/>
        <v>0.27938071780436396</v>
      </c>
      <c r="Q431">
        <f t="shared" si="975"/>
        <v>253318.17096903664</v>
      </c>
      <c r="R431">
        <f t="shared" si="976"/>
        <v>21361566.276879527</v>
      </c>
      <c r="S431">
        <f t="shared" si="977"/>
        <v>213.61566276879526</v>
      </c>
      <c r="T431">
        <f t="shared" si="978"/>
        <v>0.21361566276879526</v>
      </c>
    </row>
    <row r="432" spans="1:20" x14ac:dyDescent="0.25">
      <c r="A432" s="5">
        <v>44161</v>
      </c>
      <c r="B432">
        <v>19.678999999999998</v>
      </c>
      <c r="C432">
        <v>20.378</v>
      </c>
      <c r="D432">
        <v>15.808999999999999</v>
      </c>
      <c r="E432">
        <v>17.192</v>
      </c>
      <c r="F432">
        <v>3183700.1510000001</v>
      </c>
      <c r="G432">
        <v>0</v>
      </c>
      <c r="P432">
        <f t="shared" si="974"/>
        <v>-0.39461588969139827</v>
      </c>
      <c r="Q432">
        <f t="shared" si="975"/>
        <v>-1256338.6675975041</v>
      </c>
      <c r="R432">
        <f t="shared" si="976"/>
        <v>21108248.105910491</v>
      </c>
      <c r="S432">
        <f t="shared" si="977"/>
        <v>211.08248105910491</v>
      </c>
      <c r="T432">
        <f t="shared" si="978"/>
        <v>0.2110824810591049</v>
      </c>
    </row>
    <row r="433" spans="1:20" x14ac:dyDescent="0.25">
      <c r="A433" s="5">
        <v>44160</v>
      </c>
      <c r="B433">
        <v>20.498999999999999</v>
      </c>
      <c r="C433">
        <v>21.829000000000001</v>
      </c>
      <c r="D433">
        <v>18.648</v>
      </c>
      <c r="E433">
        <v>19.710999999999999</v>
      </c>
      <c r="F433">
        <v>2685891.0260000001</v>
      </c>
      <c r="G433">
        <v>0</v>
      </c>
      <c r="P433">
        <f t="shared" si="974"/>
        <v>-0.3316567117258733</v>
      </c>
      <c r="Q433">
        <f t="shared" si="975"/>
        <v>-890793.78573719214</v>
      </c>
      <c r="R433">
        <f t="shared" si="976"/>
        <v>22364586.773507994</v>
      </c>
      <c r="S433">
        <f t="shared" si="977"/>
        <v>223.64586773507995</v>
      </c>
      <c r="T433">
        <f t="shared" si="978"/>
        <v>0.22364586773507994</v>
      </c>
    </row>
    <row r="434" spans="1:20" x14ac:dyDescent="0.25">
      <c r="A434" s="5">
        <v>44159</v>
      </c>
      <c r="B434">
        <v>19.100000000000001</v>
      </c>
      <c r="C434">
        <v>21.3</v>
      </c>
      <c r="D434">
        <v>18.271000000000001</v>
      </c>
      <c r="E434">
        <v>20.498999999999999</v>
      </c>
      <c r="F434">
        <v>2941025.202</v>
      </c>
      <c r="G434">
        <v>0</v>
      </c>
      <c r="P434">
        <f t="shared" si="974"/>
        <v>0.47111257840871446</v>
      </c>
      <c r="Q434">
        <f t="shared" si="975"/>
        <v>1385553.9660792302</v>
      </c>
      <c r="R434">
        <f t="shared" si="976"/>
        <v>23255380.559245184</v>
      </c>
      <c r="S434">
        <f t="shared" si="977"/>
        <v>232.55380559245185</v>
      </c>
      <c r="T434">
        <f t="shared" si="978"/>
        <v>0.23255380559245184</v>
      </c>
    </row>
    <row r="435" spans="1:20" x14ac:dyDescent="0.25">
      <c r="A435" s="5">
        <v>44158</v>
      </c>
      <c r="B435">
        <v>17.187000000000001</v>
      </c>
      <c r="C435">
        <v>19.143000000000001</v>
      </c>
      <c r="D435">
        <v>16.907</v>
      </c>
      <c r="E435">
        <v>19.093</v>
      </c>
      <c r="F435">
        <v>1448335.8130000001</v>
      </c>
      <c r="G435">
        <v>0</v>
      </c>
      <c r="P435">
        <f t="shared" si="974"/>
        <v>0.95527728085867558</v>
      </c>
      <c r="Q435">
        <f t="shared" si="975"/>
        <v>1383562.2972128794</v>
      </c>
      <c r="R435">
        <f t="shared" si="976"/>
        <v>21869826.593165953</v>
      </c>
      <c r="S435">
        <f t="shared" si="977"/>
        <v>218.69826593165953</v>
      </c>
      <c r="T435">
        <f t="shared" si="978"/>
        <v>0.21869826593165953</v>
      </c>
    </row>
    <row r="436" spans="1:20" x14ac:dyDescent="0.25">
      <c r="A436" s="5">
        <v>44157</v>
      </c>
      <c r="B436">
        <v>18.303000000000001</v>
      </c>
      <c r="C436">
        <v>18.597999999999999</v>
      </c>
      <c r="D436">
        <v>16.376999999999999</v>
      </c>
      <c r="E436">
        <v>17.18</v>
      </c>
      <c r="F436">
        <v>1360985.0870000001</v>
      </c>
      <c r="G436">
        <v>0</v>
      </c>
      <c r="P436">
        <f t="shared" si="974"/>
        <v>-0.27690229626294388</v>
      </c>
      <c r="Q436">
        <f t="shared" si="975"/>
        <v>-376859.89576992247</v>
      </c>
      <c r="R436">
        <f t="shared" si="976"/>
        <v>20486264.295953073</v>
      </c>
      <c r="S436">
        <f t="shared" si="977"/>
        <v>204.86264295953072</v>
      </c>
      <c r="T436">
        <f t="shared" si="978"/>
        <v>0.20486264295953072</v>
      </c>
    </row>
    <row r="437" spans="1:20" x14ac:dyDescent="0.25">
      <c r="A437" s="5">
        <v>44156</v>
      </c>
      <c r="B437">
        <v>16.436</v>
      </c>
      <c r="C437">
        <v>18.350000000000001</v>
      </c>
      <c r="D437">
        <v>16.408999999999999</v>
      </c>
      <c r="E437">
        <v>18.32</v>
      </c>
      <c r="F437">
        <v>1547983.591</v>
      </c>
      <c r="G437">
        <v>0</v>
      </c>
      <c r="P437">
        <f t="shared" si="974"/>
        <v>0.96908809891808234</v>
      </c>
      <c r="Q437">
        <f t="shared" si="975"/>
        <v>1500132.4753585763</v>
      </c>
      <c r="R437">
        <f t="shared" si="976"/>
        <v>20863124.191722997</v>
      </c>
      <c r="S437">
        <f t="shared" si="977"/>
        <v>208.63124191722997</v>
      </c>
      <c r="T437">
        <f t="shared" si="978"/>
        <v>0.20863124191722998</v>
      </c>
    </row>
    <row r="438" spans="1:20" x14ac:dyDescent="0.25">
      <c r="A438" s="5">
        <v>44155</v>
      </c>
      <c r="B438">
        <v>16.100000000000001</v>
      </c>
      <c r="C438">
        <v>16.834</v>
      </c>
      <c r="D438">
        <v>16.076000000000001</v>
      </c>
      <c r="E438">
        <v>16.443999999999999</v>
      </c>
      <c r="F438">
        <v>831601.11100000003</v>
      </c>
      <c r="G438">
        <v>0</v>
      </c>
      <c r="P438">
        <f t="shared" si="974"/>
        <v>-2.9023746701849661E-2</v>
      </c>
      <c r="Q438">
        <f t="shared" si="975"/>
        <v>-24136.180002640765</v>
      </c>
      <c r="R438">
        <f t="shared" si="976"/>
        <v>19362991.716364421</v>
      </c>
      <c r="S438">
        <f t="shared" si="977"/>
        <v>193.62991716364422</v>
      </c>
      <c r="T438">
        <f t="shared" si="978"/>
        <v>0.19362991716364422</v>
      </c>
    </row>
    <row r="439" spans="1:20" x14ac:dyDescent="0.25">
      <c r="A439" s="5">
        <v>44154</v>
      </c>
      <c r="B439">
        <v>15.722</v>
      </c>
      <c r="C439">
        <v>16.27</v>
      </c>
      <c r="D439">
        <v>15.391999999999999</v>
      </c>
      <c r="E439">
        <v>16.094999999999999</v>
      </c>
      <c r="F439">
        <v>474683.48700000002</v>
      </c>
      <c r="G439">
        <v>0</v>
      </c>
      <c r="P439">
        <f t="shared" si="974"/>
        <v>0.60136674259680933</v>
      </c>
      <c r="Q439">
        <f t="shared" si="975"/>
        <v>285458.86234168493</v>
      </c>
      <c r="R439">
        <f t="shared" si="976"/>
        <v>19387127.896367062</v>
      </c>
      <c r="S439">
        <f t="shared" si="977"/>
        <v>193.87127896367062</v>
      </c>
      <c r="T439">
        <f t="shared" si="978"/>
        <v>0.19387127896367062</v>
      </c>
    </row>
    <row r="440" spans="1:20" x14ac:dyDescent="0.25">
      <c r="A440" s="5">
        <v>44153</v>
      </c>
      <c r="B440">
        <v>16.149999999999999</v>
      </c>
      <c r="C440">
        <v>16.349</v>
      </c>
      <c r="D440">
        <v>15.2</v>
      </c>
      <c r="E440">
        <v>15.718</v>
      </c>
      <c r="F440">
        <v>745015.38899999997</v>
      </c>
      <c r="G440">
        <v>0</v>
      </c>
      <c r="P440">
        <f t="shared" si="974"/>
        <v>-9.8346388163620069E-2</v>
      </c>
      <c r="Q440">
        <f t="shared" si="975"/>
        <v>-73269.572634464392</v>
      </c>
      <c r="R440">
        <f t="shared" si="976"/>
        <v>19101669.034025379</v>
      </c>
      <c r="S440">
        <f t="shared" si="977"/>
        <v>191.01669034025377</v>
      </c>
      <c r="T440">
        <f t="shared" si="978"/>
        <v>0.19101669034025379</v>
      </c>
    </row>
    <row r="441" spans="1:20" x14ac:dyDescent="0.25">
      <c r="A441" s="5">
        <v>44152</v>
      </c>
      <c r="B441">
        <v>15.725</v>
      </c>
      <c r="C441">
        <v>16.667000000000002</v>
      </c>
      <c r="D441">
        <v>15.657</v>
      </c>
      <c r="E441">
        <v>16.149999999999999</v>
      </c>
      <c r="F441">
        <v>907880.61399999994</v>
      </c>
      <c r="G441">
        <v>0</v>
      </c>
      <c r="P441">
        <f t="shared" si="974"/>
        <v>-2.3762376237628145E-2</v>
      </c>
      <c r="Q441">
        <f t="shared" si="975"/>
        <v>-21573.40072871685</v>
      </c>
      <c r="R441">
        <f t="shared" si="976"/>
        <v>19174938.606659845</v>
      </c>
      <c r="S441">
        <f t="shared" si="977"/>
        <v>191.74938606659845</v>
      </c>
      <c r="T441">
        <f t="shared" si="978"/>
        <v>0.19174938606659844</v>
      </c>
    </row>
    <row r="442" spans="1:20" x14ac:dyDescent="0.25">
      <c r="A442" s="5">
        <v>44151</v>
      </c>
      <c r="B442">
        <v>15.317</v>
      </c>
      <c r="C442">
        <v>15.887</v>
      </c>
      <c r="D442">
        <v>15.138999999999999</v>
      </c>
      <c r="E442">
        <v>15.72</v>
      </c>
      <c r="F442">
        <v>419532.815</v>
      </c>
      <c r="G442">
        <v>0</v>
      </c>
      <c r="P442">
        <f t="shared" si="974"/>
        <v>0.55347593582887811</v>
      </c>
      <c r="Q442">
        <f t="shared" si="975"/>
        <v>232201.31739304858</v>
      </c>
      <c r="R442">
        <f t="shared" si="976"/>
        <v>19196512.007388562</v>
      </c>
      <c r="S442">
        <f t="shared" si="977"/>
        <v>191.96512007388563</v>
      </c>
      <c r="T442">
        <f t="shared" si="978"/>
        <v>0.19196512007388564</v>
      </c>
    </row>
    <row r="443" spans="1:20" x14ac:dyDescent="0.25">
      <c r="A443" s="5">
        <v>44150</v>
      </c>
      <c r="B443">
        <v>15.683999999999999</v>
      </c>
      <c r="C443">
        <v>15.957000000000001</v>
      </c>
      <c r="D443">
        <v>14.987</v>
      </c>
      <c r="E443">
        <v>15.317</v>
      </c>
      <c r="F443">
        <v>507385.41</v>
      </c>
      <c r="G443">
        <v>0</v>
      </c>
      <c r="P443">
        <f t="shared" si="974"/>
        <v>-0.31958762886597969</v>
      </c>
      <c r="Q443">
        <f t="shared" si="975"/>
        <v>-162154.10010309293</v>
      </c>
      <c r="R443">
        <f t="shared" si="976"/>
        <v>18964310.689995512</v>
      </c>
      <c r="S443">
        <f t="shared" si="977"/>
        <v>189.64310689995511</v>
      </c>
      <c r="T443">
        <f t="shared" si="978"/>
        <v>0.18964310689995512</v>
      </c>
    </row>
    <row r="444" spans="1:20" x14ac:dyDescent="0.25">
      <c r="A444" s="5">
        <v>44149</v>
      </c>
      <c r="B444">
        <v>16.015999999999998</v>
      </c>
      <c r="C444">
        <v>16.28</v>
      </c>
      <c r="D444">
        <v>15.39</v>
      </c>
      <c r="E444">
        <v>15.683999999999999</v>
      </c>
      <c r="F444">
        <v>346307.81199999998</v>
      </c>
      <c r="G444">
        <v>0</v>
      </c>
      <c r="P444">
        <f t="shared" si="974"/>
        <v>-0.33932584269663252</v>
      </c>
      <c r="Q444">
        <f t="shared" si="975"/>
        <v>-117511.19013932698</v>
      </c>
      <c r="R444">
        <f t="shared" si="976"/>
        <v>19126464.790098604</v>
      </c>
      <c r="S444">
        <f t="shared" si="977"/>
        <v>191.26464790098603</v>
      </c>
      <c r="T444">
        <f t="shared" si="978"/>
        <v>0.19126464790098605</v>
      </c>
    </row>
    <row r="445" spans="1:20" x14ac:dyDescent="0.25">
      <c r="A445" s="5">
        <v>44148</v>
      </c>
      <c r="B445">
        <v>15.442</v>
      </c>
      <c r="C445">
        <v>16.149999999999999</v>
      </c>
      <c r="D445">
        <v>15.346</v>
      </c>
      <c r="E445">
        <v>16.007000000000001</v>
      </c>
      <c r="F445">
        <v>446932.36200000002</v>
      </c>
      <c r="G445">
        <v>0</v>
      </c>
      <c r="P445">
        <f t="shared" si="974"/>
        <v>0.64427860696518058</v>
      </c>
      <c r="Q445">
        <f t="shared" si="975"/>
        <v>287948.95959701785</v>
      </c>
      <c r="R445">
        <f t="shared" si="976"/>
        <v>19243975.980237931</v>
      </c>
      <c r="S445">
        <f t="shared" si="977"/>
        <v>192.43975980237931</v>
      </c>
      <c r="T445">
        <f t="shared" si="978"/>
        <v>0.19243975980237932</v>
      </c>
    </row>
    <row r="446" spans="1:20" x14ac:dyDescent="0.25">
      <c r="A446" s="5">
        <v>44147</v>
      </c>
      <c r="B446">
        <v>15.398</v>
      </c>
      <c r="C446">
        <v>15.988</v>
      </c>
      <c r="D446">
        <v>15.179</v>
      </c>
      <c r="E446">
        <v>15.456</v>
      </c>
      <c r="F446">
        <v>419161.78100000002</v>
      </c>
      <c r="G446">
        <v>0</v>
      </c>
      <c r="P446">
        <f t="shared" si="974"/>
        <v>-0.3152039555006193</v>
      </c>
      <c r="Q446">
        <f t="shared" si="975"/>
        <v>-132121.45136588434</v>
      </c>
      <c r="R446">
        <f t="shared" si="976"/>
        <v>18956027.020640913</v>
      </c>
      <c r="S446">
        <f t="shared" si="977"/>
        <v>189.56027020640914</v>
      </c>
      <c r="T446">
        <f t="shared" si="978"/>
        <v>0.18956027020640914</v>
      </c>
    </row>
    <row r="447" spans="1:20" x14ac:dyDescent="0.25">
      <c r="A447" s="5">
        <v>44146</v>
      </c>
      <c r="B447">
        <v>15.59</v>
      </c>
      <c r="C447">
        <v>15.981999999999999</v>
      </c>
      <c r="D447">
        <v>15.388</v>
      </c>
      <c r="E447">
        <v>15.391</v>
      </c>
      <c r="F447">
        <v>390521.05599999998</v>
      </c>
      <c r="G447">
        <v>0</v>
      </c>
      <c r="P447">
        <f t="shared" si="974"/>
        <v>-0.9898989898989895</v>
      </c>
      <c r="Q447">
        <f t="shared" si="975"/>
        <v>-386576.39886868669</v>
      </c>
      <c r="R447">
        <f t="shared" si="976"/>
        <v>19088148.472006798</v>
      </c>
      <c r="S447">
        <f t="shared" si="977"/>
        <v>190.88148472006799</v>
      </c>
      <c r="T447">
        <f t="shared" si="978"/>
        <v>0.190881484720068</v>
      </c>
    </row>
    <row r="448" spans="1:20" x14ac:dyDescent="0.25">
      <c r="A448" s="5">
        <v>44145</v>
      </c>
      <c r="B448">
        <v>15.385999999999999</v>
      </c>
      <c r="C448">
        <v>15.839</v>
      </c>
      <c r="D448">
        <v>15.138</v>
      </c>
      <c r="E448">
        <v>15.585000000000001</v>
      </c>
      <c r="F448">
        <v>427628.25900000002</v>
      </c>
      <c r="G448">
        <v>0</v>
      </c>
      <c r="P448">
        <f t="shared" si="974"/>
        <v>0.27532097004279782</v>
      </c>
      <c r="Q448">
        <f t="shared" si="975"/>
        <v>117735.0270855928</v>
      </c>
      <c r="R448">
        <f t="shared" si="976"/>
        <v>19474724.870875485</v>
      </c>
      <c r="S448">
        <f t="shared" si="977"/>
        <v>194.74724870875485</v>
      </c>
      <c r="T448">
        <f t="shared" si="978"/>
        <v>0.19474724870875484</v>
      </c>
    </row>
    <row r="449" spans="1:20" x14ac:dyDescent="0.25">
      <c r="A449" s="5">
        <v>44144</v>
      </c>
      <c r="B449">
        <v>15.439</v>
      </c>
      <c r="C449">
        <v>15.587999999999999</v>
      </c>
      <c r="D449">
        <v>14.811999999999999</v>
      </c>
      <c r="E449">
        <v>15.378</v>
      </c>
      <c r="F449">
        <v>551163.96499999997</v>
      </c>
      <c r="G449">
        <v>0</v>
      </c>
      <c r="P449">
        <f t="shared" si="974"/>
        <v>0.4587628865979404</v>
      </c>
      <c r="Q449">
        <f t="shared" si="975"/>
        <v>252853.57157216617</v>
      </c>
      <c r="R449">
        <f t="shared" si="976"/>
        <v>19356989.843789894</v>
      </c>
      <c r="S449">
        <f t="shared" si="977"/>
        <v>193.56989843789893</v>
      </c>
      <c r="T449">
        <f t="shared" si="978"/>
        <v>0.19356989843789893</v>
      </c>
    </row>
    <row r="450" spans="1:20" x14ac:dyDescent="0.25">
      <c r="A450" s="5">
        <v>44143</v>
      </c>
      <c r="B450">
        <v>14.823</v>
      </c>
      <c r="C450">
        <v>15.7</v>
      </c>
      <c r="D450">
        <v>14.65</v>
      </c>
      <c r="E450">
        <v>15.45</v>
      </c>
      <c r="F450">
        <v>569881.28200000001</v>
      </c>
      <c r="G450">
        <v>0</v>
      </c>
      <c r="P450">
        <f t="shared" si="974"/>
        <v>0.52380952380952328</v>
      </c>
      <c r="Q450">
        <f t="shared" si="975"/>
        <v>298509.24295238068</v>
      </c>
      <c r="R450">
        <f t="shared" si="976"/>
        <v>19104136.272217728</v>
      </c>
      <c r="S450">
        <f t="shared" si="977"/>
        <v>191.04136272217727</v>
      </c>
      <c r="T450">
        <f t="shared" si="978"/>
        <v>0.19104136272217725</v>
      </c>
    </row>
    <row r="451" spans="1:20" x14ac:dyDescent="0.25">
      <c r="A451" s="5">
        <v>44142</v>
      </c>
      <c r="B451">
        <v>15.715999999999999</v>
      </c>
      <c r="C451">
        <v>16.640999999999998</v>
      </c>
      <c r="D451">
        <v>14.534000000000001</v>
      </c>
      <c r="E451">
        <v>14.813000000000001</v>
      </c>
      <c r="F451">
        <v>1555065.047</v>
      </c>
      <c r="G451">
        <v>0</v>
      </c>
      <c r="P451">
        <f t="shared" si="974"/>
        <v>-0.7351684859990506</v>
      </c>
      <c r="Q451">
        <f t="shared" si="975"/>
        <v>-1143234.8162330324</v>
      </c>
      <c r="R451">
        <f t="shared" si="976"/>
        <v>18805627.029265348</v>
      </c>
      <c r="S451">
        <f t="shared" si="977"/>
        <v>188.05627029265347</v>
      </c>
      <c r="T451">
        <f t="shared" si="978"/>
        <v>0.18805627029265345</v>
      </c>
    </row>
    <row r="452" spans="1:20" x14ac:dyDescent="0.25">
      <c r="A452" s="5">
        <v>44141</v>
      </c>
      <c r="B452">
        <v>14.401</v>
      </c>
      <c r="C452">
        <v>16</v>
      </c>
      <c r="D452">
        <v>14.335000000000001</v>
      </c>
      <c r="E452">
        <v>15.712</v>
      </c>
      <c r="F452">
        <v>1023297.291</v>
      </c>
      <c r="G452">
        <v>0</v>
      </c>
      <c r="P452">
        <f t="shared" si="974"/>
        <v>0.65405405405405359</v>
      </c>
      <c r="Q452">
        <f t="shared" si="975"/>
        <v>669291.74168108054</v>
      </c>
      <c r="R452">
        <f t="shared" si="976"/>
        <v>19948861.845498379</v>
      </c>
      <c r="S452">
        <f t="shared" si="977"/>
        <v>199.48861845498379</v>
      </c>
      <c r="T452">
        <f t="shared" si="978"/>
        <v>0.19948861845498381</v>
      </c>
    </row>
    <row r="453" spans="1:20" x14ac:dyDescent="0.25">
      <c r="A453" s="5">
        <v>44140</v>
      </c>
      <c r="B453">
        <v>14.058</v>
      </c>
      <c r="C453">
        <v>14.644</v>
      </c>
      <c r="D453">
        <v>13.814</v>
      </c>
      <c r="E453">
        <v>14.401</v>
      </c>
      <c r="F453">
        <v>740857.826</v>
      </c>
      <c r="G453">
        <v>0</v>
      </c>
      <c r="P453">
        <f t="shared" si="974"/>
        <v>0.41445783132530045</v>
      </c>
      <c r="Q453">
        <f t="shared" si="975"/>
        <v>307054.32788433682</v>
      </c>
      <c r="R453">
        <f t="shared" si="976"/>
        <v>19279570.103817299</v>
      </c>
      <c r="S453">
        <f t="shared" si="977"/>
        <v>192.79570103817298</v>
      </c>
      <c r="T453">
        <f t="shared" si="978"/>
        <v>0.19279570103817298</v>
      </c>
    </row>
    <row r="454" spans="1:20" x14ac:dyDescent="0.25">
      <c r="A454" s="5">
        <v>44139</v>
      </c>
      <c r="B454">
        <v>14.688000000000001</v>
      </c>
      <c r="C454">
        <v>14.696999999999999</v>
      </c>
      <c r="D454">
        <v>13.457000000000001</v>
      </c>
      <c r="E454">
        <v>14.048999999999999</v>
      </c>
      <c r="F454">
        <v>826887.897</v>
      </c>
      <c r="G454">
        <v>0</v>
      </c>
      <c r="P454">
        <f t="shared" ref="P454:P517" si="979">IF(C454=D454,0,((E454-D454)-(C454-E454))/(C454-D454))</f>
        <v>-4.5161290322581461E-2</v>
      </c>
      <c r="Q454">
        <f t="shared" ref="Q454:Q517" si="980">F454*P454</f>
        <v>-37343.324380645834</v>
      </c>
      <c r="R454">
        <f t="shared" ref="R454:R517" si="981">R455+Q454</f>
        <v>18972515.775932964</v>
      </c>
      <c r="S454">
        <f t="shared" ref="S454:S517" si="982">R454/100000</f>
        <v>189.72515775932965</v>
      </c>
      <c r="T454">
        <f t="shared" ref="T454:T517" si="983">S454/1000</f>
        <v>0.18972515775932966</v>
      </c>
    </row>
    <row r="455" spans="1:20" x14ac:dyDescent="0.25">
      <c r="A455" s="5">
        <v>44138</v>
      </c>
      <c r="B455">
        <v>15.227</v>
      </c>
      <c r="C455">
        <v>15.493</v>
      </c>
      <c r="D455">
        <v>14.118</v>
      </c>
      <c r="E455">
        <v>14.676</v>
      </c>
      <c r="F455">
        <v>664268.97</v>
      </c>
      <c r="G455">
        <v>0</v>
      </c>
      <c r="P455">
        <f t="shared" si="979"/>
        <v>-0.18836363636363662</v>
      </c>
      <c r="Q455">
        <f t="shared" si="980"/>
        <v>-125124.11871272745</v>
      </c>
      <c r="R455">
        <f t="shared" si="981"/>
        <v>19009859.100313611</v>
      </c>
      <c r="S455">
        <f t="shared" si="982"/>
        <v>190.09859100313611</v>
      </c>
      <c r="T455">
        <f t="shared" si="983"/>
        <v>0.19009859100313611</v>
      </c>
    </row>
    <row r="456" spans="1:20" x14ac:dyDescent="0.25">
      <c r="A456" s="5">
        <v>44137</v>
      </c>
      <c r="B456">
        <v>14.949</v>
      </c>
      <c r="C456">
        <v>15.83</v>
      </c>
      <c r="D456">
        <v>14.945</v>
      </c>
      <c r="E456">
        <v>15.215</v>
      </c>
      <c r="F456">
        <v>744506.87800000003</v>
      </c>
      <c r="G456">
        <v>0</v>
      </c>
      <c r="P456">
        <f t="shared" si="979"/>
        <v>-0.38983050847457706</v>
      </c>
      <c r="Q456">
        <f t="shared" si="980"/>
        <v>-290231.49481355993</v>
      </c>
      <c r="R456">
        <f t="shared" si="981"/>
        <v>19134983.219026338</v>
      </c>
      <c r="S456">
        <f t="shared" si="982"/>
        <v>191.34983219026338</v>
      </c>
      <c r="T456">
        <f t="shared" si="983"/>
        <v>0.19134983219026339</v>
      </c>
    </row>
    <row r="457" spans="1:20" x14ac:dyDescent="0.25">
      <c r="A457" s="5">
        <v>44136</v>
      </c>
      <c r="B457">
        <v>14.712</v>
      </c>
      <c r="C457">
        <v>15.042999999999999</v>
      </c>
      <c r="D457">
        <v>14.541</v>
      </c>
      <c r="E457">
        <v>14.941000000000001</v>
      </c>
      <c r="F457">
        <v>279497.20799999998</v>
      </c>
      <c r="G457">
        <v>0</v>
      </c>
      <c r="P457">
        <f t="shared" si="979"/>
        <v>0.59362549800797304</v>
      </c>
      <c r="Q457">
        <f t="shared" si="980"/>
        <v>165916.66929083801</v>
      </c>
      <c r="R457">
        <f t="shared" si="981"/>
        <v>19425214.7138399</v>
      </c>
      <c r="S457">
        <f t="shared" si="982"/>
        <v>194.25214713839901</v>
      </c>
      <c r="T457">
        <f t="shared" si="983"/>
        <v>0.194252147138399</v>
      </c>
    </row>
    <row r="458" spans="1:20" x14ac:dyDescent="0.25">
      <c r="A458" s="5">
        <v>44135</v>
      </c>
      <c r="B458">
        <v>14.787000000000001</v>
      </c>
      <c r="C458">
        <v>15.186</v>
      </c>
      <c r="D458">
        <v>14.56</v>
      </c>
      <c r="E458">
        <v>14.702</v>
      </c>
      <c r="F458">
        <v>430595.93300000002</v>
      </c>
      <c r="G458">
        <v>0</v>
      </c>
      <c r="P458">
        <f t="shared" si="979"/>
        <v>-0.54632587859425052</v>
      </c>
      <c r="Q458">
        <f t="shared" si="980"/>
        <v>-235245.70141533605</v>
      </c>
      <c r="R458">
        <f t="shared" si="981"/>
        <v>19259298.044549063</v>
      </c>
      <c r="S458">
        <f t="shared" si="982"/>
        <v>192.59298044549064</v>
      </c>
      <c r="T458">
        <f t="shared" si="983"/>
        <v>0.19259298044549064</v>
      </c>
    </row>
    <row r="459" spans="1:20" x14ac:dyDescent="0.25">
      <c r="A459" s="5">
        <v>44134</v>
      </c>
      <c r="B459">
        <v>15.286</v>
      </c>
      <c r="C459">
        <v>15.494</v>
      </c>
      <c r="D459">
        <v>13.974</v>
      </c>
      <c r="E459">
        <v>14.788</v>
      </c>
      <c r="F459">
        <v>652024.82799999998</v>
      </c>
      <c r="G459">
        <v>0</v>
      </c>
      <c r="P459">
        <f t="shared" si="979"/>
        <v>7.1052631578947742E-2</v>
      </c>
      <c r="Q459">
        <f t="shared" si="980"/>
        <v>46328.079884210769</v>
      </c>
      <c r="R459">
        <f t="shared" si="981"/>
        <v>19494543.7459644</v>
      </c>
      <c r="S459">
        <f t="shared" si="982"/>
        <v>194.94543745964401</v>
      </c>
      <c r="T459">
        <f t="shared" si="983"/>
        <v>0.19494543745964402</v>
      </c>
    </row>
    <row r="460" spans="1:20" x14ac:dyDescent="0.25">
      <c r="A460" s="5">
        <v>44133</v>
      </c>
      <c r="B460">
        <v>15.869</v>
      </c>
      <c r="C460">
        <v>16.082999999999998</v>
      </c>
      <c r="D460">
        <v>14.945</v>
      </c>
      <c r="E460">
        <v>15.276</v>
      </c>
      <c r="F460">
        <v>484396.141</v>
      </c>
      <c r="G460">
        <v>0</v>
      </c>
      <c r="P460">
        <f t="shared" si="979"/>
        <v>-0.41827768014059741</v>
      </c>
      <c r="Q460">
        <f t="shared" si="980"/>
        <v>-202612.09412653773</v>
      </c>
      <c r="R460">
        <f t="shared" si="981"/>
        <v>19448215.666080188</v>
      </c>
      <c r="S460">
        <f t="shared" si="982"/>
        <v>194.48215666080188</v>
      </c>
      <c r="T460">
        <f t="shared" si="983"/>
        <v>0.19448215666080187</v>
      </c>
    </row>
    <row r="461" spans="1:20" x14ac:dyDescent="0.25">
      <c r="A461" s="5">
        <v>44132</v>
      </c>
      <c r="B461">
        <v>16.998999999999999</v>
      </c>
      <c r="C461">
        <v>17.132999999999999</v>
      </c>
      <c r="D461">
        <v>15.7</v>
      </c>
      <c r="E461">
        <v>15.87</v>
      </c>
      <c r="F461">
        <v>601156.71</v>
      </c>
      <c r="G461">
        <v>0</v>
      </c>
      <c r="P461">
        <f t="shared" si="979"/>
        <v>-0.7627355198883462</v>
      </c>
      <c r="Q461">
        <f t="shared" si="980"/>
        <v>-458523.57573621772</v>
      </c>
      <c r="R461">
        <f t="shared" si="981"/>
        <v>19650827.760206725</v>
      </c>
      <c r="S461">
        <f t="shared" si="982"/>
        <v>196.50827760206727</v>
      </c>
      <c r="T461">
        <f t="shared" si="983"/>
        <v>0.19650827760206727</v>
      </c>
    </row>
    <row r="462" spans="1:20" x14ac:dyDescent="0.25">
      <c r="A462" s="5">
        <v>44131</v>
      </c>
      <c r="B462">
        <v>17.077999999999999</v>
      </c>
      <c r="C462">
        <v>17.437000000000001</v>
      </c>
      <c r="D462">
        <v>16.853000000000002</v>
      </c>
      <c r="E462">
        <v>17.007000000000001</v>
      </c>
      <c r="F462">
        <v>337381.97499999998</v>
      </c>
      <c r="G462">
        <v>0</v>
      </c>
      <c r="P462">
        <f t="shared" si="979"/>
        <v>-0.47260273972602734</v>
      </c>
      <c r="Q462">
        <f t="shared" si="980"/>
        <v>-159447.64571917805</v>
      </c>
      <c r="R462">
        <f t="shared" si="981"/>
        <v>20109351.335942943</v>
      </c>
      <c r="S462">
        <f t="shared" si="982"/>
        <v>201.09351335942944</v>
      </c>
      <c r="T462">
        <f t="shared" si="983"/>
        <v>0.20109351335942943</v>
      </c>
    </row>
    <row r="463" spans="1:20" x14ac:dyDescent="0.25">
      <c r="A463" s="5">
        <v>44130</v>
      </c>
      <c r="B463">
        <v>17.852</v>
      </c>
      <c r="C463">
        <v>18.145</v>
      </c>
      <c r="D463">
        <v>16.609000000000002</v>
      </c>
      <c r="E463">
        <v>17.084</v>
      </c>
      <c r="F463">
        <v>413992.42800000001</v>
      </c>
      <c r="G463">
        <v>0</v>
      </c>
      <c r="P463">
        <f t="shared" si="979"/>
        <v>-0.38151041666666857</v>
      </c>
      <c r="Q463">
        <f t="shared" si="980"/>
        <v>-157942.42370312579</v>
      </c>
      <c r="R463">
        <f t="shared" si="981"/>
        <v>20268798.981662121</v>
      </c>
      <c r="S463">
        <f t="shared" si="982"/>
        <v>202.68798981662121</v>
      </c>
      <c r="T463">
        <f t="shared" si="983"/>
        <v>0.2026879898166212</v>
      </c>
    </row>
    <row r="464" spans="1:20" x14ac:dyDescent="0.25">
      <c r="A464" s="5">
        <v>44129</v>
      </c>
      <c r="B464">
        <v>18.303999999999998</v>
      </c>
      <c r="C464">
        <v>18.460999999999999</v>
      </c>
      <c r="D464">
        <v>17.603000000000002</v>
      </c>
      <c r="E464">
        <v>17.864999999999998</v>
      </c>
      <c r="F464">
        <v>293708.58100000001</v>
      </c>
      <c r="G464">
        <v>0</v>
      </c>
      <c r="P464">
        <f t="shared" si="979"/>
        <v>-0.38927738927739436</v>
      </c>
      <c r="Q464">
        <f t="shared" si="980"/>
        <v>-114334.10962004811</v>
      </c>
      <c r="R464">
        <f t="shared" si="981"/>
        <v>20426741.405365247</v>
      </c>
      <c r="S464">
        <f t="shared" si="982"/>
        <v>204.26741405365246</v>
      </c>
      <c r="T464">
        <f t="shared" si="983"/>
        <v>0.20426741405365245</v>
      </c>
    </row>
    <row r="465" spans="1:20" x14ac:dyDescent="0.25">
      <c r="A465" s="5">
        <v>44128</v>
      </c>
      <c r="B465">
        <v>18.122</v>
      </c>
      <c r="C465">
        <v>18.466000000000001</v>
      </c>
      <c r="D465">
        <v>17.96</v>
      </c>
      <c r="E465">
        <v>18.312000000000001</v>
      </c>
      <c r="F465">
        <v>244688.95800000001</v>
      </c>
      <c r="G465">
        <v>0</v>
      </c>
      <c r="P465">
        <f t="shared" si="979"/>
        <v>0.39130434782608758</v>
      </c>
      <c r="Q465">
        <f t="shared" si="980"/>
        <v>95747.853130434945</v>
      </c>
      <c r="R465">
        <f t="shared" si="981"/>
        <v>20541075.514985297</v>
      </c>
      <c r="S465">
        <f t="shared" si="982"/>
        <v>205.41075514985297</v>
      </c>
      <c r="T465">
        <f t="shared" si="983"/>
        <v>0.20541075514985296</v>
      </c>
    </row>
    <row r="466" spans="1:20" x14ac:dyDescent="0.25">
      <c r="A466" s="5">
        <v>44127</v>
      </c>
      <c r="B466">
        <v>18.654</v>
      </c>
      <c r="C466">
        <v>18.66</v>
      </c>
      <c r="D466">
        <v>17.814</v>
      </c>
      <c r="E466">
        <v>18.135999999999999</v>
      </c>
      <c r="F466">
        <v>401195.86499999999</v>
      </c>
      <c r="G466">
        <v>0</v>
      </c>
      <c r="P466">
        <f t="shared" si="979"/>
        <v>-0.23877068557919826</v>
      </c>
      <c r="Q466">
        <f t="shared" si="980"/>
        <v>-95793.811737589465</v>
      </c>
      <c r="R466">
        <f t="shared" si="981"/>
        <v>20445327.661854863</v>
      </c>
      <c r="S466">
        <f t="shared" si="982"/>
        <v>204.45327661854864</v>
      </c>
      <c r="T466">
        <f t="shared" si="983"/>
        <v>0.20445327661854865</v>
      </c>
    </row>
    <row r="467" spans="1:20" x14ac:dyDescent="0.25">
      <c r="A467" s="5">
        <v>44126</v>
      </c>
      <c r="B467">
        <v>18.32</v>
      </c>
      <c r="C467">
        <v>19.178999999999998</v>
      </c>
      <c r="D467">
        <v>18.248999999999999</v>
      </c>
      <c r="E467">
        <v>18.652999999999999</v>
      </c>
      <c r="F467">
        <v>544112.95200000005</v>
      </c>
      <c r="G467">
        <v>0</v>
      </c>
      <c r="P467">
        <f t="shared" si="979"/>
        <v>-0.13118279569892466</v>
      </c>
      <c r="Q467">
        <f t="shared" si="980"/>
        <v>-71378.258219354801</v>
      </c>
      <c r="R467">
        <f t="shared" si="981"/>
        <v>20541121.473592453</v>
      </c>
      <c r="S467">
        <f t="shared" si="982"/>
        <v>205.41121473592452</v>
      </c>
      <c r="T467">
        <f t="shared" si="983"/>
        <v>0.20541121473592452</v>
      </c>
    </row>
    <row r="468" spans="1:20" x14ac:dyDescent="0.25">
      <c r="A468" s="5">
        <v>44125</v>
      </c>
      <c r="B468">
        <v>16.954000000000001</v>
      </c>
      <c r="C468">
        <v>18.815999999999999</v>
      </c>
      <c r="D468">
        <v>16.896000000000001</v>
      </c>
      <c r="E468">
        <v>18.332000000000001</v>
      </c>
      <c r="F468">
        <v>849989.24100000004</v>
      </c>
      <c r="G468">
        <v>0</v>
      </c>
      <c r="P468">
        <f t="shared" si="979"/>
        <v>0.49583333333333474</v>
      </c>
      <c r="Q468">
        <f t="shared" si="980"/>
        <v>421452.99866250122</v>
      </c>
      <c r="R468">
        <f t="shared" si="981"/>
        <v>20612499.731811807</v>
      </c>
      <c r="S468">
        <f t="shared" si="982"/>
        <v>206.12499731811806</v>
      </c>
      <c r="T468">
        <f t="shared" si="983"/>
        <v>0.20612499731811806</v>
      </c>
    </row>
    <row r="469" spans="1:20" x14ac:dyDescent="0.25">
      <c r="A469" s="5">
        <v>44124</v>
      </c>
      <c r="B469">
        <v>17.571999999999999</v>
      </c>
      <c r="C469">
        <v>18.03</v>
      </c>
      <c r="D469">
        <v>16.876999999999999</v>
      </c>
      <c r="E469">
        <v>16.948</v>
      </c>
      <c r="F469">
        <v>771951.745</v>
      </c>
      <c r="G469">
        <v>0</v>
      </c>
      <c r="P469">
        <f t="shared" si="979"/>
        <v>-0.87684301821335409</v>
      </c>
      <c r="Q469">
        <f t="shared" si="980"/>
        <v>-676880.49800086545</v>
      </c>
      <c r="R469">
        <f t="shared" si="981"/>
        <v>20191046.733149305</v>
      </c>
      <c r="S469">
        <f t="shared" si="982"/>
        <v>201.91046733149304</v>
      </c>
      <c r="T469">
        <f t="shared" si="983"/>
        <v>0.20191046733149304</v>
      </c>
    </row>
    <row r="470" spans="1:20" x14ac:dyDescent="0.25">
      <c r="A470" s="5">
        <v>44123</v>
      </c>
      <c r="B470">
        <v>17.425999999999998</v>
      </c>
      <c r="C470">
        <v>17.666</v>
      </c>
      <c r="D470">
        <v>17.082999999999998</v>
      </c>
      <c r="E470">
        <v>17.568999999999999</v>
      </c>
      <c r="F470">
        <v>875396.17700000003</v>
      </c>
      <c r="G470">
        <v>0</v>
      </c>
      <c r="P470">
        <f t="shared" si="979"/>
        <v>0.66723842195539973</v>
      </c>
      <c r="Q470">
        <f t="shared" si="980"/>
        <v>584097.96372726979</v>
      </c>
      <c r="R470">
        <f t="shared" si="981"/>
        <v>20867927.231150169</v>
      </c>
      <c r="S470">
        <f t="shared" si="982"/>
        <v>208.67927231150168</v>
      </c>
      <c r="T470">
        <f t="shared" si="983"/>
        <v>0.20867927231150168</v>
      </c>
    </row>
    <row r="471" spans="1:20" x14ac:dyDescent="0.25">
      <c r="A471" s="5">
        <v>44122</v>
      </c>
      <c r="B471">
        <v>17.192</v>
      </c>
      <c r="C471">
        <v>18.11</v>
      </c>
      <c r="D471">
        <v>17.152000000000001</v>
      </c>
      <c r="E471">
        <v>17.428000000000001</v>
      </c>
      <c r="F471">
        <v>541886.65</v>
      </c>
      <c r="G471">
        <v>0</v>
      </c>
      <c r="P471">
        <f t="shared" si="979"/>
        <v>-0.423799582463465</v>
      </c>
      <c r="Q471">
        <f t="shared" si="980"/>
        <v>-229651.3360125258</v>
      </c>
      <c r="R471">
        <f t="shared" si="981"/>
        <v>20283829.2674229</v>
      </c>
      <c r="S471">
        <f t="shared" si="982"/>
        <v>202.838292674229</v>
      </c>
      <c r="T471">
        <f t="shared" si="983"/>
        <v>0.20283829267422898</v>
      </c>
    </row>
    <row r="472" spans="1:20" x14ac:dyDescent="0.25">
      <c r="A472" s="5">
        <v>44121</v>
      </c>
      <c r="B472">
        <v>17.021000000000001</v>
      </c>
      <c r="C472">
        <v>17.277999999999999</v>
      </c>
      <c r="D472">
        <v>16.907</v>
      </c>
      <c r="E472">
        <v>17.190999999999999</v>
      </c>
      <c r="F472">
        <v>316563.54499999998</v>
      </c>
      <c r="G472">
        <v>0</v>
      </c>
      <c r="P472">
        <f t="shared" si="979"/>
        <v>0.53099730458220995</v>
      </c>
      <c r="Q472">
        <f t="shared" si="980"/>
        <v>168094.38912398912</v>
      </c>
      <c r="R472">
        <f t="shared" si="981"/>
        <v>20513480.603435427</v>
      </c>
      <c r="S472">
        <f t="shared" si="982"/>
        <v>205.13480603435426</v>
      </c>
      <c r="T472">
        <f t="shared" si="983"/>
        <v>0.20513480603435424</v>
      </c>
    </row>
    <row r="473" spans="1:20" x14ac:dyDescent="0.25">
      <c r="A473" s="5">
        <v>44120</v>
      </c>
      <c r="B473">
        <v>17.239000000000001</v>
      </c>
      <c r="C473">
        <v>17.324000000000002</v>
      </c>
      <c r="D473">
        <v>16.695</v>
      </c>
      <c r="E473">
        <v>17.021000000000001</v>
      </c>
      <c r="F473">
        <v>453893.09</v>
      </c>
      <c r="G473">
        <v>0</v>
      </c>
      <c r="P473">
        <f t="shared" si="979"/>
        <v>3.6565977742447756E-2</v>
      </c>
      <c r="Q473">
        <f t="shared" si="980"/>
        <v>16597.044626390838</v>
      </c>
      <c r="R473">
        <f t="shared" si="981"/>
        <v>20345386.21431144</v>
      </c>
      <c r="S473">
        <f t="shared" si="982"/>
        <v>203.45386214311441</v>
      </c>
      <c r="T473">
        <f t="shared" si="983"/>
        <v>0.20345386214311439</v>
      </c>
    </row>
    <row r="474" spans="1:20" x14ac:dyDescent="0.25">
      <c r="A474" s="5">
        <v>44119</v>
      </c>
      <c r="B474">
        <v>16.957000000000001</v>
      </c>
      <c r="C474">
        <v>17.356000000000002</v>
      </c>
      <c r="D474">
        <v>16.850000000000001</v>
      </c>
      <c r="E474">
        <v>17.239999999999998</v>
      </c>
      <c r="F474">
        <v>541376.63500000001</v>
      </c>
      <c r="G474">
        <v>0</v>
      </c>
      <c r="P474">
        <f t="shared" si="979"/>
        <v>0.54150197628457253</v>
      </c>
      <c r="Q474">
        <f t="shared" si="980"/>
        <v>293156.51776679169</v>
      </c>
      <c r="R474">
        <f t="shared" si="981"/>
        <v>20328789.169685047</v>
      </c>
      <c r="S474">
        <f t="shared" si="982"/>
        <v>203.28789169685047</v>
      </c>
      <c r="T474">
        <f t="shared" si="983"/>
        <v>0.20328789169685046</v>
      </c>
    </row>
    <row r="475" spans="1:20" x14ac:dyDescent="0.25">
      <c r="A475" s="5">
        <v>44118</v>
      </c>
      <c r="B475">
        <v>17.588999999999999</v>
      </c>
      <c r="C475">
        <v>17.777000000000001</v>
      </c>
      <c r="D475">
        <v>16.798999999999999</v>
      </c>
      <c r="E475">
        <v>16.959</v>
      </c>
      <c r="F475">
        <v>688944.93599999999</v>
      </c>
      <c r="G475">
        <v>0</v>
      </c>
      <c r="P475">
        <f t="shared" si="979"/>
        <v>-0.6728016359918203</v>
      </c>
      <c r="Q475">
        <f t="shared" si="980"/>
        <v>-463523.28004907991</v>
      </c>
      <c r="R475">
        <f t="shared" si="981"/>
        <v>20035632.651918255</v>
      </c>
      <c r="S475">
        <f t="shared" si="982"/>
        <v>200.35632651918255</v>
      </c>
      <c r="T475">
        <f t="shared" si="983"/>
        <v>0.20035632651918253</v>
      </c>
    </row>
    <row r="476" spans="1:20" x14ac:dyDescent="0.25">
      <c r="A476" s="5">
        <v>44117</v>
      </c>
      <c r="B476">
        <v>17.981999999999999</v>
      </c>
      <c r="C476">
        <v>18.129000000000001</v>
      </c>
      <c r="D476">
        <v>17.2</v>
      </c>
      <c r="E476">
        <v>17.591000000000001</v>
      </c>
      <c r="F476">
        <v>650443.554</v>
      </c>
      <c r="G476">
        <v>0</v>
      </c>
      <c r="P476">
        <f t="shared" si="979"/>
        <v>-0.15823466092572458</v>
      </c>
      <c r="Q476">
        <f t="shared" si="980"/>
        <v>-102922.71521851323</v>
      </c>
      <c r="R476">
        <f t="shared" si="981"/>
        <v>20499155.931967333</v>
      </c>
      <c r="S476">
        <f t="shared" si="982"/>
        <v>204.99155931967334</v>
      </c>
      <c r="T476">
        <f t="shared" si="983"/>
        <v>0.20499155931967333</v>
      </c>
    </row>
    <row r="477" spans="1:20" x14ac:dyDescent="0.25">
      <c r="A477" s="5">
        <v>44116</v>
      </c>
      <c r="B477">
        <v>17.786000000000001</v>
      </c>
      <c r="C477">
        <v>18.5</v>
      </c>
      <c r="D477">
        <v>17.422000000000001</v>
      </c>
      <c r="E477">
        <v>17.983000000000001</v>
      </c>
      <c r="F477">
        <v>764147.87</v>
      </c>
      <c r="G477">
        <v>0</v>
      </c>
      <c r="P477">
        <f t="shared" si="979"/>
        <v>4.0816326530612713E-2</v>
      </c>
      <c r="Q477">
        <f t="shared" si="980"/>
        <v>31189.708979592193</v>
      </c>
      <c r="R477">
        <f t="shared" si="981"/>
        <v>20602078.647185847</v>
      </c>
      <c r="S477">
        <f t="shared" si="982"/>
        <v>206.02078647185849</v>
      </c>
      <c r="T477">
        <f t="shared" si="983"/>
        <v>0.20602078647185848</v>
      </c>
    </row>
    <row r="478" spans="1:20" x14ac:dyDescent="0.25">
      <c r="A478" s="5">
        <v>44115</v>
      </c>
      <c r="B478">
        <v>17.532</v>
      </c>
      <c r="C478">
        <v>18.007000000000001</v>
      </c>
      <c r="D478">
        <v>17.331</v>
      </c>
      <c r="E478">
        <v>17.786999999999999</v>
      </c>
      <c r="F478">
        <v>419301.40299999999</v>
      </c>
      <c r="G478">
        <v>0</v>
      </c>
      <c r="P478">
        <f t="shared" si="979"/>
        <v>0.34911242603549769</v>
      </c>
      <c r="Q478">
        <f t="shared" si="980"/>
        <v>146383.33004141791</v>
      </c>
      <c r="R478">
        <f t="shared" si="981"/>
        <v>20570888.938206255</v>
      </c>
      <c r="S478">
        <f t="shared" si="982"/>
        <v>205.70888938206255</v>
      </c>
      <c r="T478">
        <f t="shared" si="983"/>
        <v>0.20570888938206255</v>
      </c>
    </row>
    <row r="479" spans="1:20" x14ac:dyDescent="0.25">
      <c r="A479" s="5">
        <v>44114</v>
      </c>
      <c r="B479">
        <v>17.390999999999998</v>
      </c>
      <c r="C479">
        <v>18.335000000000001</v>
      </c>
      <c r="D479">
        <v>17.363</v>
      </c>
      <c r="E479">
        <v>17.533999999999999</v>
      </c>
      <c r="F479">
        <v>662826.54799999995</v>
      </c>
      <c r="G479">
        <v>0</v>
      </c>
      <c r="P479">
        <f t="shared" si="979"/>
        <v>-0.64814814814814992</v>
      </c>
      <c r="Q479">
        <f t="shared" si="980"/>
        <v>-429609.79962963075</v>
      </c>
      <c r="R479">
        <f t="shared" si="981"/>
        <v>20424505.608164836</v>
      </c>
      <c r="S479">
        <f t="shared" si="982"/>
        <v>204.24505608164836</v>
      </c>
      <c r="T479">
        <f t="shared" si="983"/>
        <v>0.20424505608164836</v>
      </c>
    </row>
    <row r="480" spans="1:20" x14ac:dyDescent="0.25">
      <c r="A480" s="5">
        <v>44113</v>
      </c>
      <c r="B480">
        <v>17.012</v>
      </c>
      <c r="C480">
        <v>17.623999999999999</v>
      </c>
      <c r="D480">
        <v>16.834</v>
      </c>
      <c r="E480">
        <v>17.39</v>
      </c>
      <c r="F480">
        <v>599629.37399999995</v>
      </c>
      <c r="G480">
        <v>0</v>
      </c>
      <c r="P480">
        <f t="shared" si="979"/>
        <v>0.40759493670886465</v>
      </c>
      <c r="Q480">
        <f t="shared" si="980"/>
        <v>244405.89674430611</v>
      </c>
      <c r="R480">
        <f t="shared" si="981"/>
        <v>20854115.407794468</v>
      </c>
      <c r="S480">
        <f t="shared" si="982"/>
        <v>208.54115407794467</v>
      </c>
      <c r="T480">
        <f t="shared" si="983"/>
        <v>0.20854115407794466</v>
      </c>
    </row>
    <row r="481" spans="1:20" x14ac:dyDescent="0.25">
      <c r="A481" s="5">
        <v>44112</v>
      </c>
      <c r="B481">
        <v>16.765000000000001</v>
      </c>
      <c r="C481">
        <v>17.282</v>
      </c>
      <c r="D481">
        <v>16.102</v>
      </c>
      <c r="E481">
        <v>17.018999999999998</v>
      </c>
      <c r="F481">
        <v>707598.74899999995</v>
      </c>
      <c r="G481">
        <v>0</v>
      </c>
      <c r="P481">
        <f t="shared" si="979"/>
        <v>0.55423728813559026</v>
      </c>
      <c r="Q481">
        <f t="shared" si="980"/>
        <v>392177.61173389619</v>
      </c>
      <c r="R481">
        <f t="shared" si="981"/>
        <v>20609709.511050161</v>
      </c>
      <c r="S481">
        <f t="shared" si="982"/>
        <v>206.09709511050161</v>
      </c>
      <c r="T481">
        <f t="shared" si="983"/>
        <v>0.20609709511050162</v>
      </c>
    </row>
    <row r="482" spans="1:20" x14ac:dyDescent="0.25">
      <c r="A482" s="5">
        <v>44111</v>
      </c>
      <c r="B482">
        <v>16.559999999999999</v>
      </c>
      <c r="C482">
        <v>16.975999999999999</v>
      </c>
      <c r="D482">
        <v>16</v>
      </c>
      <c r="E482">
        <v>16.763999999999999</v>
      </c>
      <c r="F482">
        <v>633652.30599999998</v>
      </c>
      <c r="G482">
        <v>0</v>
      </c>
      <c r="P482">
        <f t="shared" si="979"/>
        <v>0.56557377049180335</v>
      </c>
      <c r="Q482">
        <f t="shared" si="980"/>
        <v>358377.12388524594</v>
      </c>
      <c r="R482">
        <f t="shared" si="981"/>
        <v>20217531.899316266</v>
      </c>
      <c r="S482">
        <f t="shared" si="982"/>
        <v>202.17531899316265</v>
      </c>
      <c r="T482">
        <f t="shared" si="983"/>
        <v>0.20217531899316266</v>
      </c>
    </row>
    <row r="483" spans="1:20" x14ac:dyDescent="0.25">
      <c r="A483" s="5">
        <v>44110</v>
      </c>
      <c r="B483">
        <v>17.672000000000001</v>
      </c>
      <c r="C483">
        <v>17.786999999999999</v>
      </c>
      <c r="D483">
        <v>16.378</v>
      </c>
      <c r="E483">
        <v>16.568999999999999</v>
      </c>
      <c r="F483">
        <v>1040141.651</v>
      </c>
      <c r="G483">
        <v>0</v>
      </c>
      <c r="P483">
        <f t="shared" si="979"/>
        <v>-0.72888573456352146</v>
      </c>
      <c r="Q483">
        <f t="shared" si="980"/>
        <v>-758144.411339249</v>
      </c>
      <c r="R483">
        <f t="shared" si="981"/>
        <v>19859154.775431022</v>
      </c>
      <c r="S483">
        <f t="shared" si="982"/>
        <v>198.59154775431023</v>
      </c>
      <c r="T483">
        <f t="shared" si="983"/>
        <v>0.19859154775431023</v>
      </c>
    </row>
    <row r="484" spans="1:20" x14ac:dyDescent="0.25">
      <c r="A484" s="5">
        <v>44109</v>
      </c>
      <c r="B484">
        <v>18.114999999999998</v>
      </c>
      <c r="C484">
        <v>18.262</v>
      </c>
      <c r="D484">
        <v>17.501000000000001</v>
      </c>
      <c r="E484">
        <v>17.664000000000001</v>
      </c>
      <c r="F484">
        <v>592836.82900000003</v>
      </c>
      <c r="G484">
        <v>0</v>
      </c>
      <c r="P484">
        <f t="shared" si="979"/>
        <v>-0.57161629434953898</v>
      </c>
      <c r="Q484">
        <f t="shared" si="980"/>
        <v>-338875.19134691131</v>
      </c>
      <c r="R484">
        <f t="shared" si="981"/>
        <v>20617299.186770272</v>
      </c>
      <c r="S484">
        <f t="shared" si="982"/>
        <v>206.17299186770271</v>
      </c>
      <c r="T484">
        <f t="shared" si="983"/>
        <v>0.20617299186770272</v>
      </c>
    </row>
    <row r="485" spans="1:20" x14ac:dyDescent="0.25">
      <c r="A485" s="5">
        <v>44108</v>
      </c>
      <c r="B485">
        <v>17.806000000000001</v>
      </c>
      <c r="C485">
        <v>18.175000000000001</v>
      </c>
      <c r="D485">
        <v>17.396999999999998</v>
      </c>
      <c r="E485">
        <v>18.125</v>
      </c>
      <c r="F485">
        <v>377074.04700000002</v>
      </c>
      <c r="G485">
        <v>0</v>
      </c>
      <c r="P485">
        <f t="shared" si="979"/>
        <v>0.87146529562981856</v>
      </c>
      <c r="Q485">
        <f t="shared" si="980"/>
        <v>328606.9458431871</v>
      </c>
      <c r="R485">
        <f t="shared" si="981"/>
        <v>20956174.378117181</v>
      </c>
      <c r="S485">
        <f t="shared" si="982"/>
        <v>209.56174378117183</v>
      </c>
      <c r="T485">
        <f t="shared" si="983"/>
        <v>0.20956174378117182</v>
      </c>
    </row>
    <row r="486" spans="1:20" x14ac:dyDescent="0.25">
      <c r="A486" s="5">
        <v>44107</v>
      </c>
      <c r="B486">
        <v>18.100999999999999</v>
      </c>
      <c r="C486">
        <v>18.29</v>
      </c>
      <c r="D486">
        <v>17.696999999999999</v>
      </c>
      <c r="E486">
        <v>17.806000000000001</v>
      </c>
      <c r="F486">
        <v>389839.83299999998</v>
      </c>
      <c r="G486">
        <v>0</v>
      </c>
      <c r="P486">
        <f t="shared" si="979"/>
        <v>-0.63237774030353533</v>
      </c>
      <c r="Q486">
        <f t="shared" si="980"/>
        <v>-246526.03267284756</v>
      </c>
      <c r="R486">
        <f t="shared" si="981"/>
        <v>20627567.432273995</v>
      </c>
      <c r="S486">
        <f t="shared" si="982"/>
        <v>206.27567432273995</v>
      </c>
      <c r="T486">
        <f t="shared" si="983"/>
        <v>0.20627567432273994</v>
      </c>
    </row>
    <row r="487" spans="1:20" x14ac:dyDescent="0.25">
      <c r="A487" s="5">
        <v>44106</v>
      </c>
      <c r="B487">
        <v>18.777999999999999</v>
      </c>
      <c r="C487">
        <v>19.096</v>
      </c>
      <c r="D487">
        <v>17.234999999999999</v>
      </c>
      <c r="E487">
        <v>18.088999999999999</v>
      </c>
      <c r="F487">
        <v>741400.94200000004</v>
      </c>
      <c r="G487">
        <v>0</v>
      </c>
      <c r="P487">
        <f t="shared" si="979"/>
        <v>-8.2213863514240829E-2</v>
      </c>
      <c r="Q487">
        <f t="shared" si="980"/>
        <v>-60953.435854917581</v>
      </c>
      <c r="R487">
        <f t="shared" si="981"/>
        <v>20874093.464946844</v>
      </c>
      <c r="S487">
        <f t="shared" si="982"/>
        <v>208.74093464946844</v>
      </c>
      <c r="T487">
        <f t="shared" si="983"/>
        <v>0.20874093464946844</v>
      </c>
    </row>
    <row r="488" spans="1:20" x14ac:dyDescent="0.25">
      <c r="A488" s="5">
        <v>44105</v>
      </c>
      <c r="B488">
        <v>19.103000000000002</v>
      </c>
      <c r="C488">
        <v>20.366</v>
      </c>
      <c r="D488">
        <v>18.143000000000001</v>
      </c>
      <c r="E488">
        <v>18.786000000000001</v>
      </c>
      <c r="F488">
        <v>1059234.828</v>
      </c>
      <c r="G488">
        <v>0</v>
      </c>
      <c r="P488">
        <f t="shared" si="979"/>
        <v>-0.42150247413405217</v>
      </c>
      <c r="Q488">
        <f t="shared" si="980"/>
        <v>-446470.10069095722</v>
      </c>
      <c r="R488">
        <f t="shared" si="981"/>
        <v>20935046.900801763</v>
      </c>
      <c r="S488">
        <f t="shared" si="982"/>
        <v>209.35046900801763</v>
      </c>
      <c r="T488">
        <f t="shared" si="983"/>
        <v>0.20935046900801763</v>
      </c>
    </row>
    <row r="489" spans="1:20" x14ac:dyDescent="0.25">
      <c r="A489" s="5">
        <v>44104</v>
      </c>
      <c r="B489">
        <v>19.678999999999998</v>
      </c>
      <c r="C489">
        <v>20.2</v>
      </c>
      <c r="D489">
        <v>18.727</v>
      </c>
      <c r="E489">
        <v>19.077999999999999</v>
      </c>
      <c r="F489">
        <v>1090627.6459999999</v>
      </c>
      <c r="G489">
        <v>0</v>
      </c>
      <c r="P489">
        <f t="shared" si="979"/>
        <v>-0.52342158859470556</v>
      </c>
      <c r="Q489">
        <f t="shared" si="980"/>
        <v>-570858.05503462418</v>
      </c>
      <c r="R489">
        <f t="shared" si="981"/>
        <v>21381517.00149272</v>
      </c>
      <c r="S489">
        <f t="shared" si="982"/>
        <v>213.81517001492719</v>
      </c>
      <c r="T489">
        <f t="shared" si="983"/>
        <v>0.2138151700149272</v>
      </c>
    </row>
    <row r="490" spans="1:20" x14ac:dyDescent="0.25">
      <c r="A490" s="5">
        <v>44103</v>
      </c>
      <c r="B490">
        <v>20.123000000000001</v>
      </c>
      <c r="C490">
        <v>20.327999999999999</v>
      </c>
      <c r="D490">
        <v>19.018999999999998</v>
      </c>
      <c r="E490">
        <v>19.690999999999999</v>
      </c>
      <c r="F490">
        <v>871022.41399999999</v>
      </c>
      <c r="G490">
        <v>0</v>
      </c>
      <c r="P490">
        <f t="shared" si="979"/>
        <v>2.6737967914438589E-2</v>
      </c>
      <c r="Q490">
        <f t="shared" si="980"/>
        <v>23289.369358288845</v>
      </c>
      <c r="R490">
        <f t="shared" si="981"/>
        <v>21952375.056527343</v>
      </c>
      <c r="S490">
        <f t="shared" si="982"/>
        <v>219.52375056527342</v>
      </c>
      <c r="T490">
        <f t="shared" si="983"/>
        <v>0.21952375056527343</v>
      </c>
    </row>
    <row r="491" spans="1:20" x14ac:dyDescent="0.25">
      <c r="A491" s="5">
        <v>44102</v>
      </c>
      <c r="B491">
        <v>21.146999999999998</v>
      </c>
      <c r="C491">
        <v>21.582000000000001</v>
      </c>
      <c r="D491">
        <v>19.792000000000002</v>
      </c>
      <c r="E491">
        <v>20.11</v>
      </c>
      <c r="F491">
        <v>1374841.9450000001</v>
      </c>
      <c r="G491">
        <v>0</v>
      </c>
      <c r="P491">
        <f t="shared" si="979"/>
        <v>-0.64469273743016986</v>
      </c>
      <c r="Q491">
        <f t="shared" si="980"/>
        <v>-886350.61705586908</v>
      </c>
      <c r="R491">
        <f t="shared" si="981"/>
        <v>21929085.687169053</v>
      </c>
      <c r="S491">
        <f t="shared" si="982"/>
        <v>219.29085687169052</v>
      </c>
      <c r="T491">
        <f t="shared" si="983"/>
        <v>0.21929085687169053</v>
      </c>
    </row>
    <row r="492" spans="1:20" x14ac:dyDescent="0.25">
      <c r="A492" s="5">
        <v>44101</v>
      </c>
      <c r="B492">
        <v>21</v>
      </c>
      <c r="C492">
        <v>22.03</v>
      </c>
      <c r="D492">
        <v>20.459</v>
      </c>
      <c r="E492">
        <v>21.146999999999998</v>
      </c>
      <c r="F492">
        <v>944074.67500000005</v>
      </c>
      <c r="G492">
        <v>0</v>
      </c>
      <c r="P492">
        <f t="shared" si="979"/>
        <v>-0.12412476129853829</v>
      </c>
      <c r="Q492">
        <f t="shared" si="980"/>
        <v>-117183.04368237012</v>
      </c>
      <c r="R492">
        <f t="shared" si="981"/>
        <v>22815436.304224923</v>
      </c>
      <c r="S492">
        <f t="shared" si="982"/>
        <v>228.15436304224923</v>
      </c>
      <c r="T492">
        <f t="shared" si="983"/>
        <v>0.22815436304224923</v>
      </c>
    </row>
    <row r="493" spans="1:20" x14ac:dyDescent="0.25">
      <c r="A493" s="5">
        <v>44100</v>
      </c>
      <c r="B493">
        <v>21.32</v>
      </c>
      <c r="C493">
        <v>22.481999999999999</v>
      </c>
      <c r="D493">
        <v>20.501000000000001</v>
      </c>
      <c r="E493">
        <v>21.004000000000001</v>
      </c>
      <c r="F493">
        <v>1156657.0689999999</v>
      </c>
      <c r="G493">
        <v>0</v>
      </c>
      <c r="P493">
        <f t="shared" si="979"/>
        <v>-0.49217566885411346</v>
      </c>
      <c r="Q493">
        <f t="shared" si="980"/>
        <v>-569278.46656991343</v>
      </c>
      <c r="R493">
        <f t="shared" si="981"/>
        <v>22932619.347907294</v>
      </c>
      <c r="S493">
        <f t="shared" si="982"/>
        <v>229.32619347907294</v>
      </c>
      <c r="T493">
        <f t="shared" si="983"/>
        <v>0.22932619347907293</v>
      </c>
    </row>
    <row r="494" spans="1:20" x14ac:dyDescent="0.25">
      <c r="A494" s="5">
        <v>44099</v>
      </c>
      <c r="B494">
        <v>21.821999999999999</v>
      </c>
      <c r="C494">
        <v>23.198</v>
      </c>
      <c r="D494">
        <v>20.824999999999999</v>
      </c>
      <c r="E494">
        <v>21.311</v>
      </c>
      <c r="F494">
        <v>2731507.301</v>
      </c>
      <c r="G494">
        <v>0</v>
      </c>
      <c r="P494">
        <f t="shared" si="979"/>
        <v>-0.59039190897597937</v>
      </c>
      <c r="Q494">
        <f t="shared" si="980"/>
        <v>-1612659.809819215</v>
      </c>
      <c r="R494">
        <f t="shared" si="981"/>
        <v>23501897.814477205</v>
      </c>
      <c r="S494">
        <f t="shared" si="982"/>
        <v>235.01897814477206</v>
      </c>
      <c r="T494">
        <f t="shared" si="983"/>
        <v>0.23501897814477207</v>
      </c>
    </row>
    <row r="495" spans="1:20" x14ac:dyDescent="0.25">
      <c r="A495" s="5">
        <v>44098</v>
      </c>
      <c r="B495">
        <v>19.675000000000001</v>
      </c>
      <c r="C495">
        <v>22.021999999999998</v>
      </c>
      <c r="D495">
        <v>19.349</v>
      </c>
      <c r="E495">
        <v>21.812999999999999</v>
      </c>
      <c r="F495">
        <v>1474635.7250000001</v>
      </c>
      <c r="G495">
        <v>0</v>
      </c>
      <c r="P495">
        <f t="shared" si="979"/>
        <v>0.84362139917695489</v>
      </c>
      <c r="Q495">
        <f t="shared" si="980"/>
        <v>1244034.2536008235</v>
      </c>
      <c r="R495">
        <f t="shared" si="981"/>
        <v>25114557.624296419</v>
      </c>
      <c r="S495">
        <f t="shared" si="982"/>
        <v>251.14557624296418</v>
      </c>
      <c r="T495">
        <f t="shared" si="983"/>
        <v>0.25114557624296419</v>
      </c>
    </row>
    <row r="496" spans="1:20" x14ac:dyDescent="0.25">
      <c r="A496" s="5">
        <v>44097</v>
      </c>
      <c r="B496">
        <v>20.190999999999999</v>
      </c>
      <c r="C496">
        <v>21.837</v>
      </c>
      <c r="D496">
        <v>18.765999999999998</v>
      </c>
      <c r="E496">
        <v>19.684999999999999</v>
      </c>
      <c r="F496">
        <v>2344128.213</v>
      </c>
      <c r="G496">
        <v>0</v>
      </c>
      <c r="P496">
        <f t="shared" si="979"/>
        <v>-0.40149788342559423</v>
      </c>
      <c r="Q496">
        <f t="shared" si="980"/>
        <v>-941162.51599772053</v>
      </c>
      <c r="R496">
        <f t="shared" si="981"/>
        <v>23870523.370695595</v>
      </c>
      <c r="S496">
        <f t="shared" si="982"/>
        <v>238.70523370695594</v>
      </c>
      <c r="T496">
        <f t="shared" si="983"/>
        <v>0.23870523370695593</v>
      </c>
    </row>
    <row r="497" spans="1:20" x14ac:dyDescent="0.25">
      <c r="A497" s="5">
        <v>44096</v>
      </c>
      <c r="B497">
        <v>20.111999999999998</v>
      </c>
      <c r="C497">
        <v>20.710999999999999</v>
      </c>
      <c r="D497">
        <v>18.603999999999999</v>
      </c>
      <c r="E497">
        <v>20.204999999999998</v>
      </c>
      <c r="F497">
        <v>1603517.318</v>
      </c>
      <c r="G497">
        <v>0</v>
      </c>
      <c r="P497">
        <f t="shared" si="979"/>
        <v>0.51969625059326019</v>
      </c>
      <c r="Q497">
        <f t="shared" si="980"/>
        <v>833341.93792596052</v>
      </c>
      <c r="R497">
        <f t="shared" si="981"/>
        <v>24811685.886693314</v>
      </c>
      <c r="S497">
        <f t="shared" si="982"/>
        <v>248.11685886693314</v>
      </c>
      <c r="T497">
        <f t="shared" si="983"/>
        <v>0.24811685886693313</v>
      </c>
    </row>
    <row r="498" spans="1:20" x14ac:dyDescent="0.25">
      <c r="A498" s="5">
        <v>44095</v>
      </c>
      <c r="B498">
        <v>23.6</v>
      </c>
      <c r="C498">
        <v>24.42</v>
      </c>
      <c r="D498">
        <v>19.43</v>
      </c>
      <c r="E498">
        <v>20.111999999999998</v>
      </c>
      <c r="F498">
        <v>2706347.1519999998</v>
      </c>
      <c r="G498">
        <v>0</v>
      </c>
      <c r="P498">
        <f t="shared" si="979"/>
        <v>-0.72665330661322713</v>
      </c>
      <c r="Q498">
        <f t="shared" si="980"/>
        <v>-1966576.1068440899</v>
      </c>
      <c r="R498">
        <f t="shared" si="981"/>
        <v>23978343.948767353</v>
      </c>
      <c r="S498">
        <f t="shared" si="982"/>
        <v>239.78343948767352</v>
      </c>
      <c r="T498">
        <f t="shared" si="983"/>
        <v>0.23978343948767353</v>
      </c>
    </row>
    <row r="499" spans="1:20" x14ac:dyDescent="0.25">
      <c r="A499" s="5">
        <v>44094</v>
      </c>
      <c r="B499">
        <v>24.5</v>
      </c>
      <c r="C499">
        <v>25.602</v>
      </c>
      <c r="D499">
        <v>22.776</v>
      </c>
      <c r="E499">
        <v>23.579000000000001</v>
      </c>
      <c r="F499">
        <v>1162067.3540000001</v>
      </c>
      <c r="G499">
        <v>0</v>
      </c>
      <c r="P499">
        <f t="shared" si="979"/>
        <v>-0.43170559094125927</v>
      </c>
      <c r="Q499">
        <f t="shared" si="980"/>
        <v>-501670.97377211554</v>
      </c>
      <c r="R499">
        <f t="shared" si="981"/>
        <v>25944920.055611443</v>
      </c>
      <c r="S499">
        <f t="shared" si="982"/>
        <v>259.44920055611442</v>
      </c>
      <c r="T499">
        <f t="shared" si="983"/>
        <v>0.25944920055611442</v>
      </c>
    </row>
    <row r="500" spans="1:20" x14ac:dyDescent="0.25">
      <c r="A500" s="5">
        <v>44093</v>
      </c>
      <c r="B500">
        <v>25.306999999999999</v>
      </c>
      <c r="C500">
        <v>25.329000000000001</v>
      </c>
      <c r="D500">
        <v>23.6</v>
      </c>
      <c r="E500">
        <v>24.5</v>
      </c>
      <c r="F500">
        <v>738057.87399999995</v>
      </c>
      <c r="G500">
        <v>0</v>
      </c>
      <c r="P500">
        <f t="shared" si="979"/>
        <v>4.1064198958934636E-2</v>
      </c>
      <c r="Q500">
        <f t="shared" si="980"/>
        <v>30307.75538114431</v>
      </c>
      <c r="R500">
        <f t="shared" si="981"/>
        <v>26446591.029383559</v>
      </c>
      <c r="S500">
        <f t="shared" si="982"/>
        <v>264.46591029383558</v>
      </c>
      <c r="T500">
        <f t="shared" si="983"/>
        <v>0.26446591029383559</v>
      </c>
    </row>
    <row r="501" spans="1:20" x14ac:dyDescent="0.25">
      <c r="A501" s="5">
        <v>44092</v>
      </c>
      <c r="B501">
        <v>23.838000000000001</v>
      </c>
      <c r="C501">
        <v>25.859000000000002</v>
      </c>
      <c r="D501">
        <v>22.869</v>
      </c>
      <c r="E501">
        <v>25.306999999999999</v>
      </c>
      <c r="F501">
        <v>1643193.1340000001</v>
      </c>
      <c r="G501">
        <v>0</v>
      </c>
      <c r="P501">
        <f t="shared" si="979"/>
        <v>0.63076923076922886</v>
      </c>
      <c r="Q501">
        <f t="shared" si="980"/>
        <v>1036475.6691384584</v>
      </c>
      <c r="R501">
        <f t="shared" si="981"/>
        <v>26416283.274002414</v>
      </c>
      <c r="S501">
        <f t="shared" si="982"/>
        <v>264.16283274002416</v>
      </c>
      <c r="T501">
        <f t="shared" si="983"/>
        <v>0.26416283274002417</v>
      </c>
    </row>
    <row r="502" spans="1:20" x14ac:dyDescent="0.25">
      <c r="A502" s="5">
        <v>44091</v>
      </c>
      <c r="B502">
        <v>20.98</v>
      </c>
      <c r="C502">
        <v>24.32</v>
      </c>
      <c r="D502">
        <v>20.641999999999999</v>
      </c>
      <c r="E502">
        <v>23.832999999999998</v>
      </c>
      <c r="F502">
        <v>1670456.61</v>
      </c>
      <c r="G502">
        <v>0</v>
      </c>
      <c r="P502">
        <f t="shared" si="979"/>
        <v>0.73518216421968363</v>
      </c>
      <c r="Q502">
        <f t="shared" si="980"/>
        <v>1228089.905774876</v>
      </c>
      <c r="R502">
        <f t="shared" si="981"/>
        <v>25379807.604863957</v>
      </c>
      <c r="S502">
        <f t="shared" si="982"/>
        <v>253.79807604863956</v>
      </c>
      <c r="T502">
        <f t="shared" si="983"/>
        <v>0.25379807604863958</v>
      </c>
    </row>
    <row r="503" spans="1:20" x14ac:dyDescent="0.25">
      <c r="A503" s="5">
        <v>44090</v>
      </c>
      <c r="B503">
        <v>20.263000000000002</v>
      </c>
      <c r="C503">
        <v>21.798999999999999</v>
      </c>
      <c r="D503">
        <v>19.408999999999999</v>
      </c>
      <c r="E503">
        <v>20.997</v>
      </c>
      <c r="F503">
        <v>947308.54099999997</v>
      </c>
      <c r="G503">
        <v>0</v>
      </c>
      <c r="P503">
        <f t="shared" si="979"/>
        <v>0.32887029288702979</v>
      </c>
      <c r="Q503">
        <f t="shared" si="980"/>
        <v>311541.63733305485</v>
      </c>
      <c r="R503">
        <f t="shared" si="981"/>
        <v>24151717.69908908</v>
      </c>
      <c r="S503">
        <f t="shared" si="982"/>
        <v>241.51717699089079</v>
      </c>
      <c r="T503">
        <f t="shared" si="983"/>
        <v>0.24151717699089079</v>
      </c>
    </row>
    <row r="504" spans="1:20" x14ac:dyDescent="0.25">
      <c r="A504" s="5">
        <v>44089</v>
      </c>
      <c r="B504">
        <v>22.018999999999998</v>
      </c>
      <c r="C504">
        <v>22.494</v>
      </c>
      <c r="D504">
        <v>20.100999999999999</v>
      </c>
      <c r="E504">
        <v>20.27</v>
      </c>
      <c r="F504">
        <v>1020793.042</v>
      </c>
      <c r="G504">
        <v>0</v>
      </c>
      <c r="P504">
        <f t="shared" si="979"/>
        <v>-0.85875470121186759</v>
      </c>
      <c r="Q504">
        <f t="shared" si="980"/>
        <v>-876610.82378186344</v>
      </c>
      <c r="R504">
        <f t="shared" si="981"/>
        <v>23840176.061756026</v>
      </c>
      <c r="S504">
        <f t="shared" si="982"/>
        <v>238.40176061756026</v>
      </c>
      <c r="T504">
        <f t="shared" si="983"/>
        <v>0.23840176061756024</v>
      </c>
    </row>
    <row r="505" spans="1:20" x14ac:dyDescent="0.25">
      <c r="A505" s="5">
        <v>44088</v>
      </c>
      <c r="B505">
        <v>20.332000000000001</v>
      </c>
      <c r="C505">
        <v>22.536999999999999</v>
      </c>
      <c r="D505">
        <v>19.504999999999999</v>
      </c>
      <c r="E505">
        <v>22.018000000000001</v>
      </c>
      <c r="F505">
        <v>1123797.105</v>
      </c>
      <c r="G505">
        <v>0</v>
      </c>
      <c r="P505">
        <f t="shared" si="979"/>
        <v>0.65765171503957898</v>
      </c>
      <c r="Q505">
        <f t="shared" si="980"/>
        <v>739067.0934597638</v>
      </c>
      <c r="R505">
        <f t="shared" si="981"/>
        <v>24716786.885537889</v>
      </c>
      <c r="S505">
        <f t="shared" si="982"/>
        <v>247.16786885537888</v>
      </c>
      <c r="T505">
        <f t="shared" si="983"/>
        <v>0.24716786885537889</v>
      </c>
    </row>
    <row r="506" spans="1:20" x14ac:dyDescent="0.25">
      <c r="A506" s="5">
        <v>44087</v>
      </c>
      <c r="B506">
        <v>21.716999999999999</v>
      </c>
      <c r="C506">
        <v>22.042999999999999</v>
      </c>
      <c r="D506">
        <v>19.239999999999998</v>
      </c>
      <c r="E506">
        <v>20.338999999999999</v>
      </c>
      <c r="F506">
        <v>1074863.189</v>
      </c>
      <c r="G506">
        <v>0</v>
      </c>
      <c r="P506">
        <f t="shared" si="979"/>
        <v>-0.21584017124509464</v>
      </c>
      <c r="Q506">
        <f t="shared" si="980"/>
        <v>-231998.65477880853</v>
      </c>
      <c r="R506">
        <f t="shared" si="981"/>
        <v>23977719.792078126</v>
      </c>
      <c r="S506">
        <f t="shared" si="982"/>
        <v>239.77719792078128</v>
      </c>
      <c r="T506">
        <f t="shared" si="983"/>
        <v>0.23977719792078128</v>
      </c>
    </row>
    <row r="507" spans="1:20" x14ac:dyDescent="0.25">
      <c r="A507" s="5">
        <v>44086</v>
      </c>
      <c r="B507">
        <v>20.314</v>
      </c>
      <c r="C507">
        <v>21.8</v>
      </c>
      <c r="D507">
        <v>19.716999999999999</v>
      </c>
      <c r="E507">
        <v>21.725000000000001</v>
      </c>
      <c r="F507">
        <v>1037780.961</v>
      </c>
      <c r="G507">
        <v>0</v>
      </c>
      <c r="P507">
        <f t="shared" si="979"/>
        <v>0.92798847815650576</v>
      </c>
      <c r="Q507">
        <f t="shared" si="980"/>
        <v>963048.77465818601</v>
      </c>
      <c r="R507">
        <f t="shared" si="981"/>
        <v>24209718.446856935</v>
      </c>
      <c r="S507">
        <f t="shared" si="982"/>
        <v>242.09718446856934</v>
      </c>
      <c r="T507">
        <f t="shared" si="983"/>
        <v>0.24209718446856934</v>
      </c>
    </row>
    <row r="508" spans="1:20" x14ac:dyDescent="0.25">
      <c r="A508" s="5">
        <v>44085</v>
      </c>
      <c r="B508">
        <v>18.462</v>
      </c>
      <c r="C508">
        <v>20.606999999999999</v>
      </c>
      <c r="D508">
        <v>18.100000000000001</v>
      </c>
      <c r="E508">
        <v>20.318999999999999</v>
      </c>
      <c r="F508">
        <v>1434744.692</v>
      </c>
      <c r="G508">
        <v>0</v>
      </c>
      <c r="P508">
        <f t="shared" si="979"/>
        <v>0.77024331870761831</v>
      </c>
      <c r="Q508">
        <f t="shared" si="980"/>
        <v>1105102.5130642196</v>
      </c>
      <c r="R508">
        <f t="shared" si="981"/>
        <v>23246669.67219875</v>
      </c>
      <c r="S508">
        <f t="shared" si="982"/>
        <v>232.46669672198749</v>
      </c>
      <c r="T508">
        <f t="shared" si="983"/>
        <v>0.2324666967219875</v>
      </c>
    </row>
    <row r="509" spans="1:20" x14ac:dyDescent="0.25">
      <c r="A509" s="5">
        <v>44084</v>
      </c>
      <c r="B509">
        <v>17.265999999999998</v>
      </c>
      <c r="C509">
        <v>18.645</v>
      </c>
      <c r="D509">
        <v>17.265999999999998</v>
      </c>
      <c r="E509">
        <v>18.462</v>
      </c>
      <c r="F509">
        <v>574038.94099999999</v>
      </c>
      <c r="G509">
        <v>0</v>
      </c>
      <c r="P509">
        <f t="shared" si="979"/>
        <v>0.73459028281363359</v>
      </c>
      <c r="Q509">
        <f t="shared" si="980"/>
        <v>421683.42801522871</v>
      </c>
      <c r="R509">
        <f t="shared" si="981"/>
        <v>22141567.15913453</v>
      </c>
      <c r="S509">
        <f t="shared" si="982"/>
        <v>221.4156715913453</v>
      </c>
      <c r="T509">
        <f t="shared" si="983"/>
        <v>0.22141567159134531</v>
      </c>
    </row>
    <row r="510" spans="1:20" x14ac:dyDescent="0.25">
      <c r="A510" s="5">
        <v>44083</v>
      </c>
      <c r="B510">
        <v>17.120999999999999</v>
      </c>
      <c r="C510">
        <v>17.95</v>
      </c>
      <c r="D510">
        <v>16.609000000000002</v>
      </c>
      <c r="E510">
        <v>17.282</v>
      </c>
      <c r="F510">
        <v>456944.179</v>
      </c>
      <c r="G510">
        <v>0</v>
      </c>
      <c r="P510">
        <f t="shared" si="979"/>
        <v>3.7285607755399063E-3</v>
      </c>
      <c r="Q510">
        <f t="shared" si="980"/>
        <v>1703.7441424306858</v>
      </c>
      <c r="R510">
        <f t="shared" si="981"/>
        <v>21719883.731119301</v>
      </c>
      <c r="S510">
        <f t="shared" si="982"/>
        <v>217.19883731119302</v>
      </c>
      <c r="T510">
        <f t="shared" si="983"/>
        <v>0.21719883731119302</v>
      </c>
    </row>
    <row r="511" spans="1:20" x14ac:dyDescent="0.25">
      <c r="A511" s="5">
        <v>44082</v>
      </c>
      <c r="B511">
        <v>18.236999999999998</v>
      </c>
      <c r="C511">
        <v>18.654</v>
      </c>
      <c r="D511">
        <v>16.507999999999999</v>
      </c>
      <c r="E511">
        <v>17.122</v>
      </c>
      <c r="F511">
        <v>875602.07499999995</v>
      </c>
      <c r="G511">
        <v>0</v>
      </c>
      <c r="P511">
        <f t="shared" si="979"/>
        <v>-0.42777260018639279</v>
      </c>
      <c r="Q511">
        <f t="shared" si="980"/>
        <v>-374558.57635135087</v>
      </c>
      <c r="R511">
        <f t="shared" si="981"/>
        <v>21718179.986976869</v>
      </c>
      <c r="S511">
        <f t="shared" si="982"/>
        <v>217.1817998697687</v>
      </c>
      <c r="T511">
        <f t="shared" si="983"/>
        <v>0.21718179986976868</v>
      </c>
    </row>
    <row r="512" spans="1:20" x14ac:dyDescent="0.25">
      <c r="A512" s="5">
        <v>44081</v>
      </c>
      <c r="B512">
        <v>17.167000000000002</v>
      </c>
      <c r="C512">
        <v>18.315999999999999</v>
      </c>
      <c r="D512">
        <v>15.867000000000001</v>
      </c>
      <c r="E512">
        <v>18.204000000000001</v>
      </c>
      <c r="F512">
        <v>1145075.828</v>
      </c>
      <c r="G512">
        <v>0</v>
      </c>
      <c r="P512">
        <f t="shared" si="979"/>
        <v>0.90853409554920506</v>
      </c>
      <c r="Q512">
        <f t="shared" si="980"/>
        <v>1040340.4317272371</v>
      </c>
      <c r="R512">
        <f t="shared" si="981"/>
        <v>22092738.563328221</v>
      </c>
      <c r="S512">
        <f t="shared" si="982"/>
        <v>220.92738563328223</v>
      </c>
      <c r="T512">
        <f t="shared" si="983"/>
        <v>0.22092738563328224</v>
      </c>
    </row>
    <row r="513" spans="1:20" x14ac:dyDescent="0.25">
      <c r="A513" s="5">
        <v>44080</v>
      </c>
      <c r="B513">
        <v>16.939</v>
      </c>
      <c r="C513">
        <v>17.745000000000001</v>
      </c>
      <c r="D513">
        <v>16.221</v>
      </c>
      <c r="E513">
        <v>17.155999999999999</v>
      </c>
      <c r="F513">
        <v>705606.10699999996</v>
      </c>
      <c r="G513">
        <v>0</v>
      </c>
      <c r="P513">
        <f t="shared" si="979"/>
        <v>0.22703412073490573</v>
      </c>
      <c r="Q513">
        <f t="shared" si="980"/>
        <v>160196.66208792481</v>
      </c>
      <c r="R513">
        <f t="shared" si="981"/>
        <v>21052398.131600983</v>
      </c>
      <c r="S513">
        <f t="shared" si="982"/>
        <v>210.52398131600984</v>
      </c>
      <c r="T513">
        <f t="shared" si="983"/>
        <v>0.21052398131600983</v>
      </c>
    </row>
    <row r="514" spans="1:20" x14ac:dyDescent="0.25">
      <c r="A514" s="5">
        <v>44079</v>
      </c>
      <c r="B514">
        <v>18.896000000000001</v>
      </c>
      <c r="C514">
        <v>19.350000000000001</v>
      </c>
      <c r="D514">
        <v>16.257000000000001</v>
      </c>
      <c r="E514">
        <v>16.963999999999999</v>
      </c>
      <c r="F514">
        <v>1453733.9509999999</v>
      </c>
      <c r="G514">
        <v>0</v>
      </c>
      <c r="P514">
        <f t="shared" si="979"/>
        <v>-0.54283866795991131</v>
      </c>
      <c r="Q514">
        <f t="shared" si="980"/>
        <v>-789143.00152893888</v>
      </c>
      <c r="R514">
        <f t="shared" si="981"/>
        <v>20892201.469513059</v>
      </c>
      <c r="S514">
        <f t="shared" si="982"/>
        <v>208.9220146951306</v>
      </c>
      <c r="T514">
        <f t="shared" si="983"/>
        <v>0.20892201469513061</v>
      </c>
    </row>
    <row r="515" spans="1:20" x14ac:dyDescent="0.25">
      <c r="A515" s="5">
        <v>44078</v>
      </c>
      <c r="B515">
        <v>17.709</v>
      </c>
      <c r="C515">
        <v>19.795000000000002</v>
      </c>
      <c r="D515">
        <v>17.164000000000001</v>
      </c>
      <c r="E515">
        <v>18.904</v>
      </c>
      <c r="F515">
        <v>1229546.8929999999</v>
      </c>
      <c r="G515">
        <v>0</v>
      </c>
      <c r="P515">
        <f t="shared" si="979"/>
        <v>0.32269099201824269</v>
      </c>
      <c r="Q515">
        <f t="shared" si="980"/>
        <v>396763.70663511805</v>
      </c>
      <c r="R515">
        <f t="shared" si="981"/>
        <v>21681344.471041996</v>
      </c>
      <c r="S515">
        <f t="shared" si="982"/>
        <v>216.81344471041996</v>
      </c>
      <c r="T515">
        <f t="shared" si="983"/>
        <v>0.21681344471041997</v>
      </c>
    </row>
    <row r="516" spans="1:20" x14ac:dyDescent="0.25">
      <c r="A516" s="5">
        <v>44077</v>
      </c>
      <c r="B516">
        <v>20.326000000000001</v>
      </c>
      <c r="C516">
        <v>20.646999999999998</v>
      </c>
      <c r="D516">
        <v>17.033999999999999</v>
      </c>
      <c r="E516">
        <v>17.725000000000001</v>
      </c>
      <c r="F516">
        <v>1269445.983</v>
      </c>
      <c r="G516">
        <v>0</v>
      </c>
      <c r="P516">
        <f t="shared" si="979"/>
        <v>-0.61749238859673261</v>
      </c>
      <c r="Q516">
        <f t="shared" si="980"/>
        <v>-783873.23223719723</v>
      </c>
      <c r="R516">
        <f t="shared" si="981"/>
        <v>21284580.764406879</v>
      </c>
      <c r="S516">
        <f t="shared" si="982"/>
        <v>212.8458076440688</v>
      </c>
      <c r="T516">
        <f t="shared" si="983"/>
        <v>0.2128458076440688</v>
      </c>
    </row>
    <row r="517" spans="1:20" x14ac:dyDescent="0.25">
      <c r="A517" s="5">
        <v>44076</v>
      </c>
      <c r="B517">
        <v>21.503</v>
      </c>
      <c r="C517">
        <v>21.72</v>
      </c>
      <c r="D517">
        <v>19.337</v>
      </c>
      <c r="E517">
        <v>20.329999999999998</v>
      </c>
      <c r="F517">
        <v>1138657.5160000001</v>
      </c>
      <c r="G517">
        <v>0</v>
      </c>
      <c r="P517">
        <f t="shared" si="979"/>
        <v>-0.16659672681494006</v>
      </c>
      <c r="Q517">
        <f t="shared" si="980"/>
        <v>-189696.61512883025</v>
      </c>
      <c r="R517">
        <f t="shared" si="981"/>
        <v>22068453.996644076</v>
      </c>
      <c r="S517">
        <f t="shared" si="982"/>
        <v>220.68453996644075</v>
      </c>
      <c r="T517">
        <f t="shared" si="983"/>
        <v>0.22068453996644075</v>
      </c>
    </row>
    <row r="518" spans="1:20" x14ac:dyDescent="0.25">
      <c r="A518" s="5">
        <v>44075</v>
      </c>
      <c r="B518">
        <v>20.439</v>
      </c>
      <c r="C518">
        <v>22.498999999999999</v>
      </c>
      <c r="D518">
        <v>20.132000000000001</v>
      </c>
      <c r="E518">
        <v>21.516999999999999</v>
      </c>
      <c r="F518">
        <v>1267078.493</v>
      </c>
      <c r="G518">
        <v>0</v>
      </c>
      <c r="P518">
        <f t="shared" ref="P518:P581" si="984">IF(C518=D518,0,((E518-D518)-(C518-E518))/(C518-D518))</f>
        <v>0.17025771018166419</v>
      </c>
      <c r="Q518">
        <f t="shared" ref="Q518:Q581" si="985">F518*P518</f>
        <v>215729.88283861382</v>
      </c>
      <c r="R518">
        <f t="shared" ref="R518:R581" si="986">R519+Q518</f>
        <v>22258150.611772906</v>
      </c>
      <c r="S518">
        <f t="shared" ref="S518:S581" si="987">R518/100000</f>
        <v>222.58150611772905</v>
      </c>
      <c r="T518">
        <f t="shared" ref="T518:T581" si="988">S518/1000</f>
        <v>0.22258150611772906</v>
      </c>
    </row>
    <row r="519" spans="1:20" x14ac:dyDescent="0.25">
      <c r="A519" s="5">
        <v>44074</v>
      </c>
      <c r="B519">
        <v>20.658000000000001</v>
      </c>
      <c r="C519">
        <v>21.57</v>
      </c>
      <c r="D519">
        <v>20.210999999999999</v>
      </c>
      <c r="E519">
        <v>20.443000000000001</v>
      </c>
      <c r="F519">
        <v>1189764.7050000001</v>
      </c>
      <c r="G519">
        <v>0</v>
      </c>
      <c r="P519">
        <f t="shared" si="984"/>
        <v>-0.65857247976452893</v>
      </c>
      <c r="Q519">
        <f t="shared" si="985"/>
        <v>-783546.29210816324</v>
      </c>
      <c r="R519">
        <f t="shared" si="986"/>
        <v>22042420.728934292</v>
      </c>
      <c r="S519">
        <f t="shared" si="987"/>
        <v>220.42420728934292</v>
      </c>
      <c r="T519">
        <f t="shared" si="988"/>
        <v>0.22042420728934292</v>
      </c>
    </row>
    <row r="520" spans="1:20" x14ac:dyDescent="0.25">
      <c r="A520" s="5">
        <v>44073</v>
      </c>
      <c r="B520">
        <v>21.135000000000002</v>
      </c>
      <c r="C520">
        <v>22.9</v>
      </c>
      <c r="D520">
        <v>20.323</v>
      </c>
      <c r="E520">
        <v>20.661999999999999</v>
      </c>
      <c r="F520">
        <v>2135153.4730000002</v>
      </c>
      <c r="G520">
        <v>0</v>
      </c>
      <c r="P520">
        <f t="shared" si="984"/>
        <v>-0.73690337601862721</v>
      </c>
      <c r="Q520">
        <f t="shared" si="985"/>
        <v>-1573401.802571597</v>
      </c>
      <c r="R520">
        <f t="shared" si="986"/>
        <v>22825967.021042455</v>
      </c>
      <c r="S520">
        <f t="shared" si="987"/>
        <v>228.25967021042456</v>
      </c>
      <c r="T520">
        <f t="shared" si="988"/>
        <v>0.22825967021042456</v>
      </c>
    </row>
    <row r="521" spans="1:20" x14ac:dyDescent="0.25">
      <c r="A521" s="5">
        <v>44072</v>
      </c>
      <c r="B521">
        <v>18.294</v>
      </c>
      <c r="C521">
        <v>21.95</v>
      </c>
      <c r="D521">
        <v>17.963999999999999</v>
      </c>
      <c r="E521">
        <v>21.140999999999998</v>
      </c>
      <c r="F521">
        <v>2233868.4759999998</v>
      </c>
      <c r="G521">
        <v>0</v>
      </c>
      <c r="P521">
        <f t="shared" si="984"/>
        <v>0.59407927747114853</v>
      </c>
      <c r="Q521">
        <f t="shared" si="985"/>
        <v>1327094.9701876557</v>
      </c>
      <c r="R521">
        <f t="shared" si="986"/>
        <v>24399368.823614053</v>
      </c>
      <c r="S521">
        <f t="shared" si="987"/>
        <v>243.99368823614054</v>
      </c>
      <c r="T521">
        <f t="shared" si="988"/>
        <v>0.24399368823614054</v>
      </c>
    </row>
    <row r="522" spans="1:20" x14ac:dyDescent="0.25">
      <c r="A522" s="5">
        <v>44071</v>
      </c>
      <c r="B522">
        <v>17.666</v>
      </c>
      <c r="C522">
        <v>18.587</v>
      </c>
      <c r="D522">
        <v>17.364999999999998</v>
      </c>
      <c r="E522">
        <v>18.294</v>
      </c>
      <c r="F522">
        <v>972130.79200000002</v>
      </c>
      <c r="G522">
        <v>0</v>
      </c>
      <c r="P522">
        <f t="shared" si="984"/>
        <v>0.52045826513911797</v>
      </c>
      <c r="Q522">
        <f t="shared" si="985"/>
        <v>505953.50549263676</v>
      </c>
      <c r="R522">
        <f t="shared" si="986"/>
        <v>23072273.853426397</v>
      </c>
      <c r="S522">
        <f t="shared" si="987"/>
        <v>230.72273853426398</v>
      </c>
      <c r="T522">
        <f t="shared" si="988"/>
        <v>0.23072273853426398</v>
      </c>
    </row>
    <row r="523" spans="1:20" x14ac:dyDescent="0.25">
      <c r="A523" s="5">
        <v>44070</v>
      </c>
      <c r="B523">
        <v>17.324000000000002</v>
      </c>
      <c r="C523">
        <v>18.2</v>
      </c>
      <c r="D523">
        <v>16.420000000000002</v>
      </c>
      <c r="E523">
        <v>17.649000000000001</v>
      </c>
      <c r="F523">
        <v>1141649.0789999999</v>
      </c>
      <c r="G523">
        <v>0</v>
      </c>
      <c r="P523">
        <f t="shared" si="984"/>
        <v>0.38089887640449538</v>
      </c>
      <c r="Q523">
        <f t="shared" si="985"/>
        <v>434852.85143932694</v>
      </c>
      <c r="R523">
        <f t="shared" si="986"/>
        <v>22566320.347933762</v>
      </c>
      <c r="S523">
        <f t="shared" si="987"/>
        <v>225.66320347933762</v>
      </c>
      <c r="T523">
        <f t="shared" si="988"/>
        <v>0.22566320347933763</v>
      </c>
    </row>
    <row r="524" spans="1:20" x14ac:dyDescent="0.25">
      <c r="A524" s="5">
        <v>44069</v>
      </c>
      <c r="B524">
        <v>17.023</v>
      </c>
      <c r="C524">
        <v>18.04</v>
      </c>
      <c r="D524">
        <v>16.837</v>
      </c>
      <c r="E524">
        <v>17.321999999999999</v>
      </c>
      <c r="F524">
        <v>1003044.736</v>
      </c>
      <c r="G524">
        <v>0</v>
      </c>
      <c r="P524">
        <f t="shared" si="984"/>
        <v>-0.19368246051537877</v>
      </c>
      <c r="Q524">
        <f t="shared" si="985"/>
        <v>-194272.17247547852</v>
      </c>
      <c r="R524">
        <f t="shared" si="986"/>
        <v>22131467.496494435</v>
      </c>
      <c r="S524">
        <f t="shared" si="987"/>
        <v>221.31467496494434</v>
      </c>
      <c r="T524">
        <f t="shared" si="988"/>
        <v>0.22131467496494434</v>
      </c>
    </row>
    <row r="525" spans="1:20" x14ac:dyDescent="0.25">
      <c r="A525" s="5">
        <v>44068</v>
      </c>
      <c r="B525">
        <v>18.068000000000001</v>
      </c>
      <c r="C525">
        <v>18.260999999999999</v>
      </c>
      <c r="D525">
        <v>16.132000000000001</v>
      </c>
      <c r="E525">
        <v>17.023</v>
      </c>
      <c r="F525">
        <v>1116590.6440000001</v>
      </c>
      <c r="G525">
        <v>0</v>
      </c>
      <c r="P525">
        <f t="shared" si="984"/>
        <v>-0.16298731798966729</v>
      </c>
      <c r="Q525">
        <f t="shared" si="985"/>
        <v>-181990.11435791539</v>
      </c>
      <c r="R525">
        <f t="shared" si="986"/>
        <v>22325739.668969914</v>
      </c>
      <c r="S525">
        <f t="shared" si="987"/>
        <v>223.25739668969914</v>
      </c>
      <c r="T525">
        <f t="shared" si="988"/>
        <v>0.22325739668969913</v>
      </c>
    </row>
    <row r="526" spans="1:20" x14ac:dyDescent="0.25">
      <c r="A526" s="5">
        <v>44067</v>
      </c>
      <c r="B526">
        <v>18.187000000000001</v>
      </c>
      <c r="C526">
        <v>19.466999999999999</v>
      </c>
      <c r="D526">
        <v>17.899999999999999</v>
      </c>
      <c r="E526">
        <v>18.074000000000002</v>
      </c>
      <c r="F526">
        <v>835648.51800000004</v>
      </c>
      <c r="G526">
        <v>0</v>
      </c>
      <c r="P526">
        <f t="shared" si="984"/>
        <v>-0.77791959157625656</v>
      </c>
      <c r="Q526">
        <f t="shared" si="985"/>
        <v>-650067.35382386413</v>
      </c>
      <c r="R526">
        <f t="shared" si="986"/>
        <v>22507729.783327829</v>
      </c>
      <c r="S526">
        <f t="shared" si="987"/>
        <v>225.07729783327829</v>
      </c>
      <c r="T526">
        <f t="shared" si="988"/>
        <v>0.22507729783327829</v>
      </c>
    </row>
    <row r="527" spans="1:20" x14ac:dyDescent="0.25">
      <c r="A527" s="5">
        <v>44066</v>
      </c>
      <c r="B527">
        <v>18.934999999999999</v>
      </c>
      <c r="C527">
        <v>19.757000000000001</v>
      </c>
      <c r="D527">
        <v>17.715</v>
      </c>
      <c r="E527">
        <v>18.170000000000002</v>
      </c>
      <c r="F527">
        <v>1223037.344</v>
      </c>
      <c r="G527">
        <v>0</v>
      </c>
      <c r="P527">
        <f t="shared" si="984"/>
        <v>-0.5543584720861886</v>
      </c>
      <c r="Q527">
        <f t="shared" si="985"/>
        <v>-678001.11332419026</v>
      </c>
      <c r="R527">
        <f t="shared" si="986"/>
        <v>23157797.137151692</v>
      </c>
      <c r="S527">
        <f t="shared" si="987"/>
        <v>231.57797137151692</v>
      </c>
      <c r="T527">
        <f t="shared" si="988"/>
        <v>0.23157797137151692</v>
      </c>
    </row>
    <row r="528" spans="1:20" x14ac:dyDescent="0.25">
      <c r="A528" s="5">
        <v>44065</v>
      </c>
      <c r="B528">
        <v>16.367999999999999</v>
      </c>
      <c r="C528">
        <v>19.190999999999999</v>
      </c>
      <c r="D528">
        <v>15.622999999999999</v>
      </c>
      <c r="E528">
        <v>18.936</v>
      </c>
      <c r="F528">
        <v>1969925.0689999999</v>
      </c>
      <c r="G528">
        <v>0</v>
      </c>
      <c r="P528">
        <f t="shared" si="984"/>
        <v>0.8570627802690588</v>
      </c>
      <c r="Q528">
        <f t="shared" si="985"/>
        <v>1688349.4565588573</v>
      </c>
      <c r="R528">
        <f t="shared" si="986"/>
        <v>23835798.250475883</v>
      </c>
      <c r="S528">
        <f t="shared" si="987"/>
        <v>238.35798250475884</v>
      </c>
      <c r="T528">
        <f t="shared" si="988"/>
        <v>0.23835798250475884</v>
      </c>
    </row>
    <row r="529" spans="1:20" x14ac:dyDescent="0.25">
      <c r="A529" s="5">
        <v>44064</v>
      </c>
      <c r="B529">
        <v>17.841999999999999</v>
      </c>
      <c r="C529">
        <v>19.853999999999999</v>
      </c>
      <c r="D529">
        <v>16.361000000000001</v>
      </c>
      <c r="E529">
        <v>16.387</v>
      </c>
      <c r="F529">
        <v>2428489.2310000001</v>
      </c>
      <c r="G529">
        <v>0</v>
      </c>
      <c r="P529">
        <f t="shared" si="984"/>
        <v>-0.98511308330947622</v>
      </c>
      <c r="Q529">
        <f t="shared" si="985"/>
        <v>-2392336.5141342692</v>
      </c>
      <c r="R529">
        <f t="shared" si="986"/>
        <v>22147448.793917026</v>
      </c>
      <c r="S529">
        <f t="shared" si="987"/>
        <v>221.47448793917027</v>
      </c>
      <c r="T529">
        <f t="shared" si="988"/>
        <v>0.22147448793917027</v>
      </c>
    </row>
    <row r="530" spans="1:20" x14ac:dyDescent="0.25">
      <c r="A530" s="5">
        <v>44063</v>
      </c>
      <c r="B530">
        <v>15.824999999999999</v>
      </c>
      <c r="C530">
        <v>17.949000000000002</v>
      </c>
      <c r="D530">
        <v>15.807</v>
      </c>
      <c r="E530">
        <v>17.841999999999999</v>
      </c>
      <c r="F530">
        <v>915874.78799999994</v>
      </c>
      <c r="G530">
        <v>0</v>
      </c>
      <c r="P530">
        <f t="shared" si="984"/>
        <v>0.90009337068160333</v>
      </c>
      <c r="Q530">
        <f t="shared" si="985"/>
        <v>824372.82505321887</v>
      </c>
      <c r="R530">
        <f t="shared" si="986"/>
        <v>24539785.308051296</v>
      </c>
      <c r="S530">
        <f t="shared" si="987"/>
        <v>245.39785308051296</v>
      </c>
      <c r="T530">
        <f t="shared" si="988"/>
        <v>0.24539785308051296</v>
      </c>
    </row>
    <row r="531" spans="1:20" x14ac:dyDescent="0.25">
      <c r="A531" s="5">
        <v>44062</v>
      </c>
      <c r="B531">
        <v>16.119</v>
      </c>
      <c r="C531">
        <v>17.079999999999998</v>
      </c>
      <c r="D531">
        <v>15.465</v>
      </c>
      <c r="E531">
        <v>15.834</v>
      </c>
      <c r="F531">
        <v>987213.08499999996</v>
      </c>
      <c r="G531">
        <v>0</v>
      </c>
      <c r="P531">
        <f t="shared" si="984"/>
        <v>-0.54303405572755403</v>
      </c>
      <c r="Q531">
        <f t="shared" si="985"/>
        <v>-536090.3254148605</v>
      </c>
      <c r="R531">
        <f t="shared" si="986"/>
        <v>23715412.482998077</v>
      </c>
      <c r="S531">
        <f t="shared" si="987"/>
        <v>237.15412482998076</v>
      </c>
      <c r="T531">
        <f t="shared" si="988"/>
        <v>0.23715412482998077</v>
      </c>
    </row>
    <row r="532" spans="1:20" x14ac:dyDescent="0.25">
      <c r="A532" s="5">
        <v>44061</v>
      </c>
      <c r="B532">
        <v>16.559999999999999</v>
      </c>
      <c r="C532">
        <v>17.577999999999999</v>
      </c>
      <c r="D532">
        <v>16.010000000000002</v>
      </c>
      <c r="E532">
        <v>16.12</v>
      </c>
      <c r="F532">
        <v>968575.52300000004</v>
      </c>
      <c r="G532">
        <v>0</v>
      </c>
      <c r="P532">
        <f t="shared" si="984"/>
        <v>-0.85969387755102089</v>
      </c>
      <c r="Q532">
        <f t="shared" si="985"/>
        <v>-832678.4470688781</v>
      </c>
      <c r="R532">
        <f t="shared" si="986"/>
        <v>24251502.808412936</v>
      </c>
      <c r="S532">
        <f t="shared" si="987"/>
        <v>242.51502808412937</v>
      </c>
      <c r="T532">
        <f t="shared" si="988"/>
        <v>0.24251502808412936</v>
      </c>
    </row>
    <row r="533" spans="1:20" x14ac:dyDescent="0.25">
      <c r="A533" s="5">
        <v>44060</v>
      </c>
      <c r="B533">
        <v>15.499000000000001</v>
      </c>
      <c r="C533">
        <v>16.956</v>
      </c>
      <c r="D533">
        <v>15.228</v>
      </c>
      <c r="E533">
        <v>16.559999999999999</v>
      </c>
      <c r="F533">
        <v>1297237.3089999999</v>
      </c>
      <c r="G533">
        <v>0</v>
      </c>
      <c r="P533">
        <f t="shared" si="984"/>
        <v>0.54166666666666563</v>
      </c>
      <c r="Q533">
        <f t="shared" si="985"/>
        <v>702670.20904166531</v>
      </c>
      <c r="R533">
        <f t="shared" si="986"/>
        <v>25084181.255481813</v>
      </c>
      <c r="S533">
        <f t="shared" si="987"/>
        <v>250.84181255481812</v>
      </c>
      <c r="T533">
        <f t="shared" si="988"/>
        <v>0.25084181255481813</v>
      </c>
    </row>
    <row r="534" spans="1:20" x14ac:dyDescent="0.25">
      <c r="A534" s="5">
        <v>44059</v>
      </c>
      <c r="B534">
        <v>15.101000000000001</v>
      </c>
      <c r="C534">
        <v>15.749000000000001</v>
      </c>
      <c r="D534">
        <v>14.615</v>
      </c>
      <c r="E534">
        <v>15.49</v>
      </c>
      <c r="F534">
        <v>710473.53200000001</v>
      </c>
      <c r="G534">
        <v>0</v>
      </c>
      <c r="P534">
        <f t="shared" si="984"/>
        <v>0.5432098765432094</v>
      </c>
      <c r="Q534">
        <f t="shared" si="985"/>
        <v>385936.23960493796</v>
      </c>
      <c r="R534">
        <f t="shared" si="986"/>
        <v>24381511.046440147</v>
      </c>
      <c r="S534">
        <f t="shared" si="987"/>
        <v>243.81511046440147</v>
      </c>
      <c r="T534">
        <f t="shared" si="988"/>
        <v>0.24381511046440146</v>
      </c>
    </row>
    <row r="535" spans="1:20" x14ac:dyDescent="0.25">
      <c r="A535" s="5">
        <v>44058</v>
      </c>
      <c r="B535">
        <v>14.813000000000001</v>
      </c>
      <c r="C535">
        <v>15.531000000000001</v>
      </c>
      <c r="D535">
        <v>14.731999999999999</v>
      </c>
      <c r="E535">
        <v>15.103</v>
      </c>
      <c r="F535">
        <v>658525.60400000005</v>
      </c>
      <c r="G535">
        <v>0</v>
      </c>
      <c r="P535">
        <f t="shared" si="984"/>
        <v>-7.1339173967459688E-2</v>
      </c>
      <c r="Q535">
        <f t="shared" si="985"/>
        <v>-46978.67262578247</v>
      </c>
      <c r="R535">
        <f t="shared" si="986"/>
        <v>23995574.806835208</v>
      </c>
      <c r="S535">
        <f t="shared" si="987"/>
        <v>239.95574806835208</v>
      </c>
      <c r="T535">
        <f t="shared" si="988"/>
        <v>0.23995574806835207</v>
      </c>
    </row>
    <row r="536" spans="1:20" x14ac:dyDescent="0.25">
      <c r="A536" s="5">
        <v>44057</v>
      </c>
      <c r="B536">
        <v>14.545</v>
      </c>
      <c r="C536">
        <v>15.85</v>
      </c>
      <c r="D536">
        <v>14.233000000000001</v>
      </c>
      <c r="E536">
        <v>14.813000000000001</v>
      </c>
      <c r="F536">
        <v>1039169.966</v>
      </c>
      <c r="G536">
        <v>0</v>
      </c>
      <c r="P536">
        <f t="shared" si="984"/>
        <v>-0.28262213976499645</v>
      </c>
      <c r="Q536">
        <f t="shared" si="985"/>
        <v>-293692.43937043863</v>
      </c>
      <c r="R536">
        <f t="shared" si="986"/>
        <v>24042553.479460992</v>
      </c>
      <c r="S536">
        <f t="shared" si="987"/>
        <v>240.42553479460992</v>
      </c>
      <c r="T536">
        <f t="shared" si="988"/>
        <v>0.24042553479460993</v>
      </c>
    </row>
    <row r="537" spans="1:20" x14ac:dyDescent="0.25">
      <c r="A537" s="5">
        <v>44056</v>
      </c>
      <c r="B537">
        <v>14.329000000000001</v>
      </c>
      <c r="C537">
        <v>14.989000000000001</v>
      </c>
      <c r="D537">
        <v>13.497999999999999</v>
      </c>
      <c r="E537">
        <v>14.545</v>
      </c>
      <c r="F537">
        <v>1101419.713</v>
      </c>
      <c r="G537">
        <v>0</v>
      </c>
      <c r="P537">
        <f t="shared" si="984"/>
        <v>0.40442655935613625</v>
      </c>
      <c r="Q537">
        <f t="shared" si="985"/>
        <v>445443.38493561302</v>
      </c>
      <c r="R537">
        <f t="shared" si="986"/>
        <v>24336245.91883143</v>
      </c>
      <c r="S537">
        <f t="shared" si="987"/>
        <v>243.36245918831429</v>
      </c>
      <c r="T537">
        <f t="shared" si="988"/>
        <v>0.24336245918831428</v>
      </c>
    </row>
    <row r="538" spans="1:20" x14ac:dyDescent="0.25">
      <c r="A538" s="5">
        <v>44055</v>
      </c>
      <c r="B538">
        <v>13.686</v>
      </c>
      <c r="C538">
        <v>14.624000000000001</v>
      </c>
      <c r="D538">
        <v>13.315</v>
      </c>
      <c r="E538">
        <v>14.343999999999999</v>
      </c>
      <c r="F538">
        <v>848679.33900000004</v>
      </c>
      <c r="G538">
        <v>0</v>
      </c>
      <c r="P538">
        <f t="shared" si="984"/>
        <v>0.57219251336898258</v>
      </c>
      <c r="Q538">
        <f t="shared" si="985"/>
        <v>485607.96402673679</v>
      </c>
      <c r="R538">
        <f t="shared" si="986"/>
        <v>23890802.533895817</v>
      </c>
      <c r="S538">
        <f t="shared" si="987"/>
        <v>238.90802533895817</v>
      </c>
      <c r="T538">
        <f t="shared" si="988"/>
        <v>0.23890802533895816</v>
      </c>
    </row>
    <row r="539" spans="1:20" x14ac:dyDescent="0.25">
      <c r="A539" s="5">
        <v>44054</v>
      </c>
      <c r="B539">
        <v>14.532</v>
      </c>
      <c r="C539">
        <v>14.634</v>
      </c>
      <c r="D539">
        <v>13.272</v>
      </c>
      <c r="E539">
        <v>13.686</v>
      </c>
      <c r="F539">
        <v>898260.80700000003</v>
      </c>
      <c r="G539">
        <v>0</v>
      </c>
      <c r="P539">
        <f t="shared" si="984"/>
        <v>-0.39207048458149829</v>
      </c>
      <c r="Q539">
        <f t="shared" si="985"/>
        <v>-352181.5498810577</v>
      </c>
      <c r="R539">
        <f t="shared" si="986"/>
        <v>23405194.569869079</v>
      </c>
      <c r="S539">
        <f t="shared" si="987"/>
        <v>234.05194569869079</v>
      </c>
      <c r="T539">
        <f t="shared" si="988"/>
        <v>0.23405194569869078</v>
      </c>
    </row>
    <row r="540" spans="1:20" x14ac:dyDescent="0.25">
      <c r="A540" s="5">
        <v>44053</v>
      </c>
      <c r="B540">
        <v>12.997</v>
      </c>
      <c r="C540">
        <v>15.4</v>
      </c>
      <c r="D540">
        <v>12.997</v>
      </c>
      <c r="E540">
        <v>14.526</v>
      </c>
      <c r="F540">
        <v>1862106.075</v>
      </c>
      <c r="G540">
        <v>0</v>
      </c>
      <c r="P540">
        <f t="shared" si="984"/>
        <v>0.27257594673324981</v>
      </c>
      <c r="Q540">
        <f t="shared" si="985"/>
        <v>507565.32631086087</v>
      </c>
      <c r="R540">
        <f t="shared" si="986"/>
        <v>23757376.119750135</v>
      </c>
      <c r="S540">
        <f t="shared" si="987"/>
        <v>237.57376119750134</v>
      </c>
      <c r="T540">
        <f t="shared" si="988"/>
        <v>0.23757376119750134</v>
      </c>
    </row>
    <row r="541" spans="1:20" x14ac:dyDescent="0.25">
      <c r="A541" s="5">
        <v>44052</v>
      </c>
      <c r="B541">
        <v>13.122999999999999</v>
      </c>
      <c r="C541">
        <v>13.369</v>
      </c>
      <c r="D541">
        <v>12.76</v>
      </c>
      <c r="E541">
        <v>12.997</v>
      </c>
      <c r="F541">
        <v>410367.39799999999</v>
      </c>
      <c r="G541">
        <v>0</v>
      </c>
      <c r="P541">
        <f t="shared" si="984"/>
        <v>-0.22167487684729029</v>
      </c>
      <c r="Q541">
        <f t="shared" si="985"/>
        <v>-90968.142413792957</v>
      </c>
      <c r="R541">
        <f t="shared" si="986"/>
        <v>23249810.793439273</v>
      </c>
      <c r="S541">
        <f t="shared" si="987"/>
        <v>232.49810793439272</v>
      </c>
      <c r="T541">
        <f t="shared" si="988"/>
        <v>0.23249810793439271</v>
      </c>
    </row>
    <row r="542" spans="1:20" x14ac:dyDescent="0.25">
      <c r="A542" s="5">
        <v>44051</v>
      </c>
      <c r="B542">
        <v>12.85</v>
      </c>
      <c r="C542">
        <v>13.154999999999999</v>
      </c>
      <c r="D542">
        <v>12.68</v>
      </c>
      <c r="E542">
        <v>13.122999999999999</v>
      </c>
      <c r="F542">
        <v>338992.34899999999</v>
      </c>
      <c r="G542">
        <v>0</v>
      </c>
      <c r="P542">
        <f t="shared" si="984"/>
        <v>0.86526315789473662</v>
      </c>
      <c r="Q542">
        <f t="shared" si="985"/>
        <v>293317.59039789467</v>
      </c>
      <c r="R542">
        <f t="shared" si="986"/>
        <v>23340778.935853064</v>
      </c>
      <c r="S542">
        <f t="shared" si="987"/>
        <v>233.40778935853064</v>
      </c>
      <c r="T542">
        <f t="shared" si="988"/>
        <v>0.23340778935853063</v>
      </c>
    </row>
    <row r="543" spans="1:20" x14ac:dyDescent="0.25">
      <c r="A543" s="5">
        <v>44050</v>
      </c>
      <c r="B543">
        <v>12.952999999999999</v>
      </c>
      <c r="C543">
        <v>13.5</v>
      </c>
      <c r="D543">
        <v>12.5</v>
      </c>
      <c r="E543">
        <v>12.856</v>
      </c>
      <c r="F543">
        <v>869896.40700000001</v>
      </c>
      <c r="G543">
        <v>0</v>
      </c>
      <c r="P543">
        <f t="shared" si="984"/>
        <v>-0.28800000000000026</v>
      </c>
      <c r="Q543">
        <f t="shared" si="985"/>
        <v>-250530.16521600023</v>
      </c>
      <c r="R543">
        <f t="shared" si="986"/>
        <v>23047461.34545517</v>
      </c>
      <c r="S543">
        <f t="shared" si="987"/>
        <v>230.4746134545517</v>
      </c>
      <c r="T543">
        <f t="shared" si="988"/>
        <v>0.2304746134545517</v>
      </c>
    </row>
    <row r="544" spans="1:20" x14ac:dyDescent="0.25">
      <c r="A544" s="5">
        <v>44049</v>
      </c>
      <c r="B544">
        <v>12.866</v>
      </c>
      <c r="C544">
        <v>13.27</v>
      </c>
      <c r="D544">
        <v>12.736000000000001</v>
      </c>
      <c r="E544">
        <v>12.951000000000001</v>
      </c>
      <c r="F544">
        <v>744463.32799999998</v>
      </c>
      <c r="G544">
        <v>0</v>
      </c>
      <c r="P544">
        <f t="shared" si="984"/>
        <v>-0.194756554307115</v>
      </c>
      <c r="Q544">
        <f t="shared" si="985"/>
        <v>-144989.11256928756</v>
      </c>
      <c r="R544">
        <f t="shared" si="986"/>
        <v>23297991.510671169</v>
      </c>
      <c r="S544">
        <f t="shared" si="987"/>
        <v>232.97991510671167</v>
      </c>
      <c r="T544">
        <f t="shared" si="988"/>
        <v>0.23297991510671168</v>
      </c>
    </row>
    <row r="545" spans="1:20" x14ac:dyDescent="0.25">
      <c r="A545" s="5">
        <v>44048</v>
      </c>
      <c r="B545">
        <v>12.561</v>
      </c>
      <c r="C545">
        <v>12.95</v>
      </c>
      <c r="D545">
        <v>12.379</v>
      </c>
      <c r="E545">
        <v>12.868</v>
      </c>
      <c r="F545">
        <v>622996.06900000002</v>
      </c>
      <c r="G545">
        <v>0</v>
      </c>
      <c r="P545">
        <f t="shared" si="984"/>
        <v>0.71278458844133452</v>
      </c>
      <c r="Q545">
        <f t="shared" si="985"/>
        <v>444061.99664273427</v>
      </c>
      <c r="R545">
        <f t="shared" si="986"/>
        <v>23442980.623240456</v>
      </c>
      <c r="S545">
        <f t="shared" si="987"/>
        <v>234.42980623240456</v>
      </c>
      <c r="T545">
        <f t="shared" si="988"/>
        <v>0.23442980623240456</v>
      </c>
    </row>
    <row r="546" spans="1:20" x14ac:dyDescent="0.25">
      <c r="A546" s="5">
        <v>44047</v>
      </c>
      <c r="B546">
        <v>12.391</v>
      </c>
      <c r="C546">
        <v>12.785</v>
      </c>
      <c r="D546">
        <v>12.3</v>
      </c>
      <c r="E546">
        <v>12.561</v>
      </c>
      <c r="F546">
        <v>511142.9</v>
      </c>
      <c r="G546">
        <v>0</v>
      </c>
      <c r="P546">
        <f t="shared" si="984"/>
        <v>7.6288659793812524E-2</v>
      </c>
      <c r="Q546">
        <f t="shared" si="985"/>
        <v>38994.406804122737</v>
      </c>
      <c r="R546">
        <f t="shared" si="986"/>
        <v>22998918.626597721</v>
      </c>
      <c r="S546">
        <f t="shared" si="987"/>
        <v>229.98918626597722</v>
      </c>
      <c r="T546">
        <f t="shared" si="988"/>
        <v>0.22998918626597722</v>
      </c>
    </row>
    <row r="547" spans="1:20" x14ac:dyDescent="0.25">
      <c r="A547" s="5">
        <v>44046</v>
      </c>
      <c r="B547">
        <v>12.164</v>
      </c>
      <c r="C547">
        <v>12.771000000000001</v>
      </c>
      <c r="D547">
        <v>12.012</v>
      </c>
      <c r="E547">
        <v>12.4</v>
      </c>
      <c r="F547">
        <v>797852.10900000005</v>
      </c>
      <c r="G547">
        <v>0</v>
      </c>
      <c r="P547">
        <f t="shared" si="984"/>
        <v>2.2397891963108634E-2</v>
      </c>
      <c r="Q547">
        <f t="shared" si="985"/>
        <v>17870.205339920376</v>
      </c>
      <c r="R547">
        <f t="shared" si="986"/>
        <v>22959924.219793599</v>
      </c>
      <c r="S547">
        <f t="shared" si="987"/>
        <v>229.59924219793598</v>
      </c>
      <c r="T547">
        <f t="shared" si="988"/>
        <v>0.22959924219793598</v>
      </c>
    </row>
    <row r="548" spans="1:20" x14ac:dyDescent="0.25">
      <c r="A548" s="5">
        <v>44045</v>
      </c>
      <c r="B548">
        <v>13.394</v>
      </c>
      <c r="C548">
        <v>13.765000000000001</v>
      </c>
      <c r="D548">
        <v>11.1</v>
      </c>
      <c r="E548">
        <v>12.16</v>
      </c>
      <c r="F548">
        <v>1346651.433</v>
      </c>
      <c r="G548">
        <v>0</v>
      </c>
      <c r="P548">
        <f t="shared" si="984"/>
        <v>-0.20450281425891173</v>
      </c>
      <c r="Q548">
        <f t="shared" si="985"/>
        <v>-275394.00787429628</v>
      </c>
      <c r="R548">
        <f t="shared" si="986"/>
        <v>22942054.014453679</v>
      </c>
      <c r="S548">
        <f t="shared" si="987"/>
        <v>229.4205401445368</v>
      </c>
      <c r="T548">
        <f t="shared" si="988"/>
        <v>0.22942054014453681</v>
      </c>
    </row>
    <row r="549" spans="1:20" x14ac:dyDescent="0.25">
      <c r="A549" s="5">
        <v>44044</v>
      </c>
      <c r="B549">
        <v>12.247</v>
      </c>
      <c r="C549">
        <v>13.496</v>
      </c>
      <c r="D549">
        <v>11</v>
      </c>
      <c r="E549">
        <v>13.396000000000001</v>
      </c>
      <c r="F549">
        <v>1691990.7949999999</v>
      </c>
      <c r="G549">
        <v>0</v>
      </c>
      <c r="P549">
        <f t="shared" si="984"/>
        <v>0.91987179487179516</v>
      </c>
      <c r="Q549">
        <f t="shared" si="985"/>
        <v>1556414.6095032056</v>
      </c>
      <c r="R549">
        <f t="shared" si="986"/>
        <v>23217448.022327974</v>
      </c>
      <c r="S549">
        <f t="shared" si="987"/>
        <v>232.17448022327974</v>
      </c>
      <c r="T549">
        <f t="shared" si="988"/>
        <v>0.23217448022327974</v>
      </c>
    </row>
    <row r="550" spans="1:20" x14ac:dyDescent="0.25">
      <c r="A550" s="5">
        <v>44043</v>
      </c>
      <c r="B550">
        <v>11.775</v>
      </c>
      <c r="C550">
        <v>12.722</v>
      </c>
      <c r="D550">
        <v>11.579000000000001</v>
      </c>
      <c r="E550">
        <v>12.244999999999999</v>
      </c>
      <c r="F550">
        <v>639269.07799999998</v>
      </c>
      <c r="G550">
        <v>0</v>
      </c>
      <c r="P550">
        <f t="shared" si="984"/>
        <v>0.16535433070866007</v>
      </c>
      <c r="Q550">
        <f t="shared" si="985"/>
        <v>105705.91053543221</v>
      </c>
      <c r="R550">
        <f t="shared" si="986"/>
        <v>21661033.412824769</v>
      </c>
      <c r="S550">
        <f t="shared" si="987"/>
        <v>216.61033412824767</v>
      </c>
      <c r="T550">
        <f t="shared" si="988"/>
        <v>0.21661033412824768</v>
      </c>
    </row>
    <row r="551" spans="1:20" x14ac:dyDescent="0.25">
      <c r="A551" s="5">
        <v>44042</v>
      </c>
      <c r="B551">
        <v>11.664999999999999</v>
      </c>
      <c r="C551">
        <v>11.898999999999999</v>
      </c>
      <c r="D551">
        <v>11.465</v>
      </c>
      <c r="E551">
        <v>11.773999999999999</v>
      </c>
      <c r="F551">
        <v>491197.97</v>
      </c>
      <c r="G551">
        <v>0</v>
      </c>
      <c r="P551">
        <f t="shared" si="984"/>
        <v>0.42396313364055205</v>
      </c>
      <c r="Q551">
        <f t="shared" si="985"/>
        <v>208249.83059907786</v>
      </c>
      <c r="R551">
        <f t="shared" si="986"/>
        <v>21555327.502289336</v>
      </c>
      <c r="S551">
        <f t="shared" si="987"/>
        <v>215.55327502289336</v>
      </c>
      <c r="T551">
        <f t="shared" si="988"/>
        <v>0.21555327502289337</v>
      </c>
    </row>
    <row r="552" spans="1:20" x14ac:dyDescent="0.25">
      <c r="A552" s="5">
        <v>44041</v>
      </c>
      <c r="B552">
        <v>11.734</v>
      </c>
      <c r="C552">
        <v>12.266999999999999</v>
      </c>
      <c r="D552">
        <v>11.605</v>
      </c>
      <c r="E552">
        <v>11.67</v>
      </c>
      <c r="F552">
        <v>800589.32</v>
      </c>
      <c r="G552">
        <v>0</v>
      </c>
      <c r="P552">
        <f t="shared" si="984"/>
        <v>-0.80362537764350572</v>
      </c>
      <c r="Q552">
        <f t="shared" si="985"/>
        <v>-643373.89462235745</v>
      </c>
      <c r="R552">
        <f t="shared" si="986"/>
        <v>21347077.671690259</v>
      </c>
      <c r="S552">
        <f t="shared" si="987"/>
        <v>213.47077671690258</v>
      </c>
      <c r="T552">
        <f t="shared" si="988"/>
        <v>0.21347077671690257</v>
      </c>
    </row>
    <row r="553" spans="1:20" x14ac:dyDescent="0.25">
      <c r="A553" s="5">
        <v>44040</v>
      </c>
      <c r="B553">
        <v>11.629</v>
      </c>
      <c r="C553">
        <v>12.05</v>
      </c>
      <c r="D553">
        <v>11.301</v>
      </c>
      <c r="E553">
        <v>11.738</v>
      </c>
      <c r="F553">
        <v>1001908.274</v>
      </c>
      <c r="G553">
        <v>0</v>
      </c>
      <c r="P553">
        <f t="shared" si="984"/>
        <v>0.16688918558077187</v>
      </c>
      <c r="Q553">
        <f t="shared" si="985"/>
        <v>167207.65587449682</v>
      </c>
      <c r="R553">
        <f t="shared" si="986"/>
        <v>21990451.566312615</v>
      </c>
      <c r="S553">
        <f t="shared" si="987"/>
        <v>219.90451566312615</v>
      </c>
      <c r="T553">
        <f t="shared" si="988"/>
        <v>0.21990451566312616</v>
      </c>
    </row>
    <row r="554" spans="1:20" x14ac:dyDescent="0.25">
      <c r="A554" s="5">
        <v>44039</v>
      </c>
      <c r="B554">
        <v>11.62</v>
      </c>
      <c r="C554">
        <v>11.86</v>
      </c>
      <c r="D554">
        <v>10.76</v>
      </c>
      <c r="E554">
        <v>11.619</v>
      </c>
      <c r="F554">
        <v>1355198.683</v>
      </c>
      <c r="G554">
        <v>0</v>
      </c>
      <c r="P554">
        <f t="shared" si="984"/>
        <v>0.56181818181818233</v>
      </c>
      <c r="Q554">
        <f t="shared" si="985"/>
        <v>761375.26008545526</v>
      </c>
      <c r="R554">
        <f t="shared" si="986"/>
        <v>21823243.910438117</v>
      </c>
      <c r="S554">
        <f t="shared" si="987"/>
        <v>218.23243910438117</v>
      </c>
      <c r="T554">
        <f t="shared" si="988"/>
        <v>0.21823243910438117</v>
      </c>
    </row>
    <row r="555" spans="1:20" x14ac:dyDescent="0.25">
      <c r="A555" s="5">
        <v>44038</v>
      </c>
      <c r="B555">
        <v>11.601000000000001</v>
      </c>
      <c r="C555">
        <v>11.925000000000001</v>
      </c>
      <c r="D555">
        <v>11.42</v>
      </c>
      <c r="E555">
        <v>11.62</v>
      </c>
      <c r="F555">
        <v>645150.56499999994</v>
      </c>
      <c r="G555">
        <v>0</v>
      </c>
      <c r="P555">
        <f t="shared" si="984"/>
        <v>-0.20792079207921196</v>
      </c>
      <c r="Q555">
        <f t="shared" si="985"/>
        <v>-134140.21648515112</v>
      </c>
      <c r="R555">
        <f t="shared" si="986"/>
        <v>21061868.650352661</v>
      </c>
      <c r="S555">
        <f t="shared" si="987"/>
        <v>210.61868650352662</v>
      </c>
      <c r="T555">
        <f t="shared" si="988"/>
        <v>0.21061868650352661</v>
      </c>
    </row>
    <row r="556" spans="1:20" x14ac:dyDescent="0.25">
      <c r="A556" s="5">
        <v>44037</v>
      </c>
      <c r="B556">
        <v>11.092000000000001</v>
      </c>
      <c r="C556">
        <v>11.664</v>
      </c>
      <c r="D556">
        <v>11.076000000000001</v>
      </c>
      <c r="E556">
        <v>11.608000000000001</v>
      </c>
      <c r="F556">
        <v>623304.44400000002</v>
      </c>
      <c r="G556">
        <v>0</v>
      </c>
      <c r="P556">
        <f t="shared" si="984"/>
        <v>0.80952380952381209</v>
      </c>
      <c r="Q556">
        <f t="shared" si="985"/>
        <v>504579.78800000163</v>
      </c>
      <c r="R556">
        <f t="shared" si="986"/>
        <v>21196008.866837811</v>
      </c>
      <c r="S556">
        <f t="shared" si="987"/>
        <v>211.96008866837812</v>
      </c>
      <c r="T556">
        <f t="shared" si="988"/>
        <v>0.21196008866837812</v>
      </c>
    </row>
    <row r="557" spans="1:20" x14ac:dyDescent="0.25">
      <c r="A557" s="5">
        <v>44036</v>
      </c>
      <c r="B557">
        <v>11.44</v>
      </c>
      <c r="C557">
        <v>11.44</v>
      </c>
      <c r="D557">
        <v>11</v>
      </c>
      <c r="E557">
        <v>11.101000000000001</v>
      </c>
      <c r="F557">
        <v>536352.06299999997</v>
      </c>
      <c r="G557">
        <v>0</v>
      </c>
      <c r="P557">
        <f t="shared" si="984"/>
        <v>-0.54090909090908645</v>
      </c>
      <c r="Q557">
        <f t="shared" si="985"/>
        <v>-290117.70680454304</v>
      </c>
      <c r="R557">
        <f t="shared" si="986"/>
        <v>20691429.078837808</v>
      </c>
      <c r="S557">
        <f t="shared" si="987"/>
        <v>206.91429078837808</v>
      </c>
      <c r="T557">
        <f t="shared" si="988"/>
        <v>0.20691429078837809</v>
      </c>
    </row>
    <row r="558" spans="1:20" x14ac:dyDescent="0.25">
      <c r="A558" s="5">
        <v>44035</v>
      </c>
      <c r="B558">
        <v>11.566000000000001</v>
      </c>
      <c r="C558">
        <v>11.712</v>
      </c>
      <c r="D558">
        <v>11.33</v>
      </c>
      <c r="E558">
        <v>11.432</v>
      </c>
      <c r="F558">
        <v>501776.30200000003</v>
      </c>
      <c r="G558">
        <v>0</v>
      </c>
      <c r="P558">
        <f t="shared" si="984"/>
        <v>-0.46596858638743244</v>
      </c>
      <c r="Q558">
        <f t="shared" si="985"/>
        <v>-233811.99412565341</v>
      </c>
      <c r="R558">
        <f t="shared" si="986"/>
        <v>20981546.785642352</v>
      </c>
      <c r="S558">
        <f t="shared" si="987"/>
        <v>209.81546785642351</v>
      </c>
      <c r="T558">
        <f t="shared" si="988"/>
        <v>0.20981546785642352</v>
      </c>
    </row>
    <row r="559" spans="1:20" x14ac:dyDescent="0.25">
      <c r="A559" s="5">
        <v>44034</v>
      </c>
      <c r="B559">
        <v>11.175000000000001</v>
      </c>
      <c r="C559">
        <v>11.712999999999999</v>
      </c>
      <c r="D559">
        <v>11</v>
      </c>
      <c r="E559">
        <v>11.558999999999999</v>
      </c>
      <c r="F559">
        <v>705713.61199999996</v>
      </c>
      <c r="G559">
        <v>0</v>
      </c>
      <c r="P559">
        <f t="shared" si="984"/>
        <v>0.56802244039270666</v>
      </c>
      <c r="Q559">
        <f t="shared" si="985"/>
        <v>400861.16810659168</v>
      </c>
      <c r="R559">
        <f t="shared" si="986"/>
        <v>21215358.779768005</v>
      </c>
      <c r="S559">
        <f t="shared" si="987"/>
        <v>212.15358779768005</v>
      </c>
      <c r="T559">
        <f t="shared" si="988"/>
        <v>0.21215358779768004</v>
      </c>
    </row>
    <row r="560" spans="1:20" x14ac:dyDescent="0.25">
      <c r="A560" s="5">
        <v>44033</v>
      </c>
      <c r="B560">
        <v>10.378</v>
      </c>
      <c r="C560">
        <v>11.48</v>
      </c>
      <c r="D560">
        <v>10.324999999999999</v>
      </c>
      <c r="E560">
        <v>11.183999999999999</v>
      </c>
      <c r="F560">
        <v>1007967.044</v>
      </c>
      <c r="G560">
        <v>0</v>
      </c>
      <c r="P560">
        <f t="shared" si="984"/>
        <v>0.48744588744588596</v>
      </c>
      <c r="Q560">
        <f t="shared" si="985"/>
        <v>491329.39027878636</v>
      </c>
      <c r="R560">
        <f t="shared" si="986"/>
        <v>20814497.611661412</v>
      </c>
      <c r="S560">
        <f t="shared" si="987"/>
        <v>208.14497611661412</v>
      </c>
      <c r="T560">
        <f t="shared" si="988"/>
        <v>0.20814497611661412</v>
      </c>
    </row>
    <row r="561" spans="1:104" x14ac:dyDescent="0.25">
      <c r="A561" s="5">
        <v>44032</v>
      </c>
      <c r="B561">
        <v>10.653</v>
      </c>
      <c r="C561">
        <v>10.71</v>
      </c>
      <c r="D561">
        <v>10.32</v>
      </c>
      <c r="E561">
        <v>10.385999999999999</v>
      </c>
      <c r="F561">
        <v>263481.99099999998</v>
      </c>
      <c r="G561">
        <v>0</v>
      </c>
      <c r="P561">
        <f t="shared" si="984"/>
        <v>-0.6615384615384674</v>
      </c>
      <c r="Q561">
        <f t="shared" si="985"/>
        <v>-174303.47096923229</v>
      </c>
      <c r="R561">
        <f t="shared" si="986"/>
        <v>20323168.221382625</v>
      </c>
      <c r="S561">
        <f t="shared" si="987"/>
        <v>203.23168221382625</v>
      </c>
      <c r="T561">
        <f t="shared" si="988"/>
        <v>0.20323168221382626</v>
      </c>
      <c r="CZ561" t="s">
        <v>7</v>
      </c>
    </row>
    <row r="562" spans="1:104" x14ac:dyDescent="0.25">
      <c r="A562" s="5">
        <v>44031</v>
      </c>
      <c r="B562">
        <v>10.545</v>
      </c>
      <c r="C562">
        <v>10.667</v>
      </c>
      <c r="D562">
        <v>10.406000000000001</v>
      </c>
      <c r="E562">
        <v>10.651</v>
      </c>
      <c r="F562">
        <v>240426.861</v>
      </c>
      <c r="G562">
        <v>0</v>
      </c>
      <c r="P562">
        <f t="shared" si="984"/>
        <v>0.87739463601532519</v>
      </c>
      <c r="Q562">
        <f t="shared" si="985"/>
        <v>210949.2381954022</v>
      </c>
      <c r="R562">
        <f t="shared" si="986"/>
        <v>20497471.692351859</v>
      </c>
      <c r="S562">
        <f t="shared" si="987"/>
        <v>204.9747169235186</v>
      </c>
      <c r="T562">
        <f t="shared" si="988"/>
        <v>0.2049747169235186</v>
      </c>
      <c r="CZ562" t="s">
        <v>7</v>
      </c>
    </row>
    <row r="563" spans="1:104" x14ac:dyDescent="0.25">
      <c r="A563" s="5">
        <v>44030</v>
      </c>
      <c r="B563">
        <v>10.581</v>
      </c>
      <c r="C563">
        <v>10.694000000000001</v>
      </c>
      <c r="D563">
        <v>10.468</v>
      </c>
      <c r="E563">
        <v>10.545</v>
      </c>
      <c r="F563">
        <v>262911.64199999999</v>
      </c>
      <c r="G563">
        <v>0</v>
      </c>
      <c r="P563">
        <f t="shared" si="984"/>
        <v>-0.31858407079646317</v>
      </c>
      <c r="Q563">
        <f t="shared" si="985"/>
        <v>-83759.46116814237</v>
      </c>
      <c r="R563">
        <f t="shared" si="986"/>
        <v>20286522.454156458</v>
      </c>
      <c r="S563">
        <f t="shared" si="987"/>
        <v>202.86522454156457</v>
      </c>
      <c r="T563">
        <f t="shared" si="988"/>
        <v>0.20286522454156458</v>
      </c>
      <c r="CZ563" t="s">
        <v>7</v>
      </c>
    </row>
    <row r="564" spans="1:104" x14ac:dyDescent="0.25">
      <c r="A564" s="5">
        <v>44029</v>
      </c>
      <c r="B564">
        <v>10.7</v>
      </c>
      <c r="C564">
        <v>10.776</v>
      </c>
      <c r="D564">
        <v>10.510999999999999</v>
      </c>
      <c r="E564">
        <v>10.590999999999999</v>
      </c>
      <c r="F564">
        <v>241254.77900000001</v>
      </c>
      <c r="G564">
        <v>0</v>
      </c>
      <c r="P564">
        <f t="shared" si="984"/>
        <v>-0.39622641509434037</v>
      </c>
      <c r="Q564">
        <f t="shared" si="985"/>
        <v>-95591.516207547349</v>
      </c>
      <c r="R564">
        <f t="shared" si="986"/>
        <v>20370281.915324602</v>
      </c>
      <c r="S564">
        <f t="shared" si="987"/>
        <v>203.70281915324603</v>
      </c>
      <c r="T564">
        <f t="shared" si="988"/>
        <v>0.20370281915324603</v>
      </c>
    </row>
    <row r="565" spans="1:104" x14ac:dyDescent="0.25">
      <c r="A565" s="5">
        <v>44028</v>
      </c>
      <c r="B565">
        <v>11.004</v>
      </c>
      <c r="C565">
        <v>11.042999999999999</v>
      </c>
      <c r="D565">
        <v>10.318</v>
      </c>
      <c r="E565">
        <v>10.694000000000001</v>
      </c>
      <c r="F565">
        <v>682079.14300000004</v>
      </c>
      <c r="G565">
        <v>0</v>
      </c>
      <c r="P565">
        <f t="shared" si="984"/>
        <v>3.724137931034871E-2</v>
      </c>
      <c r="Q565">
        <f t="shared" si="985"/>
        <v>25401.568084140581</v>
      </c>
      <c r="R565">
        <f t="shared" si="986"/>
        <v>20465873.431532148</v>
      </c>
      <c r="S565">
        <f t="shared" si="987"/>
        <v>204.65873431532148</v>
      </c>
      <c r="T565">
        <f t="shared" si="988"/>
        <v>0.20465873431532147</v>
      </c>
    </row>
    <row r="566" spans="1:104" x14ac:dyDescent="0.25">
      <c r="A566" s="5">
        <v>44027</v>
      </c>
      <c r="B566">
        <v>10.824</v>
      </c>
      <c r="C566">
        <v>11.382</v>
      </c>
      <c r="D566">
        <v>10.823</v>
      </c>
      <c r="E566">
        <v>10.989000000000001</v>
      </c>
      <c r="F566">
        <v>752224.65599999996</v>
      </c>
      <c r="G566">
        <v>0</v>
      </c>
      <c r="P566">
        <f t="shared" si="984"/>
        <v>-0.40608228980321792</v>
      </c>
      <c r="Q566">
        <f t="shared" si="985"/>
        <v>-305465.1107549179</v>
      </c>
      <c r="R566">
        <f t="shared" si="986"/>
        <v>20440471.863448009</v>
      </c>
      <c r="S566">
        <f t="shared" si="987"/>
        <v>204.40471863448008</v>
      </c>
      <c r="T566">
        <f t="shared" si="988"/>
        <v>0.20440471863448006</v>
      </c>
    </row>
    <row r="567" spans="1:104" x14ac:dyDescent="0.25">
      <c r="A567" s="5">
        <v>44026</v>
      </c>
      <c r="B567">
        <v>10.664999999999999</v>
      </c>
      <c r="C567">
        <v>11.02</v>
      </c>
      <c r="D567">
        <v>10.33</v>
      </c>
      <c r="E567">
        <v>10.83</v>
      </c>
      <c r="F567">
        <v>559168.39599999995</v>
      </c>
      <c r="G567">
        <v>0</v>
      </c>
      <c r="P567">
        <f t="shared" si="984"/>
        <v>0.44927536231884163</v>
      </c>
      <c r="Q567">
        <f t="shared" si="985"/>
        <v>251220.5837101455</v>
      </c>
      <c r="R567">
        <f t="shared" si="986"/>
        <v>20745936.974202927</v>
      </c>
      <c r="S567">
        <f t="shared" si="987"/>
        <v>207.45936974202928</v>
      </c>
      <c r="T567">
        <f t="shared" si="988"/>
        <v>0.20745936974202928</v>
      </c>
    </row>
    <row r="568" spans="1:104" x14ac:dyDescent="0.25">
      <c r="A568" s="5">
        <v>44025</v>
      </c>
      <c r="B568">
        <v>10.801</v>
      </c>
      <c r="C568">
        <v>11.252000000000001</v>
      </c>
      <c r="D568">
        <v>10.3</v>
      </c>
      <c r="E568">
        <v>10.677</v>
      </c>
      <c r="F568">
        <v>824056.277</v>
      </c>
      <c r="G568">
        <v>0</v>
      </c>
      <c r="P568">
        <f t="shared" si="984"/>
        <v>-0.20798319327731321</v>
      </c>
      <c r="Q568">
        <f t="shared" si="985"/>
        <v>-171389.85593067415</v>
      </c>
      <c r="R568">
        <f t="shared" si="986"/>
        <v>20494716.390492782</v>
      </c>
      <c r="S568">
        <f t="shared" si="987"/>
        <v>204.94716390492783</v>
      </c>
      <c r="T568">
        <f t="shared" si="988"/>
        <v>0.20494716390492784</v>
      </c>
    </row>
    <row r="569" spans="1:104" x14ac:dyDescent="0.25">
      <c r="A569" s="5">
        <v>44024</v>
      </c>
      <c r="B569">
        <v>10.737</v>
      </c>
      <c r="C569">
        <v>10.95</v>
      </c>
      <c r="D569">
        <v>10.444000000000001</v>
      </c>
      <c r="E569">
        <v>10.797000000000001</v>
      </c>
      <c r="F569">
        <v>501296.658</v>
      </c>
      <c r="G569">
        <v>0</v>
      </c>
      <c r="P569">
        <f t="shared" si="984"/>
        <v>0.39525691699605076</v>
      </c>
      <c r="Q569">
        <f t="shared" si="985"/>
        <v>198140.97154150365</v>
      </c>
      <c r="R569">
        <f t="shared" si="986"/>
        <v>20666106.246423457</v>
      </c>
      <c r="S569">
        <f t="shared" si="987"/>
        <v>206.66106246423456</v>
      </c>
      <c r="T569">
        <f t="shared" si="988"/>
        <v>0.20666106246423457</v>
      </c>
    </row>
    <row r="570" spans="1:104" x14ac:dyDescent="0.25">
      <c r="A570" s="5">
        <v>44023</v>
      </c>
      <c r="B570">
        <v>10.507999999999999</v>
      </c>
      <c r="C570">
        <v>10.922000000000001</v>
      </c>
      <c r="D570">
        <v>10.388</v>
      </c>
      <c r="E570">
        <v>10.741</v>
      </c>
      <c r="F570">
        <v>679243.56</v>
      </c>
      <c r="G570">
        <v>0</v>
      </c>
      <c r="P570">
        <f t="shared" si="984"/>
        <v>0.3220973782771509</v>
      </c>
      <c r="Q570">
        <f t="shared" si="985"/>
        <v>218782.56988763867</v>
      </c>
      <c r="R570">
        <f t="shared" si="986"/>
        <v>20467965.274881952</v>
      </c>
      <c r="S570">
        <f t="shared" si="987"/>
        <v>204.67965274881951</v>
      </c>
      <c r="T570">
        <f t="shared" si="988"/>
        <v>0.2046796527488195</v>
      </c>
    </row>
    <row r="571" spans="1:104" x14ac:dyDescent="0.25">
      <c r="A571" s="5">
        <v>44022</v>
      </c>
      <c r="B571">
        <v>10.768000000000001</v>
      </c>
      <c r="C571">
        <v>10.77</v>
      </c>
      <c r="D571">
        <v>10.304</v>
      </c>
      <c r="E571">
        <v>10.499000000000001</v>
      </c>
      <c r="F571">
        <v>680467.89899999998</v>
      </c>
      <c r="G571">
        <v>0</v>
      </c>
      <c r="P571">
        <f t="shared" si="984"/>
        <v>-0.16309012875536233</v>
      </c>
      <c r="Q571">
        <f t="shared" si="985"/>
        <v>-110977.59726180088</v>
      </c>
      <c r="R571">
        <f t="shared" si="986"/>
        <v>20249182.704994313</v>
      </c>
      <c r="S571">
        <f t="shared" si="987"/>
        <v>202.49182704994314</v>
      </c>
      <c r="T571">
        <f t="shared" si="988"/>
        <v>0.20249182704994315</v>
      </c>
    </row>
    <row r="572" spans="1:104" x14ac:dyDescent="0.25">
      <c r="A572" s="5">
        <v>44021</v>
      </c>
      <c r="B572">
        <v>11.074999999999999</v>
      </c>
      <c r="C572">
        <v>11.298</v>
      </c>
      <c r="D572">
        <v>10.401999999999999</v>
      </c>
      <c r="E572">
        <v>10.768000000000001</v>
      </c>
      <c r="F572">
        <v>792500.12800000003</v>
      </c>
      <c r="G572">
        <v>0</v>
      </c>
      <c r="P572">
        <f t="shared" si="984"/>
        <v>-0.1830357142857118</v>
      </c>
      <c r="Q572">
        <f t="shared" si="985"/>
        <v>-145055.82699999804</v>
      </c>
      <c r="R572">
        <f t="shared" si="986"/>
        <v>20360160.302256115</v>
      </c>
      <c r="S572">
        <f t="shared" si="987"/>
        <v>203.60160302256114</v>
      </c>
      <c r="T572">
        <f t="shared" si="988"/>
        <v>0.20360160302256114</v>
      </c>
    </row>
    <row r="573" spans="1:104" x14ac:dyDescent="0.25">
      <c r="A573" s="5">
        <v>44020</v>
      </c>
      <c r="B573">
        <v>10.571</v>
      </c>
      <c r="C573">
        <v>11.298</v>
      </c>
      <c r="D573">
        <v>10.45</v>
      </c>
      <c r="E573">
        <v>11.08</v>
      </c>
      <c r="F573">
        <v>1128242.031</v>
      </c>
      <c r="G573">
        <v>0</v>
      </c>
      <c r="P573">
        <f t="shared" si="984"/>
        <v>0.48584905660377409</v>
      </c>
      <c r="Q573">
        <f t="shared" si="985"/>
        <v>548155.32638207602</v>
      </c>
      <c r="R573">
        <f t="shared" si="986"/>
        <v>20505216.129256114</v>
      </c>
      <c r="S573">
        <f t="shared" si="987"/>
        <v>205.05216129256115</v>
      </c>
      <c r="T573">
        <f t="shared" si="988"/>
        <v>0.20505216129256115</v>
      </c>
    </row>
    <row r="574" spans="1:104" x14ac:dyDescent="0.25">
      <c r="A574" s="5">
        <v>44019</v>
      </c>
      <c r="B574">
        <v>10.579000000000001</v>
      </c>
      <c r="C574">
        <v>10.666</v>
      </c>
      <c r="D574">
        <v>10.257</v>
      </c>
      <c r="E574">
        <v>10.56</v>
      </c>
      <c r="F574">
        <v>533419.576</v>
      </c>
      <c r="G574">
        <v>0</v>
      </c>
      <c r="P574">
        <f t="shared" si="984"/>
        <v>0.48166259168704306</v>
      </c>
      <c r="Q574">
        <f t="shared" si="985"/>
        <v>256928.25543276363</v>
      </c>
      <c r="R574">
        <f t="shared" si="986"/>
        <v>19957060.80287404</v>
      </c>
      <c r="S574">
        <f t="shared" si="987"/>
        <v>199.57060802874039</v>
      </c>
      <c r="T574">
        <f t="shared" si="988"/>
        <v>0.19957060802874038</v>
      </c>
    </row>
    <row r="575" spans="1:104" x14ac:dyDescent="0.25">
      <c r="A575" s="5">
        <v>44018</v>
      </c>
      <c r="B575">
        <v>10.068</v>
      </c>
      <c r="C575">
        <v>10.599</v>
      </c>
      <c r="D575">
        <v>10.058</v>
      </c>
      <c r="E575">
        <v>10.574999999999999</v>
      </c>
      <c r="F575">
        <v>616865.70400000003</v>
      </c>
      <c r="G575">
        <v>0</v>
      </c>
      <c r="P575">
        <f t="shared" si="984"/>
        <v>0.91127541589648464</v>
      </c>
      <c r="Q575">
        <f t="shared" si="985"/>
        <v>562134.55096487782</v>
      </c>
      <c r="R575">
        <f t="shared" si="986"/>
        <v>19700132.547441278</v>
      </c>
      <c r="S575">
        <f t="shared" si="987"/>
        <v>197.00132547441277</v>
      </c>
      <c r="T575">
        <f t="shared" si="988"/>
        <v>0.19700132547441276</v>
      </c>
    </row>
    <row r="576" spans="1:104" x14ac:dyDescent="0.25">
      <c r="A576" s="5">
        <v>44017</v>
      </c>
      <c r="B576">
        <v>9.9640000000000004</v>
      </c>
      <c r="C576">
        <v>10.141999999999999</v>
      </c>
      <c r="D576">
        <v>9.6140000000000008</v>
      </c>
      <c r="E576">
        <v>10.07</v>
      </c>
      <c r="F576">
        <v>385945.66200000001</v>
      </c>
      <c r="G576">
        <v>0</v>
      </c>
      <c r="P576">
        <f t="shared" si="984"/>
        <v>0.72727272727272974</v>
      </c>
      <c r="Q576">
        <f t="shared" si="985"/>
        <v>280687.75418181915</v>
      </c>
      <c r="R576">
        <f t="shared" si="986"/>
        <v>19137997.996476401</v>
      </c>
      <c r="S576">
        <f t="shared" si="987"/>
        <v>191.379979964764</v>
      </c>
      <c r="T576">
        <f t="shared" si="988"/>
        <v>0.191379979964764</v>
      </c>
    </row>
    <row r="577" spans="1:20" x14ac:dyDescent="0.25">
      <c r="A577" s="5">
        <v>44016</v>
      </c>
      <c r="B577">
        <v>9.7720000000000002</v>
      </c>
      <c r="C577">
        <v>10.004</v>
      </c>
      <c r="D577">
        <v>9.7530000000000001</v>
      </c>
      <c r="E577">
        <v>9.9730000000000008</v>
      </c>
      <c r="F577">
        <v>237696.20300000001</v>
      </c>
      <c r="G577">
        <v>0</v>
      </c>
      <c r="P577">
        <f t="shared" si="984"/>
        <v>0.75298804780877393</v>
      </c>
      <c r="Q577">
        <f t="shared" si="985"/>
        <v>178982.39986852804</v>
      </c>
      <c r="R577">
        <f t="shared" si="986"/>
        <v>18857310.24229458</v>
      </c>
      <c r="S577">
        <f t="shared" si="987"/>
        <v>188.57310242294579</v>
      </c>
      <c r="T577">
        <f t="shared" si="988"/>
        <v>0.18857310242294578</v>
      </c>
    </row>
    <row r="578" spans="1:20" x14ac:dyDescent="0.25">
      <c r="A578" s="5">
        <v>44015</v>
      </c>
      <c r="B578">
        <v>9.9239999999999995</v>
      </c>
      <c r="C578">
        <v>10.025</v>
      </c>
      <c r="D578">
        <v>9.7319999999999993</v>
      </c>
      <c r="E578">
        <v>9.7799999999999994</v>
      </c>
      <c r="F578">
        <v>212150.978</v>
      </c>
      <c r="G578">
        <v>0</v>
      </c>
      <c r="P578">
        <f t="shared" si="984"/>
        <v>-0.67235494880546165</v>
      </c>
      <c r="Q578">
        <f t="shared" si="985"/>
        <v>-142640.75995221862</v>
      </c>
      <c r="R578">
        <f t="shared" si="986"/>
        <v>18678327.84242605</v>
      </c>
      <c r="S578">
        <f t="shared" si="987"/>
        <v>186.78327842426052</v>
      </c>
      <c r="T578">
        <f t="shared" si="988"/>
        <v>0.18678327842426051</v>
      </c>
    </row>
    <row r="579" spans="1:20" x14ac:dyDescent="0.25">
      <c r="A579" s="5">
        <v>44014</v>
      </c>
      <c r="B579">
        <v>10.15</v>
      </c>
      <c r="C579">
        <v>10.297000000000001</v>
      </c>
      <c r="D579">
        <v>9.66</v>
      </c>
      <c r="E579">
        <v>9.9220000000000006</v>
      </c>
      <c r="F579">
        <v>399810.85</v>
      </c>
      <c r="G579">
        <v>0</v>
      </c>
      <c r="P579">
        <f t="shared" si="984"/>
        <v>-0.17739403453689084</v>
      </c>
      <c r="Q579">
        <f t="shared" si="985"/>
        <v>-70924.059733123679</v>
      </c>
      <c r="R579">
        <f t="shared" si="986"/>
        <v>18820968.602378268</v>
      </c>
      <c r="S579">
        <f t="shared" si="987"/>
        <v>188.20968602378267</v>
      </c>
      <c r="T579">
        <f t="shared" si="988"/>
        <v>0.18820968602378266</v>
      </c>
    </row>
    <row r="580" spans="1:20" x14ac:dyDescent="0.25">
      <c r="A580" s="5">
        <v>44013</v>
      </c>
      <c r="B580">
        <v>10.034000000000001</v>
      </c>
      <c r="C580">
        <v>10.26</v>
      </c>
      <c r="D580">
        <v>9.907</v>
      </c>
      <c r="E580">
        <v>10.138</v>
      </c>
      <c r="F580">
        <v>283396.91100000002</v>
      </c>
      <c r="G580">
        <v>0</v>
      </c>
      <c r="P580">
        <f t="shared" si="984"/>
        <v>0.30878186968838545</v>
      </c>
      <c r="Q580">
        <f t="shared" si="985"/>
        <v>87507.828042492969</v>
      </c>
      <c r="R580">
        <f t="shared" si="986"/>
        <v>18891892.66211139</v>
      </c>
      <c r="S580">
        <f t="shared" si="987"/>
        <v>188.91892662111391</v>
      </c>
      <c r="T580">
        <f t="shared" si="988"/>
        <v>0.18891892662111393</v>
      </c>
    </row>
    <row r="581" spans="1:20" x14ac:dyDescent="0.25">
      <c r="A581" s="5">
        <v>44012</v>
      </c>
      <c r="B581">
        <v>10.221</v>
      </c>
      <c r="C581">
        <v>10.262</v>
      </c>
      <c r="D581">
        <v>9.9819999999999993</v>
      </c>
      <c r="E581">
        <v>10.034000000000001</v>
      </c>
      <c r="F581">
        <v>183471.05499999999</v>
      </c>
      <c r="G581">
        <v>0</v>
      </c>
      <c r="P581">
        <f t="shared" si="984"/>
        <v>-0.62857142857142023</v>
      </c>
      <c r="Q581">
        <f t="shared" si="985"/>
        <v>-115324.66314285561</v>
      </c>
      <c r="R581">
        <f t="shared" si="986"/>
        <v>18804384.834068898</v>
      </c>
      <c r="S581">
        <f t="shared" si="987"/>
        <v>188.04384834068898</v>
      </c>
      <c r="T581">
        <f t="shared" si="988"/>
        <v>0.18804384834068899</v>
      </c>
    </row>
    <row r="582" spans="1:20" x14ac:dyDescent="0.25">
      <c r="A582" s="5">
        <v>44011</v>
      </c>
      <c r="B582">
        <v>10.050000000000001</v>
      </c>
      <c r="C582">
        <v>10.292999999999999</v>
      </c>
      <c r="D582">
        <v>9.9139999999999997</v>
      </c>
      <c r="E582">
        <v>10.212999999999999</v>
      </c>
      <c r="F582">
        <v>289510.14899999998</v>
      </c>
      <c r="G582">
        <v>0</v>
      </c>
      <c r="P582">
        <f t="shared" ref="P582:P645" si="989">IF(C582=D582,0,((E582-D582)-(C582-E582))/(C582-D582))</f>
        <v>0.57783641160949784</v>
      </c>
      <c r="Q582">
        <f t="shared" ref="Q582:Q645" si="990">F582*P582</f>
        <v>167289.50562269104</v>
      </c>
      <c r="R582">
        <f t="shared" ref="R582:R645" si="991">R583+Q582</f>
        <v>18919709.497211754</v>
      </c>
      <c r="S582">
        <f t="shared" ref="S582:S645" si="992">R582/100000</f>
        <v>189.19709497211755</v>
      </c>
      <c r="T582">
        <f t="shared" ref="T582:T645" si="993">S582/1000</f>
        <v>0.18919709497211756</v>
      </c>
    </row>
    <row r="583" spans="1:20" x14ac:dyDescent="0.25">
      <c r="A583" s="5">
        <v>44010</v>
      </c>
      <c r="B583">
        <v>9.7029999999999994</v>
      </c>
      <c r="C583">
        <v>10.221</v>
      </c>
      <c r="D583">
        <v>9.58</v>
      </c>
      <c r="E583">
        <v>10.045</v>
      </c>
      <c r="F583">
        <v>293127.45600000001</v>
      </c>
      <c r="G583">
        <v>0</v>
      </c>
      <c r="P583">
        <f t="shared" si="989"/>
        <v>0.45085803432137239</v>
      </c>
      <c r="Q583">
        <f t="shared" si="990"/>
        <v>132158.86861778458</v>
      </c>
      <c r="R583">
        <f t="shared" si="991"/>
        <v>18752419.991589062</v>
      </c>
      <c r="S583">
        <f t="shared" si="992"/>
        <v>187.52419991589062</v>
      </c>
      <c r="T583">
        <f t="shared" si="993"/>
        <v>0.18752419991589062</v>
      </c>
    </row>
    <row r="584" spans="1:20" x14ac:dyDescent="0.25">
      <c r="A584" s="5">
        <v>44009</v>
      </c>
      <c r="B584">
        <v>10.192</v>
      </c>
      <c r="C584">
        <v>10.31</v>
      </c>
      <c r="D584">
        <v>9.3089999999999993</v>
      </c>
      <c r="E584">
        <v>9.7029999999999994</v>
      </c>
      <c r="F584">
        <v>356137.48599999998</v>
      </c>
      <c r="G584">
        <v>0</v>
      </c>
      <c r="P584">
        <f t="shared" si="989"/>
        <v>-0.21278721278721349</v>
      </c>
      <c r="Q584">
        <f t="shared" si="990"/>
        <v>-75781.503014985254</v>
      </c>
      <c r="R584">
        <f t="shared" si="991"/>
        <v>18620261.122971278</v>
      </c>
      <c r="S584">
        <f t="shared" si="992"/>
        <v>186.20261122971277</v>
      </c>
      <c r="T584">
        <f t="shared" si="993"/>
        <v>0.18620261122971277</v>
      </c>
    </row>
    <row r="585" spans="1:20" x14ac:dyDescent="0.25">
      <c r="A585" s="5">
        <v>44008</v>
      </c>
      <c r="B585">
        <v>10.334</v>
      </c>
      <c r="C585">
        <v>10.39</v>
      </c>
      <c r="D585">
        <v>9.9779999999999998</v>
      </c>
      <c r="E585">
        <v>10.196</v>
      </c>
      <c r="F585">
        <v>391454.32</v>
      </c>
      <c r="G585">
        <v>0</v>
      </c>
      <c r="P585">
        <f t="shared" si="989"/>
        <v>5.8252427184463801E-2</v>
      </c>
      <c r="Q585">
        <f t="shared" si="990"/>
        <v>22803.164271843791</v>
      </c>
      <c r="R585">
        <f t="shared" si="991"/>
        <v>18696042.625986263</v>
      </c>
      <c r="S585">
        <f t="shared" si="992"/>
        <v>186.96042625986263</v>
      </c>
      <c r="T585">
        <f t="shared" si="993"/>
        <v>0.18696042625986262</v>
      </c>
    </row>
    <row r="586" spans="1:20" x14ac:dyDescent="0.25">
      <c r="A586" s="5">
        <v>44007</v>
      </c>
      <c r="B586">
        <v>10.47</v>
      </c>
      <c r="C586">
        <v>10.526999999999999</v>
      </c>
      <c r="D586">
        <v>9.9030000000000005</v>
      </c>
      <c r="E586">
        <v>10.335000000000001</v>
      </c>
      <c r="F586">
        <v>397649.02399999998</v>
      </c>
      <c r="G586">
        <v>0</v>
      </c>
      <c r="P586">
        <f t="shared" si="989"/>
        <v>0.38461538461538858</v>
      </c>
      <c r="Q586">
        <f t="shared" si="990"/>
        <v>152941.93230769387</v>
      </c>
      <c r="R586">
        <f t="shared" si="991"/>
        <v>18673239.46171442</v>
      </c>
      <c r="S586">
        <f t="shared" si="992"/>
        <v>186.73239461714419</v>
      </c>
      <c r="T586">
        <f t="shared" si="993"/>
        <v>0.18673239461714419</v>
      </c>
    </row>
    <row r="587" spans="1:20" x14ac:dyDescent="0.25">
      <c r="A587" s="5">
        <v>44006</v>
      </c>
      <c r="B587">
        <v>10.941000000000001</v>
      </c>
      <c r="C587">
        <v>11.207000000000001</v>
      </c>
      <c r="D587">
        <v>10.259</v>
      </c>
      <c r="E587">
        <v>10.491</v>
      </c>
      <c r="F587">
        <v>673476.16799999995</v>
      </c>
      <c r="G587">
        <v>0</v>
      </c>
      <c r="P587">
        <f t="shared" si="989"/>
        <v>-0.5105485232067527</v>
      </c>
      <c r="Q587">
        <f t="shared" si="990"/>
        <v>-343842.26298734284</v>
      </c>
      <c r="R587">
        <f t="shared" si="991"/>
        <v>18520297.529406726</v>
      </c>
      <c r="S587">
        <f t="shared" si="992"/>
        <v>185.20297529406727</v>
      </c>
      <c r="T587">
        <f t="shared" si="993"/>
        <v>0.18520297529406726</v>
      </c>
    </row>
    <row r="588" spans="1:20" x14ac:dyDescent="0.25">
      <c r="A588" s="5">
        <v>44005</v>
      </c>
      <c r="B588">
        <v>10.795</v>
      </c>
      <c r="C588">
        <v>11.3</v>
      </c>
      <c r="D588">
        <v>10.616</v>
      </c>
      <c r="E588">
        <v>10.941000000000001</v>
      </c>
      <c r="F588">
        <v>574854.44999999995</v>
      </c>
      <c r="G588">
        <v>0</v>
      </c>
      <c r="P588">
        <f t="shared" si="989"/>
        <v>-4.9707602339179632E-2</v>
      </c>
      <c r="Q588">
        <f t="shared" si="990"/>
        <v>-28574.636403507819</v>
      </c>
      <c r="R588">
        <f t="shared" si="991"/>
        <v>18864139.792394068</v>
      </c>
      <c r="S588">
        <f t="shared" si="992"/>
        <v>188.64139792394067</v>
      </c>
      <c r="T588">
        <f t="shared" si="993"/>
        <v>0.18864139792394066</v>
      </c>
    </row>
    <row r="589" spans="1:20" x14ac:dyDescent="0.25">
      <c r="A589" s="5">
        <v>44004</v>
      </c>
      <c r="B589">
        <v>10.295999999999999</v>
      </c>
      <c r="C589">
        <v>10.862</v>
      </c>
      <c r="D589">
        <v>10.25</v>
      </c>
      <c r="E589">
        <v>10.8</v>
      </c>
      <c r="F589">
        <v>462273.52899999998</v>
      </c>
      <c r="G589">
        <v>0</v>
      </c>
      <c r="P589">
        <f t="shared" si="989"/>
        <v>0.79738562091503473</v>
      </c>
      <c r="Q589">
        <f t="shared" si="990"/>
        <v>368610.26495424932</v>
      </c>
      <c r="R589">
        <f t="shared" si="991"/>
        <v>18892714.428797577</v>
      </c>
      <c r="S589">
        <f t="shared" si="992"/>
        <v>188.92714428797578</v>
      </c>
      <c r="T589">
        <f t="shared" si="993"/>
        <v>0.18892714428797577</v>
      </c>
    </row>
    <row r="590" spans="1:20" x14ac:dyDescent="0.25">
      <c r="A590" s="5">
        <v>44003</v>
      </c>
      <c r="B590">
        <v>10.266</v>
      </c>
      <c r="C590">
        <v>10.62</v>
      </c>
      <c r="D590">
        <v>10.18</v>
      </c>
      <c r="E590">
        <v>10.298</v>
      </c>
      <c r="F590">
        <v>359397.30800000002</v>
      </c>
      <c r="G590">
        <v>0</v>
      </c>
      <c r="P590">
        <f t="shared" si="989"/>
        <v>-0.46363636363636157</v>
      </c>
      <c r="Q590">
        <f t="shared" si="990"/>
        <v>-166629.66098181746</v>
      </c>
      <c r="R590">
        <f t="shared" si="991"/>
        <v>18524104.163843326</v>
      </c>
      <c r="S590">
        <f t="shared" si="992"/>
        <v>185.24104163843327</v>
      </c>
      <c r="T590">
        <f t="shared" si="993"/>
        <v>0.18524104163843327</v>
      </c>
    </row>
    <row r="591" spans="1:20" x14ac:dyDescent="0.25">
      <c r="A591" s="5">
        <v>44002</v>
      </c>
      <c r="B591">
        <v>10.265000000000001</v>
      </c>
      <c r="C591">
        <v>10.364000000000001</v>
      </c>
      <c r="D591">
        <v>10.036</v>
      </c>
      <c r="E591">
        <v>10.263999999999999</v>
      </c>
      <c r="F591">
        <v>257832.851</v>
      </c>
      <c r="G591">
        <v>0</v>
      </c>
      <c r="P591">
        <f t="shared" si="989"/>
        <v>0.39024390243901791</v>
      </c>
      <c r="Q591">
        <f t="shared" si="990"/>
        <v>100617.69795121784</v>
      </c>
      <c r="R591">
        <f t="shared" si="991"/>
        <v>18690733.824825145</v>
      </c>
      <c r="S591">
        <f t="shared" si="992"/>
        <v>186.90733824825145</v>
      </c>
      <c r="T591">
        <f t="shared" si="993"/>
        <v>0.18690733824825145</v>
      </c>
    </row>
    <row r="592" spans="1:20" x14ac:dyDescent="0.25">
      <c r="A592" s="5">
        <v>44001</v>
      </c>
      <c r="B592">
        <v>10.404</v>
      </c>
      <c r="C592">
        <v>10.452999999999999</v>
      </c>
      <c r="D592">
        <v>10.134</v>
      </c>
      <c r="E592">
        <v>10.268000000000001</v>
      </c>
      <c r="F592">
        <v>265460.755</v>
      </c>
      <c r="G592">
        <v>0</v>
      </c>
      <c r="P592">
        <f t="shared" si="989"/>
        <v>-0.15987460815046561</v>
      </c>
      <c r="Q592">
        <f t="shared" si="990"/>
        <v>-42440.434184951759</v>
      </c>
      <c r="R592">
        <f t="shared" si="991"/>
        <v>18590116.126873929</v>
      </c>
      <c r="S592">
        <f t="shared" si="992"/>
        <v>185.90116126873929</v>
      </c>
      <c r="T592">
        <f t="shared" si="993"/>
        <v>0.18590116126873929</v>
      </c>
    </row>
    <row r="593" spans="1:20" x14ac:dyDescent="0.25">
      <c r="A593" s="5">
        <v>44000</v>
      </c>
      <c r="B593">
        <v>10.587999999999999</v>
      </c>
      <c r="C593">
        <v>10.632999999999999</v>
      </c>
      <c r="D593">
        <v>10.234</v>
      </c>
      <c r="E593">
        <v>10.413</v>
      </c>
      <c r="F593">
        <v>265533.413</v>
      </c>
      <c r="G593">
        <v>0</v>
      </c>
      <c r="P593">
        <f t="shared" si="989"/>
        <v>-0.10275689223057313</v>
      </c>
      <c r="Q593">
        <f t="shared" si="990"/>
        <v>-27285.388303257267</v>
      </c>
      <c r="R593">
        <f t="shared" si="991"/>
        <v>18632556.561058883</v>
      </c>
      <c r="S593">
        <f t="shared" si="992"/>
        <v>186.32556561058882</v>
      </c>
      <c r="T593">
        <f t="shared" si="993"/>
        <v>0.18632556561058883</v>
      </c>
    </row>
    <row r="594" spans="1:20" x14ac:dyDescent="0.25">
      <c r="A594" s="5">
        <v>43999</v>
      </c>
      <c r="B594">
        <v>10.586</v>
      </c>
      <c r="C594">
        <v>10.89</v>
      </c>
      <c r="D594">
        <v>10.276999999999999</v>
      </c>
      <c r="E594">
        <v>10.587999999999999</v>
      </c>
      <c r="F594">
        <v>380844.13400000002</v>
      </c>
      <c r="G594">
        <v>0</v>
      </c>
      <c r="P594">
        <f t="shared" si="989"/>
        <v>1.4681892332787187E-2</v>
      </c>
      <c r="Q594">
        <f t="shared" si="990"/>
        <v>5591.5125709615759</v>
      </c>
      <c r="R594">
        <f t="shared" si="991"/>
        <v>18659841.94936214</v>
      </c>
      <c r="S594">
        <f t="shared" si="992"/>
        <v>186.59841949362141</v>
      </c>
      <c r="T594">
        <f t="shared" si="993"/>
        <v>0.18659841949362141</v>
      </c>
    </row>
    <row r="595" spans="1:20" x14ac:dyDescent="0.25">
      <c r="A595" s="5">
        <v>43998</v>
      </c>
      <c r="B595">
        <v>10.43</v>
      </c>
      <c r="C595">
        <v>10.667999999999999</v>
      </c>
      <c r="D595">
        <v>10.363</v>
      </c>
      <c r="E595">
        <v>10.56</v>
      </c>
      <c r="F595">
        <v>315546.21000000002</v>
      </c>
      <c r="G595">
        <v>0</v>
      </c>
      <c r="P595">
        <f t="shared" si="989"/>
        <v>0.29180327868853206</v>
      </c>
      <c r="Q595">
        <f t="shared" si="990"/>
        <v>92077.418655740068</v>
      </c>
      <c r="R595">
        <f t="shared" si="991"/>
        <v>18654250.436791178</v>
      </c>
      <c r="S595">
        <f t="shared" si="992"/>
        <v>186.54250436791179</v>
      </c>
      <c r="T595">
        <f t="shared" si="993"/>
        <v>0.18654250436791178</v>
      </c>
    </row>
    <row r="596" spans="1:20" x14ac:dyDescent="0.25">
      <c r="A596" s="5">
        <v>43997</v>
      </c>
      <c r="B596">
        <v>10.611000000000001</v>
      </c>
      <c r="C596">
        <v>10.641</v>
      </c>
      <c r="D596">
        <v>9.718</v>
      </c>
      <c r="E596">
        <v>10.43</v>
      </c>
      <c r="F596">
        <v>732171.95700000005</v>
      </c>
      <c r="G596">
        <v>0</v>
      </c>
      <c r="P596">
        <f t="shared" si="989"/>
        <v>0.54279523293607734</v>
      </c>
      <c r="Q596">
        <f t="shared" si="990"/>
        <v>397419.44794907863</v>
      </c>
      <c r="R596">
        <f t="shared" si="991"/>
        <v>18562173.01813544</v>
      </c>
      <c r="S596">
        <f t="shared" si="992"/>
        <v>185.62173018135439</v>
      </c>
      <c r="T596">
        <f t="shared" si="993"/>
        <v>0.18562173018135439</v>
      </c>
    </row>
    <row r="597" spans="1:20" x14ac:dyDescent="0.25">
      <c r="A597" s="5">
        <v>43996</v>
      </c>
      <c r="B597">
        <v>11.077999999999999</v>
      </c>
      <c r="C597">
        <v>11.089</v>
      </c>
      <c r="D597">
        <v>10.446</v>
      </c>
      <c r="E597">
        <v>10.615</v>
      </c>
      <c r="F597">
        <v>275271.027</v>
      </c>
      <c r="G597">
        <v>0</v>
      </c>
      <c r="P597">
        <f t="shared" si="989"/>
        <v>-0.474339035769828</v>
      </c>
      <c r="Q597">
        <f t="shared" si="990"/>
        <v>-130571.79352255029</v>
      </c>
      <c r="R597">
        <f t="shared" si="991"/>
        <v>18164753.570186362</v>
      </c>
      <c r="S597">
        <f t="shared" si="992"/>
        <v>181.6475357018636</v>
      </c>
      <c r="T597">
        <f t="shared" si="993"/>
        <v>0.18164753570186359</v>
      </c>
    </row>
    <row r="598" spans="1:20" x14ac:dyDescent="0.25">
      <c r="A598" s="5">
        <v>43995</v>
      </c>
      <c r="B598">
        <v>10.920999999999999</v>
      </c>
      <c r="C598">
        <v>11.122</v>
      </c>
      <c r="D598">
        <v>10.744</v>
      </c>
      <c r="E598">
        <v>11.08</v>
      </c>
      <c r="F598">
        <v>306550.78200000001</v>
      </c>
      <c r="G598">
        <v>0</v>
      </c>
      <c r="P598">
        <f t="shared" si="989"/>
        <v>0.77777777777777879</v>
      </c>
      <c r="Q598">
        <f t="shared" si="990"/>
        <v>238428.38600000032</v>
      </c>
      <c r="R598">
        <f t="shared" si="991"/>
        <v>18295325.363708913</v>
      </c>
      <c r="S598">
        <f t="shared" si="992"/>
        <v>182.95325363708912</v>
      </c>
      <c r="T598">
        <f t="shared" si="993"/>
        <v>0.18295325363708911</v>
      </c>
    </row>
    <row r="599" spans="1:20" x14ac:dyDescent="0.25">
      <c r="A599" s="5">
        <v>43994</v>
      </c>
      <c r="B599">
        <v>10.680999999999999</v>
      </c>
      <c r="C599">
        <v>11.218999999999999</v>
      </c>
      <c r="D599">
        <v>10.51</v>
      </c>
      <c r="E599">
        <v>10.917</v>
      </c>
      <c r="F599">
        <v>443221.163</v>
      </c>
      <c r="G599">
        <v>0</v>
      </c>
      <c r="P599">
        <f t="shared" si="989"/>
        <v>0.14809590973201761</v>
      </c>
      <c r="Q599">
        <f t="shared" si="990"/>
        <v>65639.241346967858</v>
      </c>
      <c r="R599">
        <f t="shared" si="991"/>
        <v>18056896.977708913</v>
      </c>
      <c r="S599">
        <f t="shared" si="992"/>
        <v>180.56896977708914</v>
      </c>
      <c r="T599">
        <f t="shared" si="993"/>
        <v>0.18056896977708914</v>
      </c>
    </row>
    <row r="600" spans="1:20" x14ac:dyDescent="0.25">
      <c r="A600" s="5">
        <v>43993</v>
      </c>
      <c r="B600">
        <v>11.936</v>
      </c>
      <c r="C600">
        <v>11.996</v>
      </c>
      <c r="D600">
        <v>10.374000000000001</v>
      </c>
      <c r="E600">
        <v>10.679</v>
      </c>
      <c r="F600">
        <v>983798.20400000003</v>
      </c>
      <c r="G600">
        <v>0</v>
      </c>
      <c r="P600">
        <f t="shared" si="989"/>
        <v>-0.62392108508014832</v>
      </c>
      <c r="Q600">
        <f t="shared" si="990"/>
        <v>-613812.44293958112</v>
      </c>
      <c r="R600">
        <f t="shared" si="991"/>
        <v>17991257.736361947</v>
      </c>
      <c r="S600">
        <f t="shared" si="992"/>
        <v>179.91257736361948</v>
      </c>
      <c r="T600">
        <f t="shared" si="993"/>
        <v>0.17991257736361949</v>
      </c>
    </row>
    <row r="601" spans="1:20" x14ac:dyDescent="0.25">
      <c r="A601" s="5">
        <v>43992</v>
      </c>
      <c r="B601">
        <v>12.038</v>
      </c>
      <c r="C601">
        <v>12.28</v>
      </c>
      <c r="D601">
        <v>11.75</v>
      </c>
      <c r="E601">
        <v>11.935</v>
      </c>
      <c r="F601">
        <v>441173.61099999998</v>
      </c>
      <c r="G601">
        <v>0</v>
      </c>
      <c r="P601">
        <f t="shared" si="989"/>
        <v>-0.30188679245282746</v>
      </c>
      <c r="Q601">
        <f t="shared" si="990"/>
        <v>-133184.48633962142</v>
      </c>
      <c r="R601">
        <f t="shared" si="991"/>
        <v>18605070.179301526</v>
      </c>
      <c r="S601">
        <f t="shared" si="992"/>
        <v>186.05070179301526</v>
      </c>
      <c r="T601">
        <f t="shared" si="993"/>
        <v>0.18605070179301528</v>
      </c>
    </row>
    <row r="602" spans="1:20" x14ac:dyDescent="0.25">
      <c r="A602" s="5">
        <v>43991</v>
      </c>
      <c r="B602">
        <v>11.64</v>
      </c>
      <c r="C602">
        <v>12.186</v>
      </c>
      <c r="D602">
        <v>11.443</v>
      </c>
      <c r="E602">
        <v>12.026</v>
      </c>
      <c r="F602">
        <v>438707.152</v>
      </c>
      <c r="G602">
        <v>0</v>
      </c>
      <c r="P602">
        <f t="shared" si="989"/>
        <v>0.56931359353970368</v>
      </c>
      <c r="Q602">
        <f t="shared" si="990"/>
        <v>249761.945216689</v>
      </c>
      <c r="R602">
        <f t="shared" si="991"/>
        <v>18738254.665641148</v>
      </c>
      <c r="S602">
        <f t="shared" si="992"/>
        <v>187.38254665641148</v>
      </c>
      <c r="T602">
        <f t="shared" si="993"/>
        <v>0.18738254665641146</v>
      </c>
    </row>
    <row r="603" spans="1:20" x14ac:dyDescent="0.25">
      <c r="A603" s="5">
        <v>43990</v>
      </c>
      <c r="B603">
        <v>11.773</v>
      </c>
      <c r="C603">
        <v>11.82</v>
      </c>
      <c r="D603">
        <v>11.500999999999999</v>
      </c>
      <c r="E603">
        <v>11.656000000000001</v>
      </c>
      <c r="F603">
        <v>203374.443</v>
      </c>
      <c r="G603">
        <v>0</v>
      </c>
      <c r="P603">
        <f t="shared" si="989"/>
        <v>-2.8213166144196052E-2</v>
      </c>
      <c r="Q603">
        <f t="shared" si="990"/>
        <v>-5737.8369498423299</v>
      </c>
      <c r="R603">
        <f t="shared" si="991"/>
        <v>18488492.720424458</v>
      </c>
      <c r="S603">
        <f t="shared" si="992"/>
        <v>184.88492720424458</v>
      </c>
      <c r="T603">
        <f t="shared" si="993"/>
        <v>0.18488492720424457</v>
      </c>
    </row>
    <row r="604" spans="1:20" x14ac:dyDescent="0.25">
      <c r="A604" s="5">
        <v>43989</v>
      </c>
      <c r="B604">
        <v>11.798999999999999</v>
      </c>
      <c r="C604">
        <v>11.981999999999999</v>
      </c>
      <c r="D604">
        <v>11.27</v>
      </c>
      <c r="E604">
        <v>11.776</v>
      </c>
      <c r="F604">
        <v>376839.56699999998</v>
      </c>
      <c r="G604">
        <v>0</v>
      </c>
      <c r="P604">
        <f t="shared" si="989"/>
        <v>0.42134831460674271</v>
      </c>
      <c r="Q604">
        <f t="shared" si="990"/>
        <v>158780.71643258468</v>
      </c>
      <c r="R604">
        <f t="shared" si="991"/>
        <v>18494230.557374302</v>
      </c>
      <c r="S604">
        <f t="shared" si="992"/>
        <v>184.94230557374303</v>
      </c>
      <c r="T604">
        <f t="shared" si="993"/>
        <v>0.18494230557374303</v>
      </c>
    </row>
    <row r="605" spans="1:20" x14ac:dyDescent="0.25">
      <c r="A605" s="5">
        <v>43988</v>
      </c>
      <c r="B605">
        <v>11.802</v>
      </c>
      <c r="C605">
        <v>11.925000000000001</v>
      </c>
      <c r="D605">
        <v>11.484999999999999</v>
      </c>
      <c r="E605">
        <v>11.813000000000001</v>
      </c>
      <c r="F605">
        <v>336430.9</v>
      </c>
      <c r="G605">
        <v>0</v>
      </c>
      <c r="P605">
        <f t="shared" si="989"/>
        <v>0.49090909090909196</v>
      </c>
      <c r="Q605">
        <f t="shared" si="990"/>
        <v>165156.98727272765</v>
      </c>
      <c r="R605">
        <f t="shared" si="991"/>
        <v>18335449.840941716</v>
      </c>
      <c r="S605">
        <f t="shared" si="992"/>
        <v>183.35449840941715</v>
      </c>
      <c r="T605">
        <f t="shared" si="993"/>
        <v>0.18335449840941714</v>
      </c>
    </row>
    <row r="606" spans="1:20" x14ac:dyDescent="0.25">
      <c r="A606" s="5">
        <v>43987</v>
      </c>
      <c r="B606">
        <v>12.167</v>
      </c>
      <c r="C606">
        <v>12.250999999999999</v>
      </c>
      <c r="D606">
        <v>11.795</v>
      </c>
      <c r="E606">
        <v>11.803000000000001</v>
      </c>
      <c r="F606">
        <v>302340.37199999997</v>
      </c>
      <c r="G606">
        <v>0</v>
      </c>
      <c r="P606">
        <f t="shared" si="989"/>
        <v>-0.96491228070175039</v>
      </c>
      <c r="Q606">
        <f t="shared" si="990"/>
        <v>-291731.9378947356</v>
      </c>
      <c r="R606">
        <f t="shared" si="991"/>
        <v>18170292.853668988</v>
      </c>
      <c r="S606">
        <f t="shared" si="992"/>
        <v>181.70292853668988</v>
      </c>
      <c r="T606">
        <f t="shared" si="993"/>
        <v>0.18170292853668987</v>
      </c>
    </row>
    <row r="607" spans="1:20" x14ac:dyDescent="0.25">
      <c r="A607" s="5">
        <v>43986</v>
      </c>
      <c r="B607">
        <v>12.393000000000001</v>
      </c>
      <c r="C607">
        <v>12.477</v>
      </c>
      <c r="D607">
        <v>11.739000000000001</v>
      </c>
      <c r="E607">
        <v>12.164</v>
      </c>
      <c r="F607">
        <v>698462.43599999999</v>
      </c>
      <c r="G607">
        <v>0</v>
      </c>
      <c r="P607">
        <f t="shared" si="989"/>
        <v>0.15176151761517398</v>
      </c>
      <c r="Q607">
        <f t="shared" si="990"/>
        <v>105999.71928455132</v>
      </c>
      <c r="R607">
        <f t="shared" si="991"/>
        <v>18462024.791563723</v>
      </c>
      <c r="S607">
        <f t="shared" si="992"/>
        <v>184.62024791563724</v>
      </c>
      <c r="T607">
        <f t="shared" si="993"/>
        <v>0.18462024791563725</v>
      </c>
    </row>
    <row r="608" spans="1:20" x14ac:dyDescent="0.25">
      <c r="A608" s="5">
        <v>43985</v>
      </c>
      <c r="B608">
        <v>12.103</v>
      </c>
      <c r="C608">
        <v>12.528</v>
      </c>
      <c r="D608">
        <v>11.670999999999999</v>
      </c>
      <c r="E608">
        <v>12.393000000000001</v>
      </c>
      <c r="F608">
        <v>730048.04399999999</v>
      </c>
      <c r="G608">
        <v>0</v>
      </c>
      <c r="P608">
        <f t="shared" si="989"/>
        <v>0.68494749124854237</v>
      </c>
      <c r="Q608">
        <f t="shared" si="990"/>
        <v>500044.57622870547</v>
      </c>
      <c r="R608">
        <f t="shared" si="991"/>
        <v>18356025.07227917</v>
      </c>
      <c r="S608">
        <f t="shared" si="992"/>
        <v>183.56025072279169</v>
      </c>
      <c r="T608">
        <f t="shared" si="993"/>
        <v>0.1835602507227917</v>
      </c>
    </row>
    <row r="609" spans="1:20" x14ac:dyDescent="0.25">
      <c r="A609" s="5">
        <v>43984</v>
      </c>
      <c r="B609">
        <v>12.406000000000001</v>
      </c>
      <c r="C609">
        <v>13.2</v>
      </c>
      <c r="D609">
        <v>11.255000000000001</v>
      </c>
      <c r="E609">
        <v>12.135</v>
      </c>
      <c r="F609">
        <v>2017869.8230000001</v>
      </c>
      <c r="G609">
        <v>0</v>
      </c>
      <c r="P609">
        <f t="shared" si="989"/>
        <v>-9.5115681233933491E-2</v>
      </c>
      <c r="Q609">
        <f t="shared" si="990"/>
        <v>-191931.0628560418</v>
      </c>
      <c r="R609">
        <f t="shared" si="991"/>
        <v>17855980.496050466</v>
      </c>
      <c r="S609">
        <f t="shared" si="992"/>
        <v>178.55980496050466</v>
      </c>
      <c r="T609">
        <f t="shared" si="993"/>
        <v>0.17855980496050466</v>
      </c>
    </row>
    <row r="610" spans="1:20" x14ac:dyDescent="0.25">
      <c r="A610" s="5">
        <v>43983</v>
      </c>
      <c r="B610">
        <v>10.944000000000001</v>
      </c>
      <c r="C610">
        <v>12.715</v>
      </c>
      <c r="D610">
        <v>10.871</v>
      </c>
      <c r="E610">
        <v>12.413</v>
      </c>
      <c r="F610">
        <v>1975864.767</v>
      </c>
      <c r="G610">
        <v>0</v>
      </c>
      <c r="P610">
        <f t="shared" si="989"/>
        <v>0.67245119305856871</v>
      </c>
      <c r="Q610">
        <f t="shared" si="990"/>
        <v>1328672.6198915408</v>
      </c>
      <c r="R610">
        <f t="shared" si="991"/>
        <v>18047911.558906507</v>
      </c>
      <c r="S610">
        <f t="shared" si="992"/>
        <v>180.47911558906506</v>
      </c>
      <c r="T610">
        <f t="shared" si="993"/>
        <v>0.18047911558906507</v>
      </c>
    </row>
    <row r="611" spans="1:20" x14ac:dyDescent="0.25">
      <c r="A611" s="5">
        <v>43982</v>
      </c>
      <c r="B611">
        <v>11.034000000000001</v>
      </c>
      <c r="C611">
        <v>11.85</v>
      </c>
      <c r="D611">
        <v>10.504</v>
      </c>
      <c r="E611">
        <v>10.945</v>
      </c>
      <c r="F611">
        <v>1344438.365</v>
      </c>
      <c r="G611">
        <v>0</v>
      </c>
      <c r="P611">
        <f t="shared" si="989"/>
        <v>-0.34472511144130652</v>
      </c>
      <c r="Q611">
        <f t="shared" si="990"/>
        <v>-463461.66520059295</v>
      </c>
      <c r="R611">
        <f t="shared" si="991"/>
        <v>16719238.939014966</v>
      </c>
      <c r="S611">
        <f t="shared" si="992"/>
        <v>167.19238939014966</v>
      </c>
      <c r="T611">
        <f t="shared" si="993"/>
        <v>0.16719238939014966</v>
      </c>
    </row>
    <row r="612" spans="1:20" x14ac:dyDescent="0.25">
      <c r="A612" s="5">
        <v>43981</v>
      </c>
      <c r="B612">
        <v>10.234</v>
      </c>
      <c r="C612">
        <v>11.15</v>
      </c>
      <c r="D612">
        <v>10.14</v>
      </c>
      <c r="E612">
        <v>11.03</v>
      </c>
      <c r="F612">
        <v>799316.80599999998</v>
      </c>
      <c r="G612">
        <v>0</v>
      </c>
      <c r="P612">
        <f t="shared" si="989"/>
        <v>0.76237623762376039</v>
      </c>
      <c r="Q612">
        <f t="shared" si="990"/>
        <v>609380.13922772114</v>
      </c>
      <c r="R612">
        <f t="shared" si="991"/>
        <v>17182700.604215559</v>
      </c>
      <c r="S612">
        <f t="shared" si="992"/>
        <v>171.82700604215557</v>
      </c>
      <c r="T612">
        <f t="shared" si="993"/>
        <v>0.17182700604215556</v>
      </c>
    </row>
    <row r="613" spans="1:20" x14ac:dyDescent="0.25">
      <c r="A613" s="5">
        <v>43980</v>
      </c>
      <c r="B613">
        <v>10.420999999999999</v>
      </c>
      <c r="C613">
        <v>10.487</v>
      </c>
      <c r="D613">
        <v>10.053000000000001</v>
      </c>
      <c r="E613">
        <v>10.242000000000001</v>
      </c>
      <c r="F613">
        <v>334535.74400000001</v>
      </c>
      <c r="G613">
        <v>0</v>
      </c>
      <c r="P613">
        <f t="shared" si="989"/>
        <v>-0.1290322580645144</v>
      </c>
      <c r="Q613">
        <f t="shared" si="990"/>
        <v>-43165.902451612325</v>
      </c>
      <c r="R613">
        <f t="shared" si="991"/>
        <v>16573320.464987837</v>
      </c>
      <c r="S613">
        <f t="shared" si="992"/>
        <v>165.73320464987836</v>
      </c>
      <c r="T613">
        <f t="shared" si="993"/>
        <v>0.16573320464987837</v>
      </c>
    </row>
    <row r="614" spans="1:20" x14ac:dyDescent="0.25">
      <c r="A614" s="5">
        <v>43979</v>
      </c>
      <c r="B614">
        <v>10.02</v>
      </c>
      <c r="C614">
        <v>10.439</v>
      </c>
      <c r="D614">
        <v>9.9079999999999995</v>
      </c>
      <c r="E614">
        <v>10.429</v>
      </c>
      <c r="F614">
        <v>465146.57900000003</v>
      </c>
      <c r="G614">
        <v>0</v>
      </c>
      <c r="P614">
        <f t="shared" si="989"/>
        <v>0.96233521657250554</v>
      </c>
      <c r="Q614">
        <f t="shared" si="990"/>
        <v>447626.9338399251</v>
      </c>
      <c r="R614">
        <f t="shared" si="991"/>
        <v>16616486.367439449</v>
      </c>
      <c r="S614">
        <f t="shared" si="992"/>
        <v>166.1648636743945</v>
      </c>
      <c r="T614">
        <f t="shared" si="993"/>
        <v>0.16616486367439451</v>
      </c>
    </row>
    <row r="615" spans="1:20" x14ac:dyDescent="0.25">
      <c r="A615" s="5">
        <v>43978</v>
      </c>
      <c r="B615">
        <v>9.9339999999999993</v>
      </c>
      <c r="C615">
        <v>10.24</v>
      </c>
      <c r="D615">
        <v>9.8580000000000005</v>
      </c>
      <c r="E615">
        <v>10.009</v>
      </c>
      <c r="F615">
        <v>387313.90500000003</v>
      </c>
      <c r="G615">
        <v>0</v>
      </c>
      <c r="P615">
        <f t="shared" si="989"/>
        <v>-0.20942408376963387</v>
      </c>
      <c r="Q615">
        <f t="shared" si="990"/>
        <v>-81112.859685864023</v>
      </c>
      <c r="R615">
        <f t="shared" si="991"/>
        <v>16168859.433599524</v>
      </c>
      <c r="S615">
        <f t="shared" si="992"/>
        <v>161.68859433599525</v>
      </c>
      <c r="T615">
        <f t="shared" si="993"/>
        <v>0.16168859433599525</v>
      </c>
    </row>
    <row r="616" spans="1:20" x14ac:dyDescent="0.25">
      <c r="A616" s="5">
        <v>43977</v>
      </c>
      <c r="B616">
        <v>9.9120000000000008</v>
      </c>
      <c r="C616">
        <v>10.154999999999999</v>
      </c>
      <c r="D616">
        <v>9.577</v>
      </c>
      <c r="E616">
        <v>9.9350000000000005</v>
      </c>
      <c r="F616">
        <v>565348.15599999996</v>
      </c>
      <c r="G616">
        <v>0</v>
      </c>
      <c r="P616">
        <f t="shared" si="989"/>
        <v>0.23875432525951873</v>
      </c>
      <c r="Q616">
        <f t="shared" si="990"/>
        <v>134979.31752249313</v>
      </c>
      <c r="R616">
        <f t="shared" si="991"/>
        <v>16249972.293285388</v>
      </c>
      <c r="S616">
        <f t="shared" si="992"/>
        <v>162.49972293285387</v>
      </c>
      <c r="T616">
        <f t="shared" si="993"/>
        <v>0.16249972293285386</v>
      </c>
    </row>
    <row r="617" spans="1:20" x14ac:dyDescent="0.25">
      <c r="A617" s="5">
        <v>43976</v>
      </c>
      <c r="B617">
        <v>9.6310000000000002</v>
      </c>
      <c r="C617">
        <v>9.9670000000000005</v>
      </c>
      <c r="D617">
        <v>9.5459999999999994</v>
      </c>
      <c r="E617">
        <v>9.923</v>
      </c>
      <c r="F617">
        <v>372364.98499999999</v>
      </c>
      <c r="G617">
        <v>0</v>
      </c>
      <c r="P617">
        <f t="shared" si="989"/>
        <v>0.79097387173396505</v>
      </c>
      <c r="Q617">
        <f t="shared" si="990"/>
        <v>294530.97388360981</v>
      </c>
      <c r="R617">
        <f t="shared" si="991"/>
        <v>16114992.975762896</v>
      </c>
      <c r="S617">
        <f t="shared" si="992"/>
        <v>161.14992975762897</v>
      </c>
      <c r="T617">
        <f t="shared" si="993"/>
        <v>0.16114992975762896</v>
      </c>
    </row>
    <row r="618" spans="1:20" x14ac:dyDescent="0.25">
      <c r="A618" s="5">
        <v>43975</v>
      </c>
      <c r="B618">
        <v>10.194000000000001</v>
      </c>
      <c r="C618">
        <v>10.321999999999999</v>
      </c>
      <c r="D618">
        <v>9.6129999999999995</v>
      </c>
      <c r="E618">
        <v>9.6310000000000002</v>
      </c>
      <c r="F618">
        <v>508818.391</v>
      </c>
      <c r="G618">
        <v>0</v>
      </c>
      <c r="P618">
        <f t="shared" si="989"/>
        <v>-0.94922425952044942</v>
      </c>
      <c r="Q618">
        <f t="shared" si="990"/>
        <v>-482982.76042736153</v>
      </c>
      <c r="R618">
        <f t="shared" si="991"/>
        <v>15820462.001879286</v>
      </c>
      <c r="S618">
        <f t="shared" si="992"/>
        <v>158.20462001879287</v>
      </c>
      <c r="T618">
        <f t="shared" si="993"/>
        <v>0.15820462001879287</v>
      </c>
    </row>
    <row r="619" spans="1:20" x14ac:dyDescent="0.25">
      <c r="A619" s="5">
        <v>43974</v>
      </c>
      <c r="B619">
        <v>10.38</v>
      </c>
      <c r="C619">
        <v>10.499000000000001</v>
      </c>
      <c r="D619">
        <v>10.103999999999999</v>
      </c>
      <c r="E619">
        <v>10.202999999999999</v>
      </c>
      <c r="F619">
        <v>452774.50300000003</v>
      </c>
      <c r="G619">
        <v>0</v>
      </c>
      <c r="P619">
        <f t="shared" si="989"/>
        <v>-0.49873417721519059</v>
      </c>
      <c r="Q619">
        <f t="shared" si="990"/>
        <v>-225814.11921772186</v>
      </c>
      <c r="R619">
        <f t="shared" si="991"/>
        <v>16303444.762306647</v>
      </c>
      <c r="S619">
        <f t="shared" si="992"/>
        <v>163.03444762306648</v>
      </c>
      <c r="T619">
        <f t="shared" si="993"/>
        <v>0.16303444762306649</v>
      </c>
    </row>
    <row r="620" spans="1:20" x14ac:dyDescent="0.25">
      <c r="A620" s="5">
        <v>43973</v>
      </c>
      <c r="B620">
        <v>9.5380000000000003</v>
      </c>
      <c r="C620">
        <v>10.644</v>
      </c>
      <c r="D620">
        <v>9.3819999999999997</v>
      </c>
      <c r="E620">
        <v>10.388</v>
      </c>
      <c r="F620">
        <v>956846.13600000006</v>
      </c>
      <c r="G620">
        <v>0</v>
      </c>
      <c r="P620">
        <f t="shared" si="989"/>
        <v>0.59429477020602195</v>
      </c>
      <c r="Q620">
        <f t="shared" si="990"/>
        <v>568648.65451664</v>
      </c>
      <c r="R620">
        <f t="shared" si="991"/>
        <v>16529258.881524369</v>
      </c>
      <c r="S620">
        <f t="shared" si="992"/>
        <v>165.2925888152437</v>
      </c>
      <c r="T620">
        <f t="shared" si="993"/>
        <v>0.1652925888152437</v>
      </c>
    </row>
    <row r="621" spans="1:20" x14ac:dyDescent="0.25">
      <c r="A621" s="5">
        <v>43972</v>
      </c>
      <c r="B621">
        <v>10.135</v>
      </c>
      <c r="C621">
        <v>10.202999999999999</v>
      </c>
      <c r="D621">
        <v>9.2010000000000005</v>
      </c>
      <c r="E621">
        <v>9.5370000000000008</v>
      </c>
      <c r="F621">
        <v>433911.10600000003</v>
      </c>
      <c r="G621">
        <v>0</v>
      </c>
      <c r="P621">
        <f t="shared" si="989"/>
        <v>-0.32934131736526812</v>
      </c>
      <c r="Q621">
        <f t="shared" si="990"/>
        <v>-142904.8552694605</v>
      </c>
      <c r="R621">
        <f t="shared" si="991"/>
        <v>15960610.22700773</v>
      </c>
      <c r="S621">
        <f t="shared" si="992"/>
        <v>159.60610227007729</v>
      </c>
      <c r="T621">
        <f t="shared" si="993"/>
        <v>0.15960610227007729</v>
      </c>
    </row>
    <row r="622" spans="1:20" x14ac:dyDescent="0.25">
      <c r="A622" s="5">
        <v>43971</v>
      </c>
      <c r="B622">
        <v>10.314</v>
      </c>
      <c r="C622">
        <v>10.413</v>
      </c>
      <c r="D622">
        <v>9.9510000000000005</v>
      </c>
      <c r="E622">
        <v>10.14</v>
      </c>
      <c r="F622">
        <v>327109.43699999998</v>
      </c>
      <c r="G622">
        <v>0</v>
      </c>
      <c r="P622">
        <f t="shared" si="989"/>
        <v>-0.18181818181818113</v>
      </c>
      <c r="Q622">
        <f t="shared" si="990"/>
        <v>-59474.443090908862</v>
      </c>
      <c r="R622">
        <f t="shared" si="991"/>
        <v>16103515.08227719</v>
      </c>
      <c r="S622">
        <f t="shared" si="992"/>
        <v>161.0351508227719</v>
      </c>
      <c r="T622">
        <f t="shared" si="993"/>
        <v>0.16103515082277189</v>
      </c>
    </row>
    <row r="623" spans="1:20" x14ac:dyDescent="0.25">
      <c r="A623" s="5">
        <v>43970</v>
      </c>
      <c r="B623">
        <v>10.246</v>
      </c>
      <c r="C623">
        <v>10.333</v>
      </c>
      <c r="D623">
        <v>9.94</v>
      </c>
      <c r="E623">
        <v>10.327999999999999</v>
      </c>
      <c r="F623">
        <v>374564.91899999999</v>
      </c>
      <c r="G623">
        <v>0</v>
      </c>
      <c r="P623">
        <f t="shared" si="989"/>
        <v>0.97455470737913097</v>
      </c>
      <c r="Q623">
        <f t="shared" si="990"/>
        <v>365034.00503053289</v>
      </c>
      <c r="R623">
        <f t="shared" si="991"/>
        <v>16162989.525368098</v>
      </c>
      <c r="S623">
        <f t="shared" si="992"/>
        <v>161.62989525368098</v>
      </c>
      <c r="T623">
        <f t="shared" si="993"/>
        <v>0.16162989525368099</v>
      </c>
    </row>
    <row r="624" spans="1:20" x14ac:dyDescent="0.25">
      <c r="A624" s="5">
        <v>43969</v>
      </c>
      <c r="B624">
        <v>10.148999999999999</v>
      </c>
      <c r="C624">
        <v>10.54</v>
      </c>
      <c r="D624">
        <v>10.148999999999999</v>
      </c>
      <c r="E624">
        <v>10.244999999999999</v>
      </c>
      <c r="F624">
        <v>515636.61200000002</v>
      </c>
      <c r="G624">
        <v>0</v>
      </c>
      <c r="P624">
        <f t="shared" si="989"/>
        <v>-0.50895140664961591</v>
      </c>
      <c r="Q624">
        <f t="shared" si="990"/>
        <v>-262433.97899744223</v>
      </c>
      <c r="R624">
        <f t="shared" si="991"/>
        <v>15797955.520337565</v>
      </c>
      <c r="S624">
        <f t="shared" si="992"/>
        <v>157.97955520337564</v>
      </c>
      <c r="T624">
        <f t="shared" si="993"/>
        <v>0.15797955520337564</v>
      </c>
    </row>
    <row r="625" spans="1:20" x14ac:dyDescent="0.25">
      <c r="A625" s="5">
        <v>43968</v>
      </c>
      <c r="B625">
        <v>10.005000000000001</v>
      </c>
      <c r="C625">
        <v>10.433</v>
      </c>
      <c r="D625">
        <v>9.9670000000000005</v>
      </c>
      <c r="E625">
        <v>10.156000000000001</v>
      </c>
      <c r="F625">
        <v>458253.97700000001</v>
      </c>
      <c r="G625">
        <v>0</v>
      </c>
      <c r="P625">
        <f t="shared" si="989"/>
        <v>-0.18884120171673674</v>
      </c>
      <c r="Q625">
        <f t="shared" si="990"/>
        <v>-86537.231708153835</v>
      </c>
      <c r="R625">
        <f t="shared" si="991"/>
        <v>16060389.499335008</v>
      </c>
      <c r="S625">
        <f t="shared" si="992"/>
        <v>160.60389499335008</v>
      </c>
      <c r="T625">
        <f t="shared" si="993"/>
        <v>0.16060389499335009</v>
      </c>
    </row>
    <row r="626" spans="1:20" x14ac:dyDescent="0.25">
      <c r="A626" s="5">
        <v>43967</v>
      </c>
      <c r="B626">
        <v>10.026</v>
      </c>
      <c r="C626">
        <v>10.173</v>
      </c>
      <c r="D626">
        <v>9.875</v>
      </c>
      <c r="E626">
        <v>10.007999999999999</v>
      </c>
      <c r="F626">
        <v>314474.53100000002</v>
      </c>
      <c r="G626">
        <v>0</v>
      </c>
      <c r="P626">
        <f t="shared" si="989"/>
        <v>-0.1073825503355765</v>
      </c>
      <c r="Q626">
        <f t="shared" si="990"/>
        <v>-33769.077154364313</v>
      </c>
      <c r="R626">
        <f t="shared" si="991"/>
        <v>16146926.731043162</v>
      </c>
      <c r="S626">
        <f t="shared" si="992"/>
        <v>161.4692673104316</v>
      </c>
      <c r="T626">
        <f t="shared" si="993"/>
        <v>0.1614692673104316</v>
      </c>
    </row>
    <row r="627" spans="1:20" x14ac:dyDescent="0.25">
      <c r="A627" s="5">
        <v>43966</v>
      </c>
      <c r="B627">
        <v>10.19</v>
      </c>
      <c r="C627">
        <v>10.254</v>
      </c>
      <c r="D627">
        <v>9.8000000000000007</v>
      </c>
      <c r="E627">
        <v>10.032999999999999</v>
      </c>
      <c r="F627">
        <v>391920.19199999998</v>
      </c>
      <c r="G627">
        <v>0</v>
      </c>
      <c r="P627">
        <f t="shared" si="989"/>
        <v>2.6431718061671165E-2</v>
      </c>
      <c r="Q627">
        <f t="shared" si="990"/>
        <v>10359.12401762003</v>
      </c>
      <c r="R627">
        <f t="shared" si="991"/>
        <v>16180695.808197526</v>
      </c>
      <c r="S627">
        <f t="shared" si="992"/>
        <v>161.80695808197527</v>
      </c>
      <c r="T627">
        <f t="shared" si="993"/>
        <v>0.16180695808197526</v>
      </c>
    </row>
    <row r="628" spans="1:20" x14ac:dyDescent="0.25">
      <c r="A628" s="5">
        <v>43965</v>
      </c>
      <c r="B628">
        <v>10.285</v>
      </c>
      <c r="C628">
        <v>10.561999999999999</v>
      </c>
      <c r="D628">
        <v>9.91</v>
      </c>
      <c r="E628">
        <v>10.186</v>
      </c>
      <c r="F628">
        <v>623168.73899999994</v>
      </c>
      <c r="G628">
        <v>0</v>
      </c>
      <c r="P628">
        <f t="shared" si="989"/>
        <v>-0.153374233128834</v>
      </c>
      <c r="Q628">
        <f t="shared" si="990"/>
        <v>-95578.027453987495</v>
      </c>
      <c r="R628">
        <f t="shared" si="991"/>
        <v>16170336.684179906</v>
      </c>
      <c r="S628">
        <f t="shared" si="992"/>
        <v>161.70336684179907</v>
      </c>
      <c r="T628">
        <f t="shared" si="993"/>
        <v>0.16170336684179906</v>
      </c>
    </row>
    <row r="629" spans="1:20" x14ac:dyDescent="0.25">
      <c r="A629" s="5">
        <v>43964</v>
      </c>
      <c r="B629">
        <v>10.000999999999999</v>
      </c>
      <c r="C629">
        <v>10.477</v>
      </c>
      <c r="D629">
        <v>9.8119999999999994</v>
      </c>
      <c r="E629">
        <v>10.285</v>
      </c>
      <c r="F629">
        <v>543025.43799999997</v>
      </c>
      <c r="G629">
        <v>0</v>
      </c>
      <c r="P629">
        <f t="shared" si="989"/>
        <v>0.42255639097744391</v>
      </c>
      <c r="Q629">
        <f t="shared" si="990"/>
        <v>229458.8692902257</v>
      </c>
      <c r="R629">
        <f t="shared" si="991"/>
        <v>16265914.711633893</v>
      </c>
      <c r="S629">
        <f t="shared" si="992"/>
        <v>162.65914711633891</v>
      </c>
      <c r="T629">
        <f t="shared" si="993"/>
        <v>0.16265914711633891</v>
      </c>
    </row>
    <row r="630" spans="1:20" x14ac:dyDescent="0.25">
      <c r="A630" s="5">
        <v>43963</v>
      </c>
      <c r="B630">
        <v>9.6020000000000003</v>
      </c>
      <c r="C630">
        <v>10.199</v>
      </c>
      <c r="D630">
        <v>9.5670000000000002</v>
      </c>
      <c r="E630">
        <v>10.000999999999999</v>
      </c>
      <c r="F630">
        <v>566131.99899999995</v>
      </c>
      <c r="G630">
        <v>0</v>
      </c>
      <c r="P630">
        <f t="shared" si="989"/>
        <v>0.37341772151898578</v>
      </c>
      <c r="Q630">
        <f t="shared" si="990"/>
        <v>211403.72114556871</v>
      </c>
      <c r="R630">
        <f t="shared" si="991"/>
        <v>16036455.842343668</v>
      </c>
      <c r="S630">
        <f t="shared" si="992"/>
        <v>160.36455842343668</v>
      </c>
      <c r="T630">
        <f t="shared" si="993"/>
        <v>0.16036455842343667</v>
      </c>
    </row>
    <row r="631" spans="1:20" x14ac:dyDescent="0.25">
      <c r="A631" s="5">
        <v>43962</v>
      </c>
      <c r="B631">
        <v>9.7080000000000002</v>
      </c>
      <c r="C631">
        <v>10.215999999999999</v>
      </c>
      <c r="D631">
        <v>9.2560000000000002</v>
      </c>
      <c r="E631">
        <v>9.6289999999999996</v>
      </c>
      <c r="F631">
        <v>955644.81400000001</v>
      </c>
      <c r="G631">
        <v>0</v>
      </c>
      <c r="P631">
        <f t="shared" si="989"/>
        <v>-0.22291666666666732</v>
      </c>
      <c r="Q631">
        <f t="shared" si="990"/>
        <v>-213029.1564541673</v>
      </c>
      <c r="R631">
        <f t="shared" si="991"/>
        <v>15825052.121198099</v>
      </c>
      <c r="S631">
        <f t="shared" si="992"/>
        <v>158.25052121198098</v>
      </c>
      <c r="T631">
        <f t="shared" si="993"/>
        <v>0.15825052121198099</v>
      </c>
    </row>
    <row r="632" spans="1:20" x14ac:dyDescent="0.25">
      <c r="A632" s="5">
        <v>43961</v>
      </c>
      <c r="B632">
        <v>10.984</v>
      </c>
      <c r="C632">
        <v>11.06</v>
      </c>
      <c r="D632">
        <v>9.3620000000000001</v>
      </c>
      <c r="E632">
        <v>9.7249999999999996</v>
      </c>
      <c r="F632">
        <v>1800078.22</v>
      </c>
      <c r="G632">
        <v>0</v>
      </c>
      <c r="P632">
        <f t="shared" si="989"/>
        <v>-0.57243816254417024</v>
      </c>
      <c r="Q632">
        <f t="shared" si="990"/>
        <v>-1030433.4686925806</v>
      </c>
      <c r="R632">
        <f t="shared" si="991"/>
        <v>16038081.277652266</v>
      </c>
      <c r="S632">
        <f t="shared" si="992"/>
        <v>160.38081277652265</v>
      </c>
      <c r="T632">
        <f t="shared" si="993"/>
        <v>0.16038081277652264</v>
      </c>
    </row>
    <row r="633" spans="1:20" x14ac:dyDescent="0.25">
      <c r="A633" s="5">
        <v>43960</v>
      </c>
      <c r="B633">
        <v>11.294</v>
      </c>
      <c r="C633">
        <v>11.65</v>
      </c>
      <c r="D633">
        <v>10.72</v>
      </c>
      <c r="E633">
        <v>10.994</v>
      </c>
      <c r="F633">
        <v>1513657.85</v>
      </c>
      <c r="G633">
        <v>0</v>
      </c>
      <c r="P633">
        <f t="shared" si="989"/>
        <v>-0.41075268817204469</v>
      </c>
      <c r="Q633">
        <f t="shared" si="990"/>
        <v>-621739.03086021764</v>
      </c>
      <c r="R633">
        <f t="shared" si="991"/>
        <v>17068514.746344846</v>
      </c>
      <c r="S633">
        <f t="shared" si="992"/>
        <v>170.68514746344846</v>
      </c>
      <c r="T633">
        <f t="shared" si="993"/>
        <v>0.17068514746344846</v>
      </c>
    </row>
    <row r="634" spans="1:20" x14ac:dyDescent="0.25">
      <c r="A634" s="5">
        <v>43959</v>
      </c>
      <c r="B634">
        <v>9.891</v>
      </c>
      <c r="C634">
        <v>11.827999999999999</v>
      </c>
      <c r="D634">
        <v>9.7850000000000001</v>
      </c>
      <c r="E634">
        <v>11.301</v>
      </c>
      <c r="F634">
        <v>1453862.3149999999</v>
      </c>
      <c r="G634">
        <v>0</v>
      </c>
      <c r="P634">
        <f t="shared" si="989"/>
        <v>0.48409202153695602</v>
      </c>
      <c r="Q634">
        <f t="shared" si="990"/>
        <v>703803.14710474876</v>
      </c>
      <c r="R634">
        <f t="shared" si="991"/>
        <v>17690253.777205065</v>
      </c>
      <c r="S634">
        <f t="shared" si="992"/>
        <v>176.90253777205064</v>
      </c>
      <c r="T634">
        <f t="shared" si="993"/>
        <v>0.17690253777205064</v>
      </c>
    </row>
    <row r="635" spans="1:20" x14ac:dyDescent="0.25">
      <c r="A635" s="5">
        <v>43958</v>
      </c>
      <c r="B635">
        <v>9.15</v>
      </c>
      <c r="C635">
        <v>9.94</v>
      </c>
      <c r="D635">
        <v>9.0009999999999994</v>
      </c>
      <c r="E635">
        <v>9.891</v>
      </c>
      <c r="F635">
        <v>920851.299</v>
      </c>
      <c r="G635">
        <v>0</v>
      </c>
      <c r="P635">
        <f t="shared" si="989"/>
        <v>0.89563365282215235</v>
      </c>
      <c r="Q635">
        <f t="shared" si="990"/>
        <v>824745.41262939398</v>
      </c>
      <c r="R635">
        <f t="shared" si="991"/>
        <v>16986450.630100317</v>
      </c>
      <c r="S635">
        <f t="shared" si="992"/>
        <v>169.86450630100316</v>
      </c>
      <c r="T635">
        <f t="shared" si="993"/>
        <v>0.16986450630100317</v>
      </c>
    </row>
    <row r="636" spans="1:20" x14ac:dyDescent="0.25">
      <c r="A636" s="5">
        <v>43957</v>
      </c>
      <c r="B636">
        <v>9.1110000000000007</v>
      </c>
      <c r="C636">
        <v>9.4879999999999995</v>
      </c>
      <c r="D636">
        <v>8.99</v>
      </c>
      <c r="E636">
        <v>9.1479999999999997</v>
      </c>
      <c r="F636">
        <v>637971.44700000004</v>
      </c>
      <c r="G636">
        <v>0</v>
      </c>
      <c r="P636">
        <f t="shared" si="989"/>
        <v>-0.3654618473895595</v>
      </c>
      <c r="Q636">
        <f t="shared" si="990"/>
        <v>-233154.22360241046</v>
      </c>
      <c r="R636">
        <f t="shared" si="991"/>
        <v>16161705.217470923</v>
      </c>
      <c r="S636">
        <f t="shared" si="992"/>
        <v>161.61705217470924</v>
      </c>
      <c r="T636">
        <f t="shared" si="993"/>
        <v>0.16161705217470923</v>
      </c>
    </row>
    <row r="637" spans="1:20" x14ac:dyDescent="0.25">
      <c r="A637" s="5">
        <v>43956</v>
      </c>
      <c r="B637">
        <v>9</v>
      </c>
      <c r="C637">
        <v>9.1850000000000005</v>
      </c>
      <c r="D637">
        <v>8.8450000000000006</v>
      </c>
      <c r="E637">
        <v>9.1010000000000009</v>
      </c>
      <c r="F637">
        <v>307640.71600000001</v>
      </c>
      <c r="G637">
        <v>0</v>
      </c>
      <c r="P637">
        <f t="shared" si="989"/>
        <v>0.50588235294117845</v>
      </c>
      <c r="Q637">
        <f t="shared" si="990"/>
        <v>155630.00927058884</v>
      </c>
      <c r="R637">
        <f t="shared" si="991"/>
        <v>16394859.441073334</v>
      </c>
      <c r="S637">
        <f t="shared" si="992"/>
        <v>163.94859441073334</v>
      </c>
      <c r="T637">
        <f t="shared" si="993"/>
        <v>0.16394859441073334</v>
      </c>
    </row>
    <row r="638" spans="1:20" x14ac:dyDescent="0.25">
      <c r="A638" s="5">
        <v>43955</v>
      </c>
      <c r="B638">
        <v>9.0779999999999994</v>
      </c>
      <c r="C638">
        <v>9.1340000000000003</v>
      </c>
      <c r="D638">
        <v>8.61</v>
      </c>
      <c r="E638">
        <v>9.0050000000000008</v>
      </c>
      <c r="F638">
        <v>446498.17499999999</v>
      </c>
      <c r="G638">
        <v>0</v>
      </c>
      <c r="P638">
        <f t="shared" si="989"/>
        <v>0.50763358778626211</v>
      </c>
      <c r="Q638">
        <f t="shared" si="990"/>
        <v>226657.4705152683</v>
      </c>
      <c r="R638">
        <f t="shared" si="991"/>
        <v>16239229.431802746</v>
      </c>
      <c r="S638">
        <f t="shared" si="992"/>
        <v>162.39229431802747</v>
      </c>
      <c r="T638">
        <f t="shared" si="993"/>
        <v>0.16239229431802746</v>
      </c>
    </row>
    <row r="639" spans="1:20" x14ac:dyDescent="0.25">
      <c r="A639" s="5">
        <v>43954</v>
      </c>
      <c r="B639">
        <v>9.2330000000000005</v>
      </c>
      <c r="C639">
        <v>9.3190000000000008</v>
      </c>
      <c r="D639">
        <v>8.6969999999999992</v>
      </c>
      <c r="E639">
        <v>9.0690000000000008</v>
      </c>
      <c r="F639">
        <v>457269.97100000002</v>
      </c>
      <c r="G639">
        <v>0</v>
      </c>
      <c r="P639">
        <f t="shared" si="989"/>
        <v>0.1961414790996806</v>
      </c>
      <c r="Q639">
        <f t="shared" si="990"/>
        <v>89689.608459808063</v>
      </c>
      <c r="R639">
        <f t="shared" si="991"/>
        <v>16012571.961287478</v>
      </c>
      <c r="S639">
        <f t="shared" si="992"/>
        <v>160.12571961287478</v>
      </c>
      <c r="T639">
        <f t="shared" si="993"/>
        <v>0.16012571961287478</v>
      </c>
    </row>
    <row r="640" spans="1:20" x14ac:dyDescent="0.25">
      <c r="A640" s="5">
        <v>43953</v>
      </c>
      <c r="B640">
        <v>9.01</v>
      </c>
      <c r="C640">
        <v>9.2650000000000006</v>
      </c>
      <c r="D640">
        <v>8.9280000000000008</v>
      </c>
      <c r="E640">
        <v>9.2249999999999996</v>
      </c>
      <c r="F640">
        <v>300686.565</v>
      </c>
      <c r="G640">
        <v>0</v>
      </c>
      <c r="P640">
        <f t="shared" si="989"/>
        <v>0.76261127596438605</v>
      </c>
      <c r="Q640">
        <f t="shared" si="990"/>
        <v>229306.96499999831</v>
      </c>
      <c r="R640">
        <f t="shared" si="991"/>
        <v>15922882.35282767</v>
      </c>
      <c r="S640">
        <f t="shared" si="992"/>
        <v>159.22882352827671</v>
      </c>
      <c r="T640">
        <f t="shared" si="993"/>
        <v>0.15922882352827672</v>
      </c>
    </row>
    <row r="641" spans="1:20" x14ac:dyDescent="0.25">
      <c r="A641" s="5">
        <v>43952</v>
      </c>
      <c r="B641">
        <v>8.8960000000000008</v>
      </c>
      <c r="C641">
        <v>9.3979999999999997</v>
      </c>
      <c r="D641">
        <v>8.8829999999999991</v>
      </c>
      <c r="E641">
        <v>9.0109999999999992</v>
      </c>
      <c r="F641">
        <v>486684.58399999997</v>
      </c>
      <c r="G641">
        <v>0</v>
      </c>
      <c r="P641">
        <f t="shared" si="989"/>
        <v>-0.50291262135922343</v>
      </c>
      <c r="Q641">
        <f t="shared" si="990"/>
        <v>-244759.81991456315</v>
      </c>
      <c r="R641">
        <f t="shared" si="991"/>
        <v>15693575.387827672</v>
      </c>
      <c r="S641">
        <f t="shared" si="992"/>
        <v>156.93575387827673</v>
      </c>
      <c r="T641">
        <f t="shared" si="993"/>
        <v>0.15693575387827674</v>
      </c>
    </row>
    <row r="642" spans="1:20" x14ac:dyDescent="0.25">
      <c r="A642" s="5">
        <v>43951</v>
      </c>
      <c r="B642">
        <v>9.2040000000000006</v>
      </c>
      <c r="C642">
        <v>9.641</v>
      </c>
      <c r="D642">
        <v>8.6170000000000009</v>
      </c>
      <c r="E642">
        <v>8.8970000000000002</v>
      </c>
      <c r="F642">
        <v>919550.85800000001</v>
      </c>
      <c r="G642">
        <v>0</v>
      </c>
      <c r="P642">
        <f t="shared" si="989"/>
        <v>-0.45312500000000078</v>
      </c>
      <c r="Q642">
        <f t="shared" si="990"/>
        <v>-416671.48253125075</v>
      </c>
      <c r="R642">
        <f t="shared" si="991"/>
        <v>15938335.207742235</v>
      </c>
      <c r="S642">
        <f t="shared" si="992"/>
        <v>159.38335207742236</v>
      </c>
      <c r="T642">
        <f t="shared" si="993"/>
        <v>0.15938335207742235</v>
      </c>
    </row>
    <row r="643" spans="1:20" x14ac:dyDescent="0.25">
      <c r="A643" s="5">
        <v>43950</v>
      </c>
      <c r="B643">
        <v>8.4589999999999996</v>
      </c>
      <c r="C643">
        <v>9.3800000000000008</v>
      </c>
      <c r="D643">
        <v>8.4589999999999996</v>
      </c>
      <c r="E643">
        <v>9.2070000000000007</v>
      </c>
      <c r="F643">
        <v>928595.897</v>
      </c>
      <c r="G643">
        <v>0</v>
      </c>
      <c r="P643">
        <f t="shared" si="989"/>
        <v>0.62432138979370289</v>
      </c>
      <c r="Q643">
        <f t="shared" si="990"/>
        <v>579742.28097177017</v>
      </c>
      <c r="R643">
        <f t="shared" si="991"/>
        <v>16355006.690273486</v>
      </c>
      <c r="S643">
        <f t="shared" si="992"/>
        <v>163.55006690273487</v>
      </c>
      <c r="T643">
        <f t="shared" si="993"/>
        <v>0.16355006690273488</v>
      </c>
    </row>
    <row r="644" spans="1:20" x14ac:dyDescent="0.25">
      <c r="A644" s="5">
        <v>43949</v>
      </c>
      <c r="B644">
        <v>8.4269999999999996</v>
      </c>
      <c r="C644">
        <v>8.6</v>
      </c>
      <c r="D644">
        <v>8.2520000000000007</v>
      </c>
      <c r="E644">
        <v>8.4570000000000007</v>
      </c>
      <c r="F644">
        <v>320153.24699999997</v>
      </c>
      <c r="G644">
        <v>0</v>
      </c>
      <c r="P644">
        <f t="shared" si="989"/>
        <v>0.17816091954023375</v>
      </c>
      <c r="Q644">
        <f t="shared" si="990"/>
        <v>57038.79687931158</v>
      </c>
      <c r="R644">
        <f t="shared" si="991"/>
        <v>15775264.409301717</v>
      </c>
      <c r="S644">
        <f t="shared" si="992"/>
        <v>157.75264409301718</v>
      </c>
      <c r="T644">
        <f t="shared" si="993"/>
        <v>0.15775264409301717</v>
      </c>
    </row>
    <row r="645" spans="1:20" x14ac:dyDescent="0.25">
      <c r="A645" s="5">
        <v>43948</v>
      </c>
      <c r="B645">
        <v>8.6310000000000002</v>
      </c>
      <c r="C645">
        <v>8.6760000000000002</v>
      </c>
      <c r="D645">
        <v>8.1449999999999996</v>
      </c>
      <c r="E645">
        <v>8.4260000000000002</v>
      </c>
      <c r="F645">
        <v>380481.38</v>
      </c>
      <c r="G645">
        <v>0</v>
      </c>
      <c r="P645">
        <f t="shared" si="989"/>
        <v>5.8380414312618735E-2</v>
      </c>
      <c r="Q645">
        <f t="shared" si="990"/>
        <v>22212.660602636926</v>
      </c>
      <c r="R645">
        <f t="shared" si="991"/>
        <v>15718225.612422405</v>
      </c>
      <c r="S645">
        <f t="shared" si="992"/>
        <v>157.18225612422404</v>
      </c>
      <c r="T645">
        <f t="shared" si="993"/>
        <v>0.15718225612422404</v>
      </c>
    </row>
    <row r="646" spans="1:20" x14ac:dyDescent="0.25">
      <c r="A646" s="5">
        <v>43947</v>
      </c>
      <c r="B646">
        <v>8.4309999999999992</v>
      </c>
      <c r="C646">
        <v>8.6869999999999994</v>
      </c>
      <c r="D646">
        <v>8.2949999999999999</v>
      </c>
      <c r="E646">
        <v>8.6310000000000002</v>
      </c>
      <c r="F646">
        <v>509487.02</v>
      </c>
      <c r="G646">
        <v>0</v>
      </c>
      <c r="P646">
        <f t="shared" ref="P646:P709" si="994">IF(C646=D646,0,((E646-D646)-(C646-E646))/(C646-D646))</f>
        <v>0.71428571428571819</v>
      </c>
      <c r="Q646">
        <f t="shared" ref="Q646:Q709" si="995">F646*P646</f>
        <v>363919.30000000203</v>
      </c>
      <c r="R646">
        <f t="shared" ref="R646:R709" si="996">R647+Q646</f>
        <v>15696012.951819768</v>
      </c>
      <c r="S646">
        <f t="shared" ref="S646:S709" si="997">R646/100000</f>
        <v>156.96012951819768</v>
      </c>
      <c r="T646">
        <f t="shared" ref="T646:T709" si="998">S646/1000</f>
        <v>0.15696012951819768</v>
      </c>
    </row>
    <row r="647" spans="1:20" x14ac:dyDescent="0.25">
      <c r="A647" s="5">
        <v>43946</v>
      </c>
      <c r="B647">
        <v>8.0739999999999998</v>
      </c>
      <c r="C647">
        <v>8.6150000000000002</v>
      </c>
      <c r="D647">
        <v>7.9139999999999997</v>
      </c>
      <c r="E647">
        <v>8.4280000000000008</v>
      </c>
      <c r="F647">
        <v>724063.73899999994</v>
      </c>
      <c r="G647">
        <v>0</v>
      </c>
      <c r="P647">
        <f t="shared" si="994"/>
        <v>0.46647646219686378</v>
      </c>
      <c r="Q647">
        <f t="shared" si="995"/>
        <v>337758.6913737533</v>
      </c>
      <c r="R647">
        <f t="shared" si="996"/>
        <v>15332093.651819766</v>
      </c>
      <c r="S647">
        <f t="shared" si="997"/>
        <v>153.32093651819767</v>
      </c>
      <c r="T647">
        <f t="shared" si="998"/>
        <v>0.15332093651819767</v>
      </c>
    </row>
    <row r="648" spans="1:20" x14ac:dyDescent="0.25">
      <c r="A648" s="5">
        <v>43945</v>
      </c>
      <c r="B648">
        <v>7.8470000000000004</v>
      </c>
      <c r="C648">
        <v>8.298</v>
      </c>
      <c r="D648">
        <v>7.827</v>
      </c>
      <c r="E648">
        <v>8.07</v>
      </c>
      <c r="F648">
        <v>692939.47600000002</v>
      </c>
      <c r="G648">
        <v>0</v>
      </c>
      <c r="P648">
        <f t="shared" si="994"/>
        <v>3.1847133757962984E-2</v>
      </c>
      <c r="Q648">
        <f t="shared" si="995"/>
        <v>22068.136178344783</v>
      </c>
      <c r="R648">
        <f t="shared" si="996"/>
        <v>14994334.960446013</v>
      </c>
      <c r="S648">
        <f t="shared" si="997"/>
        <v>149.94334960446014</v>
      </c>
      <c r="T648">
        <f t="shared" si="998"/>
        <v>0.14994334960446015</v>
      </c>
    </row>
    <row r="649" spans="1:20" x14ac:dyDescent="0.25">
      <c r="A649" s="5">
        <v>43944</v>
      </c>
      <c r="B649">
        <v>7.5359999999999996</v>
      </c>
      <c r="C649">
        <v>8.02</v>
      </c>
      <c r="D649">
        <v>7.4039999999999999</v>
      </c>
      <c r="E649">
        <v>7.8540000000000001</v>
      </c>
      <c r="F649">
        <v>674723.31400000001</v>
      </c>
      <c r="G649">
        <v>0</v>
      </c>
      <c r="P649">
        <f t="shared" si="994"/>
        <v>0.46103896103896241</v>
      </c>
      <c r="Q649">
        <f t="shared" si="995"/>
        <v>311073.73567532562</v>
      </c>
      <c r="R649">
        <f t="shared" si="996"/>
        <v>14972266.824267669</v>
      </c>
      <c r="S649">
        <f t="shared" si="997"/>
        <v>149.72266824267669</v>
      </c>
      <c r="T649">
        <f t="shared" si="998"/>
        <v>0.14972266824267669</v>
      </c>
    </row>
    <row r="650" spans="1:20" x14ac:dyDescent="0.25">
      <c r="A650" s="5">
        <v>43943</v>
      </c>
      <c r="B650">
        <v>7.2270000000000003</v>
      </c>
      <c r="C650">
        <v>7.6310000000000002</v>
      </c>
      <c r="D650">
        <v>7.2009999999999996</v>
      </c>
      <c r="E650">
        <v>7.5339999999999998</v>
      </c>
      <c r="F650">
        <v>420138.45799999998</v>
      </c>
      <c r="G650">
        <v>0</v>
      </c>
      <c r="P650">
        <f t="shared" si="994"/>
        <v>0.54883720930232427</v>
      </c>
      <c r="Q650">
        <f t="shared" si="995"/>
        <v>230587.61880930176</v>
      </c>
      <c r="R650">
        <f t="shared" si="996"/>
        <v>14661193.088592343</v>
      </c>
      <c r="S650">
        <f t="shared" si="997"/>
        <v>146.61193088592344</v>
      </c>
      <c r="T650">
        <f t="shared" si="998"/>
        <v>0.14661193088592345</v>
      </c>
    </row>
    <row r="651" spans="1:20" x14ac:dyDescent="0.25">
      <c r="A651" s="5">
        <v>43942</v>
      </c>
      <c r="B651">
        <v>7.2069999999999999</v>
      </c>
      <c r="C651">
        <v>7.35</v>
      </c>
      <c r="D651">
        <v>7.1360000000000001</v>
      </c>
      <c r="E651">
        <v>7.2270000000000003</v>
      </c>
      <c r="F651">
        <v>258030.00700000001</v>
      </c>
      <c r="G651">
        <v>0</v>
      </c>
      <c r="P651">
        <f t="shared" si="994"/>
        <v>-0.14953271028037016</v>
      </c>
      <c r="Q651">
        <f t="shared" si="995"/>
        <v>-38583.926280372885</v>
      </c>
      <c r="R651">
        <f t="shared" si="996"/>
        <v>14430605.469783042</v>
      </c>
      <c r="S651">
        <f t="shared" si="997"/>
        <v>144.3060546978304</v>
      </c>
      <c r="T651">
        <f t="shared" si="998"/>
        <v>0.14430605469783039</v>
      </c>
    </row>
    <row r="652" spans="1:20" x14ac:dyDescent="0.25">
      <c r="A652" s="5">
        <v>43941</v>
      </c>
      <c r="B652">
        <v>7.6079999999999997</v>
      </c>
      <c r="C652">
        <v>7.8170000000000002</v>
      </c>
      <c r="D652">
        <v>7.1180000000000003</v>
      </c>
      <c r="E652">
        <v>7.2050000000000001</v>
      </c>
      <c r="F652">
        <v>586309.21499999997</v>
      </c>
      <c r="G652">
        <v>0</v>
      </c>
      <c r="P652">
        <f t="shared" si="994"/>
        <v>-0.75107296137339119</v>
      </c>
      <c r="Q652">
        <f t="shared" si="995"/>
        <v>-440360.99839055829</v>
      </c>
      <c r="R652">
        <f t="shared" si="996"/>
        <v>14469189.396063415</v>
      </c>
      <c r="S652">
        <f t="shared" si="997"/>
        <v>144.69189396063416</v>
      </c>
      <c r="T652">
        <f t="shared" si="998"/>
        <v>0.14469189396063417</v>
      </c>
    </row>
    <row r="653" spans="1:20" x14ac:dyDescent="0.25">
      <c r="A653" s="5">
        <v>43940</v>
      </c>
      <c r="B653">
        <v>7.8789999999999996</v>
      </c>
      <c r="C653">
        <v>7.91</v>
      </c>
      <c r="D653">
        <v>7.45</v>
      </c>
      <c r="E653">
        <v>7.6139999999999999</v>
      </c>
      <c r="F653">
        <v>449485.13400000002</v>
      </c>
      <c r="G653">
        <v>0</v>
      </c>
      <c r="P653">
        <f t="shared" si="994"/>
        <v>-0.28695652173913166</v>
      </c>
      <c r="Q653">
        <f t="shared" si="995"/>
        <v>-128982.69062608751</v>
      </c>
      <c r="R653">
        <f t="shared" si="996"/>
        <v>14909550.394453974</v>
      </c>
      <c r="S653">
        <f t="shared" si="997"/>
        <v>149.09550394453976</v>
      </c>
      <c r="T653">
        <f t="shared" si="998"/>
        <v>0.14909550394453977</v>
      </c>
    </row>
    <row r="654" spans="1:20" x14ac:dyDescent="0.25">
      <c r="A654" s="5">
        <v>43939</v>
      </c>
      <c r="B654">
        <v>7.4589999999999996</v>
      </c>
      <c r="C654">
        <v>7.9390000000000001</v>
      </c>
      <c r="D654">
        <v>7.4560000000000004</v>
      </c>
      <c r="E654">
        <v>7.8769999999999998</v>
      </c>
      <c r="F654">
        <v>383653.22</v>
      </c>
      <c r="G654">
        <v>0</v>
      </c>
      <c r="P654">
        <f t="shared" si="994"/>
        <v>0.7432712215320898</v>
      </c>
      <c r="Q654">
        <f t="shared" si="995"/>
        <v>285158.39747411956</v>
      </c>
      <c r="R654">
        <f t="shared" si="996"/>
        <v>15038533.085080061</v>
      </c>
      <c r="S654">
        <f t="shared" si="997"/>
        <v>150.38533085080061</v>
      </c>
      <c r="T654">
        <f t="shared" si="998"/>
        <v>0.15038533085080061</v>
      </c>
    </row>
    <row r="655" spans="1:20" x14ac:dyDescent="0.25">
      <c r="A655" s="5">
        <v>43938</v>
      </c>
      <c r="B655">
        <v>7.617</v>
      </c>
      <c r="C655">
        <v>7.6639999999999997</v>
      </c>
      <c r="D655">
        <v>7.4279999999999999</v>
      </c>
      <c r="E655">
        <v>7.468</v>
      </c>
      <c r="F655">
        <v>276405.07</v>
      </c>
      <c r="G655">
        <v>0</v>
      </c>
      <c r="P655">
        <f t="shared" si="994"/>
        <v>-0.66101694915254172</v>
      </c>
      <c r="Q655">
        <f t="shared" si="995"/>
        <v>-182708.43610169474</v>
      </c>
      <c r="R655">
        <f t="shared" si="996"/>
        <v>14753374.687605942</v>
      </c>
      <c r="S655">
        <f t="shared" si="997"/>
        <v>147.53374687605941</v>
      </c>
      <c r="T655">
        <f t="shared" si="998"/>
        <v>0.14753374687605941</v>
      </c>
    </row>
    <row r="656" spans="1:20" x14ac:dyDescent="0.25">
      <c r="A656" s="5">
        <v>43937</v>
      </c>
      <c r="B656">
        <v>6.9880000000000004</v>
      </c>
      <c r="C656">
        <v>7.7060000000000004</v>
      </c>
      <c r="D656">
        <v>6.8129999999999997</v>
      </c>
      <c r="E656">
        <v>7.6159999999999997</v>
      </c>
      <c r="F656">
        <v>766669.27899999998</v>
      </c>
      <c r="G656">
        <v>0</v>
      </c>
      <c r="P656">
        <f t="shared" si="994"/>
        <v>0.79843225083986413</v>
      </c>
      <c r="Q656">
        <f t="shared" si="995"/>
        <v>612133.47808174579</v>
      </c>
      <c r="R656">
        <f t="shared" si="996"/>
        <v>14936083.123707637</v>
      </c>
      <c r="S656">
        <f t="shared" si="997"/>
        <v>149.36083123707638</v>
      </c>
      <c r="T656">
        <f t="shared" si="998"/>
        <v>0.14936083123707639</v>
      </c>
    </row>
    <row r="657" spans="1:20" x14ac:dyDescent="0.25">
      <c r="A657" s="5">
        <v>43936</v>
      </c>
      <c r="B657">
        <v>7.2519999999999998</v>
      </c>
      <c r="C657">
        <v>7.3760000000000003</v>
      </c>
      <c r="D657">
        <v>6.9649999999999999</v>
      </c>
      <c r="E657">
        <v>6.9930000000000003</v>
      </c>
      <c r="F657">
        <v>319211.36099999998</v>
      </c>
      <c r="G657">
        <v>0</v>
      </c>
      <c r="P657">
        <f t="shared" si="994"/>
        <v>-0.86374695863746742</v>
      </c>
      <c r="Q657">
        <f t="shared" si="995"/>
        <v>-275717.84222627664</v>
      </c>
      <c r="R657">
        <f t="shared" si="996"/>
        <v>14323949.645625891</v>
      </c>
      <c r="S657">
        <f t="shared" si="997"/>
        <v>143.23949645625891</v>
      </c>
      <c r="T657">
        <f t="shared" si="998"/>
        <v>0.14323949645625891</v>
      </c>
    </row>
    <row r="658" spans="1:20" x14ac:dyDescent="0.25">
      <c r="A658" s="5">
        <v>43935</v>
      </c>
      <c r="B658">
        <v>7.2850000000000001</v>
      </c>
      <c r="C658">
        <v>7.431</v>
      </c>
      <c r="D658">
        <v>7.1420000000000003</v>
      </c>
      <c r="E658">
        <v>7.2569999999999997</v>
      </c>
      <c r="F658">
        <v>327038.201</v>
      </c>
      <c r="G658">
        <v>0</v>
      </c>
      <c r="P658">
        <f t="shared" si="994"/>
        <v>-0.20415224913495195</v>
      </c>
      <c r="Q658">
        <f t="shared" si="995"/>
        <v>-66765.584287198493</v>
      </c>
      <c r="R658">
        <f t="shared" si="996"/>
        <v>14599667.487852167</v>
      </c>
      <c r="S658">
        <f t="shared" si="997"/>
        <v>145.99667487852167</v>
      </c>
      <c r="T658">
        <f t="shared" si="998"/>
        <v>0.14599667487852167</v>
      </c>
    </row>
    <row r="659" spans="1:20" x14ac:dyDescent="0.25">
      <c r="A659" s="5">
        <v>43934</v>
      </c>
      <c r="B659">
        <v>7.3609999999999998</v>
      </c>
      <c r="C659">
        <v>7.3609999999999998</v>
      </c>
      <c r="D659">
        <v>7.0069999999999997</v>
      </c>
      <c r="E659">
        <v>7.2809999999999997</v>
      </c>
      <c r="F659">
        <v>365451.7</v>
      </c>
      <c r="G659">
        <v>0</v>
      </c>
      <c r="P659">
        <f t="shared" si="994"/>
        <v>0.54802259887005622</v>
      </c>
      <c r="Q659">
        <f t="shared" si="995"/>
        <v>200275.79039548014</v>
      </c>
      <c r="R659">
        <f t="shared" si="996"/>
        <v>14666433.072139366</v>
      </c>
      <c r="S659">
        <f t="shared" si="997"/>
        <v>146.66433072139367</v>
      </c>
      <c r="T659">
        <f t="shared" si="998"/>
        <v>0.14666433072139368</v>
      </c>
    </row>
    <row r="660" spans="1:20" x14ac:dyDescent="0.25">
      <c r="A660" s="5">
        <v>43933</v>
      </c>
      <c r="B660">
        <v>7.2969999999999997</v>
      </c>
      <c r="C660">
        <v>7.7320000000000002</v>
      </c>
      <c r="D660">
        <v>7.1769999999999996</v>
      </c>
      <c r="E660">
        <v>7.3559999999999999</v>
      </c>
      <c r="F660">
        <v>367512.29800000001</v>
      </c>
      <c r="G660">
        <v>0</v>
      </c>
      <c r="P660">
        <f t="shared" si="994"/>
        <v>-0.35495495495495466</v>
      </c>
      <c r="Q660">
        <f t="shared" si="995"/>
        <v>-130450.31118198187</v>
      </c>
      <c r="R660">
        <f t="shared" si="996"/>
        <v>14466157.281743886</v>
      </c>
      <c r="S660">
        <f t="shared" si="997"/>
        <v>144.66157281743887</v>
      </c>
      <c r="T660">
        <f t="shared" si="998"/>
        <v>0.14466157281743885</v>
      </c>
    </row>
    <row r="661" spans="1:20" x14ac:dyDescent="0.25">
      <c r="A661" s="5">
        <v>43932</v>
      </c>
      <c r="B661">
        <v>7.3019999999999996</v>
      </c>
      <c r="C661">
        <v>7.5359999999999996</v>
      </c>
      <c r="D661">
        <v>7.1390000000000002</v>
      </c>
      <c r="E661">
        <v>7.306</v>
      </c>
      <c r="F661">
        <v>282561.58600000001</v>
      </c>
      <c r="G661">
        <v>0</v>
      </c>
      <c r="P661">
        <f t="shared" si="994"/>
        <v>-0.15869017632241769</v>
      </c>
      <c r="Q661">
        <f t="shared" si="995"/>
        <v>-44839.74790428199</v>
      </c>
      <c r="R661">
        <f t="shared" si="996"/>
        <v>14596607.592925867</v>
      </c>
      <c r="S661">
        <f t="shared" si="997"/>
        <v>145.96607592925866</v>
      </c>
      <c r="T661">
        <f t="shared" si="998"/>
        <v>0.14596607592925867</v>
      </c>
    </row>
    <row r="662" spans="1:20" x14ac:dyDescent="0.25">
      <c r="A662" s="5">
        <v>43931</v>
      </c>
      <c r="B662">
        <v>8.0250000000000004</v>
      </c>
      <c r="C662">
        <v>8.0250000000000004</v>
      </c>
      <c r="D662">
        <v>7.1</v>
      </c>
      <c r="E662">
        <v>7.2990000000000004</v>
      </c>
      <c r="F662">
        <v>640460.97199999995</v>
      </c>
      <c r="G662">
        <v>0</v>
      </c>
      <c r="P662">
        <f t="shared" si="994"/>
        <v>-0.56972972972972846</v>
      </c>
      <c r="Q662">
        <f t="shared" si="995"/>
        <v>-364889.65647999913</v>
      </c>
      <c r="R662">
        <f t="shared" si="996"/>
        <v>14641447.340830149</v>
      </c>
      <c r="S662">
        <f t="shared" si="997"/>
        <v>146.41447340830149</v>
      </c>
      <c r="T662">
        <f t="shared" si="998"/>
        <v>0.14641447340830149</v>
      </c>
    </row>
    <row r="663" spans="1:20" x14ac:dyDescent="0.25">
      <c r="A663" s="5">
        <v>43930</v>
      </c>
      <c r="B663">
        <v>8.0009999999999994</v>
      </c>
      <c r="C663">
        <v>8.1509999999999998</v>
      </c>
      <c r="D663">
        <v>7.7919999999999998</v>
      </c>
      <c r="E663">
        <v>8.0190000000000001</v>
      </c>
      <c r="F663">
        <v>448120.61700000003</v>
      </c>
      <c r="G663">
        <v>0</v>
      </c>
      <c r="P663">
        <f t="shared" si="994"/>
        <v>0.26462395543175665</v>
      </c>
      <c r="Q663">
        <f t="shared" si="995"/>
        <v>118583.45018105931</v>
      </c>
      <c r="R663">
        <f t="shared" si="996"/>
        <v>15006336.997310149</v>
      </c>
      <c r="S663">
        <f t="shared" si="997"/>
        <v>150.06336997310149</v>
      </c>
      <c r="T663">
        <f t="shared" si="998"/>
        <v>0.15006336997310149</v>
      </c>
    </row>
    <row r="664" spans="1:20" x14ac:dyDescent="0.25">
      <c r="A664" s="5">
        <v>43929</v>
      </c>
      <c r="B664">
        <v>7.72</v>
      </c>
      <c r="C664">
        <v>8.0299999999999994</v>
      </c>
      <c r="D664">
        <v>7.6509999999999998</v>
      </c>
      <c r="E664">
        <v>7.9950000000000001</v>
      </c>
      <c r="F664">
        <v>475242.68900000001</v>
      </c>
      <c r="G664">
        <v>0</v>
      </c>
      <c r="P664">
        <f t="shared" si="994"/>
        <v>0.8153034300791594</v>
      </c>
      <c r="Q664">
        <f t="shared" si="995"/>
        <v>387466.99446174322</v>
      </c>
      <c r="R664">
        <f t="shared" si="996"/>
        <v>14887753.547129089</v>
      </c>
      <c r="S664">
        <f t="shared" si="997"/>
        <v>148.87753547129088</v>
      </c>
      <c r="T664">
        <f t="shared" si="998"/>
        <v>0.14887753547129087</v>
      </c>
    </row>
    <row r="665" spans="1:20" x14ac:dyDescent="0.25">
      <c r="A665" s="5">
        <v>43928</v>
      </c>
      <c r="B665">
        <v>7.8179999999999996</v>
      </c>
      <c r="C665">
        <v>8.16</v>
      </c>
      <c r="D665">
        <v>7.4580000000000002</v>
      </c>
      <c r="E665">
        <v>7.7210000000000001</v>
      </c>
      <c r="F665">
        <v>898272.85199999996</v>
      </c>
      <c r="G665">
        <v>0</v>
      </c>
      <c r="P665">
        <f t="shared" si="994"/>
        <v>-0.25071225071225095</v>
      </c>
      <c r="Q665">
        <f t="shared" si="995"/>
        <v>-225208.00847863269</v>
      </c>
      <c r="R665">
        <f t="shared" si="996"/>
        <v>14500286.552667346</v>
      </c>
      <c r="S665">
        <f t="shared" si="997"/>
        <v>145.00286552667345</v>
      </c>
      <c r="T665">
        <f t="shared" si="998"/>
        <v>0.14500286552667344</v>
      </c>
    </row>
    <row r="666" spans="1:20" x14ac:dyDescent="0.25">
      <c r="A666" s="5">
        <v>43927</v>
      </c>
      <c r="B666">
        <v>7.0179999999999998</v>
      </c>
      <c r="C666">
        <v>7.8460000000000001</v>
      </c>
      <c r="D666">
        <v>7.0069999999999997</v>
      </c>
      <c r="E666">
        <v>7.8230000000000004</v>
      </c>
      <c r="F666">
        <v>721498.39599999995</v>
      </c>
      <c r="G666">
        <v>0</v>
      </c>
      <c r="P666">
        <f t="shared" si="994"/>
        <v>0.94517282479141917</v>
      </c>
      <c r="Q666">
        <f t="shared" si="995"/>
        <v>681940.67702979792</v>
      </c>
      <c r="R666">
        <f t="shared" si="996"/>
        <v>14725494.561145978</v>
      </c>
      <c r="S666">
        <f t="shared" si="997"/>
        <v>147.25494561145979</v>
      </c>
      <c r="T666">
        <f t="shared" si="998"/>
        <v>0.1472549456114598</v>
      </c>
    </row>
    <row r="667" spans="1:20" x14ac:dyDescent="0.25">
      <c r="A667" s="5">
        <v>43926</v>
      </c>
      <c r="B667">
        <v>7.1980000000000004</v>
      </c>
      <c r="C667">
        <v>7.2430000000000003</v>
      </c>
      <c r="D667">
        <v>6.89</v>
      </c>
      <c r="E667">
        <v>7.0170000000000003</v>
      </c>
      <c r="F667">
        <v>271886.83199999999</v>
      </c>
      <c r="G667">
        <v>0</v>
      </c>
      <c r="P667">
        <f t="shared" si="994"/>
        <v>-0.28045325779036578</v>
      </c>
      <c r="Q667">
        <f t="shared" si="995"/>
        <v>-76251.547784701877</v>
      </c>
      <c r="R667">
        <f t="shared" si="996"/>
        <v>14043553.88411618</v>
      </c>
      <c r="S667">
        <f t="shared" si="997"/>
        <v>140.43553884116182</v>
      </c>
      <c r="T667">
        <f t="shared" si="998"/>
        <v>0.14043553884116181</v>
      </c>
    </row>
    <row r="668" spans="1:20" x14ac:dyDescent="0.25">
      <c r="A668" s="5">
        <v>43925</v>
      </c>
      <c r="B668">
        <v>7.0179999999999998</v>
      </c>
      <c r="C668">
        <v>7.29</v>
      </c>
      <c r="D668">
        <v>6.8659999999999997</v>
      </c>
      <c r="E668">
        <v>7.1879999999999997</v>
      </c>
      <c r="F668">
        <v>391297.51199999999</v>
      </c>
      <c r="G668">
        <v>0</v>
      </c>
      <c r="P668">
        <f t="shared" si="994"/>
        <v>0.51886792452830088</v>
      </c>
      <c r="Q668">
        <f t="shared" si="995"/>
        <v>203031.72792452789</v>
      </c>
      <c r="R668">
        <f t="shared" si="996"/>
        <v>14119805.431900881</v>
      </c>
      <c r="S668">
        <f t="shared" si="997"/>
        <v>141.1980543190088</v>
      </c>
      <c r="T668">
        <f t="shared" si="998"/>
        <v>0.14119805431900881</v>
      </c>
    </row>
    <row r="669" spans="1:20" x14ac:dyDescent="0.25">
      <c r="A669" s="5">
        <v>43924</v>
      </c>
      <c r="B669">
        <v>6.9779999999999998</v>
      </c>
      <c r="C669">
        <v>7.2359999999999998</v>
      </c>
      <c r="D669">
        <v>6.86</v>
      </c>
      <c r="E669">
        <v>7.02</v>
      </c>
      <c r="F669">
        <v>415225.98</v>
      </c>
      <c r="G669">
        <v>0</v>
      </c>
      <c r="P669">
        <f t="shared" si="994"/>
        <v>-0.14893617021276867</v>
      </c>
      <c r="Q669">
        <f t="shared" si="995"/>
        <v>-61842.167234043678</v>
      </c>
      <c r="R669">
        <f t="shared" si="996"/>
        <v>13916773.703976354</v>
      </c>
      <c r="S669">
        <f t="shared" si="997"/>
        <v>139.16773703976352</v>
      </c>
      <c r="T669">
        <f t="shared" si="998"/>
        <v>0.13916773703976351</v>
      </c>
    </row>
    <row r="670" spans="1:20" x14ac:dyDescent="0.25">
      <c r="A670" s="5">
        <v>43923</v>
      </c>
      <c r="B670">
        <v>6.8239999999999998</v>
      </c>
      <c r="C670">
        <v>7.35</v>
      </c>
      <c r="D670">
        <v>6.7679999999999998</v>
      </c>
      <c r="E670">
        <v>6.976</v>
      </c>
      <c r="F670">
        <v>883506.77500000002</v>
      </c>
      <c r="G670">
        <v>0</v>
      </c>
      <c r="P670">
        <f t="shared" si="994"/>
        <v>-0.28522336769759371</v>
      </c>
      <c r="Q670">
        <f t="shared" si="995"/>
        <v>-251996.77774914019</v>
      </c>
      <c r="R670">
        <f t="shared" si="996"/>
        <v>13978615.871210398</v>
      </c>
      <c r="S670">
        <f t="shared" si="997"/>
        <v>139.78615871210397</v>
      </c>
      <c r="T670">
        <f t="shared" si="998"/>
        <v>0.13978615871210398</v>
      </c>
    </row>
    <row r="671" spans="1:20" x14ac:dyDescent="0.25">
      <c r="A671" s="5">
        <v>43922</v>
      </c>
      <c r="B671">
        <v>6.774</v>
      </c>
      <c r="C671">
        <v>6.84</v>
      </c>
      <c r="D671">
        <v>6.4009999999999998</v>
      </c>
      <c r="E671">
        <v>6.8120000000000003</v>
      </c>
      <c r="F671">
        <v>584161.48</v>
      </c>
      <c r="G671">
        <v>0</v>
      </c>
      <c r="P671">
        <f t="shared" si="994"/>
        <v>0.8724373576309814</v>
      </c>
      <c r="Q671">
        <f t="shared" si="995"/>
        <v>509644.29804100335</v>
      </c>
      <c r="R671">
        <f t="shared" si="996"/>
        <v>14230612.648959538</v>
      </c>
      <c r="S671">
        <f t="shared" si="997"/>
        <v>142.30612648959539</v>
      </c>
      <c r="T671">
        <f t="shared" si="998"/>
        <v>0.1423061264895954</v>
      </c>
    </row>
    <row r="672" spans="1:20" x14ac:dyDescent="0.25">
      <c r="A672" s="5">
        <v>43921</v>
      </c>
      <c r="B672">
        <v>6.58</v>
      </c>
      <c r="C672">
        <v>6.95</v>
      </c>
      <c r="D672">
        <v>6.5140000000000002</v>
      </c>
      <c r="E672">
        <v>6.7720000000000002</v>
      </c>
      <c r="F672">
        <v>496543.315</v>
      </c>
      <c r="G672">
        <v>0</v>
      </c>
      <c r="P672">
        <f t="shared" si="994"/>
        <v>0.18348623853211027</v>
      </c>
      <c r="Q672">
        <f t="shared" si="995"/>
        <v>91108.865137614761</v>
      </c>
      <c r="R672">
        <f t="shared" si="996"/>
        <v>13720968.350918535</v>
      </c>
      <c r="S672">
        <f t="shared" si="997"/>
        <v>137.20968350918534</v>
      </c>
      <c r="T672">
        <f t="shared" si="998"/>
        <v>0.13720968350918533</v>
      </c>
    </row>
    <row r="673" spans="1:20" x14ac:dyDescent="0.25">
      <c r="A673" s="5">
        <v>43920</v>
      </c>
      <c r="B673">
        <v>6.1920000000000002</v>
      </c>
      <c r="C673">
        <v>6.7539999999999996</v>
      </c>
      <c r="D673">
        <v>6.1710000000000003</v>
      </c>
      <c r="E673">
        <v>6.5679999999999996</v>
      </c>
      <c r="F673">
        <v>405132.85700000002</v>
      </c>
      <c r="G673">
        <v>0</v>
      </c>
      <c r="P673">
        <f t="shared" si="994"/>
        <v>0.3619210977701538</v>
      </c>
      <c r="Q673">
        <f t="shared" si="995"/>
        <v>146626.12834819875</v>
      </c>
      <c r="R673">
        <f t="shared" si="996"/>
        <v>13629859.485780921</v>
      </c>
      <c r="S673">
        <f t="shared" si="997"/>
        <v>136.29859485780921</v>
      </c>
      <c r="T673">
        <f t="shared" si="998"/>
        <v>0.13629859485780921</v>
      </c>
    </row>
    <row r="674" spans="1:20" x14ac:dyDescent="0.25">
      <c r="A674" s="5">
        <v>43919</v>
      </c>
      <c r="B674">
        <v>6.6230000000000002</v>
      </c>
      <c r="C674">
        <v>6.6790000000000003</v>
      </c>
      <c r="D674">
        <v>6.13</v>
      </c>
      <c r="E674">
        <v>6.1790000000000003</v>
      </c>
      <c r="F674">
        <v>410248.69300000003</v>
      </c>
      <c r="G674">
        <v>0</v>
      </c>
      <c r="P674">
        <f t="shared" si="994"/>
        <v>-0.82149362477231203</v>
      </c>
      <c r="Q674">
        <f t="shared" si="995"/>
        <v>-337016.68587067345</v>
      </c>
      <c r="R674">
        <f t="shared" si="996"/>
        <v>13483233.357432721</v>
      </c>
      <c r="S674">
        <f t="shared" si="997"/>
        <v>134.83233357432721</v>
      </c>
      <c r="T674">
        <f t="shared" si="998"/>
        <v>0.1348323335743272</v>
      </c>
    </row>
    <row r="675" spans="1:20" x14ac:dyDescent="0.25">
      <c r="A675" s="5">
        <v>43918</v>
      </c>
      <c r="B675">
        <v>6.5019999999999998</v>
      </c>
      <c r="C675">
        <v>6.7069999999999999</v>
      </c>
      <c r="D675">
        <v>6.2249999999999996</v>
      </c>
      <c r="E675">
        <v>6.6280000000000001</v>
      </c>
      <c r="F675">
        <v>592612.67099999997</v>
      </c>
      <c r="G675">
        <v>0</v>
      </c>
      <c r="P675">
        <f t="shared" si="994"/>
        <v>0.6721991701244826</v>
      </c>
      <c r="Q675">
        <f t="shared" si="995"/>
        <v>398353.74565145303</v>
      </c>
      <c r="R675">
        <f t="shared" si="996"/>
        <v>13820250.043303395</v>
      </c>
      <c r="S675">
        <f t="shared" si="997"/>
        <v>138.20250043303395</v>
      </c>
      <c r="T675">
        <f t="shared" si="998"/>
        <v>0.13820250043303395</v>
      </c>
    </row>
    <row r="676" spans="1:20" x14ac:dyDescent="0.25">
      <c r="A676" s="5">
        <v>43917</v>
      </c>
      <c r="B676">
        <v>7.03</v>
      </c>
      <c r="C676">
        <v>7.1630000000000003</v>
      </c>
      <c r="D676">
        <v>6.4210000000000003</v>
      </c>
      <c r="E676">
        <v>6.5030000000000001</v>
      </c>
      <c r="F676">
        <v>366841.81800000003</v>
      </c>
      <c r="G676">
        <v>0</v>
      </c>
      <c r="P676">
        <f t="shared" si="994"/>
        <v>-0.77897574123989255</v>
      </c>
      <c r="Q676">
        <f t="shared" si="995"/>
        <v>-285760.87709433975</v>
      </c>
      <c r="R676">
        <f t="shared" si="996"/>
        <v>13421896.297651941</v>
      </c>
      <c r="S676">
        <f t="shared" si="997"/>
        <v>134.21896297651941</v>
      </c>
      <c r="T676">
        <f t="shared" si="998"/>
        <v>0.13421896297651942</v>
      </c>
    </row>
    <row r="677" spans="1:20" x14ac:dyDescent="0.25">
      <c r="A677" s="5">
        <v>43916</v>
      </c>
      <c r="B677">
        <v>6.9359999999999999</v>
      </c>
      <c r="C677">
        <v>7.05</v>
      </c>
      <c r="D677">
        <v>6.72</v>
      </c>
      <c r="E677">
        <v>7.03</v>
      </c>
      <c r="F677">
        <v>347307.66100000002</v>
      </c>
      <c r="G677">
        <v>0</v>
      </c>
      <c r="P677">
        <f t="shared" si="994"/>
        <v>0.87878787878788145</v>
      </c>
      <c r="Q677">
        <f t="shared" si="995"/>
        <v>305209.76269697066</v>
      </c>
      <c r="R677">
        <f t="shared" si="996"/>
        <v>13707657.174746281</v>
      </c>
      <c r="S677">
        <f t="shared" si="997"/>
        <v>137.07657174746279</v>
      </c>
      <c r="T677">
        <f t="shared" si="998"/>
        <v>0.13707657174746279</v>
      </c>
    </row>
    <row r="678" spans="1:20" x14ac:dyDescent="0.25">
      <c r="A678" s="5">
        <v>43915</v>
      </c>
      <c r="B678">
        <v>6.89</v>
      </c>
      <c r="C678">
        <v>7.0940000000000003</v>
      </c>
      <c r="D678">
        <v>6.609</v>
      </c>
      <c r="E678">
        <v>6.93</v>
      </c>
      <c r="F678">
        <v>654530.31299999997</v>
      </c>
      <c r="G678">
        <v>0</v>
      </c>
      <c r="P678">
        <f t="shared" si="994"/>
        <v>0.32371134020618358</v>
      </c>
      <c r="Q678">
        <f t="shared" si="995"/>
        <v>211878.88482680282</v>
      </c>
      <c r="R678">
        <f t="shared" si="996"/>
        <v>13402447.41204931</v>
      </c>
      <c r="S678">
        <f t="shared" si="997"/>
        <v>134.0244741204931</v>
      </c>
      <c r="T678">
        <f t="shared" si="998"/>
        <v>0.13402447412049309</v>
      </c>
    </row>
    <row r="679" spans="1:20" x14ac:dyDescent="0.25">
      <c r="A679" s="5">
        <v>43914</v>
      </c>
      <c r="B679">
        <v>6.6779999999999999</v>
      </c>
      <c r="C679">
        <v>6.9779999999999998</v>
      </c>
      <c r="D679">
        <v>6.5250000000000004</v>
      </c>
      <c r="E679">
        <v>6.8970000000000002</v>
      </c>
      <c r="F679">
        <v>884719.43599999999</v>
      </c>
      <c r="G679">
        <v>0</v>
      </c>
      <c r="P679">
        <f t="shared" si="994"/>
        <v>0.64238410596026652</v>
      </c>
      <c r="Q679">
        <f t="shared" si="995"/>
        <v>568329.7039205312</v>
      </c>
      <c r="R679">
        <f t="shared" si="996"/>
        <v>13190568.527222507</v>
      </c>
      <c r="S679">
        <f t="shared" si="997"/>
        <v>131.90568527222507</v>
      </c>
      <c r="T679">
        <f t="shared" si="998"/>
        <v>0.13190568527222507</v>
      </c>
    </row>
    <row r="680" spans="1:20" x14ac:dyDescent="0.25">
      <c r="A680" s="5">
        <v>43913</v>
      </c>
      <c r="B680">
        <v>5.9420000000000002</v>
      </c>
      <c r="C680">
        <v>6.6929999999999996</v>
      </c>
      <c r="D680">
        <v>5.8319999999999999</v>
      </c>
      <c r="E680">
        <v>6.6829999999999998</v>
      </c>
      <c r="F680">
        <v>945219.24600000004</v>
      </c>
      <c r="G680">
        <v>0</v>
      </c>
      <c r="P680">
        <f t="shared" si="994"/>
        <v>0.97677119628339193</v>
      </c>
      <c r="Q680">
        <f t="shared" si="995"/>
        <v>923262.93366550573</v>
      </c>
      <c r="R680">
        <f t="shared" si="996"/>
        <v>12622238.823301975</v>
      </c>
      <c r="S680">
        <f t="shared" si="997"/>
        <v>126.22238823301974</v>
      </c>
      <c r="T680">
        <f t="shared" si="998"/>
        <v>0.12622238823301973</v>
      </c>
    </row>
    <row r="681" spans="1:20" x14ac:dyDescent="0.25">
      <c r="A681" s="5">
        <v>43912</v>
      </c>
      <c r="B681">
        <v>6.226</v>
      </c>
      <c r="C681">
        <v>6.468</v>
      </c>
      <c r="D681">
        <v>5.8620000000000001</v>
      </c>
      <c r="E681">
        <v>5.9470000000000001</v>
      </c>
      <c r="F681">
        <v>802111.59199999995</v>
      </c>
      <c r="G681">
        <v>0</v>
      </c>
      <c r="P681">
        <f t="shared" si="994"/>
        <v>-0.71947194719471952</v>
      </c>
      <c r="Q681">
        <f t="shared" si="995"/>
        <v>-577096.78896369634</v>
      </c>
      <c r="R681">
        <f t="shared" si="996"/>
        <v>11698975.889636468</v>
      </c>
      <c r="S681">
        <f t="shared" si="997"/>
        <v>116.98975889636468</v>
      </c>
      <c r="T681">
        <f t="shared" si="998"/>
        <v>0.11698975889636468</v>
      </c>
    </row>
    <row r="682" spans="1:20" x14ac:dyDescent="0.25">
      <c r="A682" s="5">
        <v>43911</v>
      </c>
      <c r="B682">
        <v>6.2779999999999996</v>
      </c>
      <c r="C682">
        <v>6.4409999999999998</v>
      </c>
      <c r="D682">
        <v>5.8620000000000001</v>
      </c>
      <c r="E682">
        <v>6.2359999999999998</v>
      </c>
      <c r="F682">
        <v>932710.15399999998</v>
      </c>
      <c r="G682">
        <v>0</v>
      </c>
      <c r="P682">
        <f t="shared" si="994"/>
        <v>0.29188255613126024</v>
      </c>
      <c r="Q682">
        <f t="shared" si="995"/>
        <v>272241.82387910137</v>
      </c>
      <c r="R682">
        <f t="shared" si="996"/>
        <v>12276072.678600164</v>
      </c>
      <c r="S682">
        <f t="shared" si="997"/>
        <v>122.76072678600164</v>
      </c>
      <c r="T682">
        <f t="shared" si="998"/>
        <v>0.12276072678600164</v>
      </c>
    </row>
    <row r="683" spans="1:20" x14ac:dyDescent="0.25">
      <c r="A683" s="5">
        <v>43910</v>
      </c>
      <c r="B683">
        <v>6.4619999999999997</v>
      </c>
      <c r="C683">
        <v>7.2</v>
      </c>
      <c r="D683">
        <v>5.7009999999999996</v>
      </c>
      <c r="E683">
        <v>6.2729999999999997</v>
      </c>
      <c r="F683">
        <v>1871897.66</v>
      </c>
      <c r="G683">
        <v>0</v>
      </c>
      <c r="P683">
        <f t="shared" si="994"/>
        <v>-0.23682454969980007</v>
      </c>
      <c r="Q683">
        <f t="shared" si="995"/>
        <v>-443311.32041360944</v>
      </c>
      <c r="R683">
        <f t="shared" si="996"/>
        <v>12003830.854721062</v>
      </c>
      <c r="S683">
        <f t="shared" si="997"/>
        <v>120.03830854721062</v>
      </c>
      <c r="T683">
        <f t="shared" si="998"/>
        <v>0.12003830854721062</v>
      </c>
    </row>
    <row r="684" spans="1:20" x14ac:dyDescent="0.25">
      <c r="A684" s="5">
        <v>43909</v>
      </c>
      <c r="B684">
        <v>5.718</v>
      </c>
      <c r="C684">
        <v>6.82</v>
      </c>
      <c r="D684">
        <v>5.6710000000000003</v>
      </c>
      <c r="E684">
        <v>6.4720000000000004</v>
      </c>
      <c r="F684">
        <v>1340815.003</v>
      </c>
      <c r="G684">
        <v>0</v>
      </c>
      <c r="P684">
        <f t="shared" si="994"/>
        <v>0.39425587467362949</v>
      </c>
      <c r="Q684">
        <f t="shared" si="995"/>
        <v>528624.19178329012</v>
      </c>
      <c r="R684">
        <f t="shared" si="996"/>
        <v>12447142.175134672</v>
      </c>
      <c r="S684">
        <f t="shared" si="997"/>
        <v>124.47142175134672</v>
      </c>
      <c r="T684">
        <f t="shared" si="998"/>
        <v>0.12447142175134672</v>
      </c>
    </row>
    <row r="685" spans="1:20" x14ac:dyDescent="0.25">
      <c r="A685" s="5">
        <v>43908</v>
      </c>
      <c r="B685">
        <v>5.6310000000000002</v>
      </c>
      <c r="C685">
        <v>5.742</v>
      </c>
      <c r="D685">
        <v>5.34</v>
      </c>
      <c r="E685">
        <v>5.726</v>
      </c>
      <c r="F685">
        <v>640712.05099999998</v>
      </c>
      <c r="G685">
        <v>0</v>
      </c>
      <c r="P685">
        <f t="shared" si="994"/>
        <v>0.92039800995024867</v>
      </c>
      <c r="Q685">
        <f t="shared" si="995"/>
        <v>589710.09669154219</v>
      </c>
      <c r="R685">
        <f t="shared" si="996"/>
        <v>11918517.983351381</v>
      </c>
      <c r="S685">
        <f t="shared" si="997"/>
        <v>119.18517983351381</v>
      </c>
      <c r="T685">
        <f t="shared" si="998"/>
        <v>0.11918517983351382</v>
      </c>
    </row>
    <row r="686" spans="1:20" x14ac:dyDescent="0.25">
      <c r="A686" s="5">
        <v>43907</v>
      </c>
      <c r="B686">
        <v>5.399</v>
      </c>
      <c r="C686">
        <v>5.8949999999999996</v>
      </c>
      <c r="D686">
        <v>5.319</v>
      </c>
      <c r="E686">
        <v>5.6260000000000003</v>
      </c>
      <c r="F686">
        <v>647732.84900000005</v>
      </c>
      <c r="G686">
        <v>0</v>
      </c>
      <c r="P686">
        <f t="shared" si="994"/>
        <v>6.597222222222425E-2</v>
      </c>
      <c r="Q686">
        <f t="shared" si="995"/>
        <v>42732.375454862427</v>
      </c>
      <c r="R686">
        <f t="shared" si="996"/>
        <v>11328807.88665984</v>
      </c>
      <c r="S686">
        <f t="shared" si="997"/>
        <v>113.2880788665984</v>
      </c>
      <c r="T686">
        <f t="shared" si="998"/>
        <v>0.11328807886659839</v>
      </c>
    </row>
    <row r="687" spans="1:20" x14ac:dyDescent="0.25">
      <c r="A687" s="5">
        <v>43906</v>
      </c>
      <c r="B687">
        <v>5.9790000000000001</v>
      </c>
      <c r="C687">
        <v>5.9790000000000001</v>
      </c>
      <c r="D687">
        <v>4.9039999999999999</v>
      </c>
      <c r="E687">
        <v>5.3940000000000001</v>
      </c>
      <c r="F687">
        <v>1244540.9669999999</v>
      </c>
      <c r="G687">
        <v>0</v>
      </c>
      <c r="P687">
        <f t="shared" si="994"/>
        <v>-8.8372093023255563E-2</v>
      </c>
      <c r="Q687">
        <f t="shared" si="995"/>
        <v>-109982.69010697643</v>
      </c>
      <c r="R687">
        <f t="shared" si="996"/>
        <v>11286075.511204978</v>
      </c>
      <c r="S687">
        <f t="shared" si="997"/>
        <v>112.86075511204979</v>
      </c>
      <c r="T687">
        <f t="shared" si="998"/>
        <v>0.11286075511204979</v>
      </c>
    </row>
    <row r="688" spans="1:20" x14ac:dyDescent="0.25">
      <c r="A688" s="5">
        <v>43905</v>
      </c>
      <c r="B688">
        <v>5.7530000000000001</v>
      </c>
      <c r="C688">
        <v>6.4</v>
      </c>
      <c r="D688">
        <v>5.6740000000000004</v>
      </c>
      <c r="E688">
        <v>5.9790000000000001</v>
      </c>
      <c r="F688">
        <v>698520.26699999999</v>
      </c>
      <c r="G688">
        <v>0</v>
      </c>
      <c r="P688">
        <f t="shared" si="994"/>
        <v>-0.15977961432506962</v>
      </c>
      <c r="Q688">
        <f t="shared" si="995"/>
        <v>-111609.29885950466</v>
      </c>
      <c r="R688">
        <f t="shared" si="996"/>
        <v>11396058.201311955</v>
      </c>
      <c r="S688">
        <f t="shared" si="997"/>
        <v>113.96058201311955</v>
      </c>
      <c r="T688">
        <f t="shared" si="998"/>
        <v>0.11396058201311955</v>
      </c>
    </row>
    <row r="689" spans="1:20" x14ac:dyDescent="0.25">
      <c r="A689" s="5">
        <v>43904</v>
      </c>
      <c r="B689">
        <v>6.23</v>
      </c>
      <c r="C689">
        <v>6.2690000000000001</v>
      </c>
      <c r="D689">
        <v>5.6509999999999998</v>
      </c>
      <c r="E689">
        <v>5.7519999999999998</v>
      </c>
      <c r="F689">
        <v>592554.21799999999</v>
      </c>
      <c r="G689">
        <v>0</v>
      </c>
      <c r="P689">
        <f t="shared" si="994"/>
        <v>-0.673139158576052</v>
      </c>
      <c r="Q689">
        <f t="shared" si="995"/>
        <v>-398871.4477152105</v>
      </c>
      <c r="R689">
        <f t="shared" si="996"/>
        <v>11507667.50017146</v>
      </c>
      <c r="S689">
        <f t="shared" si="997"/>
        <v>115.07667500171461</v>
      </c>
      <c r="T689">
        <f t="shared" si="998"/>
        <v>0.1150766750017146</v>
      </c>
    </row>
    <row r="690" spans="1:20" x14ac:dyDescent="0.25">
      <c r="A690" s="5">
        <v>43903</v>
      </c>
      <c r="B690">
        <v>5.6870000000000003</v>
      </c>
      <c r="C690">
        <v>6.7729999999999997</v>
      </c>
      <c r="D690">
        <v>3.89</v>
      </c>
      <c r="E690">
        <v>6.2160000000000002</v>
      </c>
      <c r="F690">
        <v>2717799.3590000002</v>
      </c>
      <c r="G690">
        <v>0</v>
      </c>
      <c r="P690">
        <f t="shared" si="994"/>
        <v>0.61359694762400308</v>
      </c>
      <c r="Q690">
        <f t="shared" si="995"/>
        <v>1667633.3909368722</v>
      </c>
      <c r="R690">
        <f t="shared" si="996"/>
        <v>11906538.94788667</v>
      </c>
      <c r="S690">
        <f t="shared" si="997"/>
        <v>119.06538947886671</v>
      </c>
      <c r="T690">
        <f t="shared" si="998"/>
        <v>0.1190653894788667</v>
      </c>
    </row>
    <row r="691" spans="1:20" x14ac:dyDescent="0.25">
      <c r="A691" s="5">
        <v>43902</v>
      </c>
      <c r="B691">
        <v>9.4359999999999999</v>
      </c>
      <c r="C691">
        <v>9.5850000000000009</v>
      </c>
      <c r="D691">
        <v>5.43</v>
      </c>
      <c r="E691">
        <v>5.7060000000000004</v>
      </c>
      <c r="F691">
        <v>2939317.5920000002</v>
      </c>
      <c r="G691">
        <v>0</v>
      </c>
      <c r="P691">
        <f t="shared" si="994"/>
        <v>-0.86714801444043288</v>
      </c>
      <c r="Q691">
        <f t="shared" si="995"/>
        <v>-2548823.4137126347</v>
      </c>
      <c r="R691">
        <f t="shared" si="996"/>
        <v>10238905.556949798</v>
      </c>
      <c r="S691">
        <f t="shared" si="997"/>
        <v>102.38905556949798</v>
      </c>
      <c r="T691">
        <f t="shared" si="998"/>
        <v>0.10238905556949798</v>
      </c>
    </row>
    <row r="692" spans="1:20" x14ac:dyDescent="0.25">
      <c r="A692" s="5">
        <v>43901</v>
      </c>
      <c r="B692">
        <v>9.8580000000000005</v>
      </c>
      <c r="C692">
        <v>9.9979999999999993</v>
      </c>
      <c r="D692">
        <v>8.77</v>
      </c>
      <c r="E692">
        <v>9.43</v>
      </c>
      <c r="F692">
        <v>902242.97699999996</v>
      </c>
      <c r="G692">
        <v>0</v>
      </c>
      <c r="P692">
        <f t="shared" si="994"/>
        <v>7.4918566775244749E-2</v>
      </c>
      <c r="Q692">
        <f t="shared" si="995"/>
        <v>67594.750719870106</v>
      </c>
      <c r="R692">
        <f t="shared" si="996"/>
        <v>12787728.970662432</v>
      </c>
      <c r="S692">
        <f t="shared" si="997"/>
        <v>127.87728970662432</v>
      </c>
      <c r="T692">
        <f t="shared" si="998"/>
        <v>0.12787728970662432</v>
      </c>
    </row>
    <row r="693" spans="1:20" x14ac:dyDescent="0.25">
      <c r="A693" s="5">
        <v>43900</v>
      </c>
      <c r="B693">
        <v>9.9009999999999998</v>
      </c>
      <c r="C693">
        <v>10.19</v>
      </c>
      <c r="D693">
        <v>9.5820000000000007</v>
      </c>
      <c r="E693">
        <v>9.8699999999999992</v>
      </c>
      <c r="F693">
        <v>730960.30900000001</v>
      </c>
      <c r="G693">
        <v>0</v>
      </c>
      <c r="P693">
        <f t="shared" si="994"/>
        <v>-5.2631578947371499E-2</v>
      </c>
      <c r="Q693">
        <f t="shared" si="995"/>
        <v>-38471.595210528569</v>
      </c>
      <c r="R693">
        <f t="shared" si="996"/>
        <v>12720134.219942562</v>
      </c>
      <c r="S693">
        <f t="shared" si="997"/>
        <v>127.20134219942562</v>
      </c>
      <c r="T693">
        <f t="shared" si="998"/>
        <v>0.12720134219942564</v>
      </c>
    </row>
    <row r="694" spans="1:20" x14ac:dyDescent="0.25">
      <c r="A694" s="5">
        <v>43899</v>
      </c>
      <c r="B694">
        <v>10.053000000000001</v>
      </c>
      <c r="C694">
        <v>10.345000000000001</v>
      </c>
      <c r="D694">
        <v>9.3889999999999993</v>
      </c>
      <c r="E694">
        <v>9.9019999999999992</v>
      </c>
      <c r="F694">
        <v>1065184.4609999999</v>
      </c>
      <c r="G694">
        <v>0</v>
      </c>
      <c r="P694">
        <f t="shared" si="994"/>
        <v>7.3221757322174078E-2</v>
      </c>
      <c r="Q694">
        <f t="shared" si="995"/>
        <v>77994.678106692794</v>
      </c>
      <c r="R694">
        <f t="shared" si="996"/>
        <v>12758605.81515309</v>
      </c>
      <c r="S694">
        <f t="shared" si="997"/>
        <v>127.58605815153091</v>
      </c>
      <c r="T694">
        <f t="shared" si="998"/>
        <v>0.1275860581515309</v>
      </c>
    </row>
    <row r="695" spans="1:20" x14ac:dyDescent="0.25">
      <c r="A695" s="5">
        <v>43898</v>
      </c>
      <c r="B695">
        <v>11.592000000000001</v>
      </c>
      <c r="C695">
        <v>11.592000000000001</v>
      </c>
      <c r="D695">
        <v>9.8840000000000003</v>
      </c>
      <c r="E695">
        <v>10.050000000000001</v>
      </c>
      <c r="F695">
        <v>824820.01800000004</v>
      </c>
      <c r="G695">
        <v>0</v>
      </c>
      <c r="P695">
        <f t="shared" si="994"/>
        <v>-0.80562060889929699</v>
      </c>
      <c r="Q695">
        <f t="shared" si="995"/>
        <v>-664492.00513348915</v>
      </c>
      <c r="R695">
        <f t="shared" si="996"/>
        <v>12680611.137046397</v>
      </c>
      <c r="S695">
        <f t="shared" si="997"/>
        <v>126.80611137046397</v>
      </c>
      <c r="T695">
        <f t="shared" si="998"/>
        <v>0.12680611137046396</v>
      </c>
    </row>
    <row r="696" spans="1:20" x14ac:dyDescent="0.25">
      <c r="A696" s="5">
        <v>43897</v>
      </c>
      <c r="B696">
        <v>12.372999999999999</v>
      </c>
      <c r="C696">
        <v>12.45</v>
      </c>
      <c r="D696">
        <v>11.548999999999999</v>
      </c>
      <c r="E696">
        <v>11.589</v>
      </c>
      <c r="F696">
        <v>475034.73599999998</v>
      </c>
      <c r="G696">
        <v>0</v>
      </c>
      <c r="P696">
        <f t="shared" si="994"/>
        <v>-0.91120976692563616</v>
      </c>
      <c r="Q696">
        <f t="shared" si="995"/>
        <v>-432856.29107214109</v>
      </c>
      <c r="R696">
        <f t="shared" si="996"/>
        <v>13345103.142179886</v>
      </c>
      <c r="S696">
        <f t="shared" si="997"/>
        <v>133.45103142179886</v>
      </c>
      <c r="T696">
        <f t="shared" si="998"/>
        <v>0.13345103142179887</v>
      </c>
    </row>
    <row r="697" spans="1:20" x14ac:dyDescent="0.25">
      <c r="A697" s="5">
        <v>43896</v>
      </c>
      <c r="B697">
        <v>12.055</v>
      </c>
      <c r="C697">
        <v>12.385</v>
      </c>
      <c r="D697">
        <v>11.927</v>
      </c>
      <c r="E697">
        <v>12.377000000000001</v>
      </c>
      <c r="F697">
        <v>374988.04</v>
      </c>
      <c r="G697">
        <v>0</v>
      </c>
      <c r="P697">
        <f t="shared" si="994"/>
        <v>0.96506550218341003</v>
      </c>
      <c r="Q697">
        <f t="shared" si="995"/>
        <v>361888.02113537263</v>
      </c>
      <c r="R697">
        <f t="shared" si="996"/>
        <v>13777959.433252027</v>
      </c>
      <c r="S697">
        <f t="shared" si="997"/>
        <v>137.77959433252028</v>
      </c>
      <c r="T697">
        <f t="shared" si="998"/>
        <v>0.13777959433252027</v>
      </c>
    </row>
    <row r="698" spans="1:20" x14ac:dyDescent="0.25">
      <c r="A698" s="5">
        <v>43895</v>
      </c>
      <c r="B698">
        <v>11.76</v>
      </c>
      <c r="C698">
        <v>12.387</v>
      </c>
      <c r="D698">
        <v>11.754</v>
      </c>
      <c r="E698">
        <v>12.073</v>
      </c>
      <c r="F698">
        <v>509714.21100000001</v>
      </c>
      <c r="G698">
        <v>0</v>
      </c>
      <c r="P698">
        <f t="shared" si="994"/>
        <v>7.8988941548195496E-3</v>
      </c>
      <c r="Q698">
        <f t="shared" si="995"/>
        <v>4026.1786018963585</v>
      </c>
      <c r="R698">
        <f t="shared" si="996"/>
        <v>13416071.412116654</v>
      </c>
      <c r="S698">
        <f t="shared" si="997"/>
        <v>134.16071412116654</v>
      </c>
      <c r="T698">
        <f t="shared" si="998"/>
        <v>0.13416071412116654</v>
      </c>
    </row>
    <row r="699" spans="1:20" x14ac:dyDescent="0.25">
      <c r="A699" s="5">
        <v>43894</v>
      </c>
      <c r="B699">
        <v>11.557</v>
      </c>
      <c r="C699">
        <v>12.055</v>
      </c>
      <c r="D699">
        <v>11.49</v>
      </c>
      <c r="E699">
        <v>11.755000000000001</v>
      </c>
      <c r="F699">
        <v>351169.446</v>
      </c>
      <c r="G699">
        <v>0</v>
      </c>
      <c r="P699">
        <f t="shared" si="994"/>
        <v>-6.1946902654864418E-2</v>
      </c>
      <c r="Q699">
        <f t="shared" si="995"/>
        <v>-21753.859486724665</v>
      </c>
      <c r="R699">
        <f t="shared" si="996"/>
        <v>13412045.233514758</v>
      </c>
      <c r="S699">
        <f t="shared" si="997"/>
        <v>134.12045233514758</v>
      </c>
      <c r="T699">
        <f t="shared" si="998"/>
        <v>0.13412045233514758</v>
      </c>
    </row>
    <row r="700" spans="1:20" x14ac:dyDescent="0.25">
      <c r="A700" s="5">
        <v>43893</v>
      </c>
      <c r="B700">
        <v>12.087999999999999</v>
      </c>
      <c r="C700">
        <v>12.092000000000001</v>
      </c>
      <c r="D700">
        <v>11.349</v>
      </c>
      <c r="E700">
        <v>11.555999999999999</v>
      </c>
      <c r="F700">
        <v>559593.48400000005</v>
      </c>
      <c r="G700">
        <v>0</v>
      </c>
      <c r="P700">
        <f t="shared" si="994"/>
        <v>-0.44279946164199496</v>
      </c>
      <c r="Q700">
        <f t="shared" si="995"/>
        <v>-247787.69345356835</v>
      </c>
      <c r="R700">
        <f t="shared" si="996"/>
        <v>13433799.093001483</v>
      </c>
      <c r="S700">
        <f t="shared" si="997"/>
        <v>134.33799093001483</v>
      </c>
      <c r="T700">
        <f t="shared" si="998"/>
        <v>0.13433799093001483</v>
      </c>
    </row>
    <row r="701" spans="1:20" x14ac:dyDescent="0.25">
      <c r="A701" s="5">
        <v>43892</v>
      </c>
      <c r="B701">
        <v>11.308</v>
      </c>
      <c r="C701">
        <v>12.211</v>
      </c>
      <c r="D701">
        <v>11.183</v>
      </c>
      <c r="E701">
        <v>12.087999999999999</v>
      </c>
      <c r="F701">
        <v>621793.68799999997</v>
      </c>
      <c r="G701">
        <v>0</v>
      </c>
      <c r="P701">
        <f t="shared" si="994"/>
        <v>0.76070038910505633</v>
      </c>
      <c r="Q701">
        <f t="shared" si="995"/>
        <v>472998.70040466799</v>
      </c>
      <c r="R701">
        <f t="shared" si="996"/>
        <v>13681586.786455052</v>
      </c>
      <c r="S701">
        <f t="shared" si="997"/>
        <v>136.81586786455051</v>
      </c>
      <c r="T701">
        <f t="shared" si="998"/>
        <v>0.13681586786455052</v>
      </c>
    </row>
    <row r="702" spans="1:20" x14ac:dyDescent="0.25">
      <c r="A702" s="5">
        <v>43891</v>
      </c>
      <c r="B702">
        <v>11.087</v>
      </c>
      <c r="C702">
        <v>11.868</v>
      </c>
      <c r="D702">
        <v>11.052</v>
      </c>
      <c r="E702">
        <v>11.31</v>
      </c>
      <c r="F702">
        <v>779451.21900000004</v>
      </c>
      <c r="G702">
        <v>0</v>
      </c>
      <c r="P702">
        <f t="shared" si="994"/>
        <v>-0.36764705882352777</v>
      </c>
      <c r="Q702">
        <f t="shared" si="995"/>
        <v>-286562.94816176343</v>
      </c>
      <c r="R702">
        <f t="shared" si="996"/>
        <v>13208588.086050384</v>
      </c>
      <c r="S702">
        <f t="shared" si="997"/>
        <v>132.08588086050383</v>
      </c>
      <c r="T702">
        <f t="shared" si="998"/>
        <v>0.13208588086050382</v>
      </c>
    </row>
    <row r="703" spans="1:20" x14ac:dyDescent="0.25">
      <c r="A703" s="5">
        <v>43890</v>
      </c>
      <c r="B703">
        <v>11.305</v>
      </c>
      <c r="C703">
        <v>11.531000000000001</v>
      </c>
      <c r="D703">
        <v>10.911</v>
      </c>
      <c r="E703">
        <v>11.103</v>
      </c>
      <c r="F703">
        <v>491078.45500000002</v>
      </c>
      <c r="G703">
        <v>0</v>
      </c>
      <c r="P703">
        <f t="shared" si="994"/>
        <v>-0.380645161290323</v>
      </c>
      <c r="Q703">
        <f t="shared" si="995"/>
        <v>-186926.63770967763</v>
      </c>
      <c r="R703">
        <f t="shared" si="996"/>
        <v>13495151.034212148</v>
      </c>
      <c r="S703">
        <f t="shared" si="997"/>
        <v>134.95151034212148</v>
      </c>
      <c r="T703">
        <f t="shared" si="998"/>
        <v>0.13495151034212147</v>
      </c>
    </row>
    <row r="704" spans="1:20" x14ac:dyDescent="0.25">
      <c r="A704" s="5">
        <v>43889</v>
      </c>
      <c r="B704">
        <v>11.504</v>
      </c>
      <c r="C704">
        <v>11.663</v>
      </c>
      <c r="D704">
        <v>10.631</v>
      </c>
      <c r="E704">
        <v>11.311</v>
      </c>
      <c r="F704">
        <v>767804.60699999996</v>
      </c>
      <c r="G704">
        <v>0</v>
      </c>
      <c r="P704">
        <f t="shared" si="994"/>
        <v>0.31782945736434048</v>
      </c>
      <c r="Q704">
        <f t="shared" si="995"/>
        <v>244030.92160465068</v>
      </c>
      <c r="R704">
        <f t="shared" si="996"/>
        <v>13682077.671921825</v>
      </c>
      <c r="S704">
        <f t="shared" si="997"/>
        <v>136.82077671921826</v>
      </c>
      <c r="T704">
        <f t="shared" si="998"/>
        <v>0.13682077671921825</v>
      </c>
    </row>
    <row r="705" spans="1:20" x14ac:dyDescent="0.25">
      <c r="A705" s="5">
        <v>43888</v>
      </c>
      <c r="B705">
        <v>10.983000000000001</v>
      </c>
      <c r="C705">
        <v>11.706</v>
      </c>
      <c r="D705">
        <v>10.4</v>
      </c>
      <c r="E705">
        <v>11.51</v>
      </c>
      <c r="F705">
        <v>844120.08</v>
      </c>
      <c r="G705">
        <v>0</v>
      </c>
      <c r="P705">
        <f t="shared" si="994"/>
        <v>0.69984686064318546</v>
      </c>
      <c r="Q705">
        <f t="shared" si="995"/>
        <v>590754.78799387452</v>
      </c>
      <c r="R705">
        <f t="shared" si="996"/>
        <v>13438046.750317175</v>
      </c>
      <c r="S705">
        <f t="shared" si="997"/>
        <v>134.38046750317176</v>
      </c>
      <c r="T705">
        <f t="shared" si="998"/>
        <v>0.13438046750317176</v>
      </c>
    </row>
    <row r="706" spans="1:20" x14ac:dyDescent="0.25">
      <c r="A706" s="5">
        <v>43887</v>
      </c>
      <c r="B706">
        <v>12.378</v>
      </c>
      <c r="C706">
        <v>12.532999999999999</v>
      </c>
      <c r="D706">
        <v>10.76</v>
      </c>
      <c r="E706">
        <v>11.007</v>
      </c>
      <c r="F706">
        <v>1528773.39</v>
      </c>
      <c r="G706">
        <v>0</v>
      </c>
      <c r="P706">
        <f t="shared" si="994"/>
        <v>-0.72137619853355905</v>
      </c>
      <c r="Q706">
        <f t="shared" si="995"/>
        <v>-1102820.736497462</v>
      </c>
      <c r="R706">
        <f t="shared" si="996"/>
        <v>12847291.962323301</v>
      </c>
      <c r="S706">
        <f t="shared" si="997"/>
        <v>128.472919623233</v>
      </c>
      <c r="T706">
        <f t="shared" si="998"/>
        <v>0.12847291962323298</v>
      </c>
    </row>
    <row r="707" spans="1:20" x14ac:dyDescent="0.25">
      <c r="A707" s="5">
        <v>43886</v>
      </c>
      <c r="B707">
        <v>13.369</v>
      </c>
      <c r="C707">
        <v>13.503</v>
      </c>
      <c r="D707">
        <v>12.305999999999999</v>
      </c>
      <c r="E707">
        <v>12.393000000000001</v>
      </c>
      <c r="F707">
        <v>695342.22499999998</v>
      </c>
      <c r="G707">
        <v>0</v>
      </c>
      <c r="P707">
        <f t="shared" si="994"/>
        <v>-0.85463659147869431</v>
      </c>
      <c r="Q707">
        <f t="shared" si="995"/>
        <v>-594264.90908521134</v>
      </c>
      <c r="R707">
        <f t="shared" si="996"/>
        <v>13950112.698820762</v>
      </c>
      <c r="S707">
        <f t="shared" si="997"/>
        <v>139.50112698820763</v>
      </c>
      <c r="T707">
        <f t="shared" si="998"/>
        <v>0.13950112698820763</v>
      </c>
    </row>
    <row r="708" spans="1:20" x14ac:dyDescent="0.25">
      <c r="A708" s="5">
        <v>43885</v>
      </c>
      <c r="B708">
        <v>14.292</v>
      </c>
      <c r="C708">
        <v>14.442</v>
      </c>
      <c r="D708">
        <v>12.988</v>
      </c>
      <c r="E708">
        <v>13.361000000000001</v>
      </c>
      <c r="F708">
        <v>732592.70799999998</v>
      </c>
      <c r="G708">
        <v>0</v>
      </c>
      <c r="P708">
        <f t="shared" si="994"/>
        <v>-0.48693259972489555</v>
      </c>
      <c r="Q708">
        <f t="shared" si="995"/>
        <v>-356723.27184594126</v>
      </c>
      <c r="R708">
        <f t="shared" si="996"/>
        <v>14544377.607905973</v>
      </c>
      <c r="S708">
        <f t="shared" si="997"/>
        <v>145.44377607905972</v>
      </c>
      <c r="T708">
        <f t="shared" si="998"/>
        <v>0.14544377607905973</v>
      </c>
    </row>
    <row r="709" spans="1:20" x14ac:dyDescent="0.25">
      <c r="A709" s="5">
        <v>43884</v>
      </c>
      <c r="B709">
        <v>13.714</v>
      </c>
      <c r="C709">
        <v>14.473000000000001</v>
      </c>
      <c r="D709">
        <v>13.705</v>
      </c>
      <c r="E709">
        <v>14.294</v>
      </c>
      <c r="F709">
        <v>471023.83799999999</v>
      </c>
      <c r="G709">
        <v>0</v>
      </c>
      <c r="P709">
        <f t="shared" si="994"/>
        <v>0.53385416666666641</v>
      </c>
      <c r="Q709">
        <f t="shared" si="995"/>
        <v>251458.03851562488</v>
      </c>
      <c r="R709">
        <f t="shared" si="996"/>
        <v>14901100.879751913</v>
      </c>
      <c r="S709">
        <f t="shared" si="997"/>
        <v>149.01100879751914</v>
      </c>
      <c r="T709">
        <f t="shared" si="998"/>
        <v>0.14901100879751913</v>
      </c>
    </row>
    <row r="710" spans="1:20" x14ac:dyDescent="0.25">
      <c r="A710" s="5">
        <v>43883</v>
      </c>
      <c r="B710">
        <v>14.016999999999999</v>
      </c>
      <c r="C710">
        <v>14.079000000000001</v>
      </c>
      <c r="D710">
        <v>13.5</v>
      </c>
      <c r="E710">
        <v>13.72</v>
      </c>
      <c r="F710">
        <v>388715.701</v>
      </c>
      <c r="G710">
        <v>0</v>
      </c>
      <c r="P710">
        <f t="shared" ref="P710:P766" si="999">IF(C710=D710,0,((E710-D710)-(C710-E710))/(C710-D710))</f>
        <v>-0.24006908462866874</v>
      </c>
      <c r="Q710">
        <f t="shared" ref="Q710:Q766" si="1000">F710*P710</f>
        <v>-93318.622519861296</v>
      </c>
      <c r="R710">
        <f t="shared" ref="R710:R766" si="1001">R711+Q710</f>
        <v>14649642.841236288</v>
      </c>
      <c r="S710">
        <f t="shared" ref="S710:S766" si="1002">R710/100000</f>
        <v>146.49642841236289</v>
      </c>
      <c r="T710">
        <f t="shared" ref="T710:T766" si="1003">S710/1000</f>
        <v>0.14649642841236288</v>
      </c>
    </row>
    <row r="711" spans="1:20" x14ac:dyDescent="0.25">
      <c r="A711" s="5">
        <v>43882</v>
      </c>
      <c r="B711">
        <v>14.035</v>
      </c>
      <c r="C711">
        <v>14.33</v>
      </c>
      <c r="D711">
        <v>13.705</v>
      </c>
      <c r="E711">
        <v>14.016999999999999</v>
      </c>
      <c r="F711">
        <v>540433.804</v>
      </c>
      <c r="G711">
        <v>0</v>
      </c>
      <c r="P711">
        <f t="shared" si="999"/>
        <v>-1.6000000000019553E-3</v>
      </c>
      <c r="Q711">
        <f t="shared" si="1000"/>
        <v>-864.69408640105678</v>
      </c>
      <c r="R711">
        <f t="shared" si="1001"/>
        <v>14742961.46375615</v>
      </c>
      <c r="S711">
        <f t="shared" si="1002"/>
        <v>147.42961463756149</v>
      </c>
      <c r="T711">
        <f t="shared" si="1003"/>
        <v>0.14742961463756149</v>
      </c>
    </row>
    <row r="712" spans="1:20" x14ac:dyDescent="0.25">
      <c r="A712" s="5">
        <v>43881</v>
      </c>
      <c r="B712">
        <v>14.037000000000001</v>
      </c>
      <c r="C712">
        <v>14.398</v>
      </c>
      <c r="D712">
        <v>13.4</v>
      </c>
      <c r="E712">
        <v>14.03</v>
      </c>
      <c r="F712">
        <v>782044.00399999996</v>
      </c>
      <c r="G712">
        <v>0</v>
      </c>
      <c r="P712">
        <f t="shared" si="999"/>
        <v>0.26252505010019928</v>
      </c>
      <c r="Q712">
        <f t="shared" si="1000"/>
        <v>205306.14133066044</v>
      </c>
      <c r="R712">
        <f t="shared" si="1001"/>
        <v>14743826.15784255</v>
      </c>
      <c r="S712">
        <f t="shared" si="1002"/>
        <v>147.43826157842551</v>
      </c>
      <c r="T712">
        <f t="shared" si="1003"/>
        <v>0.14743826157842552</v>
      </c>
    </row>
    <row r="713" spans="1:20" x14ac:dyDescent="0.25">
      <c r="A713" s="5">
        <v>43880</v>
      </c>
      <c r="B713">
        <v>15.507999999999999</v>
      </c>
      <c r="C713">
        <v>15.536</v>
      </c>
      <c r="D713">
        <v>13.7</v>
      </c>
      <c r="E713">
        <v>14.042999999999999</v>
      </c>
      <c r="F713">
        <v>790599.36600000004</v>
      </c>
      <c r="G713">
        <v>0</v>
      </c>
      <c r="P713">
        <f t="shared" si="999"/>
        <v>-0.62636165577342062</v>
      </c>
      <c r="Q713">
        <f t="shared" si="1000"/>
        <v>-495201.12794117659</v>
      </c>
      <c r="R713">
        <f t="shared" si="1001"/>
        <v>14538520.016511889</v>
      </c>
      <c r="S713">
        <f t="shared" si="1002"/>
        <v>145.3852001651189</v>
      </c>
      <c r="T713">
        <f t="shared" si="1003"/>
        <v>0.14538520016511891</v>
      </c>
    </row>
    <row r="714" spans="1:20" x14ac:dyDescent="0.25">
      <c r="A714" s="5">
        <v>43879</v>
      </c>
      <c r="B714">
        <v>15.038</v>
      </c>
      <c r="C714">
        <v>15.657</v>
      </c>
      <c r="D714">
        <v>14.255000000000001</v>
      </c>
      <c r="E714">
        <v>15.5</v>
      </c>
      <c r="F714">
        <v>1151642.8810000001</v>
      </c>
      <c r="G714">
        <v>0</v>
      </c>
      <c r="P714">
        <f t="shared" si="999"/>
        <v>0.77603423680456474</v>
      </c>
      <c r="Q714">
        <f t="shared" si="1000"/>
        <v>893714.30422824516</v>
      </c>
      <c r="R714">
        <f t="shared" si="1001"/>
        <v>15033721.144453065</v>
      </c>
      <c r="S714">
        <f t="shared" si="1002"/>
        <v>150.33721144453065</v>
      </c>
      <c r="T714">
        <f t="shared" si="1003"/>
        <v>0.15033721144453066</v>
      </c>
    </row>
    <row r="715" spans="1:20" x14ac:dyDescent="0.25">
      <c r="A715" s="5">
        <v>43878</v>
      </c>
      <c r="B715">
        <v>14.618</v>
      </c>
      <c r="C715">
        <v>15.173</v>
      </c>
      <c r="D715">
        <v>13.375</v>
      </c>
      <c r="E715">
        <v>15.026999999999999</v>
      </c>
      <c r="F715">
        <v>1441268.611</v>
      </c>
      <c r="G715">
        <v>0</v>
      </c>
      <c r="P715">
        <f t="shared" si="999"/>
        <v>0.83759733036707362</v>
      </c>
      <c r="Q715">
        <f t="shared" si="1000"/>
        <v>1207202.7409154603</v>
      </c>
      <c r="R715">
        <f t="shared" si="1001"/>
        <v>14140006.840224821</v>
      </c>
      <c r="S715">
        <f t="shared" si="1002"/>
        <v>141.40006840224822</v>
      </c>
      <c r="T715">
        <f t="shared" si="1003"/>
        <v>0.14140006840224822</v>
      </c>
    </row>
    <row r="716" spans="1:20" x14ac:dyDescent="0.25">
      <c r="A716" s="5">
        <v>43877</v>
      </c>
      <c r="B716">
        <v>15.113</v>
      </c>
      <c r="C716">
        <v>15.872</v>
      </c>
      <c r="D716">
        <v>13.413</v>
      </c>
      <c r="E716">
        <v>14.625</v>
      </c>
      <c r="F716">
        <v>1524731.281</v>
      </c>
      <c r="G716">
        <v>0</v>
      </c>
      <c r="P716">
        <f t="shared" si="999"/>
        <v>-1.423342822285488E-2</v>
      </c>
      <c r="Q716">
        <f t="shared" si="1000"/>
        <v>-21702.153247255075</v>
      </c>
      <c r="R716">
        <f t="shared" si="1001"/>
        <v>12932804.099309361</v>
      </c>
      <c r="S716">
        <f t="shared" si="1002"/>
        <v>129.32804099309359</v>
      </c>
      <c r="T716">
        <f t="shared" si="1003"/>
        <v>0.12932804099309358</v>
      </c>
    </row>
    <row r="717" spans="1:20" x14ac:dyDescent="0.25">
      <c r="A717" s="5">
        <v>43876</v>
      </c>
      <c r="B717">
        <v>16.690999999999999</v>
      </c>
      <c r="C717">
        <v>16.739999999999998</v>
      </c>
      <c r="D717">
        <v>14.548</v>
      </c>
      <c r="E717">
        <v>15.127000000000001</v>
      </c>
      <c r="F717">
        <v>1191209.7830000001</v>
      </c>
      <c r="G717">
        <v>0</v>
      </c>
      <c r="P717">
        <f t="shared" si="999"/>
        <v>-0.47171532846715231</v>
      </c>
      <c r="Q717">
        <f t="shared" si="1000"/>
        <v>-561911.91406113026</v>
      </c>
      <c r="R717">
        <f t="shared" si="1001"/>
        <v>12954506.252556616</v>
      </c>
      <c r="S717">
        <f t="shared" si="1002"/>
        <v>129.54506252556615</v>
      </c>
      <c r="T717">
        <f t="shared" si="1003"/>
        <v>0.12954506252556616</v>
      </c>
    </row>
    <row r="718" spans="1:20" x14ac:dyDescent="0.25">
      <c r="A718" s="5">
        <v>43875</v>
      </c>
      <c r="B718">
        <v>15.141999999999999</v>
      </c>
      <c r="C718">
        <v>16.75</v>
      </c>
      <c r="D718">
        <v>14.829000000000001</v>
      </c>
      <c r="E718">
        <v>16.675999999999998</v>
      </c>
      <c r="F718">
        <v>875126.848</v>
      </c>
      <c r="G718">
        <v>0</v>
      </c>
      <c r="P718">
        <f t="shared" si="999"/>
        <v>0.92295679333680203</v>
      </c>
      <c r="Q718">
        <f t="shared" si="1000"/>
        <v>807704.26939302299</v>
      </c>
      <c r="R718">
        <f t="shared" si="1001"/>
        <v>13516418.166617747</v>
      </c>
      <c r="S718">
        <f t="shared" si="1002"/>
        <v>135.16418166617748</v>
      </c>
      <c r="T718">
        <f t="shared" si="1003"/>
        <v>0.1351641816661775</v>
      </c>
    </row>
    <row r="719" spans="1:20" x14ac:dyDescent="0.25">
      <c r="A719" s="5">
        <v>43874</v>
      </c>
      <c r="B719">
        <v>14.813000000000001</v>
      </c>
      <c r="C719">
        <v>15.845000000000001</v>
      </c>
      <c r="D719">
        <v>14.476000000000001</v>
      </c>
      <c r="E719">
        <v>15.141</v>
      </c>
      <c r="F719">
        <v>1131448.7830000001</v>
      </c>
      <c r="G719">
        <v>0</v>
      </c>
      <c r="P719">
        <f t="shared" si="999"/>
        <v>-2.8487947406867411E-2</v>
      </c>
      <c r="Q719">
        <f t="shared" si="1000"/>
        <v>-32232.65342366814</v>
      </c>
      <c r="R719">
        <f t="shared" si="1001"/>
        <v>12708713.897224724</v>
      </c>
      <c r="S719">
        <f t="shared" si="1002"/>
        <v>127.08713897224725</v>
      </c>
      <c r="T719">
        <f t="shared" si="1003"/>
        <v>0.12708713897224724</v>
      </c>
    </row>
    <row r="720" spans="1:20" x14ac:dyDescent="0.25">
      <c r="A720" s="5">
        <v>43873</v>
      </c>
      <c r="B720">
        <v>13.821999999999999</v>
      </c>
      <c r="C720">
        <v>15.321999999999999</v>
      </c>
      <c r="D720">
        <v>13.811</v>
      </c>
      <c r="E720">
        <v>14.821999999999999</v>
      </c>
      <c r="F720">
        <v>1103343.551</v>
      </c>
      <c r="G720">
        <v>0</v>
      </c>
      <c r="P720">
        <f t="shared" si="999"/>
        <v>0.33818663136995336</v>
      </c>
      <c r="Q720">
        <f t="shared" si="1000"/>
        <v>373136.03875645233</v>
      </c>
      <c r="R720">
        <f t="shared" si="1001"/>
        <v>12740946.550648393</v>
      </c>
      <c r="S720">
        <f t="shared" si="1002"/>
        <v>127.40946550648393</v>
      </c>
      <c r="T720">
        <f t="shared" si="1003"/>
        <v>0.12740946550648394</v>
      </c>
    </row>
    <row r="721" spans="1:20" x14ac:dyDescent="0.25">
      <c r="A721" s="5">
        <v>43872</v>
      </c>
      <c r="B721">
        <v>13.558</v>
      </c>
      <c r="C721">
        <v>13.989000000000001</v>
      </c>
      <c r="D721">
        <v>12.95</v>
      </c>
      <c r="E721">
        <v>13.791</v>
      </c>
      <c r="F721">
        <v>871095.86100000003</v>
      </c>
      <c r="G721">
        <v>0</v>
      </c>
      <c r="P721">
        <f t="shared" si="999"/>
        <v>0.61886429258902764</v>
      </c>
      <c r="Q721">
        <f t="shared" si="1000"/>
        <v>539090.12379499502</v>
      </c>
      <c r="R721">
        <f t="shared" si="1001"/>
        <v>12367810.511891941</v>
      </c>
      <c r="S721">
        <f t="shared" si="1002"/>
        <v>123.6781051189194</v>
      </c>
      <c r="T721">
        <f t="shared" si="1003"/>
        <v>0.1236781051189194</v>
      </c>
    </row>
    <row r="722" spans="1:20" x14ac:dyDescent="0.25">
      <c r="A722" s="5">
        <v>43871</v>
      </c>
      <c r="B722">
        <v>14.208</v>
      </c>
      <c r="C722">
        <v>14.285</v>
      </c>
      <c r="D722">
        <v>13.2</v>
      </c>
      <c r="E722">
        <v>13.551</v>
      </c>
      <c r="F722">
        <v>863876.56599999999</v>
      </c>
      <c r="G722">
        <v>0</v>
      </c>
      <c r="P722">
        <f t="shared" si="999"/>
        <v>-0.35299539170506805</v>
      </c>
      <c r="Q722">
        <f t="shared" si="1000"/>
        <v>-304944.44679999904</v>
      </c>
      <c r="R722">
        <f t="shared" si="1001"/>
        <v>11828720.388096945</v>
      </c>
      <c r="S722">
        <f t="shared" si="1002"/>
        <v>118.28720388096946</v>
      </c>
      <c r="T722">
        <f t="shared" si="1003"/>
        <v>0.11828720388096946</v>
      </c>
    </row>
    <row r="723" spans="1:20" x14ac:dyDescent="0.25">
      <c r="A723" s="5">
        <v>43870</v>
      </c>
      <c r="B723">
        <v>12.667</v>
      </c>
      <c r="C723">
        <v>14.209</v>
      </c>
      <c r="D723">
        <v>12.666</v>
      </c>
      <c r="E723">
        <v>14.201000000000001</v>
      </c>
      <c r="F723">
        <v>1007857.174</v>
      </c>
      <c r="G723">
        <v>0</v>
      </c>
      <c r="P723">
        <f t="shared" si="999"/>
        <v>0.98963058976020857</v>
      </c>
      <c r="Q723">
        <f t="shared" si="1000"/>
        <v>997406.28949967714</v>
      </c>
      <c r="R723">
        <f t="shared" si="1001"/>
        <v>12133664.834896944</v>
      </c>
      <c r="S723">
        <f t="shared" si="1002"/>
        <v>121.33664834896945</v>
      </c>
      <c r="T723">
        <f t="shared" si="1003"/>
        <v>0.12133664834896944</v>
      </c>
    </row>
    <row r="724" spans="1:20" x14ac:dyDescent="0.25">
      <c r="A724" s="5">
        <v>43869</v>
      </c>
      <c r="B724">
        <v>12.792999999999999</v>
      </c>
      <c r="C724">
        <v>13.05</v>
      </c>
      <c r="D724">
        <v>12.114000000000001</v>
      </c>
      <c r="E724">
        <v>12.688000000000001</v>
      </c>
      <c r="F724">
        <v>523713.739</v>
      </c>
      <c r="G724">
        <v>0</v>
      </c>
      <c r="P724">
        <f t="shared" si="999"/>
        <v>0.22649572649572625</v>
      </c>
      <c r="Q724">
        <f t="shared" si="1000"/>
        <v>118618.92379059816</v>
      </c>
      <c r="R724">
        <f t="shared" si="1001"/>
        <v>11136258.545397267</v>
      </c>
      <c r="S724">
        <f t="shared" si="1002"/>
        <v>111.36258545397267</v>
      </c>
      <c r="T724">
        <f t="shared" si="1003"/>
        <v>0.11136258545397267</v>
      </c>
    </row>
    <row r="725" spans="1:20" x14ac:dyDescent="0.25">
      <c r="A725" s="5">
        <v>43868</v>
      </c>
      <c r="B725">
        <v>12.916</v>
      </c>
      <c r="C725">
        <v>13.29</v>
      </c>
      <c r="D725">
        <v>12.686999999999999</v>
      </c>
      <c r="E725">
        <v>12.792</v>
      </c>
      <c r="F725">
        <v>654253.84400000004</v>
      </c>
      <c r="G725">
        <v>0</v>
      </c>
      <c r="P725">
        <f t="shared" si="999"/>
        <v>-0.65174129353233679</v>
      </c>
      <c r="Q725">
        <f t="shared" si="1000"/>
        <v>-426404.24658706371</v>
      </c>
      <c r="R725">
        <f t="shared" si="1001"/>
        <v>11017639.621606668</v>
      </c>
      <c r="S725">
        <f t="shared" si="1002"/>
        <v>110.17639621606668</v>
      </c>
      <c r="T725">
        <f t="shared" si="1003"/>
        <v>0.11017639621606667</v>
      </c>
    </row>
    <row r="726" spans="1:20" x14ac:dyDescent="0.25">
      <c r="A726" s="5">
        <v>43867</v>
      </c>
      <c r="B726">
        <v>12.757</v>
      </c>
      <c r="C726">
        <v>13.206</v>
      </c>
      <c r="D726">
        <v>12.412000000000001</v>
      </c>
      <c r="E726">
        <v>12.914</v>
      </c>
      <c r="F726">
        <v>651321.39500000002</v>
      </c>
      <c r="G726">
        <v>0</v>
      </c>
      <c r="P726">
        <f t="shared" si="999"/>
        <v>0.26448362720402951</v>
      </c>
      <c r="Q726">
        <f t="shared" si="1000"/>
        <v>172263.84502518846</v>
      </c>
      <c r="R726">
        <f t="shared" si="1001"/>
        <v>11444043.868193733</v>
      </c>
      <c r="S726">
        <f t="shared" si="1002"/>
        <v>114.44043868193732</v>
      </c>
      <c r="T726">
        <f t="shared" si="1003"/>
        <v>0.11444043868193732</v>
      </c>
    </row>
    <row r="727" spans="1:20" x14ac:dyDescent="0.25">
      <c r="A727" s="5">
        <v>43866</v>
      </c>
      <c r="B727">
        <v>12.177</v>
      </c>
      <c r="C727">
        <v>12.912000000000001</v>
      </c>
      <c r="D727">
        <v>12.079000000000001</v>
      </c>
      <c r="E727">
        <v>12.762</v>
      </c>
      <c r="F727">
        <v>739128.23499999999</v>
      </c>
      <c r="G727">
        <v>0</v>
      </c>
      <c r="P727">
        <f t="shared" si="999"/>
        <v>0.63985594237694998</v>
      </c>
      <c r="Q727">
        <f t="shared" si="1000"/>
        <v>472935.59334333672</v>
      </c>
      <c r="R727">
        <f t="shared" si="1001"/>
        <v>11271780.023168543</v>
      </c>
      <c r="S727">
        <f t="shared" si="1002"/>
        <v>112.71780023168543</v>
      </c>
      <c r="T727">
        <f t="shared" si="1003"/>
        <v>0.11271780023168543</v>
      </c>
    </row>
    <row r="728" spans="1:20" x14ac:dyDescent="0.25">
      <c r="A728" s="5">
        <v>43865</v>
      </c>
      <c r="B728">
        <v>11.88</v>
      </c>
      <c r="C728">
        <v>12.323</v>
      </c>
      <c r="D728">
        <v>11.515000000000001</v>
      </c>
      <c r="E728">
        <v>12.177</v>
      </c>
      <c r="F728">
        <v>465527.93800000002</v>
      </c>
      <c r="G728">
        <v>0</v>
      </c>
      <c r="P728">
        <f t="shared" si="999"/>
        <v>0.63861386138613652</v>
      </c>
      <c r="Q728">
        <f t="shared" si="1000"/>
        <v>297292.59406930598</v>
      </c>
      <c r="R728">
        <f t="shared" si="1001"/>
        <v>10798844.429825207</v>
      </c>
      <c r="S728">
        <f t="shared" si="1002"/>
        <v>107.98844429825208</v>
      </c>
      <c r="T728">
        <f t="shared" si="1003"/>
        <v>0.10798844429825208</v>
      </c>
    </row>
    <row r="729" spans="1:20" x14ac:dyDescent="0.25">
      <c r="A729" s="5">
        <v>43864</v>
      </c>
      <c r="B729">
        <v>12.016</v>
      </c>
      <c r="C729">
        <v>12.348000000000001</v>
      </c>
      <c r="D729">
        <v>11.702999999999999</v>
      </c>
      <c r="E729">
        <v>11.88</v>
      </c>
      <c r="F729">
        <v>444079.07699999999</v>
      </c>
      <c r="G729">
        <v>0</v>
      </c>
      <c r="P729">
        <f t="shared" si="999"/>
        <v>-0.45116279069767129</v>
      </c>
      <c r="Q729">
        <f t="shared" si="1000"/>
        <v>-200351.95566976606</v>
      </c>
      <c r="R729">
        <f t="shared" si="1001"/>
        <v>10501551.835755901</v>
      </c>
      <c r="S729">
        <f t="shared" si="1002"/>
        <v>105.01551835755902</v>
      </c>
      <c r="T729">
        <f t="shared" si="1003"/>
        <v>0.10501551835755901</v>
      </c>
    </row>
    <row r="730" spans="1:20" x14ac:dyDescent="0.25">
      <c r="A730" s="5">
        <v>43863</v>
      </c>
      <c r="B730">
        <v>11.423</v>
      </c>
      <c r="C730">
        <v>12.577999999999999</v>
      </c>
      <c r="D730">
        <v>11.22</v>
      </c>
      <c r="E730">
        <v>12.016</v>
      </c>
      <c r="F730">
        <v>817053.49600000004</v>
      </c>
      <c r="G730">
        <v>0</v>
      </c>
      <c r="P730">
        <f t="shared" si="999"/>
        <v>0.17231222385861575</v>
      </c>
      <c r="Q730">
        <f t="shared" si="1000"/>
        <v>140788.3049072166</v>
      </c>
      <c r="R730">
        <f t="shared" si="1001"/>
        <v>10701903.791425668</v>
      </c>
      <c r="S730">
        <f t="shared" si="1002"/>
        <v>107.01903791425667</v>
      </c>
      <c r="T730">
        <f t="shared" si="1003"/>
        <v>0.10701903791425667</v>
      </c>
    </row>
    <row r="731" spans="1:20" x14ac:dyDescent="0.25">
      <c r="A731" s="5">
        <v>43862</v>
      </c>
      <c r="B731">
        <v>11.465</v>
      </c>
      <c r="C731">
        <v>11.637</v>
      </c>
      <c r="D731">
        <v>11.156000000000001</v>
      </c>
      <c r="E731">
        <v>11.422000000000001</v>
      </c>
      <c r="F731">
        <v>226389.34400000001</v>
      </c>
      <c r="G731">
        <v>0</v>
      </c>
      <c r="P731">
        <f t="shared" si="999"/>
        <v>0.10602910602910638</v>
      </c>
      <c r="Q731">
        <f t="shared" si="1000"/>
        <v>24003.859758835839</v>
      </c>
      <c r="R731">
        <f t="shared" si="1001"/>
        <v>10561115.486518452</v>
      </c>
      <c r="S731">
        <f t="shared" si="1002"/>
        <v>105.61115486518452</v>
      </c>
      <c r="T731">
        <f t="shared" si="1003"/>
        <v>0.10561115486518452</v>
      </c>
    </row>
    <row r="732" spans="1:20" x14ac:dyDescent="0.25">
      <c r="A732" s="5">
        <v>43861</v>
      </c>
      <c r="B732">
        <v>11.723000000000001</v>
      </c>
      <c r="C732">
        <v>11.739000000000001</v>
      </c>
      <c r="D732">
        <v>11.09</v>
      </c>
      <c r="E732">
        <v>11.452999999999999</v>
      </c>
      <c r="F732">
        <v>316918.97700000001</v>
      </c>
      <c r="G732">
        <v>0</v>
      </c>
      <c r="P732">
        <f t="shared" si="999"/>
        <v>0.1186440677966072</v>
      </c>
      <c r="Q732">
        <f t="shared" si="1000"/>
        <v>37600.5565932194</v>
      </c>
      <c r="R732">
        <f t="shared" si="1001"/>
        <v>10537111.626759617</v>
      </c>
      <c r="S732">
        <f t="shared" si="1002"/>
        <v>105.37111626759616</v>
      </c>
      <c r="T732">
        <f t="shared" si="1003"/>
        <v>0.10537111626759617</v>
      </c>
    </row>
    <row r="733" spans="1:20" x14ac:dyDescent="0.25">
      <c r="A733" s="5">
        <v>43860</v>
      </c>
      <c r="B733">
        <v>11.196999999999999</v>
      </c>
      <c r="C733">
        <v>11.811999999999999</v>
      </c>
      <c r="D733">
        <v>10.872999999999999</v>
      </c>
      <c r="E733">
        <v>11.734999999999999</v>
      </c>
      <c r="F733">
        <v>402914.10399999999</v>
      </c>
      <c r="G733">
        <v>0</v>
      </c>
      <c r="P733">
        <f t="shared" si="999"/>
        <v>0.83599574014909483</v>
      </c>
      <c r="Q733">
        <f t="shared" si="1000"/>
        <v>336834.47458998935</v>
      </c>
      <c r="R733">
        <f t="shared" si="1001"/>
        <v>10499511.070166398</v>
      </c>
      <c r="S733">
        <f t="shared" si="1002"/>
        <v>104.99511070166398</v>
      </c>
      <c r="T733">
        <f t="shared" si="1003"/>
        <v>0.10499511070166398</v>
      </c>
    </row>
    <row r="734" spans="1:20" x14ac:dyDescent="0.25">
      <c r="A734" s="5">
        <v>43859</v>
      </c>
      <c r="B734">
        <v>11.359</v>
      </c>
      <c r="C734">
        <v>11.696999999999999</v>
      </c>
      <c r="D734">
        <v>11.114000000000001</v>
      </c>
      <c r="E734">
        <v>11.201000000000001</v>
      </c>
      <c r="F734">
        <v>370792.44300000003</v>
      </c>
      <c r="G734">
        <v>0</v>
      </c>
      <c r="P734">
        <f t="shared" si="999"/>
        <v>-0.70154373927958835</v>
      </c>
      <c r="Q734">
        <f t="shared" si="1000"/>
        <v>-260127.11695883365</v>
      </c>
      <c r="R734">
        <f t="shared" si="1001"/>
        <v>10162676.595576409</v>
      </c>
      <c r="S734">
        <f t="shared" si="1002"/>
        <v>101.62676595576409</v>
      </c>
      <c r="T734">
        <f t="shared" si="1003"/>
        <v>0.10162676595576409</v>
      </c>
    </row>
    <row r="735" spans="1:20" x14ac:dyDescent="0.25">
      <c r="A735" s="5">
        <v>43858</v>
      </c>
      <c r="B735">
        <v>11.103</v>
      </c>
      <c r="C735">
        <v>11.419</v>
      </c>
      <c r="D735">
        <v>11.028</v>
      </c>
      <c r="E735">
        <v>11.36</v>
      </c>
      <c r="F735">
        <v>272951.565</v>
      </c>
      <c r="G735">
        <v>0</v>
      </c>
      <c r="P735">
        <f t="shared" si="999"/>
        <v>0.69820971867007131</v>
      </c>
      <c r="Q735">
        <f t="shared" si="1000"/>
        <v>190577.43540920567</v>
      </c>
      <c r="R735">
        <f t="shared" si="1001"/>
        <v>10422803.712535243</v>
      </c>
      <c r="S735">
        <f t="shared" si="1002"/>
        <v>104.22803712535243</v>
      </c>
      <c r="T735">
        <f t="shared" si="1003"/>
        <v>0.10422803712535243</v>
      </c>
    </row>
    <row r="736" spans="1:20" x14ac:dyDescent="0.25">
      <c r="A736" s="5">
        <v>43857</v>
      </c>
      <c r="B736">
        <v>10.797000000000001</v>
      </c>
      <c r="C736">
        <v>11.297000000000001</v>
      </c>
      <c r="D736">
        <v>10.686999999999999</v>
      </c>
      <c r="E736">
        <v>11.082000000000001</v>
      </c>
      <c r="F736">
        <v>297004.24699999997</v>
      </c>
      <c r="G736">
        <v>0</v>
      </c>
      <c r="P736">
        <f t="shared" si="999"/>
        <v>0.29508196721311664</v>
      </c>
      <c r="Q736">
        <f t="shared" si="1000"/>
        <v>87640.597475410381</v>
      </c>
      <c r="R736">
        <f t="shared" si="1001"/>
        <v>10232226.277126038</v>
      </c>
      <c r="S736">
        <f t="shared" si="1002"/>
        <v>102.32226277126038</v>
      </c>
      <c r="T736">
        <f t="shared" si="1003"/>
        <v>0.10232226277126039</v>
      </c>
    </row>
    <row r="737" spans="1:20" x14ac:dyDescent="0.25">
      <c r="A737" s="5">
        <v>43856</v>
      </c>
      <c r="B737">
        <v>10.337999999999999</v>
      </c>
      <c r="C737">
        <v>10.805999999999999</v>
      </c>
      <c r="D737">
        <v>10.263</v>
      </c>
      <c r="E737">
        <v>10.797000000000001</v>
      </c>
      <c r="F737">
        <v>151116.81200000001</v>
      </c>
      <c r="G737">
        <v>0</v>
      </c>
      <c r="P737">
        <f t="shared" si="999"/>
        <v>0.96685082872928696</v>
      </c>
      <c r="Q737">
        <f t="shared" si="1000"/>
        <v>146107.41491712787</v>
      </c>
      <c r="R737">
        <f t="shared" si="1001"/>
        <v>10144585.679650629</v>
      </c>
      <c r="S737">
        <f t="shared" si="1002"/>
        <v>101.44585679650629</v>
      </c>
      <c r="T737">
        <f t="shared" si="1003"/>
        <v>0.10144585679650629</v>
      </c>
    </row>
    <row r="738" spans="1:20" x14ac:dyDescent="0.25">
      <c r="A738" s="5">
        <v>43855</v>
      </c>
      <c r="B738">
        <v>10.51</v>
      </c>
      <c r="C738">
        <v>10.512</v>
      </c>
      <c r="D738">
        <v>10.19</v>
      </c>
      <c r="E738">
        <v>10.35</v>
      </c>
      <c r="F738">
        <v>89165.885999999999</v>
      </c>
      <c r="G738">
        <v>0</v>
      </c>
      <c r="P738">
        <f t="shared" si="999"/>
        <v>-6.2111801242256586E-3</v>
      </c>
      <c r="Q738">
        <f t="shared" si="1000"/>
        <v>-553.82537888217087</v>
      </c>
      <c r="R738">
        <f t="shared" si="1001"/>
        <v>9998478.2647335008</v>
      </c>
      <c r="S738">
        <f t="shared" si="1002"/>
        <v>99.98478264733501</v>
      </c>
      <c r="T738">
        <f t="shared" si="1003"/>
        <v>9.9984782647335013E-2</v>
      </c>
    </row>
    <row r="739" spans="1:20" x14ac:dyDescent="0.25">
      <c r="A739" s="5">
        <v>43854</v>
      </c>
      <c r="B739">
        <v>10.606999999999999</v>
      </c>
      <c r="C739">
        <v>10.692</v>
      </c>
      <c r="D739">
        <v>10.135999999999999</v>
      </c>
      <c r="E739">
        <v>10.510999999999999</v>
      </c>
      <c r="F739">
        <v>227104.984</v>
      </c>
      <c r="G739">
        <v>0</v>
      </c>
      <c r="P739">
        <f t="shared" si="999"/>
        <v>0.34892086330935024</v>
      </c>
      <c r="Q739">
        <f t="shared" si="1000"/>
        <v>79241.667079136168</v>
      </c>
      <c r="R739">
        <f t="shared" si="1001"/>
        <v>9999032.0901123825</v>
      </c>
      <c r="S739">
        <f t="shared" si="1002"/>
        <v>99.990320901123823</v>
      </c>
      <c r="T739">
        <f t="shared" si="1003"/>
        <v>9.9990320901123822E-2</v>
      </c>
    </row>
    <row r="740" spans="1:20" x14ac:dyDescent="0.25">
      <c r="A740" s="5">
        <v>43853</v>
      </c>
      <c r="B740">
        <v>11.260999999999999</v>
      </c>
      <c r="C740">
        <v>11.275</v>
      </c>
      <c r="D740">
        <v>10.388</v>
      </c>
      <c r="E740">
        <v>10.621</v>
      </c>
      <c r="F740">
        <v>274533.90399999998</v>
      </c>
      <c r="G740">
        <v>0</v>
      </c>
      <c r="P740">
        <f t="shared" si="999"/>
        <v>-0.47463359639233277</v>
      </c>
      <c r="Q740">
        <f t="shared" si="1000"/>
        <v>-130303.01418714742</v>
      </c>
      <c r="R740">
        <f t="shared" si="1001"/>
        <v>9919790.4230332468</v>
      </c>
      <c r="S740">
        <f t="shared" si="1002"/>
        <v>99.197904230332469</v>
      </c>
      <c r="T740">
        <f t="shared" si="1003"/>
        <v>9.9197904230332465E-2</v>
      </c>
    </row>
    <row r="741" spans="1:20" x14ac:dyDescent="0.25">
      <c r="A741" s="5">
        <v>43852</v>
      </c>
      <c r="B741">
        <v>11.23</v>
      </c>
      <c r="C741">
        <v>11.385</v>
      </c>
      <c r="D741">
        <v>11.135</v>
      </c>
      <c r="E741">
        <v>11.247</v>
      </c>
      <c r="F741">
        <v>145795.18299999999</v>
      </c>
      <c r="G741">
        <v>0</v>
      </c>
      <c r="P741">
        <f t="shared" si="999"/>
        <v>-0.1039999999999992</v>
      </c>
      <c r="Q741">
        <f t="shared" si="1000"/>
        <v>-15162.699031999882</v>
      </c>
      <c r="R741">
        <f t="shared" si="1001"/>
        <v>10050093.437220395</v>
      </c>
      <c r="S741">
        <f t="shared" si="1002"/>
        <v>100.50093437220394</v>
      </c>
      <c r="T741">
        <f t="shared" si="1003"/>
        <v>0.10050093437220395</v>
      </c>
    </row>
    <row r="742" spans="1:20" x14ac:dyDescent="0.25">
      <c r="A742" s="5">
        <v>43851</v>
      </c>
      <c r="B742">
        <v>11.118</v>
      </c>
      <c r="C742">
        <v>11.313000000000001</v>
      </c>
      <c r="D742">
        <v>10.83</v>
      </c>
      <c r="E742">
        <v>11.226000000000001</v>
      </c>
      <c r="F742">
        <v>167960.875</v>
      </c>
      <c r="G742">
        <v>0</v>
      </c>
      <c r="P742">
        <f t="shared" si="999"/>
        <v>0.63975155279503249</v>
      </c>
      <c r="Q742">
        <f t="shared" si="1000"/>
        <v>107453.23059006235</v>
      </c>
      <c r="R742">
        <f t="shared" si="1001"/>
        <v>10065256.136252394</v>
      </c>
      <c r="S742">
        <f t="shared" si="1002"/>
        <v>100.65256136252394</v>
      </c>
      <c r="T742">
        <f t="shared" si="1003"/>
        <v>0.10065256136252394</v>
      </c>
    </row>
    <row r="743" spans="1:20" x14ac:dyDescent="0.25">
      <c r="A743" s="5">
        <v>43850</v>
      </c>
      <c r="B743">
        <v>11.243</v>
      </c>
      <c r="C743">
        <v>11.317</v>
      </c>
      <c r="D743">
        <v>10.81</v>
      </c>
      <c r="E743">
        <v>11.114000000000001</v>
      </c>
      <c r="F743">
        <v>202813.26800000001</v>
      </c>
      <c r="G743">
        <v>0</v>
      </c>
      <c r="P743">
        <f t="shared" si="999"/>
        <v>0.19921104536489337</v>
      </c>
      <c r="Q743">
        <f t="shared" si="1000"/>
        <v>40402.643132150282</v>
      </c>
      <c r="R743">
        <f t="shared" si="1001"/>
        <v>9957802.9056623317</v>
      </c>
      <c r="S743">
        <f t="shared" si="1002"/>
        <v>99.578029056623322</v>
      </c>
      <c r="T743">
        <f t="shared" si="1003"/>
        <v>9.9578029056623316E-2</v>
      </c>
    </row>
    <row r="744" spans="1:20" x14ac:dyDescent="0.25">
      <c r="A744" s="5">
        <v>43849</v>
      </c>
      <c r="B744">
        <v>11.879</v>
      </c>
      <c r="C744">
        <v>12.218999999999999</v>
      </c>
      <c r="D744">
        <v>10.768000000000001</v>
      </c>
      <c r="E744">
        <v>11.244999999999999</v>
      </c>
      <c r="F744">
        <v>487727.55800000002</v>
      </c>
      <c r="G744">
        <v>0</v>
      </c>
      <c r="P744">
        <f t="shared" si="999"/>
        <v>-0.34252239834596976</v>
      </c>
      <c r="Q744">
        <f t="shared" si="1000"/>
        <v>-167057.61290558308</v>
      </c>
      <c r="R744">
        <f t="shared" si="1001"/>
        <v>9917400.2625301816</v>
      </c>
      <c r="S744">
        <f t="shared" si="1002"/>
        <v>99.17400262530181</v>
      </c>
      <c r="T744">
        <f t="shared" si="1003"/>
        <v>9.9174002625301808E-2</v>
      </c>
    </row>
    <row r="745" spans="1:20" x14ac:dyDescent="0.25">
      <c r="A745" s="5">
        <v>43848</v>
      </c>
      <c r="B745">
        <v>11.835000000000001</v>
      </c>
      <c r="C745">
        <v>12.339</v>
      </c>
      <c r="D745">
        <v>11.289</v>
      </c>
      <c r="E745">
        <v>11.875999999999999</v>
      </c>
      <c r="F745">
        <v>523426.44199999998</v>
      </c>
      <c r="G745">
        <v>0</v>
      </c>
      <c r="P745">
        <f t="shared" si="999"/>
        <v>0.11809523809523685</v>
      </c>
      <c r="Q745">
        <f t="shared" si="1000"/>
        <v>61814.170293332681</v>
      </c>
      <c r="R745">
        <f t="shared" si="1001"/>
        <v>10084457.875435764</v>
      </c>
      <c r="S745">
        <f t="shared" si="1002"/>
        <v>100.84457875435764</v>
      </c>
      <c r="T745">
        <f t="shared" si="1003"/>
        <v>0.10084457875435764</v>
      </c>
    </row>
    <row r="746" spans="1:20" x14ac:dyDescent="0.25">
      <c r="A746" s="5">
        <v>43847</v>
      </c>
      <c r="B746">
        <v>11.288</v>
      </c>
      <c r="C746">
        <v>11.955</v>
      </c>
      <c r="D746">
        <v>11.125</v>
      </c>
      <c r="E746">
        <v>11.848000000000001</v>
      </c>
      <c r="F746">
        <v>491456.57400000002</v>
      </c>
      <c r="G746">
        <v>0</v>
      </c>
      <c r="P746">
        <f t="shared" si="999"/>
        <v>0.74216867469879688</v>
      </c>
      <c r="Q746">
        <f t="shared" si="1000"/>
        <v>364743.6741975912</v>
      </c>
      <c r="R746">
        <f t="shared" si="1001"/>
        <v>10022643.705142431</v>
      </c>
      <c r="S746">
        <f t="shared" si="1002"/>
        <v>100.22643705142431</v>
      </c>
      <c r="T746">
        <f t="shared" si="1003"/>
        <v>0.10022643705142431</v>
      </c>
    </row>
    <row r="747" spans="1:20" x14ac:dyDescent="0.25">
      <c r="A747" s="5">
        <v>43846</v>
      </c>
      <c r="B747">
        <v>11.414999999999999</v>
      </c>
      <c r="C747">
        <v>11.598000000000001</v>
      </c>
      <c r="D747">
        <v>10.725</v>
      </c>
      <c r="E747">
        <v>11.271000000000001</v>
      </c>
      <c r="F747">
        <v>472913.2</v>
      </c>
      <c r="G747">
        <v>0</v>
      </c>
      <c r="P747">
        <f t="shared" si="999"/>
        <v>0.25085910652921067</v>
      </c>
      <c r="Q747">
        <f t="shared" si="1000"/>
        <v>118634.58281786992</v>
      </c>
      <c r="R747">
        <f t="shared" si="1001"/>
        <v>9657900.0309448391</v>
      </c>
      <c r="S747">
        <f t="shared" si="1002"/>
        <v>96.579000309448389</v>
      </c>
      <c r="T747">
        <f t="shared" si="1003"/>
        <v>9.6579000309448396E-2</v>
      </c>
    </row>
    <row r="748" spans="1:20" x14ac:dyDescent="0.25">
      <c r="A748" s="5">
        <v>43845</v>
      </c>
      <c r="B748">
        <v>11.202999999999999</v>
      </c>
      <c r="C748">
        <v>12</v>
      </c>
      <c r="D748">
        <v>10.714</v>
      </c>
      <c r="E748">
        <v>11.412000000000001</v>
      </c>
      <c r="F748">
        <v>708069.87699999998</v>
      </c>
      <c r="G748">
        <v>0</v>
      </c>
      <c r="P748">
        <f t="shared" si="999"/>
        <v>8.5536547433904542E-2</v>
      </c>
      <c r="Q748">
        <f t="shared" si="1000"/>
        <v>60565.852620529455</v>
      </c>
      <c r="R748">
        <f t="shared" si="1001"/>
        <v>9539265.4481269699</v>
      </c>
      <c r="S748">
        <f t="shared" si="1002"/>
        <v>95.392654481269702</v>
      </c>
      <c r="T748">
        <f t="shared" si="1003"/>
        <v>9.5392654481269698E-2</v>
      </c>
    </row>
    <row r="749" spans="1:20" x14ac:dyDescent="0.25">
      <c r="A749" s="5">
        <v>43844</v>
      </c>
      <c r="B749">
        <v>10.007999999999999</v>
      </c>
      <c r="C749">
        <v>11.69</v>
      </c>
      <c r="D749">
        <v>10.007999999999999</v>
      </c>
      <c r="E749">
        <v>11.204000000000001</v>
      </c>
      <c r="F749">
        <v>890609.33700000006</v>
      </c>
      <c r="G749">
        <v>0</v>
      </c>
      <c r="P749">
        <f t="shared" si="999"/>
        <v>0.42211652794292653</v>
      </c>
      <c r="Q749">
        <f t="shared" si="1000"/>
        <v>375940.9210879918</v>
      </c>
      <c r="R749">
        <f t="shared" si="1001"/>
        <v>9478699.5955064408</v>
      </c>
      <c r="S749">
        <f t="shared" si="1002"/>
        <v>94.786995955064413</v>
      </c>
      <c r="T749">
        <f t="shared" si="1003"/>
        <v>9.4786995955064415E-2</v>
      </c>
    </row>
    <row r="750" spans="1:20" x14ac:dyDescent="0.25">
      <c r="A750" s="5">
        <v>43843</v>
      </c>
      <c r="B750">
        <v>10.266</v>
      </c>
      <c r="C750">
        <v>10.301</v>
      </c>
      <c r="D750">
        <v>9.8049999999999997</v>
      </c>
      <c r="E750">
        <v>10</v>
      </c>
      <c r="F750">
        <v>196036.19</v>
      </c>
      <c r="G750">
        <v>0</v>
      </c>
      <c r="P750">
        <f t="shared" si="999"/>
        <v>-0.2137096774193544</v>
      </c>
      <c r="Q750">
        <f t="shared" si="1000"/>
        <v>-41894.830927419272</v>
      </c>
      <c r="R750">
        <f t="shared" si="1001"/>
        <v>9102758.6744184494</v>
      </c>
      <c r="S750">
        <f t="shared" si="1002"/>
        <v>91.027586744184489</v>
      </c>
      <c r="T750">
        <f t="shared" si="1003"/>
        <v>9.1027586744184485E-2</v>
      </c>
    </row>
    <row r="751" spans="1:20" x14ac:dyDescent="0.25">
      <c r="A751" s="5">
        <v>43842</v>
      </c>
      <c r="B751">
        <v>9.6869999999999994</v>
      </c>
      <c r="C751">
        <v>10.44</v>
      </c>
      <c r="D751">
        <v>9.6159999999999997</v>
      </c>
      <c r="E751">
        <v>10.271000000000001</v>
      </c>
      <c r="F751">
        <v>364017.408</v>
      </c>
      <c r="G751">
        <v>0</v>
      </c>
      <c r="P751">
        <f t="shared" si="999"/>
        <v>0.58980582524272152</v>
      </c>
      <c r="Q751">
        <f t="shared" si="1000"/>
        <v>214699.58772815645</v>
      </c>
      <c r="R751">
        <f t="shared" si="1001"/>
        <v>9144653.5053458679</v>
      </c>
      <c r="S751">
        <f t="shared" si="1002"/>
        <v>91.446535053458675</v>
      </c>
      <c r="T751">
        <f t="shared" si="1003"/>
        <v>9.1446535053458677E-2</v>
      </c>
    </row>
    <row r="752" spans="1:20" x14ac:dyDescent="0.25">
      <c r="A752" s="5">
        <v>43841</v>
      </c>
      <c r="B752">
        <v>9.8740000000000006</v>
      </c>
      <c r="C752">
        <v>10.048999999999999</v>
      </c>
      <c r="D752">
        <v>9.5760000000000005</v>
      </c>
      <c r="E752">
        <v>9.6959999999999997</v>
      </c>
      <c r="F752">
        <v>223678.48699999999</v>
      </c>
      <c r="G752">
        <v>0</v>
      </c>
      <c r="P752">
        <f t="shared" si="999"/>
        <v>-0.49260042283298316</v>
      </c>
      <c r="Q752">
        <f t="shared" si="1000"/>
        <v>-110184.11727484192</v>
      </c>
      <c r="R752">
        <f t="shared" si="1001"/>
        <v>8929953.9176177122</v>
      </c>
      <c r="S752">
        <f t="shared" si="1002"/>
        <v>89.29953917617712</v>
      </c>
      <c r="T752">
        <f t="shared" si="1003"/>
        <v>8.9299539176177126E-2</v>
      </c>
    </row>
    <row r="753" spans="1:20" x14ac:dyDescent="0.25">
      <c r="A753" s="5">
        <v>43840</v>
      </c>
      <c r="B753">
        <v>9.3680000000000003</v>
      </c>
      <c r="C753">
        <v>9.8989999999999991</v>
      </c>
      <c r="D753">
        <v>9.0419999999999998</v>
      </c>
      <c r="E753">
        <v>9.8620000000000001</v>
      </c>
      <c r="F753">
        <v>240215.052</v>
      </c>
      <c r="G753">
        <v>0</v>
      </c>
      <c r="P753">
        <f t="shared" si="999"/>
        <v>0.9136522753792321</v>
      </c>
      <c r="Q753">
        <f t="shared" si="1000"/>
        <v>219473.02884014056</v>
      </c>
      <c r="R753">
        <f t="shared" si="1001"/>
        <v>9040138.0348925535</v>
      </c>
      <c r="S753">
        <f t="shared" si="1002"/>
        <v>90.401380348925528</v>
      </c>
      <c r="T753">
        <f t="shared" si="1003"/>
        <v>9.0401380348925531E-2</v>
      </c>
    </row>
    <row r="754" spans="1:20" x14ac:dyDescent="0.25">
      <c r="A754" s="5">
        <v>43839</v>
      </c>
      <c r="B754">
        <v>9.4649999999999999</v>
      </c>
      <c r="C754">
        <v>9.5210000000000008</v>
      </c>
      <c r="D754">
        <v>9.31</v>
      </c>
      <c r="E754">
        <v>9.3870000000000005</v>
      </c>
      <c r="F754">
        <v>127109.132</v>
      </c>
      <c r="G754">
        <v>0</v>
      </c>
      <c r="P754">
        <f t="shared" si="999"/>
        <v>-0.27014218009478819</v>
      </c>
      <c r="Q754">
        <f t="shared" si="1000"/>
        <v>-34337.538028436204</v>
      </c>
      <c r="R754">
        <f t="shared" si="1001"/>
        <v>8820665.0060524121</v>
      </c>
      <c r="S754">
        <f t="shared" si="1002"/>
        <v>88.206650060524126</v>
      </c>
      <c r="T754">
        <f t="shared" si="1003"/>
        <v>8.8206650060524125E-2</v>
      </c>
    </row>
    <row r="755" spans="1:20" x14ac:dyDescent="0.25">
      <c r="A755" s="5">
        <v>43838</v>
      </c>
      <c r="B755">
        <v>9.8049999999999997</v>
      </c>
      <c r="C755">
        <v>10.198</v>
      </c>
      <c r="D755">
        <v>9.3000000000000007</v>
      </c>
      <c r="E755">
        <v>9.4480000000000004</v>
      </c>
      <c r="F755">
        <v>327148.53000000003</v>
      </c>
      <c r="G755">
        <v>0</v>
      </c>
      <c r="P755">
        <f t="shared" si="999"/>
        <v>-0.67037861915367536</v>
      </c>
      <c r="Q755">
        <f t="shared" si="1000"/>
        <v>-219313.37979955476</v>
      </c>
      <c r="R755">
        <f t="shared" si="1001"/>
        <v>8855002.5440808479</v>
      </c>
      <c r="S755">
        <f t="shared" si="1002"/>
        <v>88.550025440808483</v>
      </c>
      <c r="T755">
        <f t="shared" si="1003"/>
        <v>8.8550025440808477E-2</v>
      </c>
    </row>
    <row r="756" spans="1:20" x14ac:dyDescent="0.25">
      <c r="A756" s="5">
        <v>43837</v>
      </c>
      <c r="B756">
        <v>9.7710000000000008</v>
      </c>
      <c r="C756">
        <v>9.9429999999999996</v>
      </c>
      <c r="D756">
        <v>9.3629999999999995</v>
      </c>
      <c r="E756">
        <v>9.8010000000000002</v>
      </c>
      <c r="F756">
        <v>306075.52399999998</v>
      </c>
      <c r="G756">
        <v>0</v>
      </c>
      <c r="P756">
        <f t="shared" si="999"/>
        <v>0.5103448275862088</v>
      </c>
      <c r="Q756">
        <f t="shared" si="1000"/>
        <v>156204.06052413851</v>
      </c>
      <c r="R756">
        <f t="shared" si="1001"/>
        <v>9074315.923880402</v>
      </c>
      <c r="S756">
        <f t="shared" si="1002"/>
        <v>90.743159238804026</v>
      </c>
      <c r="T756">
        <f t="shared" si="1003"/>
        <v>9.0743159238804022E-2</v>
      </c>
    </row>
    <row r="757" spans="1:20" x14ac:dyDescent="0.25">
      <c r="A757" s="5">
        <v>43836</v>
      </c>
      <c r="B757">
        <v>9.0079999999999991</v>
      </c>
      <c r="C757">
        <v>9.8000000000000007</v>
      </c>
      <c r="D757">
        <v>8.9879999999999995</v>
      </c>
      <c r="E757">
        <v>9.7569999999999997</v>
      </c>
      <c r="F757">
        <v>410209.61300000001</v>
      </c>
      <c r="G757">
        <v>0</v>
      </c>
      <c r="P757">
        <f t="shared" si="999"/>
        <v>0.89408866995073655</v>
      </c>
      <c r="Q757">
        <f t="shared" si="1000"/>
        <v>366763.7672881764</v>
      </c>
      <c r="R757">
        <f t="shared" si="1001"/>
        <v>8918111.8633562643</v>
      </c>
      <c r="S757">
        <f t="shared" si="1002"/>
        <v>89.181118633562647</v>
      </c>
      <c r="T757">
        <f t="shared" si="1003"/>
        <v>8.918111863356265E-2</v>
      </c>
    </row>
    <row r="758" spans="1:20" x14ac:dyDescent="0.25">
      <c r="A758" s="5">
        <v>43835</v>
      </c>
      <c r="B758">
        <v>9.0850000000000009</v>
      </c>
      <c r="C758">
        <v>9.2449999999999992</v>
      </c>
      <c r="D758">
        <v>8.9640000000000004</v>
      </c>
      <c r="E758">
        <v>9.02</v>
      </c>
      <c r="F758">
        <v>126171.541</v>
      </c>
      <c r="G758">
        <v>0</v>
      </c>
      <c r="P758">
        <f t="shared" si="999"/>
        <v>-0.60142348754448827</v>
      </c>
      <c r="Q758">
        <f t="shared" si="1000"/>
        <v>-75882.528217082392</v>
      </c>
      <c r="R758">
        <f t="shared" si="1001"/>
        <v>8551348.096068088</v>
      </c>
      <c r="S758">
        <f t="shared" si="1002"/>
        <v>85.51348096068088</v>
      </c>
      <c r="T758">
        <f t="shared" si="1003"/>
        <v>8.5513480960680885E-2</v>
      </c>
    </row>
    <row r="759" spans="1:20" x14ac:dyDescent="0.25">
      <c r="A759" s="5">
        <v>43834</v>
      </c>
      <c r="B759">
        <v>8.8849999999999998</v>
      </c>
      <c r="C759">
        <v>9.1</v>
      </c>
      <c r="D759">
        <v>8.7789999999999999</v>
      </c>
      <c r="E759">
        <v>9.077</v>
      </c>
      <c r="F759">
        <v>112615.86500000001</v>
      </c>
      <c r="G759">
        <v>0</v>
      </c>
      <c r="P759">
        <f t="shared" si="999"/>
        <v>0.85669781931464362</v>
      </c>
      <c r="Q759">
        <f t="shared" si="1000"/>
        <v>96477.765965732309</v>
      </c>
      <c r="R759">
        <f t="shared" si="1001"/>
        <v>8627230.6242851708</v>
      </c>
      <c r="S759">
        <f t="shared" si="1002"/>
        <v>86.272306242851712</v>
      </c>
      <c r="T759">
        <f t="shared" si="1003"/>
        <v>8.6272306242851718E-2</v>
      </c>
    </row>
    <row r="760" spans="1:20" x14ac:dyDescent="0.25">
      <c r="A760" s="5">
        <v>43833</v>
      </c>
      <c r="B760">
        <v>8.4629999999999992</v>
      </c>
      <c r="C760">
        <v>9.0180000000000007</v>
      </c>
      <c r="D760">
        <v>8.3209999999999997</v>
      </c>
      <c r="E760">
        <v>8.8879999999999999</v>
      </c>
      <c r="F760">
        <v>190855.56299999999</v>
      </c>
      <c r="G760">
        <v>0</v>
      </c>
      <c r="P760">
        <f t="shared" si="999"/>
        <v>0.62697274031563677</v>
      </c>
      <c r="Q760">
        <f t="shared" si="1000"/>
        <v>119661.23533859364</v>
      </c>
      <c r="R760">
        <f t="shared" si="1001"/>
        <v>8530752.858319439</v>
      </c>
      <c r="S760">
        <f t="shared" si="1002"/>
        <v>85.307528583194383</v>
      </c>
      <c r="T760">
        <f t="shared" si="1003"/>
        <v>8.5307528583194389E-2</v>
      </c>
    </row>
    <row r="761" spans="1:20" x14ac:dyDescent="0.25">
      <c r="A761" s="5">
        <v>43832</v>
      </c>
      <c r="B761">
        <v>8.8460000000000001</v>
      </c>
      <c r="C761">
        <v>8.8490000000000002</v>
      </c>
      <c r="D761">
        <v>8.4459999999999997</v>
      </c>
      <c r="E761">
        <v>8.4619999999999997</v>
      </c>
      <c r="F761">
        <v>145283.853</v>
      </c>
      <c r="G761">
        <v>0</v>
      </c>
      <c r="P761">
        <f t="shared" si="999"/>
        <v>-0.92059553349875933</v>
      </c>
      <c r="Q761">
        <f t="shared" si="1000"/>
        <v>-133747.66616129034</v>
      </c>
      <c r="R761">
        <f t="shared" si="1001"/>
        <v>8411091.6229808461</v>
      </c>
      <c r="S761">
        <f t="shared" si="1002"/>
        <v>84.110916229808467</v>
      </c>
      <c r="T761">
        <f t="shared" si="1003"/>
        <v>8.4110916229808472E-2</v>
      </c>
    </row>
    <row r="762" spans="1:20" x14ac:dyDescent="0.25">
      <c r="A762" s="5">
        <v>43831</v>
      </c>
      <c r="B762">
        <v>8.6739999999999995</v>
      </c>
      <c r="C762">
        <v>9</v>
      </c>
      <c r="D762">
        <v>8.6319999999999997</v>
      </c>
      <c r="E762">
        <v>8.85</v>
      </c>
      <c r="F762">
        <v>105961.47199999999</v>
      </c>
      <c r="G762">
        <v>0</v>
      </c>
      <c r="P762">
        <f t="shared" si="999"/>
        <v>0.18478260869565097</v>
      </c>
      <c r="Q762">
        <f t="shared" si="1000"/>
        <v>19579.837217391174</v>
      </c>
      <c r="R762">
        <f t="shared" si="1001"/>
        <v>8544839.2891421355</v>
      </c>
      <c r="S762">
        <f t="shared" si="1002"/>
        <v>85.448392891421349</v>
      </c>
      <c r="T762">
        <f t="shared" si="1003"/>
        <v>8.5448392891421351E-2</v>
      </c>
    </row>
    <row r="763" spans="1:20" x14ac:dyDescent="0.25">
      <c r="A763" s="5">
        <v>43830</v>
      </c>
      <c r="B763">
        <v>8.9559999999999995</v>
      </c>
      <c r="C763">
        <v>9.0510000000000002</v>
      </c>
      <c r="D763">
        <v>8.61</v>
      </c>
      <c r="E763">
        <v>8.6780000000000008</v>
      </c>
      <c r="F763">
        <v>138111.94</v>
      </c>
      <c r="G763">
        <v>0</v>
      </c>
      <c r="P763">
        <f t="shared" si="999"/>
        <v>-0.69160997732425722</v>
      </c>
      <c r="Q763">
        <f t="shared" si="1000"/>
        <v>-95519.595691609182</v>
      </c>
      <c r="R763">
        <f t="shared" si="1001"/>
        <v>8525259.451924745</v>
      </c>
      <c r="S763">
        <f t="shared" si="1002"/>
        <v>85.252594519247452</v>
      </c>
      <c r="T763">
        <f t="shared" si="1003"/>
        <v>8.5252594519247452E-2</v>
      </c>
    </row>
    <row r="764" spans="1:20" x14ac:dyDescent="0.25">
      <c r="A764" s="5">
        <v>43829</v>
      </c>
      <c r="B764">
        <v>9.202</v>
      </c>
      <c r="C764">
        <v>9.266</v>
      </c>
      <c r="D764">
        <v>8.8849999999999998</v>
      </c>
      <c r="E764">
        <v>8.9429999999999996</v>
      </c>
      <c r="F764">
        <v>221594.09899999999</v>
      </c>
      <c r="G764">
        <v>0</v>
      </c>
      <c r="P764">
        <f t="shared" si="999"/>
        <v>-0.69553805774278321</v>
      </c>
      <c r="Q764">
        <f t="shared" si="1000"/>
        <v>-154127.12922572202</v>
      </c>
      <c r="R764">
        <f t="shared" si="1001"/>
        <v>8620779.0476163533</v>
      </c>
      <c r="S764">
        <f t="shared" si="1002"/>
        <v>86.207790476163538</v>
      </c>
      <c r="T764">
        <f t="shared" si="1003"/>
        <v>8.6207790476163532E-2</v>
      </c>
    </row>
    <row r="765" spans="1:20" x14ac:dyDescent="0.25">
      <c r="A765" s="5">
        <v>43828</v>
      </c>
      <c r="B765">
        <v>8.7690000000000001</v>
      </c>
      <c r="C765">
        <v>9.3629999999999995</v>
      </c>
      <c r="D765">
        <v>8.7579999999999991</v>
      </c>
      <c r="E765">
        <v>9.2010000000000005</v>
      </c>
      <c r="F765">
        <v>334386.36800000002</v>
      </c>
      <c r="G765">
        <v>0</v>
      </c>
      <c r="P765">
        <f t="shared" si="999"/>
        <v>0.46446280991735894</v>
      </c>
      <c r="Q765">
        <f t="shared" si="1000"/>
        <v>155310.03207934005</v>
      </c>
      <c r="R765">
        <f t="shared" si="1001"/>
        <v>8774906.1768420748</v>
      </c>
      <c r="S765">
        <f t="shared" si="1002"/>
        <v>87.749061768420745</v>
      </c>
      <c r="T765">
        <f t="shared" si="1003"/>
        <v>8.7749061768420747E-2</v>
      </c>
    </row>
    <row r="766" spans="1:20" x14ac:dyDescent="0.25">
      <c r="A766" s="5">
        <v>43827</v>
      </c>
      <c r="B766">
        <v>8.7230000000000008</v>
      </c>
      <c r="C766">
        <v>8.843</v>
      </c>
      <c r="D766">
        <v>8.6639999999999997</v>
      </c>
      <c r="E766">
        <v>8.766</v>
      </c>
      <c r="F766">
        <v>154084.17300000001</v>
      </c>
      <c r="G766">
        <v>0</v>
      </c>
      <c r="P766">
        <f t="shared" si="999"/>
        <v>0.13966480446927551</v>
      </c>
      <c r="Q766">
        <f t="shared" si="1000"/>
        <v>21520.135893855022</v>
      </c>
      <c r="R766">
        <f t="shared" si="1001"/>
        <v>8619596.144762734</v>
      </c>
      <c r="S766">
        <f t="shared" si="1002"/>
        <v>86.19596144762734</v>
      </c>
      <c r="T766">
        <f t="shared" si="1003"/>
        <v>8.6195961447627339E-2</v>
      </c>
    </row>
    <row r="767" spans="1:20" x14ac:dyDescent="0.25">
      <c r="A767" s="5">
        <v>43826</v>
      </c>
      <c r="B767">
        <v>8.516</v>
      </c>
      <c r="C767">
        <v>8.7539999999999996</v>
      </c>
      <c r="D767">
        <v>8.4670000000000005</v>
      </c>
      <c r="E767">
        <v>8.7230000000000008</v>
      </c>
      <c r="F767">
        <v>206258.15100000001</v>
      </c>
      <c r="G767">
        <v>0</v>
      </c>
      <c r="P767">
        <f t="shared" ref="P767:P830" si="1004">IF(C767=D767,0,((E767-D767)-(C767-E767))/(C767-D767))</f>
        <v>0.78397212543554762</v>
      </c>
      <c r="Q767">
        <f t="shared" ref="Q767:Q830" si="1005">F767*P767</f>
        <v>161700.64102787612</v>
      </c>
      <c r="R767">
        <f t="shared" ref="R767:R830" si="1006">R768+Q767</f>
        <v>8598076.0088688787</v>
      </c>
      <c r="S767">
        <f t="shared" ref="S767:S830" si="1007">R767/100000</f>
        <v>85.980760088688783</v>
      </c>
      <c r="T767">
        <f t="shared" ref="T767:T830" si="1008">S767/1000</f>
        <v>8.5980760088688782E-2</v>
      </c>
    </row>
    <row r="768" spans="1:20" x14ac:dyDescent="0.25">
      <c r="A768" s="5">
        <v>43825</v>
      </c>
      <c r="B768">
        <v>8.6010000000000009</v>
      </c>
      <c r="C768">
        <v>8.85</v>
      </c>
      <c r="D768">
        <v>8.4819999999999993</v>
      </c>
      <c r="E768">
        <v>8.5250000000000004</v>
      </c>
      <c r="F768">
        <v>189470.446</v>
      </c>
      <c r="G768">
        <v>0</v>
      </c>
      <c r="P768">
        <f t="shared" si="1004"/>
        <v>-0.76630434782608148</v>
      </c>
      <c r="Q768">
        <f t="shared" si="1005"/>
        <v>-145192.02655434678</v>
      </c>
      <c r="R768">
        <f t="shared" si="1006"/>
        <v>8436375.3678410035</v>
      </c>
      <c r="S768">
        <f t="shared" si="1007"/>
        <v>84.363753678410035</v>
      </c>
      <c r="T768">
        <f t="shared" si="1008"/>
        <v>8.4363753678410036E-2</v>
      </c>
    </row>
    <row r="769" spans="1:20" x14ac:dyDescent="0.25">
      <c r="A769" s="5">
        <v>43824</v>
      </c>
      <c r="B769">
        <v>8.702</v>
      </c>
      <c r="C769">
        <v>8.7230000000000008</v>
      </c>
      <c r="D769">
        <v>8.4440000000000008</v>
      </c>
      <c r="E769">
        <v>8.6010000000000009</v>
      </c>
      <c r="F769">
        <v>85595.982999999993</v>
      </c>
      <c r="G769">
        <v>0</v>
      </c>
      <c r="P769">
        <f t="shared" si="1004"/>
        <v>0.12544802867383567</v>
      </c>
      <c r="Q769">
        <f t="shared" si="1005"/>
        <v>10737.847329749149</v>
      </c>
      <c r="R769">
        <f t="shared" si="1006"/>
        <v>8581567.3943953495</v>
      </c>
      <c r="S769">
        <f t="shared" si="1007"/>
        <v>85.815673943953499</v>
      </c>
      <c r="T769">
        <f t="shared" si="1008"/>
        <v>8.5815673943953494E-2</v>
      </c>
    </row>
    <row r="770" spans="1:20" x14ac:dyDescent="0.25">
      <c r="A770" s="5">
        <v>43823</v>
      </c>
      <c r="B770">
        <v>8.5429999999999993</v>
      </c>
      <c r="C770">
        <v>8.8620000000000001</v>
      </c>
      <c r="D770">
        <v>8.4529999999999994</v>
      </c>
      <c r="E770">
        <v>8.6950000000000003</v>
      </c>
      <c r="F770">
        <v>121120.05899999999</v>
      </c>
      <c r="G770">
        <v>0</v>
      </c>
      <c r="P770">
        <f t="shared" si="1004"/>
        <v>0.18337408312958664</v>
      </c>
      <c r="Q770">
        <f t="shared" si="1005"/>
        <v>22210.279767726439</v>
      </c>
      <c r="R770">
        <f t="shared" si="1006"/>
        <v>8570829.5470656008</v>
      </c>
      <c r="S770">
        <f t="shared" si="1007"/>
        <v>85.708295470656012</v>
      </c>
      <c r="T770">
        <f t="shared" si="1008"/>
        <v>8.5708295470656018E-2</v>
      </c>
    </row>
    <row r="771" spans="1:20" x14ac:dyDescent="0.25">
      <c r="A771" s="5">
        <v>43822</v>
      </c>
      <c r="B771">
        <v>8.8979999999999997</v>
      </c>
      <c r="C771">
        <v>9.0120000000000005</v>
      </c>
      <c r="D771">
        <v>8.5020000000000007</v>
      </c>
      <c r="E771">
        <v>8.5579999999999998</v>
      </c>
      <c r="F771">
        <v>191324.88200000001</v>
      </c>
      <c r="G771">
        <v>0</v>
      </c>
      <c r="P771">
        <f t="shared" si="1004"/>
        <v>-0.78039215686274832</v>
      </c>
      <c r="Q771">
        <f t="shared" si="1005"/>
        <v>-149308.43732549081</v>
      </c>
      <c r="R771">
        <f t="shared" si="1006"/>
        <v>8548619.2672978751</v>
      </c>
      <c r="S771">
        <f t="shared" si="1007"/>
        <v>85.486192672978746</v>
      </c>
      <c r="T771">
        <f t="shared" si="1008"/>
        <v>8.5486192672978745E-2</v>
      </c>
    </row>
    <row r="772" spans="1:20" x14ac:dyDescent="0.25">
      <c r="A772" s="5">
        <v>43821</v>
      </c>
      <c r="B772">
        <v>8.5</v>
      </c>
      <c r="C772">
        <v>8.9239999999999995</v>
      </c>
      <c r="D772">
        <v>8.48</v>
      </c>
      <c r="E772">
        <v>8.8800000000000008</v>
      </c>
      <c r="F772">
        <v>155956.46799999999</v>
      </c>
      <c r="G772">
        <v>0</v>
      </c>
      <c r="P772">
        <f t="shared" si="1004"/>
        <v>0.80180180180180716</v>
      </c>
      <c r="Q772">
        <f t="shared" si="1005"/>
        <v>125046.17704504587</v>
      </c>
      <c r="R772">
        <f t="shared" si="1006"/>
        <v>8697927.7046233658</v>
      </c>
      <c r="S772">
        <f t="shared" si="1007"/>
        <v>86.979277046233662</v>
      </c>
      <c r="T772">
        <f t="shared" si="1008"/>
        <v>8.6979277046233663E-2</v>
      </c>
    </row>
    <row r="773" spans="1:20" x14ac:dyDescent="0.25">
      <c r="A773" s="5">
        <v>43820</v>
      </c>
      <c r="B773">
        <v>8.6120000000000001</v>
      </c>
      <c r="C773">
        <v>8.6120000000000001</v>
      </c>
      <c r="D773">
        <v>8.452</v>
      </c>
      <c r="E773">
        <v>8.5030000000000001</v>
      </c>
      <c r="F773">
        <v>63137.843999999997</v>
      </c>
      <c r="G773">
        <v>0</v>
      </c>
      <c r="P773">
        <f t="shared" si="1004"/>
        <v>-0.3624999999999986</v>
      </c>
      <c r="Q773">
        <f t="shared" si="1005"/>
        <v>-22887.468449999909</v>
      </c>
      <c r="R773">
        <f t="shared" si="1006"/>
        <v>8572881.5275783204</v>
      </c>
      <c r="S773">
        <f t="shared" si="1007"/>
        <v>85.728815275783205</v>
      </c>
      <c r="T773">
        <f t="shared" si="1008"/>
        <v>8.5728815275783202E-2</v>
      </c>
    </row>
    <row r="774" spans="1:20" x14ac:dyDescent="0.25">
      <c r="A774" s="5">
        <v>43819</v>
      </c>
      <c r="B774">
        <v>8.5850000000000009</v>
      </c>
      <c r="C774">
        <v>8.6999999999999993</v>
      </c>
      <c r="D774">
        <v>8.4570000000000007</v>
      </c>
      <c r="E774">
        <v>8.6010000000000009</v>
      </c>
      <c r="F774">
        <v>76772.611000000004</v>
      </c>
      <c r="G774">
        <v>0</v>
      </c>
      <c r="P774">
        <f t="shared" si="1004"/>
        <v>0.18518518518519331</v>
      </c>
      <c r="Q774">
        <f t="shared" si="1005"/>
        <v>14217.15018518581</v>
      </c>
      <c r="R774">
        <f t="shared" si="1006"/>
        <v>8595768.9960283209</v>
      </c>
      <c r="S774">
        <f t="shared" si="1007"/>
        <v>85.957689960283204</v>
      </c>
      <c r="T774">
        <f t="shared" si="1008"/>
        <v>8.5957689960283204E-2</v>
      </c>
    </row>
    <row r="775" spans="1:20" x14ac:dyDescent="0.25">
      <c r="A775" s="5">
        <v>43818</v>
      </c>
      <c r="B775">
        <v>8.7850000000000001</v>
      </c>
      <c r="C775">
        <v>8.85</v>
      </c>
      <c r="D775">
        <v>8.4789999999999992</v>
      </c>
      <c r="E775">
        <v>8.5850000000000009</v>
      </c>
      <c r="F775">
        <v>129356.198</v>
      </c>
      <c r="G775">
        <v>0</v>
      </c>
      <c r="P775">
        <f t="shared" si="1004"/>
        <v>-0.42857142857142039</v>
      </c>
      <c r="Q775">
        <f t="shared" si="1005"/>
        <v>-55438.370571427513</v>
      </c>
      <c r="R775">
        <f t="shared" si="1006"/>
        <v>8581551.8458431344</v>
      </c>
      <c r="S775">
        <f t="shared" si="1007"/>
        <v>85.815518458431342</v>
      </c>
      <c r="T775">
        <f t="shared" si="1008"/>
        <v>8.5815518458431342E-2</v>
      </c>
    </row>
    <row r="776" spans="1:20" x14ac:dyDescent="0.25">
      <c r="A776" s="5">
        <v>43817</v>
      </c>
      <c r="B776">
        <v>7.8819999999999997</v>
      </c>
      <c r="C776">
        <v>8.8989999999999991</v>
      </c>
      <c r="D776">
        <v>7.7489999999999997</v>
      </c>
      <c r="E776">
        <v>8.7799999999999994</v>
      </c>
      <c r="F776">
        <v>290541.141</v>
      </c>
      <c r="G776">
        <v>0</v>
      </c>
      <c r="P776">
        <f t="shared" si="1004"/>
        <v>0.79304347826086985</v>
      </c>
      <c r="Q776">
        <f t="shared" si="1005"/>
        <v>230411.75703652183</v>
      </c>
      <c r="R776">
        <f t="shared" si="1006"/>
        <v>8636990.2164145615</v>
      </c>
      <c r="S776">
        <f t="shared" si="1007"/>
        <v>86.369902164145614</v>
      </c>
      <c r="T776">
        <f t="shared" si="1008"/>
        <v>8.6369902164145612E-2</v>
      </c>
    </row>
    <row r="777" spans="1:20" x14ac:dyDescent="0.25">
      <c r="A777" s="5">
        <v>43816</v>
      </c>
      <c r="B777">
        <v>8.3490000000000002</v>
      </c>
      <c r="C777">
        <v>8.4019999999999992</v>
      </c>
      <c r="D777">
        <v>7.7590000000000003</v>
      </c>
      <c r="E777">
        <v>7.8819999999999997</v>
      </c>
      <c r="F777">
        <v>174784.93</v>
      </c>
      <c r="G777">
        <v>0</v>
      </c>
      <c r="P777">
        <f t="shared" si="1004"/>
        <v>-0.61741835147745083</v>
      </c>
      <c r="Q777">
        <f t="shared" si="1005"/>
        <v>-107915.42334370164</v>
      </c>
      <c r="R777">
        <f t="shared" si="1006"/>
        <v>8406578.4593780395</v>
      </c>
      <c r="S777">
        <f t="shared" si="1007"/>
        <v>84.065784593780393</v>
      </c>
      <c r="T777">
        <f t="shared" si="1008"/>
        <v>8.406578459378039E-2</v>
      </c>
    </row>
    <row r="778" spans="1:20" x14ac:dyDescent="0.25">
      <c r="A778" s="5">
        <v>43815</v>
      </c>
      <c r="B778">
        <v>8.9139999999999997</v>
      </c>
      <c r="C778">
        <v>8.9770000000000003</v>
      </c>
      <c r="D778">
        <v>8.1859999999999999</v>
      </c>
      <c r="E778">
        <v>8.3620000000000001</v>
      </c>
      <c r="F778">
        <v>252609.766</v>
      </c>
      <c r="G778">
        <v>0</v>
      </c>
      <c r="P778">
        <f t="shared" si="1004"/>
        <v>-0.55499367888748397</v>
      </c>
      <c r="Q778">
        <f t="shared" si="1005"/>
        <v>-140196.82335524648</v>
      </c>
      <c r="R778">
        <f t="shared" si="1006"/>
        <v>8514493.8827217408</v>
      </c>
      <c r="S778">
        <f t="shared" si="1007"/>
        <v>85.144938827217402</v>
      </c>
      <c r="T778">
        <f t="shared" si="1008"/>
        <v>8.5144938827217395E-2</v>
      </c>
    </row>
    <row r="779" spans="1:20" x14ac:dyDescent="0.25">
      <c r="A779" s="5">
        <v>43814</v>
      </c>
      <c r="B779">
        <v>8.8059999999999992</v>
      </c>
      <c r="C779">
        <v>9.0079999999999991</v>
      </c>
      <c r="D779">
        <v>8.6639999999999997</v>
      </c>
      <c r="E779">
        <v>8.9139999999999997</v>
      </c>
      <c r="F779">
        <v>135009.492</v>
      </c>
      <c r="G779">
        <v>0</v>
      </c>
      <c r="P779">
        <f t="shared" si="1004"/>
        <v>0.45348837209302573</v>
      </c>
      <c r="Q779">
        <f t="shared" si="1005"/>
        <v>61225.234744186382</v>
      </c>
      <c r="R779">
        <f t="shared" si="1006"/>
        <v>8654690.7060769871</v>
      </c>
      <c r="S779">
        <f t="shared" si="1007"/>
        <v>86.546907060769868</v>
      </c>
      <c r="T779">
        <f t="shared" si="1008"/>
        <v>8.6546907060769868E-2</v>
      </c>
    </row>
    <row r="780" spans="1:20" x14ac:dyDescent="0.25">
      <c r="A780" s="5">
        <v>43813</v>
      </c>
      <c r="B780">
        <v>8.9090000000000007</v>
      </c>
      <c r="C780">
        <v>9.1709999999999994</v>
      </c>
      <c r="D780">
        <v>8.66</v>
      </c>
      <c r="E780">
        <v>8.8040000000000003</v>
      </c>
      <c r="F780">
        <v>238954.101</v>
      </c>
      <c r="G780">
        <v>0</v>
      </c>
      <c r="P780">
        <f t="shared" si="1004"/>
        <v>-0.43639921722113367</v>
      </c>
      <c r="Q780">
        <f t="shared" si="1005"/>
        <v>-104279.38262817971</v>
      </c>
      <c r="R780">
        <f t="shared" si="1006"/>
        <v>8593465.4713328015</v>
      </c>
      <c r="S780">
        <f t="shared" si="1007"/>
        <v>85.934654713328015</v>
      </c>
      <c r="T780">
        <f t="shared" si="1008"/>
        <v>8.5934654713328021E-2</v>
      </c>
    </row>
    <row r="781" spans="1:20" x14ac:dyDescent="0.25">
      <c r="A781" s="5">
        <v>43812</v>
      </c>
      <c r="B781">
        <v>8.6440000000000001</v>
      </c>
      <c r="C781">
        <v>9.1280000000000001</v>
      </c>
      <c r="D781">
        <v>8.5649999999999995</v>
      </c>
      <c r="E781">
        <v>8.8940000000000001</v>
      </c>
      <c r="F781">
        <v>258105.48300000001</v>
      </c>
      <c r="G781">
        <v>0</v>
      </c>
      <c r="P781">
        <f t="shared" si="1004"/>
        <v>0.1687388987566617</v>
      </c>
      <c r="Q781">
        <f t="shared" si="1005"/>
        <v>43552.43496447627</v>
      </c>
      <c r="R781">
        <f t="shared" si="1006"/>
        <v>8697744.8539609816</v>
      </c>
      <c r="S781">
        <f t="shared" si="1007"/>
        <v>86.97744853960981</v>
      </c>
      <c r="T781">
        <f t="shared" si="1008"/>
        <v>8.6977448539609814E-2</v>
      </c>
    </row>
    <row r="782" spans="1:20" x14ac:dyDescent="0.25">
      <c r="A782" s="5">
        <v>43811</v>
      </c>
      <c r="B782">
        <v>8.5380000000000003</v>
      </c>
      <c r="C782">
        <v>8.6620000000000008</v>
      </c>
      <c r="D782">
        <v>8.2989999999999995</v>
      </c>
      <c r="E782">
        <v>8.6440000000000001</v>
      </c>
      <c r="F782">
        <v>100800.194</v>
      </c>
      <c r="G782">
        <v>0</v>
      </c>
      <c r="P782">
        <f t="shared" si="1004"/>
        <v>0.90082644628098829</v>
      </c>
      <c r="Q782">
        <f t="shared" si="1005"/>
        <v>90803.480545454207</v>
      </c>
      <c r="R782">
        <f t="shared" si="1006"/>
        <v>8654192.4189965054</v>
      </c>
      <c r="S782">
        <f t="shared" si="1007"/>
        <v>86.541924189965059</v>
      </c>
      <c r="T782">
        <f t="shared" si="1008"/>
        <v>8.6541924189965064E-2</v>
      </c>
    </row>
    <row r="783" spans="1:20" x14ac:dyDescent="0.25">
      <c r="A783" s="5">
        <v>43810</v>
      </c>
      <c r="B783">
        <v>8.5359999999999996</v>
      </c>
      <c r="C783">
        <v>8.641</v>
      </c>
      <c r="D783">
        <v>8.4149999999999991</v>
      </c>
      <c r="E783">
        <v>8.5370000000000008</v>
      </c>
      <c r="F783">
        <v>101559.348</v>
      </c>
      <c r="G783">
        <v>0</v>
      </c>
      <c r="P783">
        <f t="shared" si="1004"/>
        <v>7.9646017699125618E-2</v>
      </c>
      <c r="Q783">
        <f t="shared" si="1005"/>
        <v>8088.7976283196576</v>
      </c>
      <c r="R783">
        <f t="shared" si="1006"/>
        <v>8563388.9384510517</v>
      </c>
      <c r="S783">
        <f t="shared" si="1007"/>
        <v>85.63388938451051</v>
      </c>
      <c r="T783">
        <f t="shared" si="1008"/>
        <v>8.5633889384510511E-2</v>
      </c>
    </row>
    <row r="784" spans="1:20" x14ac:dyDescent="0.25">
      <c r="A784" s="5">
        <v>43809</v>
      </c>
      <c r="B784">
        <v>8.718</v>
      </c>
      <c r="C784">
        <v>8.76</v>
      </c>
      <c r="D784">
        <v>8.4250000000000007</v>
      </c>
      <c r="E784">
        <v>8.5350000000000001</v>
      </c>
      <c r="F784">
        <v>181756.603</v>
      </c>
      <c r="G784">
        <v>0</v>
      </c>
      <c r="P784">
        <f t="shared" si="1004"/>
        <v>-0.34328358208955384</v>
      </c>
      <c r="Q784">
        <f t="shared" si="1005"/>
        <v>-62394.057746268947</v>
      </c>
      <c r="R784">
        <f t="shared" si="1006"/>
        <v>8555300.1408227328</v>
      </c>
      <c r="S784">
        <f t="shared" si="1007"/>
        <v>85.553001408227331</v>
      </c>
      <c r="T784">
        <f t="shared" si="1008"/>
        <v>8.555300140822733E-2</v>
      </c>
    </row>
    <row r="785" spans="1:20" x14ac:dyDescent="0.25">
      <c r="A785" s="5">
        <v>43808</v>
      </c>
      <c r="B785">
        <v>9.0239999999999991</v>
      </c>
      <c r="C785">
        <v>9.0869999999999997</v>
      </c>
      <c r="D785">
        <v>8.6300000000000008</v>
      </c>
      <c r="E785">
        <v>8.7210000000000001</v>
      </c>
      <c r="F785">
        <v>209713.59700000001</v>
      </c>
      <c r="G785">
        <v>0</v>
      </c>
      <c r="P785">
        <f t="shared" si="1004"/>
        <v>-0.60175054704595399</v>
      </c>
      <c r="Q785">
        <f t="shared" si="1005"/>
        <v>-126195.27171772474</v>
      </c>
      <c r="R785">
        <f t="shared" si="1006"/>
        <v>8617694.1985690016</v>
      </c>
      <c r="S785">
        <f t="shared" si="1007"/>
        <v>86.176941985690021</v>
      </c>
      <c r="T785">
        <f t="shared" si="1008"/>
        <v>8.6176941985690023E-2</v>
      </c>
    </row>
    <row r="786" spans="1:20" x14ac:dyDescent="0.25">
      <c r="A786" s="5">
        <v>43807</v>
      </c>
      <c r="B786">
        <v>8.907</v>
      </c>
      <c r="C786">
        <v>9.1229999999999993</v>
      </c>
      <c r="D786">
        <v>8.75</v>
      </c>
      <c r="E786">
        <v>9.0310000000000006</v>
      </c>
      <c r="F786">
        <v>179510.67199999999</v>
      </c>
      <c r="G786">
        <v>0</v>
      </c>
      <c r="P786">
        <f t="shared" si="1004"/>
        <v>0.50670241286863849</v>
      </c>
      <c r="Q786">
        <f t="shared" si="1005"/>
        <v>90958.49063807074</v>
      </c>
      <c r="R786">
        <f t="shared" si="1006"/>
        <v>8743889.470286727</v>
      </c>
      <c r="S786">
        <f t="shared" si="1007"/>
        <v>87.438894702867273</v>
      </c>
      <c r="T786">
        <f t="shared" si="1008"/>
        <v>8.7438894702867268E-2</v>
      </c>
    </row>
    <row r="787" spans="1:20" x14ac:dyDescent="0.25">
      <c r="A787" s="5">
        <v>43806</v>
      </c>
      <c r="B787">
        <v>8.7460000000000004</v>
      </c>
      <c r="C787">
        <v>9.1910000000000007</v>
      </c>
      <c r="D787">
        <v>8.73</v>
      </c>
      <c r="E787">
        <v>8.9109999999999996</v>
      </c>
      <c r="F787">
        <v>310171.28399999999</v>
      </c>
      <c r="G787">
        <v>0</v>
      </c>
      <c r="P787">
        <f t="shared" si="1004"/>
        <v>-0.21475054229935339</v>
      </c>
      <c r="Q787">
        <f t="shared" si="1005"/>
        <v>-66609.451444686754</v>
      </c>
      <c r="R787">
        <f t="shared" si="1006"/>
        <v>8652930.9796486571</v>
      </c>
      <c r="S787">
        <f t="shared" si="1007"/>
        <v>86.529309796486572</v>
      </c>
      <c r="T787">
        <f t="shared" si="1008"/>
        <v>8.652930979648657E-2</v>
      </c>
    </row>
    <row r="788" spans="1:20" x14ac:dyDescent="0.25">
      <c r="A788" s="5">
        <v>43805</v>
      </c>
      <c r="B788">
        <v>8.7279999999999998</v>
      </c>
      <c r="C788">
        <v>8.84</v>
      </c>
      <c r="D788">
        <v>8.5990000000000002</v>
      </c>
      <c r="E788">
        <v>8.7460000000000004</v>
      </c>
      <c r="F788">
        <v>139257.86600000001</v>
      </c>
      <c r="G788">
        <v>0</v>
      </c>
      <c r="P788">
        <f t="shared" si="1004"/>
        <v>0.21991701244813652</v>
      </c>
      <c r="Q788">
        <f t="shared" si="1005"/>
        <v>30625.17385062293</v>
      </c>
      <c r="R788">
        <f t="shared" si="1006"/>
        <v>8719540.4310933445</v>
      </c>
      <c r="S788">
        <f t="shared" si="1007"/>
        <v>87.195404310933441</v>
      </c>
      <c r="T788">
        <f t="shared" si="1008"/>
        <v>8.7195404310933436E-2</v>
      </c>
    </row>
    <row r="789" spans="1:20" x14ac:dyDescent="0.25">
      <c r="A789" s="5">
        <v>43804</v>
      </c>
      <c r="B789">
        <v>8.6150000000000002</v>
      </c>
      <c r="C789">
        <v>8.81</v>
      </c>
      <c r="D789">
        <v>8.4440000000000008</v>
      </c>
      <c r="E789">
        <v>8.7309999999999999</v>
      </c>
      <c r="F789">
        <v>209144.86199999999</v>
      </c>
      <c r="G789">
        <v>0</v>
      </c>
      <c r="P789">
        <f t="shared" si="1004"/>
        <v>0.56830601092895794</v>
      </c>
      <c r="Q789">
        <f t="shared" si="1005"/>
        <v>118858.2822295074</v>
      </c>
      <c r="R789">
        <f t="shared" si="1006"/>
        <v>8688915.2572427224</v>
      </c>
      <c r="S789">
        <f t="shared" si="1007"/>
        <v>86.889152572427221</v>
      </c>
      <c r="T789">
        <f t="shared" si="1008"/>
        <v>8.6889152572427228E-2</v>
      </c>
    </row>
    <row r="790" spans="1:20" x14ac:dyDescent="0.25">
      <c r="A790" s="5">
        <v>43803</v>
      </c>
      <c r="B790">
        <v>8.9510000000000005</v>
      </c>
      <c r="C790">
        <v>9.2560000000000002</v>
      </c>
      <c r="D790">
        <v>8.5519999999999996</v>
      </c>
      <c r="E790">
        <v>8.6</v>
      </c>
      <c r="F790">
        <v>333686.69099999999</v>
      </c>
      <c r="G790">
        <v>0</v>
      </c>
      <c r="P790">
        <f t="shared" si="1004"/>
        <v>-0.86363636363636365</v>
      </c>
      <c r="Q790">
        <f t="shared" si="1005"/>
        <v>-288183.96040909091</v>
      </c>
      <c r="R790">
        <f t="shared" si="1006"/>
        <v>8570056.9750132151</v>
      </c>
      <c r="S790">
        <f t="shared" si="1007"/>
        <v>85.700569750132146</v>
      </c>
      <c r="T790">
        <f t="shared" si="1008"/>
        <v>8.5700569750132141E-2</v>
      </c>
    </row>
    <row r="791" spans="1:20" x14ac:dyDescent="0.25">
      <c r="A791" s="5">
        <v>43802</v>
      </c>
      <c r="B791">
        <v>8.9499999999999993</v>
      </c>
      <c r="C791">
        <v>9.1159999999999997</v>
      </c>
      <c r="D791">
        <v>8.84</v>
      </c>
      <c r="E791">
        <v>8.9369999999999994</v>
      </c>
      <c r="F791">
        <v>186507.88099999999</v>
      </c>
      <c r="G791">
        <v>0</v>
      </c>
      <c r="P791">
        <f t="shared" si="1004"/>
        <v>-0.29710144927536519</v>
      </c>
      <c r="Q791">
        <f t="shared" si="1005"/>
        <v>-55411.761746377342</v>
      </c>
      <c r="R791">
        <f t="shared" si="1006"/>
        <v>8858240.9354223069</v>
      </c>
      <c r="S791">
        <f t="shared" si="1007"/>
        <v>88.582409354223074</v>
      </c>
      <c r="T791">
        <f t="shared" si="1008"/>
        <v>8.8582409354223068E-2</v>
      </c>
    </row>
    <row r="792" spans="1:20" x14ac:dyDescent="0.25">
      <c r="A792" s="5">
        <v>43801</v>
      </c>
      <c r="B792">
        <v>9.2569999999999997</v>
      </c>
      <c r="C792">
        <v>9.2899999999999991</v>
      </c>
      <c r="D792">
        <v>8.8070000000000004</v>
      </c>
      <c r="E792">
        <v>8.9369999999999994</v>
      </c>
      <c r="F792">
        <v>253359.965</v>
      </c>
      <c r="G792">
        <v>0</v>
      </c>
      <c r="P792">
        <f t="shared" si="1004"/>
        <v>-0.46169772256729052</v>
      </c>
      <c r="Q792">
        <f t="shared" si="1005"/>
        <v>-116975.71883022843</v>
      </c>
      <c r="R792">
        <f t="shared" si="1006"/>
        <v>8913652.6971686836</v>
      </c>
      <c r="S792">
        <f t="shared" si="1007"/>
        <v>89.136526971686834</v>
      </c>
      <c r="T792">
        <f t="shared" si="1008"/>
        <v>8.9136526971686836E-2</v>
      </c>
    </row>
    <row r="793" spans="1:20" x14ac:dyDescent="0.25">
      <c r="A793" s="5">
        <v>43800</v>
      </c>
      <c r="B793">
        <v>9.3119999999999994</v>
      </c>
      <c r="C793">
        <v>9.5250000000000004</v>
      </c>
      <c r="D793">
        <v>8.9009999999999998</v>
      </c>
      <c r="E793">
        <v>9.2460000000000004</v>
      </c>
      <c r="F793">
        <v>270843.41899999999</v>
      </c>
      <c r="G793">
        <v>0</v>
      </c>
      <c r="P793">
        <f t="shared" si="1004"/>
        <v>0.10576923076923184</v>
      </c>
      <c r="Q793">
        <f t="shared" si="1005"/>
        <v>28646.90008653875</v>
      </c>
      <c r="R793">
        <f t="shared" si="1006"/>
        <v>9030628.4159989115</v>
      </c>
      <c r="S793">
        <f t="shared" si="1007"/>
        <v>90.306284159989119</v>
      </c>
      <c r="T793">
        <f t="shared" si="1008"/>
        <v>9.030628415998912E-2</v>
      </c>
    </row>
    <row r="794" spans="1:20" x14ac:dyDescent="0.25">
      <c r="A794" s="5">
        <v>43799</v>
      </c>
      <c r="B794">
        <v>9.7230000000000008</v>
      </c>
      <c r="C794">
        <v>9.8010000000000002</v>
      </c>
      <c r="D794">
        <v>9.17</v>
      </c>
      <c r="E794">
        <v>9.3160000000000007</v>
      </c>
      <c r="F794">
        <v>321124.038</v>
      </c>
      <c r="G794">
        <v>0</v>
      </c>
      <c r="P794">
        <f t="shared" si="1004"/>
        <v>-0.53724247226624167</v>
      </c>
      <c r="Q794">
        <f t="shared" si="1005"/>
        <v>-172521.47207923853</v>
      </c>
      <c r="R794">
        <f t="shared" si="1006"/>
        <v>9001981.5159123726</v>
      </c>
      <c r="S794">
        <f t="shared" si="1007"/>
        <v>90.019815159123723</v>
      </c>
      <c r="T794">
        <f t="shared" si="1008"/>
        <v>9.0019815159123717E-2</v>
      </c>
    </row>
    <row r="795" spans="1:20" x14ac:dyDescent="0.25">
      <c r="A795" s="5">
        <v>43798</v>
      </c>
      <c r="B795">
        <v>9.2799999999999994</v>
      </c>
      <c r="C795">
        <v>9.9459999999999997</v>
      </c>
      <c r="D795">
        <v>9.2360000000000007</v>
      </c>
      <c r="E795">
        <v>9.7050000000000001</v>
      </c>
      <c r="F795">
        <v>313449.35499999998</v>
      </c>
      <c r="G795">
        <v>0</v>
      </c>
      <c r="P795">
        <f t="shared" si="1004"/>
        <v>0.32112676056338035</v>
      </c>
      <c r="Q795">
        <f t="shared" si="1005"/>
        <v>100656.97597183101</v>
      </c>
      <c r="R795">
        <f t="shared" si="1006"/>
        <v>9174502.9879916105</v>
      </c>
      <c r="S795">
        <f t="shared" si="1007"/>
        <v>91.745029879916103</v>
      </c>
      <c r="T795">
        <f t="shared" si="1008"/>
        <v>9.1745029879916104E-2</v>
      </c>
    </row>
    <row r="796" spans="1:20" x14ac:dyDescent="0.25">
      <c r="A796" s="5">
        <v>43797</v>
      </c>
      <c r="B796">
        <v>9.4499999999999993</v>
      </c>
      <c r="C796">
        <v>9.59</v>
      </c>
      <c r="D796">
        <v>9.17</v>
      </c>
      <c r="E796">
        <v>9.2639999999999993</v>
      </c>
      <c r="F796">
        <v>259786.69200000001</v>
      </c>
      <c r="G796">
        <v>0</v>
      </c>
      <c r="P796">
        <f t="shared" si="1004"/>
        <v>-0.55238095238095508</v>
      </c>
      <c r="Q796">
        <f t="shared" si="1005"/>
        <v>-143501.22034285785</v>
      </c>
      <c r="R796">
        <f t="shared" si="1006"/>
        <v>9073846.0120197795</v>
      </c>
      <c r="S796">
        <f t="shared" si="1007"/>
        <v>90.7384601201978</v>
      </c>
      <c r="T796">
        <f t="shared" si="1008"/>
        <v>9.0738460120197803E-2</v>
      </c>
    </row>
    <row r="797" spans="1:20" x14ac:dyDescent="0.25">
      <c r="A797" s="5">
        <v>43796</v>
      </c>
      <c r="B797">
        <v>9.2620000000000005</v>
      </c>
      <c r="C797">
        <v>9.7309999999999999</v>
      </c>
      <c r="D797">
        <v>8.7010000000000005</v>
      </c>
      <c r="E797">
        <v>9.452</v>
      </c>
      <c r="F797">
        <v>515571.12599999999</v>
      </c>
      <c r="G797">
        <v>0</v>
      </c>
      <c r="P797">
        <f t="shared" si="1004"/>
        <v>0.45825242718446585</v>
      </c>
      <c r="Q797">
        <f t="shared" si="1005"/>
        <v>236261.71987572807</v>
      </c>
      <c r="R797">
        <f t="shared" si="1006"/>
        <v>9217347.2323626373</v>
      </c>
      <c r="S797">
        <f t="shared" si="1007"/>
        <v>92.17347232362637</v>
      </c>
      <c r="T797">
        <f t="shared" si="1008"/>
        <v>9.2173472323626368E-2</v>
      </c>
    </row>
    <row r="798" spans="1:20" x14ac:dyDescent="0.25">
      <c r="A798" s="5">
        <v>43795</v>
      </c>
      <c r="B798">
        <v>9.06</v>
      </c>
      <c r="C798">
        <v>9.3989999999999991</v>
      </c>
      <c r="D798">
        <v>8.9019999999999992</v>
      </c>
      <c r="E798">
        <v>9.27</v>
      </c>
      <c r="F798">
        <v>343016.446</v>
      </c>
      <c r="G798">
        <v>0</v>
      </c>
      <c r="P798">
        <f t="shared" si="1004"/>
        <v>0.48088531187122902</v>
      </c>
      <c r="Q798">
        <f t="shared" si="1005"/>
        <v>164951.57061167058</v>
      </c>
      <c r="R798">
        <f t="shared" si="1006"/>
        <v>8981085.5124869086</v>
      </c>
      <c r="S798">
        <f t="shared" si="1007"/>
        <v>89.810855124869093</v>
      </c>
      <c r="T798">
        <f t="shared" si="1008"/>
        <v>8.9810855124869096E-2</v>
      </c>
    </row>
    <row r="799" spans="1:20" x14ac:dyDescent="0.25">
      <c r="A799" s="5">
        <v>43794</v>
      </c>
      <c r="B799">
        <v>8.9830000000000005</v>
      </c>
      <c r="C799">
        <v>9.5500000000000007</v>
      </c>
      <c r="D799">
        <v>8.3070000000000004</v>
      </c>
      <c r="E799">
        <v>9.06</v>
      </c>
      <c r="F799">
        <v>757419.83700000006</v>
      </c>
      <c r="G799">
        <v>0</v>
      </c>
      <c r="P799">
        <f t="shared" si="1004"/>
        <v>0.21158487530168932</v>
      </c>
      <c r="Q799">
        <f t="shared" si="1005"/>
        <v>160258.58176267086</v>
      </c>
      <c r="R799">
        <f t="shared" si="1006"/>
        <v>8816133.941875238</v>
      </c>
      <c r="S799">
        <f t="shared" si="1007"/>
        <v>88.161339418752377</v>
      </c>
      <c r="T799">
        <f t="shared" si="1008"/>
        <v>8.8161339418752371E-2</v>
      </c>
    </row>
    <row r="800" spans="1:20" x14ac:dyDescent="0.25">
      <c r="A800" s="5">
        <v>43793</v>
      </c>
      <c r="B800">
        <v>10.007999999999999</v>
      </c>
      <c r="C800">
        <v>10.019</v>
      </c>
      <c r="D800">
        <v>8.8879999999999999</v>
      </c>
      <c r="E800">
        <v>8.9710000000000001</v>
      </c>
      <c r="F800">
        <v>562582.90700000001</v>
      </c>
      <c r="G800">
        <v>0</v>
      </c>
      <c r="P800">
        <f t="shared" si="1004"/>
        <v>-0.85322723253757704</v>
      </c>
      <c r="Q800">
        <f t="shared" si="1005"/>
        <v>-480011.05681255506</v>
      </c>
      <c r="R800">
        <f t="shared" si="1006"/>
        <v>8655875.3601125665</v>
      </c>
      <c r="S800">
        <f t="shared" si="1007"/>
        <v>86.558753601125659</v>
      </c>
      <c r="T800">
        <f t="shared" si="1008"/>
        <v>8.6558753601125665E-2</v>
      </c>
    </row>
    <row r="801" spans="1:20" x14ac:dyDescent="0.25">
      <c r="A801" s="5">
        <v>43792</v>
      </c>
      <c r="B801">
        <v>9.65</v>
      </c>
      <c r="C801">
        <v>10.175000000000001</v>
      </c>
      <c r="D801">
        <v>9.4250000000000007</v>
      </c>
      <c r="E801">
        <v>10.003</v>
      </c>
      <c r="F801">
        <v>557568.02300000004</v>
      </c>
      <c r="G801">
        <v>0</v>
      </c>
      <c r="P801">
        <f t="shared" si="1004"/>
        <v>0.54133333333333178</v>
      </c>
      <c r="Q801">
        <f t="shared" si="1005"/>
        <v>301830.15645066585</v>
      </c>
      <c r="R801">
        <f t="shared" si="1006"/>
        <v>9135886.4169251211</v>
      </c>
      <c r="S801">
        <f t="shared" si="1007"/>
        <v>91.358864169251206</v>
      </c>
      <c r="T801">
        <f t="shared" si="1008"/>
        <v>9.1358864169251208E-2</v>
      </c>
    </row>
    <row r="802" spans="1:20" x14ac:dyDescent="0.25">
      <c r="A802" s="5">
        <v>43791</v>
      </c>
      <c r="B802">
        <v>11.045999999999999</v>
      </c>
      <c r="C802">
        <v>11.198</v>
      </c>
      <c r="D802">
        <v>9.26</v>
      </c>
      <c r="E802">
        <v>9.6709999999999994</v>
      </c>
      <c r="F802">
        <v>952331.84299999999</v>
      </c>
      <c r="G802">
        <v>0</v>
      </c>
      <c r="P802">
        <f t="shared" si="1004"/>
        <v>-0.57585139318885503</v>
      </c>
      <c r="Q802">
        <f t="shared" si="1005"/>
        <v>-548401.61856966</v>
      </c>
      <c r="R802">
        <f t="shared" si="1006"/>
        <v>8834056.2604744546</v>
      </c>
      <c r="S802">
        <f t="shared" si="1007"/>
        <v>88.340562604744548</v>
      </c>
      <c r="T802">
        <f t="shared" si="1008"/>
        <v>8.8340562604744544E-2</v>
      </c>
    </row>
    <row r="803" spans="1:20" x14ac:dyDescent="0.25">
      <c r="A803" s="5">
        <v>43790</v>
      </c>
      <c r="B803">
        <v>11.500999999999999</v>
      </c>
      <c r="C803">
        <v>11.571</v>
      </c>
      <c r="D803">
        <v>10.574999999999999</v>
      </c>
      <c r="E803">
        <v>11.05</v>
      </c>
      <c r="F803">
        <v>637389.81000000006</v>
      </c>
      <c r="G803">
        <v>0</v>
      </c>
      <c r="P803">
        <f t="shared" si="1004"/>
        <v>-4.6184738955820863E-2</v>
      </c>
      <c r="Q803">
        <f t="shared" si="1005"/>
        <v>-29437.681987950262</v>
      </c>
      <c r="R803">
        <f t="shared" si="1006"/>
        <v>9382457.8790441137</v>
      </c>
      <c r="S803">
        <f t="shared" si="1007"/>
        <v>93.824578790441137</v>
      </c>
      <c r="T803">
        <f t="shared" si="1008"/>
        <v>9.3824578790441135E-2</v>
      </c>
    </row>
    <row r="804" spans="1:20" x14ac:dyDescent="0.25">
      <c r="A804" s="5">
        <v>43789</v>
      </c>
      <c r="B804">
        <v>11.718999999999999</v>
      </c>
      <c r="C804">
        <v>12</v>
      </c>
      <c r="D804">
        <v>11.345000000000001</v>
      </c>
      <c r="E804">
        <v>11.500999999999999</v>
      </c>
      <c r="F804">
        <v>553959.86</v>
      </c>
      <c r="G804">
        <v>0</v>
      </c>
      <c r="P804">
        <f t="shared" si="1004"/>
        <v>-0.52366412213740776</v>
      </c>
      <c r="Q804">
        <f t="shared" si="1005"/>
        <v>-290088.90378626127</v>
      </c>
      <c r="R804">
        <f t="shared" si="1006"/>
        <v>9411895.5610320643</v>
      </c>
      <c r="S804">
        <f t="shared" si="1007"/>
        <v>94.11895561032064</v>
      </c>
      <c r="T804">
        <f t="shared" si="1008"/>
        <v>9.4118955610320645E-2</v>
      </c>
    </row>
    <row r="805" spans="1:20" x14ac:dyDescent="0.25">
      <c r="A805" s="5">
        <v>43788</v>
      </c>
      <c r="B805">
        <v>11.314</v>
      </c>
      <c r="C805">
        <v>11.775</v>
      </c>
      <c r="D805">
        <v>11</v>
      </c>
      <c r="E805">
        <v>11.72</v>
      </c>
      <c r="F805">
        <v>557645.16299999994</v>
      </c>
      <c r="G805">
        <v>0</v>
      </c>
      <c r="P805">
        <f t="shared" si="1004"/>
        <v>0.85806451612903301</v>
      </c>
      <c r="Q805">
        <f t="shared" si="1005"/>
        <v>478495.52696129068</v>
      </c>
      <c r="R805">
        <f t="shared" si="1006"/>
        <v>9701984.4648183249</v>
      </c>
      <c r="S805">
        <f t="shared" si="1007"/>
        <v>97.019844648183252</v>
      </c>
      <c r="T805">
        <f t="shared" si="1008"/>
        <v>9.7019844648183251E-2</v>
      </c>
    </row>
    <row r="806" spans="1:20" x14ac:dyDescent="0.25">
      <c r="A806" s="5">
        <v>43787</v>
      </c>
      <c r="B806">
        <v>12.055</v>
      </c>
      <c r="C806">
        <v>12.069000000000001</v>
      </c>
      <c r="D806">
        <v>11</v>
      </c>
      <c r="E806">
        <v>11.32</v>
      </c>
      <c r="F806">
        <v>475763.87599999999</v>
      </c>
      <c r="G806">
        <v>0</v>
      </c>
      <c r="P806">
        <f t="shared" si="1004"/>
        <v>-0.4013096351730589</v>
      </c>
      <c r="Q806">
        <f t="shared" si="1005"/>
        <v>-190928.62750608043</v>
      </c>
      <c r="R806">
        <f t="shared" si="1006"/>
        <v>9223488.9378570337</v>
      </c>
      <c r="S806">
        <f t="shared" si="1007"/>
        <v>92.234889378570344</v>
      </c>
      <c r="T806">
        <f t="shared" si="1008"/>
        <v>9.2234889378570342E-2</v>
      </c>
    </row>
    <row r="807" spans="1:20" x14ac:dyDescent="0.25">
      <c r="A807" s="5">
        <v>43786</v>
      </c>
      <c r="B807">
        <v>12.387</v>
      </c>
      <c r="C807">
        <v>12.407999999999999</v>
      </c>
      <c r="D807">
        <v>11.967000000000001</v>
      </c>
      <c r="E807">
        <v>12.055</v>
      </c>
      <c r="F807">
        <v>306627.65899999999</v>
      </c>
      <c r="G807">
        <v>0</v>
      </c>
      <c r="P807">
        <f t="shared" si="1004"/>
        <v>-0.60090702947846075</v>
      </c>
      <c r="Q807">
        <f t="shared" si="1005"/>
        <v>-184254.71572562441</v>
      </c>
      <c r="R807">
        <f t="shared" si="1006"/>
        <v>9414417.5653631147</v>
      </c>
      <c r="S807">
        <f t="shared" si="1007"/>
        <v>94.144175653631152</v>
      </c>
      <c r="T807">
        <f t="shared" si="1008"/>
        <v>9.4144175653631146E-2</v>
      </c>
    </row>
    <row r="808" spans="1:20" x14ac:dyDescent="0.25">
      <c r="A808" s="5">
        <v>43785</v>
      </c>
      <c r="B808">
        <v>12.012</v>
      </c>
      <c r="C808">
        <v>12.542999999999999</v>
      </c>
      <c r="D808">
        <v>11.874000000000001</v>
      </c>
      <c r="E808">
        <v>12.394</v>
      </c>
      <c r="F808">
        <v>447574.658</v>
      </c>
      <c r="G808">
        <v>0</v>
      </c>
      <c r="P808">
        <f t="shared" si="1004"/>
        <v>0.55455904334828277</v>
      </c>
      <c r="Q808">
        <f t="shared" si="1005"/>
        <v>248206.57416741483</v>
      </c>
      <c r="R808">
        <f t="shared" si="1006"/>
        <v>9598672.2810887396</v>
      </c>
      <c r="S808">
        <f t="shared" si="1007"/>
        <v>95.9867228108874</v>
      </c>
      <c r="T808">
        <f t="shared" si="1008"/>
        <v>9.5986722810887395E-2</v>
      </c>
    </row>
    <row r="809" spans="1:20" x14ac:dyDescent="0.25">
      <c r="A809" s="5">
        <v>43784</v>
      </c>
      <c r="B809">
        <v>12.67</v>
      </c>
      <c r="C809">
        <v>12.867000000000001</v>
      </c>
      <c r="D809">
        <v>11.7</v>
      </c>
      <c r="E809">
        <v>12.012</v>
      </c>
      <c r="F809">
        <v>646879.14199999999</v>
      </c>
      <c r="G809">
        <v>0</v>
      </c>
      <c r="P809">
        <f t="shared" si="1004"/>
        <v>-0.46529562982005013</v>
      </c>
      <c r="Q809">
        <f t="shared" si="1005"/>
        <v>-300990.03779434366</v>
      </c>
      <c r="R809">
        <f t="shared" si="1006"/>
        <v>9350465.7069213241</v>
      </c>
      <c r="S809">
        <f t="shared" si="1007"/>
        <v>93.504657069213238</v>
      </c>
      <c r="T809">
        <f t="shared" si="1008"/>
        <v>9.3504657069213237E-2</v>
      </c>
    </row>
    <row r="810" spans="1:20" x14ac:dyDescent="0.25">
      <c r="A810" s="5">
        <v>43783</v>
      </c>
      <c r="B810">
        <v>13.157999999999999</v>
      </c>
      <c r="C810">
        <v>13.381</v>
      </c>
      <c r="D810">
        <v>12.430999999999999</v>
      </c>
      <c r="E810">
        <v>12.673999999999999</v>
      </c>
      <c r="F810">
        <v>755387.679</v>
      </c>
      <c r="G810">
        <v>0</v>
      </c>
      <c r="P810">
        <f t="shared" si="1004"/>
        <v>-0.48842105263157881</v>
      </c>
      <c r="Q810">
        <f t="shared" si="1005"/>
        <v>-368947.24532210518</v>
      </c>
      <c r="R810">
        <f t="shared" si="1006"/>
        <v>9651455.7447156683</v>
      </c>
      <c r="S810">
        <f t="shared" si="1007"/>
        <v>96.514557447156676</v>
      </c>
      <c r="T810">
        <f t="shared" si="1008"/>
        <v>9.6514557447156674E-2</v>
      </c>
    </row>
    <row r="811" spans="1:20" x14ac:dyDescent="0.25">
      <c r="A811" s="5">
        <v>43782</v>
      </c>
      <c r="B811">
        <v>12.116</v>
      </c>
      <c r="C811">
        <v>13.425000000000001</v>
      </c>
      <c r="D811">
        <v>11.946</v>
      </c>
      <c r="E811">
        <v>13.159000000000001</v>
      </c>
      <c r="F811">
        <v>1069159.2930000001</v>
      </c>
      <c r="G811">
        <v>0</v>
      </c>
      <c r="P811">
        <f t="shared" si="1004"/>
        <v>0.64029749830966887</v>
      </c>
      <c r="Q811">
        <f t="shared" si="1005"/>
        <v>684580.02060243429</v>
      </c>
      <c r="R811">
        <f t="shared" si="1006"/>
        <v>10020402.990037773</v>
      </c>
      <c r="S811">
        <f t="shared" si="1007"/>
        <v>100.20402990037773</v>
      </c>
      <c r="T811">
        <f t="shared" si="1008"/>
        <v>0.10020402990037773</v>
      </c>
    </row>
    <row r="812" spans="1:20" x14ac:dyDescent="0.25">
      <c r="A812" s="5">
        <v>43781</v>
      </c>
      <c r="B812">
        <v>11.14</v>
      </c>
      <c r="C812">
        <v>12.599</v>
      </c>
      <c r="D812">
        <v>11.1</v>
      </c>
      <c r="E812">
        <v>12.116</v>
      </c>
      <c r="F812">
        <v>1363132.4979999999</v>
      </c>
      <c r="G812">
        <v>0</v>
      </c>
      <c r="P812">
        <f t="shared" si="1004"/>
        <v>0.35557038025350185</v>
      </c>
      <c r="Q812">
        <f t="shared" si="1005"/>
        <v>484689.54064976581</v>
      </c>
      <c r="R812">
        <f t="shared" si="1006"/>
        <v>9335822.9694353379</v>
      </c>
      <c r="S812">
        <f t="shared" si="1007"/>
        <v>93.358229694353383</v>
      </c>
      <c r="T812">
        <f t="shared" si="1008"/>
        <v>9.3358229694353381E-2</v>
      </c>
    </row>
    <row r="813" spans="1:20" x14ac:dyDescent="0.25">
      <c r="A813" s="5">
        <v>43780</v>
      </c>
      <c r="B813">
        <v>11.016</v>
      </c>
      <c r="C813">
        <v>11.425000000000001</v>
      </c>
      <c r="D813">
        <v>10.555</v>
      </c>
      <c r="E813">
        <v>11.147</v>
      </c>
      <c r="F813">
        <v>475487.18099999998</v>
      </c>
      <c r="G813">
        <v>0</v>
      </c>
      <c r="P813">
        <f t="shared" si="1004"/>
        <v>0.36091954022988471</v>
      </c>
      <c r="Q813">
        <f t="shared" si="1005"/>
        <v>171612.61475172397</v>
      </c>
      <c r="R813">
        <f t="shared" si="1006"/>
        <v>8851133.4287855718</v>
      </c>
      <c r="S813">
        <f t="shared" si="1007"/>
        <v>88.511334287855718</v>
      </c>
      <c r="T813">
        <f t="shared" si="1008"/>
        <v>8.8511334287855722E-2</v>
      </c>
    </row>
    <row r="814" spans="1:20" x14ac:dyDescent="0.25">
      <c r="A814" s="5">
        <v>43779</v>
      </c>
      <c r="B814">
        <v>10.680999999999999</v>
      </c>
      <c r="C814">
        <v>11.375</v>
      </c>
      <c r="D814">
        <v>10.577</v>
      </c>
      <c r="E814">
        <v>11.016</v>
      </c>
      <c r="F814">
        <v>367900.652</v>
      </c>
      <c r="G814">
        <v>0</v>
      </c>
      <c r="P814">
        <f t="shared" si="1004"/>
        <v>0.10025062656641612</v>
      </c>
      <c r="Q814">
        <f t="shared" si="1005"/>
        <v>36882.270877193012</v>
      </c>
      <c r="R814">
        <f t="shared" si="1006"/>
        <v>8679520.8140338473</v>
      </c>
      <c r="S814">
        <f t="shared" si="1007"/>
        <v>86.795208140338474</v>
      </c>
      <c r="T814">
        <f t="shared" si="1008"/>
        <v>8.6795208140338476E-2</v>
      </c>
    </row>
    <row r="815" spans="1:20" x14ac:dyDescent="0.25">
      <c r="A815" s="5">
        <v>43778</v>
      </c>
      <c r="B815">
        <v>10.606999999999999</v>
      </c>
      <c r="C815">
        <v>10.807</v>
      </c>
      <c r="D815">
        <v>10.52</v>
      </c>
      <c r="E815">
        <v>10.68</v>
      </c>
      <c r="F815">
        <v>153924.049</v>
      </c>
      <c r="G815">
        <v>0</v>
      </c>
      <c r="P815">
        <f t="shared" si="1004"/>
        <v>0.11498257839721039</v>
      </c>
      <c r="Q815">
        <f t="shared" si="1005"/>
        <v>17698.584031358554</v>
      </c>
      <c r="R815">
        <f t="shared" si="1006"/>
        <v>8642638.5431566536</v>
      </c>
      <c r="S815">
        <f t="shared" si="1007"/>
        <v>86.42638543156653</v>
      </c>
      <c r="T815">
        <f t="shared" si="1008"/>
        <v>8.6426385431566527E-2</v>
      </c>
    </row>
    <row r="816" spans="1:20" x14ac:dyDescent="0.25">
      <c r="A816" s="5">
        <v>43777</v>
      </c>
      <c r="B816">
        <v>11.127000000000001</v>
      </c>
      <c r="C816">
        <v>11.19</v>
      </c>
      <c r="D816">
        <v>10.382999999999999</v>
      </c>
      <c r="E816">
        <v>10.637</v>
      </c>
      <c r="F816">
        <v>328469.39399999997</v>
      </c>
      <c r="G816">
        <v>0</v>
      </c>
      <c r="P816">
        <f t="shared" si="1004"/>
        <v>-0.3705080545229214</v>
      </c>
      <c r="Q816">
        <f t="shared" si="1005"/>
        <v>-121700.55614126295</v>
      </c>
      <c r="R816">
        <f t="shared" si="1006"/>
        <v>8624939.9591252953</v>
      </c>
      <c r="S816">
        <f t="shared" si="1007"/>
        <v>86.249399591252953</v>
      </c>
      <c r="T816">
        <f t="shared" si="1008"/>
        <v>8.6249399591252954E-2</v>
      </c>
    </row>
    <row r="817" spans="1:20" x14ac:dyDescent="0.25">
      <c r="A817" s="5">
        <v>43776</v>
      </c>
      <c r="B817">
        <v>11.071</v>
      </c>
      <c r="C817">
        <v>11.173</v>
      </c>
      <c r="D817">
        <v>10.733000000000001</v>
      </c>
      <c r="E817">
        <v>11.122999999999999</v>
      </c>
      <c r="F817">
        <v>342028.18900000001</v>
      </c>
      <c r="G817">
        <v>0</v>
      </c>
      <c r="P817">
        <f t="shared" si="1004"/>
        <v>0.77272727272726927</v>
      </c>
      <c r="Q817">
        <f t="shared" si="1005"/>
        <v>264294.50968181703</v>
      </c>
      <c r="R817">
        <f t="shared" si="1006"/>
        <v>8746640.5152665582</v>
      </c>
      <c r="S817">
        <f t="shared" si="1007"/>
        <v>87.466405152665587</v>
      </c>
      <c r="T817">
        <f t="shared" si="1008"/>
        <v>8.7466405152665586E-2</v>
      </c>
    </row>
    <row r="818" spans="1:20" x14ac:dyDescent="0.25">
      <c r="A818" s="5">
        <v>43775</v>
      </c>
      <c r="B818">
        <v>11.128</v>
      </c>
      <c r="C818">
        <v>11.315</v>
      </c>
      <c r="D818">
        <v>10.945</v>
      </c>
      <c r="E818">
        <v>11.085000000000001</v>
      </c>
      <c r="F818">
        <v>319303.79499999998</v>
      </c>
      <c r="G818">
        <v>0</v>
      </c>
      <c r="P818">
        <f t="shared" si="1004"/>
        <v>-0.24324324324323857</v>
      </c>
      <c r="Q818">
        <f t="shared" si="1005"/>
        <v>-77668.490675674184</v>
      </c>
      <c r="R818">
        <f t="shared" si="1006"/>
        <v>8482346.005584741</v>
      </c>
      <c r="S818">
        <f t="shared" si="1007"/>
        <v>84.823460055847406</v>
      </c>
      <c r="T818">
        <f t="shared" si="1008"/>
        <v>8.4823460055847399E-2</v>
      </c>
    </row>
    <row r="819" spans="1:20" x14ac:dyDescent="0.25">
      <c r="A819" s="5">
        <v>43774</v>
      </c>
      <c r="B819">
        <v>11.411</v>
      </c>
      <c r="C819">
        <v>11.414999999999999</v>
      </c>
      <c r="D819">
        <v>11.002000000000001</v>
      </c>
      <c r="E819">
        <v>11.14</v>
      </c>
      <c r="F819">
        <v>542056.78300000005</v>
      </c>
      <c r="G819">
        <v>0</v>
      </c>
      <c r="P819">
        <f t="shared" si="1004"/>
        <v>-0.33171912832929584</v>
      </c>
      <c r="Q819">
        <f t="shared" si="1005"/>
        <v>-179810.60356174229</v>
      </c>
      <c r="R819">
        <f t="shared" si="1006"/>
        <v>8560014.4962604158</v>
      </c>
      <c r="S819">
        <f t="shared" si="1007"/>
        <v>85.600144962604162</v>
      </c>
      <c r="T819">
        <f t="shared" si="1008"/>
        <v>8.5600144962604166E-2</v>
      </c>
    </row>
    <row r="820" spans="1:20" x14ac:dyDescent="0.25">
      <c r="A820" s="5">
        <v>43773</v>
      </c>
      <c r="B820">
        <v>11.058</v>
      </c>
      <c r="C820">
        <v>11.72</v>
      </c>
      <c r="D820">
        <v>10.92</v>
      </c>
      <c r="E820">
        <v>11.412000000000001</v>
      </c>
      <c r="F820">
        <v>694380.00399999996</v>
      </c>
      <c r="G820">
        <v>0</v>
      </c>
      <c r="P820">
        <f t="shared" si="1004"/>
        <v>0.23000000000000112</v>
      </c>
      <c r="Q820">
        <f t="shared" si="1005"/>
        <v>159707.40092000077</v>
      </c>
      <c r="R820">
        <f t="shared" si="1006"/>
        <v>8739825.099822158</v>
      </c>
      <c r="S820">
        <f t="shared" si="1007"/>
        <v>87.398250998221584</v>
      </c>
      <c r="T820">
        <f t="shared" si="1008"/>
        <v>8.7398250998221585E-2</v>
      </c>
    </row>
    <row r="821" spans="1:20" x14ac:dyDescent="0.25">
      <c r="A821" s="5">
        <v>43772</v>
      </c>
      <c r="B821">
        <v>10.946</v>
      </c>
      <c r="C821">
        <v>11.12</v>
      </c>
      <c r="D821">
        <v>10.68</v>
      </c>
      <c r="E821">
        <v>11.05</v>
      </c>
      <c r="F821">
        <v>405920.98200000002</v>
      </c>
      <c r="G821">
        <v>0</v>
      </c>
      <c r="P821">
        <f t="shared" si="1004"/>
        <v>0.68181818181818821</v>
      </c>
      <c r="Q821">
        <f t="shared" si="1005"/>
        <v>276764.30590909353</v>
      </c>
      <c r="R821">
        <f t="shared" si="1006"/>
        <v>8580117.6989021581</v>
      </c>
      <c r="S821">
        <f t="shared" si="1007"/>
        <v>85.801176989021585</v>
      </c>
      <c r="T821">
        <f t="shared" si="1008"/>
        <v>8.580117698902158E-2</v>
      </c>
    </row>
    <row r="822" spans="1:20" x14ac:dyDescent="0.25">
      <c r="A822" s="5">
        <v>43771</v>
      </c>
      <c r="B822">
        <v>10.625999999999999</v>
      </c>
      <c r="C822">
        <v>11.3</v>
      </c>
      <c r="D822">
        <v>10.539</v>
      </c>
      <c r="E822">
        <v>10.946</v>
      </c>
      <c r="F822">
        <v>735478.66500000004</v>
      </c>
      <c r="G822">
        <v>0</v>
      </c>
      <c r="P822">
        <f t="shared" si="1004"/>
        <v>6.9645203679367912E-2</v>
      </c>
      <c r="Q822">
        <f t="shared" si="1005"/>
        <v>51222.561425754604</v>
      </c>
      <c r="R822">
        <f t="shared" si="1006"/>
        <v>8303353.3929930646</v>
      </c>
      <c r="S822">
        <f t="shared" si="1007"/>
        <v>83.033533929930641</v>
      </c>
      <c r="T822">
        <f t="shared" si="1008"/>
        <v>8.3033533929930639E-2</v>
      </c>
    </row>
    <row r="823" spans="1:20" x14ac:dyDescent="0.25">
      <c r="A823" s="5">
        <v>43770</v>
      </c>
      <c r="B823">
        <v>10.542</v>
      </c>
      <c r="C823">
        <v>10.7</v>
      </c>
      <c r="D823">
        <v>10.231999999999999</v>
      </c>
      <c r="E823">
        <v>10.609</v>
      </c>
      <c r="F823">
        <v>576364.04299999995</v>
      </c>
      <c r="G823">
        <v>0</v>
      </c>
      <c r="P823">
        <f t="shared" si="1004"/>
        <v>0.61111111111111405</v>
      </c>
      <c r="Q823">
        <f t="shared" si="1005"/>
        <v>352222.47072222386</v>
      </c>
      <c r="R823">
        <f t="shared" si="1006"/>
        <v>8252130.8315673098</v>
      </c>
      <c r="S823">
        <f t="shared" si="1007"/>
        <v>82.521308315673096</v>
      </c>
      <c r="T823">
        <f t="shared" si="1008"/>
        <v>8.25213083156731E-2</v>
      </c>
    </row>
    <row r="824" spans="1:20" x14ac:dyDescent="0.25">
      <c r="A824" s="5">
        <v>43769</v>
      </c>
      <c r="B824">
        <v>11.246</v>
      </c>
      <c r="C824">
        <v>11.345000000000001</v>
      </c>
      <c r="D824">
        <v>10.162000000000001</v>
      </c>
      <c r="E824">
        <v>10.536</v>
      </c>
      <c r="F824">
        <v>1251616.8</v>
      </c>
      <c r="G824">
        <v>0</v>
      </c>
      <c r="P824">
        <f t="shared" si="1004"/>
        <v>-0.36770921386306199</v>
      </c>
      <c r="Q824">
        <f t="shared" si="1005"/>
        <v>-460231.0295858013</v>
      </c>
      <c r="R824">
        <f t="shared" si="1006"/>
        <v>7899908.3608450862</v>
      </c>
      <c r="S824">
        <f t="shared" si="1007"/>
        <v>78.99908360845086</v>
      </c>
      <c r="T824">
        <f t="shared" si="1008"/>
        <v>7.8999083608450857E-2</v>
      </c>
    </row>
    <row r="825" spans="1:20" x14ac:dyDescent="0.25">
      <c r="A825" s="5">
        <v>43768</v>
      </c>
      <c r="B825">
        <v>10.785</v>
      </c>
      <c r="C825">
        <v>11.539</v>
      </c>
      <c r="D825">
        <v>10.119999999999999</v>
      </c>
      <c r="E825">
        <v>11.255000000000001</v>
      </c>
      <c r="F825">
        <v>1541534.6</v>
      </c>
      <c r="G825">
        <v>0</v>
      </c>
      <c r="P825">
        <f t="shared" si="1004"/>
        <v>0.59971811134601993</v>
      </c>
      <c r="Q825">
        <f t="shared" si="1005"/>
        <v>924486.21888654237</v>
      </c>
      <c r="R825">
        <f t="shared" si="1006"/>
        <v>8360139.3904308872</v>
      </c>
      <c r="S825">
        <f t="shared" si="1007"/>
        <v>83.601393904308878</v>
      </c>
      <c r="T825">
        <f t="shared" si="1008"/>
        <v>8.3601393904308874E-2</v>
      </c>
    </row>
    <row r="826" spans="1:20" x14ac:dyDescent="0.25">
      <c r="A826" s="5">
        <v>43767</v>
      </c>
      <c r="B826">
        <v>10.67</v>
      </c>
      <c r="C826">
        <v>11.308</v>
      </c>
      <c r="D826">
        <v>10.307</v>
      </c>
      <c r="E826">
        <v>10.784000000000001</v>
      </c>
      <c r="F826">
        <v>1200171.683</v>
      </c>
      <c r="G826">
        <v>0</v>
      </c>
      <c r="P826">
        <f t="shared" si="1004"/>
        <v>-4.69530469530458E-2</v>
      </c>
      <c r="Q826">
        <f t="shared" si="1005"/>
        <v>-56351.717383614996</v>
      </c>
      <c r="R826">
        <f t="shared" si="1006"/>
        <v>7435653.1715443451</v>
      </c>
      <c r="S826">
        <f t="shared" si="1007"/>
        <v>74.356531715443452</v>
      </c>
      <c r="T826">
        <f t="shared" si="1008"/>
        <v>7.4356531715443458E-2</v>
      </c>
    </row>
    <row r="827" spans="1:20" x14ac:dyDescent="0.25">
      <c r="A827" s="5">
        <v>43766</v>
      </c>
      <c r="B827">
        <v>11.502000000000001</v>
      </c>
      <c r="C827">
        <v>13.428000000000001</v>
      </c>
      <c r="D827">
        <v>10.42</v>
      </c>
      <c r="E827">
        <v>10.675000000000001</v>
      </c>
      <c r="F827">
        <v>3335691.6179999998</v>
      </c>
      <c r="G827">
        <v>0</v>
      </c>
      <c r="P827">
        <f t="shared" si="1004"/>
        <v>-0.83045212765957399</v>
      </c>
      <c r="Q827">
        <f t="shared" si="1005"/>
        <v>-2770132.2013843069</v>
      </c>
      <c r="R827">
        <f t="shared" si="1006"/>
        <v>7492004.8889279598</v>
      </c>
      <c r="S827">
        <f t="shared" si="1007"/>
        <v>74.920048889279599</v>
      </c>
      <c r="T827">
        <f t="shared" si="1008"/>
        <v>7.4920048889279597E-2</v>
      </c>
    </row>
    <row r="828" spans="1:20" x14ac:dyDescent="0.25">
      <c r="A828" s="5">
        <v>43765</v>
      </c>
      <c r="B828">
        <v>9.11</v>
      </c>
      <c r="C828">
        <v>12.6</v>
      </c>
      <c r="D828">
        <v>9.11</v>
      </c>
      <c r="E828">
        <v>11.502000000000001</v>
      </c>
      <c r="F828">
        <v>4027203.4789999998</v>
      </c>
      <c r="G828">
        <v>0</v>
      </c>
      <c r="P828">
        <f t="shared" si="1004"/>
        <v>0.37077363896848198</v>
      </c>
      <c r="Q828">
        <f t="shared" si="1005"/>
        <v>1493180.8887753605</v>
      </c>
      <c r="R828">
        <f t="shared" si="1006"/>
        <v>10262137.090312267</v>
      </c>
      <c r="S828">
        <f t="shared" si="1007"/>
        <v>102.62137090312267</v>
      </c>
      <c r="T828">
        <f t="shared" si="1008"/>
        <v>0.10262137090312266</v>
      </c>
    </row>
    <row r="829" spans="1:20" x14ac:dyDescent="0.25">
      <c r="A829" s="5">
        <v>43764</v>
      </c>
      <c r="B829">
        <v>7.7919999999999998</v>
      </c>
      <c r="C829">
        <v>9.1379999999999999</v>
      </c>
      <c r="D829">
        <v>7.7640000000000002</v>
      </c>
      <c r="E829">
        <v>9.1199999999999992</v>
      </c>
      <c r="F829">
        <v>1147316.983</v>
      </c>
      <c r="G829">
        <v>0</v>
      </c>
      <c r="P829">
        <f t="shared" si="1004"/>
        <v>0.97379912663755364</v>
      </c>
      <c r="Q829">
        <f t="shared" si="1005"/>
        <v>1117256.2760218331</v>
      </c>
      <c r="R829">
        <f t="shared" si="1006"/>
        <v>8768956.2015369069</v>
      </c>
      <c r="S829">
        <f t="shared" si="1007"/>
        <v>87.689562015369063</v>
      </c>
      <c r="T829">
        <f t="shared" si="1008"/>
        <v>8.7689562015369066E-2</v>
      </c>
    </row>
    <row r="830" spans="1:20" x14ac:dyDescent="0.25">
      <c r="A830" s="5">
        <v>43763</v>
      </c>
      <c r="B830">
        <v>6.97</v>
      </c>
      <c r="C830">
        <v>7.8250000000000002</v>
      </c>
      <c r="D830">
        <v>6.8360000000000003</v>
      </c>
      <c r="E830">
        <v>7.7859999999999996</v>
      </c>
      <c r="F830">
        <v>410042.587</v>
      </c>
      <c r="G830">
        <v>0</v>
      </c>
      <c r="P830">
        <f t="shared" si="1004"/>
        <v>0.92113245702729907</v>
      </c>
      <c r="Q830">
        <f t="shared" si="1005"/>
        <v>377703.53564914002</v>
      </c>
      <c r="R830">
        <f t="shared" si="1006"/>
        <v>7651699.9255150743</v>
      </c>
      <c r="S830">
        <f t="shared" si="1007"/>
        <v>76.516999255150736</v>
      </c>
      <c r="T830">
        <f t="shared" si="1008"/>
        <v>7.6516999255150736E-2</v>
      </c>
    </row>
    <row r="831" spans="1:20" x14ac:dyDescent="0.25">
      <c r="A831" s="5">
        <v>43762</v>
      </c>
      <c r="B831">
        <v>6.9189999999999996</v>
      </c>
      <c r="C831">
        <v>7.0910000000000002</v>
      </c>
      <c r="D831">
        <v>6.76</v>
      </c>
      <c r="E831">
        <v>6.9660000000000002</v>
      </c>
      <c r="F831">
        <v>143318.48699999999</v>
      </c>
      <c r="G831">
        <v>0</v>
      </c>
      <c r="P831">
        <f t="shared" ref="P831:P894" si="1009">IF(C831=D831,0,((E831-D831)-(C831-E831))/(C831-D831))</f>
        <v>0.24471299093655682</v>
      </c>
      <c r="Q831">
        <f t="shared" ref="Q831:Q894" si="1010">F831*P831</f>
        <v>35071.895610272033</v>
      </c>
      <c r="R831">
        <f t="shared" ref="R831:R894" si="1011">R832+Q831</f>
        <v>7273996.3898659339</v>
      </c>
      <c r="S831">
        <f t="shared" ref="S831:S894" si="1012">R831/100000</f>
        <v>72.73996389865934</v>
      </c>
      <c r="T831">
        <f t="shared" ref="T831:T894" si="1013">S831/1000</f>
        <v>7.2739963898659346E-2</v>
      </c>
    </row>
    <row r="832" spans="1:20" x14ac:dyDescent="0.25">
      <c r="A832" s="5">
        <v>43761</v>
      </c>
      <c r="B832">
        <v>7.25</v>
      </c>
      <c r="C832">
        <v>7.2709999999999999</v>
      </c>
      <c r="D832">
        <v>6.6349999999999998</v>
      </c>
      <c r="E832">
        <v>6.907</v>
      </c>
      <c r="F832">
        <v>223489.72399999999</v>
      </c>
      <c r="G832">
        <v>0</v>
      </c>
      <c r="P832">
        <f t="shared" si="1009"/>
        <v>-0.14465408805031388</v>
      </c>
      <c r="Q832">
        <f t="shared" si="1010"/>
        <v>-32328.702213836346</v>
      </c>
      <c r="R832">
        <f t="shared" si="1011"/>
        <v>7238924.494255662</v>
      </c>
      <c r="S832">
        <f t="shared" si="1012"/>
        <v>72.389244942556616</v>
      </c>
      <c r="T832">
        <f t="shared" si="1013"/>
        <v>7.2389244942556621E-2</v>
      </c>
    </row>
    <row r="833" spans="1:20" x14ac:dyDescent="0.25">
      <c r="A833" s="5">
        <v>43760</v>
      </c>
      <c r="B833">
        <v>7.3929999999999998</v>
      </c>
      <c r="C833">
        <v>7.5</v>
      </c>
      <c r="D833">
        <v>7.2320000000000002</v>
      </c>
      <c r="E833">
        <v>7.2640000000000002</v>
      </c>
      <c r="F833">
        <v>136047.609</v>
      </c>
      <c r="G833">
        <v>0</v>
      </c>
      <c r="P833">
        <f t="shared" si="1009"/>
        <v>-0.76119402985074591</v>
      </c>
      <c r="Q833">
        <f t="shared" si="1010"/>
        <v>-103558.62774626861</v>
      </c>
      <c r="R833">
        <f t="shared" si="1011"/>
        <v>7271253.1964694979</v>
      </c>
      <c r="S833">
        <f t="shared" si="1012"/>
        <v>72.712531964694975</v>
      </c>
      <c r="T833">
        <f t="shared" si="1013"/>
        <v>7.2712531964694974E-2</v>
      </c>
    </row>
    <row r="834" spans="1:20" x14ac:dyDescent="0.25">
      <c r="A834" s="5">
        <v>43759</v>
      </c>
      <c r="B834">
        <v>7.306</v>
      </c>
      <c r="C834">
        <v>7.4649999999999999</v>
      </c>
      <c r="D834">
        <v>7.15</v>
      </c>
      <c r="E834">
        <v>7.3979999999999997</v>
      </c>
      <c r="F834">
        <v>192782.27299999999</v>
      </c>
      <c r="G834">
        <v>0</v>
      </c>
      <c r="P834">
        <f t="shared" si="1009"/>
        <v>0.57460317460317289</v>
      </c>
      <c r="Q834">
        <f t="shared" si="1010"/>
        <v>110773.30607301554</v>
      </c>
      <c r="R834">
        <f t="shared" si="1011"/>
        <v>7374811.824215766</v>
      </c>
      <c r="S834">
        <f t="shared" si="1012"/>
        <v>73.748118242157659</v>
      </c>
      <c r="T834">
        <f t="shared" si="1013"/>
        <v>7.3748118242157656E-2</v>
      </c>
    </row>
    <row r="835" spans="1:20" x14ac:dyDescent="0.25">
      <c r="A835" s="5">
        <v>43758</v>
      </c>
      <c r="B835">
        <v>7.1050000000000004</v>
      </c>
      <c r="C835">
        <v>7.3659999999999997</v>
      </c>
      <c r="D835">
        <v>7.0279999999999996</v>
      </c>
      <c r="E835">
        <v>7.3029999999999999</v>
      </c>
      <c r="F835">
        <v>96369.8</v>
      </c>
      <c r="G835">
        <v>0</v>
      </c>
      <c r="P835">
        <f t="shared" si="1009"/>
        <v>0.62721893491124436</v>
      </c>
      <c r="Q835">
        <f t="shared" si="1010"/>
        <v>60444.963313609638</v>
      </c>
      <c r="R835">
        <f t="shared" si="1011"/>
        <v>7264038.5181427505</v>
      </c>
      <c r="S835">
        <f t="shared" si="1012"/>
        <v>72.640385181427504</v>
      </c>
      <c r="T835">
        <f t="shared" si="1013"/>
        <v>7.26403851814275E-2</v>
      </c>
    </row>
    <row r="836" spans="1:20" x14ac:dyDescent="0.25">
      <c r="A836" s="5">
        <v>43757</v>
      </c>
      <c r="B836">
        <v>7.1150000000000002</v>
      </c>
      <c r="C836">
        <v>7.19</v>
      </c>
      <c r="D836">
        <v>7</v>
      </c>
      <c r="E836">
        <v>7.1050000000000004</v>
      </c>
      <c r="F836">
        <v>110203.65</v>
      </c>
      <c r="G836">
        <v>0</v>
      </c>
      <c r="P836">
        <f t="shared" si="1009"/>
        <v>0.10526315789473906</v>
      </c>
      <c r="Q836">
        <f t="shared" si="1010"/>
        <v>11600.384210526559</v>
      </c>
      <c r="R836">
        <f t="shared" si="1011"/>
        <v>7203593.5548291411</v>
      </c>
      <c r="S836">
        <f t="shared" si="1012"/>
        <v>72.035935548291405</v>
      </c>
      <c r="T836">
        <f t="shared" si="1013"/>
        <v>7.2035935548291408E-2</v>
      </c>
    </row>
    <row r="837" spans="1:20" x14ac:dyDescent="0.25">
      <c r="A837" s="5">
        <v>43756</v>
      </c>
      <c r="B837">
        <v>7.258</v>
      </c>
      <c r="C837">
        <v>7.319</v>
      </c>
      <c r="D837">
        <v>6.9539999999999997</v>
      </c>
      <c r="E837">
        <v>7.1109999999999998</v>
      </c>
      <c r="F837">
        <v>153638.397</v>
      </c>
      <c r="G837">
        <v>0</v>
      </c>
      <c r="P837">
        <f t="shared" si="1009"/>
        <v>-0.13972602739726062</v>
      </c>
      <c r="Q837">
        <f t="shared" si="1010"/>
        <v>-21467.282868493203</v>
      </c>
      <c r="R837">
        <f t="shared" si="1011"/>
        <v>7191993.1706186142</v>
      </c>
      <c r="S837">
        <f t="shared" si="1012"/>
        <v>71.919931706186148</v>
      </c>
      <c r="T837">
        <f t="shared" si="1013"/>
        <v>7.1919931706186144E-2</v>
      </c>
    </row>
    <row r="838" spans="1:20" x14ac:dyDescent="0.25">
      <c r="A838" s="5">
        <v>43755</v>
      </c>
      <c r="B838">
        <v>6.99</v>
      </c>
      <c r="C838">
        <v>7.2619999999999996</v>
      </c>
      <c r="D838">
        <v>6.8730000000000002</v>
      </c>
      <c r="E838">
        <v>7.2519999999999998</v>
      </c>
      <c r="F838">
        <v>194682.04300000001</v>
      </c>
      <c r="G838">
        <v>0</v>
      </c>
      <c r="P838">
        <f t="shared" si="1009"/>
        <v>0.94858611825192907</v>
      </c>
      <c r="Q838">
        <f t="shared" si="1010"/>
        <v>184672.68346272514</v>
      </c>
      <c r="R838">
        <f t="shared" si="1011"/>
        <v>7213460.4534871075</v>
      </c>
      <c r="S838">
        <f t="shared" si="1012"/>
        <v>72.134604534871073</v>
      </c>
      <c r="T838">
        <f t="shared" si="1013"/>
        <v>7.2134604534871069E-2</v>
      </c>
    </row>
    <row r="839" spans="1:20" x14ac:dyDescent="0.25">
      <c r="A839" s="5">
        <v>43754</v>
      </c>
      <c r="B839">
        <v>7.3559999999999999</v>
      </c>
      <c r="C839">
        <v>7.4489999999999998</v>
      </c>
      <c r="D839">
        <v>6.7649999999999997</v>
      </c>
      <c r="E839">
        <v>6.9950000000000001</v>
      </c>
      <c r="F839">
        <v>291200.84999999998</v>
      </c>
      <c r="G839">
        <v>0</v>
      </c>
      <c r="P839">
        <f t="shared" si="1009"/>
        <v>-0.32748538011695799</v>
      </c>
      <c r="Q839">
        <f t="shared" si="1010"/>
        <v>-95364.021052631258</v>
      </c>
      <c r="R839">
        <f t="shared" si="1011"/>
        <v>7028787.7700243825</v>
      </c>
      <c r="S839">
        <f t="shared" si="1012"/>
        <v>70.287877700243826</v>
      </c>
      <c r="T839">
        <f t="shared" si="1013"/>
        <v>7.028787770024382E-2</v>
      </c>
    </row>
    <row r="840" spans="1:20" x14ac:dyDescent="0.25">
      <c r="A840" s="5">
        <v>43753</v>
      </c>
      <c r="B840">
        <v>7.5289999999999999</v>
      </c>
      <c r="C840">
        <v>7.5629999999999997</v>
      </c>
      <c r="D840">
        <v>7.27</v>
      </c>
      <c r="E840">
        <v>7.367</v>
      </c>
      <c r="F840">
        <v>227057.179</v>
      </c>
      <c r="G840">
        <v>0</v>
      </c>
      <c r="P840">
        <f t="shared" si="1009"/>
        <v>-0.33788395904436608</v>
      </c>
      <c r="Q840">
        <f t="shared" si="1010"/>
        <v>-76718.9785699653</v>
      </c>
      <c r="R840">
        <f t="shared" si="1011"/>
        <v>7124151.7910770141</v>
      </c>
      <c r="S840">
        <f t="shared" si="1012"/>
        <v>71.241517910770142</v>
      </c>
      <c r="T840">
        <f t="shared" si="1013"/>
        <v>7.1241517910770144E-2</v>
      </c>
    </row>
    <row r="841" spans="1:20" x14ac:dyDescent="0.25">
      <c r="A841" s="5">
        <v>43752</v>
      </c>
      <c r="B841">
        <v>7.3070000000000004</v>
      </c>
      <c r="C841">
        <v>7.53</v>
      </c>
      <c r="D841">
        <v>7.2720000000000002</v>
      </c>
      <c r="E841">
        <v>7.5289999999999999</v>
      </c>
      <c r="F841">
        <v>123607.49400000001</v>
      </c>
      <c r="G841">
        <v>0</v>
      </c>
      <c r="P841">
        <f t="shared" si="1009"/>
        <v>0.99224806201550131</v>
      </c>
      <c r="Q841">
        <f t="shared" si="1010"/>
        <v>122649.29637209271</v>
      </c>
      <c r="R841">
        <f t="shared" si="1011"/>
        <v>7200870.7696469789</v>
      </c>
      <c r="S841">
        <f t="shared" si="1012"/>
        <v>72.008707696469784</v>
      </c>
      <c r="T841">
        <f t="shared" si="1013"/>
        <v>7.200870769646979E-2</v>
      </c>
    </row>
    <row r="842" spans="1:20" x14ac:dyDescent="0.25">
      <c r="A842" s="5">
        <v>43751</v>
      </c>
      <c r="B842">
        <v>7.24</v>
      </c>
      <c r="C842">
        <v>7.5220000000000002</v>
      </c>
      <c r="D842">
        <v>7.1859999999999999</v>
      </c>
      <c r="E842">
        <v>7.2960000000000003</v>
      </c>
      <c r="F842">
        <v>122109.30899999999</v>
      </c>
      <c r="G842">
        <v>0</v>
      </c>
      <c r="P842">
        <f t="shared" si="1009"/>
        <v>-0.3452380952380939</v>
      </c>
      <c r="Q842">
        <f t="shared" si="1010"/>
        <v>-42156.785249999833</v>
      </c>
      <c r="R842">
        <f t="shared" si="1011"/>
        <v>7078221.4732748866</v>
      </c>
      <c r="S842">
        <f t="shared" si="1012"/>
        <v>70.782214732748869</v>
      </c>
      <c r="T842">
        <f t="shared" si="1013"/>
        <v>7.0782214732748872E-2</v>
      </c>
    </row>
    <row r="843" spans="1:20" x14ac:dyDescent="0.25">
      <c r="A843" s="5">
        <v>43750</v>
      </c>
      <c r="B843">
        <v>7.2169999999999996</v>
      </c>
      <c r="C843">
        <v>7.3719999999999999</v>
      </c>
      <c r="D843">
        <v>7.202</v>
      </c>
      <c r="E843">
        <v>7.24</v>
      </c>
      <c r="F843">
        <v>64231.021999999997</v>
      </c>
      <c r="G843">
        <v>0</v>
      </c>
      <c r="P843">
        <f t="shared" si="1009"/>
        <v>-0.55294117647058505</v>
      </c>
      <c r="Q843">
        <f t="shared" si="1010"/>
        <v>-35515.976870588027</v>
      </c>
      <c r="R843">
        <f t="shared" si="1011"/>
        <v>7120378.2585248863</v>
      </c>
      <c r="S843">
        <f t="shared" si="1012"/>
        <v>71.20378258524886</v>
      </c>
      <c r="T843">
        <f t="shared" si="1013"/>
        <v>7.1203782585248857E-2</v>
      </c>
    </row>
    <row r="844" spans="1:20" x14ac:dyDescent="0.25">
      <c r="A844" s="5">
        <v>43749</v>
      </c>
      <c r="B844">
        <v>7.4809999999999999</v>
      </c>
      <c r="C844">
        <v>7.63</v>
      </c>
      <c r="D844">
        <v>7.1950000000000003</v>
      </c>
      <c r="E844">
        <v>7.2190000000000003</v>
      </c>
      <c r="F844">
        <v>200661.65900000001</v>
      </c>
      <c r="G844">
        <v>0</v>
      </c>
      <c r="P844">
        <f t="shared" si="1009"/>
        <v>-0.88965517241379288</v>
      </c>
      <c r="Q844">
        <f t="shared" si="1010"/>
        <v>-178519.68283448272</v>
      </c>
      <c r="R844">
        <f t="shared" si="1011"/>
        <v>7155894.2353954744</v>
      </c>
      <c r="S844">
        <f t="shared" si="1012"/>
        <v>71.558942353954748</v>
      </c>
      <c r="T844">
        <f t="shared" si="1013"/>
        <v>7.1558942353954755E-2</v>
      </c>
    </row>
    <row r="845" spans="1:20" x14ac:dyDescent="0.25">
      <c r="A845" s="5">
        <v>43748</v>
      </c>
      <c r="B845">
        <v>7.73</v>
      </c>
      <c r="C845">
        <v>7.7809999999999997</v>
      </c>
      <c r="D845">
        <v>7.33</v>
      </c>
      <c r="E845">
        <v>7.468</v>
      </c>
      <c r="F845">
        <v>185571.74400000001</v>
      </c>
      <c r="G845">
        <v>0</v>
      </c>
      <c r="P845">
        <f t="shared" si="1009"/>
        <v>-0.38802660753880258</v>
      </c>
      <c r="Q845">
        <f t="shared" si="1010"/>
        <v>-72006.77427937914</v>
      </c>
      <c r="R845">
        <f t="shared" si="1011"/>
        <v>7334413.9182299571</v>
      </c>
      <c r="S845">
        <f t="shared" si="1012"/>
        <v>73.344139182299571</v>
      </c>
      <c r="T845">
        <f t="shared" si="1013"/>
        <v>7.3344139182299567E-2</v>
      </c>
    </row>
    <row r="846" spans="1:20" x14ac:dyDescent="0.25">
      <c r="A846" s="5">
        <v>43747</v>
      </c>
      <c r="B846">
        <v>7.5090000000000003</v>
      </c>
      <c r="C846">
        <v>7.8179999999999996</v>
      </c>
      <c r="D846">
        <v>7.3979999999999997</v>
      </c>
      <c r="E846">
        <v>7.75</v>
      </c>
      <c r="F846">
        <v>357735.44300000003</v>
      </c>
      <c r="G846">
        <v>0</v>
      </c>
      <c r="P846">
        <f t="shared" si="1009"/>
        <v>0.67619047619047801</v>
      </c>
      <c r="Q846">
        <f t="shared" si="1010"/>
        <v>241897.29955238162</v>
      </c>
      <c r="R846">
        <f t="shared" si="1011"/>
        <v>7406420.6925093364</v>
      </c>
      <c r="S846">
        <f t="shared" si="1012"/>
        <v>74.064206925093359</v>
      </c>
      <c r="T846">
        <f t="shared" si="1013"/>
        <v>7.4064206925093357E-2</v>
      </c>
    </row>
    <row r="847" spans="1:20" x14ac:dyDescent="0.25">
      <c r="A847" s="5">
        <v>43746</v>
      </c>
      <c r="B847">
        <v>7.4630000000000001</v>
      </c>
      <c r="C847">
        <v>7.609</v>
      </c>
      <c r="D847">
        <v>7.3289999999999997</v>
      </c>
      <c r="E847">
        <v>7.4980000000000002</v>
      </c>
      <c r="F847">
        <v>201611.125</v>
      </c>
      <c r="G847">
        <v>0</v>
      </c>
      <c r="P847">
        <f t="shared" si="1009"/>
        <v>0.20714285714285952</v>
      </c>
      <c r="Q847">
        <f t="shared" si="1010"/>
        <v>41762.304464286193</v>
      </c>
      <c r="R847">
        <f t="shared" si="1011"/>
        <v>7164523.3929569544</v>
      </c>
      <c r="S847">
        <f t="shared" si="1012"/>
        <v>71.645233929569542</v>
      </c>
      <c r="T847">
        <f t="shared" si="1013"/>
        <v>7.1645233929569549E-2</v>
      </c>
    </row>
    <row r="848" spans="1:20" x14ac:dyDescent="0.25">
      <c r="A848" s="5">
        <v>43745</v>
      </c>
      <c r="B848">
        <v>7.1479999999999997</v>
      </c>
      <c r="C848">
        <v>7.5650000000000004</v>
      </c>
      <c r="D848">
        <v>7.0659999999999998</v>
      </c>
      <c r="E848">
        <v>7.4450000000000003</v>
      </c>
      <c r="F848">
        <v>227651.45</v>
      </c>
      <c r="G848">
        <v>0</v>
      </c>
      <c r="P848">
        <f t="shared" si="1009"/>
        <v>0.51903807615230468</v>
      </c>
      <c r="Q848">
        <f t="shared" si="1010"/>
        <v>118159.77064128259</v>
      </c>
      <c r="R848">
        <f t="shared" si="1011"/>
        <v>7122761.0884926682</v>
      </c>
      <c r="S848">
        <f t="shared" si="1012"/>
        <v>71.227610884926676</v>
      </c>
      <c r="T848">
        <f t="shared" si="1013"/>
        <v>7.122761088492667E-2</v>
      </c>
    </row>
    <row r="849" spans="1:20" x14ac:dyDescent="0.25">
      <c r="A849" s="5">
        <v>43744</v>
      </c>
      <c r="B849">
        <v>7.3460000000000001</v>
      </c>
      <c r="C849">
        <v>7.399</v>
      </c>
      <c r="D849">
        <v>6.9729999999999999</v>
      </c>
      <c r="E849">
        <v>7.14</v>
      </c>
      <c r="F849">
        <v>207921.511</v>
      </c>
      <c r="G849">
        <v>0</v>
      </c>
      <c r="P849">
        <f t="shared" si="1009"/>
        <v>-0.21596244131455514</v>
      </c>
      <c r="Q849">
        <f t="shared" si="1010"/>
        <v>-44903.237117371129</v>
      </c>
      <c r="R849">
        <f t="shared" si="1011"/>
        <v>7004601.317851386</v>
      </c>
      <c r="S849">
        <f t="shared" si="1012"/>
        <v>70.04601317851386</v>
      </c>
      <c r="T849">
        <f t="shared" si="1013"/>
        <v>7.0046013178513861E-2</v>
      </c>
    </row>
    <row r="850" spans="1:20" x14ac:dyDescent="0.25">
      <c r="A850" s="5">
        <v>43743</v>
      </c>
      <c r="B850">
        <v>7.3490000000000002</v>
      </c>
      <c r="C850">
        <v>7.415</v>
      </c>
      <c r="D850">
        <v>7.17</v>
      </c>
      <c r="E850">
        <v>7.3339999999999996</v>
      </c>
      <c r="F850">
        <v>150105.75099999999</v>
      </c>
      <c r="G850">
        <v>0</v>
      </c>
      <c r="P850">
        <f t="shared" si="1009"/>
        <v>0.33877551020407859</v>
      </c>
      <c r="Q850">
        <f t="shared" si="1010"/>
        <v>50852.152379591374</v>
      </c>
      <c r="R850">
        <f t="shared" si="1011"/>
        <v>7049504.5549687576</v>
      </c>
      <c r="S850">
        <f t="shared" si="1012"/>
        <v>70.495045549687575</v>
      </c>
      <c r="T850">
        <f t="shared" si="1013"/>
        <v>7.0495045549687579E-2</v>
      </c>
    </row>
    <row r="851" spans="1:20" x14ac:dyDescent="0.25">
      <c r="A851" s="5">
        <v>43742</v>
      </c>
      <c r="B851">
        <v>7.3330000000000002</v>
      </c>
      <c r="C851">
        <v>7.5</v>
      </c>
      <c r="D851">
        <v>7.1550000000000002</v>
      </c>
      <c r="E851">
        <v>7.3460000000000001</v>
      </c>
      <c r="F851">
        <v>120881.79300000001</v>
      </c>
      <c r="G851">
        <v>0</v>
      </c>
      <c r="P851">
        <f t="shared" si="1009"/>
        <v>0.10724637681159406</v>
      </c>
      <c r="Q851">
        <f t="shared" si="1010"/>
        <v>12964.134321739113</v>
      </c>
      <c r="R851">
        <f t="shared" si="1011"/>
        <v>6998652.4025891665</v>
      </c>
      <c r="S851">
        <f t="shared" si="1012"/>
        <v>69.986524025891669</v>
      </c>
      <c r="T851">
        <f t="shared" si="1013"/>
        <v>6.9986524025891672E-2</v>
      </c>
    </row>
    <row r="852" spans="1:20" x14ac:dyDescent="0.25">
      <c r="A852" s="5">
        <v>43741</v>
      </c>
      <c r="B852">
        <v>7.6360000000000001</v>
      </c>
      <c r="C852">
        <v>7.6550000000000002</v>
      </c>
      <c r="D852">
        <v>7.1449999999999996</v>
      </c>
      <c r="E852">
        <v>7.3419999999999996</v>
      </c>
      <c r="F852">
        <v>154538.27600000001</v>
      </c>
      <c r="G852">
        <v>0</v>
      </c>
      <c r="P852">
        <f t="shared" si="1009"/>
        <v>-0.22745098039215764</v>
      </c>
      <c r="Q852">
        <f t="shared" si="1010"/>
        <v>-35149.882384313845</v>
      </c>
      <c r="R852">
        <f t="shared" si="1011"/>
        <v>6985688.2682674276</v>
      </c>
      <c r="S852">
        <f t="shared" si="1012"/>
        <v>69.856882682674282</v>
      </c>
      <c r="T852">
        <f t="shared" si="1013"/>
        <v>6.9856882682674287E-2</v>
      </c>
    </row>
    <row r="853" spans="1:20" x14ac:dyDescent="0.25">
      <c r="A853" s="5">
        <v>43740</v>
      </c>
      <c r="B853">
        <v>7.4710000000000001</v>
      </c>
      <c r="C853">
        <v>7.6550000000000002</v>
      </c>
      <c r="D853">
        <v>7.3159999999999998</v>
      </c>
      <c r="E853">
        <v>7.617</v>
      </c>
      <c r="F853">
        <v>193278.103</v>
      </c>
      <c r="G853">
        <v>0</v>
      </c>
      <c r="P853">
        <f t="shared" si="1009"/>
        <v>0.77581120943952675</v>
      </c>
      <c r="Q853">
        <f t="shared" si="1010"/>
        <v>149947.31884660744</v>
      </c>
      <c r="R853">
        <f t="shared" si="1011"/>
        <v>7020838.1506517418</v>
      </c>
      <c r="S853">
        <f t="shared" si="1012"/>
        <v>70.208381506517412</v>
      </c>
      <c r="T853">
        <f t="shared" si="1013"/>
        <v>7.0208381506517412E-2</v>
      </c>
    </row>
    <row r="854" spans="1:20" x14ac:dyDescent="0.25">
      <c r="A854" s="5">
        <v>43739</v>
      </c>
      <c r="B854">
        <v>7.601</v>
      </c>
      <c r="C854">
        <v>8.08</v>
      </c>
      <c r="D854">
        <v>7.41</v>
      </c>
      <c r="E854">
        <v>7.4720000000000004</v>
      </c>
      <c r="F854">
        <v>468838.48499999999</v>
      </c>
      <c r="G854">
        <v>0</v>
      </c>
      <c r="P854">
        <f t="shared" si="1009"/>
        <v>-0.81492537313432756</v>
      </c>
      <c r="Q854">
        <f t="shared" si="1010"/>
        <v>-382068.37732835783</v>
      </c>
      <c r="R854">
        <f t="shared" si="1011"/>
        <v>6870890.8318051342</v>
      </c>
      <c r="S854">
        <f t="shared" si="1012"/>
        <v>68.708908318051343</v>
      </c>
      <c r="T854">
        <f t="shared" si="1013"/>
        <v>6.8708908318051348E-2</v>
      </c>
    </row>
    <row r="855" spans="1:20" x14ac:dyDescent="0.25">
      <c r="A855" s="5">
        <v>43738</v>
      </c>
      <c r="B855">
        <v>7.12</v>
      </c>
      <c r="C855">
        <v>7.6059999999999999</v>
      </c>
      <c r="D855">
        <v>6.8609999999999998</v>
      </c>
      <c r="E855">
        <v>7.5990000000000002</v>
      </c>
      <c r="F855">
        <v>280613.32699999999</v>
      </c>
      <c r="G855">
        <v>0</v>
      </c>
      <c r="P855">
        <f t="shared" si="1009"/>
        <v>0.98120805369127606</v>
      </c>
      <c r="Q855">
        <f t="shared" si="1010"/>
        <v>275340.05642550357</v>
      </c>
      <c r="R855">
        <f t="shared" si="1011"/>
        <v>7252959.2091334919</v>
      </c>
      <c r="S855">
        <f t="shared" si="1012"/>
        <v>72.529592091334919</v>
      </c>
      <c r="T855">
        <f t="shared" si="1013"/>
        <v>7.2529592091334916E-2</v>
      </c>
    </row>
    <row r="856" spans="1:20" x14ac:dyDescent="0.25">
      <c r="A856" s="5">
        <v>43737</v>
      </c>
      <c r="B856">
        <v>7.3150000000000004</v>
      </c>
      <c r="C856">
        <v>7.327</v>
      </c>
      <c r="D856">
        <v>6.9359999999999999</v>
      </c>
      <c r="E856">
        <v>7.1260000000000003</v>
      </c>
      <c r="F856">
        <v>131216.93700000001</v>
      </c>
      <c r="G856">
        <v>0</v>
      </c>
      <c r="P856">
        <f t="shared" si="1009"/>
        <v>-2.8132992327363764E-2</v>
      </c>
      <c r="Q856">
        <f t="shared" si="1010"/>
        <v>-3691.5250818411746</v>
      </c>
      <c r="R856">
        <f t="shared" si="1011"/>
        <v>6977619.1527079884</v>
      </c>
      <c r="S856">
        <f t="shared" si="1012"/>
        <v>69.776191527079888</v>
      </c>
      <c r="T856">
        <f t="shared" si="1013"/>
        <v>6.9776191527079895E-2</v>
      </c>
    </row>
    <row r="857" spans="1:20" x14ac:dyDescent="0.25">
      <c r="A857" s="5">
        <v>43736</v>
      </c>
      <c r="B857">
        <v>7.3449999999999998</v>
      </c>
      <c r="C857">
        <v>7.5010000000000003</v>
      </c>
      <c r="D857">
        <v>7.1130000000000004</v>
      </c>
      <c r="E857">
        <v>7.3049999999999997</v>
      </c>
      <c r="F857">
        <v>181217.06599999999</v>
      </c>
      <c r="G857">
        <v>0</v>
      </c>
      <c r="P857">
        <f t="shared" si="1009"/>
        <v>-1.0309278350518909E-2</v>
      </c>
      <c r="Q857">
        <f t="shared" si="1010"/>
        <v>-1868.2171752583561</v>
      </c>
      <c r="R857">
        <f t="shared" si="1011"/>
        <v>6981310.6777898297</v>
      </c>
      <c r="S857">
        <f t="shared" si="1012"/>
        <v>69.813106777898298</v>
      </c>
      <c r="T857">
        <f t="shared" si="1013"/>
        <v>6.9813106777898301E-2</v>
      </c>
    </row>
    <row r="858" spans="1:20" x14ac:dyDescent="0.25">
      <c r="A858" s="5">
        <v>43735</v>
      </c>
      <c r="B858">
        <v>7.149</v>
      </c>
      <c r="C858">
        <v>7.4930000000000003</v>
      </c>
      <c r="D858">
        <v>6.9379999999999997</v>
      </c>
      <c r="E858">
        <v>7.3380000000000001</v>
      </c>
      <c r="F858">
        <v>228205.68299999999</v>
      </c>
      <c r="G858">
        <v>0</v>
      </c>
      <c r="P858">
        <f t="shared" si="1009"/>
        <v>0.44144144144144115</v>
      </c>
      <c r="Q858">
        <f t="shared" si="1010"/>
        <v>100739.44564864857</v>
      </c>
      <c r="R858">
        <f t="shared" si="1011"/>
        <v>6983178.894965088</v>
      </c>
      <c r="S858">
        <f t="shared" si="1012"/>
        <v>69.831788949650885</v>
      </c>
      <c r="T858">
        <f t="shared" si="1013"/>
        <v>6.9831788949650891E-2</v>
      </c>
    </row>
    <row r="859" spans="1:20" x14ac:dyDescent="0.25">
      <c r="A859" s="5">
        <v>43734</v>
      </c>
      <c r="B859">
        <v>7.4480000000000004</v>
      </c>
      <c r="C859">
        <v>7.516</v>
      </c>
      <c r="D859">
        <v>6.6920000000000002</v>
      </c>
      <c r="E859">
        <v>7.1470000000000002</v>
      </c>
      <c r="F859">
        <v>360064.24099999998</v>
      </c>
      <c r="G859">
        <v>0</v>
      </c>
      <c r="P859">
        <f t="shared" si="1009"/>
        <v>0.10436893203883534</v>
      </c>
      <c r="Q859">
        <f t="shared" si="1010"/>
        <v>37579.520298543823</v>
      </c>
      <c r="R859">
        <f t="shared" si="1011"/>
        <v>6882439.4493164392</v>
      </c>
      <c r="S859">
        <f t="shared" si="1012"/>
        <v>68.824394493164391</v>
      </c>
      <c r="T859">
        <f t="shared" si="1013"/>
        <v>6.8824394493164395E-2</v>
      </c>
    </row>
    <row r="860" spans="1:20" x14ac:dyDescent="0.25">
      <c r="A860" s="5">
        <v>43733</v>
      </c>
      <c r="B860">
        <v>7.2089999999999996</v>
      </c>
      <c r="C860">
        <v>7.6180000000000003</v>
      </c>
      <c r="D860">
        <v>6.9660000000000002</v>
      </c>
      <c r="E860">
        <v>7.4539999999999997</v>
      </c>
      <c r="F860">
        <v>373593.10800000001</v>
      </c>
      <c r="G860">
        <v>0</v>
      </c>
      <c r="P860">
        <f t="shared" si="1009"/>
        <v>0.49693251533742161</v>
      </c>
      <c r="Q860">
        <f t="shared" si="1010"/>
        <v>185650.56287116502</v>
      </c>
      <c r="R860">
        <f t="shared" si="1011"/>
        <v>6844859.9290178958</v>
      </c>
      <c r="S860">
        <f t="shared" si="1012"/>
        <v>68.448599290178961</v>
      </c>
      <c r="T860">
        <f t="shared" si="1013"/>
        <v>6.8448599290178963E-2</v>
      </c>
    </row>
    <row r="861" spans="1:20" x14ac:dyDescent="0.25">
      <c r="A861" s="5">
        <v>43732</v>
      </c>
      <c r="B861">
        <v>8.6210000000000004</v>
      </c>
      <c r="C861">
        <v>8.7680000000000007</v>
      </c>
      <c r="D861">
        <v>6.7619999999999996</v>
      </c>
      <c r="E861">
        <v>7.2309999999999999</v>
      </c>
      <c r="F861">
        <v>663089.01599999995</v>
      </c>
      <c r="G861">
        <v>0</v>
      </c>
      <c r="P861">
        <f t="shared" si="1009"/>
        <v>-0.53240279162512461</v>
      </c>
      <c r="Q861">
        <f t="shared" si="1010"/>
        <v>-353030.4432143569</v>
      </c>
      <c r="R861">
        <f t="shared" si="1011"/>
        <v>6659209.3661467312</v>
      </c>
      <c r="S861">
        <f t="shared" si="1012"/>
        <v>66.592093661467317</v>
      </c>
      <c r="T861">
        <f t="shared" si="1013"/>
        <v>6.6592093661467316E-2</v>
      </c>
    </row>
    <row r="862" spans="1:20" x14ac:dyDescent="0.25">
      <c r="A862" s="5">
        <v>43731</v>
      </c>
      <c r="B862">
        <v>9.0869999999999997</v>
      </c>
      <c r="C862">
        <v>9.1669999999999998</v>
      </c>
      <c r="D862">
        <v>8.5519999999999996</v>
      </c>
      <c r="E862">
        <v>8.6170000000000009</v>
      </c>
      <c r="F862">
        <v>213035.43700000001</v>
      </c>
      <c r="G862">
        <v>0</v>
      </c>
      <c r="P862">
        <f t="shared" si="1009"/>
        <v>-0.78861788617885775</v>
      </c>
      <c r="Q862">
        <f t="shared" si="1010"/>
        <v>-168003.55600812924</v>
      </c>
      <c r="R862">
        <f t="shared" si="1011"/>
        <v>7012239.8093610881</v>
      </c>
      <c r="S862">
        <f t="shared" si="1012"/>
        <v>70.122398093610883</v>
      </c>
      <c r="T862">
        <f t="shared" si="1013"/>
        <v>7.0122398093610885E-2</v>
      </c>
    </row>
    <row r="863" spans="1:20" x14ac:dyDescent="0.25">
      <c r="A863" s="5">
        <v>43730</v>
      </c>
      <c r="B863">
        <v>9.391</v>
      </c>
      <c r="C863">
        <v>9.3989999999999991</v>
      </c>
      <c r="D863">
        <v>9.0129999999999999</v>
      </c>
      <c r="E863">
        <v>9.0679999999999996</v>
      </c>
      <c r="F863">
        <v>146901.823</v>
      </c>
      <c r="G863">
        <v>0</v>
      </c>
      <c r="P863">
        <f t="shared" si="1009"/>
        <v>-0.71502590673575217</v>
      </c>
      <c r="Q863">
        <f t="shared" si="1010"/>
        <v>-105038.60919170997</v>
      </c>
      <c r="R863">
        <f t="shared" si="1011"/>
        <v>7180243.3653692175</v>
      </c>
      <c r="S863">
        <f t="shared" si="1012"/>
        <v>71.802433653692177</v>
      </c>
      <c r="T863">
        <f t="shared" si="1013"/>
        <v>7.1802433653692183E-2</v>
      </c>
    </row>
    <row r="864" spans="1:20" x14ac:dyDescent="0.25">
      <c r="A864" s="5">
        <v>43729</v>
      </c>
      <c r="B864">
        <v>9.5459999999999994</v>
      </c>
      <c r="C864">
        <v>9.6300000000000008</v>
      </c>
      <c r="D864">
        <v>9.3670000000000009</v>
      </c>
      <c r="E864">
        <v>9.4190000000000005</v>
      </c>
      <c r="F864">
        <v>98891.775999999998</v>
      </c>
      <c r="G864">
        <v>0</v>
      </c>
      <c r="P864">
        <f t="shared" si="1009"/>
        <v>-0.60456273764258839</v>
      </c>
      <c r="Q864">
        <f t="shared" si="1010"/>
        <v>-59786.282828897616</v>
      </c>
      <c r="R864">
        <f t="shared" si="1011"/>
        <v>7285281.9745609276</v>
      </c>
      <c r="S864">
        <f t="shared" si="1012"/>
        <v>72.852819745609281</v>
      </c>
      <c r="T864">
        <f t="shared" si="1013"/>
        <v>7.2852819745609282E-2</v>
      </c>
    </row>
    <row r="865" spans="1:20" x14ac:dyDescent="0.25">
      <c r="A865" s="5">
        <v>43728</v>
      </c>
      <c r="B865">
        <v>9.7089999999999996</v>
      </c>
      <c r="C865">
        <v>9.7550000000000008</v>
      </c>
      <c r="D865">
        <v>9.3330000000000002</v>
      </c>
      <c r="E865">
        <v>9.5489999999999995</v>
      </c>
      <c r="F865">
        <v>175555.405</v>
      </c>
      <c r="G865">
        <v>0</v>
      </c>
      <c r="P865">
        <f t="shared" si="1009"/>
        <v>2.3696682464450228E-2</v>
      </c>
      <c r="Q865">
        <f t="shared" si="1010"/>
        <v>4160.080687202958</v>
      </c>
      <c r="R865">
        <f t="shared" si="1011"/>
        <v>7345068.2573898248</v>
      </c>
      <c r="S865">
        <f t="shared" si="1012"/>
        <v>73.450682573898249</v>
      </c>
      <c r="T865">
        <f t="shared" si="1013"/>
        <v>7.3450682573898252E-2</v>
      </c>
    </row>
    <row r="866" spans="1:20" x14ac:dyDescent="0.25">
      <c r="A866" s="5">
        <v>43727</v>
      </c>
      <c r="B866">
        <v>10.1</v>
      </c>
      <c r="C866">
        <v>10.1</v>
      </c>
      <c r="D866">
        <v>9.33</v>
      </c>
      <c r="E866">
        <v>9.7149999999999999</v>
      </c>
      <c r="F866">
        <v>380871.61300000001</v>
      </c>
      <c r="G866">
        <v>0</v>
      </c>
      <c r="P866">
        <f t="shared" si="1009"/>
        <v>0</v>
      </c>
      <c r="Q866">
        <f t="shared" si="1010"/>
        <v>0</v>
      </c>
      <c r="R866">
        <f t="shared" si="1011"/>
        <v>7340908.1767026223</v>
      </c>
      <c r="S866">
        <f t="shared" si="1012"/>
        <v>73.409081767026223</v>
      </c>
      <c r="T866">
        <f t="shared" si="1013"/>
        <v>7.3409081767026221E-2</v>
      </c>
    </row>
    <row r="867" spans="1:20" x14ac:dyDescent="0.25">
      <c r="A867" s="5">
        <v>43726</v>
      </c>
      <c r="B867">
        <v>9.52</v>
      </c>
      <c r="C867">
        <v>10.326000000000001</v>
      </c>
      <c r="D867">
        <v>9.5120000000000005</v>
      </c>
      <c r="E867">
        <v>10.106999999999999</v>
      </c>
      <c r="F867">
        <v>380056.63</v>
      </c>
      <c r="G867">
        <v>0</v>
      </c>
      <c r="P867">
        <f t="shared" si="1009"/>
        <v>0.46191646191645902</v>
      </c>
      <c r="Q867">
        <f t="shared" si="1010"/>
        <v>175554.41385749276</v>
      </c>
      <c r="R867">
        <f t="shared" si="1011"/>
        <v>7340908.1767026223</v>
      </c>
      <c r="S867">
        <f t="shared" si="1012"/>
        <v>73.409081767026223</v>
      </c>
      <c r="T867">
        <f t="shared" si="1013"/>
        <v>7.3409081767026221E-2</v>
      </c>
    </row>
    <row r="868" spans="1:20" x14ac:dyDescent="0.25">
      <c r="A868" s="5">
        <v>43725</v>
      </c>
      <c r="B868">
        <v>9.0830000000000002</v>
      </c>
      <c r="C868">
        <v>9.85</v>
      </c>
      <c r="D868">
        <v>9.0310000000000006</v>
      </c>
      <c r="E868">
        <v>9.5050000000000008</v>
      </c>
      <c r="F868">
        <v>339870.26799999998</v>
      </c>
      <c r="G868">
        <v>0</v>
      </c>
      <c r="P868">
        <f t="shared" si="1009"/>
        <v>0.15750915750915931</v>
      </c>
      <c r="Q868">
        <f t="shared" si="1010"/>
        <v>53532.679575092181</v>
      </c>
      <c r="R868">
        <f t="shared" si="1011"/>
        <v>7165353.7628451297</v>
      </c>
      <c r="S868">
        <f t="shared" si="1012"/>
        <v>71.653537628451303</v>
      </c>
      <c r="T868">
        <f t="shared" si="1013"/>
        <v>7.1653537628451308E-2</v>
      </c>
    </row>
    <row r="869" spans="1:20" x14ac:dyDescent="0.25">
      <c r="A869" s="5">
        <v>43724</v>
      </c>
      <c r="B869">
        <v>9.0839999999999996</v>
      </c>
      <c r="C869">
        <v>9.2129999999999992</v>
      </c>
      <c r="D869">
        <v>8.8770000000000007</v>
      </c>
      <c r="E869">
        <v>9.0820000000000007</v>
      </c>
      <c r="F869">
        <v>150826.78</v>
      </c>
      <c r="G869">
        <v>0</v>
      </c>
      <c r="P869">
        <f t="shared" si="1009"/>
        <v>0.22023809523810103</v>
      </c>
      <c r="Q869">
        <f t="shared" si="1010"/>
        <v>33217.802738096114</v>
      </c>
      <c r="R869">
        <f t="shared" si="1011"/>
        <v>7111821.0832700375</v>
      </c>
      <c r="S869">
        <f t="shared" si="1012"/>
        <v>71.11821083270037</v>
      </c>
      <c r="T869">
        <f t="shared" si="1013"/>
        <v>7.1118210832700368E-2</v>
      </c>
    </row>
    <row r="870" spans="1:20" x14ac:dyDescent="0.25">
      <c r="A870" s="5">
        <v>43723</v>
      </c>
      <c r="B870">
        <v>9.1240000000000006</v>
      </c>
      <c r="C870">
        <v>9.1530000000000005</v>
      </c>
      <c r="D870">
        <v>9.02</v>
      </c>
      <c r="E870">
        <v>9.0619999999999994</v>
      </c>
      <c r="F870">
        <v>77991.687999999995</v>
      </c>
      <c r="G870">
        <v>0</v>
      </c>
      <c r="P870">
        <f t="shared" si="1009"/>
        <v>-0.36842105263158598</v>
      </c>
      <c r="Q870">
        <f t="shared" si="1010"/>
        <v>-28733.779789474229</v>
      </c>
      <c r="R870">
        <f t="shared" si="1011"/>
        <v>7078603.280531941</v>
      </c>
      <c r="S870">
        <f t="shared" si="1012"/>
        <v>70.786032805319408</v>
      </c>
      <c r="T870">
        <f t="shared" si="1013"/>
        <v>7.0786032805319407E-2</v>
      </c>
    </row>
    <row r="871" spans="1:20" x14ac:dyDescent="0.25">
      <c r="A871" s="5">
        <v>43722</v>
      </c>
      <c r="B871">
        <v>8.9570000000000007</v>
      </c>
      <c r="C871">
        <v>9.1890000000000001</v>
      </c>
      <c r="D871">
        <v>8.8849999999999998</v>
      </c>
      <c r="E871">
        <v>9.1039999999999992</v>
      </c>
      <c r="F871">
        <v>90708.842999999993</v>
      </c>
      <c r="G871">
        <v>0</v>
      </c>
      <c r="P871">
        <f t="shared" si="1009"/>
        <v>0.4407894736842054</v>
      </c>
      <c r="Q871">
        <f t="shared" si="1010"/>
        <v>39983.503164473215</v>
      </c>
      <c r="R871">
        <f t="shared" si="1011"/>
        <v>7107337.0603214148</v>
      </c>
      <c r="S871">
        <f t="shared" si="1012"/>
        <v>71.073370603214144</v>
      </c>
      <c r="T871">
        <f t="shared" si="1013"/>
        <v>7.1073370603214142E-2</v>
      </c>
    </row>
    <row r="872" spans="1:20" x14ac:dyDescent="0.25">
      <c r="A872" s="5">
        <v>43721</v>
      </c>
      <c r="B872">
        <v>9.0150000000000006</v>
      </c>
      <c r="C872">
        <v>9.0380000000000003</v>
      </c>
      <c r="D872">
        <v>8.7729999999999997</v>
      </c>
      <c r="E872">
        <v>8.9410000000000007</v>
      </c>
      <c r="F872">
        <v>68510.714000000007</v>
      </c>
      <c r="G872">
        <v>0</v>
      </c>
      <c r="P872">
        <f t="shared" si="1009"/>
        <v>0.2679245283018919</v>
      </c>
      <c r="Q872">
        <f t="shared" si="1010"/>
        <v>18355.700732075824</v>
      </c>
      <c r="R872">
        <f t="shared" si="1011"/>
        <v>7067353.5571569419</v>
      </c>
      <c r="S872">
        <f t="shared" si="1012"/>
        <v>70.673535571569417</v>
      </c>
      <c r="T872">
        <f t="shared" si="1013"/>
        <v>7.0673535571569412E-2</v>
      </c>
    </row>
    <row r="873" spans="1:20" x14ac:dyDescent="0.25">
      <c r="A873" s="5">
        <v>43720</v>
      </c>
      <c r="B873">
        <v>8.798</v>
      </c>
      <c r="C873">
        <v>9.0549999999999997</v>
      </c>
      <c r="D873">
        <v>8.7319999999999993</v>
      </c>
      <c r="E873">
        <v>9.0150000000000006</v>
      </c>
      <c r="F873">
        <v>123612.85</v>
      </c>
      <c r="G873">
        <v>0</v>
      </c>
      <c r="P873">
        <f t="shared" si="1009"/>
        <v>0.75232198142415418</v>
      </c>
      <c r="Q873">
        <f t="shared" si="1010"/>
        <v>92996.664241486767</v>
      </c>
      <c r="R873">
        <f t="shared" si="1011"/>
        <v>7048997.8564248662</v>
      </c>
      <c r="S873">
        <f t="shared" si="1012"/>
        <v>70.489978564248659</v>
      </c>
      <c r="T873">
        <f t="shared" si="1013"/>
        <v>7.0489978564248656E-2</v>
      </c>
    </row>
    <row r="874" spans="1:20" x14ac:dyDescent="0.25">
      <c r="A874" s="5">
        <v>43719</v>
      </c>
      <c r="B874">
        <v>8.8339999999999996</v>
      </c>
      <c r="C874">
        <v>9.0329999999999995</v>
      </c>
      <c r="D874">
        <v>8.6620000000000008</v>
      </c>
      <c r="E874">
        <v>8.798</v>
      </c>
      <c r="F874">
        <v>126734.484</v>
      </c>
      <c r="G874">
        <v>0</v>
      </c>
      <c r="P874">
        <f t="shared" si="1009"/>
        <v>-0.26684636118598531</v>
      </c>
      <c r="Q874">
        <f t="shared" si="1010"/>
        <v>-33818.635892183476</v>
      </c>
      <c r="R874">
        <f t="shared" si="1011"/>
        <v>6956001.1921833791</v>
      </c>
      <c r="S874">
        <f t="shared" si="1012"/>
        <v>69.560011921833791</v>
      </c>
      <c r="T874">
        <f t="shared" si="1013"/>
        <v>6.9560011921833795E-2</v>
      </c>
    </row>
    <row r="875" spans="1:20" x14ac:dyDescent="0.25">
      <c r="A875" s="5">
        <v>43718</v>
      </c>
      <c r="B875">
        <v>9.0839999999999996</v>
      </c>
      <c r="C875">
        <v>9.1999999999999993</v>
      </c>
      <c r="D875">
        <v>8.6880000000000006</v>
      </c>
      <c r="E875">
        <v>8.8339999999999996</v>
      </c>
      <c r="F875">
        <v>164223.58100000001</v>
      </c>
      <c r="G875">
        <v>0</v>
      </c>
      <c r="P875">
        <f t="shared" si="1009"/>
        <v>-0.42968750000000233</v>
      </c>
      <c r="Q875">
        <f t="shared" si="1010"/>
        <v>-70564.819960937879</v>
      </c>
      <c r="R875">
        <f t="shared" si="1011"/>
        <v>6989819.8280755626</v>
      </c>
      <c r="S875">
        <f t="shared" si="1012"/>
        <v>69.898198280755622</v>
      </c>
      <c r="T875">
        <f t="shared" si="1013"/>
        <v>6.9898198280755622E-2</v>
      </c>
    </row>
    <row r="876" spans="1:20" x14ac:dyDescent="0.25">
      <c r="A876" s="5">
        <v>43717</v>
      </c>
      <c r="B876">
        <v>9.2739999999999991</v>
      </c>
      <c r="C876">
        <v>9.2989999999999995</v>
      </c>
      <c r="D876">
        <v>8.8290000000000006</v>
      </c>
      <c r="E876">
        <v>9.0890000000000004</v>
      </c>
      <c r="F876">
        <v>149299.92000000001</v>
      </c>
      <c r="G876">
        <v>0</v>
      </c>
      <c r="P876">
        <f t="shared" si="1009"/>
        <v>0.10638297872340602</v>
      </c>
      <c r="Q876">
        <f t="shared" si="1010"/>
        <v>15882.970212766222</v>
      </c>
      <c r="R876">
        <f t="shared" si="1011"/>
        <v>7060384.6480365004</v>
      </c>
      <c r="S876">
        <f t="shared" si="1012"/>
        <v>70.603846480365007</v>
      </c>
      <c r="T876">
        <f t="shared" si="1013"/>
        <v>7.060384648036501E-2</v>
      </c>
    </row>
    <row r="877" spans="1:20" x14ac:dyDescent="0.25">
      <c r="A877" s="5">
        <v>43716</v>
      </c>
      <c r="B877">
        <v>9.0640000000000001</v>
      </c>
      <c r="C877">
        <v>9.33</v>
      </c>
      <c r="D877">
        <v>8.8979999999999997</v>
      </c>
      <c r="E877">
        <v>9.2620000000000005</v>
      </c>
      <c r="F877">
        <v>180627.61600000001</v>
      </c>
      <c r="G877">
        <v>0</v>
      </c>
      <c r="P877">
        <f t="shared" si="1009"/>
        <v>0.68518518518518723</v>
      </c>
      <c r="Q877">
        <f t="shared" si="1010"/>
        <v>123763.36651851889</v>
      </c>
      <c r="R877">
        <f t="shared" si="1011"/>
        <v>7044501.6778237345</v>
      </c>
      <c r="S877">
        <f t="shared" si="1012"/>
        <v>70.445016778237346</v>
      </c>
      <c r="T877">
        <f t="shared" si="1013"/>
        <v>7.0445016778237349E-2</v>
      </c>
    </row>
    <row r="878" spans="1:20" x14ac:dyDescent="0.25">
      <c r="A878" s="5">
        <v>43715</v>
      </c>
      <c r="B878">
        <v>8.6859999999999999</v>
      </c>
      <c r="C878">
        <v>9.2780000000000005</v>
      </c>
      <c r="D878">
        <v>8.68</v>
      </c>
      <c r="E878">
        <v>9.0589999999999993</v>
      </c>
      <c r="F878">
        <v>151521.69399999999</v>
      </c>
      <c r="G878">
        <v>0</v>
      </c>
      <c r="P878">
        <f t="shared" si="1009"/>
        <v>0.26755852842809058</v>
      </c>
      <c r="Q878">
        <f t="shared" si="1010"/>
        <v>40540.921471571441</v>
      </c>
      <c r="R878">
        <f t="shared" si="1011"/>
        <v>6920738.3113052156</v>
      </c>
      <c r="S878">
        <f t="shared" si="1012"/>
        <v>69.20738311305216</v>
      </c>
      <c r="T878">
        <f t="shared" si="1013"/>
        <v>6.9207383113052162E-2</v>
      </c>
    </row>
    <row r="879" spans="1:20" x14ac:dyDescent="0.25">
      <c r="A879" s="5">
        <v>43714</v>
      </c>
      <c r="B879">
        <v>9.0020000000000007</v>
      </c>
      <c r="C879">
        <v>9.343</v>
      </c>
      <c r="D879">
        <v>8.61</v>
      </c>
      <c r="E879">
        <v>8.6869999999999994</v>
      </c>
      <c r="F879">
        <v>248341.65</v>
      </c>
      <c r="G879">
        <v>0</v>
      </c>
      <c r="P879">
        <f t="shared" si="1009"/>
        <v>-0.78990450204638496</v>
      </c>
      <c r="Q879">
        <f t="shared" si="1010"/>
        <v>-196166.18738062761</v>
      </c>
      <c r="R879">
        <f t="shared" si="1011"/>
        <v>6880197.389833644</v>
      </c>
      <c r="S879">
        <f t="shared" si="1012"/>
        <v>68.801973898336442</v>
      </c>
      <c r="T879">
        <f t="shared" si="1013"/>
        <v>6.8801973898336435E-2</v>
      </c>
    </row>
    <row r="880" spans="1:20" x14ac:dyDescent="0.25">
      <c r="A880" s="5">
        <v>43713</v>
      </c>
      <c r="B880">
        <v>9.0510000000000002</v>
      </c>
      <c r="C880">
        <v>9.0749999999999993</v>
      </c>
      <c r="D880">
        <v>8.7200000000000006</v>
      </c>
      <c r="E880">
        <v>8.9990000000000006</v>
      </c>
      <c r="F880">
        <v>158950.59299999999</v>
      </c>
      <c r="G880">
        <v>0</v>
      </c>
      <c r="P880">
        <f t="shared" si="1009"/>
        <v>0.57183098591549841</v>
      </c>
      <c r="Q880">
        <f t="shared" si="1010"/>
        <v>90892.874307043123</v>
      </c>
      <c r="R880">
        <f t="shared" si="1011"/>
        <v>7076363.5772142718</v>
      </c>
      <c r="S880">
        <f t="shared" si="1012"/>
        <v>70.76363577214272</v>
      </c>
      <c r="T880">
        <f t="shared" si="1013"/>
        <v>7.0763635772142716E-2</v>
      </c>
    </row>
    <row r="881" spans="1:20" x14ac:dyDescent="0.25">
      <c r="A881" s="5">
        <v>43712</v>
      </c>
      <c r="B881">
        <v>9.2739999999999991</v>
      </c>
      <c r="C881">
        <v>9.2929999999999993</v>
      </c>
      <c r="D881">
        <v>8.9649999999999999</v>
      </c>
      <c r="E881">
        <v>9.0530000000000008</v>
      </c>
      <c r="F881">
        <v>121534.761</v>
      </c>
      <c r="G881">
        <v>0</v>
      </c>
      <c r="P881">
        <f t="shared" si="1009"/>
        <v>-0.4634146341463346</v>
      </c>
      <c r="Q881">
        <f t="shared" si="1010"/>
        <v>-56320.986804877211</v>
      </c>
      <c r="R881">
        <f t="shared" si="1011"/>
        <v>6985470.7029072288</v>
      </c>
      <c r="S881">
        <f t="shared" si="1012"/>
        <v>69.854707029072287</v>
      </c>
      <c r="T881">
        <f t="shared" si="1013"/>
        <v>6.9854707029072288E-2</v>
      </c>
    </row>
    <row r="882" spans="1:20" x14ac:dyDescent="0.25">
      <c r="A882" s="5">
        <v>43711</v>
      </c>
      <c r="B882">
        <v>9.1310000000000002</v>
      </c>
      <c r="C882">
        <v>9.3740000000000006</v>
      </c>
      <c r="D882">
        <v>9.032</v>
      </c>
      <c r="E882">
        <v>9.2550000000000008</v>
      </c>
      <c r="F882">
        <v>123214.011</v>
      </c>
      <c r="G882">
        <v>0</v>
      </c>
      <c r="P882">
        <f t="shared" si="1009"/>
        <v>0.30409356725146441</v>
      </c>
      <c r="Q882">
        <f t="shared" si="1010"/>
        <v>37468.588140351174</v>
      </c>
      <c r="R882">
        <f t="shared" si="1011"/>
        <v>7041791.6897121063</v>
      </c>
      <c r="S882">
        <f t="shared" si="1012"/>
        <v>70.41791689712106</v>
      </c>
      <c r="T882">
        <f t="shared" si="1013"/>
        <v>7.0417916897121055E-2</v>
      </c>
    </row>
    <row r="883" spans="1:20" x14ac:dyDescent="0.25">
      <c r="A883" s="5">
        <v>43710</v>
      </c>
      <c r="B883">
        <v>8.7620000000000005</v>
      </c>
      <c r="C883">
        <v>9.32</v>
      </c>
      <c r="D883">
        <v>8.7379999999999995</v>
      </c>
      <c r="E883">
        <v>9.1219999999999999</v>
      </c>
      <c r="F883">
        <v>130456.81</v>
      </c>
      <c r="G883">
        <v>0</v>
      </c>
      <c r="P883">
        <f t="shared" si="1009"/>
        <v>0.31958762886597886</v>
      </c>
      <c r="Q883">
        <f t="shared" si="1010"/>
        <v>41692.38257731952</v>
      </c>
      <c r="R883">
        <f t="shared" si="1011"/>
        <v>7004323.1015717555</v>
      </c>
      <c r="S883">
        <f t="shared" si="1012"/>
        <v>70.043231015717552</v>
      </c>
      <c r="T883">
        <f t="shared" si="1013"/>
        <v>7.004323101571755E-2</v>
      </c>
    </row>
    <row r="884" spans="1:20" x14ac:dyDescent="0.25">
      <c r="A884" s="5">
        <v>43709</v>
      </c>
      <c r="B884">
        <v>8.7989999999999995</v>
      </c>
      <c r="C884">
        <v>8.8789999999999996</v>
      </c>
      <c r="D884">
        <v>8.6289999999999996</v>
      </c>
      <c r="E884">
        <v>8.7629999999999999</v>
      </c>
      <c r="F884">
        <v>62906.874000000003</v>
      </c>
      <c r="G884">
        <v>0</v>
      </c>
      <c r="P884">
        <f t="shared" si="1009"/>
        <v>7.2000000000002728E-2</v>
      </c>
      <c r="Q884">
        <f t="shared" si="1010"/>
        <v>4529.2949280001721</v>
      </c>
      <c r="R884">
        <f t="shared" si="1011"/>
        <v>6962630.7189944359</v>
      </c>
      <c r="S884">
        <f t="shared" si="1012"/>
        <v>69.626307189944356</v>
      </c>
      <c r="T884">
        <f t="shared" si="1013"/>
        <v>6.962630718994435E-2</v>
      </c>
    </row>
    <row r="885" spans="1:20" x14ac:dyDescent="0.25">
      <c r="A885" s="5">
        <v>43708</v>
      </c>
      <c r="B885">
        <v>8.7270000000000003</v>
      </c>
      <c r="C885">
        <v>8.9139999999999997</v>
      </c>
      <c r="D885">
        <v>8.5690000000000008</v>
      </c>
      <c r="E885">
        <v>8.7910000000000004</v>
      </c>
      <c r="F885">
        <v>78207.562999999995</v>
      </c>
      <c r="G885">
        <v>0</v>
      </c>
      <c r="P885">
        <f t="shared" si="1009"/>
        <v>0.28695652173913194</v>
      </c>
      <c r="Q885">
        <f t="shared" si="1010"/>
        <v>22442.17025217403</v>
      </c>
      <c r="R885">
        <f t="shared" si="1011"/>
        <v>6958101.4240664355</v>
      </c>
      <c r="S885">
        <f t="shared" si="1012"/>
        <v>69.581014240664359</v>
      </c>
      <c r="T885">
        <f t="shared" si="1013"/>
        <v>6.958101424066436E-2</v>
      </c>
    </row>
    <row r="886" spans="1:20" x14ac:dyDescent="0.25">
      <c r="A886" s="5">
        <v>43707</v>
      </c>
      <c r="B886">
        <v>8.7609999999999992</v>
      </c>
      <c r="C886">
        <v>8.9160000000000004</v>
      </c>
      <c r="D886">
        <v>8.6669999999999998</v>
      </c>
      <c r="E886">
        <v>8.7270000000000003</v>
      </c>
      <c r="F886">
        <v>98462.629000000001</v>
      </c>
      <c r="G886">
        <v>0</v>
      </c>
      <c r="P886">
        <f t="shared" si="1009"/>
        <v>-0.51807228915662362</v>
      </c>
      <c r="Q886">
        <f t="shared" si="1010"/>
        <v>-51010.759602409358</v>
      </c>
      <c r="R886">
        <f t="shared" si="1011"/>
        <v>6935659.2538142614</v>
      </c>
      <c r="S886">
        <f t="shared" si="1012"/>
        <v>69.356592538142621</v>
      </c>
      <c r="T886">
        <f t="shared" si="1013"/>
        <v>6.9356592538142622E-2</v>
      </c>
    </row>
    <row r="887" spans="1:20" x14ac:dyDescent="0.25">
      <c r="A887" s="5">
        <v>43706</v>
      </c>
      <c r="B887">
        <v>9.1329999999999991</v>
      </c>
      <c r="C887">
        <v>9.1359999999999992</v>
      </c>
      <c r="D887">
        <v>8.51</v>
      </c>
      <c r="E887">
        <v>8.7609999999999992</v>
      </c>
      <c r="F887">
        <v>162391.95000000001</v>
      </c>
      <c r="G887">
        <v>0</v>
      </c>
      <c r="P887">
        <f t="shared" si="1009"/>
        <v>-0.19808306709265283</v>
      </c>
      <c r="Q887">
        <f t="shared" si="1010"/>
        <v>-32167.095527156725</v>
      </c>
      <c r="R887">
        <f t="shared" si="1011"/>
        <v>6986670.0134166712</v>
      </c>
      <c r="S887">
        <f t="shared" si="1012"/>
        <v>69.866700134166706</v>
      </c>
      <c r="T887">
        <f t="shared" si="1013"/>
        <v>6.9866700134166709E-2</v>
      </c>
    </row>
    <row r="888" spans="1:20" x14ac:dyDescent="0.25">
      <c r="A888" s="5">
        <v>43705</v>
      </c>
      <c r="B888">
        <v>9.5939999999999994</v>
      </c>
      <c r="C888">
        <v>9.6370000000000005</v>
      </c>
      <c r="D888">
        <v>9.0289999999999999</v>
      </c>
      <c r="E888">
        <v>9.1449999999999996</v>
      </c>
      <c r="F888">
        <v>185413.17600000001</v>
      </c>
      <c r="G888">
        <v>0</v>
      </c>
      <c r="P888">
        <f t="shared" si="1009"/>
        <v>-0.61842105263158043</v>
      </c>
      <c r="Q888">
        <f t="shared" si="1010"/>
        <v>-114663.41147368449</v>
      </c>
      <c r="R888">
        <f t="shared" si="1011"/>
        <v>7018837.1089438284</v>
      </c>
      <c r="S888">
        <f t="shared" si="1012"/>
        <v>70.188371089438277</v>
      </c>
      <c r="T888">
        <f t="shared" si="1013"/>
        <v>7.0188371089438276E-2</v>
      </c>
    </row>
    <row r="889" spans="1:20" x14ac:dyDescent="0.25">
      <c r="A889" s="5">
        <v>43704</v>
      </c>
      <c r="B889">
        <v>9.8350000000000009</v>
      </c>
      <c r="C889">
        <v>9.8629999999999995</v>
      </c>
      <c r="D889">
        <v>9.4939999999999998</v>
      </c>
      <c r="E889">
        <v>9.5939999999999994</v>
      </c>
      <c r="F889">
        <v>150287.826</v>
      </c>
      <c r="G889">
        <v>0</v>
      </c>
      <c r="P889">
        <f t="shared" si="1009"/>
        <v>-0.45799457994580106</v>
      </c>
      <c r="Q889">
        <f t="shared" si="1010"/>
        <v>-68831.009739837638</v>
      </c>
      <c r="R889">
        <f t="shared" si="1011"/>
        <v>7133500.5204175133</v>
      </c>
      <c r="S889">
        <f t="shared" si="1012"/>
        <v>71.335005204175133</v>
      </c>
      <c r="T889">
        <f t="shared" si="1013"/>
        <v>7.1335005204175128E-2</v>
      </c>
    </row>
    <row r="890" spans="1:20" x14ac:dyDescent="0.25">
      <c r="A890" s="5">
        <v>43703</v>
      </c>
      <c r="B890">
        <v>9.6579999999999995</v>
      </c>
      <c r="C890">
        <v>9.9710000000000001</v>
      </c>
      <c r="D890">
        <v>9.6340000000000003</v>
      </c>
      <c r="E890">
        <v>9.8260000000000005</v>
      </c>
      <c r="F890">
        <v>116814.61599999999</v>
      </c>
      <c r="G890">
        <v>0</v>
      </c>
      <c r="P890">
        <f t="shared" si="1009"/>
        <v>0.13946587537092175</v>
      </c>
      <c r="Q890">
        <f t="shared" si="1010"/>
        <v>16291.652676558082</v>
      </c>
      <c r="R890">
        <f t="shared" si="1011"/>
        <v>7202331.5301573509</v>
      </c>
      <c r="S890">
        <f t="shared" si="1012"/>
        <v>72.023315301573504</v>
      </c>
      <c r="T890">
        <f t="shared" si="1013"/>
        <v>7.2023315301573507E-2</v>
      </c>
    </row>
    <row r="891" spans="1:20" x14ac:dyDescent="0.25">
      <c r="A891" s="5">
        <v>43702</v>
      </c>
      <c r="B891">
        <v>10.122999999999999</v>
      </c>
      <c r="C891">
        <v>10.130000000000001</v>
      </c>
      <c r="D891">
        <v>9.4499999999999993</v>
      </c>
      <c r="E891">
        <v>9.6620000000000008</v>
      </c>
      <c r="F891">
        <v>161794.76500000001</v>
      </c>
      <c r="G891">
        <v>0</v>
      </c>
      <c r="P891">
        <f t="shared" si="1009"/>
        <v>-0.376470588235291</v>
      </c>
      <c r="Q891">
        <f t="shared" si="1010"/>
        <v>-60910.970352940676</v>
      </c>
      <c r="R891">
        <f t="shared" si="1011"/>
        <v>7186039.8774807928</v>
      </c>
      <c r="S891">
        <f t="shared" si="1012"/>
        <v>71.860398774807933</v>
      </c>
      <c r="T891">
        <f t="shared" si="1013"/>
        <v>7.1860398774807932E-2</v>
      </c>
    </row>
    <row r="892" spans="1:20" x14ac:dyDescent="0.25">
      <c r="A892" s="5">
        <v>43701</v>
      </c>
      <c r="B892">
        <v>9.8859999999999992</v>
      </c>
      <c r="C892">
        <v>10.348000000000001</v>
      </c>
      <c r="D892">
        <v>9.5679999999999996</v>
      </c>
      <c r="E892">
        <v>10.102</v>
      </c>
      <c r="F892">
        <v>199413.67499999999</v>
      </c>
      <c r="G892">
        <v>0</v>
      </c>
      <c r="P892">
        <f t="shared" si="1009"/>
        <v>0.36923076923076903</v>
      </c>
      <c r="Q892">
        <f t="shared" si="1010"/>
        <v>73629.664615384565</v>
      </c>
      <c r="R892">
        <f t="shared" si="1011"/>
        <v>7246950.8478337331</v>
      </c>
      <c r="S892">
        <f t="shared" si="1012"/>
        <v>72.469508478337332</v>
      </c>
      <c r="T892">
        <f t="shared" si="1013"/>
        <v>7.246950847833733E-2</v>
      </c>
    </row>
    <row r="893" spans="1:20" x14ac:dyDescent="0.25">
      <c r="A893" s="5">
        <v>43700</v>
      </c>
      <c r="B893">
        <v>9.7829999999999995</v>
      </c>
      <c r="C893">
        <v>10.042</v>
      </c>
      <c r="D893">
        <v>9.6750000000000007</v>
      </c>
      <c r="E893">
        <v>9.8800000000000008</v>
      </c>
      <c r="F893">
        <v>143452.59899999999</v>
      </c>
      <c r="G893">
        <v>0</v>
      </c>
      <c r="P893">
        <f t="shared" si="1009"/>
        <v>0.11716621253406306</v>
      </c>
      <c r="Q893">
        <f t="shared" si="1010"/>
        <v>16807.797702997723</v>
      </c>
      <c r="R893">
        <f t="shared" si="1011"/>
        <v>7173321.1832183488</v>
      </c>
      <c r="S893">
        <f t="shared" si="1012"/>
        <v>71.733211832183486</v>
      </c>
      <c r="T893">
        <f t="shared" si="1013"/>
        <v>7.173321183218348E-2</v>
      </c>
    </row>
    <row r="894" spans="1:20" x14ac:dyDescent="0.25">
      <c r="A894" s="5">
        <v>43699</v>
      </c>
      <c r="B894">
        <v>9.4730000000000008</v>
      </c>
      <c r="C894">
        <v>9.9160000000000004</v>
      </c>
      <c r="D894">
        <v>9.2479999999999993</v>
      </c>
      <c r="E894">
        <v>9.7940000000000005</v>
      </c>
      <c r="F894">
        <v>221138.908</v>
      </c>
      <c r="G894">
        <v>0</v>
      </c>
      <c r="P894">
        <f t="shared" si="1009"/>
        <v>0.63473053892215658</v>
      </c>
      <c r="Q894">
        <f t="shared" si="1010"/>
        <v>140363.61825149719</v>
      </c>
      <c r="R894">
        <f t="shared" si="1011"/>
        <v>7156513.3855153508</v>
      </c>
      <c r="S894">
        <f t="shared" si="1012"/>
        <v>71.565133855153505</v>
      </c>
      <c r="T894">
        <f t="shared" si="1013"/>
        <v>7.1565133855153507E-2</v>
      </c>
    </row>
    <row r="895" spans="1:20" x14ac:dyDescent="0.25">
      <c r="A895" s="5">
        <v>43698</v>
      </c>
      <c r="B895">
        <v>9.9060000000000006</v>
      </c>
      <c r="C895">
        <v>9.9190000000000005</v>
      </c>
      <c r="D895">
        <v>9.2059999999999995</v>
      </c>
      <c r="E895">
        <v>9.468</v>
      </c>
      <c r="F895">
        <v>237637.73699999999</v>
      </c>
      <c r="G895">
        <v>0</v>
      </c>
      <c r="P895">
        <f t="shared" ref="P895:P958" si="1014">IF(C895=D895,0,((E895-D895)-(C895-E895))/(C895-D895))</f>
        <v>-0.26507713884992962</v>
      </c>
      <c r="Q895">
        <f t="shared" ref="Q895:Q958" si="1015">F895*P895</f>
        <v>-62992.331406732053</v>
      </c>
      <c r="R895">
        <f t="shared" ref="R895:R958" si="1016">R896+Q895</f>
        <v>7016149.7672638539</v>
      </c>
      <c r="S895">
        <f t="shared" ref="S895:S958" si="1017">R895/100000</f>
        <v>70.161497672638532</v>
      </c>
      <c r="T895">
        <f t="shared" ref="T895:T958" si="1018">S895/1000</f>
        <v>7.0161497672638531E-2</v>
      </c>
    </row>
    <row r="896" spans="1:20" x14ac:dyDescent="0.25">
      <c r="A896" s="5">
        <v>43697</v>
      </c>
      <c r="B896">
        <v>10.137</v>
      </c>
      <c r="C896">
        <v>10.148</v>
      </c>
      <c r="D896">
        <v>9.7230000000000008</v>
      </c>
      <c r="E896">
        <v>9.8979999999999997</v>
      </c>
      <c r="F896">
        <v>153105.728</v>
      </c>
      <c r="G896">
        <v>0</v>
      </c>
      <c r="P896">
        <f t="shared" si="1014"/>
        <v>-0.17647058823529707</v>
      </c>
      <c r="Q896">
        <f t="shared" si="1015"/>
        <v>-27018.657882353393</v>
      </c>
      <c r="R896">
        <f t="shared" si="1016"/>
        <v>7079142.098670586</v>
      </c>
      <c r="S896">
        <f t="shared" si="1017"/>
        <v>70.791420986705859</v>
      </c>
      <c r="T896">
        <f t="shared" si="1018"/>
        <v>7.0791420986705864E-2</v>
      </c>
    </row>
    <row r="897" spans="1:20" x14ac:dyDescent="0.25">
      <c r="A897" s="5">
        <v>43696</v>
      </c>
      <c r="B897">
        <v>9.8309999999999995</v>
      </c>
      <c r="C897">
        <v>10.16</v>
      </c>
      <c r="D897">
        <v>9.7959999999999994</v>
      </c>
      <c r="E897">
        <v>10.137</v>
      </c>
      <c r="F897">
        <v>196820.81700000001</v>
      </c>
      <c r="G897">
        <v>0</v>
      </c>
      <c r="P897">
        <f t="shared" si="1014"/>
        <v>0.87362637362637563</v>
      </c>
      <c r="Q897">
        <f t="shared" si="1015"/>
        <v>171947.8566098905</v>
      </c>
      <c r="R897">
        <f t="shared" si="1016"/>
        <v>7106160.7565529393</v>
      </c>
      <c r="S897">
        <f t="shared" si="1017"/>
        <v>71.0616075655294</v>
      </c>
      <c r="T897">
        <f t="shared" si="1018"/>
        <v>7.10616075655294E-2</v>
      </c>
    </row>
    <row r="898" spans="1:20" x14ac:dyDescent="0.25">
      <c r="A898" s="5">
        <v>43695</v>
      </c>
      <c r="B898">
        <v>9.6630000000000003</v>
      </c>
      <c r="C898">
        <v>10.11</v>
      </c>
      <c r="D898">
        <v>9.5679999999999996</v>
      </c>
      <c r="E898">
        <v>9.8390000000000004</v>
      </c>
      <c r="F898">
        <v>223608.98199999999</v>
      </c>
      <c r="G898">
        <v>0</v>
      </c>
      <c r="P898">
        <f t="shared" si="1014"/>
        <v>3.2774111428048911E-15</v>
      </c>
      <c r="Q898">
        <f t="shared" si="1015"/>
        <v>7.3285856923805833E-10</v>
      </c>
      <c r="R898">
        <f t="shared" si="1016"/>
        <v>6934212.8999430491</v>
      </c>
      <c r="S898">
        <f t="shared" si="1017"/>
        <v>69.342128999430486</v>
      </c>
      <c r="T898">
        <f t="shared" si="1018"/>
        <v>6.9342128999430486E-2</v>
      </c>
    </row>
    <row r="899" spans="1:20" x14ac:dyDescent="0.25">
      <c r="A899" s="5">
        <v>43694</v>
      </c>
      <c r="B899">
        <v>9.8030000000000008</v>
      </c>
      <c r="C899">
        <v>9.8360000000000003</v>
      </c>
      <c r="D899">
        <v>9.5229999999999997</v>
      </c>
      <c r="E899">
        <v>9.6630000000000003</v>
      </c>
      <c r="F899">
        <v>143432.71100000001</v>
      </c>
      <c r="G899">
        <v>0</v>
      </c>
      <c r="P899">
        <f t="shared" si="1014"/>
        <v>-0.10543130990415146</v>
      </c>
      <c r="Q899">
        <f t="shared" si="1015"/>
        <v>-15122.298603833595</v>
      </c>
      <c r="R899">
        <f t="shared" si="1016"/>
        <v>6934212.8999430481</v>
      </c>
      <c r="S899">
        <f t="shared" si="1017"/>
        <v>69.342128999430486</v>
      </c>
      <c r="T899">
        <f t="shared" si="1018"/>
        <v>6.9342128999430486E-2</v>
      </c>
    </row>
    <row r="900" spans="1:20" x14ac:dyDescent="0.25">
      <c r="A900" s="5">
        <v>43693</v>
      </c>
      <c r="B900">
        <v>9.8940000000000001</v>
      </c>
      <c r="C900">
        <v>10.029999999999999</v>
      </c>
      <c r="D900">
        <v>9.4559999999999995</v>
      </c>
      <c r="E900">
        <v>9.8030000000000008</v>
      </c>
      <c r="F900">
        <v>297721.53100000002</v>
      </c>
      <c r="G900">
        <v>0</v>
      </c>
      <c r="P900">
        <f t="shared" si="1014"/>
        <v>0.20905923344948224</v>
      </c>
      <c r="Q900">
        <f t="shared" si="1015"/>
        <v>62241.435052266264</v>
      </c>
      <c r="R900">
        <f t="shared" si="1016"/>
        <v>6949335.1985468818</v>
      </c>
      <c r="S900">
        <f t="shared" si="1017"/>
        <v>69.49335198546882</v>
      </c>
      <c r="T900">
        <f t="shared" si="1018"/>
        <v>6.9493351985468826E-2</v>
      </c>
    </row>
    <row r="901" spans="1:20" x14ac:dyDescent="0.25">
      <c r="A901" s="5">
        <v>43692</v>
      </c>
      <c r="B901">
        <v>9.4550000000000001</v>
      </c>
      <c r="C901">
        <v>10.042</v>
      </c>
      <c r="D901">
        <v>9.4139999999999997</v>
      </c>
      <c r="E901">
        <v>9.8970000000000002</v>
      </c>
      <c r="F901">
        <v>206432.041</v>
      </c>
      <c r="G901">
        <v>0</v>
      </c>
      <c r="P901">
        <f t="shared" si="1014"/>
        <v>0.53821656050955557</v>
      </c>
      <c r="Q901">
        <f t="shared" si="1015"/>
        <v>111105.14308598755</v>
      </c>
      <c r="R901">
        <f t="shared" si="1016"/>
        <v>6887093.7634946154</v>
      </c>
      <c r="S901">
        <f t="shared" si="1017"/>
        <v>68.870937634946159</v>
      </c>
      <c r="T901">
        <f t="shared" si="1018"/>
        <v>6.8870937634946158E-2</v>
      </c>
    </row>
    <row r="902" spans="1:20" x14ac:dyDescent="0.25">
      <c r="A902" s="5">
        <v>43691</v>
      </c>
      <c r="B902">
        <v>10.483000000000001</v>
      </c>
      <c r="C902">
        <v>10.506</v>
      </c>
      <c r="D902">
        <v>9.2799999999999994</v>
      </c>
      <c r="E902">
        <v>9.4529999999999994</v>
      </c>
      <c r="F902">
        <v>343982.58899999998</v>
      </c>
      <c r="G902">
        <v>0</v>
      </c>
      <c r="P902">
        <f t="shared" si="1014"/>
        <v>-0.7177814029363786</v>
      </c>
      <c r="Q902">
        <f t="shared" si="1015"/>
        <v>-246904.30531810768</v>
      </c>
      <c r="R902">
        <f t="shared" si="1016"/>
        <v>6775988.6204086281</v>
      </c>
      <c r="S902">
        <f t="shared" si="1017"/>
        <v>67.759886204086285</v>
      </c>
      <c r="T902">
        <f t="shared" si="1018"/>
        <v>6.7759886204086281E-2</v>
      </c>
    </row>
    <row r="903" spans="1:20" x14ac:dyDescent="0.25">
      <c r="A903" s="5">
        <v>43690</v>
      </c>
      <c r="B903">
        <v>10.686999999999999</v>
      </c>
      <c r="C903">
        <v>10.747999999999999</v>
      </c>
      <c r="D903">
        <v>10.237</v>
      </c>
      <c r="E903">
        <v>10.494</v>
      </c>
      <c r="F903">
        <v>223026.283</v>
      </c>
      <c r="G903">
        <v>0</v>
      </c>
      <c r="P903">
        <f t="shared" si="1014"/>
        <v>5.8708414872800747E-3</v>
      </c>
      <c r="Q903">
        <f t="shared" si="1015"/>
        <v>1309.3519549902669</v>
      </c>
      <c r="R903">
        <f t="shared" si="1016"/>
        <v>7022892.925726736</v>
      </c>
      <c r="S903">
        <f t="shared" si="1017"/>
        <v>70.228929257267353</v>
      </c>
      <c r="T903">
        <f t="shared" si="1018"/>
        <v>7.0228929257267356E-2</v>
      </c>
    </row>
    <row r="904" spans="1:20" x14ac:dyDescent="0.25">
      <c r="A904" s="5">
        <v>43689</v>
      </c>
      <c r="B904">
        <v>11.098000000000001</v>
      </c>
      <c r="C904">
        <v>11.134</v>
      </c>
      <c r="D904">
        <v>10.654</v>
      </c>
      <c r="E904">
        <v>10.691000000000001</v>
      </c>
      <c r="F904">
        <v>123748.628</v>
      </c>
      <c r="G904">
        <v>0</v>
      </c>
      <c r="P904">
        <f t="shared" si="1014"/>
        <v>-0.84583333333333011</v>
      </c>
      <c r="Q904">
        <f t="shared" si="1015"/>
        <v>-104670.71451666627</v>
      </c>
      <c r="R904">
        <f t="shared" si="1016"/>
        <v>7021583.5737717459</v>
      </c>
      <c r="S904">
        <f t="shared" si="1017"/>
        <v>70.215835737717455</v>
      </c>
      <c r="T904">
        <f t="shared" si="1018"/>
        <v>7.0215835737717461E-2</v>
      </c>
    </row>
    <row r="905" spans="1:20" x14ac:dyDescent="0.25">
      <c r="A905" s="5">
        <v>43688</v>
      </c>
      <c r="B905">
        <v>10.596</v>
      </c>
      <c r="C905">
        <v>11.148999999999999</v>
      </c>
      <c r="D905">
        <v>10.538</v>
      </c>
      <c r="E905">
        <v>11.1</v>
      </c>
      <c r="F905">
        <v>210404.86499999999</v>
      </c>
      <c r="G905">
        <v>0</v>
      </c>
      <c r="P905">
        <f t="shared" si="1014"/>
        <v>0.83960720130933031</v>
      </c>
      <c r="Q905">
        <f t="shared" si="1015"/>
        <v>176657.43984451744</v>
      </c>
      <c r="R905">
        <f t="shared" si="1016"/>
        <v>7126254.2882884126</v>
      </c>
      <c r="S905">
        <f t="shared" si="1017"/>
        <v>71.262542882884119</v>
      </c>
      <c r="T905">
        <f t="shared" si="1018"/>
        <v>7.1262542882884125E-2</v>
      </c>
    </row>
    <row r="906" spans="1:20" x14ac:dyDescent="0.25">
      <c r="A906" s="5">
        <v>43687</v>
      </c>
      <c r="B906">
        <v>10.375</v>
      </c>
      <c r="C906">
        <v>11.287000000000001</v>
      </c>
      <c r="D906">
        <v>10.375</v>
      </c>
      <c r="E906">
        <v>10.596</v>
      </c>
      <c r="F906">
        <v>330631.5</v>
      </c>
      <c r="G906">
        <v>0</v>
      </c>
      <c r="P906">
        <f t="shared" si="1014"/>
        <v>-0.51535087719298267</v>
      </c>
      <c r="Q906">
        <f t="shared" si="1015"/>
        <v>-170391.23355263166</v>
      </c>
      <c r="R906">
        <f t="shared" si="1016"/>
        <v>6949596.8484438956</v>
      </c>
      <c r="S906">
        <f t="shared" si="1017"/>
        <v>69.495968484438961</v>
      </c>
      <c r="T906">
        <f t="shared" si="1018"/>
        <v>6.9495968484438966E-2</v>
      </c>
    </row>
    <row r="907" spans="1:20" x14ac:dyDescent="0.25">
      <c r="A907" s="5">
        <v>43686</v>
      </c>
      <c r="B907">
        <v>10.891999999999999</v>
      </c>
      <c r="C907">
        <v>10.926</v>
      </c>
      <c r="D907">
        <v>10.204000000000001</v>
      </c>
      <c r="E907">
        <v>10.367000000000001</v>
      </c>
      <c r="F907">
        <v>195921.92300000001</v>
      </c>
      <c r="G907">
        <v>0</v>
      </c>
      <c r="P907">
        <f t="shared" si="1014"/>
        <v>-0.54847645429362779</v>
      </c>
      <c r="Q907">
        <f t="shared" si="1015"/>
        <v>-107458.56164542917</v>
      </c>
      <c r="R907">
        <f t="shared" si="1016"/>
        <v>7119988.0819965275</v>
      </c>
      <c r="S907">
        <f t="shared" si="1017"/>
        <v>71.199880819965273</v>
      </c>
      <c r="T907">
        <f t="shared" si="1018"/>
        <v>7.1199880819965269E-2</v>
      </c>
    </row>
    <row r="908" spans="1:20" x14ac:dyDescent="0.25">
      <c r="A908" s="5">
        <v>43685</v>
      </c>
      <c r="B908">
        <v>11.337</v>
      </c>
      <c r="C908">
        <v>11.368</v>
      </c>
      <c r="D908">
        <v>10.61</v>
      </c>
      <c r="E908">
        <v>10.887</v>
      </c>
      <c r="F908">
        <v>296791.25400000002</v>
      </c>
      <c r="G908">
        <v>0</v>
      </c>
      <c r="P908">
        <f t="shared" si="1014"/>
        <v>-0.26912928759894278</v>
      </c>
      <c r="Q908">
        <f t="shared" si="1015"/>
        <v>-79875.218754616886</v>
      </c>
      <c r="R908">
        <f t="shared" si="1016"/>
        <v>7227446.6436419571</v>
      </c>
      <c r="S908">
        <f t="shared" si="1017"/>
        <v>72.274466436419573</v>
      </c>
      <c r="T908">
        <f t="shared" si="1018"/>
        <v>7.2274466436419577E-2</v>
      </c>
    </row>
    <row r="909" spans="1:20" x14ac:dyDescent="0.25">
      <c r="A909" s="5">
        <v>43684</v>
      </c>
      <c r="B909">
        <v>11.355</v>
      </c>
      <c r="C909">
        <v>11.635</v>
      </c>
      <c r="D909">
        <v>11.101000000000001</v>
      </c>
      <c r="E909">
        <v>11.31</v>
      </c>
      <c r="F909">
        <v>211254.054</v>
      </c>
      <c r="G909">
        <v>0</v>
      </c>
      <c r="P909">
        <f t="shared" si="1014"/>
        <v>-0.21722846441947546</v>
      </c>
      <c r="Q909">
        <f t="shared" si="1015"/>
        <v>-45890.393752808952</v>
      </c>
      <c r="R909">
        <f t="shared" si="1016"/>
        <v>7307321.8623965736</v>
      </c>
      <c r="S909">
        <f t="shared" si="1017"/>
        <v>73.07321862396573</v>
      </c>
      <c r="T909">
        <f t="shared" si="1018"/>
        <v>7.3073218623965736E-2</v>
      </c>
    </row>
    <row r="910" spans="1:20" x14ac:dyDescent="0.25">
      <c r="A910" s="5">
        <v>43683</v>
      </c>
      <c r="B910">
        <v>12.03</v>
      </c>
      <c r="C910">
        <v>12.26</v>
      </c>
      <c r="D910">
        <v>11.14</v>
      </c>
      <c r="E910">
        <v>11.355</v>
      </c>
      <c r="F910">
        <v>349326.56900000002</v>
      </c>
      <c r="G910">
        <v>0</v>
      </c>
      <c r="P910">
        <f t="shared" si="1014"/>
        <v>-0.6160714285714286</v>
      </c>
      <c r="Q910">
        <f t="shared" si="1015"/>
        <v>-215210.11840178573</v>
      </c>
      <c r="R910">
        <f t="shared" si="1016"/>
        <v>7353212.2561493823</v>
      </c>
      <c r="S910">
        <f t="shared" si="1017"/>
        <v>73.532122561493821</v>
      </c>
      <c r="T910">
        <f t="shared" si="1018"/>
        <v>7.3532122561493815E-2</v>
      </c>
    </row>
    <row r="911" spans="1:20" x14ac:dyDescent="0.25">
      <c r="A911" s="5">
        <v>43682</v>
      </c>
      <c r="B911">
        <v>11.88</v>
      </c>
      <c r="C911">
        <v>12.584</v>
      </c>
      <c r="D911">
        <v>11.878</v>
      </c>
      <c r="E911">
        <v>12.004</v>
      </c>
      <c r="F911">
        <v>392723.49300000002</v>
      </c>
      <c r="G911">
        <v>0</v>
      </c>
      <c r="P911">
        <f t="shared" si="1014"/>
        <v>-0.6430594900849872</v>
      </c>
      <c r="Q911">
        <f t="shared" si="1015"/>
        <v>-252544.56915297505</v>
      </c>
      <c r="R911">
        <f t="shared" si="1016"/>
        <v>7568422.3745511677</v>
      </c>
      <c r="S911">
        <f t="shared" si="1017"/>
        <v>75.684223745511673</v>
      </c>
      <c r="T911">
        <f t="shared" si="1018"/>
        <v>7.5684223745511675E-2</v>
      </c>
    </row>
    <row r="912" spans="1:20" x14ac:dyDescent="0.25">
      <c r="A912" s="5">
        <v>43681</v>
      </c>
      <c r="B912">
        <v>12.109</v>
      </c>
      <c r="C912">
        <v>12.278</v>
      </c>
      <c r="D912">
        <v>11.737</v>
      </c>
      <c r="E912">
        <v>11.88</v>
      </c>
      <c r="F912">
        <v>211299.20699999999</v>
      </c>
      <c r="G912">
        <v>0</v>
      </c>
      <c r="P912">
        <f t="shared" si="1014"/>
        <v>-0.47134935304990544</v>
      </c>
      <c r="Q912">
        <f t="shared" si="1015"/>
        <v>-99595.74451940805</v>
      </c>
      <c r="R912">
        <f t="shared" si="1016"/>
        <v>7820966.9437041432</v>
      </c>
      <c r="S912">
        <f t="shared" si="1017"/>
        <v>78.209669437041427</v>
      </c>
      <c r="T912">
        <f t="shared" si="1018"/>
        <v>7.8209669437041426E-2</v>
      </c>
    </row>
    <row r="913" spans="1:20" x14ac:dyDescent="0.25">
      <c r="A913" s="5">
        <v>43680</v>
      </c>
      <c r="B913">
        <v>11.651999999999999</v>
      </c>
      <c r="C913">
        <v>12.18</v>
      </c>
      <c r="D913">
        <v>11.632</v>
      </c>
      <c r="E913">
        <v>12.121</v>
      </c>
      <c r="F913">
        <v>218307.236</v>
      </c>
      <c r="G913">
        <v>0</v>
      </c>
      <c r="P913">
        <f t="shared" si="1014"/>
        <v>0.78467153284671798</v>
      </c>
      <c r="Q913">
        <f t="shared" si="1015"/>
        <v>171299.47350365022</v>
      </c>
      <c r="R913">
        <f t="shared" si="1016"/>
        <v>7920562.688223551</v>
      </c>
      <c r="S913">
        <f t="shared" si="1017"/>
        <v>79.205626882235507</v>
      </c>
      <c r="T913">
        <f t="shared" si="1018"/>
        <v>7.9205626882235508E-2</v>
      </c>
    </row>
    <row r="914" spans="1:20" x14ac:dyDescent="0.25">
      <c r="A914" s="5">
        <v>43679</v>
      </c>
      <c r="B914">
        <v>11.856999999999999</v>
      </c>
      <c r="C914">
        <v>11.968</v>
      </c>
      <c r="D914">
        <v>11.468</v>
      </c>
      <c r="E914">
        <v>11.66</v>
      </c>
      <c r="F914">
        <v>224074.69099999999</v>
      </c>
      <c r="G914">
        <v>0</v>
      </c>
      <c r="P914">
        <f t="shared" si="1014"/>
        <v>-0.23199999999999932</v>
      </c>
      <c r="Q914">
        <f t="shared" si="1015"/>
        <v>-51985.328311999845</v>
      </c>
      <c r="R914">
        <f t="shared" si="1016"/>
        <v>7749263.2147199009</v>
      </c>
      <c r="S914">
        <f t="shared" si="1017"/>
        <v>77.492632147199004</v>
      </c>
      <c r="T914">
        <f t="shared" si="1018"/>
        <v>7.7492632147199009E-2</v>
      </c>
    </row>
    <row r="915" spans="1:20" x14ac:dyDescent="0.25">
      <c r="A915" s="5">
        <v>43678</v>
      </c>
      <c r="B915">
        <v>11.718999999999999</v>
      </c>
      <c r="C915">
        <v>11.869</v>
      </c>
      <c r="D915">
        <v>11.305</v>
      </c>
      <c r="E915">
        <v>11.862</v>
      </c>
      <c r="F915">
        <v>265168.62300000002</v>
      </c>
      <c r="G915">
        <v>0</v>
      </c>
      <c r="P915">
        <f t="shared" si="1014"/>
        <v>0.97517730496454014</v>
      </c>
      <c r="Q915">
        <f t="shared" si="1015"/>
        <v>258586.42313829818</v>
      </c>
      <c r="R915">
        <f t="shared" si="1016"/>
        <v>7801248.5430319011</v>
      </c>
      <c r="S915">
        <f t="shared" si="1017"/>
        <v>78.012485430319018</v>
      </c>
      <c r="T915">
        <f t="shared" si="1018"/>
        <v>7.8012485430319023E-2</v>
      </c>
    </row>
    <row r="916" spans="1:20" x14ac:dyDescent="0.25">
      <c r="A916" s="5">
        <v>43677</v>
      </c>
      <c r="B916">
        <v>11.241</v>
      </c>
      <c r="C916">
        <v>12.045</v>
      </c>
      <c r="D916">
        <v>11.222</v>
      </c>
      <c r="E916">
        <v>11.727</v>
      </c>
      <c r="F916">
        <v>410016.576</v>
      </c>
      <c r="G916">
        <v>0</v>
      </c>
      <c r="P916">
        <f t="shared" si="1014"/>
        <v>0.22721749696233423</v>
      </c>
      <c r="Q916">
        <f t="shared" si="1015"/>
        <v>93162.94011178668</v>
      </c>
      <c r="R916">
        <f t="shared" si="1016"/>
        <v>7542662.119893603</v>
      </c>
      <c r="S916">
        <f t="shared" si="1017"/>
        <v>75.426621198936033</v>
      </c>
      <c r="T916">
        <f t="shared" si="1018"/>
        <v>7.5426621198936034E-2</v>
      </c>
    </row>
    <row r="917" spans="1:20" x14ac:dyDescent="0.25">
      <c r="A917" s="5">
        <v>43676</v>
      </c>
      <c r="B917">
        <v>11.265000000000001</v>
      </c>
      <c r="C917">
        <v>11.43</v>
      </c>
      <c r="D917">
        <v>11</v>
      </c>
      <c r="E917">
        <v>11.247999999999999</v>
      </c>
      <c r="F917">
        <v>159913.853</v>
      </c>
      <c r="G917">
        <v>0</v>
      </c>
      <c r="P917">
        <f t="shared" si="1014"/>
        <v>0.15348837209302091</v>
      </c>
      <c r="Q917">
        <f t="shared" si="1015"/>
        <v>24544.916972092647</v>
      </c>
      <c r="R917">
        <f t="shared" si="1016"/>
        <v>7449499.179781816</v>
      </c>
      <c r="S917">
        <f t="shared" si="1017"/>
        <v>74.494991797818159</v>
      </c>
      <c r="T917">
        <f t="shared" si="1018"/>
        <v>7.4494991797818155E-2</v>
      </c>
    </row>
    <row r="918" spans="1:20" x14ac:dyDescent="0.25">
      <c r="A918" s="5">
        <v>43675</v>
      </c>
      <c r="B918">
        <v>11.257</v>
      </c>
      <c r="C918">
        <v>11.581</v>
      </c>
      <c r="D918">
        <v>10.925000000000001</v>
      </c>
      <c r="E918">
        <v>11.268000000000001</v>
      </c>
      <c r="F918">
        <v>234631.57</v>
      </c>
      <c r="G918">
        <v>0</v>
      </c>
      <c r="P918">
        <f t="shared" si="1014"/>
        <v>4.5731707317074988E-2</v>
      </c>
      <c r="Q918">
        <f t="shared" si="1015"/>
        <v>10730.102286585792</v>
      </c>
      <c r="R918">
        <f t="shared" si="1016"/>
        <v>7424954.2628097236</v>
      </c>
      <c r="S918">
        <f t="shared" si="1017"/>
        <v>74.249542628097231</v>
      </c>
      <c r="T918">
        <f t="shared" si="1018"/>
        <v>7.4249542628097229E-2</v>
      </c>
    </row>
    <row r="919" spans="1:20" x14ac:dyDescent="0.25">
      <c r="A919" s="5">
        <v>43674</v>
      </c>
      <c r="B919">
        <v>11.372</v>
      </c>
      <c r="C919">
        <v>11.51</v>
      </c>
      <c r="D919">
        <v>10.6</v>
      </c>
      <c r="E919">
        <v>11.238</v>
      </c>
      <c r="F919">
        <v>252217.66699999999</v>
      </c>
      <c r="G919">
        <v>0</v>
      </c>
      <c r="P919">
        <f t="shared" si="1014"/>
        <v>0.40219780219780177</v>
      </c>
      <c r="Q919">
        <f t="shared" si="1015"/>
        <v>101441.39134285702</v>
      </c>
      <c r="R919">
        <f t="shared" si="1016"/>
        <v>7414224.160523138</v>
      </c>
      <c r="S919">
        <f t="shared" si="1017"/>
        <v>74.142241605231376</v>
      </c>
      <c r="T919">
        <f t="shared" si="1018"/>
        <v>7.4142241605231377E-2</v>
      </c>
    </row>
    <row r="920" spans="1:20" x14ac:dyDescent="0.25">
      <c r="A920" s="5">
        <v>43673</v>
      </c>
      <c r="B920">
        <v>11.952</v>
      </c>
      <c r="C920">
        <v>12.345000000000001</v>
      </c>
      <c r="D920">
        <v>11.06</v>
      </c>
      <c r="E920">
        <v>11.37</v>
      </c>
      <c r="F920">
        <v>398244.36700000003</v>
      </c>
      <c r="G920">
        <v>0</v>
      </c>
      <c r="P920">
        <f t="shared" si="1014"/>
        <v>-0.51750972762646119</v>
      </c>
      <c r="Q920">
        <f t="shared" si="1015"/>
        <v>-206095.33389494245</v>
      </c>
      <c r="R920">
        <f t="shared" si="1016"/>
        <v>7312782.7691802811</v>
      </c>
      <c r="S920">
        <f t="shared" si="1017"/>
        <v>73.127827691802807</v>
      </c>
      <c r="T920">
        <f t="shared" si="1018"/>
        <v>7.3127827691802802E-2</v>
      </c>
    </row>
    <row r="921" spans="1:20" x14ac:dyDescent="0.25">
      <c r="A921" s="5">
        <v>43672</v>
      </c>
      <c r="B921">
        <v>11.923999999999999</v>
      </c>
      <c r="C921">
        <v>12.114000000000001</v>
      </c>
      <c r="D921">
        <v>11.61</v>
      </c>
      <c r="E921">
        <v>11.962</v>
      </c>
      <c r="F921">
        <v>255656.41800000001</v>
      </c>
      <c r="G921">
        <v>0</v>
      </c>
      <c r="P921">
        <f t="shared" si="1014"/>
        <v>0.39682539682539436</v>
      </c>
      <c r="Q921">
        <f t="shared" si="1015"/>
        <v>101450.9595238089</v>
      </c>
      <c r="R921">
        <f t="shared" si="1016"/>
        <v>7518878.103075224</v>
      </c>
      <c r="S921">
        <f t="shared" si="1017"/>
        <v>75.188781030752239</v>
      </c>
      <c r="T921">
        <f t="shared" si="1018"/>
        <v>7.5188781030752244E-2</v>
      </c>
    </row>
    <row r="922" spans="1:20" x14ac:dyDescent="0.25">
      <c r="A922" s="5">
        <v>43671</v>
      </c>
      <c r="B922">
        <v>11.763999999999999</v>
      </c>
      <c r="C922">
        <v>12.39</v>
      </c>
      <c r="D922">
        <v>11.718999999999999</v>
      </c>
      <c r="E922">
        <v>11.935</v>
      </c>
      <c r="F922">
        <v>407450.14199999999</v>
      </c>
      <c r="G922">
        <v>0</v>
      </c>
      <c r="P922">
        <f t="shared" si="1014"/>
        <v>-0.3561847988077475</v>
      </c>
      <c r="Q922">
        <f t="shared" si="1015"/>
        <v>-145127.54685245815</v>
      </c>
      <c r="R922">
        <f t="shared" si="1016"/>
        <v>7417427.1435514148</v>
      </c>
      <c r="S922">
        <f t="shared" si="1017"/>
        <v>74.174271435514143</v>
      </c>
      <c r="T922">
        <f t="shared" si="1018"/>
        <v>7.4174271435514139E-2</v>
      </c>
    </row>
    <row r="923" spans="1:20" x14ac:dyDescent="0.25">
      <c r="A923" s="5">
        <v>43670</v>
      </c>
      <c r="B923">
        <v>11.22</v>
      </c>
      <c r="C923">
        <v>12.087999999999999</v>
      </c>
      <c r="D923">
        <v>10.833</v>
      </c>
      <c r="E923">
        <v>11.765000000000001</v>
      </c>
      <c r="F923">
        <v>539124.571</v>
      </c>
      <c r="G923">
        <v>0</v>
      </c>
      <c r="P923">
        <f t="shared" si="1014"/>
        <v>0.48525896414342806</v>
      </c>
      <c r="Q923">
        <f t="shared" si="1015"/>
        <v>261615.03086773003</v>
      </c>
      <c r="R923">
        <f t="shared" si="1016"/>
        <v>7562554.6904038731</v>
      </c>
      <c r="S923">
        <f t="shared" si="1017"/>
        <v>75.625546904038728</v>
      </c>
      <c r="T923">
        <f t="shared" si="1018"/>
        <v>7.5625546904038735E-2</v>
      </c>
    </row>
    <row r="924" spans="1:20" x14ac:dyDescent="0.25">
      <c r="A924" s="5">
        <v>43669</v>
      </c>
      <c r="B924">
        <v>12.06</v>
      </c>
      <c r="C924">
        <v>12.244</v>
      </c>
      <c r="D924">
        <v>11.16</v>
      </c>
      <c r="E924">
        <v>11.228</v>
      </c>
      <c r="F924">
        <v>584158.17299999995</v>
      </c>
      <c r="G924">
        <v>0</v>
      </c>
      <c r="P924">
        <f t="shared" si="1014"/>
        <v>-0.87453874538745457</v>
      </c>
      <c r="Q924">
        <f t="shared" si="1015"/>
        <v>-510868.95572324761</v>
      </c>
      <c r="R924">
        <f t="shared" si="1016"/>
        <v>7300939.6595361428</v>
      </c>
      <c r="S924">
        <f t="shared" si="1017"/>
        <v>73.009396595361423</v>
      </c>
      <c r="T924">
        <f t="shared" si="1018"/>
        <v>7.3009396595361417E-2</v>
      </c>
    </row>
    <row r="925" spans="1:20" x14ac:dyDescent="0.25">
      <c r="A925" s="5">
        <v>43668</v>
      </c>
      <c r="B925">
        <v>12.96</v>
      </c>
      <c r="C925">
        <v>13.141</v>
      </c>
      <c r="D925">
        <v>11.622</v>
      </c>
      <c r="E925">
        <v>12.07</v>
      </c>
      <c r="F925">
        <v>624916.97900000005</v>
      </c>
      <c r="G925">
        <v>0</v>
      </c>
      <c r="P925">
        <f t="shared" si="1014"/>
        <v>-0.41013824884792577</v>
      </c>
      <c r="Q925">
        <f t="shared" si="1015"/>
        <v>-256302.35544239602</v>
      </c>
      <c r="R925">
        <f t="shared" si="1016"/>
        <v>7811808.6152593903</v>
      </c>
      <c r="S925">
        <f t="shared" si="1017"/>
        <v>78.118086152593904</v>
      </c>
      <c r="T925">
        <f t="shared" si="1018"/>
        <v>7.8118086152593899E-2</v>
      </c>
    </row>
    <row r="926" spans="1:20" x14ac:dyDescent="0.25">
      <c r="A926" s="5">
        <v>43667</v>
      </c>
      <c r="B926">
        <v>13.321999999999999</v>
      </c>
      <c r="C926">
        <v>13.599</v>
      </c>
      <c r="D926">
        <v>12.446</v>
      </c>
      <c r="E926">
        <v>12.954000000000001</v>
      </c>
      <c r="F926">
        <v>492448.98200000002</v>
      </c>
      <c r="G926">
        <v>0</v>
      </c>
      <c r="P926">
        <f t="shared" si="1014"/>
        <v>-0.11882046834345067</v>
      </c>
      <c r="Q926">
        <f t="shared" si="1015"/>
        <v>-58513.018676495507</v>
      </c>
      <c r="R926">
        <f t="shared" si="1016"/>
        <v>8068110.9707017867</v>
      </c>
      <c r="S926">
        <f t="shared" si="1017"/>
        <v>80.681109707017868</v>
      </c>
      <c r="T926">
        <f t="shared" si="1018"/>
        <v>8.0681109707017862E-2</v>
      </c>
    </row>
    <row r="927" spans="1:20" x14ac:dyDescent="0.25">
      <c r="A927" s="5">
        <v>43666</v>
      </c>
      <c r="B927">
        <v>12.975</v>
      </c>
      <c r="C927">
        <v>13.877000000000001</v>
      </c>
      <c r="D927">
        <v>12.741</v>
      </c>
      <c r="E927">
        <v>13.321999999999999</v>
      </c>
      <c r="F927">
        <v>477497.35800000001</v>
      </c>
      <c r="G927">
        <v>0</v>
      </c>
      <c r="P927">
        <f t="shared" si="1014"/>
        <v>2.2887323943660214E-2</v>
      </c>
      <c r="Q927">
        <f t="shared" si="1015"/>
        <v>10928.636714787894</v>
      </c>
      <c r="R927">
        <f t="shared" si="1016"/>
        <v>8126623.9893782819</v>
      </c>
      <c r="S927">
        <f t="shared" si="1017"/>
        <v>81.266239893782824</v>
      </c>
      <c r="T927">
        <f t="shared" si="1018"/>
        <v>8.126623989378283E-2</v>
      </c>
    </row>
    <row r="928" spans="1:20" x14ac:dyDescent="0.25">
      <c r="A928" s="5">
        <v>43665</v>
      </c>
      <c r="B928">
        <v>13.02</v>
      </c>
      <c r="C928">
        <v>13.180999999999999</v>
      </c>
      <c r="D928">
        <v>12.157999999999999</v>
      </c>
      <c r="E928">
        <v>12.961</v>
      </c>
      <c r="F928">
        <v>776060.82200000004</v>
      </c>
      <c r="G928">
        <v>0</v>
      </c>
      <c r="P928">
        <f t="shared" si="1014"/>
        <v>0.56989247311828162</v>
      </c>
      <c r="Q928">
        <f t="shared" si="1015"/>
        <v>442271.22113978653</v>
      </c>
      <c r="R928">
        <f t="shared" si="1016"/>
        <v>8115695.3526634937</v>
      </c>
      <c r="S928">
        <f t="shared" si="1017"/>
        <v>81.156953526634936</v>
      </c>
      <c r="T928">
        <f t="shared" si="1018"/>
        <v>8.1156953526634934E-2</v>
      </c>
    </row>
    <row r="929" spans="1:20" x14ac:dyDescent="0.25">
      <c r="A929" s="5">
        <v>43664</v>
      </c>
      <c r="B929">
        <v>10.771000000000001</v>
      </c>
      <c r="C929">
        <v>13.483000000000001</v>
      </c>
      <c r="D929">
        <v>10.53</v>
      </c>
      <c r="E929">
        <v>13.01</v>
      </c>
      <c r="F929">
        <v>1478659.764</v>
      </c>
      <c r="G929">
        <v>0</v>
      </c>
      <c r="P929">
        <f t="shared" si="1014"/>
        <v>0.67964781578056177</v>
      </c>
      <c r="Q929">
        <f t="shared" si="1015"/>
        <v>1004967.8788852009</v>
      </c>
      <c r="R929">
        <f t="shared" si="1016"/>
        <v>7673424.131523707</v>
      </c>
      <c r="S929">
        <f t="shared" si="1017"/>
        <v>76.734241315237071</v>
      </c>
      <c r="T929">
        <f t="shared" si="1018"/>
        <v>7.6734241315237067E-2</v>
      </c>
    </row>
    <row r="930" spans="1:20" x14ac:dyDescent="0.25">
      <c r="A930" s="5">
        <v>43663</v>
      </c>
      <c r="B930">
        <v>10.206</v>
      </c>
      <c r="C930">
        <v>11.329000000000001</v>
      </c>
      <c r="D930">
        <v>9.7219999999999995</v>
      </c>
      <c r="E930">
        <v>10.763999999999999</v>
      </c>
      <c r="F930">
        <v>840793.95</v>
      </c>
      <c r="G930">
        <v>0</v>
      </c>
      <c r="P930">
        <f t="shared" si="1014"/>
        <v>0.29682638456751598</v>
      </c>
      <c r="Q930">
        <f t="shared" si="1015"/>
        <v>249569.82834474079</v>
      </c>
      <c r="R930">
        <f t="shared" si="1016"/>
        <v>6668456.2526385058</v>
      </c>
      <c r="S930">
        <f t="shared" si="1017"/>
        <v>66.684562526385051</v>
      </c>
      <c r="T930">
        <f t="shared" si="1018"/>
        <v>6.6684562526385049E-2</v>
      </c>
    </row>
    <row r="931" spans="1:20" x14ac:dyDescent="0.25">
      <c r="A931" s="5">
        <v>43662</v>
      </c>
      <c r="B931">
        <v>12.285</v>
      </c>
      <c r="C931">
        <v>12.592000000000001</v>
      </c>
      <c r="D931">
        <v>10.006</v>
      </c>
      <c r="E931">
        <v>10.202</v>
      </c>
      <c r="F931">
        <v>900692.93900000001</v>
      </c>
      <c r="G931">
        <v>0</v>
      </c>
      <c r="P931">
        <f t="shared" si="1014"/>
        <v>-0.84841453982985326</v>
      </c>
      <c r="Q931">
        <f t="shared" si="1015"/>
        <v>-764160.98536968313</v>
      </c>
      <c r="R931">
        <f t="shared" si="1016"/>
        <v>6418886.4242937649</v>
      </c>
      <c r="S931">
        <f t="shared" si="1017"/>
        <v>64.188864242937655</v>
      </c>
      <c r="T931">
        <f t="shared" si="1018"/>
        <v>6.4188864242937654E-2</v>
      </c>
    </row>
    <row r="932" spans="1:20" x14ac:dyDescent="0.25">
      <c r="A932" s="5">
        <v>43661</v>
      </c>
      <c r="B932">
        <v>12.010999999999999</v>
      </c>
      <c r="C932">
        <v>12.489000000000001</v>
      </c>
      <c r="D932">
        <v>11.218</v>
      </c>
      <c r="E932">
        <v>12.281000000000001</v>
      </c>
      <c r="F932">
        <v>782234.48499999999</v>
      </c>
      <c r="G932">
        <v>0</v>
      </c>
      <c r="P932">
        <f t="shared" si="1014"/>
        <v>0.67269866247049559</v>
      </c>
      <c r="Q932">
        <f t="shared" si="1015"/>
        <v>526208.09179779689</v>
      </c>
      <c r="R932">
        <f t="shared" si="1016"/>
        <v>7183047.4096634481</v>
      </c>
      <c r="S932">
        <f t="shared" si="1017"/>
        <v>71.830474096634475</v>
      </c>
      <c r="T932">
        <f t="shared" si="1018"/>
        <v>7.183047409663447E-2</v>
      </c>
    </row>
    <row r="933" spans="1:20" x14ac:dyDescent="0.25">
      <c r="A933" s="5">
        <v>43660</v>
      </c>
      <c r="B933">
        <v>14.166</v>
      </c>
      <c r="C933">
        <v>14.308999999999999</v>
      </c>
      <c r="D933">
        <v>11.847</v>
      </c>
      <c r="E933">
        <v>12.021000000000001</v>
      </c>
      <c r="F933">
        <v>787809.65500000003</v>
      </c>
      <c r="G933">
        <v>0</v>
      </c>
      <c r="P933">
        <f t="shared" si="1014"/>
        <v>-0.8586515028432159</v>
      </c>
      <c r="Q933">
        <f t="shared" si="1015"/>
        <v>-676453.94422014547</v>
      </c>
      <c r="R933">
        <f t="shared" si="1016"/>
        <v>6656839.3178656511</v>
      </c>
      <c r="S933">
        <f t="shared" si="1017"/>
        <v>66.568393178656507</v>
      </c>
      <c r="T933">
        <f t="shared" si="1018"/>
        <v>6.656839317865651E-2</v>
      </c>
    </row>
    <row r="934" spans="1:20" x14ac:dyDescent="0.25">
      <c r="A934" s="5">
        <v>43659</v>
      </c>
      <c r="B934">
        <v>15.339</v>
      </c>
      <c r="C934">
        <v>15.371</v>
      </c>
      <c r="D934">
        <v>13.525</v>
      </c>
      <c r="E934">
        <v>14.156000000000001</v>
      </c>
      <c r="F934">
        <v>475243.89500000002</v>
      </c>
      <c r="G934">
        <v>0</v>
      </c>
      <c r="P934">
        <f t="shared" si="1014"/>
        <v>-0.31635969664138658</v>
      </c>
      <c r="Q934">
        <f t="shared" si="1015"/>
        <v>-150348.01445287099</v>
      </c>
      <c r="R934">
        <f t="shared" si="1016"/>
        <v>7333293.2620857963</v>
      </c>
      <c r="S934">
        <f t="shared" si="1017"/>
        <v>73.33293262085796</v>
      </c>
      <c r="T934">
        <f t="shared" si="1018"/>
        <v>7.3332932620857966E-2</v>
      </c>
    </row>
    <row r="935" spans="1:20" x14ac:dyDescent="0.25">
      <c r="A935" s="5">
        <v>43658</v>
      </c>
      <c r="B935">
        <v>14.645</v>
      </c>
      <c r="C935">
        <v>15.515000000000001</v>
      </c>
      <c r="D935">
        <v>14.3</v>
      </c>
      <c r="E935">
        <v>15.321999999999999</v>
      </c>
      <c r="F935">
        <v>375051.66100000002</v>
      </c>
      <c r="G935">
        <v>0</v>
      </c>
      <c r="P935">
        <f t="shared" si="1014"/>
        <v>0.68230452674896891</v>
      </c>
      <c r="Q935">
        <f t="shared" si="1015"/>
        <v>255899.44606501973</v>
      </c>
      <c r="R935">
        <f t="shared" si="1016"/>
        <v>7483641.2765386673</v>
      </c>
      <c r="S935">
        <f t="shared" si="1017"/>
        <v>74.836412765386669</v>
      </c>
      <c r="T935">
        <f t="shared" si="1018"/>
        <v>7.4836412765386676E-2</v>
      </c>
    </row>
    <row r="936" spans="1:20" x14ac:dyDescent="0.25">
      <c r="A936" s="5">
        <v>43657</v>
      </c>
      <c r="B936">
        <v>16.195</v>
      </c>
      <c r="C936">
        <v>16.195</v>
      </c>
      <c r="D936">
        <v>14.202999999999999</v>
      </c>
      <c r="E936">
        <v>14.645</v>
      </c>
      <c r="F936">
        <v>623577.76100000006</v>
      </c>
      <c r="G936">
        <v>0</v>
      </c>
      <c r="P936">
        <f t="shared" si="1014"/>
        <v>-0.55622489959839361</v>
      </c>
      <c r="Q936">
        <f t="shared" si="1015"/>
        <v>-346849.47750401613</v>
      </c>
      <c r="R936">
        <f t="shared" si="1016"/>
        <v>7227741.8304736475</v>
      </c>
      <c r="S936">
        <f t="shared" si="1017"/>
        <v>72.277418304736472</v>
      </c>
      <c r="T936">
        <f t="shared" si="1018"/>
        <v>7.2277418304736468E-2</v>
      </c>
    </row>
    <row r="937" spans="1:20" x14ac:dyDescent="0.25">
      <c r="A937" s="5">
        <v>43656</v>
      </c>
      <c r="B937">
        <v>17.225000000000001</v>
      </c>
      <c r="C937">
        <v>17.459</v>
      </c>
      <c r="D937">
        <v>15.425000000000001</v>
      </c>
      <c r="E937">
        <v>16.195</v>
      </c>
      <c r="F937">
        <v>554116.66500000004</v>
      </c>
      <c r="G937">
        <v>0</v>
      </c>
      <c r="P937">
        <f t="shared" si="1014"/>
        <v>-0.24287118977384467</v>
      </c>
      <c r="Q937">
        <f t="shared" si="1015"/>
        <v>-134578.97370206492</v>
      </c>
      <c r="R937">
        <f t="shared" si="1016"/>
        <v>7574591.3079776634</v>
      </c>
      <c r="S937">
        <f t="shared" si="1017"/>
        <v>75.745913079776628</v>
      </c>
      <c r="T937">
        <f t="shared" si="1018"/>
        <v>7.5745913079776628E-2</v>
      </c>
    </row>
    <row r="938" spans="1:20" x14ac:dyDescent="0.25">
      <c r="A938" s="5">
        <v>43655</v>
      </c>
      <c r="B938">
        <v>17.521999999999998</v>
      </c>
      <c r="C938">
        <v>17.966000000000001</v>
      </c>
      <c r="D938">
        <v>16.88</v>
      </c>
      <c r="E938">
        <v>17.245000000000001</v>
      </c>
      <c r="F938">
        <v>473953.65299999999</v>
      </c>
      <c r="G938">
        <v>0</v>
      </c>
      <c r="P938">
        <f t="shared" si="1014"/>
        <v>-0.3278084714548779</v>
      </c>
      <c r="Q938">
        <f t="shared" si="1015"/>
        <v>-155366.02253038561</v>
      </c>
      <c r="R938">
        <f t="shared" si="1016"/>
        <v>7709170.2816797281</v>
      </c>
      <c r="S938">
        <f t="shared" si="1017"/>
        <v>77.09170281679728</v>
      </c>
      <c r="T938">
        <f t="shared" si="1018"/>
        <v>7.7091702816797281E-2</v>
      </c>
    </row>
    <row r="939" spans="1:20" x14ac:dyDescent="0.25">
      <c r="A939" s="5">
        <v>43654</v>
      </c>
      <c r="B939">
        <v>17.187999999999999</v>
      </c>
      <c r="C939">
        <v>17.600999999999999</v>
      </c>
      <c r="D939">
        <v>16.8</v>
      </c>
      <c r="E939">
        <v>17.524000000000001</v>
      </c>
      <c r="F939">
        <v>364167.924</v>
      </c>
      <c r="G939">
        <v>0</v>
      </c>
      <c r="P939">
        <f t="shared" si="1014"/>
        <v>0.80774032459426137</v>
      </c>
      <c r="Q939">
        <f t="shared" si="1015"/>
        <v>294153.11713857832</v>
      </c>
      <c r="R939">
        <f t="shared" si="1016"/>
        <v>7864536.3042101134</v>
      </c>
      <c r="S939">
        <f t="shared" si="1017"/>
        <v>78.645363042101138</v>
      </c>
      <c r="T939">
        <f t="shared" si="1018"/>
        <v>7.8645363042101138E-2</v>
      </c>
    </row>
    <row r="940" spans="1:20" x14ac:dyDescent="0.25">
      <c r="A940" s="5">
        <v>43653</v>
      </c>
      <c r="B940">
        <v>16.841000000000001</v>
      </c>
      <c r="C940">
        <v>17.257000000000001</v>
      </c>
      <c r="D940">
        <v>16.52</v>
      </c>
      <c r="E940">
        <v>17.187999999999999</v>
      </c>
      <c r="F940">
        <v>245474.18799999999</v>
      </c>
      <c r="G940">
        <v>0</v>
      </c>
      <c r="P940">
        <f t="shared" si="1014"/>
        <v>0.81275440976932856</v>
      </c>
      <c r="Q940">
        <f t="shared" si="1015"/>
        <v>199510.22878154519</v>
      </c>
      <c r="R940">
        <f t="shared" si="1016"/>
        <v>7570383.1870715348</v>
      </c>
      <c r="S940">
        <f t="shared" si="1017"/>
        <v>75.703831870715348</v>
      </c>
      <c r="T940">
        <f t="shared" si="1018"/>
        <v>7.5703831870715346E-2</v>
      </c>
    </row>
    <row r="941" spans="1:20" x14ac:dyDescent="0.25">
      <c r="A941" s="5">
        <v>43652</v>
      </c>
      <c r="B941">
        <v>17.035</v>
      </c>
      <c r="C941">
        <v>17.399999999999999</v>
      </c>
      <c r="D941">
        <v>16.809999999999999</v>
      </c>
      <c r="E941">
        <v>16.853000000000002</v>
      </c>
      <c r="F941">
        <v>270518.59499999997</v>
      </c>
      <c r="G941">
        <v>0</v>
      </c>
      <c r="P941">
        <f t="shared" si="1014"/>
        <v>-0.85423728813558364</v>
      </c>
      <c r="Q941">
        <f t="shared" si="1015"/>
        <v>-231087.07098304824</v>
      </c>
      <c r="R941">
        <f t="shared" si="1016"/>
        <v>7370872.9582899893</v>
      </c>
      <c r="S941">
        <f t="shared" si="1017"/>
        <v>73.708729582899892</v>
      </c>
      <c r="T941">
        <f t="shared" si="1018"/>
        <v>7.3708729582899896E-2</v>
      </c>
    </row>
    <row r="942" spans="1:20" x14ac:dyDescent="0.25">
      <c r="A942" s="5">
        <v>43651</v>
      </c>
      <c r="B942">
        <v>17.018999999999998</v>
      </c>
      <c r="C942">
        <v>17.498000000000001</v>
      </c>
      <c r="D942">
        <v>16.710999999999999</v>
      </c>
      <c r="E942">
        <v>17.029</v>
      </c>
      <c r="F942">
        <v>328824.53000000003</v>
      </c>
      <c r="G942">
        <v>0</v>
      </c>
      <c r="P942">
        <f t="shared" si="1014"/>
        <v>-0.19186785260482758</v>
      </c>
      <c r="Q942">
        <f t="shared" si="1015"/>
        <v>-63090.856454891713</v>
      </c>
      <c r="R942">
        <f t="shared" si="1016"/>
        <v>7601960.0292730378</v>
      </c>
      <c r="S942">
        <f t="shared" si="1017"/>
        <v>76.019600292730374</v>
      </c>
      <c r="T942">
        <f t="shared" si="1018"/>
        <v>7.6019600292730374E-2</v>
      </c>
    </row>
    <row r="943" spans="1:20" x14ac:dyDescent="0.25">
      <c r="A943" s="5">
        <v>43650</v>
      </c>
      <c r="B943">
        <v>17.902999999999999</v>
      </c>
      <c r="C943">
        <v>18.018999999999998</v>
      </c>
      <c r="D943">
        <v>16.928000000000001</v>
      </c>
      <c r="E943">
        <v>17.010999999999999</v>
      </c>
      <c r="F943">
        <v>426419.533</v>
      </c>
      <c r="G943">
        <v>0</v>
      </c>
      <c r="P943">
        <f t="shared" si="1014"/>
        <v>-0.84784601283226657</v>
      </c>
      <c r="Q943">
        <f t="shared" si="1015"/>
        <v>-361538.10084784712</v>
      </c>
      <c r="R943">
        <f t="shared" si="1016"/>
        <v>7665050.8857279299</v>
      </c>
      <c r="S943">
        <f t="shared" si="1017"/>
        <v>76.650508857279306</v>
      </c>
      <c r="T943">
        <f t="shared" si="1018"/>
        <v>7.6650508857279309E-2</v>
      </c>
    </row>
    <row r="944" spans="1:20" x14ac:dyDescent="0.25">
      <c r="A944" s="5">
        <v>43649</v>
      </c>
      <c r="B944">
        <v>17.943000000000001</v>
      </c>
      <c r="C944">
        <v>18.065000000000001</v>
      </c>
      <c r="D944">
        <v>17.207999999999998</v>
      </c>
      <c r="E944">
        <v>17.904</v>
      </c>
      <c r="F944">
        <v>627108.53700000001</v>
      </c>
      <c r="G944">
        <v>0</v>
      </c>
      <c r="P944">
        <f t="shared" si="1014"/>
        <v>0.62427071178529558</v>
      </c>
      <c r="Q944">
        <f t="shared" si="1015"/>
        <v>391485.49275962537</v>
      </c>
      <c r="R944">
        <f t="shared" si="1016"/>
        <v>8026588.9865757767</v>
      </c>
      <c r="S944">
        <f t="shared" si="1017"/>
        <v>80.265889865757771</v>
      </c>
      <c r="T944">
        <f t="shared" si="1018"/>
        <v>8.0265889865757764E-2</v>
      </c>
    </row>
    <row r="945" spans="1:20" x14ac:dyDescent="0.25">
      <c r="A945" s="5">
        <v>43648</v>
      </c>
      <c r="B945">
        <v>16.954999999999998</v>
      </c>
      <c r="C945">
        <v>18.308</v>
      </c>
      <c r="D945">
        <v>16.123000000000001</v>
      </c>
      <c r="E945">
        <v>17.937000000000001</v>
      </c>
      <c r="F945">
        <v>1126959.0689999999</v>
      </c>
      <c r="G945">
        <v>0</v>
      </c>
      <c r="P945">
        <f t="shared" si="1014"/>
        <v>0.66041189931350219</v>
      </c>
      <c r="Q945">
        <f t="shared" si="1015"/>
        <v>744257.17920686607</v>
      </c>
      <c r="R945">
        <f t="shared" si="1016"/>
        <v>7635103.4938161513</v>
      </c>
      <c r="S945">
        <f t="shared" si="1017"/>
        <v>76.351034938161519</v>
      </c>
      <c r="T945">
        <f t="shared" si="1018"/>
        <v>7.6351034938161519E-2</v>
      </c>
    </row>
    <row r="946" spans="1:20" x14ac:dyDescent="0.25">
      <c r="A946" s="5">
        <v>43647</v>
      </c>
      <c r="B946">
        <v>16.774000000000001</v>
      </c>
      <c r="C946">
        <v>17.338000000000001</v>
      </c>
      <c r="D946">
        <v>15.503</v>
      </c>
      <c r="E946">
        <v>16.956</v>
      </c>
      <c r="F946">
        <v>866992.13</v>
      </c>
      <c r="G946">
        <v>0</v>
      </c>
      <c r="P946">
        <f t="shared" si="1014"/>
        <v>0.58365122615803677</v>
      </c>
      <c r="Q946">
        <f t="shared" si="1015"/>
        <v>506021.01974386803</v>
      </c>
      <c r="R946">
        <f t="shared" si="1016"/>
        <v>6890846.3146092854</v>
      </c>
      <c r="S946">
        <f t="shared" si="1017"/>
        <v>68.908463146092856</v>
      </c>
      <c r="T946">
        <f t="shared" si="1018"/>
        <v>6.8908463146092863E-2</v>
      </c>
    </row>
    <row r="947" spans="1:20" x14ac:dyDescent="0.25">
      <c r="A947" s="5">
        <v>43646</v>
      </c>
      <c r="B947">
        <v>18.422000000000001</v>
      </c>
      <c r="C947">
        <v>18.603999999999999</v>
      </c>
      <c r="D947">
        <v>16.731000000000002</v>
      </c>
      <c r="E947">
        <v>16.747</v>
      </c>
      <c r="F947">
        <v>633301.44799999997</v>
      </c>
      <c r="G947">
        <v>0</v>
      </c>
      <c r="P947">
        <f t="shared" si="1014"/>
        <v>-0.98291510945008198</v>
      </c>
      <c r="Q947">
        <f t="shared" si="1015"/>
        <v>-622481.5620758154</v>
      </c>
      <c r="R947">
        <f t="shared" si="1016"/>
        <v>6384825.2948654173</v>
      </c>
      <c r="S947">
        <f t="shared" si="1017"/>
        <v>63.848252948654171</v>
      </c>
      <c r="T947">
        <f t="shared" si="1018"/>
        <v>6.3848252948654177E-2</v>
      </c>
    </row>
    <row r="948" spans="1:20" x14ac:dyDescent="0.25">
      <c r="A948" s="5">
        <v>43645</v>
      </c>
      <c r="B948">
        <v>18.241</v>
      </c>
      <c r="C948">
        <v>19.100000000000001</v>
      </c>
      <c r="D948">
        <v>17.401</v>
      </c>
      <c r="E948">
        <v>18.434000000000001</v>
      </c>
      <c r="F948">
        <v>857250.18700000003</v>
      </c>
      <c r="G948">
        <v>0</v>
      </c>
      <c r="P948">
        <f t="shared" si="1014"/>
        <v>0.21600941730429696</v>
      </c>
      <c r="Q948">
        <f t="shared" si="1015"/>
        <v>185174.11337786962</v>
      </c>
      <c r="R948">
        <f t="shared" si="1016"/>
        <v>7007306.8569412325</v>
      </c>
      <c r="S948">
        <f t="shared" si="1017"/>
        <v>70.073068569412328</v>
      </c>
      <c r="T948">
        <f t="shared" si="1018"/>
        <v>7.0073068569412325E-2</v>
      </c>
    </row>
    <row r="949" spans="1:20" x14ac:dyDescent="0.25">
      <c r="A949" s="5">
        <v>43644</v>
      </c>
      <c r="B949">
        <v>17.2</v>
      </c>
      <c r="C949">
        <v>18.757999999999999</v>
      </c>
      <c r="D949">
        <v>17.013999999999999</v>
      </c>
      <c r="E949">
        <v>18.227</v>
      </c>
      <c r="F949">
        <v>951372.40899999999</v>
      </c>
      <c r="G949">
        <v>0</v>
      </c>
      <c r="P949">
        <f t="shared" si="1014"/>
        <v>0.39105504587156092</v>
      </c>
      <c r="Q949">
        <f t="shared" si="1015"/>
        <v>372038.98104243242</v>
      </c>
      <c r="R949">
        <f t="shared" si="1016"/>
        <v>6822132.7435633624</v>
      </c>
      <c r="S949">
        <f t="shared" si="1017"/>
        <v>68.221327435633626</v>
      </c>
      <c r="T949">
        <f t="shared" si="1018"/>
        <v>6.8221327435633625E-2</v>
      </c>
    </row>
    <row r="950" spans="1:20" x14ac:dyDescent="0.25">
      <c r="A950" s="5">
        <v>43643</v>
      </c>
      <c r="B950">
        <v>19.367000000000001</v>
      </c>
      <c r="C950">
        <v>20.273</v>
      </c>
      <c r="D950">
        <v>16.2</v>
      </c>
      <c r="E950">
        <v>17.201000000000001</v>
      </c>
      <c r="F950">
        <v>1456056.523</v>
      </c>
      <c r="G950">
        <v>0</v>
      </c>
      <c r="P950">
        <f t="shared" si="1014"/>
        <v>-0.50847041492757128</v>
      </c>
      <c r="Q950">
        <f t="shared" si="1015"/>
        <v>-740361.6644078067</v>
      </c>
      <c r="R950">
        <f t="shared" si="1016"/>
        <v>6450093.7625209298</v>
      </c>
      <c r="S950">
        <f t="shared" si="1017"/>
        <v>64.500937625209303</v>
      </c>
      <c r="T950">
        <f t="shared" si="1018"/>
        <v>6.4500937625209309E-2</v>
      </c>
    </row>
    <row r="951" spans="1:20" x14ac:dyDescent="0.25">
      <c r="A951" s="5">
        <v>43642</v>
      </c>
      <c r="B951">
        <v>19.609000000000002</v>
      </c>
      <c r="C951">
        <v>20.984999999999999</v>
      </c>
      <c r="D951">
        <v>17.015999999999998</v>
      </c>
      <c r="E951">
        <v>19.367000000000001</v>
      </c>
      <c r="F951">
        <v>2383581.9730000002</v>
      </c>
      <c r="G951">
        <v>0</v>
      </c>
      <c r="P951">
        <f t="shared" si="1014"/>
        <v>0.18468127991937613</v>
      </c>
      <c r="Q951">
        <f t="shared" si="1015"/>
        <v>440202.9695663919</v>
      </c>
      <c r="R951">
        <f t="shared" si="1016"/>
        <v>7190455.4269287363</v>
      </c>
      <c r="S951">
        <f t="shared" si="1017"/>
        <v>71.90455426928736</v>
      </c>
      <c r="T951">
        <f t="shared" si="1018"/>
        <v>7.1904554269287366E-2</v>
      </c>
    </row>
    <row r="952" spans="1:20" x14ac:dyDescent="0.25">
      <c r="A952" s="5">
        <v>43641</v>
      </c>
      <c r="B952">
        <v>17.974</v>
      </c>
      <c r="C952">
        <v>19.744</v>
      </c>
      <c r="D952">
        <v>17.533999999999999</v>
      </c>
      <c r="E952">
        <v>19.606000000000002</v>
      </c>
      <c r="F952">
        <v>1583895.5079999999</v>
      </c>
      <c r="G952">
        <v>0</v>
      </c>
      <c r="P952">
        <f t="shared" si="1014"/>
        <v>0.87511312217194748</v>
      </c>
      <c r="Q952">
        <f t="shared" si="1015"/>
        <v>1386087.7432000027</v>
      </c>
      <c r="R952">
        <f t="shared" si="1016"/>
        <v>6750252.4573623445</v>
      </c>
      <c r="S952">
        <f t="shared" si="1017"/>
        <v>67.502524573623447</v>
      </c>
      <c r="T952">
        <f t="shared" si="1018"/>
        <v>6.7502524573623449E-2</v>
      </c>
    </row>
    <row r="953" spans="1:20" x14ac:dyDescent="0.25">
      <c r="A953" s="5">
        <v>43640</v>
      </c>
      <c r="B953">
        <v>16.853000000000002</v>
      </c>
      <c r="C953">
        <v>18.45</v>
      </c>
      <c r="D953">
        <v>16.376000000000001</v>
      </c>
      <c r="E953">
        <v>17.971</v>
      </c>
      <c r="F953">
        <v>1023920.892</v>
      </c>
      <c r="G953">
        <v>0</v>
      </c>
      <c r="P953">
        <f t="shared" si="1014"/>
        <v>0.53809064609450374</v>
      </c>
      <c r="Q953">
        <f t="shared" si="1015"/>
        <v>550962.25432594062</v>
      </c>
      <c r="R953">
        <f t="shared" si="1016"/>
        <v>5364164.7141623413</v>
      </c>
      <c r="S953">
        <f t="shared" si="1017"/>
        <v>53.641647141623416</v>
      </c>
      <c r="T953">
        <f t="shared" si="1018"/>
        <v>5.3641647141623415E-2</v>
      </c>
    </row>
    <row r="954" spans="1:20" x14ac:dyDescent="0.25">
      <c r="A954" s="5">
        <v>43639</v>
      </c>
      <c r="B954">
        <v>17.465</v>
      </c>
      <c r="C954">
        <v>18.885999999999999</v>
      </c>
      <c r="D954">
        <v>16.71</v>
      </c>
      <c r="E954">
        <v>16.859000000000002</v>
      </c>
      <c r="F954">
        <v>1589345.412</v>
      </c>
      <c r="G954">
        <v>0</v>
      </c>
      <c r="P954">
        <f t="shared" si="1014"/>
        <v>-0.86305147058823439</v>
      </c>
      <c r="Q954">
        <f t="shared" si="1015"/>
        <v>-1371686.8950992632</v>
      </c>
      <c r="R954">
        <f t="shared" si="1016"/>
        <v>4813202.459836401</v>
      </c>
      <c r="S954">
        <f t="shared" si="1017"/>
        <v>48.132024598364012</v>
      </c>
      <c r="T954">
        <f t="shared" si="1018"/>
        <v>4.8132024598364014E-2</v>
      </c>
    </row>
    <row r="955" spans="1:20" x14ac:dyDescent="0.25">
      <c r="A955" s="5">
        <v>43638</v>
      </c>
      <c r="B955">
        <v>14.026</v>
      </c>
      <c r="C955">
        <v>19.05</v>
      </c>
      <c r="D955">
        <v>13.8</v>
      </c>
      <c r="E955">
        <v>17.481000000000002</v>
      </c>
      <c r="F955">
        <v>2989487.9449999998</v>
      </c>
      <c r="G955">
        <v>0</v>
      </c>
      <c r="P955">
        <f t="shared" si="1014"/>
        <v>0.40228571428571464</v>
      </c>
      <c r="Q955">
        <f t="shared" si="1015"/>
        <v>1202628.293302858</v>
      </c>
      <c r="R955">
        <f t="shared" si="1016"/>
        <v>6184889.3549356647</v>
      </c>
      <c r="S955">
        <f t="shared" si="1017"/>
        <v>61.848893549356646</v>
      </c>
      <c r="T955">
        <f t="shared" si="1018"/>
        <v>6.1848893549356646E-2</v>
      </c>
    </row>
    <row r="956" spans="1:20" x14ac:dyDescent="0.25">
      <c r="A956" s="5">
        <v>43637</v>
      </c>
      <c r="B956">
        <v>13.538</v>
      </c>
      <c r="C956">
        <v>14.048</v>
      </c>
      <c r="D956">
        <v>13.538</v>
      </c>
      <c r="E956">
        <v>14.01</v>
      </c>
      <c r="F956">
        <v>446416.66600000003</v>
      </c>
      <c r="G956">
        <v>0</v>
      </c>
      <c r="P956">
        <f t="shared" si="1014"/>
        <v>0.85098039215686172</v>
      </c>
      <c r="Q956">
        <f t="shared" si="1015"/>
        <v>379891.8294980388</v>
      </c>
      <c r="R956">
        <f t="shared" si="1016"/>
        <v>4982261.0616328064</v>
      </c>
      <c r="S956">
        <f t="shared" si="1017"/>
        <v>49.822610616328063</v>
      </c>
      <c r="T956">
        <f t="shared" si="1018"/>
        <v>4.9822610616328061E-2</v>
      </c>
    </row>
    <row r="957" spans="1:20" x14ac:dyDescent="0.25">
      <c r="A957" s="5">
        <v>43636</v>
      </c>
      <c r="B957">
        <v>13.711</v>
      </c>
      <c r="C957">
        <v>13.755000000000001</v>
      </c>
      <c r="D957">
        <v>13.173999999999999</v>
      </c>
      <c r="E957">
        <v>13.538</v>
      </c>
      <c r="F957">
        <v>320080.83299999998</v>
      </c>
      <c r="G957">
        <v>0</v>
      </c>
      <c r="P957">
        <f t="shared" si="1014"/>
        <v>0.25301204819277096</v>
      </c>
      <c r="Q957">
        <f t="shared" si="1015"/>
        <v>80984.30714457827</v>
      </c>
      <c r="R957">
        <f t="shared" si="1016"/>
        <v>4602369.2321347678</v>
      </c>
      <c r="S957">
        <f t="shared" si="1017"/>
        <v>46.023692321347681</v>
      </c>
      <c r="T957">
        <f t="shared" si="1018"/>
        <v>4.6023692321347683E-2</v>
      </c>
    </row>
    <row r="958" spans="1:20" x14ac:dyDescent="0.25">
      <c r="A958" s="5">
        <v>43635</v>
      </c>
      <c r="B958">
        <v>13.667999999999999</v>
      </c>
      <c r="C958">
        <v>13.978999999999999</v>
      </c>
      <c r="D958">
        <v>13.484</v>
      </c>
      <c r="E958">
        <v>13.718999999999999</v>
      </c>
      <c r="F958">
        <v>315635.48200000002</v>
      </c>
      <c r="G958">
        <v>0</v>
      </c>
      <c r="P958">
        <f t="shared" si="1014"/>
        <v>-5.0505050505051302E-2</v>
      </c>
      <c r="Q958">
        <f t="shared" si="1015"/>
        <v>-15941.185959596212</v>
      </c>
      <c r="R958">
        <f t="shared" si="1016"/>
        <v>4521384.9249901893</v>
      </c>
      <c r="S958">
        <f t="shared" si="1017"/>
        <v>45.213849249901891</v>
      </c>
      <c r="T958">
        <f t="shared" si="1018"/>
        <v>4.5213849249901891E-2</v>
      </c>
    </row>
    <row r="959" spans="1:20" x14ac:dyDescent="0.25">
      <c r="A959" s="5">
        <v>43634</v>
      </c>
      <c r="B959">
        <v>14.191000000000001</v>
      </c>
      <c r="C959">
        <v>14.224</v>
      </c>
      <c r="D959">
        <v>13.215999999999999</v>
      </c>
      <c r="E959">
        <v>13.667999999999999</v>
      </c>
      <c r="F959">
        <v>692760.86</v>
      </c>
      <c r="G959">
        <v>0</v>
      </c>
      <c r="P959">
        <f t="shared" ref="P959:P1022" si="1019">IF(C959=D959,0,((E959-D959)-(C959-E959))/(C959-D959))</f>
        <v>-0.10317460317460406</v>
      </c>
      <c r="Q959">
        <f t="shared" ref="Q959:Q1022" si="1020">F959*P959</f>
        <v>-71475.326825397438</v>
      </c>
      <c r="R959">
        <f t="shared" ref="R959:R1022" si="1021">R960+Q959</f>
        <v>4537326.1109497854</v>
      </c>
      <c r="S959">
        <f t="shared" ref="S959:S1022" si="1022">R959/100000</f>
        <v>45.373261109497854</v>
      </c>
      <c r="T959">
        <f t="shared" ref="T959:T1022" si="1023">S959/1000</f>
        <v>4.5373261109497853E-2</v>
      </c>
    </row>
    <row r="960" spans="1:20" x14ac:dyDescent="0.25">
      <c r="A960" s="5">
        <v>43633</v>
      </c>
      <c r="B960">
        <v>13.994</v>
      </c>
      <c r="C960">
        <v>14.723000000000001</v>
      </c>
      <c r="D960">
        <v>13.891</v>
      </c>
      <c r="E960">
        <v>14.196999999999999</v>
      </c>
      <c r="F960">
        <v>845362.36100000003</v>
      </c>
      <c r="G960">
        <v>0</v>
      </c>
      <c r="P960">
        <f t="shared" si="1019"/>
        <v>-0.26442307692307959</v>
      </c>
      <c r="Q960">
        <f t="shared" si="1020"/>
        <v>-223533.31661057918</v>
      </c>
      <c r="R960">
        <f t="shared" si="1021"/>
        <v>4608801.4377751825</v>
      </c>
      <c r="S960">
        <f t="shared" si="1022"/>
        <v>46.088014377751826</v>
      </c>
      <c r="T960">
        <f t="shared" si="1023"/>
        <v>4.6088014377751826E-2</v>
      </c>
    </row>
    <row r="961" spans="1:20" x14ac:dyDescent="0.25">
      <c r="A961" s="5">
        <v>43632</v>
      </c>
      <c r="B961">
        <v>13.94</v>
      </c>
      <c r="C961">
        <v>14.48</v>
      </c>
      <c r="D961">
        <v>13.76</v>
      </c>
      <c r="E961">
        <v>13.984999999999999</v>
      </c>
      <c r="F961">
        <v>750530.098</v>
      </c>
      <c r="G961">
        <v>0</v>
      </c>
      <c r="P961">
        <f t="shared" si="1019"/>
        <v>-0.37500000000000155</v>
      </c>
      <c r="Q961">
        <f t="shared" si="1020"/>
        <v>-281448.78675000119</v>
      </c>
      <c r="R961">
        <f t="shared" si="1021"/>
        <v>4832334.7543857619</v>
      </c>
      <c r="S961">
        <f t="shared" si="1022"/>
        <v>48.323347543857622</v>
      </c>
      <c r="T961">
        <f t="shared" si="1023"/>
        <v>4.8323347543857621E-2</v>
      </c>
    </row>
    <row r="962" spans="1:20" x14ac:dyDescent="0.25">
      <c r="A962" s="5">
        <v>43631</v>
      </c>
      <c r="B962">
        <v>13.442</v>
      </c>
      <c r="C962">
        <v>14.417999999999999</v>
      </c>
      <c r="D962">
        <v>13.442</v>
      </c>
      <c r="E962">
        <v>13.945</v>
      </c>
      <c r="F962">
        <v>1055592.314</v>
      </c>
      <c r="G962">
        <v>0</v>
      </c>
      <c r="P962">
        <f t="shared" si="1019"/>
        <v>3.073770491803398E-2</v>
      </c>
      <c r="Q962">
        <f t="shared" si="1020"/>
        <v>32446.485061476669</v>
      </c>
      <c r="R962">
        <f t="shared" si="1021"/>
        <v>5113783.5411357628</v>
      </c>
      <c r="S962">
        <f t="shared" si="1022"/>
        <v>51.137835411357628</v>
      </c>
      <c r="T962">
        <f t="shared" si="1023"/>
        <v>5.1137835411357628E-2</v>
      </c>
    </row>
    <row r="963" spans="1:20" x14ac:dyDescent="0.25">
      <c r="A963" s="5">
        <v>43630</v>
      </c>
      <c r="B963">
        <v>13.053000000000001</v>
      </c>
      <c r="C963">
        <v>13.510999999999999</v>
      </c>
      <c r="D963">
        <v>12.477</v>
      </c>
      <c r="E963">
        <v>13.442</v>
      </c>
      <c r="F963">
        <v>776671.34100000001</v>
      </c>
      <c r="G963">
        <v>0</v>
      </c>
      <c r="P963">
        <f t="shared" si="1019"/>
        <v>0.86653771760154907</v>
      </c>
      <c r="Q963">
        <f t="shared" si="1020"/>
        <v>673015.01115667447</v>
      </c>
      <c r="R963">
        <f t="shared" si="1021"/>
        <v>5081337.0560742859</v>
      </c>
      <c r="S963">
        <f t="shared" si="1022"/>
        <v>50.813370560742861</v>
      </c>
      <c r="T963">
        <f t="shared" si="1023"/>
        <v>5.0813370560742858E-2</v>
      </c>
    </row>
    <row r="964" spans="1:20" x14ac:dyDescent="0.25">
      <c r="A964" s="5">
        <v>43629</v>
      </c>
      <c r="B964">
        <v>12.913</v>
      </c>
      <c r="C964">
        <v>13.557</v>
      </c>
      <c r="D964">
        <v>12.615</v>
      </c>
      <c r="E964">
        <v>13.042</v>
      </c>
      <c r="F964">
        <v>870095.23699999996</v>
      </c>
      <c r="G964">
        <v>0</v>
      </c>
      <c r="P964">
        <f t="shared" si="1019"/>
        <v>-9.3418259023355571E-2</v>
      </c>
      <c r="Q964">
        <f t="shared" si="1020"/>
        <v>-81282.782225053947</v>
      </c>
      <c r="R964">
        <f t="shared" si="1021"/>
        <v>4408322.0449176114</v>
      </c>
      <c r="S964">
        <f t="shared" si="1022"/>
        <v>44.083220449176117</v>
      </c>
      <c r="T964">
        <f t="shared" si="1023"/>
        <v>4.4083220449176119E-2</v>
      </c>
    </row>
    <row r="965" spans="1:20" x14ac:dyDescent="0.25">
      <c r="A965" s="5">
        <v>43628</v>
      </c>
      <c r="B965">
        <v>12.27</v>
      </c>
      <c r="C965">
        <v>12.987</v>
      </c>
      <c r="D965">
        <v>12.055999999999999</v>
      </c>
      <c r="E965">
        <v>12.903</v>
      </c>
      <c r="F965">
        <v>768700.11199999996</v>
      </c>
      <c r="G965">
        <v>0</v>
      </c>
      <c r="P965">
        <f t="shared" si="1019"/>
        <v>0.81954887218045214</v>
      </c>
      <c r="Q965">
        <f t="shared" si="1020"/>
        <v>629987.30983458715</v>
      </c>
      <c r="R965">
        <f t="shared" si="1021"/>
        <v>4489604.8271426652</v>
      </c>
      <c r="S965">
        <f t="shared" si="1022"/>
        <v>44.89604827142665</v>
      </c>
      <c r="T965">
        <f t="shared" si="1023"/>
        <v>4.4896048271426653E-2</v>
      </c>
    </row>
    <row r="966" spans="1:20" x14ac:dyDescent="0.25">
      <c r="A966" s="5">
        <v>43627</v>
      </c>
      <c r="B966">
        <v>12.292</v>
      </c>
      <c r="C966">
        <v>12.42</v>
      </c>
      <c r="D966">
        <v>11.688000000000001</v>
      </c>
      <c r="E966">
        <v>12.268000000000001</v>
      </c>
      <c r="F966">
        <v>551517.81299999997</v>
      </c>
      <c r="G966">
        <v>0</v>
      </c>
      <c r="P966">
        <f t="shared" si="1019"/>
        <v>0.58469945355191422</v>
      </c>
      <c r="Q966">
        <f t="shared" si="1020"/>
        <v>322472.16388524679</v>
      </c>
      <c r="R966">
        <f t="shared" si="1021"/>
        <v>3859617.5173080778</v>
      </c>
      <c r="S966">
        <f t="shared" si="1022"/>
        <v>38.59617517308078</v>
      </c>
      <c r="T966">
        <f t="shared" si="1023"/>
        <v>3.8596175173080782E-2</v>
      </c>
    </row>
    <row r="967" spans="1:20" x14ac:dyDescent="0.25">
      <c r="A967" s="5">
        <v>43626</v>
      </c>
      <c r="B967">
        <v>11.446</v>
      </c>
      <c r="C967">
        <v>12.46</v>
      </c>
      <c r="D967">
        <v>11.340999999999999</v>
      </c>
      <c r="E967">
        <v>12.292</v>
      </c>
      <c r="F967">
        <v>765456.99300000002</v>
      </c>
      <c r="G967">
        <v>0</v>
      </c>
      <c r="P967">
        <f t="shared" si="1019"/>
        <v>0.69973190348525327</v>
      </c>
      <c r="Q967">
        <f t="shared" si="1020"/>
        <v>535614.67874798819</v>
      </c>
      <c r="R967">
        <f t="shared" si="1021"/>
        <v>3537145.3534228308</v>
      </c>
      <c r="S967">
        <f t="shared" si="1022"/>
        <v>35.371453534228309</v>
      </c>
      <c r="T967">
        <f t="shared" si="1023"/>
        <v>3.5371453534228312E-2</v>
      </c>
    </row>
    <row r="968" spans="1:20" x14ac:dyDescent="0.25">
      <c r="A968" s="5">
        <v>43625</v>
      </c>
      <c r="B968">
        <v>11.965999999999999</v>
      </c>
      <c r="C968">
        <v>12.071</v>
      </c>
      <c r="D968">
        <v>11.22</v>
      </c>
      <c r="E968">
        <v>11.475</v>
      </c>
      <c r="F968">
        <v>366312.64600000001</v>
      </c>
      <c r="G968">
        <v>0</v>
      </c>
      <c r="P968">
        <f t="shared" si="1019"/>
        <v>-0.40070505287896763</v>
      </c>
      <c r="Q968">
        <f t="shared" si="1020"/>
        <v>-146783.32818566455</v>
      </c>
      <c r="R968">
        <f t="shared" si="1021"/>
        <v>3001530.6746748425</v>
      </c>
      <c r="S968">
        <f t="shared" si="1022"/>
        <v>30.015306746748426</v>
      </c>
      <c r="T968">
        <f t="shared" si="1023"/>
        <v>3.0015306746748426E-2</v>
      </c>
    </row>
    <row r="969" spans="1:20" x14ac:dyDescent="0.25">
      <c r="A969" s="5">
        <v>43624</v>
      </c>
      <c r="B969">
        <v>12.167</v>
      </c>
      <c r="C969">
        <v>12.444000000000001</v>
      </c>
      <c r="D969">
        <v>11.675000000000001</v>
      </c>
      <c r="E969">
        <v>11.971</v>
      </c>
      <c r="F969">
        <v>413633.34399999998</v>
      </c>
      <c r="G969">
        <v>0</v>
      </c>
      <c r="P969">
        <f t="shared" si="1019"/>
        <v>-0.23016905071521632</v>
      </c>
      <c r="Q969">
        <f t="shared" si="1020"/>
        <v>-95205.594132640515</v>
      </c>
      <c r="R969">
        <f t="shared" si="1021"/>
        <v>3148314.002860507</v>
      </c>
      <c r="S969">
        <f t="shared" si="1022"/>
        <v>31.483140028605071</v>
      </c>
      <c r="T969">
        <f t="shared" si="1023"/>
        <v>3.1483140028605069E-2</v>
      </c>
    </row>
    <row r="970" spans="1:20" x14ac:dyDescent="0.25">
      <c r="A970" s="5">
        <v>43623</v>
      </c>
      <c r="B970">
        <v>11.651999999999999</v>
      </c>
      <c r="C970">
        <v>12.53</v>
      </c>
      <c r="D970">
        <v>11.441000000000001</v>
      </c>
      <c r="E970">
        <v>12.167</v>
      </c>
      <c r="F970">
        <v>800189.37899999996</v>
      </c>
      <c r="G970">
        <v>0</v>
      </c>
      <c r="P970">
        <f t="shared" si="1019"/>
        <v>0.33333333333333331</v>
      </c>
      <c r="Q970">
        <f t="shared" si="1020"/>
        <v>266729.79299999995</v>
      </c>
      <c r="R970">
        <f t="shared" si="1021"/>
        <v>3243519.5969931474</v>
      </c>
      <c r="S970">
        <f t="shared" si="1022"/>
        <v>32.43519596993147</v>
      </c>
      <c r="T970">
        <f t="shared" si="1023"/>
        <v>3.2435195969931468E-2</v>
      </c>
    </row>
    <row r="971" spans="1:20" x14ac:dyDescent="0.25">
      <c r="A971" s="5">
        <v>43622</v>
      </c>
      <c r="B971">
        <v>11.57</v>
      </c>
      <c r="C971">
        <v>11.836</v>
      </c>
      <c r="D971">
        <v>11.02</v>
      </c>
      <c r="E971">
        <v>11.628</v>
      </c>
      <c r="F971">
        <v>522951.95500000002</v>
      </c>
      <c r="G971">
        <v>0</v>
      </c>
      <c r="P971">
        <f t="shared" si="1019"/>
        <v>0.49019607843137253</v>
      </c>
      <c r="Q971">
        <f t="shared" si="1020"/>
        <v>256348.99754901961</v>
      </c>
      <c r="R971">
        <f t="shared" si="1021"/>
        <v>2976789.8039931473</v>
      </c>
      <c r="S971">
        <f t="shared" si="1022"/>
        <v>29.767898039931474</v>
      </c>
      <c r="T971">
        <f t="shared" si="1023"/>
        <v>2.9767898039931472E-2</v>
      </c>
    </row>
    <row r="972" spans="1:20" x14ac:dyDescent="0.25">
      <c r="A972" s="5">
        <v>43621</v>
      </c>
      <c r="B972">
        <v>11.481</v>
      </c>
      <c r="C972">
        <v>11.843999999999999</v>
      </c>
      <c r="D972">
        <v>11.170999999999999</v>
      </c>
      <c r="E972">
        <v>11.574999999999999</v>
      </c>
      <c r="F972">
        <v>603882.11100000003</v>
      </c>
      <c r="G972">
        <v>0</v>
      </c>
      <c r="P972">
        <f t="shared" si="1019"/>
        <v>0.20059435364041572</v>
      </c>
      <c r="Q972">
        <f t="shared" si="1020"/>
        <v>121135.3417310548</v>
      </c>
      <c r="R972">
        <f t="shared" si="1021"/>
        <v>2720440.8064441276</v>
      </c>
      <c r="S972">
        <f t="shared" si="1022"/>
        <v>27.204408064441274</v>
      </c>
      <c r="T972">
        <f t="shared" si="1023"/>
        <v>2.7204408064441275E-2</v>
      </c>
    </row>
    <row r="973" spans="1:20" x14ac:dyDescent="0.25">
      <c r="A973" s="5">
        <v>43620</v>
      </c>
      <c r="B973">
        <v>12.417999999999999</v>
      </c>
      <c r="C973">
        <v>12.492000000000001</v>
      </c>
      <c r="D973">
        <v>11.02</v>
      </c>
      <c r="E973">
        <v>11.475</v>
      </c>
      <c r="F973">
        <v>1108710.8419999999</v>
      </c>
      <c r="G973">
        <v>0</v>
      </c>
      <c r="P973">
        <f t="shared" si="1019"/>
        <v>-0.38179347826087001</v>
      </c>
      <c r="Q973">
        <f t="shared" si="1020"/>
        <v>-423298.56875271787</v>
      </c>
      <c r="R973">
        <f t="shared" si="1021"/>
        <v>2599305.4647130729</v>
      </c>
      <c r="S973">
        <f t="shared" si="1022"/>
        <v>25.99305464713073</v>
      </c>
      <c r="T973">
        <f t="shared" si="1023"/>
        <v>2.5993054647130729E-2</v>
      </c>
    </row>
    <row r="974" spans="1:20" x14ac:dyDescent="0.25">
      <c r="A974" s="5">
        <v>43619</v>
      </c>
      <c r="B974">
        <v>14.121</v>
      </c>
      <c r="C974">
        <v>14.135999999999999</v>
      </c>
      <c r="D974">
        <v>12.4</v>
      </c>
      <c r="E974">
        <v>12.417999999999999</v>
      </c>
      <c r="F974">
        <v>793633.11300000001</v>
      </c>
      <c r="G974">
        <v>0</v>
      </c>
      <c r="P974">
        <f t="shared" si="1019"/>
        <v>-0.97926267281106116</v>
      </c>
      <c r="Q974">
        <f t="shared" si="1020"/>
        <v>-777175.28346774296</v>
      </c>
      <c r="R974">
        <f t="shared" si="1021"/>
        <v>3022604.0334657906</v>
      </c>
      <c r="S974">
        <f t="shared" si="1022"/>
        <v>30.226040334657906</v>
      </c>
      <c r="T974">
        <f t="shared" si="1023"/>
        <v>3.0226040334657905E-2</v>
      </c>
    </row>
    <row r="975" spans="1:20" x14ac:dyDescent="0.25">
      <c r="A975" s="5">
        <v>43618</v>
      </c>
      <c r="B975">
        <v>13.705</v>
      </c>
      <c r="C975">
        <v>14.163</v>
      </c>
      <c r="D975">
        <v>13.6</v>
      </c>
      <c r="E975">
        <v>14.11</v>
      </c>
      <c r="F975">
        <v>543437.24199999997</v>
      </c>
      <c r="G975">
        <v>0</v>
      </c>
      <c r="P975">
        <f t="shared" si="1019"/>
        <v>0.81172291296624954</v>
      </c>
      <c r="Q975">
        <f t="shared" si="1020"/>
        <v>441120.46109058469</v>
      </c>
      <c r="R975">
        <f t="shared" si="1021"/>
        <v>3799779.3169335336</v>
      </c>
      <c r="S975">
        <f t="shared" si="1022"/>
        <v>37.997793169335338</v>
      </c>
      <c r="T975">
        <f t="shared" si="1023"/>
        <v>3.7997793169335339E-2</v>
      </c>
    </row>
    <row r="976" spans="1:20" x14ac:dyDescent="0.25">
      <c r="A976" s="5">
        <v>43617</v>
      </c>
      <c r="B976">
        <v>13.542999999999999</v>
      </c>
      <c r="C976">
        <v>14.371</v>
      </c>
      <c r="D976">
        <v>13.25</v>
      </c>
      <c r="E976">
        <v>13.709</v>
      </c>
      <c r="F976">
        <v>1203666.0930000001</v>
      </c>
      <c r="G976">
        <v>0</v>
      </c>
      <c r="P976">
        <f t="shared" si="1019"/>
        <v>-0.18108831400535336</v>
      </c>
      <c r="Q976">
        <f t="shared" si="1020"/>
        <v>-217969.86340678087</v>
      </c>
      <c r="R976">
        <f t="shared" si="1021"/>
        <v>3358658.8558429489</v>
      </c>
      <c r="S976">
        <f t="shared" si="1022"/>
        <v>33.58658855842949</v>
      </c>
      <c r="T976">
        <f t="shared" si="1023"/>
        <v>3.3586588558429491E-2</v>
      </c>
    </row>
    <row r="977" spans="1:20" x14ac:dyDescent="0.25">
      <c r="A977" s="5">
        <v>43616</v>
      </c>
      <c r="B977">
        <v>12.576000000000001</v>
      </c>
      <c r="C977">
        <v>13.638999999999999</v>
      </c>
      <c r="D977">
        <v>12.15</v>
      </c>
      <c r="E977">
        <v>13.542999999999999</v>
      </c>
      <c r="F977">
        <v>975227.56400000001</v>
      </c>
      <c r="G977">
        <v>0</v>
      </c>
      <c r="P977">
        <f t="shared" si="1019"/>
        <v>0.87105439892545311</v>
      </c>
      <c r="Q977">
        <f t="shared" si="1020"/>
        <v>849476.25957555382</v>
      </c>
      <c r="R977">
        <f t="shared" si="1021"/>
        <v>3576628.7192497295</v>
      </c>
      <c r="S977">
        <f t="shared" si="1022"/>
        <v>35.766287192497295</v>
      </c>
      <c r="T977">
        <f t="shared" si="1023"/>
        <v>3.5766287192497297E-2</v>
      </c>
    </row>
    <row r="978" spans="1:20" x14ac:dyDescent="0.25">
      <c r="A978" s="5">
        <v>43615</v>
      </c>
      <c r="B978">
        <v>13.629</v>
      </c>
      <c r="C978">
        <v>14.962</v>
      </c>
      <c r="D978">
        <v>12.129</v>
      </c>
      <c r="E978">
        <v>12.574999999999999</v>
      </c>
      <c r="F978">
        <v>2125262.9739999999</v>
      </c>
      <c r="G978">
        <v>0</v>
      </c>
      <c r="P978">
        <f t="shared" si="1019"/>
        <v>-0.68513942816801998</v>
      </c>
      <c r="Q978">
        <f t="shared" si="1020"/>
        <v>-1456101.4587130256</v>
      </c>
      <c r="R978">
        <f t="shared" si="1021"/>
        <v>2727152.4596741758</v>
      </c>
      <c r="S978">
        <f t="shared" si="1022"/>
        <v>27.271524596741759</v>
      </c>
      <c r="T978">
        <f t="shared" si="1023"/>
        <v>2.7271524596741759E-2</v>
      </c>
    </row>
    <row r="979" spans="1:20" x14ac:dyDescent="0.25">
      <c r="A979" s="5">
        <v>43614</v>
      </c>
      <c r="B979">
        <v>12.654</v>
      </c>
      <c r="C979">
        <v>14.47</v>
      </c>
      <c r="D979">
        <v>11.739000000000001</v>
      </c>
      <c r="E979">
        <v>13.632999999999999</v>
      </c>
      <c r="F979">
        <v>1940199.4709999999</v>
      </c>
      <c r="G979">
        <v>0</v>
      </c>
      <c r="P979">
        <f t="shared" si="1019"/>
        <v>0.38703771512266455</v>
      </c>
      <c r="Q979">
        <f t="shared" si="1020"/>
        <v>750930.37013804237</v>
      </c>
      <c r="R979">
        <f t="shared" si="1021"/>
        <v>4183253.9183872016</v>
      </c>
      <c r="S979">
        <f t="shared" si="1022"/>
        <v>41.832539183872015</v>
      </c>
      <c r="T979">
        <f t="shared" si="1023"/>
        <v>4.1832539183872017E-2</v>
      </c>
    </row>
    <row r="980" spans="1:20" x14ac:dyDescent="0.25">
      <c r="A980" s="5">
        <v>43613</v>
      </c>
      <c r="B980">
        <v>12.36</v>
      </c>
      <c r="C980">
        <v>12.824999999999999</v>
      </c>
      <c r="D980">
        <v>11.936999999999999</v>
      </c>
      <c r="E980">
        <v>12.662000000000001</v>
      </c>
      <c r="F980">
        <v>808033.19499999995</v>
      </c>
      <c r="G980">
        <v>0</v>
      </c>
      <c r="P980">
        <f t="shared" si="1019"/>
        <v>0.6328828828828863</v>
      </c>
      <c r="Q980">
        <f t="shared" si="1020"/>
        <v>511390.37791666941</v>
      </c>
      <c r="R980">
        <f t="shared" si="1021"/>
        <v>3432323.5482491595</v>
      </c>
      <c r="S980">
        <f t="shared" si="1022"/>
        <v>34.323235482491597</v>
      </c>
      <c r="T980">
        <f t="shared" si="1023"/>
        <v>3.4323235482491596E-2</v>
      </c>
    </row>
    <row r="981" spans="1:20" x14ac:dyDescent="0.25">
      <c r="A981" s="5">
        <v>43612</v>
      </c>
      <c r="B981">
        <v>11.824999999999999</v>
      </c>
      <c r="C981">
        <v>12.798999999999999</v>
      </c>
      <c r="D981">
        <v>11.813000000000001</v>
      </c>
      <c r="E981">
        <v>12.363</v>
      </c>
      <c r="F981">
        <v>919217.152</v>
      </c>
      <c r="G981">
        <v>0</v>
      </c>
      <c r="P981">
        <f t="shared" si="1019"/>
        <v>0.1156186612576056</v>
      </c>
      <c r="Q981">
        <f t="shared" si="1020"/>
        <v>106278.65651926896</v>
      </c>
      <c r="R981">
        <f t="shared" si="1021"/>
        <v>2920933.17033249</v>
      </c>
      <c r="S981">
        <f t="shared" si="1022"/>
        <v>29.209331703324899</v>
      </c>
      <c r="T981">
        <f t="shared" si="1023"/>
        <v>2.92093317033249E-2</v>
      </c>
    </row>
    <row r="982" spans="1:20" x14ac:dyDescent="0.25">
      <c r="A982" s="5">
        <v>43611</v>
      </c>
      <c r="B982">
        <v>11.401999999999999</v>
      </c>
      <c r="C982">
        <v>12.103999999999999</v>
      </c>
      <c r="D982">
        <v>11.118</v>
      </c>
      <c r="E982">
        <v>11.836</v>
      </c>
      <c r="F982">
        <v>559386.46799999999</v>
      </c>
      <c r="G982">
        <v>0</v>
      </c>
      <c r="P982">
        <f t="shared" si="1019"/>
        <v>0.45638945233265882</v>
      </c>
      <c r="Q982">
        <f t="shared" si="1020"/>
        <v>255298.08377282036</v>
      </c>
      <c r="R982">
        <f t="shared" si="1021"/>
        <v>2814654.5138132209</v>
      </c>
      <c r="S982">
        <f t="shared" si="1022"/>
        <v>28.146545138132208</v>
      </c>
      <c r="T982">
        <f t="shared" si="1023"/>
        <v>2.8146545138132209E-2</v>
      </c>
    </row>
    <row r="983" spans="1:20" x14ac:dyDescent="0.25">
      <c r="A983" s="5">
        <v>43610</v>
      </c>
      <c r="B983">
        <v>11.525</v>
      </c>
      <c r="C983">
        <v>11.683</v>
      </c>
      <c r="D983">
        <v>11.313000000000001</v>
      </c>
      <c r="E983">
        <v>11.416</v>
      </c>
      <c r="F983">
        <v>321760.13400000002</v>
      </c>
      <c r="G983">
        <v>0</v>
      </c>
      <c r="P983">
        <f t="shared" si="1019"/>
        <v>-0.44324324324324338</v>
      </c>
      <c r="Q983">
        <f t="shared" si="1020"/>
        <v>-142618.00534054061</v>
      </c>
      <c r="R983">
        <f t="shared" si="1021"/>
        <v>2559356.4300404005</v>
      </c>
      <c r="S983">
        <f t="shared" si="1022"/>
        <v>25.593564300404005</v>
      </c>
      <c r="T983">
        <f t="shared" si="1023"/>
        <v>2.5593564300404003E-2</v>
      </c>
    </row>
    <row r="984" spans="1:20" x14ac:dyDescent="0.25">
      <c r="A984" s="5">
        <v>43609</v>
      </c>
      <c r="B984">
        <v>11.401999999999999</v>
      </c>
      <c r="C984">
        <v>11.927</v>
      </c>
      <c r="D984">
        <v>11.07</v>
      </c>
      <c r="E984">
        <v>11.519</v>
      </c>
      <c r="F984">
        <v>556416.54799999995</v>
      </c>
      <c r="G984">
        <v>0</v>
      </c>
      <c r="P984">
        <f t="shared" si="1019"/>
        <v>4.7841306884481218E-2</v>
      </c>
      <c r="Q984">
        <f t="shared" si="1020"/>
        <v>26619.694828471671</v>
      </c>
      <c r="R984">
        <f t="shared" si="1021"/>
        <v>2701974.4353809413</v>
      </c>
      <c r="S984">
        <f t="shared" si="1022"/>
        <v>27.019744353809411</v>
      </c>
      <c r="T984">
        <f t="shared" si="1023"/>
        <v>2.7019744353809411E-2</v>
      </c>
    </row>
    <row r="985" spans="1:20" x14ac:dyDescent="0.25">
      <c r="A985" s="5">
        <v>43608</v>
      </c>
      <c r="B985">
        <v>11.151999999999999</v>
      </c>
      <c r="C985">
        <v>11.472</v>
      </c>
      <c r="D985">
        <v>10.704000000000001</v>
      </c>
      <c r="E985">
        <v>11.411</v>
      </c>
      <c r="F985">
        <v>611529.69499999995</v>
      </c>
      <c r="G985">
        <v>0</v>
      </c>
      <c r="P985">
        <f t="shared" si="1019"/>
        <v>0.84114583333333326</v>
      </c>
      <c r="Q985">
        <f t="shared" si="1020"/>
        <v>514385.65490885411</v>
      </c>
      <c r="R985">
        <f t="shared" si="1021"/>
        <v>2675354.7405524696</v>
      </c>
      <c r="S985">
        <f t="shared" si="1022"/>
        <v>26.753547405524696</v>
      </c>
      <c r="T985">
        <f t="shared" si="1023"/>
        <v>2.6753547405524696E-2</v>
      </c>
    </row>
    <row r="986" spans="1:20" x14ac:dyDescent="0.25">
      <c r="A986" s="5">
        <v>43607</v>
      </c>
      <c r="B986">
        <v>12.08</v>
      </c>
      <c r="C986">
        <v>12.314</v>
      </c>
      <c r="D986">
        <v>11.05</v>
      </c>
      <c r="E986">
        <v>11.154</v>
      </c>
      <c r="F986">
        <v>763204.82900000003</v>
      </c>
      <c r="G986">
        <v>0</v>
      </c>
      <c r="P986">
        <f t="shared" si="1019"/>
        <v>-0.83544303797468467</v>
      </c>
      <c r="Q986">
        <f t="shared" si="1020"/>
        <v>-637614.16093670973</v>
      </c>
      <c r="R986">
        <f t="shared" si="1021"/>
        <v>2160969.0856436156</v>
      </c>
      <c r="S986">
        <f t="shared" si="1022"/>
        <v>21.609690856436156</v>
      </c>
      <c r="T986">
        <f t="shared" si="1023"/>
        <v>2.1609690856436155E-2</v>
      </c>
    </row>
    <row r="987" spans="1:20" x14ac:dyDescent="0.25">
      <c r="A987" s="5">
        <v>43606</v>
      </c>
      <c r="B987">
        <v>11.997999999999999</v>
      </c>
      <c r="C987">
        <v>12.571999999999999</v>
      </c>
      <c r="D987">
        <v>11.670999999999999</v>
      </c>
      <c r="E987">
        <v>12.079000000000001</v>
      </c>
      <c r="F987">
        <v>1007072.877</v>
      </c>
      <c r="G987">
        <v>0</v>
      </c>
      <c r="P987">
        <f t="shared" si="1019"/>
        <v>-9.4339622641506457E-2</v>
      </c>
      <c r="Q987">
        <f t="shared" si="1020"/>
        <v>-95006.875188676247</v>
      </c>
      <c r="R987">
        <f t="shared" si="1021"/>
        <v>2798583.2465803251</v>
      </c>
      <c r="S987">
        <f t="shared" si="1022"/>
        <v>27.985832465803252</v>
      </c>
      <c r="T987">
        <f t="shared" si="1023"/>
        <v>2.7985832465803252E-2</v>
      </c>
    </row>
    <row r="988" spans="1:20" x14ac:dyDescent="0.25">
      <c r="A988" s="5">
        <v>43605</v>
      </c>
      <c r="B988">
        <v>11.651</v>
      </c>
      <c r="C988">
        <v>12.455</v>
      </c>
      <c r="D988">
        <v>10.733000000000001</v>
      </c>
      <c r="E988">
        <v>11.997999999999999</v>
      </c>
      <c r="F988">
        <v>1476745.1910000001</v>
      </c>
      <c r="G988">
        <v>0</v>
      </c>
      <c r="P988">
        <f t="shared" si="1019"/>
        <v>0.46922183507549259</v>
      </c>
      <c r="Q988">
        <f t="shared" si="1020"/>
        <v>692921.08845992887</v>
      </c>
      <c r="R988">
        <f t="shared" si="1021"/>
        <v>2893590.1217690012</v>
      </c>
      <c r="S988">
        <f t="shared" si="1022"/>
        <v>28.935901217690013</v>
      </c>
      <c r="T988">
        <f t="shared" si="1023"/>
        <v>2.8935901217690012E-2</v>
      </c>
    </row>
    <row r="989" spans="1:20" x14ac:dyDescent="0.25">
      <c r="A989" s="5">
        <v>43604</v>
      </c>
      <c r="B989">
        <v>10.702</v>
      </c>
      <c r="C989">
        <v>11.949</v>
      </c>
      <c r="D989">
        <v>10.66</v>
      </c>
      <c r="E989">
        <v>11.654999999999999</v>
      </c>
      <c r="F989">
        <v>1209699.3959999999</v>
      </c>
      <c r="G989">
        <v>0</v>
      </c>
      <c r="P989">
        <f t="shared" si="1019"/>
        <v>0.54383242823894407</v>
      </c>
      <c r="Q989">
        <f t="shared" si="1020"/>
        <v>657873.75996586401</v>
      </c>
      <c r="R989">
        <f t="shared" si="1021"/>
        <v>2200669.0333090723</v>
      </c>
      <c r="S989">
        <f t="shared" si="1022"/>
        <v>22.006690333090724</v>
      </c>
      <c r="T989">
        <f t="shared" si="1023"/>
        <v>2.2006690333090724E-2</v>
      </c>
    </row>
    <row r="990" spans="1:20" x14ac:dyDescent="0.25">
      <c r="A990" s="5">
        <v>43603</v>
      </c>
      <c r="B990">
        <v>11.257</v>
      </c>
      <c r="C990">
        <v>11.455</v>
      </c>
      <c r="D990">
        <v>10.52</v>
      </c>
      <c r="E990">
        <v>10.7</v>
      </c>
      <c r="F990">
        <v>839477.96299999999</v>
      </c>
      <c r="G990">
        <v>0</v>
      </c>
      <c r="P990">
        <f t="shared" si="1019"/>
        <v>-0.61497326203208635</v>
      </c>
      <c r="Q990">
        <f t="shared" si="1020"/>
        <v>-516256.50131016108</v>
      </c>
      <c r="R990">
        <f t="shared" si="1021"/>
        <v>1542795.273343208</v>
      </c>
      <c r="S990">
        <f t="shared" si="1022"/>
        <v>15.427952733432081</v>
      </c>
      <c r="T990">
        <f t="shared" si="1023"/>
        <v>1.5427952733432081E-2</v>
      </c>
    </row>
    <row r="991" spans="1:20" x14ac:dyDescent="0.25">
      <c r="A991" s="5">
        <v>43602</v>
      </c>
      <c r="B991">
        <v>12.09</v>
      </c>
      <c r="C991">
        <v>12.284000000000001</v>
      </c>
      <c r="D991">
        <v>10.465999999999999</v>
      </c>
      <c r="E991">
        <v>11.265000000000001</v>
      </c>
      <c r="F991">
        <v>1484713.87</v>
      </c>
      <c r="G991">
        <v>0</v>
      </c>
      <c r="P991">
        <f t="shared" si="1019"/>
        <v>-0.12101210121012029</v>
      </c>
      <c r="Q991">
        <f t="shared" si="1020"/>
        <v>-179668.34510450938</v>
      </c>
      <c r="R991">
        <f t="shared" si="1021"/>
        <v>2059051.7746533691</v>
      </c>
      <c r="S991">
        <f t="shared" si="1022"/>
        <v>20.590517746533692</v>
      </c>
      <c r="T991">
        <f t="shared" si="1023"/>
        <v>2.0590517746533692E-2</v>
      </c>
    </row>
    <row r="992" spans="1:20" x14ac:dyDescent="0.25">
      <c r="A992" s="5">
        <v>43601</v>
      </c>
      <c r="B992">
        <v>12.835000000000001</v>
      </c>
      <c r="C992">
        <v>13.869</v>
      </c>
      <c r="D992">
        <v>11.337999999999999</v>
      </c>
      <c r="E992">
        <v>12.089</v>
      </c>
      <c r="F992">
        <v>2118855.9350000001</v>
      </c>
      <c r="G992">
        <v>0</v>
      </c>
      <c r="P992">
        <f t="shared" si="1019"/>
        <v>-0.40655867246147687</v>
      </c>
      <c r="Q992">
        <f t="shared" si="1020"/>
        <v>-861439.25607072131</v>
      </c>
      <c r="R992">
        <f t="shared" si="1021"/>
        <v>2238720.1197578786</v>
      </c>
      <c r="S992">
        <f t="shared" si="1022"/>
        <v>22.387201197578786</v>
      </c>
      <c r="T992">
        <f t="shared" si="1023"/>
        <v>2.2387201197578786E-2</v>
      </c>
    </row>
    <row r="993" spans="1:20" x14ac:dyDescent="0.25">
      <c r="A993" s="5">
        <v>43600</v>
      </c>
      <c r="B993">
        <v>11.05</v>
      </c>
      <c r="C993">
        <v>12.957000000000001</v>
      </c>
      <c r="D993">
        <v>10.896000000000001</v>
      </c>
      <c r="E993">
        <v>12.85</v>
      </c>
      <c r="F993">
        <v>929662.77099999995</v>
      </c>
      <c r="G993">
        <v>0</v>
      </c>
      <c r="P993">
        <f t="shared" si="1019"/>
        <v>0.89616690926734488</v>
      </c>
      <c r="Q993">
        <f t="shared" si="1020"/>
        <v>833133.0121479854</v>
      </c>
      <c r="R993">
        <f t="shared" si="1021"/>
        <v>3100159.3758286</v>
      </c>
      <c r="S993">
        <f t="shared" si="1022"/>
        <v>31.001593758285999</v>
      </c>
      <c r="T993">
        <f t="shared" si="1023"/>
        <v>3.1001593758285997E-2</v>
      </c>
    </row>
    <row r="994" spans="1:20" x14ac:dyDescent="0.25">
      <c r="A994" s="5">
        <v>43599</v>
      </c>
      <c r="B994">
        <v>9.7129999999999992</v>
      </c>
      <c r="C994">
        <v>11.138</v>
      </c>
      <c r="D994">
        <v>9.6579999999999995</v>
      </c>
      <c r="E994">
        <v>11.051</v>
      </c>
      <c r="F994">
        <v>1310373.4939999999</v>
      </c>
      <c r="G994">
        <v>0</v>
      </c>
      <c r="P994">
        <f t="shared" si="1019"/>
        <v>0.88243243243243286</v>
      </c>
      <c r="Q994">
        <f t="shared" si="1020"/>
        <v>1156316.069705406</v>
      </c>
      <c r="R994">
        <f t="shared" si="1021"/>
        <v>2267026.3636806146</v>
      </c>
      <c r="S994">
        <f t="shared" si="1022"/>
        <v>22.670263636806148</v>
      </c>
      <c r="T994">
        <f t="shared" si="1023"/>
        <v>2.2670263636806149E-2</v>
      </c>
    </row>
    <row r="995" spans="1:20" x14ac:dyDescent="0.25">
      <c r="A995" s="5">
        <v>43598</v>
      </c>
      <c r="B995">
        <v>9.3119999999999994</v>
      </c>
      <c r="C995">
        <v>9.9990000000000006</v>
      </c>
      <c r="D995">
        <v>9.2509999999999994</v>
      </c>
      <c r="E995">
        <v>9.7070000000000007</v>
      </c>
      <c r="F995">
        <v>625944.01300000004</v>
      </c>
      <c r="G995">
        <v>0</v>
      </c>
      <c r="P995">
        <f t="shared" si="1019"/>
        <v>0.21925133689839738</v>
      </c>
      <c r="Q995">
        <f t="shared" si="1020"/>
        <v>137239.06167379784</v>
      </c>
      <c r="R995">
        <f t="shared" si="1021"/>
        <v>1110710.2939752087</v>
      </c>
      <c r="S995">
        <f t="shared" si="1022"/>
        <v>11.107102939752087</v>
      </c>
      <c r="T995">
        <f t="shared" si="1023"/>
        <v>1.1107102939752088E-2</v>
      </c>
    </row>
    <row r="996" spans="1:20" x14ac:dyDescent="0.25">
      <c r="A996" s="5">
        <v>43597</v>
      </c>
      <c r="B996">
        <v>9.6579999999999995</v>
      </c>
      <c r="C996">
        <v>10.07</v>
      </c>
      <c r="D996">
        <v>8.9830000000000005</v>
      </c>
      <c r="E996">
        <v>9.3230000000000004</v>
      </c>
      <c r="F996">
        <v>812739.20499999996</v>
      </c>
      <c r="G996">
        <v>0</v>
      </c>
      <c r="P996">
        <f t="shared" si="1019"/>
        <v>-0.37442502299908015</v>
      </c>
      <c r="Q996">
        <f t="shared" si="1020"/>
        <v>-304309.8955243791</v>
      </c>
      <c r="R996">
        <f t="shared" si="1021"/>
        <v>973471.23230141075</v>
      </c>
      <c r="S996">
        <f t="shared" si="1022"/>
        <v>9.7347123230141079</v>
      </c>
      <c r="T996">
        <f t="shared" si="1023"/>
        <v>9.734712323014108E-3</v>
      </c>
    </row>
    <row r="997" spans="1:20" x14ac:dyDescent="0.25">
      <c r="A997" s="5">
        <v>43596</v>
      </c>
      <c r="B997">
        <v>8.782</v>
      </c>
      <c r="C997">
        <v>10.23</v>
      </c>
      <c r="D997">
        <v>8.7669999999999995</v>
      </c>
      <c r="E997">
        <v>9.6370000000000005</v>
      </c>
      <c r="F997">
        <v>987767.79099999997</v>
      </c>
      <c r="G997">
        <v>0</v>
      </c>
      <c r="P997">
        <f t="shared" si="1019"/>
        <v>0.18933697881066361</v>
      </c>
      <c r="Q997">
        <f t="shared" si="1020"/>
        <v>187020.96931442298</v>
      </c>
      <c r="R997">
        <f t="shared" si="1021"/>
        <v>1277781.1278257899</v>
      </c>
      <c r="S997">
        <f t="shared" si="1022"/>
        <v>12.777811278257898</v>
      </c>
      <c r="T997">
        <f t="shared" si="1023"/>
        <v>1.2777811278257898E-2</v>
      </c>
    </row>
    <row r="998" spans="1:20" x14ac:dyDescent="0.25">
      <c r="A998" s="5">
        <v>43595</v>
      </c>
      <c r="B998">
        <v>8.6549999999999994</v>
      </c>
      <c r="C998">
        <v>9.0890000000000004</v>
      </c>
      <c r="D998">
        <v>8.3330000000000002</v>
      </c>
      <c r="E998">
        <v>8.7750000000000004</v>
      </c>
      <c r="F998">
        <v>527103.35800000001</v>
      </c>
      <c r="G998">
        <v>0</v>
      </c>
      <c r="P998">
        <f t="shared" si="1019"/>
        <v>0.16931216931216941</v>
      </c>
      <c r="Q998">
        <f t="shared" si="1020"/>
        <v>89245.012994709046</v>
      </c>
      <c r="R998">
        <f t="shared" si="1021"/>
        <v>1090760.1585113669</v>
      </c>
      <c r="S998">
        <f t="shared" si="1022"/>
        <v>10.907601585113669</v>
      </c>
      <c r="T998">
        <f t="shared" si="1023"/>
        <v>1.0907601585113669E-2</v>
      </c>
    </row>
    <row r="999" spans="1:20" x14ac:dyDescent="0.25">
      <c r="A999" s="5">
        <v>43594</v>
      </c>
      <c r="B999">
        <v>9.0510000000000002</v>
      </c>
      <c r="C999">
        <v>9.3130000000000006</v>
      </c>
      <c r="D999">
        <v>8.5</v>
      </c>
      <c r="E999">
        <v>8.6630000000000003</v>
      </c>
      <c r="F999">
        <v>460548.13199999998</v>
      </c>
      <c r="G999">
        <v>0</v>
      </c>
      <c r="P999">
        <f t="shared" si="1019"/>
        <v>-0.59901599015990126</v>
      </c>
      <c r="Q999">
        <f t="shared" si="1020"/>
        <v>-275875.69530627289</v>
      </c>
      <c r="R999">
        <f t="shared" si="1021"/>
        <v>1001515.145516658</v>
      </c>
      <c r="S999">
        <f t="shared" si="1022"/>
        <v>10.015151455166579</v>
      </c>
      <c r="T999">
        <f t="shared" si="1023"/>
        <v>1.001515145516658E-2</v>
      </c>
    </row>
    <row r="1000" spans="1:20" x14ac:dyDescent="0.25">
      <c r="A1000" s="5">
        <v>43593</v>
      </c>
      <c r="B1000">
        <v>8.907</v>
      </c>
      <c r="C1000">
        <v>9.07</v>
      </c>
      <c r="D1000">
        <v>8.6999999999999993</v>
      </c>
      <c r="E1000">
        <v>9.0429999999999993</v>
      </c>
      <c r="F1000">
        <v>258303.00399999999</v>
      </c>
      <c r="G1000">
        <v>0</v>
      </c>
      <c r="P1000">
        <f t="shared" si="1019"/>
        <v>0.85405405405404888</v>
      </c>
      <c r="Q1000">
        <f t="shared" si="1020"/>
        <v>220604.72774053918</v>
      </c>
      <c r="R1000">
        <f t="shared" si="1021"/>
        <v>1277390.8408229309</v>
      </c>
      <c r="S1000">
        <f t="shared" si="1022"/>
        <v>12.773908408229309</v>
      </c>
      <c r="T1000">
        <f t="shared" si="1023"/>
        <v>1.2773908408229308E-2</v>
      </c>
    </row>
    <row r="1001" spans="1:20" x14ac:dyDescent="0.25">
      <c r="A1001" s="5">
        <v>43592</v>
      </c>
      <c r="B1001">
        <v>9.1609999999999996</v>
      </c>
      <c r="C1001">
        <v>9.423</v>
      </c>
      <c r="D1001">
        <v>8.8640000000000008</v>
      </c>
      <c r="E1001">
        <v>8.9139999999999997</v>
      </c>
      <c r="F1001">
        <v>451101.89199999999</v>
      </c>
      <c r="G1001">
        <v>0</v>
      </c>
      <c r="P1001">
        <f t="shared" si="1019"/>
        <v>-0.82110912343470843</v>
      </c>
      <c r="Q1001">
        <f t="shared" si="1020"/>
        <v>-370403.87911985849</v>
      </c>
      <c r="R1001">
        <f t="shared" si="1021"/>
        <v>1056786.1130823917</v>
      </c>
      <c r="S1001">
        <f t="shared" si="1022"/>
        <v>10.567861130823916</v>
      </c>
      <c r="T1001">
        <f t="shared" si="1023"/>
        <v>1.0567861130823916E-2</v>
      </c>
    </row>
    <row r="1002" spans="1:20" x14ac:dyDescent="0.25">
      <c r="A1002" s="5">
        <v>43591</v>
      </c>
      <c r="B1002">
        <v>9.2409999999999997</v>
      </c>
      <c r="C1002">
        <v>9.3870000000000005</v>
      </c>
      <c r="D1002">
        <v>8.8179999999999996</v>
      </c>
      <c r="E1002">
        <v>9.1579999999999995</v>
      </c>
      <c r="F1002">
        <v>455897.25199999998</v>
      </c>
      <c r="G1002">
        <v>0</v>
      </c>
      <c r="P1002">
        <f t="shared" si="1019"/>
        <v>0.1950790861159907</v>
      </c>
      <c r="Q1002">
        <f t="shared" si="1020"/>
        <v>88936.019282951514</v>
      </c>
      <c r="R1002">
        <f t="shared" si="1021"/>
        <v>1427189.9922022503</v>
      </c>
      <c r="S1002">
        <f t="shared" si="1022"/>
        <v>14.271899922022502</v>
      </c>
      <c r="T1002">
        <f t="shared" si="1023"/>
        <v>1.4271899922022503E-2</v>
      </c>
    </row>
    <row r="1003" spans="1:20" x14ac:dyDescent="0.25">
      <c r="A1003" s="5">
        <v>43590</v>
      </c>
      <c r="B1003">
        <v>9.4559999999999995</v>
      </c>
      <c r="C1003">
        <v>9.6</v>
      </c>
      <c r="D1003">
        <v>9.1630000000000003</v>
      </c>
      <c r="E1003">
        <v>9.2349999999999994</v>
      </c>
      <c r="F1003">
        <v>276635.84499999997</v>
      </c>
      <c r="G1003">
        <v>0</v>
      </c>
      <c r="P1003">
        <f t="shared" si="1019"/>
        <v>-0.67048054919908795</v>
      </c>
      <c r="Q1003">
        <f t="shared" si="1020"/>
        <v>-185478.95328375374</v>
      </c>
      <c r="R1003">
        <f t="shared" si="1021"/>
        <v>1338253.9729192988</v>
      </c>
      <c r="S1003">
        <f t="shared" si="1022"/>
        <v>13.382539729192988</v>
      </c>
      <c r="T1003">
        <f t="shared" si="1023"/>
        <v>1.3382539729192988E-2</v>
      </c>
    </row>
    <row r="1004" spans="1:20" x14ac:dyDescent="0.25">
      <c r="A1004" s="5">
        <v>43589</v>
      </c>
      <c r="B1004">
        <v>9.9450000000000003</v>
      </c>
      <c r="C1004">
        <v>10.16</v>
      </c>
      <c r="D1004">
        <v>9.2100000000000009</v>
      </c>
      <c r="E1004">
        <v>9.4469999999999992</v>
      </c>
      <c r="F1004">
        <v>463890.13799999998</v>
      </c>
      <c r="G1004">
        <v>0</v>
      </c>
      <c r="P1004">
        <f t="shared" si="1019"/>
        <v>-0.50105263157895052</v>
      </c>
      <c r="Q1004">
        <f t="shared" si="1020"/>
        <v>-232433.3744084225</v>
      </c>
      <c r="R1004">
        <f t="shared" si="1021"/>
        <v>1523732.9262030525</v>
      </c>
      <c r="S1004">
        <f t="shared" si="1022"/>
        <v>15.237329262030524</v>
      </c>
      <c r="T1004">
        <f t="shared" si="1023"/>
        <v>1.5237329262030525E-2</v>
      </c>
    </row>
    <row r="1005" spans="1:20" x14ac:dyDescent="0.25">
      <c r="A1005" s="5">
        <v>43588</v>
      </c>
      <c r="B1005">
        <v>9.8309999999999995</v>
      </c>
      <c r="C1005">
        <v>10.15</v>
      </c>
      <c r="D1005">
        <v>9.7100000000000009</v>
      </c>
      <c r="E1005">
        <v>9.9290000000000003</v>
      </c>
      <c r="F1005">
        <v>472296.08199999999</v>
      </c>
      <c r="G1005">
        <v>0</v>
      </c>
      <c r="P1005">
        <f t="shared" si="1019"/>
        <v>-4.5454545454560683E-3</v>
      </c>
      <c r="Q1005">
        <f t="shared" si="1020"/>
        <v>-2146.800372727992</v>
      </c>
      <c r="R1005">
        <f t="shared" si="1021"/>
        <v>1756166.300611475</v>
      </c>
      <c r="S1005">
        <f t="shared" si="1022"/>
        <v>17.561663006114749</v>
      </c>
      <c r="T1005">
        <f t="shared" si="1023"/>
        <v>1.7561663006114749E-2</v>
      </c>
    </row>
    <row r="1006" spans="1:20" x14ac:dyDescent="0.25">
      <c r="A1006" s="5">
        <v>43587</v>
      </c>
      <c r="B1006">
        <v>9.7070000000000007</v>
      </c>
      <c r="C1006">
        <v>10.119</v>
      </c>
      <c r="D1006">
        <v>9.6020000000000003</v>
      </c>
      <c r="E1006">
        <v>9.8309999999999995</v>
      </c>
      <c r="F1006">
        <v>289341.95899999997</v>
      </c>
      <c r="G1006">
        <v>0</v>
      </c>
      <c r="P1006">
        <f t="shared" si="1019"/>
        <v>-0.11411992263056309</v>
      </c>
      <c r="Q1006">
        <f t="shared" si="1020"/>
        <v>-33019.681974855557</v>
      </c>
      <c r="R1006">
        <f t="shared" si="1021"/>
        <v>1758313.1009842029</v>
      </c>
      <c r="S1006">
        <f t="shared" si="1022"/>
        <v>17.583131009842031</v>
      </c>
      <c r="T1006">
        <f t="shared" si="1023"/>
        <v>1.7583131009842032E-2</v>
      </c>
    </row>
    <row r="1007" spans="1:20" x14ac:dyDescent="0.25">
      <c r="A1007" s="5">
        <v>43586</v>
      </c>
      <c r="B1007">
        <v>9.734</v>
      </c>
      <c r="C1007">
        <v>9.8610000000000007</v>
      </c>
      <c r="D1007">
        <v>9.4429999999999996</v>
      </c>
      <c r="E1007">
        <v>9.7029999999999994</v>
      </c>
      <c r="F1007">
        <v>358496.087</v>
      </c>
      <c r="G1007">
        <v>0</v>
      </c>
      <c r="P1007">
        <f t="shared" si="1019"/>
        <v>0.24401913875597675</v>
      </c>
      <c r="Q1007">
        <f t="shared" si="1020"/>
        <v>87479.906397127706</v>
      </c>
      <c r="R1007">
        <f t="shared" si="1021"/>
        <v>1791332.7829590584</v>
      </c>
      <c r="S1007">
        <f t="shared" si="1022"/>
        <v>17.913327829590585</v>
      </c>
      <c r="T1007">
        <f t="shared" si="1023"/>
        <v>1.7913327829590587E-2</v>
      </c>
    </row>
    <row r="1008" spans="1:20" x14ac:dyDescent="0.25">
      <c r="A1008" s="5">
        <v>43585</v>
      </c>
      <c r="B1008">
        <v>9.4429999999999996</v>
      </c>
      <c r="C1008">
        <v>9.7360000000000007</v>
      </c>
      <c r="D1008">
        <v>9.3000000000000007</v>
      </c>
      <c r="E1008">
        <v>9.7289999999999992</v>
      </c>
      <c r="F1008">
        <v>406776.272</v>
      </c>
      <c r="G1008">
        <v>0</v>
      </c>
      <c r="P1008">
        <f t="shared" si="1019"/>
        <v>0.96788990825687404</v>
      </c>
      <c r="Q1008">
        <f t="shared" si="1020"/>
        <v>393714.64858715323</v>
      </c>
      <c r="R1008">
        <f t="shared" si="1021"/>
        <v>1703852.8765619306</v>
      </c>
      <c r="S1008">
        <f t="shared" si="1022"/>
        <v>17.038528765619308</v>
      </c>
      <c r="T1008">
        <f t="shared" si="1023"/>
        <v>1.7038528765619308E-2</v>
      </c>
    </row>
    <row r="1009" spans="1:20" x14ac:dyDescent="0.25">
      <c r="A1009" s="5">
        <v>43584</v>
      </c>
      <c r="B1009">
        <v>9.3640000000000008</v>
      </c>
      <c r="C1009">
        <v>10.038</v>
      </c>
      <c r="D1009">
        <v>9.2799999999999994</v>
      </c>
      <c r="E1009">
        <v>9.44</v>
      </c>
      <c r="F1009">
        <v>651375.13399999996</v>
      </c>
      <c r="G1009">
        <v>0</v>
      </c>
      <c r="P1009">
        <f t="shared" si="1019"/>
        <v>-0.57783641160949883</v>
      </c>
      <c r="Q1009">
        <f t="shared" si="1020"/>
        <v>-376388.27004221646</v>
      </c>
      <c r="R1009">
        <f t="shared" si="1021"/>
        <v>1310138.2279747773</v>
      </c>
      <c r="S1009">
        <f t="shared" si="1022"/>
        <v>13.101382279747773</v>
      </c>
      <c r="T1009">
        <f t="shared" si="1023"/>
        <v>1.3101382279747772E-2</v>
      </c>
    </row>
    <row r="1010" spans="1:20" x14ac:dyDescent="0.25">
      <c r="A1010" s="5">
        <v>43583</v>
      </c>
      <c r="B1010">
        <v>9.5419999999999998</v>
      </c>
      <c r="C1010">
        <v>9.7379999999999995</v>
      </c>
      <c r="D1010">
        <v>9.23</v>
      </c>
      <c r="E1010">
        <v>9.36</v>
      </c>
      <c r="F1010">
        <v>181636.79300000001</v>
      </c>
      <c r="G1010">
        <v>0</v>
      </c>
      <c r="P1010">
        <f t="shared" si="1019"/>
        <v>-0.48818897637795577</v>
      </c>
      <c r="Q1010">
        <f t="shared" si="1020"/>
        <v>-88673.080047244643</v>
      </c>
      <c r="R1010">
        <f t="shared" si="1021"/>
        <v>1686526.4980169937</v>
      </c>
      <c r="S1010">
        <f t="shared" si="1022"/>
        <v>16.865264980169936</v>
      </c>
      <c r="T1010">
        <f t="shared" si="1023"/>
        <v>1.6865264980169936E-2</v>
      </c>
    </row>
    <row r="1011" spans="1:20" x14ac:dyDescent="0.25">
      <c r="A1011" s="5">
        <v>43582</v>
      </c>
      <c r="B1011">
        <v>9.48</v>
      </c>
      <c r="C1011">
        <v>9.7449999999999992</v>
      </c>
      <c r="D1011">
        <v>9.3079999999999998</v>
      </c>
      <c r="E1011">
        <v>9.5440000000000005</v>
      </c>
      <c r="F1011">
        <v>290047.636</v>
      </c>
      <c r="G1011">
        <v>0</v>
      </c>
      <c r="P1011">
        <f t="shared" si="1019"/>
        <v>8.0091533180782534E-2</v>
      </c>
      <c r="Q1011">
        <f t="shared" si="1020"/>
        <v>23230.359862701534</v>
      </c>
      <c r="R1011">
        <f t="shared" si="1021"/>
        <v>1775199.5780642384</v>
      </c>
      <c r="S1011">
        <f t="shared" si="1022"/>
        <v>17.751995780642385</v>
      </c>
      <c r="T1011">
        <f t="shared" si="1023"/>
        <v>1.7751995780642384E-2</v>
      </c>
    </row>
    <row r="1012" spans="1:20" x14ac:dyDescent="0.25">
      <c r="A1012" s="5">
        <v>43581</v>
      </c>
      <c r="B1012">
        <v>9.5820000000000007</v>
      </c>
      <c r="C1012">
        <v>9.9789999999999992</v>
      </c>
      <c r="D1012">
        <v>9.15</v>
      </c>
      <c r="E1012">
        <v>9.4890000000000008</v>
      </c>
      <c r="F1012">
        <v>623835.66799999995</v>
      </c>
      <c r="G1012">
        <v>0</v>
      </c>
      <c r="P1012">
        <f t="shared" si="1019"/>
        <v>-0.18214716525934649</v>
      </c>
      <c r="Q1012">
        <f t="shared" si="1020"/>
        <v>-113629.89851387079</v>
      </c>
      <c r="R1012">
        <f t="shared" si="1021"/>
        <v>1751969.2182015369</v>
      </c>
      <c r="S1012">
        <f t="shared" si="1022"/>
        <v>17.519692182015369</v>
      </c>
      <c r="T1012">
        <f t="shared" si="1023"/>
        <v>1.7519692182015368E-2</v>
      </c>
    </row>
    <row r="1013" spans="1:20" x14ac:dyDescent="0.25">
      <c r="A1013" s="5">
        <v>43580</v>
      </c>
      <c r="B1013">
        <v>9.8889999999999993</v>
      </c>
      <c r="C1013">
        <v>10.324999999999999</v>
      </c>
      <c r="D1013">
        <v>9.4499999999999993</v>
      </c>
      <c r="E1013">
        <v>9.5839999999999996</v>
      </c>
      <c r="F1013">
        <v>548173.978</v>
      </c>
      <c r="G1013">
        <v>0</v>
      </c>
      <c r="P1013">
        <f t="shared" si="1019"/>
        <v>-0.69371428571428495</v>
      </c>
      <c r="Q1013">
        <f t="shared" si="1020"/>
        <v>-380276.11959542817</v>
      </c>
      <c r="R1013">
        <f t="shared" si="1021"/>
        <v>1865599.1167154077</v>
      </c>
      <c r="S1013">
        <f t="shared" si="1022"/>
        <v>18.655991167154077</v>
      </c>
      <c r="T1013">
        <f t="shared" si="1023"/>
        <v>1.8655991167154079E-2</v>
      </c>
    </row>
    <row r="1014" spans="1:20" x14ac:dyDescent="0.25">
      <c r="A1014" s="5">
        <v>43579</v>
      </c>
      <c r="B1014">
        <v>10.215</v>
      </c>
      <c r="C1014">
        <v>10.445</v>
      </c>
      <c r="D1014">
        <v>9.343</v>
      </c>
      <c r="E1014">
        <v>9.89</v>
      </c>
      <c r="F1014">
        <v>836748.47199999995</v>
      </c>
      <c r="G1014">
        <v>0</v>
      </c>
      <c r="P1014">
        <f t="shared" si="1019"/>
        <v>-7.2595281306707046E-3</v>
      </c>
      <c r="Q1014">
        <f t="shared" si="1020"/>
        <v>-6074.3990707797284</v>
      </c>
      <c r="R1014">
        <f t="shared" si="1021"/>
        <v>2245875.2363108359</v>
      </c>
      <c r="S1014">
        <f t="shared" si="1022"/>
        <v>22.45875236310836</v>
      </c>
      <c r="T1014">
        <f t="shared" si="1023"/>
        <v>2.2458752363108361E-2</v>
      </c>
    </row>
    <row r="1015" spans="1:20" x14ac:dyDescent="0.25">
      <c r="A1015" s="5">
        <v>43578</v>
      </c>
      <c r="B1015">
        <v>10.76</v>
      </c>
      <c r="C1015">
        <v>11.14</v>
      </c>
      <c r="D1015">
        <v>10.206</v>
      </c>
      <c r="E1015">
        <v>10.215</v>
      </c>
      <c r="F1015">
        <v>600051.96200000006</v>
      </c>
      <c r="G1015">
        <v>0</v>
      </c>
      <c r="P1015">
        <f t="shared" si="1019"/>
        <v>-0.98072805139186225</v>
      </c>
      <c r="Q1015">
        <f t="shared" si="1020"/>
        <v>-588487.79142612382</v>
      </c>
      <c r="R1015">
        <f t="shared" si="1021"/>
        <v>2251949.6353816157</v>
      </c>
      <c r="S1015">
        <f t="shared" si="1022"/>
        <v>22.519496353816159</v>
      </c>
      <c r="T1015">
        <f t="shared" si="1023"/>
        <v>2.251949635381616E-2</v>
      </c>
    </row>
    <row r="1016" spans="1:20" x14ac:dyDescent="0.25">
      <c r="A1016" s="5">
        <v>43577</v>
      </c>
      <c r="B1016">
        <v>10.502000000000001</v>
      </c>
      <c r="C1016">
        <v>10.896000000000001</v>
      </c>
      <c r="D1016">
        <v>10.4</v>
      </c>
      <c r="E1016">
        <v>10.756</v>
      </c>
      <c r="F1016">
        <v>377176.31199999998</v>
      </c>
      <c r="G1016">
        <v>0</v>
      </c>
      <c r="P1016">
        <f t="shared" si="1019"/>
        <v>0.43548387096774016</v>
      </c>
      <c r="Q1016">
        <f t="shared" si="1020"/>
        <v>164254.20038709609</v>
      </c>
      <c r="R1016">
        <f t="shared" si="1021"/>
        <v>2840437.4268077393</v>
      </c>
      <c r="S1016">
        <f t="shared" si="1022"/>
        <v>28.404374268077394</v>
      </c>
      <c r="T1016">
        <f t="shared" si="1023"/>
        <v>2.8404374268077393E-2</v>
      </c>
    </row>
    <row r="1017" spans="1:20" x14ac:dyDescent="0.25">
      <c r="A1017" s="5">
        <v>43576</v>
      </c>
      <c r="B1017">
        <v>10.881</v>
      </c>
      <c r="C1017">
        <v>10.967000000000001</v>
      </c>
      <c r="D1017">
        <v>10.1</v>
      </c>
      <c r="E1017">
        <v>10.503</v>
      </c>
      <c r="F1017">
        <v>434332.576</v>
      </c>
      <c r="G1017">
        <v>0</v>
      </c>
      <c r="P1017">
        <f t="shared" si="1019"/>
        <v>-7.0357554786620397E-2</v>
      </c>
      <c r="Q1017">
        <f t="shared" si="1020"/>
        <v>-30558.578011533966</v>
      </c>
      <c r="R1017">
        <f t="shared" si="1021"/>
        <v>2676183.2264206433</v>
      </c>
      <c r="S1017">
        <f t="shared" si="1022"/>
        <v>26.761832264206433</v>
      </c>
      <c r="T1017">
        <f t="shared" si="1023"/>
        <v>2.6761832264206434E-2</v>
      </c>
    </row>
    <row r="1018" spans="1:20" x14ac:dyDescent="0.25">
      <c r="A1018" s="5">
        <v>43575</v>
      </c>
      <c r="B1018">
        <v>11.029</v>
      </c>
      <c r="C1018">
        <v>11.132999999999999</v>
      </c>
      <c r="D1018">
        <v>10.76</v>
      </c>
      <c r="E1018">
        <v>10.881</v>
      </c>
      <c r="F1018">
        <v>240102.18900000001</v>
      </c>
      <c r="G1018">
        <v>0</v>
      </c>
      <c r="P1018">
        <f t="shared" si="1019"/>
        <v>-0.35120643431635035</v>
      </c>
      <c r="Q1018">
        <f t="shared" si="1020"/>
        <v>-84325.43367024044</v>
      </c>
      <c r="R1018">
        <f t="shared" si="1021"/>
        <v>2706741.8044321775</v>
      </c>
      <c r="S1018">
        <f t="shared" si="1022"/>
        <v>27.067418044321773</v>
      </c>
      <c r="T1018">
        <f t="shared" si="1023"/>
        <v>2.7067418044321771E-2</v>
      </c>
    </row>
    <row r="1019" spans="1:20" x14ac:dyDescent="0.25">
      <c r="A1019" s="5">
        <v>43574</v>
      </c>
      <c r="B1019">
        <v>11.234999999999999</v>
      </c>
      <c r="C1019">
        <v>11.238</v>
      </c>
      <c r="D1019">
        <v>10.757999999999999</v>
      </c>
      <c r="E1019">
        <v>11.028</v>
      </c>
      <c r="F1019">
        <v>269740.77799999999</v>
      </c>
      <c r="G1019">
        <v>0</v>
      </c>
      <c r="P1019">
        <f t="shared" si="1019"/>
        <v>0.12500000000000464</v>
      </c>
      <c r="Q1019">
        <f t="shared" si="1020"/>
        <v>33717.59725000125</v>
      </c>
      <c r="R1019">
        <f t="shared" si="1021"/>
        <v>2791067.2381024179</v>
      </c>
      <c r="S1019">
        <f t="shared" si="1022"/>
        <v>27.910672381024177</v>
      </c>
      <c r="T1019">
        <f t="shared" si="1023"/>
        <v>2.7910672381024178E-2</v>
      </c>
    </row>
    <row r="1020" spans="1:20" x14ac:dyDescent="0.25">
      <c r="A1020" s="5">
        <v>43573</v>
      </c>
      <c r="B1020">
        <v>10.932</v>
      </c>
      <c r="C1020">
        <v>11.346</v>
      </c>
      <c r="D1020">
        <v>10.914999999999999</v>
      </c>
      <c r="E1020">
        <v>11.231</v>
      </c>
      <c r="F1020">
        <v>400765.77100000001</v>
      </c>
      <c r="G1020">
        <v>0</v>
      </c>
      <c r="P1020">
        <f t="shared" si="1019"/>
        <v>0.46635730858468694</v>
      </c>
      <c r="Q1020">
        <f t="shared" si="1020"/>
        <v>186900.04633642698</v>
      </c>
      <c r="R1020">
        <f t="shared" si="1021"/>
        <v>2757349.6408524169</v>
      </c>
      <c r="S1020">
        <f t="shared" si="1022"/>
        <v>27.573496408524168</v>
      </c>
      <c r="T1020">
        <f t="shared" si="1023"/>
        <v>2.7573496408524169E-2</v>
      </c>
    </row>
    <row r="1021" spans="1:20" x14ac:dyDescent="0.25">
      <c r="A1021" s="5">
        <v>43572</v>
      </c>
      <c r="B1021">
        <v>10.847</v>
      </c>
      <c r="C1021">
        <v>11.173</v>
      </c>
      <c r="D1021">
        <v>10.741</v>
      </c>
      <c r="E1021">
        <v>10.923</v>
      </c>
      <c r="F1021">
        <v>376657.51899999997</v>
      </c>
      <c r="G1021">
        <v>0</v>
      </c>
      <c r="P1021">
        <f t="shared" si="1019"/>
        <v>-0.15740740740740639</v>
      </c>
      <c r="Q1021">
        <f t="shared" si="1020"/>
        <v>-59288.683546295906</v>
      </c>
      <c r="R1021">
        <f t="shared" si="1021"/>
        <v>2570449.59451599</v>
      </c>
      <c r="S1021">
        <f t="shared" si="1022"/>
        <v>25.704495945159898</v>
      </c>
      <c r="T1021">
        <f t="shared" si="1023"/>
        <v>2.5704495945159899E-2</v>
      </c>
    </row>
    <row r="1022" spans="1:20" x14ac:dyDescent="0.25">
      <c r="A1022" s="5">
        <v>43571</v>
      </c>
      <c r="B1022">
        <v>10.676</v>
      </c>
      <c r="C1022">
        <v>11.05</v>
      </c>
      <c r="D1022">
        <v>10.532</v>
      </c>
      <c r="E1022">
        <v>10.85</v>
      </c>
      <c r="F1022">
        <v>393288.07400000002</v>
      </c>
      <c r="G1022">
        <v>0</v>
      </c>
      <c r="P1022">
        <f t="shared" si="1019"/>
        <v>0.22779922779922471</v>
      </c>
      <c r="Q1022">
        <f t="shared" si="1020"/>
        <v>89590.71955984435</v>
      </c>
      <c r="R1022">
        <f t="shared" si="1021"/>
        <v>2629738.2780622859</v>
      </c>
      <c r="S1022">
        <f t="shared" si="1022"/>
        <v>26.297382780622858</v>
      </c>
      <c r="T1022">
        <f t="shared" si="1023"/>
        <v>2.6297382780622859E-2</v>
      </c>
    </row>
    <row r="1023" spans="1:20" x14ac:dyDescent="0.25">
      <c r="A1023" s="5">
        <v>43570</v>
      </c>
      <c r="B1023">
        <v>11.265000000000001</v>
      </c>
      <c r="C1023">
        <v>11.419</v>
      </c>
      <c r="D1023">
        <v>10.411</v>
      </c>
      <c r="E1023">
        <v>10.677</v>
      </c>
      <c r="F1023">
        <v>526364.47199999995</v>
      </c>
      <c r="G1023">
        <v>0</v>
      </c>
      <c r="P1023">
        <f t="shared" ref="P1023:P1086" si="1024">IF(C1023=D1023,0,((E1023-D1023)-(C1023-E1023))/(C1023-D1023))</f>
        <v>-0.47222222222222265</v>
      </c>
      <c r="Q1023">
        <f t="shared" ref="Q1023:Q1086" si="1025">F1023*P1023</f>
        <v>-248561.00066666686</v>
      </c>
      <c r="R1023">
        <f t="shared" ref="R1023:R1086" si="1026">R1024+Q1023</f>
        <v>2540147.5585024417</v>
      </c>
      <c r="S1023">
        <f t="shared" ref="S1023:S1086" si="1027">R1023/100000</f>
        <v>25.401475585024418</v>
      </c>
      <c r="T1023">
        <f t="shared" ref="T1023:T1086" si="1028">S1023/1000</f>
        <v>2.5401475585024418E-2</v>
      </c>
    </row>
    <row r="1024" spans="1:20" x14ac:dyDescent="0.25">
      <c r="A1024" s="5">
        <v>43569</v>
      </c>
      <c r="B1024">
        <v>11.007</v>
      </c>
      <c r="C1024">
        <v>11.31</v>
      </c>
      <c r="D1024">
        <v>10.763999999999999</v>
      </c>
      <c r="E1024">
        <v>11.266999999999999</v>
      </c>
      <c r="F1024">
        <v>386833.47200000001</v>
      </c>
      <c r="G1024">
        <v>0</v>
      </c>
      <c r="P1024">
        <f t="shared" si="1024"/>
        <v>0.84249084249083905</v>
      </c>
      <c r="Q1024">
        <f t="shared" si="1025"/>
        <v>325903.65772893641</v>
      </c>
      <c r="R1024">
        <f t="shared" si="1026"/>
        <v>2788708.5591691085</v>
      </c>
      <c r="S1024">
        <f t="shared" si="1027"/>
        <v>27.887085591691086</v>
      </c>
      <c r="T1024">
        <f t="shared" si="1028"/>
        <v>2.7887085591691087E-2</v>
      </c>
    </row>
    <row r="1025" spans="1:20" x14ac:dyDescent="0.25">
      <c r="A1025" s="5">
        <v>43568</v>
      </c>
      <c r="B1025">
        <v>11.234</v>
      </c>
      <c r="C1025">
        <v>11.321</v>
      </c>
      <c r="D1025">
        <v>10.864000000000001</v>
      </c>
      <c r="E1025">
        <v>11.015000000000001</v>
      </c>
      <c r="F1025">
        <v>273013.70400000003</v>
      </c>
      <c r="G1025">
        <v>0</v>
      </c>
      <c r="P1025">
        <f t="shared" si="1024"/>
        <v>-0.33916849015317224</v>
      </c>
      <c r="Q1025">
        <f t="shared" si="1025"/>
        <v>-92597.64577680509</v>
      </c>
      <c r="R1025">
        <f t="shared" si="1026"/>
        <v>2462804.901440172</v>
      </c>
      <c r="S1025">
        <f t="shared" si="1027"/>
        <v>24.628049014401721</v>
      </c>
      <c r="T1025">
        <f t="shared" si="1028"/>
        <v>2.4628049014401722E-2</v>
      </c>
    </row>
    <row r="1026" spans="1:20" x14ac:dyDescent="0.25">
      <c r="A1026" s="5">
        <v>43567</v>
      </c>
      <c r="B1026">
        <v>11.157</v>
      </c>
      <c r="C1026">
        <v>11.542</v>
      </c>
      <c r="D1026">
        <v>10.577</v>
      </c>
      <c r="E1026">
        <v>11.238</v>
      </c>
      <c r="F1026">
        <v>527192.18200000003</v>
      </c>
      <c r="G1026">
        <v>0</v>
      </c>
      <c r="P1026">
        <f t="shared" si="1024"/>
        <v>0.36994818652849676</v>
      </c>
      <c r="Q1026">
        <f t="shared" si="1025"/>
        <v>195033.79168290121</v>
      </c>
      <c r="R1026">
        <f t="shared" si="1026"/>
        <v>2555402.547216977</v>
      </c>
      <c r="S1026">
        <f t="shared" si="1027"/>
        <v>25.554025472169769</v>
      </c>
      <c r="T1026">
        <f t="shared" si="1028"/>
        <v>2.555402547216977E-2</v>
      </c>
    </row>
    <row r="1027" spans="1:20" x14ac:dyDescent="0.25">
      <c r="A1027" s="5">
        <v>43566</v>
      </c>
      <c r="B1027">
        <v>12.432</v>
      </c>
      <c r="C1027">
        <v>12.432</v>
      </c>
      <c r="D1027">
        <v>10.500999999999999</v>
      </c>
      <c r="E1027">
        <v>11.151999999999999</v>
      </c>
      <c r="F1027">
        <v>909761.07299999997</v>
      </c>
      <c r="G1027">
        <v>0</v>
      </c>
      <c r="P1027">
        <f t="shared" si="1024"/>
        <v>-0.3257379596064221</v>
      </c>
      <c r="Q1027">
        <f t="shared" si="1025"/>
        <v>-296343.71564836922</v>
      </c>
      <c r="R1027">
        <f t="shared" si="1026"/>
        <v>2360368.7555340757</v>
      </c>
      <c r="S1027">
        <f t="shared" si="1027"/>
        <v>23.603687555340755</v>
      </c>
      <c r="T1027">
        <f t="shared" si="1028"/>
        <v>2.3603687555340754E-2</v>
      </c>
    </row>
    <row r="1028" spans="1:20" x14ac:dyDescent="0.25">
      <c r="A1028" s="5">
        <v>43565</v>
      </c>
      <c r="B1028">
        <v>12.06</v>
      </c>
      <c r="C1028">
        <v>12.669</v>
      </c>
      <c r="D1028">
        <v>12.022</v>
      </c>
      <c r="E1028">
        <v>12.423999999999999</v>
      </c>
      <c r="F1028">
        <v>480635.32799999998</v>
      </c>
      <c r="G1028">
        <v>0</v>
      </c>
      <c r="P1028">
        <f t="shared" si="1024"/>
        <v>0.24265842349304204</v>
      </c>
      <c r="Q1028">
        <f t="shared" si="1025"/>
        <v>116630.21096754116</v>
      </c>
      <c r="R1028">
        <f t="shared" si="1026"/>
        <v>2656712.4711824451</v>
      </c>
      <c r="S1028">
        <f t="shared" si="1027"/>
        <v>26.567124711824452</v>
      </c>
      <c r="T1028">
        <f t="shared" si="1028"/>
        <v>2.6567124711824451E-2</v>
      </c>
    </row>
    <row r="1029" spans="1:20" x14ac:dyDescent="0.25">
      <c r="A1029" s="5">
        <v>43564</v>
      </c>
      <c r="B1029">
        <v>12.586</v>
      </c>
      <c r="C1029">
        <v>12.597</v>
      </c>
      <c r="D1029">
        <v>11.72</v>
      </c>
      <c r="E1029">
        <v>12.06</v>
      </c>
      <c r="F1029">
        <v>612923.50100000005</v>
      </c>
      <c r="G1029">
        <v>0</v>
      </c>
      <c r="P1029">
        <f t="shared" si="1024"/>
        <v>-0.22462941847206319</v>
      </c>
      <c r="Q1029">
        <f t="shared" si="1025"/>
        <v>-137680.64959749105</v>
      </c>
      <c r="R1029">
        <f t="shared" si="1026"/>
        <v>2540082.2602149039</v>
      </c>
      <c r="S1029">
        <f t="shared" si="1027"/>
        <v>25.400822602149038</v>
      </c>
      <c r="T1029">
        <f t="shared" si="1028"/>
        <v>2.5400822602149039E-2</v>
      </c>
    </row>
    <row r="1030" spans="1:20" x14ac:dyDescent="0.25">
      <c r="A1030" s="5">
        <v>43563</v>
      </c>
      <c r="B1030">
        <v>12.843999999999999</v>
      </c>
      <c r="C1030">
        <v>13.276</v>
      </c>
      <c r="D1030">
        <v>11.87</v>
      </c>
      <c r="E1030">
        <v>12.59</v>
      </c>
      <c r="F1030">
        <v>856161.51399999997</v>
      </c>
      <c r="G1030">
        <v>0</v>
      </c>
      <c r="P1030">
        <f t="shared" si="1024"/>
        <v>2.4182076813656247E-2</v>
      </c>
      <c r="Q1030">
        <f t="shared" si="1025"/>
        <v>20703.763496444226</v>
      </c>
      <c r="R1030">
        <f t="shared" si="1026"/>
        <v>2677762.909812395</v>
      </c>
      <c r="S1030">
        <f t="shared" si="1027"/>
        <v>26.777629098123949</v>
      </c>
      <c r="T1030">
        <f t="shared" si="1028"/>
        <v>2.6777629098123951E-2</v>
      </c>
    </row>
    <row r="1031" spans="1:20" x14ac:dyDescent="0.25">
      <c r="A1031" s="5">
        <v>43562</v>
      </c>
      <c r="B1031">
        <v>13.08</v>
      </c>
      <c r="C1031">
        <v>13.24</v>
      </c>
      <c r="D1031">
        <v>12.51</v>
      </c>
      <c r="E1031">
        <v>12.843999999999999</v>
      </c>
      <c r="F1031">
        <v>607399.93000000005</v>
      </c>
      <c r="G1031">
        <v>0</v>
      </c>
      <c r="P1031">
        <f t="shared" si="1024"/>
        <v>-8.4931506849316621E-2</v>
      </c>
      <c r="Q1031">
        <f t="shared" si="1025"/>
        <v>-51587.391315069442</v>
      </c>
      <c r="R1031">
        <f t="shared" si="1026"/>
        <v>2657059.1463159509</v>
      </c>
      <c r="S1031">
        <f t="shared" si="1027"/>
        <v>26.570591463159509</v>
      </c>
      <c r="T1031">
        <f t="shared" si="1028"/>
        <v>2.6570591463159508E-2</v>
      </c>
    </row>
    <row r="1032" spans="1:20" x14ac:dyDescent="0.25">
      <c r="A1032" s="5">
        <v>43561</v>
      </c>
      <c r="B1032">
        <v>13.457000000000001</v>
      </c>
      <c r="C1032">
        <v>13.523999999999999</v>
      </c>
      <c r="D1032">
        <v>12.759</v>
      </c>
      <c r="E1032">
        <v>13.079000000000001</v>
      </c>
      <c r="F1032">
        <v>740482.23699999996</v>
      </c>
      <c r="G1032">
        <v>0</v>
      </c>
      <c r="P1032">
        <f t="shared" si="1024"/>
        <v>-0.16339869281045546</v>
      </c>
      <c r="Q1032">
        <f t="shared" si="1025"/>
        <v>-120993.82957516187</v>
      </c>
      <c r="R1032">
        <f t="shared" si="1026"/>
        <v>2708646.5376310204</v>
      </c>
      <c r="S1032">
        <f t="shared" si="1027"/>
        <v>27.086465376310205</v>
      </c>
      <c r="T1032">
        <f t="shared" si="1028"/>
        <v>2.7086465376310206E-2</v>
      </c>
    </row>
    <row r="1033" spans="1:20" x14ac:dyDescent="0.25">
      <c r="A1033" s="5">
        <v>43560</v>
      </c>
      <c r="B1033">
        <v>12.776</v>
      </c>
      <c r="C1033">
        <v>13.678000000000001</v>
      </c>
      <c r="D1033">
        <v>12.634</v>
      </c>
      <c r="E1033">
        <v>13.467000000000001</v>
      </c>
      <c r="F1033">
        <v>1044624.607</v>
      </c>
      <c r="G1033">
        <v>0</v>
      </c>
      <c r="P1033">
        <f t="shared" si="1024"/>
        <v>0.59578544061302641</v>
      </c>
      <c r="Q1033">
        <f t="shared" si="1025"/>
        <v>622372.13175670453</v>
      </c>
      <c r="R1033">
        <f t="shared" si="1026"/>
        <v>2829640.3672061823</v>
      </c>
      <c r="S1033">
        <f t="shared" si="1027"/>
        <v>28.296403672061825</v>
      </c>
      <c r="T1033">
        <f t="shared" si="1028"/>
        <v>2.8296403672061824E-2</v>
      </c>
    </row>
    <row r="1034" spans="1:20" x14ac:dyDescent="0.25">
      <c r="A1034" s="5">
        <v>43559</v>
      </c>
      <c r="B1034">
        <v>12.122999999999999</v>
      </c>
      <c r="C1034">
        <v>13.699</v>
      </c>
      <c r="D1034">
        <v>11.851000000000001</v>
      </c>
      <c r="E1034">
        <v>12.771000000000001</v>
      </c>
      <c r="F1034">
        <v>1900468.1680000001</v>
      </c>
      <c r="G1034">
        <v>0</v>
      </c>
      <c r="P1034">
        <f t="shared" si="1024"/>
        <v>-4.3290043290038546E-3</v>
      </c>
      <c r="Q1034">
        <f t="shared" si="1025"/>
        <v>-8227.1349264060245</v>
      </c>
      <c r="R1034">
        <f t="shared" si="1026"/>
        <v>2207268.2354494776</v>
      </c>
      <c r="S1034">
        <f t="shared" si="1027"/>
        <v>22.072682354494777</v>
      </c>
      <c r="T1034">
        <f t="shared" si="1028"/>
        <v>2.2072682354494777E-2</v>
      </c>
    </row>
    <row r="1035" spans="1:20" x14ac:dyDescent="0.25">
      <c r="A1035" s="5">
        <v>43558</v>
      </c>
      <c r="B1035">
        <v>11.500999999999999</v>
      </c>
      <c r="C1035">
        <v>13.839</v>
      </c>
      <c r="D1035">
        <v>11.2</v>
      </c>
      <c r="E1035">
        <v>12.122999999999999</v>
      </c>
      <c r="F1035">
        <v>2392305.5150000001</v>
      </c>
      <c r="G1035">
        <v>0</v>
      </c>
      <c r="P1035">
        <f t="shared" si="1024"/>
        <v>-0.30049261083743867</v>
      </c>
      <c r="Q1035">
        <f t="shared" si="1025"/>
        <v>-718870.13012315333</v>
      </c>
      <c r="R1035">
        <f t="shared" si="1026"/>
        <v>2215495.3703758838</v>
      </c>
      <c r="S1035">
        <f t="shared" si="1027"/>
        <v>22.154953703758839</v>
      </c>
      <c r="T1035">
        <f t="shared" si="1028"/>
        <v>2.2154953703758837E-2</v>
      </c>
    </row>
    <row r="1036" spans="1:20" x14ac:dyDescent="0.25">
      <c r="A1036" s="5">
        <v>43557</v>
      </c>
      <c r="B1036">
        <v>10.047000000000001</v>
      </c>
      <c r="C1036">
        <v>11.654</v>
      </c>
      <c r="D1036">
        <v>10.042</v>
      </c>
      <c r="E1036">
        <v>11.505000000000001</v>
      </c>
      <c r="F1036">
        <v>1606275.138</v>
      </c>
      <c r="G1036">
        <v>0</v>
      </c>
      <c r="P1036">
        <f t="shared" si="1024"/>
        <v>0.81513647642680009</v>
      </c>
      <c r="Q1036">
        <f t="shared" si="1025"/>
        <v>1309333.456161292</v>
      </c>
      <c r="R1036">
        <f t="shared" si="1026"/>
        <v>2934365.5004990371</v>
      </c>
      <c r="S1036">
        <f t="shared" si="1027"/>
        <v>29.343655004990371</v>
      </c>
      <c r="T1036">
        <f t="shared" si="1028"/>
        <v>2.9343655004990372E-2</v>
      </c>
    </row>
    <row r="1037" spans="1:20" x14ac:dyDescent="0.25">
      <c r="A1037" s="5">
        <v>43556</v>
      </c>
      <c r="B1037">
        <v>10.095000000000001</v>
      </c>
      <c r="C1037">
        <v>10.18</v>
      </c>
      <c r="D1037">
        <v>9.8529999999999998</v>
      </c>
      <c r="E1037">
        <v>10.039999999999999</v>
      </c>
      <c r="F1037">
        <v>426268.772</v>
      </c>
      <c r="G1037">
        <v>0</v>
      </c>
      <c r="P1037">
        <f t="shared" si="1024"/>
        <v>0.14373088685014931</v>
      </c>
      <c r="Q1037">
        <f t="shared" si="1025"/>
        <v>61267.988636084097</v>
      </c>
      <c r="R1037">
        <f t="shared" si="1026"/>
        <v>1625032.0443377451</v>
      </c>
      <c r="S1037">
        <f t="shared" si="1027"/>
        <v>16.250320443377451</v>
      </c>
      <c r="T1037">
        <f t="shared" si="1028"/>
        <v>1.6250320443377451E-2</v>
      </c>
    </row>
    <row r="1038" spans="1:20" x14ac:dyDescent="0.25">
      <c r="A1038" s="5">
        <v>43555</v>
      </c>
      <c r="B1038">
        <v>9.94</v>
      </c>
      <c r="C1038">
        <v>10.112</v>
      </c>
      <c r="D1038">
        <v>9.6379999999999999</v>
      </c>
      <c r="E1038">
        <v>10.095000000000001</v>
      </c>
      <c r="F1038">
        <v>397717.87599999999</v>
      </c>
      <c r="G1038">
        <v>0</v>
      </c>
      <c r="P1038">
        <f t="shared" si="1024"/>
        <v>0.92827004219409515</v>
      </c>
      <c r="Q1038">
        <f t="shared" si="1025"/>
        <v>369189.58953586587</v>
      </c>
      <c r="R1038">
        <f t="shared" si="1026"/>
        <v>1563764.0557016609</v>
      </c>
      <c r="S1038">
        <f t="shared" si="1027"/>
        <v>15.63764055701661</v>
      </c>
      <c r="T1038">
        <f t="shared" si="1028"/>
        <v>1.5637640557016611E-2</v>
      </c>
    </row>
    <row r="1039" spans="1:20" x14ac:dyDescent="0.25">
      <c r="A1039" s="5">
        <v>43554</v>
      </c>
      <c r="B1039">
        <v>9.9469999999999992</v>
      </c>
      <c r="C1039">
        <v>10.268000000000001</v>
      </c>
      <c r="D1039">
        <v>9.6470000000000002</v>
      </c>
      <c r="E1039">
        <v>9.9410000000000007</v>
      </c>
      <c r="F1039">
        <v>893294.50300000003</v>
      </c>
      <c r="G1039">
        <v>0</v>
      </c>
      <c r="P1039">
        <f t="shared" si="1024"/>
        <v>-5.3140096618356607E-2</v>
      </c>
      <c r="Q1039">
        <f t="shared" si="1025"/>
        <v>-47469.756198066847</v>
      </c>
      <c r="R1039">
        <f t="shared" si="1026"/>
        <v>1194574.466165795</v>
      </c>
      <c r="S1039">
        <f t="shared" si="1027"/>
        <v>11.945744661657949</v>
      </c>
      <c r="T1039">
        <f t="shared" si="1028"/>
        <v>1.1945744661657948E-2</v>
      </c>
    </row>
    <row r="1040" spans="1:20" x14ac:dyDescent="0.25">
      <c r="A1040" s="5">
        <v>43553</v>
      </c>
      <c r="B1040">
        <v>9.18</v>
      </c>
      <c r="C1040">
        <v>9.9450000000000003</v>
      </c>
      <c r="D1040">
        <v>9.1769999999999996</v>
      </c>
      <c r="E1040">
        <v>9.9410000000000007</v>
      </c>
      <c r="F1040">
        <v>628540.31200000003</v>
      </c>
      <c r="G1040">
        <v>0</v>
      </c>
      <c r="P1040">
        <f t="shared" si="1024"/>
        <v>0.98958333333333448</v>
      </c>
      <c r="Q1040">
        <f t="shared" si="1025"/>
        <v>621993.01708333404</v>
      </c>
      <c r="R1040">
        <f t="shared" si="1026"/>
        <v>1242044.2223638617</v>
      </c>
      <c r="S1040">
        <f t="shared" si="1027"/>
        <v>12.420442223638618</v>
      </c>
      <c r="T1040">
        <f t="shared" si="1028"/>
        <v>1.2420442223638618E-2</v>
      </c>
    </row>
    <row r="1041" spans="1:20" x14ac:dyDescent="0.25">
      <c r="A1041" s="5">
        <v>43552</v>
      </c>
      <c r="B1041">
        <v>9.2840000000000007</v>
      </c>
      <c r="C1041">
        <v>9.2889999999999997</v>
      </c>
      <c r="D1041">
        <v>9.1039999999999992</v>
      </c>
      <c r="E1041">
        <v>9.1809999999999992</v>
      </c>
      <c r="F1041">
        <v>223377.549</v>
      </c>
      <c r="G1041">
        <v>0</v>
      </c>
      <c r="P1041">
        <f t="shared" si="1024"/>
        <v>-0.16756756756757027</v>
      </c>
      <c r="Q1041">
        <f t="shared" si="1025"/>
        <v>-37430.832535135742</v>
      </c>
      <c r="R1041">
        <f t="shared" si="1026"/>
        <v>620051.20528052771</v>
      </c>
      <c r="S1041">
        <f t="shared" si="1027"/>
        <v>6.2005120528052773</v>
      </c>
      <c r="T1041">
        <f t="shared" si="1028"/>
        <v>6.2005120528052775E-3</v>
      </c>
    </row>
    <row r="1042" spans="1:20" x14ac:dyDescent="0.25">
      <c r="A1042" s="5">
        <v>43551</v>
      </c>
      <c r="B1042">
        <v>8.8670000000000009</v>
      </c>
      <c r="C1042">
        <v>9.3580000000000005</v>
      </c>
      <c r="D1042">
        <v>8.8360000000000003</v>
      </c>
      <c r="E1042">
        <v>9.2739999999999991</v>
      </c>
      <c r="F1042">
        <v>528574.37300000002</v>
      </c>
      <c r="G1042">
        <v>0</v>
      </c>
      <c r="P1042">
        <f t="shared" si="1024"/>
        <v>0.67816091954022462</v>
      </c>
      <c r="Q1042">
        <f t="shared" si="1025"/>
        <v>358458.48283907771</v>
      </c>
      <c r="R1042">
        <f t="shared" si="1026"/>
        <v>657482.0378156635</v>
      </c>
      <c r="S1042">
        <f t="shared" si="1027"/>
        <v>6.5748203781566348</v>
      </c>
      <c r="T1042">
        <f t="shared" si="1028"/>
        <v>6.5748203781566348E-3</v>
      </c>
    </row>
    <row r="1043" spans="1:20" x14ac:dyDescent="0.25">
      <c r="A1043" s="5">
        <v>43550</v>
      </c>
      <c r="B1043">
        <v>8.9220000000000006</v>
      </c>
      <c r="C1043">
        <v>8.98</v>
      </c>
      <c r="D1043">
        <v>8.51</v>
      </c>
      <c r="E1043">
        <v>8.8670000000000009</v>
      </c>
      <c r="F1043">
        <v>331556.56300000002</v>
      </c>
      <c r="G1043">
        <v>0</v>
      </c>
      <c r="P1043">
        <f t="shared" si="1024"/>
        <v>0.5191489361702154</v>
      </c>
      <c r="Q1043">
        <f t="shared" si="1025"/>
        <v>172127.23696170302</v>
      </c>
      <c r="R1043">
        <f t="shared" si="1026"/>
        <v>299023.55497658579</v>
      </c>
      <c r="S1043">
        <f t="shared" si="1027"/>
        <v>2.9902355497658579</v>
      </c>
      <c r="T1043">
        <f t="shared" si="1028"/>
        <v>2.9902355497658578E-3</v>
      </c>
    </row>
    <row r="1044" spans="1:20" x14ac:dyDescent="0.25">
      <c r="A1044" s="5">
        <v>43549</v>
      </c>
      <c r="B1044">
        <v>9.1240000000000006</v>
      </c>
      <c r="C1044">
        <v>9.2789999999999999</v>
      </c>
      <c r="D1044">
        <v>8.3450000000000006</v>
      </c>
      <c r="E1044">
        <v>8.9169999999999998</v>
      </c>
      <c r="F1044">
        <v>595090.19299999997</v>
      </c>
      <c r="G1044">
        <v>0</v>
      </c>
      <c r="P1044">
        <f t="shared" si="1024"/>
        <v>0.2248394004282647</v>
      </c>
      <c r="Q1044">
        <f t="shared" si="1025"/>
        <v>133799.72219486031</v>
      </c>
      <c r="R1044">
        <f t="shared" si="1026"/>
        <v>126896.31801488278</v>
      </c>
      <c r="S1044">
        <f t="shared" si="1027"/>
        <v>1.2689631801488279</v>
      </c>
      <c r="T1044">
        <f t="shared" si="1028"/>
        <v>1.2689631801488278E-3</v>
      </c>
    </row>
    <row r="1045" spans="1:20" x14ac:dyDescent="0.25">
      <c r="A1045" s="5">
        <v>43548</v>
      </c>
      <c r="B1045">
        <v>9.3539999999999992</v>
      </c>
      <c r="C1045">
        <v>9.3539999999999992</v>
      </c>
      <c r="D1045">
        <v>8.9610000000000003</v>
      </c>
      <c r="E1045">
        <v>9.1240000000000006</v>
      </c>
      <c r="F1045">
        <v>385699.25699999998</v>
      </c>
      <c r="G1045">
        <v>0</v>
      </c>
      <c r="P1045">
        <f t="shared" si="1024"/>
        <v>-0.17048346055979283</v>
      </c>
      <c r="Q1045">
        <f t="shared" si="1025"/>
        <v>-65755.344068700899</v>
      </c>
      <c r="R1045">
        <f t="shared" si="1026"/>
        <v>-6903.4041799775296</v>
      </c>
      <c r="S1045">
        <f t="shared" si="1027"/>
        <v>-6.9034041799775292E-2</v>
      </c>
      <c r="T1045">
        <f t="shared" si="1028"/>
        <v>-6.9034041799775287E-5</v>
      </c>
    </row>
    <row r="1046" spans="1:20" x14ac:dyDescent="0.25">
      <c r="A1046" s="5">
        <v>43547</v>
      </c>
      <c r="B1046">
        <v>9.1509999999999998</v>
      </c>
      <c r="C1046">
        <v>9.3640000000000008</v>
      </c>
      <c r="D1046">
        <v>9.0950000000000006</v>
      </c>
      <c r="E1046">
        <v>9.3539999999999992</v>
      </c>
      <c r="F1046">
        <v>344889.837</v>
      </c>
      <c r="G1046">
        <v>0</v>
      </c>
      <c r="P1046">
        <f t="shared" si="1024"/>
        <v>0.92565055762080628</v>
      </c>
      <c r="Q1046">
        <f t="shared" si="1025"/>
        <v>319247.46993679897</v>
      </c>
      <c r="R1046">
        <f t="shared" si="1026"/>
        <v>58851.939888723369</v>
      </c>
      <c r="S1046">
        <f t="shared" si="1027"/>
        <v>0.5885193988872337</v>
      </c>
      <c r="T1046">
        <f t="shared" si="1028"/>
        <v>5.885193988872337E-4</v>
      </c>
    </row>
    <row r="1047" spans="1:20" x14ac:dyDescent="0.25">
      <c r="A1047" s="5">
        <v>43546</v>
      </c>
      <c r="B1047">
        <v>8.9179999999999993</v>
      </c>
      <c r="C1047">
        <v>9.2430000000000003</v>
      </c>
      <c r="D1047">
        <v>8.8960000000000008</v>
      </c>
      <c r="E1047">
        <v>9.1509999999999998</v>
      </c>
      <c r="F1047">
        <v>290957.712</v>
      </c>
      <c r="G1047">
        <v>0</v>
      </c>
      <c r="P1047">
        <f t="shared" si="1024"/>
        <v>0.46974063400575994</v>
      </c>
      <c r="Q1047">
        <f t="shared" si="1025"/>
        <v>136674.66010374529</v>
      </c>
      <c r="R1047">
        <f t="shared" si="1026"/>
        <v>-260395.5300480756</v>
      </c>
      <c r="S1047">
        <f t="shared" si="1027"/>
        <v>-2.6039553004807559</v>
      </c>
      <c r="T1047">
        <f t="shared" si="1028"/>
        <v>-2.603955300480756E-3</v>
      </c>
    </row>
    <row r="1048" spans="1:20" x14ac:dyDescent="0.25">
      <c r="A1048" s="5">
        <v>43545</v>
      </c>
      <c r="B1048">
        <v>9.3059999999999992</v>
      </c>
      <c r="C1048">
        <v>9.375</v>
      </c>
      <c r="D1048">
        <v>8.65</v>
      </c>
      <c r="E1048">
        <v>8.9209999999999994</v>
      </c>
      <c r="F1048">
        <v>499539.92499999999</v>
      </c>
      <c r="G1048">
        <v>0</v>
      </c>
      <c r="P1048">
        <f t="shared" si="1024"/>
        <v>-0.25241379310345063</v>
      </c>
      <c r="Q1048">
        <f t="shared" si="1025"/>
        <v>-126090.76727586324</v>
      </c>
      <c r="R1048">
        <f t="shared" si="1026"/>
        <v>-397070.19015182089</v>
      </c>
      <c r="S1048">
        <f t="shared" si="1027"/>
        <v>-3.970701901518209</v>
      </c>
      <c r="T1048">
        <f t="shared" si="1028"/>
        <v>-3.9707019015182091E-3</v>
      </c>
    </row>
    <row r="1049" spans="1:20" x14ac:dyDescent="0.25">
      <c r="A1049" s="5">
        <v>43544</v>
      </c>
      <c r="B1049">
        <v>9.1639999999999997</v>
      </c>
      <c r="C1049">
        <v>9.3209999999999997</v>
      </c>
      <c r="D1049">
        <v>8.92</v>
      </c>
      <c r="E1049">
        <v>9.3059999999999992</v>
      </c>
      <c r="F1049">
        <v>485651.23300000001</v>
      </c>
      <c r="G1049">
        <v>0</v>
      </c>
      <c r="P1049">
        <f t="shared" si="1024"/>
        <v>0.92518703241894973</v>
      </c>
      <c r="Q1049">
        <f t="shared" si="1025"/>
        <v>449318.22304987389</v>
      </c>
      <c r="R1049">
        <f t="shared" si="1026"/>
        <v>-270979.42287595762</v>
      </c>
      <c r="S1049">
        <f t="shared" si="1027"/>
        <v>-2.7097942287595762</v>
      </c>
      <c r="T1049">
        <f t="shared" si="1028"/>
        <v>-2.7097942287595761E-3</v>
      </c>
    </row>
    <row r="1050" spans="1:20" x14ac:dyDescent="0.25">
      <c r="A1050" s="5">
        <v>43543</v>
      </c>
      <c r="B1050">
        <v>9.1029999999999998</v>
      </c>
      <c r="C1050">
        <v>9.2219999999999995</v>
      </c>
      <c r="D1050">
        <v>8.98</v>
      </c>
      <c r="E1050">
        <v>9.1639999999999997</v>
      </c>
      <c r="F1050">
        <v>425412.11599999998</v>
      </c>
      <c r="G1050">
        <v>0</v>
      </c>
      <c r="P1050">
        <f t="shared" si="1024"/>
        <v>0.52066115702479299</v>
      </c>
      <c r="Q1050">
        <f t="shared" si="1025"/>
        <v>221495.56452892543</v>
      </c>
      <c r="R1050">
        <f t="shared" si="1026"/>
        <v>-720297.64592583152</v>
      </c>
      <c r="S1050">
        <f t="shared" si="1027"/>
        <v>-7.2029764592583154</v>
      </c>
      <c r="T1050">
        <f t="shared" si="1028"/>
        <v>-7.2029764592583152E-3</v>
      </c>
    </row>
    <row r="1051" spans="1:20" x14ac:dyDescent="0.25">
      <c r="A1051" s="5">
        <v>43542</v>
      </c>
      <c r="B1051">
        <v>9.1859999999999999</v>
      </c>
      <c r="C1051">
        <v>9.2899999999999991</v>
      </c>
      <c r="D1051">
        <v>8.9700000000000006</v>
      </c>
      <c r="E1051">
        <v>9.1080000000000005</v>
      </c>
      <c r="F1051">
        <v>570820.55299999996</v>
      </c>
      <c r="G1051">
        <v>0</v>
      </c>
      <c r="P1051">
        <f t="shared" si="1024"/>
        <v>-0.1374999999999966</v>
      </c>
      <c r="Q1051">
        <f t="shared" si="1025"/>
        <v>-78487.826037498045</v>
      </c>
      <c r="R1051">
        <f t="shared" si="1026"/>
        <v>-941793.21045475698</v>
      </c>
      <c r="S1051">
        <f t="shared" si="1027"/>
        <v>-9.4179321045475692</v>
      </c>
      <c r="T1051">
        <f t="shared" si="1028"/>
        <v>-9.4179321045475689E-3</v>
      </c>
    </row>
    <row r="1052" spans="1:20" x14ac:dyDescent="0.25">
      <c r="A1052" s="5">
        <v>43541</v>
      </c>
      <c r="B1052">
        <v>9.4130000000000003</v>
      </c>
      <c r="C1052">
        <v>9.4489999999999998</v>
      </c>
      <c r="D1052">
        <v>9.1</v>
      </c>
      <c r="E1052">
        <v>9.1859999999999999</v>
      </c>
      <c r="F1052">
        <v>539318.32499999995</v>
      </c>
      <c r="G1052">
        <v>0</v>
      </c>
      <c r="P1052">
        <f t="shared" si="1024"/>
        <v>-0.5071633237822335</v>
      </c>
      <c r="Q1052">
        <f t="shared" si="1025"/>
        <v>-273522.47428366682</v>
      </c>
      <c r="R1052">
        <f t="shared" si="1026"/>
        <v>-863305.3844172589</v>
      </c>
      <c r="S1052">
        <f t="shared" si="1027"/>
        <v>-8.6330538441725881</v>
      </c>
      <c r="T1052">
        <f t="shared" si="1028"/>
        <v>-8.6330538441725876E-3</v>
      </c>
    </row>
    <row r="1053" spans="1:20" x14ac:dyDescent="0.25">
      <c r="A1053" s="5">
        <v>43540</v>
      </c>
      <c r="B1053">
        <v>9.2170000000000005</v>
      </c>
      <c r="C1053">
        <v>9.75</v>
      </c>
      <c r="D1053">
        <v>9.1999999999999993</v>
      </c>
      <c r="E1053">
        <v>9.4160000000000004</v>
      </c>
      <c r="F1053">
        <v>691600.598</v>
      </c>
      <c r="G1053">
        <v>0</v>
      </c>
      <c r="P1053">
        <f t="shared" si="1024"/>
        <v>-0.21454545454545162</v>
      </c>
      <c r="Q1053">
        <f t="shared" si="1025"/>
        <v>-148379.76466181615</v>
      </c>
      <c r="R1053">
        <f t="shared" si="1026"/>
        <v>-589782.91013359209</v>
      </c>
      <c r="S1053">
        <f t="shared" si="1027"/>
        <v>-5.8978291013359208</v>
      </c>
      <c r="T1053">
        <f t="shared" si="1028"/>
        <v>-5.8978291013359208E-3</v>
      </c>
    </row>
    <row r="1054" spans="1:20" x14ac:dyDescent="0.25">
      <c r="A1054" s="5">
        <v>43539</v>
      </c>
      <c r="B1054">
        <v>9.2729999999999997</v>
      </c>
      <c r="C1054">
        <v>9.3260000000000005</v>
      </c>
      <c r="D1054">
        <v>9.0749999999999993</v>
      </c>
      <c r="E1054">
        <v>9.2230000000000008</v>
      </c>
      <c r="F1054">
        <v>495875.53200000001</v>
      </c>
      <c r="G1054">
        <v>0</v>
      </c>
      <c r="P1054">
        <f t="shared" si="1024"/>
        <v>0.17928286852590233</v>
      </c>
      <c r="Q1054">
        <f t="shared" si="1025"/>
        <v>88901.987808767881</v>
      </c>
      <c r="R1054">
        <f t="shared" si="1026"/>
        <v>-441403.14547177596</v>
      </c>
      <c r="S1054">
        <f t="shared" si="1027"/>
        <v>-4.4140314547177599</v>
      </c>
      <c r="T1054">
        <f t="shared" si="1028"/>
        <v>-4.4140314547177597E-3</v>
      </c>
    </row>
    <row r="1055" spans="1:20" x14ac:dyDescent="0.25">
      <c r="A1055" s="5">
        <v>43538</v>
      </c>
      <c r="B1055">
        <v>8.9019999999999992</v>
      </c>
      <c r="C1055">
        <v>9.3230000000000004</v>
      </c>
      <c r="D1055">
        <v>8.7270000000000003</v>
      </c>
      <c r="E1055">
        <v>9.2669999999999995</v>
      </c>
      <c r="F1055">
        <v>806512.88500000001</v>
      </c>
      <c r="G1055">
        <v>0</v>
      </c>
      <c r="P1055">
        <f t="shared" si="1024"/>
        <v>0.81208053691274851</v>
      </c>
      <c r="Q1055">
        <f t="shared" si="1025"/>
        <v>654953.41667784983</v>
      </c>
      <c r="R1055">
        <f t="shared" si="1026"/>
        <v>-530305.13328054384</v>
      </c>
      <c r="S1055">
        <f t="shared" si="1027"/>
        <v>-5.3030513328054383</v>
      </c>
      <c r="T1055">
        <f t="shared" si="1028"/>
        <v>-5.3030513328054382E-3</v>
      </c>
    </row>
    <row r="1056" spans="1:20" x14ac:dyDescent="0.25">
      <c r="A1056" s="5">
        <v>43537</v>
      </c>
      <c r="B1056">
        <v>8.8209999999999997</v>
      </c>
      <c r="C1056">
        <v>9.1189999999999998</v>
      </c>
      <c r="D1056">
        <v>8.7100000000000009</v>
      </c>
      <c r="E1056">
        <v>8.9109999999999996</v>
      </c>
      <c r="F1056">
        <v>633738.74600000004</v>
      </c>
      <c r="G1056">
        <v>0</v>
      </c>
      <c r="P1056">
        <f t="shared" si="1024"/>
        <v>-1.7114914425431463E-2</v>
      </c>
      <c r="Q1056">
        <f t="shared" si="1025"/>
        <v>-10846.384405870247</v>
      </c>
      <c r="R1056">
        <f t="shared" si="1026"/>
        <v>-1185258.5499583937</v>
      </c>
      <c r="S1056">
        <f t="shared" si="1027"/>
        <v>-11.852585499583936</v>
      </c>
      <c r="T1056">
        <f t="shared" si="1028"/>
        <v>-1.1852585499583936E-2</v>
      </c>
    </row>
    <row r="1057" spans="1:20" x14ac:dyDescent="0.25">
      <c r="A1057" s="5">
        <v>43536</v>
      </c>
      <c r="B1057">
        <v>8.7240000000000002</v>
      </c>
      <c r="C1057">
        <v>8.9499999999999993</v>
      </c>
      <c r="D1057">
        <v>8.5500000000000007</v>
      </c>
      <c r="E1057">
        <v>8.8260000000000005</v>
      </c>
      <c r="F1057">
        <v>334837.33399999997</v>
      </c>
      <c r="G1057">
        <v>0</v>
      </c>
      <c r="P1057">
        <f t="shared" si="1024"/>
        <v>0.38000000000000389</v>
      </c>
      <c r="Q1057">
        <f t="shared" si="1025"/>
        <v>127238.18692000129</v>
      </c>
      <c r="R1057">
        <f t="shared" si="1026"/>
        <v>-1174412.1655525235</v>
      </c>
      <c r="S1057">
        <f t="shared" si="1027"/>
        <v>-11.744121655525234</v>
      </c>
      <c r="T1057">
        <f t="shared" si="1028"/>
        <v>-1.1744121655525235E-2</v>
      </c>
    </row>
    <row r="1058" spans="1:20" x14ac:dyDescent="0.25">
      <c r="A1058" s="5">
        <v>43535</v>
      </c>
      <c r="B1058">
        <v>8.7569999999999997</v>
      </c>
      <c r="C1058">
        <v>8.85</v>
      </c>
      <c r="D1058">
        <v>8.4580000000000002</v>
      </c>
      <c r="E1058">
        <v>8.7240000000000002</v>
      </c>
      <c r="F1058">
        <v>411465.66499999998</v>
      </c>
      <c r="G1058">
        <v>0</v>
      </c>
      <c r="P1058">
        <f t="shared" si="1024"/>
        <v>0.35714285714285909</v>
      </c>
      <c r="Q1058">
        <f t="shared" si="1025"/>
        <v>146952.02321428651</v>
      </c>
      <c r="R1058">
        <f t="shared" si="1026"/>
        <v>-1301650.3524725246</v>
      </c>
      <c r="S1058">
        <f t="shared" si="1027"/>
        <v>-13.016503524725247</v>
      </c>
      <c r="T1058">
        <f t="shared" si="1028"/>
        <v>-1.3016503524725246E-2</v>
      </c>
    </row>
    <row r="1059" spans="1:20" x14ac:dyDescent="0.25">
      <c r="A1059" s="5">
        <v>43534</v>
      </c>
      <c r="B1059">
        <v>8.9629999999999992</v>
      </c>
      <c r="C1059">
        <v>9.0289999999999999</v>
      </c>
      <c r="D1059">
        <v>8.6150000000000002</v>
      </c>
      <c r="E1059">
        <v>8.7639999999999993</v>
      </c>
      <c r="F1059">
        <v>384958.97</v>
      </c>
      <c r="G1059">
        <v>0</v>
      </c>
      <c r="P1059">
        <f t="shared" si="1024"/>
        <v>-0.28019323671497953</v>
      </c>
      <c r="Q1059">
        <f t="shared" si="1025"/>
        <v>-107862.89980676469</v>
      </c>
      <c r="R1059">
        <f t="shared" si="1026"/>
        <v>-1448602.3756868111</v>
      </c>
      <c r="S1059">
        <f t="shared" si="1027"/>
        <v>-14.486023756868111</v>
      </c>
      <c r="T1059">
        <f t="shared" si="1028"/>
        <v>-1.4486023756868111E-2</v>
      </c>
    </row>
    <row r="1060" spans="1:20" x14ac:dyDescent="0.25">
      <c r="A1060" s="5">
        <v>43533</v>
      </c>
      <c r="B1060">
        <v>8.7590000000000003</v>
      </c>
      <c r="C1060">
        <v>9.125</v>
      </c>
      <c r="D1060">
        <v>8.7189999999999994</v>
      </c>
      <c r="E1060">
        <v>8.9629999999999992</v>
      </c>
      <c r="F1060">
        <v>532005.27599999995</v>
      </c>
      <c r="G1060">
        <v>0</v>
      </c>
      <c r="P1060">
        <f t="shared" si="1024"/>
        <v>0.20197044334975084</v>
      </c>
      <c r="Q1060">
        <f t="shared" si="1025"/>
        <v>107449.34145812655</v>
      </c>
      <c r="R1060">
        <f t="shared" si="1026"/>
        <v>-1340739.4758800464</v>
      </c>
      <c r="S1060">
        <f t="shared" si="1027"/>
        <v>-13.407394758800464</v>
      </c>
      <c r="T1060">
        <f t="shared" si="1028"/>
        <v>-1.3407394758800465E-2</v>
      </c>
    </row>
    <row r="1061" spans="1:20" x14ac:dyDescent="0.25">
      <c r="A1061" s="5">
        <v>43532</v>
      </c>
      <c r="B1061">
        <v>9.1780000000000008</v>
      </c>
      <c r="C1061">
        <v>9.2270000000000003</v>
      </c>
      <c r="D1061">
        <v>8.6129999999999995</v>
      </c>
      <c r="E1061">
        <v>8.7650000000000006</v>
      </c>
      <c r="F1061">
        <v>720553.43200000003</v>
      </c>
      <c r="G1061">
        <v>0</v>
      </c>
      <c r="P1061">
        <f t="shared" si="1024"/>
        <v>-0.50488599348533936</v>
      </c>
      <c r="Q1061">
        <f t="shared" si="1025"/>
        <v>-363797.33537459094</v>
      </c>
      <c r="R1061">
        <f t="shared" si="1026"/>
        <v>-1448188.8173381728</v>
      </c>
      <c r="S1061">
        <f t="shared" si="1027"/>
        <v>-14.481888173381728</v>
      </c>
      <c r="T1061">
        <f t="shared" si="1028"/>
        <v>-1.4481888173381727E-2</v>
      </c>
    </row>
    <row r="1062" spans="1:20" x14ac:dyDescent="0.25">
      <c r="A1062" s="5">
        <v>43531</v>
      </c>
      <c r="B1062">
        <v>8.7040000000000006</v>
      </c>
      <c r="C1062">
        <v>9.2899999999999991</v>
      </c>
      <c r="D1062">
        <v>8.65</v>
      </c>
      <c r="E1062">
        <v>9.1750000000000007</v>
      </c>
      <c r="F1062">
        <v>692860.79299999995</v>
      </c>
      <c r="G1062">
        <v>0</v>
      </c>
      <c r="P1062">
        <f t="shared" si="1024"/>
        <v>0.64062500000000422</v>
      </c>
      <c r="Q1062">
        <f t="shared" si="1025"/>
        <v>443863.94551562791</v>
      </c>
      <c r="R1062">
        <f t="shared" si="1026"/>
        <v>-1084391.4819635819</v>
      </c>
      <c r="S1062">
        <f t="shared" si="1027"/>
        <v>-10.843914819635819</v>
      </c>
      <c r="T1062">
        <f t="shared" si="1028"/>
        <v>-1.0843914819635819E-2</v>
      </c>
    </row>
    <row r="1063" spans="1:20" x14ac:dyDescent="0.25">
      <c r="A1063" s="5">
        <v>43530</v>
      </c>
      <c r="B1063">
        <v>8.74</v>
      </c>
      <c r="C1063">
        <v>8.8879999999999999</v>
      </c>
      <c r="D1063">
        <v>8.5380000000000003</v>
      </c>
      <c r="E1063">
        <v>8.7050000000000001</v>
      </c>
      <c r="F1063">
        <v>453773.64399999997</v>
      </c>
      <c r="G1063">
        <v>0</v>
      </c>
      <c r="P1063">
        <f t="shared" si="1024"/>
        <v>-4.5714285714285804E-2</v>
      </c>
      <c r="Q1063">
        <f t="shared" si="1025"/>
        <v>-20743.93801142861</v>
      </c>
      <c r="R1063">
        <f t="shared" si="1026"/>
        <v>-1528255.4274792098</v>
      </c>
      <c r="S1063">
        <f t="shared" si="1027"/>
        <v>-15.282554274792098</v>
      </c>
      <c r="T1063">
        <f t="shared" si="1028"/>
        <v>-1.5282554274792097E-2</v>
      </c>
    </row>
    <row r="1064" spans="1:20" x14ac:dyDescent="0.25">
      <c r="A1064" s="5">
        <v>43529</v>
      </c>
      <c r="B1064">
        <v>8.1649999999999991</v>
      </c>
      <c r="C1064">
        <v>8.8650000000000002</v>
      </c>
      <c r="D1064">
        <v>8.0860000000000003</v>
      </c>
      <c r="E1064">
        <v>8.7390000000000008</v>
      </c>
      <c r="F1064">
        <v>675039.25699999998</v>
      </c>
      <c r="G1064">
        <v>0</v>
      </c>
      <c r="P1064">
        <f t="shared" si="1024"/>
        <v>0.67650834403081017</v>
      </c>
      <c r="Q1064">
        <f t="shared" si="1025"/>
        <v>456669.68990885845</v>
      </c>
      <c r="R1064">
        <f t="shared" si="1026"/>
        <v>-1507511.4894677813</v>
      </c>
      <c r="S1064">
        <f t="shared" si="1027"/>
        <v>-15.075114894677812</v>
      </c>
      <c r="T1064">
        <f t="shared" si="1028"/>
        <v>-1.5075114894677812E-2</v>
      </c>
    </row>
    <row r="1065" spans="1:20" x14ac:dyDescent="0.25">
      <c r="A1065" s="5">
        <v>43528</v>
      </c>
      <c r="B1065">
        <v>8.6110000000000007</v>
      </c>
      <c r="C1065">
        <v>8.6630000000000003</v>
      </c>
      <c r="D1065">
        <v>7.9020000000000001</v>
      </c>
      <c r="E1065">
        <v>8.1630000000000003</v>
      </c>
      <c r="F1065">
        <v>689993.755</v>
      </c>
      <c r="G1065">
        <v>0</v>
      </c>
      <c r="P1065">
        <f t="shared" si="1024"/>
        <v>-0.31406044678055167</v>
      </c>
      <c r="Q1065">
        <f t="shared" si="1025"/>
        <v>-216699.7469710905</v>
      </c>
      <c r="R1065">
        <f t="shared" si="1026"/>
        <v>-1964181.1793766397</v>
      </c>
      <c r="S1065">
        <f t="shared" si="1027"/>
        <v>-19.641811793766397</v>
      </c>
      <c r="T1065">
        <f t="shared" si="1028"/>
        <v>-1.9641811793766398E-2</v>
      </c>
    </row>
    <row r="1066" spans="1:20" x14ac:dyDescent="0.25">
      <c r="A1066" s="5">
        <v>43527</v>
      </c>
      <c r="B1066">
        <v>8.6969999999999992</v>
      </c>
      <c r="C1066">
        <v>8.8339999999999996</v>
      </c>
      <c r="D1066">
        <v>8.5380000000000003</v>
      </c>
      <c r="E1066">
        <v>8.6199999999999992</v>
      </c>
      <c r="F1066">
        <v>294919.39500000002</v>
      </c>
      <c r="G1066">
        <v>0</v>
      </c>
      <c r="P1066">
        <f t="shared" si="1024"/>
        <v>-0.44594594594595177</v>
      </c>
      <c r="Q1066">
        <f t="shared" si="1025"/>
        <v>-131518.10858108281</v>
      </c>
      <c r="R1066">
        <f t="shared" si="1026"/>
        <v>-1747481.4324055491</v>
      </c>
      <c r="S1066">
        <f t="shared" si="1027"/>
        <v>-17.47481432405549</v>
      </c>
      <c r="T1066">
        <f t="shared" si="1028"/>
        <v>-1.7474814324055489E-2</v>
      </c>
    </row>
    <row r="1067" spans="1:20" x14ac:dyDescent="0.25">
      <c r="A1067" s="5">
        <v>43526</v>
      </c>
      <c r="B1067">
        <v>8.9459999999999997</v>
      </c>
      <c r="C1067">
        <v>9.0749999999999993</v>
      </c>
      <c r="D1067">
        <v>8.6259999999999994</v>
      </c>
      <c r="E1067">
        <v>8.6969999999999992</v>
      </c>
      <c r="F1067">
        <v>432025.14199999999</v>
      </c>
      <c r="G1067">
        <v>0</v>
      </c>
      <c r="P1067">
        <f t="shared" si="1024"/>
        <v>-0.6837416481069053</v>
      </c>
      <c r="Q1067">
        <f t="shared" si="1025"/>
        <v>-295393.58261469979</v>
      </c>
      <c r="R1067">
        <f t="shared" si="1026"/>
        <v>-1615963.3238244662</v>
      </c>
      <c r="S1067">
        <f t="shared" si="1027"/>
        <v>-16.159633238244663</v>
      </c>
      <c r="T1067">
        <f t="shared" si="1028"/>
        <v>-1.6159633238244663E-2</v>
      </c>
    </row>
    <row r="1068" spans="1:20" x14ac:dyDescent="0.25">
      <c r="A1068" s="5">
        <v>43525</v>
      </c>
      <c r="B1068">
        <v>8.8160000000000007</v>
      </c>
      <c r="C1068">
        <v>9.2750000000000004</v>
      </c>
      <c r="D1068">
        <v>8.7509999999999994</v>
      </c>
      <c r="E1068">
        <v>8.9469999999999992</v>
      </c>
      <c r="F1068">
        <v>518228.13</v>
      </c>
      <c r="G1068">
        <v>0</v>
      </c>
      <c r="P1068">
        <f t="shared" si="1024"/>
        <v>-0.25190839694656719</v>
      </c>
      <c r="Q1068">
        <f t="shared" si="1025"/>
        <v>-130546.01748091723</v>
      </c>
      <c r="R1068">
        <f t="shared" si="1026"/>
        <v>-1320569.7412097664</v>
      </c>
      <c r="S1068">
        <f t="shared" si="1027"/>
        <v>-13.205697412097663</v>
      </c>
      <c r="T1068">
        <f t="shared" si="1028"/>
        <v>-1.3205697412097664E-2</v>
      </c>
    </row>
    <row r="1069" spans="1:20" x14ac:dyDescent="0.25">
      <c r="A1069" s="5">
        <v>43524</v>
      </c>
      <c r="B1069">
        <v>8.8689999999999998</v>
      </c>
      <c r="C1069">
        <v>9.0419999999999998</v>
      </c>
      <c r="D1069">
        <v>8.6999999999999993</v>
      </c>
      <c r="E1069">
        <v>8.8130000000000006</v>
      </c>
      <c r="F1069">
        <v>663169.23899999994</v>
      </c>
      <c r="G1069">
        <v>0</v>
      </c>
      <c r="P1069">
        <f t="shared" si="1024"/>
        <v>-0.33918128654970087</v>
      </c>
      <c r="Q1069">
        <f t="shared" si="1025"/>
        <v>-224934.59568420603</v>
      </c>
      <c r="R1069">
        <f t="shared" si="1026"/>
        <v>-1190023.7237288491</v>
      </c>
      <c r="S1069">
        <f t="shared" si="1027"/>
        <v>-11.900237237288492</v>
      </c>
      <c r="T1069">
        <f t="shared" si="1028"/>
        <v>-1.1900237237288492E-2</v>
      </c>
    </row>
    <row r="1070" spans="1:20" x14ac:dyDescent="0.25">
      <c r="A1070" s="5">
        <v>43523</v>
      </c>
      <c r="B1070">
        <v>9.0549999999999997</v>
      </c>
      <c r="C1070">
        <v>9.1750000000000007</v>
      </c>
      <c r="D1070">
        <v>8.5500000000000007</v>
      </c>
      <c r="E1070">
        <v>8.8569999999999993</v>
      </c>
      <c r="F1070">
        <v>797431.071</v>
      </c>
      <c r="G1070">
        <v>0</v>
      </c>
      <c r="P1070">
        <f t="shared" si="1024"/>
        <v>-1.7600000000004456E-2</v>
      </c>
      <c r="Q1070">
        <f t="shared" si="1025"/>
        <v>-14034.786849603553</v>
      </c>
      <c r="R1070">
        <f t="shared" si="1026"/>
        <v>-965089.12804464297</v>
      </c>
      <c r="S1070">
        <f t="shared" si="1027"/>
        <v>-9.6508912804464302</v>
      </c>
      <c r="T1070">
        <f t="shared" si="1028"/>
        <v>-9.65089128044643E-3</v>
      </c>
    </row>
    <row r="1071" spans="1:20" x14ac:dyDescent="0.25">
      <c r="A1071" s="5">
        <v>43522</v>
      </c>
      <c r="B1071">
        <v>9.2040000000000006</v>
      </c>
      <c r="C1071">
        <v>9.4260000000000002</v>
      </c>
      <c r="D1071">
        <v>8.85</v>
      </c>
      <c r="E1071">
        <v>9.0530000000000008</v>
      </c>
      <c r="F1071">
        <v>823111.98600000003</v>
      </c>
      <c r="G1071">
        <v>0</v>
      </c>
      <c r="P1071">
        <f t="shared" si="1024"/>
        <v>-0.2951388888888854</v>
      </c>
      <c r="Q1071">
        <f t="shared" si="1025"/>
        <v>-242932.3569791638</v>
      </c>
      <c r="R1071">
        <f t="shared" si="1026"/>
        <v>-951054.34119503945</v>
      </c>
      <c r="S1071">
        <f t="shared" si="1027"/>
        <v>-9.510543411950394</v>
      </c>
      <c r="T1071">
        <f t="shared" si="1028"/>
        <v>-9.5105434119503937E-3</v>
      </c>
    </row>
    <row r="1072" spans="1:20" x14ac:dyDescent="0.25">
      <c r="A1072" s="5">
        <v>43521</v>
      </c>
      <c r="B1072">
        <v>8.9179999999999993</v>
      </c>
      <c r="C1072">
        <v>9.4429999999999996</v>
      </c>
      <c r="D1072">
        <v>8.7669999999999995</v>
      </c>
      <c r="E1072">
        <v>9.2040000000000006</v>
      </c>
      <c r="F1072">
        <v>1656410.7320000001</v>
      </c>
      <c r="G1072">
        <v>0</v>
      </c>
      <c r="P1072">
        <f t="shared" si="1024"/>
        <v>0.29289940828402683</v>
      </c>
      <c r="Q1072">
        <f t="shared" si="1025"/>
        <v>485161.72327811178</v>
      </c>
      <c r="R1072">
        <f t="shared" si="1026"/>
        <v>-708121.98421587562</v>
      </c>
      <c r="S1072">
        <f t="shared" si="1027"/>
        <v>-7.081219842158756</v>
      </c>
      <c r="T1072">
        <f t="shared" si="1028"/>
        <v>-7.0812198421587556E-3</v>
      </c>
    </row>
    <row r="1073" spans="1:20" x14ac:dyDescent="0.25">
      <c r="A1073" s="5">
        <v>43520</v>
      </c>
      <c r="B1073">
        <v>10.143000000000001</v>
      </c>
      <c r="C1073">
        <v>10.837</v>
      </c>
      <c r="D1073">
        <v>8.51</v>
      </c>
      <c r="E1073">
        <v>8.9079999999999995</v>
      </c>
      <c r="F1073">
        <v>3710382.9649999999</v>
      </c>
      <c r="G1073">
        <v>0</v>
      </c>
      <c r="P1073">
        <f t="shared" si="1024"/>
        <v>-0.65792866351525592</v>
      </c>
      <c r="Q1073">
        <f t="shared" si="1025"/>
        <v>-2441167.3052922226</v>
      </c>
      <c r="R1073">
        <f t="shared" si="1026"/>
        <v>-1193283.7074939874</v>
      </c>
      <c r="S1073">
        <f t="shared" si="1027"/>
        <v>-11.932837074939874</v>
      </c>
      <c r="T1073">
        <f t="shared" si="1028"/>
        <v>-1.1932837074939874E-2</v>
      </c>
    </row>
    <row r="1074" spans="1:20" x14ac:dyDescent="0.25">
      <c r="A1074" s="5">
        <v>43519</v>
      </c>
      <c r="B1074">
        <v>8.68</v>
      </c>
      <c r="C1074">
        <v>10.3</v>
      </c>
      <c r="D1074">
        <v>8.5</v>
      </c>
      <c r="E1074">
        <v>10.14</v>
      </c>
      <c r="F1074">
        <v>1875334.67</v>
      </c>
      <c r="G1074">
        <v>0</v>
      </c>
      <c r="P1074">
        <f t="shared" si="1024"/>
        <v>0.82222222222222219</v>
      </c>
      <c r="Q1074">
        <f t="shared" si="1025"/>
        <v>1541941.8397777777</v>
      </c>
      <c r="R1074">
        <f t="shared" si="1026"/>
        <v>1247883.5977982352</v>
      </c>
      <c r="S1074">
        <f t="shared" si="1027"/>
        <v>12.478835977982353</v>
      </c>
      <c r="T1074">
        <f t="shared" si="1028"/>
        <v>1.2478835977982354E-2</v>
      </c>
    </row>
    <row r="1075" spans="1:20" x14ac:dyDescent="0.25">
      <c r="A1075" s="5">
        <v>43518</v>
      </c>
      <c r="B1075">
        <v>8.5860000000000003</v>
      </c>
      <c r="C1075">
        <v>8.7929999999999993</v>
      </c>
      <c r="D1075">
        <v>8.5429999999999993</v>
      </c>
      <c r="E1075">
        <v>8.6780000000000008</v>
      </c>
      <c r="F1075">
        <v>552683.18599999999</v>
      </c>
      <c r="G1075">
        <v>0</v>
      </c>
      <c r="P1075">
        <f t="shared" si="1024"/>
        <v>8.0000000000012506E-2</v>
      </c>
      <c r="Q1075">
        <f t="shared" si="1025"/>
        <v>44214.654880006914</v>
      </c>
      <c r="R1075">
        <f t="shared" si="1026"/>
        <v>-294058.24197954254</v>
      </c>
      <c r="S1075">
        <f t="shared" si="1027"/>
        <v>-2.9405824197954256</v>
      </c>
      <c r="T1075">
        <f t="shared" si="1028"/>
        <v>-2.9405824197954256E-3</v>
      </c>
    </row>
    <row r="1076" spans="1:20" x14ac:dyDescent="0.25">
      <c r="A1076" s="5">
        <v>43517</v>
      </c>
      <c r="B1076">
        <v>9.11</v>
      </c>
      <c r="C1076">
        <v>9.1530000000000005</v>
      </c>
      <c r="D1076">
        <v>8.4570000000000007</v>
      </c>
      <c r="E1076">
        <v>8.5850000000000009</v>
      </c>
      <c r="F1076">
        <v>940158.63300000003</v>
      </c>
      <c r="G1076">
        <v>0</v>
      </c>
      <c r="P1076">
        <f t="shared" si="1024"/>
        <v>-0.63218390804597657</v>
      </c>
      <c r="Q1076">
        <f t="shared" si="1025"/>
        <v>-594353.15879310307</v>
      </c>
      <c r="R1076">
        <f t="shared" si="1026"/>
        <v>-338272.89685954945</v>
      </c>
      <c r="S1076">
        <f t="shared" si="1027"/>
        <v>-3.3827289685954947</v>
      </c>
      <c r="T1076">
        <f t="shared" si="1028"/>
        <v>-3.3827289685954948E-3</v>
      </c>
    </row>
    <row r="1077" spans="1:20" x14ac:dyDescent="0.25">
      <c r="A1077" s="5">
        <v>43516</v>
      </c>
      <c r="B1077">
        <v>8.8789999999999996</v>
      </c>
      <c r="C1077">
        <v>9.1790000000000003</v>
      </c>
      <c r="D1077">
        <v>8.7249999999999996</v>
      </c>
      <c r="E1077">
        <v>9.1069999999999993</v>
      </c>
      <c r="F1077">
        <v>888693.99600000004</v>
      </c>
      <c r="G1077">
        <v>0</v>
      </c>
      <c r="P1077">
        <f t="shared" si="1024"/>
        <v>0.6828193832599081</v>
      </c>
      <c r="Q1077">
        <f t="shared" si="1025"/>
        <v>606817.48625550326</v>
      </c>
      <c r="R1077">
        <f t="shared" si="1026"/>
        <v>256080.26193355361</v>
      </c>
      <c r="S1077">
        <f t="shared" si="1027"/>
        <v>2.560802619335536</v>
      </c>
      <c r="T1077">
        <f t="shared" si="1028"/>
        <v>2.560802619335536E-3</v>
      </c>
    </row>
    <row r="1078" spans="1:20" x14ac:dyDescent="0.25">
      <c r="A1078" s="5">
        <v>43515</v>
      </c>
      <c r="B1078">
        <v>8.7750000000000004</v>
      </c>
      <c r="C1078">
        <v>9.2270000000000003</v>
      </c>
      <c r="D1078">
        <v>8.609</v>
      </c>
      <c r="E1078">
        <v>8.8810000000000002</v>
      </c>
      <c r="F1078">
        <v>1286063.5490000001</v>
      </c>
      <c r="G1078">
        <v>0</v>
      </c>
      <c r="P1078">
        <f t="shared" si="1024"/>
        <v>-0.11974110032362428</v>
      </c>
      <c r="Q1078">
        <f t="shared" si="1025"/>
        <v>-153994.6644433653</v>
      </c>
      <c r="R1078">
        <f t="shared" si="1026"/>
        <v>-350737.22432194964</v>
      </c>
      <c r="S1078">
        <f t="shared" si="1027"/>
        <v>-3.5073722432194963</v>
      </c>
      <c r="T1078">
        <f t="shared" si="1028"/>
        <v>-3.5073722432194961E-3</v>
      </c>
    </row>
    <row r="1079" spans="1:20" x14ac:dyDescent="0.25">
      <c r="A1079" s="5">
        <v>43514</v>
      </c>
      <c r="B1079">
        <v>8.3800000000000008</v>
      </c>
      <c r="C1079">
        <v>8.8979999999999997</v>
      </c>
      <c r="D1079">
        <v>8.1750000000000007</v>
      </c>
      <c r="E1079">
        <v>8.7769999999999992</v>
      </c>
      <c r="F1079">
        <v>1300451.1399999999</v>
      </c>
      <c r="G1079">
        <v>0</v>
      </c>
      <c r="P1079">
        <f t="shared" si="1024"/>
        <v>0.6652835408022113</v>
      </c>
      <c r="Q1079">
        <f t="shared" si="1025"/>
        <v>865168.73905947211</v>
      </c>
      <c r="R1079">
        <f t="shared" si="1026"/>
        <v>-196742.55987858435</v>
      </c>
      <c r="S1079">
        <f t="shared" si="1027"/>
        <v>-1.9674255987858436</v>
      </c>
      <c r="T1079">
        <f t="shared" si="1028"/>
        <v>-1.9674255987858435E-3</v>
      </c>
    </row>
    <row r="1080" spans="1:20" x14ac:dyDescent="0.25">
      <c r="A1080" s="5">
        <v>43513</v>
      </c>
      <c r="B1080">
        <v>7.88</v>
      </c>
      <c r="C1080">
        <v>8.7460000000000004</v>
      </c>
      <c r="D1080">
        <v>7.8680000000000003</v>
      </c>
      <c r="E1080">
        <v>8.3810000000000002</v>
      </c>
      <c r="F1080">
        <v>1251296.8419999999</v>
      </c>
      <c r="G1080">
        <v>0</v>
      </c>
      <c r="P1080">
        <f t="shared" si="1024"/>
        <v>0.16856492027334813</v>
      </c>
      <c r="Q1080">
        <f t="shared" si="1025"/>
        <v>210924.75241002228</v>
      </c>
      <c r="R1080">
        <f t="shared" si="1026"/>
        <v>-1061911.2989380565</v>
      </c>
      <c r="S1080">
        <f t="shared" si="1027"/>
        <v>-10.619112989380564</v>
      </c>
      <c r="T1080">
        <f t="shared" si="1028"/>
        <v>-1.0619112989380565E-2</v>
      </c>
    </row>
    <row r="1081" spans="1:20" x14ac:dyDescent="0.25">
      <c r="A1081" s="5">
        <v>43512</v>
      </c>
      <c r="B1081">
        <v>8.08</v>
      </c>
      <c r="C1081">
        <v>8.2889999999999997</v>
      </c>
      <c r="D1081">
        <v>7.8479999999999999</v>
      </c>
      <c r="E1081">
        <v>7.8869999999999996</v>
      </c>
      <c r="F1081">
        <v>520648.57299999997</v>
      </c>
      <c r="G1081">
        <v>0</v>
      </c>
      <c r="P1081">
        <f t="shared" si="1024"/>
        <v>-0.82312925170068152</v>
      </c>
      <c r="Q1081">
        <f t="shared" si="1025"/>
        <v>-428561.07029251766</v>
      </c>
      <c r="R1081">
        <f t="shared" si="1026"/>
        <v>-1272836.0513480788</v>
      </c>
      <c r="S1081">
        <f t="shared" si="1027"/>
        <v>-12.728360513480787</v>
      </c>
      <c r="T1081">
        <f t="shared" si="1028"/>
        <v>-1.2728360513480787E-2</v>
      </c>
    </row>
    <row r="1082" spans="1:20" x14ac:dyDescent="0.25">
      <c r="A1082" s="5">
        <v>43511</v>
      </c>
      <c r="B1082">
        <v>7.8789999999999996</v>
      </c>
      <c r="C1082">
        <v>8.4</v>
      </c>
      <c r="D1082">
        <v>7.8250000000000002</v>
      </c>
      <c r="E1082">
        <v>8.0869999999999997</v>
      </c>
      <c r="F1082">
        <v>521098.44199999998</v>
      </c>
      <c r="G1082">
        <v>0</v>
      </c>
      <c r="P1082">
        <f t="shared" si="1024"/>
        <v>-8.8695652173914827E-2</v>
      </c>
      <c r="Q1082">
        <f t="shared" si="1025"/>
        <v>-46219.166160000925</v>
      </c>
      <c r="R1082">
        <f t="shared" si="1026"/>
        <v>-844274.9810555611</v>
      </c>
      <c r="S1082">
        <f t="shared" si="1027"/>
        <v>-8.4427498105556111</v>
      </c>
      <c r="T1082">
        <f t="shared" si="1028"/>
        <v>-8.4427498105556116E-3</v>
      </c>
    </row>
    <row r="1083" spans="1:20" x14ac:dyDescent="0.25">
      <c r="A1083" s="5">
        <v>43510</v>
      </c>
      <c r="B1083">
        <v>8.218</v>
      </c>
      <c r="C1083">
        <v>8.2579999999999991</v>
      </c>
      <c r="D1083">
        <v>7.7140000000000004</v>
      </c>
      <c r="E1083">
        <v>7.8879999999999999</v>
      </c>
      <c r="F1083">
        <v>632410.54200000002</v>
      </c>
      <c r="G1083">
        <v>0</v>
      </c>
      <c r="P1083">
        <f t="shared" si="1024"/>
        <v>-0.36029411764705921</v>
      </c>
      <c r="Q1083">
        <f t="shared" si="1025"/>
        <v>-227853.79822058848</v>
      </c>
      <c r="R1083">
        <f t="shared" si="1026"/>
        <v>-798055.81489556015</v>
      </c>
      <c r="S1083">
        <f t="shared" si="1027"/>
        <v>-7.9805581489556019</v>
      </c>
      <c r="T1083">
        <f t="shared" si="1028"/>
        <v>-7.9805581489556018E-3</v>
      </c>
    </row>
    <row r="1084" spans="1:20" x14ac:dyDescent="0.25">
      <c r="A1084" s="5">
        <v>43509</v>
      </c>
      <c r="B1084">
        <v>8.202</v>
      </c>
      <c r="C1084">
        <v>8.49</v>
      </c>
      <c r="D1084">
        <v>8.0510000000000002</v>
      </c>
      <c r="E1084">
        <v>8.2240000000000002</v>
      </c>
      <c r="F1084">
        <v>627371.34100000001</v>
      </c>
      <c r="G1084">
        <v>0</v>
      </c>
      <c r="P1084">
        <f t="shared" si="1024"/>
        <v>-0.21184510250569466</v>
      </c>
      <c r="Q1084">
        <f t="shared" si="1025"/>
        <v>-132905.54604328013</v>
      </c>
      <c r="R1084">
        <f t="shared" si="1026"/>
        <v>-570202.01667497167</v>
      </c>
      <c r="S1084">
        <f t="shared" si="1027"/>
        <v>-5.7020201667497163</v>
      </c>
      <c r="T1084">
        <f t="shared" si="1028"/>
        <v>-5.702020166749716E-3</v>
      </c>
    </row>
    <row r="1085" spans="1:20" x14ac:dyDescent="0.25">
      <c r="A1085" s="5">
        <v>43508</v>
      </c>
      <c r="B1085">
        <v>8.1229999999999993</v>
      </c>
      <c r="C1085">
        <v>8.44</v>
      </c>
      <c r="D1085">
        <v>7.8410000000000002</v>
      </c>
      <c r="E1085">
        <v>8.1890000000000001</v>
      </c>
      <c r="F1085">
        <v>1076352.666</v>
      </c>
      <c r="G1085">
        <v>0</v>
      </c>
      <c r="P1085">
        <f t="shared" si="1024"/>
        <v>0.16193656093489237</v>
      </c>
      <c r="Q1085">
        <f t="shared" si="1025"/>
        <v>174300.84908514284</v>
      </c>
      <c r="R1085">
        <f t="shared" si="1026"/>
        <v>-437296.47063169151</v>
      </c>
      <c r="S1085">
        <f t="shared" si="1027"/>
        <v>-4.3729647063169148</v>
      </c>
      <c r="T1085">
        <f t="shared" si="1028"/>
        <v>-4.3729647063169147E-3</v>
      </c>
    </row>
    <row r="1086" spans="1:20" x14ac:dyDescent="0.25">
      <c r="A1086" s="5">
        <v>43507</v>
      </c>
      <c r="B1086">
        <v>7.9749999999999996</v>
      </c>
      <c r="C1086">
        <v>8.35</v>
      </c>
      <c r="D1086">
        <v>7.65</v>
      </c>
      <c r="E1086">
        <v>8.1280000000000001</v>
      </c>
      <c r="F1086">
        <v>663261.33700000006</v>
      </c>
      <c r="G1086">
        <v>0</v>
      </c>
      <c r="P1086">
        <f t="shared" si="1024"/>
        <v>0.36571428571428644</v>
      </c>
      <c r="Q1086">
        <f t="shared" si="1025"/>
        <v>242564.14610285763</v>
      </c>
      <c r="R1086">
        <f t="shared" si="1026"/>
        <v>-611597.31971683435</v>
      </c>
      <c r="S1086">
        <f t="shared" si="1027"/>
        <v>-6.1159731971683433</v>
      </c>
      <c r="T1086">
        <f t="shared" si="1028"/>
        <v>-6.1159731971683435E-3</v>
      </c>
    </row>
    <row r="1087" spans="1:20" x14ac:dyDescent="0.25">
      <c r="A1087" s="5">
        <v>43506</v>
      </c>
      <c r="B1087">
        <v>7.6630000000000003</v>
      </c>
      <c r="C1087">
        <v>8.14</v>
      </c>
      <c r="D1087">
        <v>7.4610000000000003</v>
      </c>
      <c r="E1087">
        <v>7.9669999999999996</v>
      </c>
      <c r="F1087">
        <v>635857.45400000003</v>
      </c>
      <c r="G1087">
        <v>0</v>
      </c>
      <c r="P1087">
        <f t="shared" ref="P1087:P1150" si="1029">IF(C1087=D1087,0,((E1087-D1087)-(C1087-E1087))/(C1087-D1087))</f>
        <v>0.49042709867451884</v>
      </c>
      <c r="Q1087">
        <f t="shared" ref="Q1087:Q1150" si="1030">F1087*P1087</f>
        <v>311841.72633578634</v>
      </c>
      <c r="R1087">
        <f t="shared" ref="R1087:R1150" si="1031">R1088+Q1087</f>
        <v>-854161.46581969201</v>
      </c>
      <c r="S1087">
        <f t="shared" ref="S1087:S1150" si="1032">R1087/100000</f>
        <v>-8.5416146581969201</v>
      </c>
      <c r="T1087">
        <f t="shared" ref="T1087:T1150" si="1033">S1087/1000</f>
        <v>-8.54161465819692E-3</v>
      </c>
    </row>
    <row r="1088" spans="1:20" x14ac:dyDescent="0.25">
      <c r="A1088" s="5">
        <v>43505</v>
      </c>
      <c r="B1088">
        <v>7.55</v>
      </c>
      <c r="C1088">
        <v>7.76</v>
      </c>
      <c r="D1088">
        <v>7.4429999999999996</v>
      </c>
      <c r="E1088">
        <v>7.6619999999999999</v>
      </c>
      <c r="F1088">
        <v>382188.83899999998</v>
      </c>
      <c r="G1088">
        <v>0</v>
      </c>
      <c r="P1088">
        <f t="shared" si="1029"/>
        <v>0.38170347003154692</v>
      </c>
      <c r="Q1088">
        <f t="shared" si="1030"/>
        <v>145882.80605362821</v>
      </c>
      <c r="R1088">
        <f t="shared" si="1031"/>
        <v>-1166003.1921554783</v>
      </c>
      <c r="S1088">
        <f t="shared" si="1032"/>
        <v>-11.660031921554783</v>
      </c>
      <c r="T1088">
        <f t="shared" si="1033"/>
        <v>-1.1660031921554783E-2</v>
      </c>
    </row>
    <row r="1089" spans="1:20" x14ac:dyDescent="0.25">
      <c r="A1089" s="5">
        <v>43504</v>
      </c>
      <c r="B1089">
        <v>6.9290000000000003</v>
      </c>
      <c r="C1089">
        <v>7.8579999999999997</v>
      </c>
      <c r="D1089">
        <v>6.8410000000000002</v>
      </c>
      <c r="E1089">
        <v>7.54</v>
      </c>
      <c r="F1089">
        <v>727844.83900000004</v>
      </c>
      <c r="G1089">
        <v>0</v>
      </c>
      <c r="P1089">
        <f t="shared" si="1029"/>
        <v>0.37463126843657857</v>
      </c>
      <c r="Q1089">
        <f t="shared" si="1030"/>
        <v>272673.43525958731</v>
      </c>
      <c r="R1089">
        <f t="shared" si="1031"/>
        <v>-1311885.9982091065</v>
      </c>
      <c r="S1089">
        <f t="shared" si="1032"/>
        <v>-13.118859982091065</v>
      </c>
      <c r="T1089">
        <f t="shared" si="1033"/>
        <v>-1.3118859982091065E-2</v>
      </c>
    </row>
    <row r="1090" spans="1:20" x14ac:dyDescent="0.25">
      <c r="A1090" s="5">
        <v>43503</v>
      </c>
      <c r="B1090">
        <v>6.8620000000000001</v>
      </c>
      <c r="C1090">
        <v>7</v>
      </c>
      <c r="D1090">
        <v>6.8220000000000001</v>
      </c>
      <c r="E1090">
        <v>6.9329999999999998</v>
      </c>
      <c r="F1090">
        <v>170441.20300000001</v>
      </c>
      <c r="G1090">
        <v>0</v>
      </c>
      <c r="P1090">
        <f t="shared" si="1029"/>
        <v>0.24719101123595286</v>
      </c>
      <c r="Q1090">
        <f t="shared" si="1030"/>
        <v>42131.533325842327</v>
      </c>
      <c r="R1090">
        <f t="shared" si="1031"/>
        <v>-1584559.4334686939</v>
      </c>
      <c r="S1090">
        <f t="shared" si="1032"/>
        <v>-15.845594334686938</v>
      </c>
      <c r="T1090">
        <f t="shared" si="1033"/>
        <v>-1.5845594334686939E-2</v>
      </c>
    </row>
    <row r="1091" spans="1:20" x14ac:dyDescent="0.25">
      <c r="A1091" s="5">
        <v>43502</v>
      </c>
      <c r="B1091">
        <v>7.0010000000000003</v>
      </c>
      <c r="C1091">
        <v>7.0389999999999997</v>
      </c>
      <c r="D1091">
        <v>6.7</v>
      </c>
      <c r="E1091">
        <v>6.8689999999999998</v>
      </c>
      <c r="F1091">
        <v>354158.07500000001</v>
      </c>
      <c r="G1091">
        <v>0</v>
      </c>
      <c r="P1091">
        <f t="shared" si="1029"/>
        <v>-2.9498525073756205E-3</v>
      </c>
      <c r="Q1091">
        <f t="shared" si="1030"/>
        <v>-1044.714085546073</v>
      </c>
      <c r="R1091">
        <f t="shared" si="1031"/>
        <v>-1626690.9667945362</v>
      </c>
      <c r="S1091">
        <f t="shared" si="1032"/>
        <v>-16.266909667945363</v>
      </c>
      <c r="T1091">
        <f t="shared" si="1033"/>
        <v>-1.6266909667945362E-2</v>
      </c>
    </row>
    <row r="1092" spans="1:20" x14ac:dyDescent="0.25">
      <c r="A1092" s="5">
        <v>43501</v>
      </c>
      <c r="B1092">
        <v>7.0529999999999999</v>
      </c>
      <c r="C1092">
        <v>7.1459999999999999</v>
      </c>
      <c r="D1092">
        <v>6.931</v>
      </c>
      <c r="E1092">
        <v>6.9909999999999997</v>
      </c>
      <c r="F1092">
        <v>211317.07699999999</v>
      </c>
      <c r="G1092">
        <v>0</v>
      </c>
      <c r="P1092">
        <f t="shared" si="1029"/>
        <v>-0.44186046511628235</v>
      </c>
      <c r="Q1092">
        <f t="shared" si="1030"/>
        <v>-93372.661930233255</v>
      </c>
      <c r="R1092">
        <f t="shared" si="1031"/>
        <v>-1625646.2527089901</v>
      </c>
      <c r="S1092">
        <f t="shared" si="1032"/>
        <v>-16.256462527089901</v>
      </c>
      <c r="T1092">
        <f t="shared" si="1033"/>
        <v>-1.6256462527089902E-2</v>
      </c>
    </row>
    <row r="1093" spans="1:20" x14ac:dyDescent="0.25">
      <c r="A1093" s="5">
        <v>43500</v>
      </c>
      <c r="B1093">
        <v>7.0119999999999996</v>
      </c>
      <c r="C1093">
        <v>7.16</v>
      </c>
      <c r="D1093">
        <v>6.9720000000000004</v>
      </c>
      <c r="E1093">
        <v>7.0510000000000002</v>
      </c>
      <c r="F1093">
        <v>222764.74400000001</v>
      </c>
      <c r="G1093">
        <v>0</v>
      </c>
      <c r="P1093">
        <f t="shared" si="1029"/>
        <v>-0.15957446808510795</v>
      </c>
      <c r="Q1093">
        <f t="shared" si="1030"/>
        <v>-35547.565531915243</v>
      </c>
      <c r="R1093">
        <f t="shared" si="1031"/>
        <v>-1532273.5907787569</v>
      </c>
      <c r="S1093">
        <f t="shared" si="1032"/>
        <v>-15.322735907787569</v>
      </c>
      <c r="T1093">
        <f t="shared" si="1033"/>
        <v>-1.532273590778757E-2</v>
      </c>
    </row>
    <row r="1094" spans="1:20" x14ac:dyDescent="0.25">
      <c r="A1094" s="5">
        <v>43499</v>
      </c>
      <c r="B1094">
        <v>7.2430000000000003</v>
      </c>
      <c r="C1094">
        <v>7.2560000000000002</v>
      </c>
      <c r="D1094">
        <v>6.9210000000000003</v>
      </c>
      <c r="E1094">
        <v>7.016</v>
      </c>
      <c r="F1094">
        <v>277228.40999999997</v>
      </c>
      <c r="G1094">
        <v>0</v>
      </c>
      <c r="P1094">
        <f t="shared" si="1029"/>
        <v>-0.4328358208955238</v>
      </c>
      <c r="Q1094">
        <f t="shared" si="1030"/>
        <v>-119994.38641791084</v>
      </c>
      <c r="R1094">
        <f t="shared" si="1031"/>
        <v>-1496726.0252468416</v>
      </c>
      <c r="S1094">
        <f t="shared" si="1032"/>
        <v>-14.967260252468416</v>
      </c>
      <c r="T1094">
        <f t="shared" si="1033"/>
        <v>-1.4967260252468416E-2</v>
      </c>
    </row>
    <row r="1095" spans="1:20" x14ac:dyDescent="0.25">
      <c r="A1095" s="5">
        <v>43498</v>
      </c>
      <c r="B1095">
        <v>6.9630000000000001</v>
      </c>
      <c r="C1095">
        <v>7.2619999999999996</v>
      </c>
      <c r="D1095">
        <v>6.8280000000000003</v>
      </c>
      <c r="E1095">
        <v>7.2370000000000001</v>
      </c>
      <c r="F1095">
        <v>305304.935</v>
      </c>
      <c r="G1095">
        <v>0</v>
      </c>
      <c r="P1095">
        <f t="shared" si="1029"/>
        <v>0.88479262672811287</v>
      </c>
      <c r="Q1095">
        <f t="shared" si="1030"/>
        <v>270131.55539170577</v>
      </c>
      <c r="R1095">
        <f t="shared" si="1031"/>
        <v>-1376731.6388289307</v>
      </c>
      <c r="S1095">
        <f t="shared" si="1032"/>
        <v>-13.767316388289307</v>
      </c>
      <c r="T1095">
        <f t="shared" si="1033"/>
        <v>-1.3767316388289307E-2</v>
      </c>
    </row>
    <row r="1096" spans="1:20" x14ac:dyDescent="0.25">
      <c r="A1096" s="5">
        <v>43497</v>
      </c>
      <c r="B1096">
        <v>6.8650000000000002</v>
      </c>
      <c r="C1096">
        <v>7.05</v>
      </c>
      <c r="D1096">
        <v>6.72</v>
      </c>
      <c r="E1096">
        <v>6.9669999999999996</v>
      </c>
      <c r="F1096">
        <v>247335.06400000001</v>
      </c>
      <c r="G1096">
        <v>0</v>
      </c>
      <c r="P1096">
        <f t="shared" si="1029"/>
        <v>0.49696969696969595</v>
      </c>
      <c r="Q1096">
        <f t="shared" si="1030"/>
        <v>122918.03180606036</v>
      </c>
      <c r="R1096">
        <f t="shared" si="1031"/>
        <v>-1646863.1942206365</v>
      </c>
      <c r="S1096">
        <f t="shared" si="1032"/>
        <v>-16.468631942206365</v>
      </c>
      <c r="T1096">
        <f t="shared" si="1033"/>
        <v>-1.6468631942206366E-2</v>
      </c>
    </row>
    <row r="1097" spans="1:20" x14ac:dyDescent="0.25">
      <c r="A1097" s="5">
        <v>43496</v>
      </c>
      <c r="B1097">
        <v>7.0469999999999997</v>
      </c>
      <c r="C1097">
        <v>7.1580000000000004</v>
      </c>
      <c r="D1097">
        <v>6.7530000000000001</v>
      </c>
      <c r="E1097">
        <v>6.8609999999999998</v>
      </c>
      <c r="F1097">
        <v>269602.54200000002</v>
      </c>
      <c r="G1097">
        <v>0</v>
      </c>
      <c r="P1097">
        <f t="shared" si="1029"/>
        <v>-0.46666666666666873</v>
      </c>
      <c r="Q1097">
        <f t="shared" si="1030"/>
        <v>-125814.51960000057</v>
      </c>
      <c r="R1097">
        <f t="shared" si="1031"/>
        <v>-1769781.2260266969</v>
      </c>
      <c r="S1097">
        <f t="shared" si="1032"/>
        <v>-17.697812260266968</v>
      </c>
      <c r="T1097">
        <f t="shared" si="1033"/>
        <v>-1.7697812260266968E-2</v>
      </c>
    </row>
    <row r="1098" spans="1:20" x14ac:dyDescent="0.25">
      <c r="A1098" s="5">
        <v>43495</v>
      </c>
      <c r="B1098">
        <v>6.9790000000000001</v>
      </c>
      <c r="C1098">
        <v>7.13</v>
      </c>
      <c r="D1098">
        <v>6.774</v>
      </c>
      <c r="E1098">
        <v>7.048</v>
      </c>
      <c r="F1098">
        <v>381556.39</v>
      </c>
      <c r="G1098">
        <v>0</v>
      </c>
      <c r="P1098">
        <f t="shared" si="1029"/>
        <v>0.53932584269662986</v>
      </c>
      <c r="Q1098">
        <f t="shared" si="1030"/>
        <v>205783.22157303395</v>
      </c>
      <c r="R1098">
        <f t="shared" si="1031"/>
        <v>-1643966.7064266964</v>
      </c>
      <c r="S1098">
        <f t="shared" si="1032"/>
        <v>-16.439667064266963</v>
      </c>
      <c r="T1098">
        <f t="shared" si="1033"/>
        <v>-1.6439667064266965E-2</v>
      </c>
    </row>
    <row r="1099" spans="1:20" x14ac:dyDescent="0.25">
      <c r="A1099" s="5">
        <v>43494</v>
      </c>
      <c r="B1099">
        <v>6.9210000000000003</v>
      </c>
      <c r="C1099">
        <v>7.1280000000000001</v>
      </c>
      <c r="D1099">
        <v>6.6660000000000004</v>
      </c>
      <c r="E1099">
        <v>6.9790000000000001</v>
      </c>
      <c r="F1099">
        <v>425584.58899999998</v>
      </c>
      <c r="G1099">
        <v>0</v>
      </c>
      <c r="P1099">
        <f t="shared" si="1029"/>
        <v>0.3549783549783545</v>
      </c>
      <c r="Q1099">
        <f t="shared" si="1030"/>
        <v>151073.3173073591</v>
      </c>
      <c r="R1099">
        <f t="shared" si="1031"/>
        <v>-1849749.9279997305</v>
      </c>
      <c r="S1099">
        <f t="shared" si="1032"/>
        <v>-18.497499279997303</v>
      </c>
      <c r="T1099">
        <f t="shared" si="1033"/>
        <v>-1.8497499279997304E-2</v>
      </c>
    </row>
    <row r="1100" spans="1:20" x14ac:dyDescent="0.25">
      <c r="A1100" s="5">
        <v>43493</v>
      </c>
      <c r="B1100">
        <v>7.3360000000000003</v>
      </c>
      <c r="C1100">
        <v>7.3730000000000002</v>
      </c>
      <c r="D1100">
        <v>6.7229999999999999</v>
      </c>
      <c r="E1100">
        <v>6.9210000000000003</v>
      </c>
      <c r="F1100">
        <v>619226.14</v>
      </c>
      <c r="G1100">
        <v>0</v>
      </c>
      <c r="P1100">
        <f t="shared" si="1029"/>
        <v>-0.39076923076922987</v>
      </c>
      <c r="Q1100">
        <f t="shared" si="1030"/>
        <v>-241974.52239999943</v>
      </c>
      <c r="R1100">
        <f t="shared" si="1031"/>
        <v>-2000823.2453070895</v>
      </c>
      <c r="S1100">
        <f t="shared" si="1032"/>
        <v>-20.008232453070896</v>
      </c>
      <c r="T1100">
        <f t="shared" si="1033"/>
        <v>-2.0008232453070898E-2</v>
      </c>
    </row>
    <row r="1101" spans="1:20" x14ac:dyDescent="0.25">
      <c r="A1101" s="5">
        <v>43492</v>
      </c>
      <c r="B1101">
        <v>7.4379999999999997</v>
      </c>
      <c r="C1101">
        <v>7.5579999999999998</v>
      </c>
      <c r="D1101">
        <v>7.1459999999999999</v>
      </c>
      <c r="E1101">
        <v>7.3360000000000003</v>
      </c>
      <c r="F1101">
        <v>377988.34700000001</v>
      </c>
      <c r="G1101">
        <v>0</v>
      </c>
      <c r="P1101">
        <f t="shared" si="1029"/>
        <v>-7.7669902912619285E-2</v>
      </c>
      <c r="Q1101">
        <f t="shared" si="1030"/>
        <v>-29358.31821359145</v>
      </c>
      <c r="R1101">
        <f t="shared" si="1031"/>
        <v>-1758848.7229070901</v>
      </c>
      <c r="S1101">
        <f t="shared" si="1032"/>
        <v>-17.5884872290709</v>
      </c>
      <c r="T1101">
        <f t="shared" si="1033"/>
        <v>-1.7588487229070901E-2</v>
      </c>
    </row>
    <row r="1102" spans="1:20" x14ac:dyDescent="0.25">
      <c r="A1102" s="5">
        <v>43491</v>
      </c>
      <c r="B1102">
        <v>7.4930000000000003</v>
      </c>
      <c r="C1102">
        <v>7.65</v>
      </c>
      <c r="D1102">
        <v>7.4059999999999997</v>
      </c>
      <c r="E1102">
        <v>7.4379999999999997</v>
      </c>
      <c r="F1102">
        <v>216116.21</v>
      </c>
      <c r="G1102">
        <v>0</v>
      </c>
      <c r="P1102">
        <f t="shared" si="1029"/>
        <v>-0.73770491803278737</v>
      </c>
      <c r="Q1102">
        <f t="shared" si="1030"/>
        <v>-159429.99098360667</v>
      </c>
      <c r="R1102">
        <f t="shared" si="1031"/>
        <v>-1729490.4046934987</v>
      </c>
      <c r="S1102">
        <f t="shared" si="1032"/>
        <v>-17.294904046934988</v>
      </c>
      <c r="T1102">
        <f t="shared" si="1033"/>
        <v>-1.7294904046934987E-2</v>
      </c>
    </row>
    <row r="1103" spans="1:20" x14ac:dyDescent="0.25">
      <c r="A1103" s="5">
        <v>43490</v>
      </c>
      <c r="B1103">
        <v>7.6429999999999998</v>
      </c>
      <c r="C1103">
        <v>7.65</v>
      </c>
      <c r="D1103">
        <v>7.3849999999999998</v>
      </c>
      <c r="E1103">
        <v>7.4930000000000003</v>
      </c>
      <c r="F1103">
        <v>244738.274</v>
      </c>
      <c r="G1103">
        <v>0</v>
      </c>
      <c r="P1103">
        <f t="shared" si="1029"/>
        <v>-0.18490566037735617</v>
      </c>
      <c r="Q1103">
        <f t="shared" si="1030"/>
        <v>-45253.492173584338</v>
      </c>
      <c r="R1103">
        <f t="shared" si="1031"/>
        <v>-1570060.413709892</v>
      </c>
      <c r="S1103">
        <f t="shared" si="1032"/>
        <v>-15.700604137098919</v>
      </c>
      <c r="T1103">
        <f t="shared" si="1033"/>
        <v>-1.5700604137098919E-2</v>
      </c>
    </row>
    <row r="1104" spans="1:20" x14ac:dyDescent="0.25">
      <c r="A1104" s="5">
        <v>43489</v>
      </c>
      <c r="B1104">
        <v>7.4580000000000002</v>
      </c>
      <c r="C1104">
        <v>7.67</v>
      </c>
      <c r="D1104">
        <v>7.3730000000000002</v>
      </c>
      <c r="E1104">
        <v>7.6420000000000003</v>
      </c>
      <c r="F1104">
        <v>289428.38500000001</v>
      </c>
      <c r="G1104">
        <v>0</v>
      </c>
      <c r="P1104">
        <f t="shared" si="1029"/>
        <v>0.81144781144781408</v>
      </c>
      <c r="Q1104">
        <f t="shared" si="1030"/>
        <v>234856.02957912534</v>
      </c>
      <c r="R1104">
        <f t="shared" si="1031"/>
        <v>-1524806.9215363075</v>
      </c>
      <c r="S1104">
        <f t="shared" si="1032"/>
        <v>-15.248069215363076</v>
      </c>
      <c r="T1104">
        <f t="shared" si="1033"/>
        <v>-1.5248069215363076E-2</v>
      </c>
    </row>
    <row r="1105" spans="1:20" x14ac:dyDescent="0.25">
      <c r="A1105" s="5">
        <v>43488</v>
      </c>
      <c r="B1105">
        <v>7.5910000000000002</v>
      </c>
      <c r="C1105">
        <v>7.6340000000000003</v>
      </c>
      <c r="D1105">
        <v>7.3680000000000003</v>
      </c>
      <c r="E1105">
        <v>7.4610000000000003</v>
      </c>
      <c r="F1105">
        <v>412351.58199999999</v>
      </c>
      <c r="G1105">
        <v>0</v>
      </c>
      <c r="P1105">
        <f t="shared" si="1029"/>
        <v>-0.30075187969924838</v>
      </c>
      <c r="Q1105">
        <f t="shared" si="1030"/>
        <v>-124015.51338345875</v>
      </c>
      <c r="R1105">
        <f t="shared" si="1031"/>
        <v>-1759662.9511154329</v>
      </c>
      <c r="S1105">
        <f t="shared" si="1032"/>
        <v>-17.59662951115433</v>
      </c>
      <c r="T1105">
        <f t="shared" si="1033"/>
        <v>-1.759662951115433E-2</v>
      </c>
    </row>
    <row r="1106" spans="1:20" x14ac:dyDescent="0.25">
      <c r="A1106" s="5">
        <v>43487</v>
      </c>
      <c r="B1106">
        <v>7.4050000000000002</v>
      </c>
      <c r="C1106">
        <v>7.718</v>
      </c>
      <c r="D1106">
        <v>7.05</v>
      </c>
      <c r="E1106">
        <v>7.6</v>
      </c>
      <c r="F1106">
        <v>541287.28099999996</v>
      </c>
      <c r="G1106">
        <v>0</v>
      </c>
      <c r="P1106">
        <f t="shared" si="1029"/>
        <v>0.64670658682634641</v>
      </c>
      <c r="Q1106">
        <f t="shared" si="1030"/>
        <v>350054.04998802341</v>
      </c>
      <c r="R1106">
        <f t="shared" si="1031"/>
        <v>-1635647.4377319741</v>
      </c>
      <c r="S1106">
        <f t="shared" si="1032"/>
        <v>-16.356474377319742</v>
      </c>
      <c r="T1106">
        <f t="shared" si="1033"/>
        <v>-1.6356474377319741E-2</v>
      </c>
    </row>
    <row r="1107" spans="1:20" x14ac:dyDescent="0.25">
      <c r="A1107" s="5">
        <v>43486</v>
      </c>
      <c r="B1107">
        <v>7.4560000000000004</v>
      </c>
      <c r="C1107">
        <v>7.5419999999999998</v>
      </c>
      <c r="D1107">
        <v>7.2510000000000003</v>
      </c>
      <c r="E1107">
        <v>7.41</v>
      </c>
      <c r="F1107">
        <v>407563.489</v>
      </c>
      <c r="G1107">
        <v>0</v>
      </c>
      <c r="P1107">
        <f t="shared" si="1029"/>
        <v>9.2783505154639803E-2</v>
      </c>
      <c r="Q1107">
        <f t="shared" si="1030"/>
        <v>37815.16908247448</v>
      </c>
      <c r="R1107">
        <f t="shared" si="1031"/>
        <v>-1985701.4877199975</v>
      </c>
      <c r="S1107">
        <f t="shared" si="1032"/>
        <v>-19.857014877199976</v>
      </c>
      <c r="T1107">
        <f t="shared" si="1033"/>
        <v>-1.9857014877199975E-2</v>
      </c>
    </row>
    <row r="1108" spans="1:20" x14ac:dyDescent="0.25">
      <c r="A1108" s="5">
        <v>43485</v>
      </c>
      <c r="B1108">
        <v>7.8979999999999997</v>
      </c>
      <c r="C1108">
        <v>8.0500000000000007</v>
      </c>
      <c r="D1108">
        <v>7.22</v>
      </c>
      <c r="E1108">
        <v>7.452</v>
      </c>
      <c r="F1108">
        <v>685244.95299999998</v>
      </c>
      <c r="G1108">
        <v>0</v>
      </c>
      <c r="P1108">
        <f t="shared" si="1029"/>
        <v>-0.44096385542168692</v>
      </c>
      <c r="Q1108">
        <f t="shared" si="1030"/>
        <v>-302168.25638313266</v>
      </c>
      <c r="R1108">
        <f t="shared" si="1031"/>
        <v>-2023516.656802472</v>
      </c>
      <c r="S1108">
        <f t="shared" si="1032"/>
        <v>-20.23516656802472</v>
      </c>
      <c r="T1108">
        <f t="shared" si="1033"/>
        <v>-2.023516656802472E-2</v>
      </c>
    </row>
    <row r="1109" spans="1:20" x14ac:dyDescent="0.25">
      <c r="A1109" s="5">
        <v>43484</v>
      </c>
      <c r="B1109">
        <v>7.5030000000000001</v>
      </c>
      <c r="C1109">
        <v>8.2620000000000005</v>
      </c>
      <c r="D1109">
        <v>7.4870000000000001</v>
      </c>
      <c r="E1109">
        <v>7.9009999999999998</v>
      </c>
      <c r="F1109">
        <v>571976.826</v>
      </c>
      <c r="G1109">
        <v>0</v>
      </c>
      <c r="P1109">
        <f t="shared" si="1029"/>
        <v>6.8387096774192288E-2</v>
      </c>
      <c r="Q1109">
        <f t="shared" si="1030"/>
        <v>39115.834552257344</v>
      </c>
      <c r="R1109">
        <f t="shared" si="1031"/>
        <v>-1721348.4004193393</v>
      </c>
      <c r="S1109">
        <f t="shared" si="1032"/>
        <v>-17.213484004193393</v>
      </c>
      <c r="T1109">
        <f t="shared" si="1033"/>
        <v>-1.7213484004193393E-2</v>
      </c>
    </row>
    <row r="1110" spans="1:20" x14ac:dyDescent="0.25">
      <c r="A1110" s="5">
        <v>43483</v>
      </c>
      <c r="B1110">
        <v>7.6669999999999998</v>
      </c>
      <c r="C1110">
        <v>7.7089999999999996</v>
      </c>
      <c r="D1110">
        <v>7.41</v>
      </c>
      <c r="E1110">
        <v>7.5049999999999999</v>
      </c>
      <c r="F1110">
        <v>295450.42499999999</v>
      </c>
      <c r="G1110">
        <v>0</v>
      </c>
      <c r="P1110">
        <f t="shared" si="1029"/>
        <v>-0.36454849498327818</v>
      </c>
      <c r="Q1110">
        <f t="shared" si="1030"/>
        <v>-107706.0077759199</v>
      </c>
      <c r="R1110">
        <f t="shared" si="1031"/>
        <v>-1760464.2349715966</v>
      </c>
      <c r="S1110">
        <f t="shared" si="1032"/>
        <v>-17.604642349715967</v>
      </c>
      <c r="T1110">
        <f t="shared" si="1033"/>
        <v>-1.7604642349715968E-2</v>
      </c>
    </row>
    <row r="1111" spans="1:20" x14ac:dyDescent="0.25">
      <c r="A1111" s="5">
        <v>43482</v>
      </c>
      <c r="B1111">
        <v>7.5519999999999996</v>
      </c>
      <c r="C1111">
        <v>7.694</v>
      </c>
      <c r="D1111">
        <v>7.3070000000000004</v>
      </c>
      <c r="E1111">
        <v>7.6639999999999997</v>
      </c>
      <c r="F1111">
        <v>506996.33299999998</v>
      </c>
      <c r="G1111">
        <v>0</v>
      </c>
      <c r="P1111">
        <f t="shared" si="1029"/>
        <v>0.84496124031007602</v>
      </c>
      <c r="Q1111">
        <f t="shared" si="1030"/>
        <v>428392.25036434032</v>
      </c>
      <c r="R1111">
        <f t="shared" si="1031"/>
        <v>-1652758.2271956766</v>
      </c>
      <c r="S1111">
        <f t="shared" si="1032"/>
        <v>-16.527582271956767</v>
      </c>
      <c r="T1111">
        <f t="shared" si="1033"/>
        <v>-1.6527582271956769E-2</v>
      </c>
    </row>
    <row r="1112" spans="1:20" x14ac:dyDescent="0.25">
      <c r="A1112" s="5">
        <v>43481</v>
      </c>
      <c r="B1112">
        <v>7.4160000000000004</v>
      </c>
      <c r="C1112">
        <v>7.7930000000000001</v>
      </c>
      <c r="D1112">
        <v>7.351</v>
      </c>
      <c r="E1112">
        <v>7.5510000000000002</v>
      </c>
      <c r="F1112">
        <v>547139.88</v>
      </c>
      <c r="G1112">
        <v>0</v>
      </c>
      <c r="P1112">
        <f t="shared" si="1029"/>
        <v>-9.5022624434388692E-2</v>
      </c>
      <c r="Q1112">
        <f t="shared" si="1030"/>
        <v>-51990.667330316493</v>
      </c>
      <c r="R1112">
        <f t="shared" si="1031"/>
        <v>-2081150.477560017</v>
      </c>
      <c r="S1112">
        <f t="shared" si="1032"/>
        <v>-20.81150477560017</v>
      </c>
      <c r="T1112">
        <f t="shared" si="1033"/>
        <v>-2.0811504775600169E-2</v>
      </c>
    </row>
    <row r="1113" spans="1:20" x14ac:dyDescent="0.25">
      <c r="A1113" s="5">
        <v>43480</v>
      </c>
      <c r="B1113">
        <v>7.8120000000000003</v>
      </c>
      <c r="C1113">
        <v>7.851</v>
      </c>
      <c r="D1113">
        <v>7.2359999999999998</v>
      </c>
      <c r="E1113">
        <v>7.4180000000000001</v>
      </c>
      <c r="F1113">
        <v>730736.40300000005</v>
      </c>
      <c r="G1113">
        <v>0</v>
      </c>
      <c r="P1113">
        <f t="shared" si="1029"/>
        <v>-0.40813008130081196</v>
      </c>
      <c r="Q1113">
        <f t="shared" si="1030"/>
        <v>-298235.50756585289</v>
      </c>
      <c r="R1113">
        <f t="shared" si="1031"/>
        <v>-2029159.8102297005</v>
      </c>
      <c r="S1113">
        <f t="shared" si="1032"/>
        <v>-20.291598102297005</v>
      </c>
      <c r="T1113">
        <f t="shared" si="1033"/>
        <v>-2.0291598102297005E-2</v>
      </c>
    </row>
    <row r="1114" spans="1:20" x14ac:dyDescent="0.25">
      <c r="A1114" s="5">
        <v>43479</v>
      </c>
      <c r="B1114">
        <v>6.9820000000000002</v>
      </c>
      <c r="C1114">
        <v>7.8440000000000003</v>
      </c>
      <c r="D1114">
        <v>6.98</v>
      </c>
      <c r="E1114">
        <v>7.8120000000000003</v>
      </c>
      <c r="F1114">
        <v>835341.85199999996</v>
      </c>
      <c r="G1114">
        <v>0</v>
      </c>
      <c r="P1114">
        <f t="shared" si="1029"/>
        <v>0.92592592592592582</v>
      </c>
      <c r="Q1114">
        <f t="shared" si="1030"/>
        <v>773464.67777777766</v>
      </c>
      <c r="R1114">
        <f t="shared" si="1031"/>
        <v>-1730924.3026638476</v>
      </c>
      <c r="S1114">
        <f t="shared" si="1032"/>
        <v>-17.309243026638477</v>
      </c>
      <c r="T1114">
        <f t="shared" si="1033"/>
        <v>-1.7309243026638478E-2</v>
      </c>
    </row>
    <row r="1115" spans="1:20" x14ac:dyDescent="0.25">
      <c r="A1115" s="5">
        <v>43478</v>
      </c>
      <c r="B1115">
        <v>7.5620000000000003</v>
      </c>
      <c r="C1115">
        <v>7.6580000000000004</v>
      </c>
      <c r="D1115">
        <v>6.8540000000000001</v>
      </c>
      <c r="E1115">
        <v>6.984</v>
      </c>
      <c r="F1115">
        <v>672258.37899999996</v>
      </c>
      <c r="G1115">
        <v>0</v>
      </c>
      <c r="P1115">
        <f t="shared" si="1029"/>
        <v>-0.67661691542288593</v>
      </c>
      <c r="Q1115">
        <f t="shared" si="1030"/>
        <v>-454861.39076616935</v>
      </c>
      <c r="R1115">
        <f t="shared" si="1031"/>
        <v>-2504388.9804416252</v>
      </c>
      <c r="S1115">
        <f t="shared" si="1032"/>
        <v>-25.043889804416253</v>
      </c>
      <c r="T1115">
        <f t="shared" si="1033"/>
        <v>-2.5043889804416252E-2</v>
      </c>
    </row>
    <row r="1116" spans="1:20" x14ac:dyDescent="0.25">
      <c r="A1116" s="5">
        <v>43477</v>
      </c>
      <c r="B1116">
        <v>7.7320000000000002</v>
      </c>
      <c r="C1116">
        <v>7.7560000000000002</v>
      </c>
      <c r="D1116">
        <v>7.4589999999999996</v>
      </c>
      <c r="E1116">
        <v>7.5629999999999997</v>
      </c>
      <c r="F1116">
        <v>430330.228</v>
      </c>
      <c r="G1116">
        <v>0</v>
      </c>
      <c r="P1116">
        <f t="shared" si="1029"/>
        <v>-0.29966329966330046</v>
      </c>
      <c r="Q1116">
        <f t="shared" si="1030"/>
        <v>-128954.17606734041</v>
      </c>
      <c r="R1116">
        <f t="shared" si="1031"/>
        <v>-2049527.5896754558</v>
      </c>
      <c r="S1116">
        <f t="shared" si="1032"/>
        <v>-20.49527589675456</v>
      </c>
      <c r="T1116">
        <f t="shared" si="1033"/>
        <v>-2.049527589675456E-2</v>
      </c>
    </row>
    <row r="1117" spans="1:20" x14ac:dyDescent="0.25">
      <c r="A1117" s="5">
        <v>43476</v>
      </c>
      <c r="B1117">
        <v>7.7709999999999999</v>
      </c>
      <c r="C1117">
        <v>7.93</v>
      </c>
      <c r="D1117">
        <v>7.5090000000000003</v>
      </c>
      <c r="E1117">
        <v>7.7350000000000003</v>
      </c>
      <c r="F1117">
        <v>788749.00100000005</v>
      </c>
      <c r="G1117">
        <v>0</v>
      </c>
      <c r="P1117">
        <f t="shared" si="1029"/>
        <v>7.3634204275535936E-2</v>
      </c>
      <c r="Q1117">
        <f t="shared" si="1030"/>
        <v>58078.905061758902</v>
      </c>
      <c r="R1117">
        <f t="shared" si="1031"/>
        <v>-1920573.4136081154</v>
      </c>
      <c r="S1117">
        <f t="shared" si="1032"/>
        <v>-19.205734136081155</v>
      </c>
      <c r="T1117">
        <f t="shared" si="1033"/>
        <v>-1.9205734136081155E-2</v>
      </c>
    </row>
    <row r="1118" spans="1:20" x14ac:dyDescent="0.25">
      <c r="A1118" s="5">
        <v>43475</v>
      </c>
      <c r="B1118">
        <v>9</v>
      </c>
      <c r="C1118">
        <v>9.3699999999999992</v>
      </c>
      <c r="D1118">
        <v>7.4</v>
      </c>
      <c r="E1118">
        <v>7.7750000000000004</v>
      </c>
      <c r="F1118">
        <v>1900834.62</v>
      </c>
      <c r="G1118">
        <v>0</v>
      </c>
      <c r="P1118">
        <f t="shared" si="1029"/>
        <v>-0.61928934010152259</v>
      </c>
      <c r="Q1118">
        <f t="shared" si="1030"/>
        <v>-1177166.6174619286</v>
      </c>
      <c r="R1118">
        <f t="shared" si="1031"/>
        <v>-1978652.3186698742</v>
      </c>
      <c r="S1118">
        <f t="shared" si="1032"/>
        <v>-19.786523186698741</v>
      </c>
      <c r="T1118">
        <f t="shared" si="1033"/>
        <v>-1.978652318669874E-2</v>
      </c>
    </row>
    <row r="1119" spans="1:20" x14ac:dyDescent="0.25">
      <c r="A1119" s="5">
        <v>43474</v>
      </c>
      <c r="B1119">
        <v>9.0060000000000002</v>
      </c>
      <c r="C1119">
        <v>9.65</v>
      </c>
      <c r="D1119">
        <v>8.8989999999999991</v>
      </c>
      <c r="E1119">
        <v>8.9990000000000006</v>
      </c>
      <c r="F1119">
        <v>1638995.713</v>
      </c>
      <c r="G1119">
        <v>0</v>
      </c>
      <c r="P1119">
        <f t="shared" si="1029"/>
        <v>-0.73368841544606855</v>
      </c>
      <c r="Q1119">
        <f t="shared" si="1030"/>
        <v>-1202512.1675938694</v>
      </c>
      <c r="R1119">
        <f t="shared" si="1031"/>
        <v>-801485.70120794559</v>
      </c>
      <c r="S1119">
        <f t="shared" si="1032"/>
        <v>-8.0148570120794567</v>
      </c>
      <c r="T1119">
        <f t="shared" si="1033"/>
        <v>-8.0148570120794575E-3</v>
      </c>
    </row>
    <row r="1120" spans="1:20" x14ac:dyDescent="0.25">
      <c r="A1120" s="5">
        <v>43473</v>
      </c>
      <c r="B1120">
        <v>8.3629999999999995</v>
      </c>
      <c r="C1120">
        <v>9.33</v>
      </c>
      <c r="D1120">
        <v>8.1519999999999992</v>
      </c>
      <c r="E1120">
        <v>9.0060000000000002</v>
      </c>
      <c r="F1120">
        <v>1550365.8659999999</v>
      </c>
      <c r="G1120">
        <v>0</v>
      </c>
      <c r="P1120">
        <f t="shared" si="1029"/>
        <v>0.44991511035653714</v>
      </c>
      <c r="Q1120">
        <f t="shared" si="1030"/>
        <v>697533.02969439828</v>
      </c>
      <c r="R1120">
        <f t="shared" si="1031"/>
        <v>401026.46638592373</v>
      </c>
      <c r="S1120">
        <f t="shared" si="1032"/>
        <v>4.0102646638592372</v>
      </c>
      <c r="T1120">
        <f t="shared" si="1033"/>
        <v>4.010264663859237E-3</v>
      </c>
    </row>
    <row r="1121" spans="1:20" x14ac:dyDescent="0.25">
      <c r="A1121" s="5">
        <v>43472</v>
      </c>
      <c r="B1121">
        <v>8.4659999999999993</v>
      </c>
      <c r="C1121">
        <v>8.82</v>
      </c>
      <c r="D1121">
        <v>8.15</v>
      </c>
      <c r="E1121">
        <v>8.36</v>
      </c>
      <c r="F1121">
        <v>1131945.4509999999</v>
      </c>
      <c r="G1121">
        <v>0</v>
      </c>
      <c r="P1121">
        <f t="shared" si="1029"/>
        <v>-0.37313432835821164</v>
      </c>
      <c r="Q1121">
        <f t="shared" si="1030"/>
        <v>-422367.70559701795</v>
      </c>
      <c r="R1121">
        <f t="shared" si="1031"/>
        <v>-296506.56330847455</v>
      </c>
      <c r="S1121">
        <f t="shared" si="1032"/>
        <v>-2.9650656330847456</v>
      </c>
      <c r="T1121">
        <f t="shared" si="1033"/>
        <v>-2.9650656330847455E-3</v>
      </c>
    </row>
    <row r="1122" spans="1:20" x14ac:dyDescent="0.25">
      <c r="A1122" s="5">
        <v>43471</v>
      </c>
      <c r="B1122">
        <v>7.7210000000000001</v>
      </c>
      <c r="C1122">
        <v>8.6999999999999993</v>
      </c>
      <c r="D1122">
        <v>7.532</v>
      </c>
      <c r="E1122">
        <v>8.4629999999999992</v>
      </c>
      <c r="F1122">
        <v>1109127.993</v>
      </c>
      <c r="G1122">
        <v>0</v>
      </c>
      <c r="P1122">
        <f t="shared" si="1029"/>
        <v>0.59417808219178037</v>
      </c>
      <c r="Q1122">
        <f t="shared" si="1030"/>
        <v>659019.54378595843</v>
      </c>
      <c r="R1122">
        <f t="shared" si="1031"/>
        <v>125861.1422885434</v>
      </c>
      <c r="S1122">
        <f t="shared" si="1032"/>
        <v>1.2586114228854339</v>
      </c>
      <c r="T1122">
        <f t="shared" si="1033"/>
        <v>1.2586114228854339E-3</v>
      </c>
    </row>
    <row r="1123" spans="1:20" x14ac:dyDescent="0.25">
      <c r="A1123" s="5">
        <v>43470</v>
      </c>
      <c r="B1123">
        <v>7.4550000000000001</v>
      </c>
      <c r="C1123">
        <v>7.83</v>
      </c>
      <c r="D1123">
        <v>7.4550000000000001</v>
      </c>
      <c r="E1123">
        <v>7.7220000000000004</v>
      </c>
      <c r="F1123">
        <v>448918.94</v>
      </c>
      <c r="G1123">
        <v>0</v>
      </c>
      <c r="P1123">
        <f t="shared" si="1029"/>
        <v>0.42400000000000188</v>
      </c>
      <c r="Q1123">
        <f t="shared" si="1030"/>
        <v>190341.63056000083</v>
      </c>
      <c r="R1123">
        <f t="shared" si="1031"/>
        <v>-533158.40149741503</v>
      </c>
      <c r="S1123">
        <f t="shared" si="1032"/>
        <v>-5.3315840149741502</v>
      </c>
      <c r="T1123">
        <f t="shared" si="1033"/>
        <v>-5.3315840149741498E-3</v>
      </c>
    </row>
    <row r="1124" spans="1:20" x14ac:dyDescent="0.25">
      <c r="A1124" s="5">
        <v>43469</v>
      </c>
      <c r="B1124">
        <v>7.508</v>
      </c>
      <c r="C1124">
        <v>7.6239999999999997</v>
      </c>
      <c r="D1124">
        <v>7.2549999999999999</v>
      </c>
      <c r="E1124">
        <v>7.4550000000000001</v>
      </c>
      <c r="F1124">
        <v>354826.34600000002</v>
      </c>
      <c r="G1124">
        <v>0</v>
      </c>
      <c r="P1124">
        <f t="shared" si="1029"/>
        <v>8.4010840108402721E-2</v>
      </c>
      <c r="Q1124">
        <f t="shared" si="1030"/>
        <v>29809.259420054783</v>
      </c>
      <c r="R1124">
        <f t="shared" si="1031"/>
        <v>-723500.03205741593</v>
      </c>
      <c r="S1124">
        <f t="shared" si="1032"/>
        <v>-7.2350003205741595</v>
      </c>
      <c r="T1124">
        <f t="shared" si="1033"/>
        <v>-7.2350003205741593E-3</v>
      </c>
    </row>
    <row r="1125" spans="1:20" x14ac:dyDescent="0.25">
      <c r="A1125" s="5">
        <v>43468</v>
      </c>
      <c r="B1125">
        <v>7.8940000000000001</v>
      </c>
      <c r="C1125">
        <v>7.92</v>
      </c>
      <c r="D1125">
        <v>7.35</v>
      </c>
      <c r="E1125">
        <v>7.5220000000000002</v>
      </c>
      <c r="F1125">
        <v>454100.41499999998</v>
      </c>
      <c r="G1125">
        <v>0</v>
      </c>
      <c r="P1125">
        <f t="shared" si="1029"/>
        <v>-0.39649122807017362</v>
      </c>
      <c r="Q1125">
        <f t="shared" si="1030"/>
        <v>-180046.83121052547</v>
      </c>
      <c r="R1125">
        <f t="shared" si="1031"/>
        <v>-753309.29147747066</v>
      </c>
      <c r="S1125">
        <f t="shared" si="1032"/>
        <v>-7.5330929147747065</v>
      </c>
      <c r="T1125">
        <f t="shared" si="1033"/>
        <v>-7.5330929147747064E-3</v>
      </c>
    </row>
    <row r="1126" spans="1:20" x14ac:dyDescent="0.25">
      <c r="A1126" s="5">
        <v>43467</v>
      </c>
      <c r="B1126">
        <v>7.7549999999999999</v>
      </c>
      <c r="C1126">
        <v>7.98</v>
      </c>
      <c r="D1126">
        <v>7.5709999999999997</v>
      </c>
      <c r="E1126">
        <v>7.899</v>
      </c>
      <c r="F1126">
        <v>627670.32299999997</v>
      </c>
      <c r="G1126">
        <v>0</v>
      </c>
      <c r="P1126">
        <f t="shared" si="1029"/>
        <v>0.60391198044009653</v>
      </c>
      <c r="Q1126">
        <f t="shared" si="1030"/>
        <v>379057.62782640505</v>
      </c>
      <c r="R1126">
        <f t="shared" si="1031"/>
        <v>-573262.46026694519</v>
      </c>
      <c r="S1126">
        <f t="shared" si="1032"/>
        <v>-5.7326246026694516</v>
      </c>
      <c r="T1126">
        <f t="shared" si="1033"/>
        <v>-5.7326246026694512E-3</v>
      </c>
    </row>
    <row r="1127" spans="1:20" x14ac:dyDescent="0.25">
      <c r="A1127" s="5">
        <v>43466</v>
      </c>
      <c r="B1127">
        <v>7.423</v>
      </c>
      <c r="C1127">
        <v>7.79</v>
      </c>
      <c r="D1127">
        <v>7.2809999999999997</v>
      </c>
      <c r="E1127">
        <v>7.7560000000000002</v>
      </c>
      <c r="F1127">
        <v>324745.13900000002</v>
      </c>
      <c r="G1127">
        <v>0</v>
      </c>
      <c r="P1127">
        <f t="shared" si="1029"/>
        <v>0.86640471512770223</v>
      </c>
      <c r="Q1127">
        <f t="shared" si="1030"/>
        <v>281360.71964440111</v>
      </c>
      <c r="R1127">
        <f t="shared" si="1031"/>
        <v>-952320.08809335029</v>
      </c>
      <c r="S1127">
        <f t="shared" si="1032"/>
        <v>-9.5232008809335031</v>
      </c>
      <c r="T1127">
        <f t="shared" si="1033"/>
        <v>-9.523200880933504E-3</v>
      </c>
    </row>
    <row r="1128" spans="1:20" x14ac:dyDescent="0.25">
      <c r="A1128" s="5">
        <v>43465</v>
      </c>
      <c r="B1128">
        <v>7.9630000000000001</v>
      </c>
      <c r="C1128">
        <v>7.9960000000000004</v>
      </c>
      <c r="D1128">
        <v>7.24</v>
      </c>
      <c r="E1128">
        <v>7.4089999999999998</v>
      </c>
      <c r="F1128">
        <v>601249.50899999996</v>
      </c>
      <c r="G1128">
        <v>0</v>
      </c>
      <c r="P1128">
        <f t="shared" si="1029"/>
        <v>-0.55291005291005413</v>
      </c>
      <c r="Q1128">
        <f t="shared" si="1030"/>
        <v>-332436.89783333405</v>
      </c>
      <c r="R1128">
        <f t="shared" si="1031"/>
        <v>-1233680.8077377514</v>
      </c>
      <c r="S1128">
        <f t="shared" si="1032"/>
        <v>-12.336808077377514</v>
      </c>
      <c r="T1128">
        <f t="shared" si="1033"/>
        <v>-1.2336808077377514E-2</v>
      </c>
    </row>
    <row r="1129" spans="1:20" x14ac:dyDescent="0.25">
      <c r="A1129" s="5">
        <v>43464</v>
      </c>
      <c r="B1129">
        <v>7.6829999999999998</v>
      </c>
      <c r="C1129">
        <v>8.0830000000000002</v>
      </c>
      <c r="D1129">
        <v>7.5</v>
      </c>
      <c r="E1129">
        <v>7.9550000000000001</v>
      </c>
      <c r="F1129">
        <v>745896.96400000004</v>
      </c>
      <c r="G1129">
        <v>0</v>
      </c>
      <c r="P1129">
        <f t="shared" si="1029"/>
        <v>0.5608919382504286</v>
      </c>
      <c r="Q1129">
        <f t="shared" si="1030"/>
        <v>418367.5938730702</v>
      </c>
      <c r="R1129">
        <f t="shared" si="1031"/>
        <v>-901243.90990441747</v>
      </c>
      <c r="S1129">
        <f t="shared" si="1032"/>
        <v>-9.0124390990441743</v>
      </c>
      <c r="T1129">
        <f t="shared" si="1033"/>
        <v>-9.0124390990441745E-3</v>
      </c>
    </row>
    <row r="1130" spans="1:20" x14ac:dyDescent="0.25">
      <c r="A1130" s="5">
        <v>43463</v>
      </c>
      <c r="B1130">
        <v>7.8120000000000003</v>
      </c>
      <c r="C1130">
        <v>8.15</v>
      </c>
      <c r="D1130">
        <v>7.4</v>
      </c>
      <c r="E1130">
        <v>7.6630000000000003</v>
      </c>
      <c r="F1130">
        <v>835427.85699999996</v>
      </c>
      <c r="G1130">
        <v>0</v>
      </c>
      <c r="P1130">
        <f t="shared" si="1029"/>
        <v>-0.29866666666666691</v>
      </c>
      <c r="Q1130">
        <f t="shared" si="1030"/>
        <v>-249514.45329066686</v>
      </c>
      <c r="R1130">
        <f t="shared" si="1031"/>
        <v>-1319611.5037774877</v>
      </c>
      <c r="S1130">
        <f t="shared" si="1032"/>
        <v>-13.196115037774877</v>
      </c>
      <c r="T1130">
        <f t="shared" si="1033"/>
        <v>-1.3196115037774877E-2</v>
      </c>
    </row>
    <row r="1131" spans="1:20" x14ac:dyDescent="0.25">
      <c r="A1131" s="5">
        <v>43462</v>
      </c>
      <c r="B1131">
        <v>6.8</v>
      </c>
      <c r="C1131">
        <v>7.98</v>
      </c>
      <c r="D1131">
        <v>6.6550000000000002</v>
      </c>
      <c r="E1131">
        <v>7.8010000000000002</v>
      </c>
      <c r="F1131">
        <v>1102712.1140000001</v>
      </c>
      <c r="G1131">
        <v>0</v>
      </c>
      <c r="P1131">
        <f t="shared" si="1029"/>
        <v>0.72981132075471666</v>
      </c>
      <c r="Q1131">
        <f t="shared" si="1030"/>
        <v>804771.78433056572</v>
      </c>
      <c r="R1131">
        <f t="shared" si="1031"/>
        <v>-1070097.0504868207</v>
      </c>
      <c r="S1131">
        <f t="shared" si="1032"/>
        <v>-10.700970504868208</v>
      </c>
      <c r="T1131">
        <f t="shared" si="1033"/>
        <v>-1.0700970504868207E-2</v>
      </c>
    </row>
    <row r="1132" spans="1:20" x14ac:dyDescent="0.25">
      <c r="A1132" s="5">
        <v>43461</v>
      </c>
      <c r="B1132">
        <v>7.6820000000000004</v>
      </c>
      <c r="C1132">
        <v>7.7350000000000003</v>
      </c>
      <c r="D1132">
        <v>6.67</v>
      </c>
      <c r="E1132">
        <v>6.7990000000000004</v>
      </c>
      <c r="F1132">
        <v>941382.995</v>
      </c>
      <c r="G1132">
        <v>0</v>
      </c>
      <c r="P1132">
        <f t="shared" si="1029"/>
        <v>-0.75774647887323865</v>
      </c>
      <c r="Q1132">
        <f t="shared" si="1030"/>
        <v>-713329.64973239368</v>
      </c>
      <c r="R1132">
        <f t="shared" si="1031"/>
        <v>-1874868.8348173865</v>
      </c>
      <c r="S1132">
        <f t="shared" si="1032"/>
        <v>-18.748688348173864</v>
      </c>
      <c r="T1132">
        <f t="shared" si="1033"/>
        <v>-1.8748688348173864E-2</v>
      </c>
    </row>
    <row r="1133" spans="1:20" x14ac:dyDescent="0.25">
      <c r="A1133" s="5">
        <v>43460</v>
      </c>
      <c r="B1133">
        <v>7.56</v>
      </c>
      <c r="C1133">
        <v>7.9480000000000004</v>
      </c>
      <c r="D1133">
        <v>7.1109999999999998</v>
      </c>
      <c r="E1133">
        <v>7.6950000000000003</v>
      </c>
      <c r="F1133">
        <v>847808.25100000005</v>
      </c>
      <c r="G1133">
        <v>0</v>
      </c>
      <c r="P1133">
        <f t="shared" si="1029"/>
        <v>0.39545997610513756</v>
      </c>
      <c r="Q1133">
        <f t="shared" si="1030"/>
        <v>335274.23068219848</v>
      </c>
      <c r="R1133">
        <f t="shared" si="1031"/>
        <v>-1161539.1850849928</v>
      </c>
      <c r="S1133">
        <f t="shared" si="1032"/>
        <v>-11.615391850849928</v>
      </c>
      <c r="T1133">
        <f t="shared" si="1033"/>
        <v>-1.1615391850849928E-2</v>
      </c>
    </row>
    <row r="1134" spans="1:20" x14ac:dyDescent="0.25">
      <c r="A1134" s="5">
        <v>43459</v>
      </c>
      <c r="B1134">
        <v>8.3179999999999996</v>
      </c>
      <c r="C1134">
        <v>8.3610000000000007</v>
      </c>
      <c r="D1134">
        <v>7</v>
      </c>
      <c r="E1134">
        <v>7.5510000000000002</v>
      </c>
      <c r="F1134">
        <v>1276477.9569999999</v>
      </c>
      <c r="G1134">
        <v>0</v>
      </c>
      <c r="P1134">
        <f t="shared" si="1029"/>
        <v>-0.19030124908155785</v>
      </c>
      <c r="Q1134">
        <f t="shared" si="1030"/>
        <v>-242915.34964217508</v>
      </c>
      <c r="R1134">
        <f t="shared" si="1031"/>
        <v>-1496813.4157671912</v>
      </c>
      <c r="S1134">
        <f t="shared" si="1032"/>
        <v>-14.968134157671912</v>
      </c>
      <c r="T1134">
        <f t="shared" si="1033"/>
        <v>-1.4968134157671911E-2</v>
      </c>
    </row>
    <row r="1135" spans="1:20" x14ac:dyDescent="0.25">
      <c r="A1135" s="5">
        <v>43458</v>
      </c>
      <c r="B1135">
        <v>7.55</v>
      </c>
      <c r="C1135">
        <v>9.0039999999999996</v>
      </c>
      <c r="D1135">
        <v>7.5449999999999999</v>
      </c>
      <c r="E1135">
        <v>8.3249999999999993</v>
      </c>
      <c r="F1135">
        <v>2581230.9900000002</v>
      </c>
      <c r="G1135">
        <v>0</v>
      </c>
      <c r="P1135">
        <f t="shared" si="1029"/>
        <v>6.9225496915695073E-2</v>
      </c>
      <c r="Q1135">
        <f t="shared" si="1030"/>
        <v>178686.99793694157</v>
      </c>
      <c r="R1135">
        <f t="shared" si="1031"/>
        <v>-1253898.0661250162</v>
      </c>
      <c r="S1135">
        <f t="shared" si="1032"/>
        <v>-12.538980661250163</v>
      </c>
      <c r="T1135">
        <f t="shared" si="1033"/>
        <v>-1.2538980661250162E-2</v>
      </c>
    </row>
    <row r="1136" spans="1:20" x14ac:dyDescent="0.25">
      <c r="A1136" s="5">
        <v>43457</v>
      </c>
      <c r="B1136">
        <v>6.9880000000000004</v>
      </c>
      <c r="C1136">
        <v>7.9729999999999999</v>
      </c>
      <c r="D1136">
        <v>6.94</v>
      </c>
      <c r="E1136">
        <v>7.5469999999999997</v>
      </c>
      <c r="F1136">
        <v>1381072.544</v>
      </c>
      <c r="G1136">
        <v>0</v>
      </c>
      <c r="P1136">
        <f t="shared" si="1029"/>
        <v>0.17521781219748234</v>
      </c>
      <c r="Q1136">
        <f t="shared" si="1030"/>
        <v>241988.50964569117</v>
      </c>
      <c r="R1136">
        <f t="shared" si="1031"/>
        <v>-1432585.0640619579</v>
      </c>
      <c r="S1136">
        <f t="shared" si="1032"/>
        <v>-14.32585064061958</v>
      </c>
      <c r="T1136">
        <f t="shared" si="1033"/>
        <v>-1.4325850640619579E-2</v>
      </c>
    </row>
    <row r="1137" spans="1:20" x14ac:dyDescent="0.25">
      <c r="A1137" s="5">
        <v>43456</v>
      </c>
      <c r="B1137">
        <v>6.8120000000000003</v>
      </c>
      <c r="C1137">
        <v>7.008</v>
      </c>
      <c r="D1137">
        <v>6.6369999999999996</v>
      </c>
      <c r="E1137">
        <v>6.9889999999999999</v>
      </c>
      <c r="F1137">
        <v>582872.27099999995</v>
      </c>
      <c r="G1137">
        <v>0</v>
      </c>
      <c r="P1137">
        <f t="shared" si="1029"/>
        <v>0.89757412398921776</v>
      </c>
      <c r="Q1137">
        <f t="shared" si="1030"/>
        <v>523171.0680404309</v>
      </c>
      <c r="R1137">
        <f t="shared" si="1031"/>
        <v>-1674573.573707649</v>
      </c>
      <c r="S1137">
        <f t="shared" si="1032"/>
        <v>-16.74573573707649</v>
      </c>
      <c r="T1137">
        <f t="shared" si="1033"/>
        <v>-1.6745735737076491E-2</v>
      </c>
    </row>
    <row r="1138" spans="1:20" x14ac:dyDescent="0.25">
      <c r="A1138" s="5">
        <v>43455</v>
      </c>
      <c r="B1138">
        <v>7.1180000000000003</v>
      </c>
      <c r="C1138">
        <v>7.3860000000000001</v>
      </c>
      <c r="D1138">
        <v>6.53</v>
      </c>
      <c r="E1138">
        <v>6.8040000000000003</v>
      </c>
      <c r="F1138">
        <v>1389277.4380000001</v>
      </c>
      <c r="G1138">
        <v>0</v>
      </c>
      <c r="P1138">
        <f t="shared" si="1029"/>
        <v>-0.35981308411214941</v>
      </c>
      <c r="Q1138">
        <f t="shared" si="1030"/>
        <v>-499880.19965420547</v>
      </c>
      <c r="R1138">
        <f t="shared" si="1031"/>
        <v>-2197744.64174808</v>
      </c>
      <c r="S1138">
        <f t="shared" si="1032"/>
        <v>-21.977446417480799</v>
      </c>
      <c r="T1138">
        <f t="shared" si="1033"/>
        <v>-2.1977446417480798E-2</v>
      </c>
    </row>
    <row r="1139" spans="1:20" x14ac:dyDescent="0.25">
      <c r="A1139" s="5">
        <v>43454</v>
      </c>
      <c r="B1139">
        <v>6.5010000000000003</v>
      </c>
      <c r="C1139">
        <v>7.3250000000000002</v>
      </c>
      <c r="D1139">
        <v>6.45</v>
      </c>
      <c r="E1139">
        <v>7.1180000000000003</v>
      </c>
      <c r="F1139">
        <v>1496708.6869999999</v>
      </c>
      <c r="G1139">
        <v>0</v>
      </c>
      <c r="P1139">
        <f t="shared" si="1029"/>
        <v>0.52685714285714325</v>
      </c>
      <c r="Q1139">
        <f t="shared" si="1030"/>
        <v>788551.66252228629</v>
      </c>
      <c r="R1139">
        <f t="shared" si="1031"/>
        <v>-1697864.4420938748</v>
      </c>
      <c r="S1139">
        <f t="shared" si="1032"/>
        <v>-16.97864442093875</v>
      </c>
      <c r="T1139">
        <f t="shared" si="1033"/>
        <v>-1.697864442093875E-2</v>
      </c>
    </row>
    <row r="1140" spans="1:20" x14ac:dyDescent="0.25">
      <c r="A1140" s="5">
        <v>43453</v>
      </c>
      <c r="B1140">
        <v>6.7370000000000001</v>
      </c>
      <c r="C1140">
        <v>7.25</v>
      </c>
      <c r="D1140">
        <v>6.4740000000000002</v>
      </c>
      <c r="E1140">
        <v>6.4950000000000001</v>
      </c>
      <c r="F1140">
        <v>1421379.817</v>
      </c>
      <c r="G1140">
        <v>0</v>
      </c>
      <c r="P1140">
        <f t="shared" si="1029"/>
        <v>-0.94587628865979401</v>
      </c>
      <c r="Q1140">
        <f t="shared" si="1030"/>
        <v>-1344449.4660798972</v>
      </c>
      <c r="R1140">
        <f t="shared" si="1031"/>
        <v>-2486416.104616161</v>
      </c>
      <c r="S1140">
        <f t="shared" si="1032"/>
        <v>-24.864161046161609</v>
      </c>
      <c r="T1140">
        <f t="shared" si="1033"/>
        <v>-2.4864161046161608E-2</v>
      </c>
    </row>
    <row r="1141" spans="1:20" x14ac:dyDescent="0.25">
      <c r="A1141" s="5">
        <v>43452</v>
      </c>
      <c r="B1141">
        <v>6.4749999999999996</v>
      </c>
      <c r="C1141">
        <v>6.78</v>
      </c>
      <c r="D1141">
        <v>6.23</v>
      </c>
      <c r="E1141">
        <v>6.7370000000000001</v>
      </c>
      <c r="F1141">
        <v>812395.86499999999</v>
      </c>
      <c r="G1141">
        <v>0</v>
      </c>
      <c r="P1141">
        <f t="shared" si="1029"/>
        <v>0.84363636363636307</v>
      </c>
      <c r="Q1141">
        <f t="shared" si="1030"/>
        <v>685366.69338181766</v>
      </c>
      <c r="R1141">
        <f t="shared" si="1031"/>
        <v>-1141966.6385362637</v>
      </c>
      <c r="S1141">
        <f t="shared" si="1032"/>
        <v>-11.419666385362637</v>
      </c>
      <c r="T1141">
        <f t="shared" si="1033"/>
        <v>-1.1419666385362638E-2</v>
      </c>
    </row>
    <row r="1142" spans="1:20" x14ac:dyDescent="0.25">
      <c r="A1142" s="5">
        <v>43451</v>
      </c>
      <c r="B1142">
        <v>5.673</v>
      </c>
      <c r="C1142">
        <v>6.6639999999999997</v>
      </c>
      <c r="D1142">
        <v>5.6580000000000004</v>
      </c>
      <c r="E1142">
        <v>6.468</v>
      </c>
      <c r="F1142">
        <v>845280.08499999996</v>
      </c>
      <c r="G1142">
        <v>0</v>
      </c>
      <c r="P1142">
        <f t="shared" si="1029"/>
        <v>0.61033797216699825</v>
      </c>
      <c r="Q1142">
        <f t="shared" si="1030"/>
        <v>515906.5329920479</v>
      </c>
      <c r="R1142">
        <f t="shared" si="1031"/>
        <v>-1827333.3319180815</v>
      </c>
      <c r="S1142">
        <f t="shared" si="1032"/>
        <v>-18.273333319180814</v>
      </c>
      <c r="T1142">
        <f t="shared" si="1033"/>
        <v>-1.8273333319180813E-2</v>
      </c>
    </row>
    <row r="1143" spans="1:20" x14ac:dyDescent="0.25">
      <c r="A1143" s="5">
        <v>43450</v>
      </c>
      <c r="B1143">
        <v>5.5970000000000004</v>
      </c>
      <c r="C1143">
        <v>5.9880000000000004</v>
      </c>
      <c r="D1143">
        <v>5.5839999999999996</v>
      </c>
      <c r="E1143">
        <v>5.6749999999999998</v>
      </c>
      <c r="F1143">
        <v>461649.34600000002</v>
      </c>
      <c r="G1143">
        <v>0</v>
      </c>
      <c r="P1143">
        <f t="shared" si="1029"/>
        <v>-0.54950495049504944</v>
      </c>
      <c r="Q1143">
        <f t="shared" si="1030"/>
        <v>-253678.60101980195</v>
      </c>
      <c r="R1143">
        <f t="shared" si="1031"/>
        <v>-2343239.8649101295</v>
      </c>
      <c r="S1143">
        <f t="shared" si="1032"/>
        <v>-23.432398649101295</v>
      </c>
      <c r="T1143">
        <f t="shared" si="1033"/>
        <v>-2.3432398649101294E-2</v>
      </c>
    </row>
    <row r="1144" spans="1:20" x14ac:dyDescent="0.25">
      <c r="A1144" s="5">
        <v>43449</v>
      </c>
      <c r="B1144">
        <v>5.625</v>
      </c>
      <c r="C1144">
        <v>5.6769999999999996</v>
      </c>
      <c r="D1144">
        <v>5.4210000000000003</v>
      </c>
      <c r="E1144">
        <v>5.5880000000000001</v>
      </c>
      <c r="F1144">
        <v>251275.31</v>
      </c>
      <c r="G1144">
        <v>0</v>
      </c>
      <c r="P1144">
        <f t="shared" si="1029"/>
        <v>0.30468750000000194</v>
      </c>
      <c r="Q1144">
        <f t="shared" si="1030"/>
        <v>76560.446015625494</v>
      </c>
      <c r="R1144">
        <f t="shared" si="1031"/>
        <v>-2089561.2638903277</v>
      </c>
      <c r="S1144">
        <f t="shared" si="1032"/>
        <v>-20.895612638903277</v>
      </c>
      <c r="T1144">
        <f t="shared" si="1033"/>
        <v>-2.0895612638903278E-2</v>
      </c>
    </row>
    <row r="1145" spans="1:20" x14ac:dyDescent="0.25">
      <c r="A1145" s="5">
        <v>43448</v>
      </c>
      <c r="B1145">
        <v>5.7110000000000003</v>
      </c>
      <c r="C1145">
        <v>5.7430000000000003</v>
      </c>
      <c r="D1145">
        <v>5.4589999999999996</v>
      </c>
      <c r="E1145">
        <v>5.63</v>
      </c>
      <c r="F1145">
        <v>344705.08799999999</v>
      </c>
      <c r="G1145">
        <v>0</v>
      </c>
      <c r="P1145">
        <f t="shared" si="1029"/>
        <v>0.20422535211267495</v>
      </c>
      <c r="Q1145">
        <f t="shared" si="1030"/>
        <v>70397.517971830603</v>
      </c>
      <c r="R1145">
        <f t="shared" si="1031"/>
        <v>-2166121.7099059531</v>
      </c>
      <c r="S1145">
        <f t="shared" si="1032"/>
        <v>-21.661217099059531</v>
      </c>
      <c r="T1145">
        <f t="shared" si="1033"/>
        <v>-2.1661217099059531E-2</v>
      </c>
    </row>
    <row r="1146" spans="1:20" x14ac:dyDescent="0.25">
      <c r="A1146" s="5">
        <v>43447</v>
      </c>
      <c r="B1146">
        <v>5.9669999999999996</v>
      </c>
      <c r="C1146">
        <v>5.9989999999999997</v>
      </c>
      <c r="D1146">
        <v>5.5819999999999999</v>
      </c>
      <c r="E1146">
        <v>5.718</v>
      </c>
      <c r="F1146">
        <v>427749.549</v>
      </c>
      <c r="G1146">
        <v>0</v>
      </c>
      <c r="P1146">
        <f t="shared" si="1029"/>
        <v>-0.34772182254196554</v>
      </c>
      <c r="Q1146">
        <f t="shared" si="1030"/>
        <v>-148737.85276978379</v>
      </c>
      <c r="R1146">
        <f t="shared" si="1031"/>
        <v>-2236519.2278777836</v>
      </c>
      <c r="S1146">
        <f t="shared" si="1032"/>
        <v>-22.365192278777837</v>
      </c>
      <c r="T1146">
        <f t="shared" si="1033"/>
        <v>-2.2365192278777837E-2</v>
      </c>
    </row>
    <row r="1147" spans="1:20" x14ac:dyDescent="0.25">
      <c r="A1147" s="5">
        <v>43446</v>
      </c>
      <c r="B1147">
        <v>5.7830000000000004</v>
      </c>
      <c r="C1147">
        <v>6.266</v>
      </c>
      <c r="D1147">
        <v>5.718</v>
      </c>
      <c r="E1147">
        <v>5.9779999999999998</v>
      </c>
      <c r="F1147">
        <v>408473.41399999999</v>
      </c>
      <c r="G1147">
        <v>0</v>
      </c>
      <c r="P1147">
        <f t="shared" si="1029"/>
        <v>-5.1094890510949759E-2</v>
      </c>
      <c r="Q1147">
        <f t="shared" si="1030"/>
        <v>-20870.904364963852</v>
      </c>
      <c r="R1147">
        <f t="shared" si="1031"/>
        <v>-2087781.3751079999</v>
      </c>
      <c r="S1147">
        <f t="shared" si="1032"/>
        <v>-20.877813751079998</v>
      </c>
      <c r="T1147">
        <f t="shared" si="1033"/>
        <v>-2.0877813751079999E-2</v>
      </c>
    </row>
    <row r="1148" spans="1:20" x14ac:dyDescent="0.25">
      <c r="A1148" s="5">
        <v>43445</v>
      </c>
      <c r="B1148">
        <v>6.0359999999999996</v>
      </c>
      <c r="C1148">
        <v>6.1680000000000001</v>
      </c>
      <c r="D1148">
        <v>5.6710000000000003</v>
      </c>
      <c r="E1148">
        <v>5.7949999999999999</v>
      </c>
      <c r="F1148">
        <v>440142.54599999997</v>
      </c>
      <c r="G1148">
        <v>0</v>
      </c>
      <c r="P1148">
        <f t="shared" si="1029"/>
        <v>-0.50100603621730511</v>
      </c>
      <c r="Q1148">
        <f t="shared" si="1030"/>
        <v>-220514.07234205285</v>
      </c>
      <c r="R1148">
        <f t="shared" si="1031"/>
        <v>-2066910.4707430361</v>
      </c>
      <c r="S1148">
        <f t="shared" si="1032"/>
        <v>-20.66910470743036</v>
      </c>
      <c r="T1148">
        <f t="shared" si="1033"/>
        <v>-2.0669104707430361E-2</v>
      </c>
    </row>
    <row r="1149" spans="1:20" x14ac:dyDescent="0.25">
      <c r="A1149" s="5">
        <v>43444</v>
      </c>
      <c r="B1149">
        <v>6.3010000000000002</v>
      </c>
      <c r="C1149">
        <v>6.3789999999999996</v>
      </c>
      <c r="D1149">
        <v>5.8760000000000003</v>
      </c>
      <c r="E1149">
        <v>6.0339999999999998</v>
      </c>
      <c r="F1149">
        <v>523444.82</v>
      </c>
      <c r="G1149">
        <v>0</v>
      </c>
      <c r="P1149">
        <f t="shared" si="1029"/>
        <v>-0.37176938369781426</v>
      </c>
      <c r="Q1149">
        <f t="shared" si="1030"/>
        <v>-194600.75813121331</v>
      </c>
      <c r="R1149">
        <f t="shared" si="1031"/>
        <v>-1846396.3984009833</v>
      </c>
      <c r="S1149">
        <f t="shared" si="1032"/>
        <v>-18.463963984009833</v>
      </c>
      <c r="T1149">
        <f t="shared" si="1033"/>
        <v>-1.8463963984009832E-2</v>
      </c>
    </row>
    <row r="1150" spans="1:20" x14ac:dyDescent="0.25">
      <c r="A1150" s="5">
        <v>43443</v>
      </c>
      <c r="B1150">
        <v>5.915</v>
      </c>
      <c r="C1150">
        <v>6.8449999999999998</v>
      </c>
      <c r="D1150">
        <v>5.91</v>
      </c>
      <c r="E1150">
        <v>6.3049999999999997</v>
      </c>
      <c r="F1150">
        <v>608145.62</v>
      </c>
      <c r="G1150">
        <v>0</v>
      </c>
      <c r="P1150">
        <f t="shared" si="1029"/>
        <v>-0.15508021390374388</v>
      </c>
      <c r="Q1150">
        <f t="shared" si="1030"/>
        <v>-94311.352834224948</v>
      </c>
      <c r="R1150">
        <f t="shared" si="1031"/>
        <v>-1651795.6402697701</v>
      </c>
      <c r="S1150">
        <f t="shared" si="1032"/>
        <v>-16.517956402697699</v>
      </c>
      <c r="T1150">
        <f t="shared" si="1033"/>
        <v>-1.6517956402697698E-2</v>
      </c>
    </row>
    <row r="1151" spans="1:20" x14ac:dyDescent="0.25">
      <c r="A1151" s="5">
        <v>43442</v>
      </c>
      <c r="B1151">
        <v>6.0629999999999997</v>
      </c>
      <c r="C1151">
        <v>6.56</v>
      </c>
      <c r="D1151">
        <v>5.5810000000000004</v>
      </c>
      <c r="E1151">
        <v>5.915</v>
      </c>
      <c r="F1151">
        <v>697756.81200000003</v>
      </c>
      <c r="G1151">
        <v>0</v>
      </c>
      <c r="P1151">
        <f t="shared" ref="P1151:P1195" si="1034">IF(C1151=D1151,0,((E1151-D1151)-(C1151-E1151))/(C1151-D1151))</f>
        <v>-0.31767109295199203</v>
      </c>
      <c r="Q1151">
        <f t="shared" ref="Q1151:Q1195" si="1035">F1151*P1151</f>
        <v>-221657.16908273764</v>
      </c>
      <c r="R1151">
        <f t="shared" ref="R1151:R1195" si="1036">R1152+Q1151</f>
        <v>-1557484.2874355451</v>
      </c>
      <c r="S1151">
        <f t="shared" ref="S1151:S1195" si="1037">R1151/100000</f>
        <v>-15.574842874355451</v>
      </c>
      <c r="T1151">
        <f t="shared" ref="T1151:T1195" si="1038">S1151/1000</f>
        <v>-1.5574842874355451E-2</v>
      </c>
    </row>
    <row r="1152" spans="1:20" x14ac:dyDescent="0.25">
      <c r="A1152" s="5">
        <v>43441</v>
      </c>
      <c r="B1152">
        <v>6.01</v>
      </c>
      <c r="C1152">
        <v>6.35</v>
      </c>
      <c r="D1152">
        <v>5.3979999999999997</v>
      </c>
      <c r="E1152">
        <v>6.0650000000000004</v>
      </c>
      <c r="F1152">
        <v>1082692.9839999999</v>
      </c>
      <c r="G1152">
        <v>0</v>
      </c>
      <c r="P1152">
        <f t="shared" si="1034"/>
        <v>0.40126050420168219</v>
      </c>
      <c r="Q1152">
        <f t="shared" si="1035"/>
        <v>434441.93265546381</v>
      </c>
      <c r="R1152">
        <f t="shared" si="1036"/>
        <v>-1335827.1183528076</v>
      </c>
      <c r="S1152">
        <f t="shared" si="1037"/>
        <v>-13.358271183528077</v>
      </c>
      <c r="T1152">
        <f t="shared" si="1038"/>
        <v>-1.3358271183528076E-2</v>
      </c>
    </row>
    <row r="1153" spans="1:20" x14ac:dyDescent="0.25">
      <c r="A1153" s="5">
        <v>43440</v>
      </c>
      <c r="B1153">
        <v>7.0380000000000003</v>
      </c>
      <c r="C1153">
        <v>7.3579999999999997</v>
      </c>
      <c r="D1153">
        <v>5.9779999999999998</v>
      </c>
      <c r="E1153">
        <v>6.01</v>
      </c>
      <c r="F1153">
        <v>707094.43299999996</v>
      </c>
      <c r="G1153">
        <v>0</v>
      </c>
      <c r="P1153">
        <f t="shared" si="1034"/>
        <v>-0.95362318840579707</v>
      </c>
      <c r="Q1153">
        <f t="shared" si="1035"/>
        <v>-674301.64770144923</v>
      </c>
      <c r="R1153">
        <f t="shared" si="1036"/>
        <v>-1770269.0510082715</v>
      </c>
      <c r="S1153">
        <f t="shared" si="1037"/>
        <v>-17.702690510082714</v>
      </c>
      <c r="T1153">
        <f t="shared" si="1038"/>
        <v>-1.7702690510082716E-2</v>
      </c>
    </row>
    <row r="1154" spans="1:20" x14ac:dyDescent="0.25">
      <c r="A1154" s="5">
        <v>43439</v>
      </c>
      <c r="B1154">
        <v>7.6369999999999996</v>
      </c>
      <c r="C1154">
        <v>7.6639999999999997</v>
      </c>
      <c r="D1154">
        <v>7</v>
      </c>
      <c r="E1154">
        <v>7.0380000000000003</v>
      </c>
      <c r="F1154">
        <v>362171.78600000002</v>
      </c>
      <c r="G1154">
        <v>0</v>
      </c>
      <c r="P1154">
        <f t="shared" si="1034"/>
        <v>-0.88554216867469793</v>
      </c>
      <c r="Q1154">
        <f t="shared" si="1035"/>
        <v>-320718.38880722859</v>
      </c>
      <c r="R1154">
        <f t="shared" si="1036"/>
        <v>-1095967.4033068223</v>
      </c>
      <c r="S1154">
        <f t="shared" si="1037"/>
        <v>-10.959674033068223</v>
      </c>
      <c r="T1154">
        <f t="shared" si="1038"/>
        <v>-1.0959674033068223E-2</v>
      </c>
    </row>
    <row r="1155" spans="1:20" x14ac:dyDescent="0.25">
      <c r="A1155" s="5">
        <v>43438</v>
      </c>
      <c r="B1155">
        <v>7.3739999999999997</v>
      </c>
      <c r="C1155">
        <v>7.98</v>
      </c>
      <c r="D1155">
        <v>7.05</v>
      </c>
      <c r="E1155">
        <v>7.6260000000000003</v>
      </c>
      <c r="F1155">
        <v>468146.478</v>
      </c>
      <c r="G1155">
        <v>0</v>
      </c>
      <c r="P1155">
        <f t="shared" si="1034"/>
        <v>0.23870967741935514</v>
      </c>
      <c r="Q1155">
        <f t="shared" si="1035"/>
        <v>111751.09474838724</v>
      </c>
      <c r="R1155">
        <f t="shared" si="1036"/>
        <v>-775249.01449959364</v>
      </c>
      <c r="S1155">
        <f t="shared" si="1037"/>
        <v>-7.752490144995936</v>
      </c>
      <c r="T1155">
        <f t="shared" si="1038"/>
        <v>-7.7524901449959362E-3</v>
      </c>
    </row>
    <row r="1156" spans="1:20" x14ac:dyDescent="0.25">
      <c r="A1156" s="5">
        <v>43437</v>
      </c>
      <c r="B1156">
        <v>8.0109999999999992</v>
      </c>
      <c r="C1156">
        <v>8.06</v>
      </c>
      <c r="D1156">
        <v>7.2249999999999996</v>
      </c>
      <c r="E1156">
        <v>7.3630000000000004</v>
      </c>
      <c r="F1156">
        <v>423471.68400000001</v>
      </c>
      <c r="G1156">
        <v>0</v>
      </c>
      <c r="P1156">
        <f t="shared" si="1034"/>
        <v>-0.66946107784430986</v>
      </c>
      <c r="Q1156">
        <f t="shared" si="1035"/>
        <v>-283497.81000718498</v>
      </c>
      <c r="R1156">
        <f t="shared" si="1036"/>
        <v>-887000.10924798087</v>
      </c>
      <c r="S1156">
        <f t="shared" si="1037"/>
        <v>-8.8700010924798089</v>
      </c>
      <c r="T1156">
        <f t="shared" si="1038"/>
        <v>-8.8700010924798092E-3</v>
      </c>
    </row>
    <row r="1157" spans="1:20" x14ac:dyDescent="0.25">
      <c r="A1157" s="5">
        <v>43436</v>
      </c>
      <c r="B1157">
        <v>8.141</v>
      </c>
      <c r="C1157">
        <v>8.4670000000000005</v>
      </c>
      <c r="D1157">
        <v>7.883</v>
      </c>
      <c r="E1157">
        <v>8.0109999999999992</v>
      </c>
      <c r="F1157">
        <v>511221.005</v>
      </c>
      <c r="G1157">
        <v>0</v>
      </c>
      <c r="P1157">
        <f t="shared" si="1034"/>
        <v>-0.56164383561644138</v>
      </c>
      <c r="Q1157">
        <f t="shared" si="1035"/>
        <v>-287124.12609589193</v>
      </c>
      <c r="R1157">
        <f t="shared" si="1036"/>
        <v>-603502.2992407959</v>
      </c>
      <c r="S1157">
        <f t="shared" si="1037"/>
        <v>-6.035022992407959</v>
      </c>
      <c r="T1157">
        <f t="shared" si="1038"/>
        <v>-6.0350229924079589E-3</v>
      </c>
    </row>
    <row r="1158" spans="1:20" x14ac:dyDescent="0.25">
      <c r="A1158" s="5">
        <v>43435</v>
      </c>
      <c r="B1158">
        <v>7.7640000000000002</v>
      </c>
      <c r="C1158">
        <v>8.3699999999999992</v>
      </c>
      <c r="D1158">
        <v>7.508</v>
      </c>
      <c r="E1158">
        <v>8.1389999999999993</v>
      </c>
      <c r="F1158">
        <v>530849.38199999998</v>
      </c>
      <c r="G1158">
        <v>0</v>
      </c>
      <c r="P1158">
        <f t="shared" si="1034"/>
        <v>0.4640371229698374</v>
      </c>
      <c r="Q1158">
        <f t="shared" si="1035"/>
        <v>246333.81995359619</v>
      </c>
      <c r="R1158">
        <f t="shared" si="1036"/>
        <v>-316378.17314490397</v>
      </c>
      <c r="S1158">
        <f t="shared" si="1037"/>
        <v>-3.1637817314490397</v>
      </c>
      <c r="T1158">
        <f t="shared" si="1038"/>
        <v>-3.1637817314490399E-3</v>
      </c>
    </row>
    <row r="1159" spans="1:20" x14ac:dyDescent="0.25">
      <c r="A1159" s="5">
        <v>43434</v>
      </c>
      <c r="B1159">
        <v>8.4619999999999997</v>
      </c>
      <c r="C1159">
        <v>8.5399999999999991</v>
      </c>
      <c r="D1159">
        <v>7.3689999999999998</v>
      </c>
      <c r="E1159">
        <v>7.7720000000000002</v>
      </c>
      <c r="F1159">
        <v>646938.929</v>
      </c>
      <c r="G1159">
        <v>0</v>
      </c>
      <c r="P1159">
        <f t="shared" si="1034"/>
        <v>-0.31169940222032333</v>
      </c>
      <c r="Q1159">
        <f t="shared" si="1035"/>
        <v>-201650.4774423562</v>
      </c>
      <c r="R1159">
        <f t="shared" si="1036"/>
        <v>-562711.99309850018</v>
      </c>
      <c r="S1159">
        <f t="shared" si="1037"/>
        <v>-5.6271199309850015</v>
      </c>
      <c r="T1159">
        <f t="shared" si="1038"/>
        <v>-5.6271199309850016E-3</v>
      </c>
    </row>
    <row r="1160" spans="1:20" x14ac:dyDescent="0.25">
      <c r="A1160" s="5">
        <v>43433</v>
      </c>
      <c r="B1160">
        <v>8.3650000000000002</v>
      </c>
      <c r="C1160">
        <v>8.9499999999999993</v>
      </c>
      <c r="D1160">
        <v>7.9690000000000003</v>
      </c>
      <c r="E1160">
        <v>8.4619999999999997</v>
      </c>
      <c r="F1160">
        <v>832762.255</v>
      </c>
      <c r="G1160">
        <v>0</v>
      </c>
      <c r="P1160">
        <f t="shared" si="1034"/>
        <v>5.0968399592251773E-3</v>
      </c>
      <c r="Q1160">
        <f t="shared" si="1035"/>
        <v>4244.4559378184667</v>
      </c>
      <c r="R1160">
        <f t="shared" si="1036"/>
        <v>-361061.51565614401</v>
      </c>
      <c r="S1160">
        <f t="shared" si="1037"/>
        <v>-3.6106151565614399</v>
      </c>
      <c r="T1160">
        <f t="shared" si="1038"/>
        <v>-3.6106151565614398E-3</v>
      </c>
    </row>
    <row r="1161" spans="1:20" x14ac:dyDescent="0.25">
      <c r="A1161" s="5">
        <v>43432</v>
      </c>
      <c r="B1161">
        <v>7.359</v>
      </c>
      <c r="C1161">
        <v>8.86</v>
      </c>
      <c r="D1161">
        <v>7.3390000000000004</v>
      </c>
      <c r="E1161">
        <v>8.3650000000000002</v>
      </c>
      <c r="F1161">
        <v>1299803.6640000001</v>
      </c>
      <c r="G1161">
        <v>0</v>
      </c>
      <c r="P1161">
        <f t="shared" si="1034"/>
        <v>0.34911242603550358</v>
      </c>
      <c r="Q1161">
        <f t="shared" si="1035"/>
        <v>453777.61050887656</v>
      </c>
      <c r="R1161">
        <f t="shared" si="1036"/>
        <v>-365305.97159396246</v>
      </c>
      <c r="S1161">
        <f t="shared" si="1037"/>
        <v>-3.6530597159396248</v>
      </c>
      <c r="T1161">
        <f t="shared" si="1038"/>
        <v>-3.6530597159396246E-3</v>
      </c>
    </row>
    <row r="1162" spans="1:20" x14ac:dyDescent="0.25">
      <c r="A1162" s="5">
        <v>43431</v>
      </c>
      <c r="B1162">
        <v>7.2670000000000003</v>
      </c>
      <c r="C1162">
        <v>7.45</v>
      </c>
      <c r="D1162">
        <v>6.81</v>
      </c>
      <c r="E1162">
        <v>7.3579999999999997</v>
      </c>
      <c r="F1162">
        <v>620891.24699999997</v>
      </c>
      <c r="G1162">
        <v>0</v>
      </c>
      <c r="P1162">
        <f t="shared" si="1034"/>
        <v>0.71249999999999858</v>
      </c>
      <c r="Q1162">
        <f t="shared" si="1035"/>
        <v>442385.01348749909</v>
      </c>
      <c r="R1162">
        <f t="shared" si="1036"/>
        <v>-819083.58210283902</v>
      </c>
      <c r="S1162">
        <f t="shared" si="1037"/>
        <v>-8.19083582102839</v>
      </c>
      <c r="T1162">
        <f t="shared" si="1038"/>
        <v>-8.1908358210283898E-3</v>
      </c>
    </row>
    <row r="1163" spans="1:20" x14ac:dyDescent="0.25">
      <c r="A1163" s="5">
        <v>43430</v>
      </c>
      <c r="B1163">
        <v>7.8410000000000002</v>
      </c>
      <c r="C1163">
        <v>8.0570000000000004</v>
      </c>
      <c r="D1163">
        <v>7</v>
      </c>
      <c r="E1163">
        <v>7.28</v>
      </c>
      <c r="F1163">
        <v>1058279.821</v>
      </c>
      <c r="G1163">
        <v>0</v>
      </c>
      <c r="P1163">
        <f t="shared" si="1034"/>
        <v>-0.47019867549668848</v>
      </c>
      <c r="Q1163">
        <f t="shared" si="1035"/>
        <v>-497601.77013907256</v>
      </c>
      <c r="R1163">
        <f t="shared" si="1036"/>
        <v>-1261468.5955903381</v>
      </c>
      <c r="S1163">
        <f t="shared" si="1037"/>
        <v>-12.614685955903381</v>
      </c>
      <c r="T1163">
        <f t="shared" si="1038"/>
        <v>-1.2614685955903381E-2</v>
      </c>
    </row>
    <row r="1164" spans="1:20" x14ac:dyDescent="0.25">
      <c r="A1164" s="5">
        <v>43429</v>
      </c>
      <c r="B1164">
        <v>7.585</v>
      </c>
      <c r="C1164">
        <v>8.1880000000000006</v>
      </c>
      <c r="D1164">
        <v>6.86</v>
      </c>
      <c r="E1164">
        <v>7.8410000000000002</v>
      </c>
      <c r="F1164">
        <v>1203935.622</v>
      </c>
      <c r="G1164">
        <v>0</v>
      </c>
      <c r="P1164">
        <f t="shared" si="1034"/>
        <v>0.47740963855421636</v>
      </c>
      <c r="Q1164">
        <f t="shared" si="1035"/>
        <v>574770.47014156566</v>
      </c>
      <c r="R1164">
        <f t="shared" si="1036"/>
        <v>-763866.82545126555</v>
      </c>
      <c r="S1164">
        <f t="shared" si="1037"/>
        <v>-7.6386682545126554</v>
      </c>
      <c r="T1164">
        <f t="shared" si="1038"/>
        <v>-7.6386682545126552E-3</v>
      </c>
    </row>
    <row r="1165" spans="1:20" x14ac:dyDescent="0.25">
      <c r="A1165" s="5">
        <v>43428</v>
      </c>
      <c r="B1165">
        <v>8.734</v>
      </c>
      <c r="C1165">
        <v>9.1270000000000007</v>
      </c>
      <c r="D1165">
        <v>7.3620000000000001</v>
      </c>
      <c r="E1165">
        <v>7.5860000000000003</v>
      </c>
      <c r="F1165">
        <v>699961.19</v>
      </c>
      <c r="G1165">
        <v>0</v>
      </c>
      <c r="P1165">
        <f t="shared" si="1034"/>
        <v>-0.74617563739376758</v>
      </c>
      <c r="Q1165">
        <f t="shared" si="1035"/>
        <v>-522293.98709915002</v>
      </c>
      <c r="R1165">
        <f t="shared" si="1036"/>
        <v>-1338637.2955928312</v>
      </c>
      <c r="S1165">
        <f t="shared" si="1037"/>
        <v>-13.386372955928312</v>
      </c>
      <c r="T1165">
        <f t="shared" si="1038"/>
        <v>-1.3386372955928313E-2</v>
      </c>
    </row>
    <row r="1166" spans="1:20" x14ac:dyDescent="0.25">
      <c r="A1166" s="5">
        <v>43427</v>
      </c>
      <c r="B1166">
        <v>8.4290000000000003</v>
      </c>
      <c r="C1166">
        <v>8.8889999999999993</v>
      </c>
      <c r="D1166">
        <v>8.0229999999999997</v>
      </c>
      <c r="E1166">
        <v>8.7420000000000009</v>
      </c>
      <c r="F1166">
        <v>903145.21699999995</v>
      </c>
      <c r="G1166">
        <v>0</v>
      </c>
      <c r="P1166">
        <f t="shared" si="1034"/>
        <v>0.66050808314088105</v>
      </c>
      <c r="Q1166">
        <f t="shared" si="1035"/>
        <v>596534.71607852506</v>
      </c>
      <c r="R1166">
        <f t="shared" si="1036"/>
        <v>-816343.30849368114</v>
      </c>
      <c r="S1166">
        <f t="shared" si="1037"/>
        <v>-8.1634330849368109</v>
      </c>
      <c r="T1166">
        <f t="shared" si="1038"/>
        <v>-8.1634330849368105E-3</v>
      </c>
    </row>
    <row r="1167" spans="1:20" x14ac:dyDescent="0.25">
      <c r="A1167" s="5">
        <v>43426</v>
      </c>
      <c r="B1167">
        <v>9.3569999999999993</v>
      </c>
      <c r="C1167">
        <v>9.5050000000000008</v>
      </c>
      <c r="D1167">
        <v>8.3550000000000004</v>
      </c>
      <c r="E1167">
        <v>8.4290000000000003</v>
      </c>
      <c r="F1167">
        <v>719424.32799999998</v>
      </c>
      <c r="G1167">
        <v>0</v>
      </c>
      <c r="P1167">
        <f t="shared" si="1034"/>
        <v>-0.87130434782608723</v>
      </c>
      <c r="Q1167">
        <f t="shared" si="1035"/>
        <v>-626837.544918261</v>
      </c>
      <c r="R1167">
        <f t="shared" si="1036"/>
        <v>-1412878.0245722062</v>
      </c>
      <c r="S1167">
        <f t="shared" si="1037"/>
        <v>-14.128780245722062</v>
      </c>
      <c r="T1167">
        <f t="shared" si="1038"/>
        <v>-1.4128780245722063E-2</v>
      </c>
    </row>
    <row r="1168" spans="1:20" x14ac:dyDescent="0.25">
      <c r="A1168" s="5">
        <v>43425</v>
      </c>
      <c r="B1168">
        <v>9.1440000000000001</v>
      </c>
      <c r="C1168">
        <v>9.5909999999999993</v>
      </c>
      <c r="D1168">
        <v>8.6709999999999994</v>
      </c>
      <c r="E1168">
        <v>9.3569999999999993</v>
      </c>
      <c r="F1168">
        <v>1086921.5249999999</v>
      </c>
      <c r="G1168">
        <v>0</v>
      </c>
      <c r="P1168">
        <f t="shared" si="1034"/>
        <v>0.49130434782608695</v>
      </c>
      <c r="Q1168">
        <f t="shared" si="1035"/>
        <v>534009.27097826079</v>
      </c>
      <c r="R1168">
        <f t="shared" si="1036"/>
        <v>-786040.47965394519</v>
      </c>
      <c r="S1168">
        <f t="shared" si="1037"/>
        <v>-7.8604047965394521</v>
      </c>
      <c r="T1168">
        <f t="shared" si="1038"/>
        <v>-7.8604047965394521E-3</v>
      </c>
    </row>
    <row r="1169" spans="1:20" x14ac:dyDescent="0.25">
      <c r="A1169" s="5">
        <v>43424</v>
      </c>
      <c r="B1169">
        <v>10.255000000000001</v>
      </c>
      <c r="C1169">
        <v>10.6</v>
      </c>
      <c r="D1169">
        <v>8.2100000000000009</v>
      </c>
      <c r="E1169">
        <v>9.1270000000000007</v>
      </c>
      <c r="F1169">
        <v>1616246.7439999999</v>
      </c>
      <c r="G1169">
        <v>0</v>
      </c>
      <c r="P1169">
        <f t="shared" si="1034"/>
        <v>-0.23263598326359811</v>
      </c>
      <c r="Q1169">
        <f t="shared" si="1035"/>
        <v>-375997.15048702894</v>
      </c>
      <c r="R1169">
        <f t="shared" si="1036"/>
        <v>-1320049.750632206</v>
      </c>
      <c r="S1169">
        <f t="shared" si="1037"/>
        <v>-13.20049750632206</v>
      </c>
      <c r="T1169">
        <f t="shared" si="1038"/>
        <v>-1.3200497506322061E-2</v>
      </c>
    </row>
    <row r="1170" spans="1:20" x14ac:dyDescent="0.25">
      <c r="A1170" s="5">
        <v>43423</v>
      </c>
      <c r="B1170">
        <v>12.686</v>
      </c>
      <c r="C1170">
        <v>12.686</v>
      </c>
      <c r="D1170">
        <v>10.1</v>
      </c>
      <c r="E1170">
        <v>10.271000000000001</v>
      </c>
      <c r="F1170">
        <v>819771.93400000001</v>
      </c>
      <c r="G1170">
        <v>0</v>
      </c>
      <c r="P1170">
        <f t="shared" si="1034"/>
        <v>-0.86774941995359545</v>
      </c>
      <c r="Q1170">
        <f t="shared" si="1035"/>
        <v>-711356.62022273708</v>
      </c>
      <c r="R1170">
        <f t="shared" si="1036"/>
        <v>-944052.6001451771</v>
      </c>
      <c r="S1170">
        <f t="shared" si="1037"/>
        <v>-9.4405260014517705</v>
      </c>
      <c r="T1170">
        <f t="shared" si="1038"/>
        <v>-9.4405260014517704E-3</v>
      </c>
    </row>
    <row r="1171" spans="1:20" x14ac:dyDescent="0.25">
      <c r="A1171" s="5">
        <v>43422</v>
      </c>
      <c r="B1171">
        <v>12.590999999999999</v>
      </c>
      <c r="C1171">
        <v>12.85</v>
      </c>
      <c r="D1171">
        <v>12.51</v>
      </c>
      <c r="E1171">
        <v>12.686</v>
      </c>
      <c r="F1171">
        <v>171576.74100000001</v>
      </c>
      <c r="G1171">
        <v>0</v>
      </c>
      <c r="P1171">
        <f t="shared" si="1034"/>
        <v>3.5294117647060176E-2</v>
      </c>
      <c r="Q1171">
        <f t="shared" si="1035"/>
        <v>6055.6496823531734</v>
      </c>
      <c r="R1171">
        <f t="shared" si="1036"/>
        <v>-232695.97992244005</v>
      </c>
      <c r="S1171">
        <f t="shared" si="1037"/>
        <v>-2.3269597992244004</v>
      </c>
      <c r="T1171">
        <f t="shared" si="1038"/>
        <v>-2.3269597992244006E-3</v>
      </c>
    </row>
    <row r="1172" spans="1:20" x14ac:dyDescent="0.25">
      <c r="A1172" s="5">
        <v>43421</v>
      </c>
      <c r="B1172">
        <v>12.862</v>
      </c>
      <c r="C1172">
        <v>12.884</v>
      </c>
      <c r="D1172">
        <v>12.48</v>
      </c>
      <c r="E1172">
        <v>12.59</v>
      </c>
      <c r="F1172">
        <v>160425.9</v>
      </c>
      <c r="G1172">
        <v>0</v>
      </c>
      <c r="P1172">
        <f t="shared" si="1034"/>
        <v>-0.45544554455445813</v>
      </c>
      <c r="Q1172">
        <f t="shared" si="1035"/>
        <v>-73065.261386139042</v>
      </c>
      <c r="R1172">
        <f t="shared" si="1036"/>
        <v>-238751.62960479321</v>
      </c>
      <c r="S1172">
        <f t="shared" si="1037"/>
        <v>-2.3875162960479321</v>
      </c>
      <c r="T1172">
        <f t="shared" si="1038"/>
        <v>-2.3875162960479319E-3</v>
      </c>
    </row>
    <row r="1173" spans="1:20" x14ac:dyDescent="0.25">
      <c r="A1173" s="5">
        <v>43420</v>
      </c>
      <c r="B1173">
        <v>13.266999999999999</v>
      </c>
      <c r="C1173">
        <v>13.337</v>
      </c>
      <c r="D1173">
        <v>12.6</v>
      </c>
      <c r="E1173">
        <v>12.872999999999999</v>
      </c>
      <c r="F1173">
        <v>318948.26500000001</v>
      </c>
      <c r="G1173">
        <v>0</v>
      </c>
      <c r="P1173">
        <f t="shared" si="1034"/>
        <v>-0.25915875169606606</v>
      </c>
      <c r="Q1173">
        <f t="shared" si="1035"/>
        <v>-82658.23421302608</v>
      </c>
      <c r="R1173">
        <f t="shared" si="1036"/>
        <v>-165686.36821865418</v>
      </c>
      <c r="S1173">
        <f t="shared" si="1037"/>
        <v>-1.6568636821865419</v>
      </c>
      <c r="T1173">
        <f t="shared" si="1038"/>
        <v>-1.6568636821865418E-3</v>
      </c>
    </row>
    <row r="1174" spans="1:20" x14ac:dyDescent="0.25">
      <c r="A1174" s="5">
        <v>43419</v>
      </c>
      <c r="B1174">
        <v>13.919</v>
      </c>
      <c r="C1174">
        <v>14.02</v>
      </c>
      <c r="D1174">
        <v>12.202</v>
      </c>
      <c r="E1174">
        <v>13.269</v>
      </c>
      <c r="F1174">
        <v>583575.91299999994</v>
      </c>
      <c r="G1174">
        <v>0</v>
      </c>
      <c r="P1174">
        <f t="shared" si="1034"/>
        <v>0.17381738173817426</v>
      </c>
      <c r="Q1174">
        <f t="shared" si="1035"/>
        <v>101435.63724312457</v>
      </c>
      <c r="R1174">
        <f t="shared" si="1036"/>
        <v>-83028.134005628119</v>
      </c>
      <c r="S1174">
        <f t="shared" si="1037"/>
        <v>-0.83028134005628118</v>
      </c>
      <c r="T1174">
        <f t="shared" si="1038"/>
        <v>-8.3028134005628119E-4</v>
      </c>
    </row>
    <row r="1175" spans="1:20" x14ac:dyDescent="0.25">
      <c r="A1175" s="5">
        <v>43418</v>
      </c>
      <c r="B1175">
        <v>15.571</v>
      </c>
      <c r="C1175">
        <v>15.62</v>
      </c>
      <c r="D1175">
        <v>12.815</v>
      </c>
      <c r="E1175">
        <v>13.946</v>
      </c>
      <c r="F1175">
        <v>568213.50300000003</v>
      </c>
      <c r="G1175">
        <v>0</v>
      </c>
      <c r="P1175">
        <f t="shared" si="1034"/>
        <v>-0.19358288770053453</v>
      </c>
      <c r="Q1175">
        <f t="shared" si="1035"/>
        <v>-109996.41074117634</v>
      </c>
      <c r="R1175">
        <f t="shared" si="1036"/>
        <v>-184463.77124875269</v>
      </c>
      <c r="S1175">
        <f t="shared" si="1037"/>
        <v>-1.8446377124875268</v>
      </c>
      <c r="T1175">
        <f t="shared" si="1038"/>
        <v>-1.8446377124875268E-3</v>
      </c>
    </row>
    <row r="1176" spans="1:20" x14ac:dyDescent="0.25">
      <c r="A1176" s="5">
        <v>43417</v>
      </c>
      <c r="B1176">
        <v>15.939</v>
      </c>
      <c r="C1176">
        <v>15.945</v>
      </c>
      <c r="D1176">
        <v>15.505000000000001</v>
      </c>
      <c r="E1176">
        <v>15.571</v>
      </c>
      <c r="F1176">
        <v>170848.359</v>
      </c>
      <c r="G1176">
        <v>0</v>
      </c>
      <c r="P1176">
        <f t="shared" si="1034"/>
        <v>-0.7000000000000044</v>
      </c>
      <c r="Q1176">
        <f t="shared" si="1035"/>
        <v>-119593.85130000075</v>
      </c>
      <c r="R1176">
        <f t="shared" si="1036"/>
        <v>-74467.360507576348</v>
      </c>
      <c r="S1176">
        <f t="shared" si="1037"/>
        <v>-0.74467360507576352</v>
      </c>
      <c r="T1176">
        <f t="shared" si="1038"/>
        <v>-7.4467360507576353E-4</v>
      </c>
    </row>
    <row r="1177" spans="1:20" x14ac:dyDescent="0.25">
      <c r="A1177" s="5">
        <v>43416</v>
      </c>
      <c r="B1177">
        <v>16.181000000000001</v>
      </c>
      <c r="C1177">
        <v>16.350000000000001</v>
      </c>
      <c r="D1177">
        <v>15.7</v>
      </c>
      <c r="E1177">
        <v>15.923</v>
      </c>
      <c r="F1177">
        <v>133578.913</v>
      </c>
      <c r="G1177">
        <v>0</v>
      </c>
      <c r="P1177">
        <f t="shared" si="1034"/>
        <v>-0.31384615384615377</v>
      </c>
      <c r="Q1177">
        <f t="shared" si="1035"/>
        <v>-41923.228079999993</v>
      </c>
      <c r="R1177">
        <f t="shared" si="1036"/>
        <v>45126.490792424411</v>
      </c>
      <c r="S1177">
        <f t="shared" si="1037"/>
        <v>0.45126490792424412</v>
      </c>
      <c r="T1177">
        <f t="shared" si="1038"/>
        <v>4.5126490792424414E-4</v>
      </c>
    </row>
    <row r="1178" spans="1:20" x14ac:dyDescent="0.25">
      <c r="A1178" s="5">
        <v>43415</v>
      </c>
      <c r="B1178">
        <v>15.992000000000001</v>
      </c>
      <c r="C1178">
        <v>16.23</v>
      </c>
      <c r="D1178">
        <v>15.51</v>
      </c>
      <c r="E1178">
        <v>16.18</v>
      </c>
      <c r="F1178">
        <v>143606.31</v>
      </c>
      <c r="G1178">
        <v>0</v>
      </c>
      <c r="P1178">
        <f t="shared" si="1034"/>
        <v>0.86111111111110927</v>
      </c>
      <c r="Q1178">
        <f t="shared" si="1035"/>
        <v>123660.9891666664</v>
      </c>
      <c r="R1178">
        <f t="shared" si="1036"/>
        <v>87049.718872424404</v>
      </c>
      <c r="S1178">
        <f t="shared" si="1037"/>
        <v>0.87049718872424409</v>
      </c>
      <c r="T1178">
        <f t="shared" si="1038"/>
        <v>8.7049718872424405E-4</v>
      </c>
    </row>
    <row r="1179" spans="1:20" x14ac:dyDescent="0.25">
      <c r="A1179" s="5">
        <v>43414</v>
      </c>
      <c r="B1179">
        <v>16.018999999999998</v>
      </c>
      <c r="C1179">
        <v>16.398</v>
      </c>
      <c r="D1179">
        <v>15.96</v>
      </c>
      <c r="E1179">
        <v>15.991</v>
      </c>
      <c r="F1179">
        <v>98493.350999999995</v>
      </c>
      <c r="G1179">
        <v>0</v>
      </c>
      <c r="P1179">
        <f t="shared" si="1034"/>
        <v>-0.85844748858447995</v>
      </c>
      <c r="Q1179">
        <f t="shared" si="1035"/>
        <v>-84551.369808219679</v>
      </c>
      <c r="R1179">
        <f t="shared" si="1036"/>
        <v>-36611.270294242</v>
      </c>
      <c r="S1179">
        <f t="shared" si="1037"/>
        <v>-0.36611270294241999</v>
      </c>
      <c r="T1179">
        <f t="shared" si="1038"/>
        <v>-3.6611270294241996E-4</v>
      </c>
    </row>
    <row r="1180" spans="1:20" x14ac:dyDescent="0.25">
      <c r="A1180" s="5">
        <v>43413</v>
      </c>
      <c r="B1180">
        <v>16.398</v>
      </c>
      <c r="C1180">
        <v>16.597000000000001</v>
      </c>
      <c r="D1180">
        <v>15.9</v>
      </c>
      <c r="E1180">
        <v>16.007999999999999</v>
      </c>
      <c r="F1180">
        <v>137192.07699999999</v>
      </c>
      <c r="G1180">
        <v>0</v>
      </c>
      <c r="P1180">
        <f t="shared" si="1034"/>
        <v>-0.69010043041607283</v>
      </c>
      <c r="Q1180">
        <f t="shared" si="1035"/>
        <v>-94676.311387374997</v>
      </c>
      <c r="R1180">
        <f t="shared" si="1036"/>
        <v>47940.099513977679</v>
      </c>
      <c r="S1180">
        <f t="shared" si="1037"/>
        <v>0.4794009951397768</v>
      </c>
      <c r="T1180">
        <f t="shared" si="1038"/>
        <v>4.7940099513977679E-4</v>
      </c>
    </row>
    <row r="1181" spans="1:20" x14ac:dyDescent="0.25">
      <c r="A1181" s="5">
        <v>43412</v>
      </c>
      <c r="B1181">
        <v>16.831</v>
      </c>
      <c r="C1181">
        <v>16.942</v>
      </c>
      <c r="D1181">
        <v>16.329000000000001</v>
      </c>
      <c r="E1181">
        <v>16.408999999999999</v>
      </c>
      <c r="F1181">
        <v>211878.97399999999</v>
      </c>
      <c r="G1181">
        <v>0</v>
      </c>
      <c r="P1181">
        <f t="shared" si="1034"/>
        <v>-0.73898858075041318</v>
      </c>
      <c r="Q1181">
        <f t="shared" si="1035"/>
        <v>-156576.14228711367</v>
      </c>
      <c r="R1181">
        <f t="shared" si="1036"/>
        <v>142616.41090135268</v>
      </c>
      <c r="S1181">
        <f t="shared" si="1037"/>
        <v>1.4261641090135269</v>
      </c>
      <c r="T1181">
        <f t="shared" si="1038"/>
        <v>1.4261641090135269E-3</v>
      </c>
    </row>
    <row r="1182" spans="1:20" x14ac:dyDescent="0.25">
      <c r="A1182" s="5">
        <v>43411</v>
      </c>
      <c r="B1182">
        <v>17.100000000000001</v>
      </c>
      <c r="C1182">
        <v>17.582999999999998</v>
      </c>
      <c r="D1182">
        <v>16.606000000000002</v>
      </c>
      <c r="E1182">
        <v>16.832000000000001</v>
      </c>
      <c r="F1182">
        <v>331675.75900000002</v>
      </c>
      <c r="G1182">
        <v>0</v>
      </c>
      <c r="P1182">
        <f t="shared" si="1034"/>
        <v>-0.53735926305015391</v>
      </c>
      <c r="Q1182">
        <f t="shared" si="1035"/>
        <v>-178229.04142784048</v>
      </c>
      <c r="R1182">
        <f t="shared" si="1036"/>
        <v>299192.55318846635</v>
      </c>
      <c r="S1182">
        <f t="shared" si="1037"/>
        <v>2.9919255318846636</v>
      </c>
      <c r="T1182">
        <f t="shared" si="1038"/>
        <v>2.9919255318846638E-3</v>
      </c>
    </row>
    <row r="1183" spans="1:20" x14ac:dyDescent="0.25">
      <c r="A1183" s="5">
        <v>43410</v>
      </c>
      <c r="B1183">
        <v>16.422999999999998</v>
      </c>
      <c r="C1183">
        <v>17.192</v>
      </c>
      <c r="D1183">
        <v>16.414999999999999</v>
      </c>
      <c r="E1183">
        <v>17.117999999999999</v>
      </c>
      <c r="F1183">
        <v>303220.14199999999</v>
      </c>
      <c r="G1183">
        <v>0</v>
      </c>
      <c r="P1183">
        <f t="shared" si="1034"/>
        <v>0.80952380952380565</v>
      </c>
      <c r="Q1183">
        <f t="shared" si="1035"/>
        <v>245463.92447618931</v>
      </c>
      <c r="R1183">
        <f t="shared" si="1036"/>
        <v>477421.59461630683</v>
      </c>
      <c r="S1183">
        <f t="shared" si="1037"/>
        <v>4.7742159461630687</v>
      </c>
      <c r="T1183">
        <f t="shared" si="1038"/>
        <v>4.774215946163069E-3</v>
      </c>
    </row>
    <row r="1184" spans="1:20" x14ac:dyDescent="0.25">
      <c r="A1184" s="5">
        <v>43409</v>
      </c>
      <c r="B1184">
        <v>16.91</v>
      </c>
      <c r="C1184">
        <v>16.920000000000002</v>
      </c>
      <c r="D1184">
        <v>16.28</v>
      </c>
      <c r="E1184">
        <v>16.414999999999999</v>
      </c>
      <c r="F1184">
        <v>227442.09599999999</v>
      </c>
      <c r="G1184">
        <v>0</v>
      </c>
      <c r="P1184">
        <f t="shared" si="1034"/>
        <v>-0.57812500000000655</v>
      </c>
      <c r="Q1184">
        <f t="shared" si="1035"/>
        <v>-131489.96175000147</v>
      </c>
      <c r="R1184">
        <f t="shared" si="1036"/>
        <v>231957.67014011752</v>
      </c>
      <c r="S1184">
        <f t="shared" si="1037"/>
        <v>2.3195767014011754</v>
      </c>
      <c r="T1184">
        <f t="shared" si="1038"/>
        <v>2.3195767014011753E-3</v>
      </c>
    </row>
    <row r="1185" spans="1:20" x14ac:dyDescent="0.25">
      <c r="A1185" s="5">
        <v>43408</v>
      </c>
      <c r="B1185">
        <v>16.007999999999999</v>
      </c>
      <c r="C1185">
        <v>17.196999999999999</v>
      </c>
      <c r="D1185">
        <v>15.82</v>
      </c>
      <c r="E1185">
        <v>16.896999999999998</v>
      </c>
      <c r="F1185">
        <v>363855.54200000002</v>
      </c>
      <c r="G1185">
        <v>0</v>
      </c>
      <c r="P1185">
        <f t="shared" si="1034"/>
        <v>0.56427015250544521</v>
      </c>
      <c r="Q1185">
        <f t="shared" si="1035"/>
        <v>205312.82217429145</v>
      </c>
      <c r="R1185">
        <f t="shared" si="1036"/>
        <v>363447.631890119</v>
      </c>
      <c r="S1185">
        <f t="shared" si="1037"/>
        <v>3.6344763189011902</v>
      </c>
      <c r="T1185">
        <f t="shared" si="1038"/>
        <v>3.6344763189011904E-3</v>
      </c>
    </row>
    <row r="1186" spans="1:20" x14ac:dyDescent="0.25">
      <c r="A1186" s="5">
        <v>43407</v>
      </c>
      <c r="B1186">
        <v>16.295999999999999</v>
      </c>
      <c r="C1186">
        <v>16.312000000000001</v>
      </c>
      <c r="D1186">
        <v>15.805999999999999</v>
      </c>
      <c r="E1186">
        <v>15.984</v>
      </c>
      <c r="F1186">
        <v>184211.712</v>
      </c>
      <c r="G1186">
        <v>0</v>
      </c>
      <c r="P1186">
        <f t="shared" si="1034"/>
        <v>-0.29644268774703508</v>
      </c>
      <c r="Q1186">
        <f t="shared" si="1035"/>
        <v>-54608.215019762756</v>
      </c>
      <c r="R1186">
        <f t="shared" si="1036"/>
        <v>158134.80971582755</v>
      </c>
      <c r="S1186">
        <f t="shared" si="1037"/>
        <v>1.5813480971582754</v>
      </c>
      <c r="T1186">
        <f t="shared" si="1038"/>
        <v>1.5813480971582753E-3</v>
      </c>
    </row>
    <row r="1187" spans="1:20" x14ac:dyDescent="0.25">
      <c r="A1187" s="5">
        <v>43406</v>
      </c>
      <c r="B1187">
        <v>15.839</v>
      </c>
      <c r="C1187">
        <v>16.353000000000002</v>
      </c>
      <c r="D1187">
        <v>15.818</v>
      </c>
      <c r="E1187">
        <v>16.295999999999999</v>
      </c>
      <c r="F1187">
        <v>247793.53200000001</v>
      </c>
      <c r="G1187">
        <v>0</v>
      </c>
      <c r="P1187">
        <f t="shared" si="1034"/>
        <v>0.78691588785045996</v>
      </c>
      <c r="Q1187">
        <f t="shared" si="1035"/>
        <v>194992.66723738136</v>
      </c>
      <c r="R1187">
        <f t="shared" si="1036"/>
        <v>212743.0247355903</v>
      </c>
      <c r="S1187">
        <f t="shared" si="1037"/>
        <v>2.1274302473559028</v>
      </c>
      <c r="T1187">
        <f t="shared" si="1038"/>
        <v>2.1274302473559027E-3</v>
      </c>
    </row>
    <row r="1188" spans="1:20" x14ac:dyDescent="0.25">
      <c r="A1188" s="5">
        <v>43405</v>
      </c>
      <c r="B1188">
        <v>15.468</v>
      </c>
      <c r="C1188">
        <v>15.9</v>
      </c>
      <c r="D1188">
        <v>15.272</v>
      </c>
      <c r="E1188">
        <v>15.84</v>
      </c>
      <c r="F1188">
        <v>175893.014</v>
      </c>
      <c r="G1188">
        <v>0</v>
      </c>
      <c r="P1188">
        <f t="shared" si="1034"/>
        <v>0.80891719745222779</v>
      </c>
      <c r="Q1188">
        <f t="shared" si="1035"/>
        <v>142282.88393630547</v>
      </c>
      <c r="R1188">
        <f t="shared" si="1036"/>
        <v>17750.357498208934</v>
      </c>
      <c r="S1188">
        <f t="shared" si="1037"/>
        <v>0.17750357498208935</v>
      </c>
      <c r="T1188">
        <f t="shared" si="1038"/>
        <v>1.7750357498208936E-4</v>
      </c>
    </row>
    <row r="1189" spans="1:20" x14ac:dyDescent="0.25">
      <c r="A1189" s="5">
        <v>43404</v>
      </c>
      <c r="B1189">
        <v>15.247999999999999</v>
      </c>
      <c r="C1189">
        <v>15.529</v>
      </c>
      <c r="D1189">
        <v>14.599</v>
      </c>
      <c r="E1189">
        <v>15.468</v>
      </c>
      <c r="F1189">
        <v>254426.66200000001</v>
      </c>
      <c r="G1189">
        <v>0</v>
      </c>
      <c r="P1189">
        <f t="shared" si="1034"/>
        <v>0.86881720430107534</v>
      </c>
      <c r="Q1189">
        <f t="shared" si="1035"/>
        <v>221050.26117849466</v>
      </c>
      <c r="R1189">
        <f t="shared" si="1036"/>
        <v>-124532.52643809654</v>
      </c>
      <c r="S1189">
        <f t="shared" si="1037"/>
        <v>-1.2453252643809654</v>
      </c>
      <c r="T1189">
        <f t="shared" si="1038"/>
        <v>-1.2453252643809653E-3</v>
      </c>
    </row>
    <row r="1190" spans="1:20" x14ac:dyDescent="0.25">
      <c r="A1190" s="5">
        <v>43403</v>
      </c>
      <c r="B1190">
        <v>15.464</v>
      </c>
      <c r="C1190">
        <v>15.561</v>
      </c>
      <c r="D1190">
        <v>15.16</v>
      </c>
      <c r="E1190">
        <v>15.247999999999999</v>
      </c>
      <c r="F1190">
        <v>174422.18799999999</v>
      </c>
      <c r="G1190">
        <v>0</v>
      </c>
      <c r="P1190">
        <f t="shared" si="1034"/>
        <v>-0.56109725685785916</v>
      </c>
      <c r="Q1190">
        <f t="shared" si="1035"/>
        <v>-97867.811221945798</v>
      </c>
      <c r="R1190">
        <f t="shared" si="1036"/>
        <v>-345582.7876165912</v>
      </c>
      <c r="S1190">
        <f t="shared" si="1037"/>
        <v>-3.455827876165912</v>
      </c>
      <c r="T1190">
        <f t="shared" si="1038"/>
        <v>-3.4558278761659118E-3</v>
      </c>
    </row>
    <row r="1191" spans="1:20" x14ac:dyDescent="0.25">
      <c r="A1191" s="5">
        <v>43402</v>
      </c>
      <c r="B1191">
        <v>16.22</v>
      </c>
      <c r="C1191">
        <v>16.298999999999999</v>
      </c>
      <c r="D1191">
        <v>15</v>
      </c>
      <c r="E1191">
        <v>15.465</v>
      </c>
      <c r="F1191">
        <v>288370.81800000003</v>
      </c>
      <c r="G1191">
        <v>0</v>
      </c>
      <c r="P1191">
        <f t="shared" si="1034"/>
        <v>-0.28406466512702072</v>
      </c>
      <c r="Q1191">
        <f t="shared" si="1035"/>
        <v>-81915.959847575054</v>
      </c>
      <c r="R1191">
        <f t="shared" si="1036"/>
        <v>-247714.9763946454</v>
      </c>
      <c r="S1191">
        <f t="shared" si="1037"/>
        <v>-2.4771497639464539</v>
      </c>
      <c r="T1191">
        <f t="shared" si="1038"/>
        <v>-2.4771497639464539E-3</v>
      </c>
    </row>
    <row r="1192" spans="1:20" x14ac:dyDescent="0.25">
      <c r="A1192" s="5">
        <v>43401</v>
      </c>
      <c r="B1192">
        <v>16.134</v>
      </c>
      <c r="C1192">
        <v>16.3</v>
      </c>
      <c r="D1192">
        <v>16.088999999999999</v>
      </c>
      <c r="E1192">
        <v>16.216999999999999</v>
      </c>
      <c r="F1192">
        <v>141535.86300000001</v>
      </c>
      <c r="G1192">
        <v>0</v>
      </c>
      <c r="P1192">
        <f t="shared" si="1034"/>
        <v>0.21327014218008394</v>
      </c>
      <c r="Q1192">
        <f t="shared" si="1035"/>
        <v>30185.373625590884</v>
      </c>
      <c r="R1192">
        <f t="shared" si="1036"/>
        <v>-165799.01654707035</v>
      </c>
      <c r="S1192">
        <f t="shared" si="1037"/>
        <v>-1.6579901654707034</v>
      </c>
      <c r="T1192">
        <f t="shared" si="1038"/>
        <v>-1.6579901654707034E-3</v>
      </c>
    </row>
    <row r="1193" spans="1:20" x14ac:dyDescent="0.25">
      <c r="A1193" s="5">
        <v>43400</v>
      </c>
      <c r="B1193">
        <v>16.402999999999999</v>
      </c>
      <c r="C1193">
        <v>16.536000000000001</v>
      </c>
      <c r="D1193">
        <v>16.074999999999999</v>
      </c>
      <c r="E1193">
        <v>16.134</v>
      </c>
      <c r="F1193">
        <v>162077.40700000001</v>
      </c>
      <c r="G1193">
        <v>0</v>
      </c>
      <c r="P1193">
        <f t="shared" si="1034"/>
        <v>-0.74403470715834796</v>
      </c>
      <c r="Q1193">
        <f t="shared" si="1035"/>
        <v>-120591.21605422939</v>
      </c>
      <c r="R1193">
        <f t="shared" si="1036"/>
        <v>-195984.39017266122</v>
      </c>
      <c r="S1193">
        <f t="shared" si="1037"/>
        <v>-1.9598439017266123</v>
      </c>
      <c r="T1193">
        <f t="shared" si="1038"/>
        <v>-1.9598439017266124E-3</v>
      </c>
    </row>
    <row r="1194" spans="1:20" x14ac:dyDescent="0.25">
      <c r="A1194" s="5">
        <v>43399</v>
      </c>
      <c r="B1194">
        <v>16.71</v>
      </c>
      <c r="C1194">
        <v>16.783999999999999</v>
      </c>
      <c r="D1194">
        <v>15.87</v>
      </c>
      <c r="E1194">
        <v>16.385999999999999</v>
      </c>
      <c r="F1194">
        <v>266332.78200000001</v>
      </c>
      <c r="G1194">
        <v>0</v>
      </c>
      <c r="P1194">
        <f t="shared" si="1034"/>
        <v>0.12910284463895008</v>
      </c>
      <c r="Q1194">
        <f t="shared" si="1035"/>
        <v>34384.319776805365</v>
      </c>
      <c r="R1194">
        <f t="shared" si="1036"/>
        <v>-75393.174118431838</v>
      </c>
      <c r="S1194">
        <f t="shared" si="1037"/>
        <v>-0.75393174118431838</v>
      </c>
      <c r="T1194">
        <f t="shared" si="1038"/>
        <v>-7.5393174118431835E-4</v>
      </c>
    </row>
    <row r="1195" spans="1:20" x14ac:dyDescent="0.25">
      <c r="A1195" s="5">
        <v>43398</v>
      </c>
      <c r="B1195">
        <v>16.934000000000001</v>
      </c>
      <c r="C1195">
        <v>16.965</v>
      </c>
      <c r="D1195">
        <v>16.649999999999999</v>
      </c>
      <c r="E1195">
        <v>16.709</v>
      </c>
      <c r="F1195">
        <v>175532.541</v>
      </c>
      <c r="G1195">
        <v>0</v>
      </c>
      <c r="P1195">
        <f t="shared" si="1034"/>
        <v>-0.62539682539682029</v>
      </c>
      <c r="Q1195">
        <f t="shared" si="1035"/>
        <v>-109777.4938952372</v>
      </c>
      <c r="R1195">
        <f t="shared" si="1036"/>
        <v>-109777.4938952372</v>
      </c>
      <c r="S1195">
        <f t="shared" si="1037"/>
        <v>-1.0977749389523721</v>
      </c>
      <c r="T1195">
        <f t="shared" si="1038"/>
        <v>-1.0977749389523722E-3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4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375" zoomScale="90" zoomScaleNormal="90" workbookViewId="0">
      <pane xSplit="4" topLeftCell="G1" activePane="topRight" state="frozen"/>
      <selection activeCell="A109" sqref="A109"/>
      <selection pane="topRight" activeCell="CB441" sqref="CB44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$A$440</v>
      </c>
      <c r="D111" s="1" t="str">
        <f>ADDRESS(C121-1,D121,1,1)</f>
        <v>$CB$440</v>
      </c>
      <c r="E111"/>
    </row>
    <row r="112" spans="1:5" x14ac:dyDescent="0.25">
      <c r="A112" s="7">
        <v>12164.144957890772</v>
      </c>
      <c r="C112" s="1" t="str">
        <f>ADDRESS(C121,1,1,1)</f>
        <v>$A$441</v>
      </c>
      <c r="D112" s="1" t="str">
        <f>ADDRESS(C121,D121-1,1,1)</f>
        <v>$CA$441</v>
      </c>
      <c r="E112"/>
    </row>
    <row r="113" spans="1:5" x14ac:dyDescent="0.25">
      <c r="A113" s="7">
        <v>11925.63231165762</v>
      </c>
      <c r="C113" s="1" t="str">
        <f>ADDRESS(C121+1,1,1,1)</f>
        <v>$A$442</v>
      </c>
      <c r="D113" s="1" t="str">
        <f>ADDRESS(C121-1,D121+1,1,1)</f>
        <v>$CC$440</v>
      </c>
    </row>
    <row r="114" spans="1:5" x14ac:dyDescent="0.25">
      <c r="A114" s="7">
        <v>11691.796383978059</v>
      </c>
      <c r="C114" s="1" t="str">
        <f>ADDRESS(C121,D121,1,1)</f>
        <v>$CB$441</v>
      </c>
      <c r="D114" s="1" t="str">
        <f>ADDRESS(C121+1,D121+1,1,1)</f>
        <v>$CC$442</v>
      </c>
    </row>
    <row r="115" spans="1:5" x14ac:dyDescent="0.25">
      <c r="A115" s="7">
        <v>11462.545474488292</v>
      </c>
      <c r="C115" s="1" t="str">
        <f>ADDRESS(C121+1,D121,1,1)</f>
        <v>$CB$442</v>
      </c>
    </row>
    <row r="116" spans="1:5" x14ac:dyDescent="0.25">
      <c r="A116" s="7">
        <v>11237.789680870874</v>
      </c>
      <c r="C116" s="1">
        <f>C117-1</f>
        <v>440</v>
      </c>
    </row>
    <row r="117" spans="1:5" x14ac:dyDescent="0.25">
      <c r="A117" s="7">
        <v>11017.440863598895</v>
      </c>
      <c r="C117" s="1">
        <f>C121</f>
        <v>441</v>
      </c>
      <c r="D117" s="1">
        <f>D121</f>
        <v>80</v>
      </c>
    </row>
    <row r="118" spans="1:5" x14ac:dyDescent="0.25">
      <c r="A118" s="7">
        <v>10801.412611371465</v>
      </c>
      <c r="C118" s="1">
        <f>C117+1</f>
        <v>442</v>
      </c>
      <c r="D118" s="1">
        <f>D117+1</f>
        <v>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441</v>
      </c>
      <c r="D121" s="19">
        <v>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R441</v>
      </c>
      <c r="D123" s="1" t="str">
        <f>"C"&amp;D121</f>
        <v>C80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18.014618825407574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20" x14ac:dyDescent="0.25">
      <c r="A369" s="7">
        <v>74.961357735566622</v>
      </c>
      <c r="B369"/>
      <c r="C369"/>
      <c r="D369"/>
      <c r="E369"/>
    </row>
    <row r="370" spans="1:20" x14ac:dyDescent="0.25">
      <c r="A370" s="7">
        <v>73.491527191731976</v>
      </c>
      <c r="B370"/>
      <c r="C370"/>
      <c r="D370"/>
      <c r="E370"/>
    </row>
    <row r="371" spans="1:20" x14ac:dyDescent="0.25">
      <c r="A371" s="7">
        <v>72.050516854639184</v>
      </c>
      <c r="B371"/>
      <c r="C371"/>
      <c r="D371"/>
      <c r="E371"/>
    </row>
    <row r="372" spans="1:20" x14ac:dyDescent="0.25">
      <c r="A372" s="7">
        <v>70.637761622195271</v>
      </c>
      <c r="B372"/>
      <c r="C372"/>
      <c r="D372"/>
      <c r="E372"/>
    </row>
    <row r="373" spans="1:20" x14ac:dyDescent="0.25">
      <c r="A373" s="7">
        <v>69.252707472740454</v>
      </c>
      <c r="B373"/>
      <c r="C373"/>
      <c r="D373"/>
      <c r="E373"/>
    </row>
    <row r="374" spans="1:20" x14ac:dyDescent="0.25">
      <c r="A374" s="7">
        <v>67.894811247784759</v>
      </c>
      <c r="B374"/>
      <c r="C374"/>
      <c r="D374"/>
      <c r="E374"/>
    </row>
    <row r="375" spans="1:20" x14ac:dyDescent="0.25">
      <c r="A375" s="7">
        <v>66.563540439004669</v>
      </c>
      <c r="B375"/>
      <c r="C375"/>
      <c r="D375"/>
      <c r="E375"/>
      <c r="S375" s="27" t="s">
        <v>8</v>
      </c>
    </row>
    <row r="376" spans="1:20" x14ac:dyDescent="0.25">
      <c r="A376" s="7">
        <v>65.258372979416336</v>
      </c>
      <c r="B376"/>
      <c r="C376"/>
      <c r="D376"/>
      <c r="E376"/>
      <c r="S376" s="27" t="s">
        <v>8</v>
      </c>
      <c r="T376" s="27" t="s">
        <v>7</v>
      </c>
    </row>
    <row r="377" spans="1:20" x14ac:dyDescent="0.25">
      <c r="A377" s="7">
        <v>63.978797038643471</v>
      </c>
      <c r="B377"/>
      <c r="C377"/>
      <c r="D377"/>
      <c r="E377"/>
      <c r="S377" s="27" t="s">
        <v>8</v>
      </c>
      <c r="T377" s="27" t="s">
        <v>7</v>
      </c>
    </row>
    <row r="378" spans="1:20" x14ac:dyDescent="0.25">
      <c r="A378" s="7">
        <v>62.724310822199477</v>
      </c>
      <c r="B378"/>
      <c r="C378"/>
      <c r="D378"/>
      <c r="E378"/>
      <c r="O378" s="27" t="s">
        <v>8</v>
      </c>
      <c r="S378" s="27" t="s">
        <v>8</v>
      </c>
      <c r="T378" s="27" t="s">
        <v>7</v>
      </c>
    </row>
    <row r="379" spans="1:20" x14ac:dyDescent="0.25">
      <c r="A379" s="7">
        <v>61.494422374705366</v>
      </c>
      <c r="B379"/>
      <c r="C379"/>
      <c r="D379"/>
      <c r="E379"/>
      <c r="O379" s="27" t="s">
        <v>8</v>
      </c>
      <c r="P379" s="27" t="s">
        <v>7</v>
      </c>
      <c r="S379" s="27" t="s">
        <v>8</v>
      </c>
      <c r="T379" s="27" t="s">
        <v>7</v>
      </c>
    </row>
    <row r="380" spans="1:20" x14ac:dyDescent="0.25">
      <c r="A380" s="7">
        <v>60.288649386966043</v>
      </c>
      <c r="B380"/>
      <c r="C380"/>
      <c r="D380"/>
      <c r="E380"/>
      <c r="O380" s="27" t="s">
        <v>8</v>
      </c>
      <c r="P380" s="27" t="s">
        <v>7</v>
      </c>
      <c r="S380" s="27" t="s">
        <v>8</v>
      </c>
      <c r="T380" s="27" t="s">
        <v>7</v>
      </c>
    </row>
    <row r="381" spans="1:20" x14ac:dyDescent="0.25">
      <c r="A381" s="7">
        <v>59.106519006829451</v>
      </c>
      <c r="B381"/>
      <c r="C381"/>
      <c r="D381"/>
      <c r="E381"/>
      <c r="M381" s="27" t="s">
        <v>8</v>
      </c>
      <c r="O381" s="27" t="s">
        <v>8</v>
      </c>
      <c r="P381" s="27" t="s">
        <v>7</v>
      </c>
      <c r="S381" s="27" t="s">
        <v>8</v>
      </c>
      <c r="T381" s="27" t="s">
        <v>7</v>
      </c>
    </row>
    <row r="382" spans="1:20" x14ac:dyDescent="0.25">
      <c r="A382" s="7">
        <v>57.947567653754362</v>
      </c>
      <c r="B382"/>
      <c r="C382"/>
      <c r="D382"/>
      <c r="E382"/>
      <c r="M382" s="27" t="s">
        <v>8</v>
      </c>
      <c r="N382" s="27" t="s">
        <v>7</v>
      </c>
      <c r="O382" s="27" t="s">
        <v>8</v>
      </c>
      <c r="P382" s="27" t="s">
        <v>7</v>
      </c>
      <c r="S382" s="27" t="s">
        <v>8</v>
      </c>
      <c r="T382" s="27" t="s">
        <v>7</v>
      </c>
    </row>
    <row r="383" spans="1:20" x14ac:dyDescent="0.25">
      <c r="A383" s="7">
        <v>56.811340837014079</v>
      </c>
      <c r="B383"/>
      <c r="C383"/>
      <c r="D383"/>
      <c r="E383"/>
      <c r="M383" s="27" t="s">
        <v>8</v>
      </c>
      <c r="N383" s="27" t="s">
        <v>7</v>
      </c>
      <c r="O383" s="27" t="s">
        <v>8</v>
      </c>
      <c r="P383" s="27" t="s">
        <v>7</v>
      </c>
      <c r="Q383" s="27" t="s">
        <v>8</v>
      </c>
      <c r="S383" s="27" t="s">
        <v>8</v>
      </c>
      <c r="T383" s="27" t="s">
        <v>7</v>
      </c>
    </row>
    <row r="384" spans="1:20" x14ac:dyDescent="0.25">
      <c r="A384" s="7">
        <v>55.69739297746478</v>
      </c>
      <c r="B384"/>
      <c r="C384"/>
      <c r="D384"/>
      <c r="E384"/>
      <c r="M384" s="27" t="s">
        <v>8</v>
      </c>
      <c r="N384" s="27" t="s">
        <v>7</v>
      </c>
      <c r="O384" s="27" t="s">
        <v>8</v>
      </c>
      <c r="P384" s="27" t="s">
        <v>7</v>
      </c>
      <c r="Q384" s="27" t="s">
        <v>8</v>
      </c>
      <c r="R384" s="27" t="s">
        <v>7</v>
      </c>
      <c r="S384" s="27" t="s">
        <v>8</v>
      </c>
      <c r="T384" s="27" t="s">
        <v>7</v>
      </c>
    </row>
    <row r="385" spans="1:54" x14ac:dyDescent="0.25">
      <c r="A385" s="7">
        <v>54.605287232808607</v>
      </c>
      <c r="B385"/>
      <c r="C385"/>
      <c r="D385"/>
      <c r="E385"/>
      <c r="M385" s="27" t="s">
        <v>8</v>
      </c>
      <c r="N385" s="27" t="s">
        <v>7</v>
      </c>
      <c r="O385" s="27" t="s">
        <v>8</v>
      </c>
      <c r="P385" s="27" t="s">
        <v>7</v>
      </c>
      <c r="Q385" s="27" t="s">
        <v>8</v>
      </c>
      <c r="R385" s="27" t="s">
        <v>7</v>
      </c>
      <c r="S385" s="27" t="s">
        <v>8</v>
      </c>
      <c r="T385" s="27" t="s">
        <v>7</v>
      </c>
    </row>
    <row r="386" spans="1:54" x14ac:dyDescent="0.25">
      <c r="A386" s="7">
        <v>53.534595326282947</v>
      </c>
      <c r="B386"/>
      <c r="C386"/>
      <c r="D386"/>
      <c r="E386"/>
      <c r="M386" s="27" t="s">
        <v>8</v>
      </c>
      <c r="N386" s="27" t="s">
        <v>7</v>
      </c>
      <c r="O386" s="27" t="s">
        <v>8</v>
      </c>
      <c r="P386" s="27" t="s">
        <v>7</v>
      </c>
      <c r="Q386" s="27" t="s">
        <v>8</v>
      </c>
      <c r="R386" s="27" t="s">
        <v>7</v>
      </c>
      <c r="S386" s="27" t="s">
        <v>8</v>
      </c>
      <c r="T386" s="27" t="s">
        <v>7</v>
      </c>
    </row>
    <row r="387" spans="1:54" x14ac:dyDescent="0.25">
      <c r="A387" s="7">
        <v>52.484897378708773</v>
      </c>
      <c r="B387"/>
      <c r="C387"/>
      <c r="D387"/>
      <c r="E387"/>
      <c r="M387" s="27" t="s">
        <v>8</v>
      </c>
      <c r="N387" s="27" t="s">
        <v>7</v>
      </c>
      <c r="O387" s="27" t="s">
        <v>8</v>
      </c>
      <c r="P387" s="27" t="s">
        <v>7</v>
      </c>
      <c r="Q387" s="27" t="s">
        <v>8</v>
      </c>
      <c r="R387" s="27" t="s">
        <v>7</v>
      </c>
      <c r="S387" s="27" t="s">
        <v>8</v>
      </c>
      <c r="T387" s="27" t="s">
        <v>7</v>
      </c>
      <c r="U387" s="27" t="s">
        <v>8</v>
      </c>
      <c r="Y387" s="27" t="s">
        <v>8</v>
      </c>
      <c r="AS387" s="27" t="s">
        <v>8</v>
      </c>
    </row>
    <row r="388" spans="1:54" x14ac:dyDescent="0.25">
      <c r="A388" s="7">
        <v>51.455781743832127</v>
      </c>
      <c r="B388"/>
      <c r="C388"/>
      <c r="D388"/>
      <c r="E388"/>
      <c r="M388" s="27" t="s">
        <v>8</v>
      </c>
      <c r="N388" s="27" t="s">
        <v>7</v>
      </c>
      <c r="O388" s="27" t="s">
        <v>8</v>
      </c>
      <c r="P388" s="27" t="s">
        <v>7</v>
      </c>
      <c r="Q388" s="27" t="s">
        <v>8</v>
      </c>
      <c r="R388" s="27" t="s">
        <v>7</v>
      </c>
      <c r="S388" s="27" t="s">
        <v>8</v>
      </c>
      <c r="T388" s="27" t="s">
        <v>7</v>
      </c>
      <c r="U388" s="27" t="s">
        <v>8</v>
      </c>
      <c r="V388" s="27" t="s">
        <v>7</v>
      </c>
      <c r="W388" s="27" t="s">
        <v>8</v>
      </c>
      <c r="Y388" s="27" t="s">
        <v>8</v>
      </c>
      <c r="Z388" s="27" t="s">
        <v>7</v>
      </c>
      <c r="AS388" s="27" t="s">
        <v>8</v>
      </c>
      <c r="AT388" s="27" t="s">
        <v>7</v>
      </c>
    </row>
    <row r="389" spans="1:54" x14ac:dyDescent="0.25">
      <c r="A389" s="7">
        <v>50.446844846894244</v>
      </c>
      <c r="B389"/>
      <c r="C389"/>
      <c r="D389"/>
      <c r="E389"/>
      <c r="M389" s="27" t="s">
        <v>8</v>
      </c>
      <c r="N389" s="27" t="s">
        <v>7</v>
      </c>
      <c r="O389" s="27" t="s">
        <v>8</v>
      </c>
      <c r="P389" s="27" t="s">
        <v>7</v>
      </c>
      <c r="R389" s="27" t="s">
        <v>7</v>
      </c>
      <c r="T389" s="31" t="s">
        <v>7</v>
      </c>
      <c r="U389" s="27" t="s">
        <v>8</v>
      </c>
      <c r="V389" s="27" t="s">
        <v>7</v>
      </c>
      <c r="W389" s="27" t="s">
        <v>8</v>
      </c>
      <c r="X389" s="27" t="s">
        <v>7</v>
      </c>
      <c r="Y389" s="27" t="s">
        <v>8</v>
      </c>
      <c r="Z389" s="27" t="s">
        <v>7</v>
      </c>
      <c r="AS389" s="27" t="s">
        <v>8</v>
      </c>
      <c r="AT389" s="27" t="s">
        <v>7</v>
      </c>
    </row>
    <row r="390" spans="1:54" x14ac:dyDescent="0.25">
      <c r="A390" s="7">
        <v>49.457691026366902</v>
      </c>
      <c r="B390"/>
      <c r="C390"/>
      <c r="D390"/>
      <c r="E390"/>
      <c r="M390" s="27" t="s">
        <v>8</v>
      </c>
      <c r="N390" s="27" t="s">
        <v>7</v>
      </c>
      <c r="S390" s="31"/>
      <c r="T390" s="27" t="s">
        <v>7</v>
      </c>
      <c r="U390" s="27" t="s">
        <v>8</v>
      </c>
      <c r="V390" s="27" t="s">
        <v>7</v>
      </c>
      <c r="W390" s="27" t="s">
        <v>8</v>
      </c>
      <c r="X390" s="27" t="s">
        <v>7</v>
      </c>
      <c r="Y390" s="27" t="s">
        <v>8</v>
      </c>
      <c r="Z390" s="27" t="s">
        <v>7</v>
      </c>
      <c r="AI390" s="27" t="s">
        <v>8</v>
      </c>
      <c r="AS390" s="27" t="s">
        <v>8</v>
      </c>
      <c r="AT390" s="27" t="s">
        <v>7</v>
      </c>
      <c r="AU390" s="27" t="s">
        <v>8</v>
      </c>
      <c r="AW390" s="27" t="s">
        <v>8</v>
      </c>
    </row>
    <row r="391" spans="1:54" x14ac:dyDescent="0.25">
      <c r="A391" s="7">
        <v>48.487932378791079</v>
      </c>
      <c r="B391"/>
      <c r="C391"/>
      <c r="D391"/>
      <c r="E391"/>
      <c r="G391" s="27" t="s">
        <v>8</v>
      </c>
      <c r="M391" s="27" t="s">
        <v>8</v>
      </c>
      <c r="R391" s="31"/>
      <c r="T391" s="27" t="s">
        <v>7</v>
      </c>
      <c r="U391" s="27" t="s">
        <v>8</v>
      </c>
      <c r="V391" s="27" t="s">
        <v>7</v>
      </c>
      <c r="W391" s="27" t="s">
        <v>8</v>
      </c>
      <c r="X391" s="27" t="s">
        <v>7</v>
      </c>
      <c r="Y391" s="27" t="s">
        <v>8</v>
      </c>
      <c r="Z391" s="27" t="s">
        <v>7</v>
      </c>
      <c r="AI391" s="27" t="s">
        <v>8</v>
      </c>
      <c r="AJ391" s="27" t="s">
        <v>7</v>
      </c>
      <c r="AS391" s="27" t="s">
        <v>8</v>
      </c>
      <c r="AT391" s="27" t="s">
        <v>7</v>
      </c>
      <c r="AU391" s="27" t="s">
        <v>8</v>
      </c>
      <c r="AV391" s="27" t="s">
        <v>7</v>
      </c>
      <c r="AW391" s="27" t="s">
        <v>8</v>
      </c>
      <c r="AX391" s="27" t="s">
        <v>7</v>
      </c>
    </row>
    <row r="392" spans="1:54" x14ac:dyDescent="0.25">
      <c r="A392" s="7">
        <v>47.537188606657921</v>
      </c>
      <c r="B392"/>
      <c r="C392"/>
      <c r="D392"/>
      <c r="E392"/>
      <c r="G392" s="27" t="s">
        <v>8</v>
      </c>
      <c r="H392" s="27" t="s">
        <v>7</v>
      </c>
      <c r="K392" s="27" t="s">
        <v>8</v>
      </c>
      <c r="M392" s="27" t="s">
        <v>8</v>
      </c>
      <c r="Q392" s="31"/>
      <c r="T392" s="27" t="s">
        <v>7</v>
      </c>
      <c r="U392" s="27" t="s">
        <v>8</v>
      </c>
      <c r="V392" s="27" t="s">
        <v>7</v>
      </c>
      <c r="X392" s="27" t="s">
        <v>7</v>
      </c>
      <c r="Y392" s="27" t="s">
        <v>8</v>
      </c>
      <c r="Z392" s="27" t="s">
        <v>7</v>
      </c>
      <c r="AG392" s="27" t="s">
        <v>8</v>
      </c>
      <c r="AI392" s="27" t="s">
        <v>8</v>
      </c>
      <c r="AJ392" s="27" t="s">
        <v>7</v>
      </c>
      <c r="AO392" s="27" t="s">
        <v>8</v>
      </c>
      <c r="AQ392" s="27" t="s">
        <v>8</v>
      </c>
      <c r="AS392" s="27" t="s">
        <v>8</v>
      </c>
      <c r="AT392" s="27" t="s">
        <v>7</v>
      </c>
      <c r="AU392" s="27" t="s">
        <v>8</v>
      </c>
      <c r="AV392" s="27" t="s">
        <v>7</v>
      </c>
      <c r="AW392" s="27" t="s">
        <v>8</v>
      </c>
      <c r="AX392" s="27" t="s">
        <v>7</v>
      </c>
    </row>
    <row r="393" spans="1:54" x14ac:dyDescent="0.25">
      <c r="A393" s="7">
        <v>46.605086869272469</v>
      </c>
      <c r="B393"/>
      <c r="C393"/>
      <c r="D393"/>
      <c r="E393"/>
      <c r="G393" s="27" t="s">
        <v>8</v>
      </c>
      <c r="H393" s="27" t="s">
        <v>7</v>
      </c>
      <c r="I393" s="27" t="s">
        <v>8</v>
      </c>
      <c r="K393" s="27" t="s">
        <v>8</v>
      </c>
      <c r="L393" s="27" t="s">
        <v>7</v>
      </c>
      <c r="M393" s="27" t="s">
        <v>8</v>
      </c>
      <c r="P393" s="31"/>
      <c r="T393" s="27" t="s">
        <v>7</v>
      </c>
      <c r="U393" s="27" t="s">
        <v>8</v>
      </c>
      <c r="X393" s="27" t="s">
        <v>7</v>
      </c>
      <c r="Y393" s="27" t="s">
        <v>8</v>
      </c>
      <c r="Z393" s="27" t="s">
        <v>7</v>
      </c>
      <c r="AG393" s="27" t="s">
        <v>8</v>
      </c>
      <c r="AH393" s="27" t="s">
        <v>7</v>
      </c>
      <c r="AI393" s="27" t="s">
        <v>8</v>
      </c>
      <c r="AJ393" s="27" t="s">
        <v>7</v>
      </c>
      <c r="AM393" s="27" t="s">
        <v>8</v>
      </c>
      <c r="AO393" s="27" t="s">
        <v>8</v>
      </c>
      <c r="AP393" s="27" t="s">
        <v>7</v>
      </c>
      <c r="AQ393" s="27" t="s">
        <v>8</v>
      </c>
      <c r="AR393" s="27" t="s">
        <v>7</v>
      </c>
      <c r="AS393" s="27" t="s">
        <v>8</v>
      </c>
      <c r="AT393" s="27" t="s">
        <v>7</v>
      </c>
      <c r="AU393" s="27" t="s">
        <v>8</v>
      </c>
      <c r="AV393" s="27" t="s">
        <v>7</v>
      </c>
      <c r="AW393" s="27" t="s">
        <v>8</v>
      </c>
      <c r="AX393" s="27" t="s">
        <v>7</v>
      </c>
    </row>
    <row r="394" spans="1:54" x14ac:dyDescent="0.25">
      <c r="A394" s="7">
        <v>45.691261636541633</v>
      </c>
      <c r="B394"/>
      <c r="C394"/>
      <c r="D394"/>
      <c r="E394"/>
      <c r="G394" s="27" t="s">
        <v>8</v>
      </c>
      <c r="H394" s="27" t="s">
        <v>7</v>
      </c>
      <c r="I394" s="27" t="s">
        <v>8</v>
      </c>
      <c r="J394" s="27" t="s">
        <v>7</v>
      </c>
      <c r="K394" s="27" t="s">
        <v>8</v>
      </c>
      <c r="L394" s="27" t="s">
        <v>7</v>
      </c>
      <c r="M394" s="27" t="s">
        <v>8</v>
      </c>
      <c r="O394" s="31"/>
      <c r="T394" s="27" t="s">
        <v>7</v>
      </c>
      <c r="U394" s="27" t="s">
        <v>8</v>
      </c>
      <c r="X394" s="27" t="s">
        <v>7</v>
      </c>
      <c r="Z394" s="27" t="s">
        <v>7</v>
      </c>
      <c r="AE394" s="27" t="s">
        <v>8</v>
      </c>
      <c r="AG394" s="27" t="s">
        <v>8</v>
      </c>
      <c r="AH394" s="27" t="s">
        <v>7</v>
      </c>
      <c r="AI394" s="27" t="s">
        <v>8</v>
      </c>
      <c r="AJ394" s="27" t="s">
        <v>7</v>
      </c>
      <c r="AK394" s="27" t="s">
        <v>8</v>
      </c>
      <c r="AM394" s="27" t="s">
        <v>8</v>
      </c>
      <c r="AN394" s="27" t="s">
        <v>7</v>
      </c>
      <c r="AO394" s="27" t="s">
        <v>8</v>
      </c>
      <c r="AP394" s="27" t="s">
        <v>7</v>
      </c>
      <c r="AQ394" s="27" t="s">
        <v>8</v>
      </c>
      <c r="AR394" s="27" t="s">
        <v>7</v>
      </c>
      <c r="AS394" s="27" t="s">
        <v>8</v>
      </c>
      <c r="AT394" s="27" t="s">
        <v>7</v>
      </c>
      <c r="AV394" s="27" t="s">
        <v>7</v>
      </c>
      <c r="AX394" s="27" t="s">
        <v>7</v>
      </c>
    </row>
    <row r="395" spans="1:54" x14ac:dyDescent="0.25">
      <c r="A395" s="7">
        <v>44.795354545629053</v>
      </c>
      <c r="B395"/>
      <c r="C395"/>
      <c r="D395"/>
      <c r="E395"/>
      <c r="G395" s="27" t="s">
        <v>8</v>
      </c>
      <c r="H395" s="27" t="s">
        <v>7</v>
      </c>
      <c r="I395" s="27" t="s">
        <v>8</v>
      </c>
      <c r="J395" s="27" t="s">
        <v>7</v>
      </c>
      <c r="K395" s="27" t="s">
        <v>8</v>
      </c>
      <c r="L395" s="27" t="s">
        <v>7</v>
      </c>
      <c r="M395" s="27" t="s">
        <v>8</v>
      </c>
      <c r="N395" s="31"/>
      <c r="T395" s="27" t="s">
        <v>7</v>
      </c>
      <c r="U395" s="27" t="s">
        <v>8</v>
      </c>
      <c r="Z395" s="27" t="s">
        <v>7</v>
      </c>
      <c r="AE395" s="27" t="s">
        <v>8</v>
      </c>
      <c r="AF395" s="27" t="s">
        <v>7</v>
      </c>
      <c r="AG395" s="27" t="s">
        <v>8</v>
      </c>
      <c r="AH395" s="27" t="s">
        <v>7</v>
      </c>
      <c r="AI395" s="27" t="s">
        <v>8</v>
      </c>
      <c r="AJ395" s="27" t="s">
        <v>7</v>
      </c>
      <c r="AK395" s="27" t="s">
        <v>8</v>
      </c>
      <c r="AL395" s="27" t="s">
        <v>7</v>
      </c>
      <c r="AM395" s="27" t="s">
        <v>8</v>
      </c>
      <c r="AN395" s="27" t="s">
        <v>7</v>
      </c>
      <c r="AO395" s="27" t="s">
        <v>8</v>
      </c>
      <c r="AP395" s="27" t="s">
        <v>7</v>
      </c>
      <c r="AR395" s="27" t="s">
        <v>7</v>
      </c>
      <c r="AS395" s="27" t="s">
        <v>8</v>
      </c>
      <c r="AX395" s="27" t="s">
        <v>7</v>
      </c>
    </row>
    <row r="396" spans="1:54" x14ac:dyDescent="0.25">
      <c r="A396" s="7">
        <v>43.917014260420636</v>
      </c>
      <c r="B396"/>
      <c r="C396"/>
      <c r="D396"/>
      <c r="E396"/>
      <c r="G396" s="27" t="s">
        <v>8</v>
      </c>
      <c r="H396" s="27" t="s">
        <v>7</v>
      </c>
      <c r="I396" s="27" t="s">
        <v>8</v>
      </c>
      <c r="J396" s="27" t="s">
        <v>7</v>
      </c>
      <c r="K396" s="27" t="s">
        <v>8</v>
      </c>
      <c r="L396" s="27" t="s">
        <v>7</v>
      </c>
      <c r="M396" s="31"/>
      <c r="T396" s="27" t="s">
        <v>7</v>
      </c>
      <c r="Z396" s="27" t="s">
        <v>7</v>
      </c>
      <c r="AA396" s="27" t="s">
        <v>8</v>
      </c>
      <c r="AE396" s="27" t="s">
        <v>8</v>
      </c>
      <c r="AF396" s="27" t="s">
        <v>7</v>
      </c>
      <c r="AG396" s="27" t="s">
        <v>8</v>
      </c>
      <c r="AH396" s="27" t="s">
        <v>7</v>
      </c>
      <c r="AJ396" s="27" t="s">
        <v>7</v>
      </c>
      <c r="AK396" s="27" t="s">
        <v>8</v>
      </c>
      <c r="AL396" s="27" t="s">
        <v>7</v>
      </c>
      <c r="AM396" s="27" t="s">
        <v>8</v>
      </c>
      <c r="AN396" s="27" t="s">
        <v>7</v>
      </c>
      <c r="AO396" s="27" t="s">
        <v>8</v>
      </c>
      <c r="AR396" s="27" t="s">
        <v>7</v>
      </c>
      <c r="AS396" s="27" t="s">
        <v>8</v>
      </c>
      <c r="AX396" s="27" t="s">
        <v>7</v>
      </c>
    </row>
    <row r="397" spans="1:54" x14ac:dyDescent="0.25">
      <c r="A397" s="7">
        <v>43.055896333745721</v>
      </c>
      <c r="B397"/>
      <c r="C397"/>
      <c r="D397"/>
      <c r="E397"/>
      <c r="G397" s="27" t="s">
        <v>8</v>
      </c>
      <c r="H397" s="27" t="s">
        <v>7</v>
      </c>
      <c r="I397" s="27" t="s">
        <v>8</v>
      </c>
      <c r="J397" s="27" t="s">
        <v>7</v>
      </c>
      <c r="K397" s="27" t="s">
        <v>8</v>
      </c>
      <c r="L397" s="31"/>
      <c r="Z397" s="27" t="s">
        <v>7</v>
      </c>
      <c r="AA397" s="27" t="s">
        <v>8</v>
      </c>
      <c r="AB397" s="27" t="s">
        <v>7</v>
      </c>
      <c r="AE397" s="27" t="s">
        <v>8</v>
      </c>
      <c r="AF397" s="27" t="s">
        <v>7</v>
      </c>
      <c r="AG397" s="27" t="s">
        <v>8</v>
      </c>
      <c r="AJ397" s="27" t="s">
        <v>7</v>
      </c>
      <c r="AK397" s="27" t="s">
        <v>8</v>
      </c>
      <c r="AL397" s="27" t="s">
        <v>7</v>
      </c>
      <c r="AM397" s="27" t="s">
        <v>8</v>
      </c>
      <c r="AN397" s="27" t="s">
        <v>7</v>
      </c>
      <c r="AO397" s="27" t="s">
        <v>8</v>
      </c>
      <c r="AR397" s="27" t="s">
        <v>7</v>
      </c>
      <c r="AX397" s="27" t="s">
        <v>7</v>
      </c>
      <c r="AY397" s="27" t="s">
        <v>8</v>
      </c>
    </row>
    <row r="398" spans="1:54" x14ac:dyDescent="0.25">
      <c r="A398" s="7">
        <v>42.211663072299729</v>
      </c>
      <c r="B398"/>
      <c r="C398"/>
      <c r="D398"/>
      <c r="E398"/>
      <c r="G398" s="27" t="s">
        <v>8</v>
      </c>
      <c r="H398" s="27" t="s">
        <v>7</v>
      </c>
      <c r="I398" s="27" t="s">
        <v>8</v>
      </c>
      <c r="J398" s="27" t="s">
        <v>7</v>
      </c>
      <c r="K398" s="31" t="s">
        <v>8</v>
      </c>
      <c r="Z398" s="27" t="s">
        <v>7</v>
      </c>
      <c r="AA398" s="27" t="s">
        <v>8</v>
      </c>
      <c r="AB398" s="27" t="s">
        <v>7</v>
      </c>
      <c r="AE398" s="27" t="s">
        <v>8</v>
      </c>
      <c r="AF398" s="27" t="s">
        <v>7</v>
      </c>
      <c r="AJ398" s="27" t="s">
        <v>7</v>
      </c>
      <c r="AL398" s="27" t="s">
        <v>7</v>
      </c>
      <c r="AN398" s="27" t="s">
        <v>7</v>
      </c>
      <c r="AO398" s="27" t="s">
        <v>8</v>
      </c>
      <c r="AX398" s="27" t="s">
        <v>7</v>
      </c>
      <c r="AY398" s="27" t="s">
        <v>8</v>
      </c>
      <c r="AZ398" s="27" t="s">
        <v>7</v>
      </c>
      <c r="BA398" s="27" t="s">
        <v>8</v>
      </c>
    </row>
    <row r="399" spans="1:54" x14ac:dyDescent="0.25">
      <c r="A399" s="7">
        <v>41.383983404215421</v>
      </c>
      <c r="B399"/>
      <c r="C399"/>
      <c r="D399"/>
      <c r="E399"/>
      <c r="G399" s="27" t="s">
        <v>8</v>
      </c>
      <c r="H399" s="27" t="s">
        <v>7</v>
      </c>
      <c r="J399" s="31" t="s">
        <v>7</v>
      </c>
      <c r="Z399" s="27" t="s">
        <v>7</v>
      </c>
      <c r="AA399" s="27" t="s">
        <v>8</v>
      </c>
      <c r="AB399" s="27" t="s">
        <v>7</v>
      </c>
      <c r="AE399" s="27" t="s">
        <v>8</v>
      </c>
      <c r="AN399" s="27" t="s">
        <v>7</v>
      </c>
      <c r="AO399" s="27" t="s">
        <v>8</v>
      </c>
      <c r="AX399" s="27" t="s">
        <v>7</v>
      </c>
      <c r="AY399" s="27" t="s">
        <v>8</v>
      </c>
      <c r="AZ399" s="27" t="s">
        <v>7</v>
      </c>
      <c r="BA399" s="27" t="s">
        <v>8</v>
      </c>
      <c r="BB399" s="27" t="s">
        <v>7</v>
      </c>
    </row>
    <row r="400" spans="1:54" x14ac:dyDescent="0.25">
      <c r="A400" s="7">
        <v>40.572532749230803</v>
      </c>
      <c r="B400"/>
      <c r="C400"/>
      <c r="D400"/>
      <c r="E400"/>
      <c r="G400" s="27" t="s">
        <v>8</v>
      </c>
      <c r="Z400" s="27" t="s">
        <v>7</v>
      </c>
      <c r="AA400" s="27" t="s">
        <v>8</v>
      </c>
      <c r="AB400" s="27" t="s">
        <v>7</v>
      </c>
      <c r="AE400" s="27" t="s">
        <v>8</v>
      </c>
      <c r="AN400" s="27" t="s">
        <v>7</v>
      </c>
      <c r="AO400" s="27" t="s">
        <v>8</v>
      </c>
      <c r="AX400" s="27" t="s">
        <v>7</v>
      </c>
      <c r="AZ400" s="27" t="s">
        <v>7</v>
      </c>
      <c r="BA400" s="27" t="s">
        <v>8</v>
      </c>
      <c r="BB400" s="27" t="s">
        <v>7</v>
      </c>
    </row>
    <row r="401" spans="1:68" x14ac:dyDescent="0.25">
      <c r="A401" s="7">
        <v>39.776992891402749</v>
      </c>
      <c r="B401"/>
      <c r="C401"/>
      <c r="D401"/>
      <c r="E401"/>
      <c r="G401" s="27" t="s">
        <v>8</v>
      </c>
      <c r="Z401" s="27" t="s">
        <v>7</v>
      </c>
      <c r="AA401" s="27" t="s">
        <v>8</v>
      </c>
      <c r="AB401" s="27" t="s">
        <v>7</v>
      </c>
      <c r="AC401" s="27" t="s">
        <v>8</v>
      </c>
      <c r="AE401" s="27" t="s">
        <v>8</v>
      </c>
      <c r="AN401" s="27" t="s">
        <v>7</v>
      </c>
      <c r="AO401" s="27" t="s">
        <v>8</v>
      </c>
      <c r="AZ401" s="27" t="s">
        <v>7</v>
      </c>
      <c r="BA401" s="27" t="s">
        <v>8</v>
      </c>
      <c r="BB401" s="27" t="s">
        <v>7</v>
      </c>
    </row>
    <row r="402" spans="1:68" x14ac:dyDescent="0.25">
      <c r="A402" s="7">
        <v>38.997051854316418</v>
      </c>
      <c r="B402"/>
      <c r="C402"/>
      <c r="D402"/>
      <c r="E402"/>
      <c r="G402" s="27" t="s">
        <v>8</v>
      </c>
      <c r="Z402" s="27" t="s">
        <v>7</v>
      </c>
      <c r="AA402" s="27" t="s">
        <v>8</v>
      </c>
      <c r="AB402" s="27" t="s">
        <v>7</v>
      </c>
      <c r="AC402" s="27" t="s">
        <v>8</v>
      </c>
      <c r="AD402" s="27" t="s">
        <v>7</v>
      </c>
      <c r="AE402" s="27" t="s">
        <v>8</v>
      </c>
      <c r="AN402" s="27" t="s">
        <v>7</v>
      </c>
      <c r="AO402" s="27" t="s">
        <v>8</v>
      </c>
      <c r="AZ402" s="27" t="s">
        <v>7</v>
      </c>
      <c r="BB402" s="27" t="s">
        <v>7</v>
      </c>
    </row>
    <row r="403" spans="1:68" x14ac:dyDescent="0.25">
      <c r="A403" s="7">
        <v>38.232403778741585</v>
      </c>
      <c r="B403"/>
      <c r="C403"/>
      <c r="D403"/>
      <c r="E403"/>
      <c r="G403" s="27" t="s">
        <v>8</v>
      </c>
      <c r="Z403" s="27" t="s">
        <v>7</v>
      </c>
      <c r="AA403" s="27" t="s">
        <v>8</v>
      </c>
      <c r="AB403" s="27" t="s">
        <v>7</v>
      </c>
      <c r="AC403" s="27" t="s">
        <v>8</v>
      </c>
      <c r="AD403" s="27" t="s">
        <v>7</v>
      </c>
      <c r="AE403" s="27" t="s">
        <v>8</v>
      </c>
      <c r="AN403" s="27" t="s">
        <v>7</v>
      </c>
      <c r="AO403" s="27" t="s">
        <v>8</v>
      </c>
      <c r="BB403" s="27" t="s">
        <v>7</v>
      </c>
      <c r="BC403" s="27" t="s">
        <v>8</v>
      </c>
    </row>
    <row r="404" spans="1:68" x14ac:dyDescent="0.25">
      <c r="A404" s="7">
        <v>37.48274880268783</v>
      </c>
      <c r="B404"/>
      <c r="C404"/>
      <c r="D404"/>
      <c r="E404"/>
      <c r="G404" s="27" t="s">
        <v>8</v>
      </c>
      <c r="Z404" s="27" t="s">
        <v>7</v>
      </c>
      <c r="AA404" s="27" t="s">
        <v>8</v>
      </c>
      <c r="AB404" s="27" t="s">
        <v>7</v>
      </c>
      <c r="AC404" s="27" t="s">
        <v>8</v>
      </c>
      <c r="AD404" s="27" t="s">
        <v>7</v>
      </c>
      <c r="AE404" s="27" t="s">
        <v>8</v>
      </c>
      <c r="AN404" s="27" t="s">
        <v>7</v>
      </c>
      <c r="BB404" s="27" t="s">
        <v>7</v>
      </c>
      <c r="BC404" s="27" t="s">
        <v>8</v>
      </c>
      <c r="BD404" s="27" t="s">
        <v>7</v>
      </c>
    </row>
    <row r="405" spans="1:68" x14ac:dyDescent="0.25">
      <c r="A405" s="7">
        <v>36.747792943811596</v>
      </c>
      <c r="B405"/>
      <c r="C405"/>
      <c r="D405"/>
      <c r="E405"/>
      <c r="G405" s="27" t="s">
        <v>8</v>
      </c>
      <c r="Z405" s="27" t="s">
        <v>7</v>
      </c>
      <c r="AB405" s="27" t="s">
        <v>7</v>
      </c>
      <c r="AC405" s="27" t="s">
        <v>8</v>
      </c>
      <c r="AD405" s="27" t="s">
        <v>7</v>
      </c>
      <c r="AE405" s="27" t="s">
        <v>8</v>
      </c>
      <c r="BB405" s="27" t="s">
        <v>7</v>
      </c>
      <c r="BC405" s="27" t="s">
        <v>8</v>
      </c>
      <c r="BD405" s="27" t="s">
        <v>7</v>
      </c>
    </row>
    <row r="406" spans="1:68" x14ac:dyDescent="0.25">
      <c r="A406" s="7">
        <v>36.027247984129012</v>
      </c>
      <c r="B406"/>
      <c r="C406"/>
      <c r="D406"/>
      <c r="E406"/>
      <c r="G406" s="27" t="s">
        <v>8</v>
      </c>
      <c r="AB406" s="27" t="s">
        <v>7</v>
      </c>
      <c r="AD406" s="27" t="s">
        <v>7</v>
      </c>
      <c r="BB406" s="27" t="s">
        <v>7</v>
      </c>
      <c r="BC406" s="27" t="s">
        <v>8</v>
      </c>
      <c r="BD406" s="27" t="s">
        <v>7</v>
      </c>
    </row>
    <row r="407" spans="1:68" x14ac:dyDescent="0.25">
      <c r="A407" s="7">
        <v>35.320831356989224</v>
      </c>
      <c r="B407"/>
      <c r="C407"/>
      <c r="D407"/>
      <c r="E407" t="s">
        <v>8</v>
      </c>
      <c r="G407" s="27" t="s">
        <v>8</v>
      </c>
      <c r="BB407" s="27" t="s">
        <v>7</v>
      </c>
      <c r="BD407" s="27" t="s">
        <v>7</v>
      </c>
    </row>
    <row r="408" spans="1:68" x14ac:dyDescent="0.25">
      <c r="A408" s="7">
        <v>34.628266036263945</v>
      </c>
      <c r="B408"/>
      <c r="C408"/>
      <c r="D408"/>
      <c r="E408" t="s">
        <v>8</v>
      </c>
      <c r="F408" s="27" t="s">
        <v>7</v>
      </c>
      <c r="G408" s="27" t="s">
        <v>8</v>
      </c>
      <c r="BD408" s="27" t="s">
        <v>7</v>
      </c>
    </row>
    <row r="409" spans="1:68" x14ac:dyDescent="0.25">
      <c r="A409" s="7">
        <v>33.949280427709752</v>
      </c>
      <c r="B409"/>
      <c r="C409"/>
      <c r="D409"/>
      <c r="E409" t="s">
        <v>8</v>
      </c>
      <c r="F409" s="27" t="s">
        <v>7</v>
      </c>
      <c r="G409" s="27" t="s">
        <v>8</v>
      </c>
      <c r="BD409" s="27" t="s">
        <v>7</v>
      </c>
    </row>
    <row r="410" spans="1:68" x14ac:dyDescent="0.25">
      <c r="A410" s="7">
        <v>33.28360826246054</v>
      </c>
      <c r="B410"/>
      <c r="C410"/>
      <c r="D410"/>
      <c r="E410" t="s">
        <v>8</v>
      </c>
      <c r="F410" s="27" t="s">
        <v>7</v>
      </c>
      <c r="G410" s="27" t="s">
        <v>8</v>
      </c>
      <c r="BD410" s="27" t="s">
        <v>7</v>
      </c>
    </row>
    <row r="411" spans="1:68" x14ac:dyDescent="0.25">
      <c r="A411" s="7">
        <v>32.630988492608374</v>
      </c>
      <c r="B411"/>
      <c r="C411"/>
      <c r="D411"/>
      <c r="E411" t="s">
        <v>8</v>
      </c>
      <c r="F411" s="27" t="s">
        <v>7</v>
      </c>
      <c r="G411" s="27" t="s">
        <v>8</v>
      </c>
      <c r="BD411" s="27" t="s">
        <v>7</v>
      </c>
    </row>
    <row r="412" spans="1:68" x14ac:dyDescent="0.25">
      <c r="A412" s="7">
        <v>31.99116518883174</v>
      </c>
      <c r="B412"/>
      <c r="C412"/>
      <c r="D412"/>
      <c r="E412" t="s">
        <v>8</v>
      </c>
      <c r="F412" s="27" t="s">
        <v>7</v>
      </c>
      <c r="G412" s="27" t="s">
        <v>8</v>
      </c>
      <c r="BD412" s="27" t="s">
        <v>7</v>
      </c>
    </row>
    <row r="413" spans="1:68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BD413" s="27" t="s">
        <v>7</v>
      </c>
      <c r="BG413" s="27" t="s">
        <v>8</v>
      </c>
    </row>
    <row r="414" spans="1:68" x14ac:dyDescent="0.25">
      <c r="A414" s="7">
        <v>30.748909254932467</v>
      </c>
      <c r="B414"/>
      <c r="C414"/>
      <c r="D414"/>
      <c r="E414" t="s">
        <v>8</v>
      </c>
      <c r="BD414" s="27" t="s">
        <v>7</v>
      </c>
      <c r="BG414" s="27" t="s">
        <v>8</v>
      </c>
      <c r="BH414" s="27" t="s">
        <v>7</v>
      </c>
    </row>
    <row r="415" spans="1:68" x14ac:dyDescent="0.25">
      <c r="A415" s="7">
        <v>30.145989465620065</v>
      </c>
      <c r="B415"/>
      <c r="C415"/>
      <c r="D415"/>
      <c r="E415" t="s">
        <v>8</v>
      </c>
      <c r="BD415" s="27" t="s">
        <v>7</v>
      </c>
      <c r="BE415" s="27" t="s">
        <v>8</v>
      </c>
      <c r="BG415" s="27" t="s">
        <v>8</v>
      </c>
      <c r="BH415" s="27" t="s">
        <v>7</v>
      </c>
      <c r="BO415" s="27" t="s">
        <v>8</v>
      </c>
    </row>
    <row r="416" spans="1:68" x14ac:dyDescent="0.25">
      <c r="A416" s="7">
        <v>29.55489163296085</v>
      </c>
      <c r="B416"/>
      <c r="C416"/>
      <c r="D416"/>
      <c r="E416" t="s">
        <v>8</v>
      </c>
      <c r="BD416" s="27" t="s">
        <v>7</v>
      </c>
      <c r="BE416" s="27" t="s">
        <v>8</v>
      </c>
      <c r="BF416" s="27" t="s">
        <v>7</v>
      </c>
      <c r="BG416" s="27" t="s">
        <v>8</v>
      </c>
      <c r="BH416" s="27" t="s">
        <v>7</v>
      </c>
      <c r="BO416" s="27" t="s">
        <v>8</v>
      </c>
      <c r="BP416" s="27" t="s">
        <v>7</v>
      </c>
    </row>
    <row r="417" spans="1:76" x14ac:dyDescent="0.25">
      <c r="A417" s="7">
        <v>28.975383953883185</v>
      </c>
      <c r="B417"/>
      <c r="C417"/>
      <c r="D417"/>
      <c r="E417" t="s">
        <v>8</v>
      </c>
      <c r="BD417" s="27" t="s">
        <v>7</v>
      </c>
      <c r="BE417" s="27" t="s">
        <v>8</v>
      </c>
      <c r="BF417" s="27" t="s">
        <v>7</v>
      </c>
      <c r="BG417" s="27" t="s">
        <v>8</v>
      </c>
      <c r="BH417" s="27" t="s">
        <v>7</v>
      </c>
      <c r="BO417" s="27" t="s">
        <v>8</v>
      </c>
      <c r="BP417" s="27" t="s">
        <v>7</v>
      </c>
    </row>
    <row r="418" spans="1:76" x14ac:dyDescent="0.25">
      <c r="A418" s="7">
        <v>28.407239170473709</v>
      </c>
      <c r="B418"/>
      <c r="C418"/>
      <c r="D418"/>
      <c r="E418" t="s">
        <v>8</v>
      </c>
      <c r="BD418" s="27" t="s">
        <v>7</v>
      </c>
      <c r="BE418" s="27" t="s">
        <v>8</v>
      </c>
      <c r="BF418" s="27" t="s">
        <v>7</v>
      </c>
      <c r="BG418" s="27" t="s">
        <v>8</v>
      </c>
      <c r="BH418" s="27" t="s">
        <v>7</v>
      </c>
      <c r="BI418" s="27" t="s">
        <v>8</v>
      </c>
      <c r="BK418" s="27" t="s">
        <v>8</v>
      </c>
      <c r="BO418" s="27" t="s">
        <v>8</v>
      </c>
      <c r="BP418" s="27" t="s">
        <v>7</v>
      </c>
    </row>
    <row r="419" spans="1:76" x14ac:dyDescent="0.25">
      <c r="A419" s="7">
        <v>27.850234480856578</v>
      </c>
      <c r="B419"/>
      <c r="C419"/>
      <c r="D419"/>
      <c r="E419" t="s">
        <v>8</v>
      </c>
      <c r="BD419" s="27" t="s">
        <v>7</v>
      </c>
      <c r="BE419" s="27" t="s">
        <v>8</v>
      </c>
      <c r="BF419" s="27" t="s">
        <v>7</v>
      </c>
      <c r="BG419" s="27" t="s">
        <v>8</v>
      </c>
      <c r="BH419" s="27" t="s">
        <v>7</v>
      </c>
      <c r="BI419" s="27" t="s">
        <v>8</v>
      </c>
      <c r="BJ419" s="27" t="s">
        <v>7</v>
      </c>
      <c r="BK419" s="27" t="s">
        <v>8</v>
      </c>
      <c r="BL419" s="27" t="s">
        <v>7</v>
      </c>
      <c r="BO419" s="27" t="s">
        <v>8</v>
      </c>
      <c r="BP419" s="27" t="s">
        <v>7</v>
      </c>
    </row>
    <row r="420" spans="1:76" x14ac:dyDescent="0.25">
      <c r="A420" s="7">
        <v>27.304151451820175</v>
      </c>
      <c r="B420"/>
      <c r="C420"/>
      <c r="D420"/>
      <c r="E420" t="s">
        <v>8</v>
      </c>
      <c r="BD420" s="27" t="s">
        <v>7</v>
      </c>
      <c r="BE420" s="27" t="s">
        <v>8</v>
      </c>
      <c r="BF420" s="27" t="s">
        <v>7</v>
      </c>
      <c r="BG420" s="27" t="s">
        <v>8</v>
      </c>
      <c r="BH420" s="27" t="s">
        <v>7</v>
      </c>
      <c r="BI420" s="27" t="s">
        <v>8</v>
      </c>
      <c r="BJ420" s="27" t="s">
        <v>7</v>
      </c>
      <c r="BK420" s="27" t="s">
        <v>8</v>
      </c>
      <c r="BL420" s="27" t="s">
        <v>7</v>
      </c>
      <c r="BO420" s="27" t="s">
        <v>8</v>
      </c>
      <c r="BP420" s="27" t="s">
        <v>7</v>
      </c>
      <c r="BQ420" s="27" t="s">
        <v>8</v>
      </c>
    </row>
    <row r="421" spans="1:76" x14ac:dyDescent="0.25">
      <c r="A421" s="7">
        <v>26.768775933157034</v>
      </c>
      <c r="B421"/>
      <c r="C421"/>
      <c r="D421"/>
      <c r="E421" t="s">
        <v>8</v>
      </c>
      <c r="BD421" s="27" t="s">
        <v>7</v>
      </c>
      <c r="BE421" s="27" t="s">
        <v>8</v>
      </c>
      <c r="BF421" s="27" t="s">
        <v>7</v>
      </c>
      <c r="BG421" s="27" t="s">
        <v>8</v>
      </c>
      <c r="BH421" s="27" t="s">
        <v>7</v>
      </c>
      <c r="BJ421" s="27" t="s">
        <v>7</v>
      </c>
      <c r="BK421" s="27" t="s">
        <v>8</v>
      </c>
      <c r="BL421" s="27" t="s">
        <v>7</v>
      </c>
      <c r="BO421" s="27" t="s">
        <v>8</v>
      </c>
      <c r="BP421" s="27" t="s">
        <v>7</v>
      </c>
      <c r="BQ421" s="27" t="s">
        <v>8</v>
      </c>
      <c r="BR421" s="27" t="s">
        <v>7</v>
      </c>
    </row>
    <row r="422" spans="1:76" x14ac:dyDescent="0.25">
      <c r="A422" s="7">
        <v>26.243897973683367</v>
      </c>
      <c r="B422"/>
      <c r="C422"/>
      <c r="D422"/>
      <c r="E422" t="s">
        <v>8</v>
      </c>
      <c r="BD422" s="27" t="s">
        <v>7</v>
      </c>
      <c r="BE422" s="27" t="s">
        <v>8</v>
      </c>
      <c r="BF422" s="27" t="s">
        <v>7</v>
      </c>
      <c r="BJ422" s="27" t="s">
        <v>7</v>
      </c>
      <c r="BK422" s="27" t="s">
        <v>8</v>
      </c>
      <c r="BL422" s="27" t="s">
        <v>7</v>
      </c>
      <c r="BM422" s="27" t="s">
        <v>8</v>
      </c>
      <c r="BO422" s="27" t="s">
        <v>8</v>
      </c>
      <c r="BP422" s="27" t="s">
        <v>7</v>
      </c>
      <c r="BQ422" s="27" t="s">
        <v>8</v>
      </c>
      <c r="BR422" s="27" t="s">
        <v>7</v>
      </c>
    </row>
    <row r="423" spans="1:76" x14ac:dyDescent="0.25">
      <c r="A423" s="7">
        <v>25.729311738905263</v>
      </c>
      <c r="B423"/>
      <c r="C423"/>
      <c r="D423"/>
      <c r="E423" t="s">
        <v>8</v>
      </c>
      <c r="BD423" s="27" t="s">
        <v>7</v>
      </c>
      <c r="BE423" s="27" t="s">
        <v>8</v>
      </c>
      <c r="BJ423" s="27" t="s">
        <v>7</v>
      </c>
      <c r="BK423" s="27" t="s">
        <v>8</v>
      </c>
      <c r="BL423" s="27" t="s">
        <v>7</v>
      </c>
      <c r="BM423" s="27" t="s">
        <v>8</v>
      </c>
      <c r="BN423" s="27" t="s">
        <v>7</v>
      </c>
      <c r="BO423" s="27" t="s">
        <v>8</v>
      </c>
      <c r="BP423" s="27" t="s">
        <v>7</v>
      </c>
      <c r="BQ423" s="27" t="s">
        <v>8</v>
      </c>
      <c r="BR423" s="27" t="s">
        <v>7</v>
      </c>
      <c r="BU423" s="27" t="s">
        <v>8</v>
      </c>
      <c r="BW423" s="27" t="s">
        <v>8</v>
      </c>
    </row>
    <row r="424" spans="1:76" x14ac:dyDescent="0.25">
      <c r="A424" s="7">
        <v>25.224815430299277</v>
      </c>
      <c r="B424"/>
      <c r="C424"/>
      <c r="D424"/>
      <c r="E424" t="s">
        <v>8</v>
      </c>
      <c r="BD424" s="27" t="s">
        <v>7</v>
      </c>
      <c r="BE424" s="27" t="s">
        <v>8</v>
      </c>
      <c r="BJ424" s="27" t="s">
        <v>7</v>
      </c>
      <c r="BL424" s="27" t="s">
        <v>7</v>
      </c>
      <c r="BM424" s="27" t="s">
        <v>8</v>
      </c>
      <c r="BN424" s="27" t="s">
        <v>7</v>
      </c>
      <c r="BO424" s="27" t="s">
        <v>8</v>
      </c>
      <c r="BP424" s="27" t="s">
        <v>7</v>
      </c>
      <c r="BR424" s="27" t="s">
        <v>7</v>
      </c>
      <c r="BU424" s="27" t="s">
        <v>8</v>
      </c>
      <c r="BV424" s="27" t="s">
        <v>7</v>
      </c>
      <c r="BW424" s="27" t="s">
        <v>8</v>
      </c>
      <c r="BX424" s="27" t="s">
        <v>7</v>
      </c>
    </row>
    <row r="425" spans="1:76" x14ac:dyDescent="0.25">
      <c r="A425" s="7">
        <v>24.73021120617576</v>
      </c>
      <c r="B425"/>
      <c r="C425"/>
      <c r="D425"/>
      <c r="E425" t="s">
        <v>8</v>
      </c>
      <c r="BD425" s="27" t="s">
        <v>7</v>
      </c>
      <c r="BE425" s="27" t="s">
        <v>8</v>
      </c>
      <c r="BL425" s="27" t="s">
        <v>7</v>
      </c>
      <c r="BN425" s="27" t="s">
        <v>7</v>
      </c>
      <c r="BO425" s="27" t="s">
        <v>8</v>
      </c>
      <c r="BR425" s="27" t="s">
        <v>7</v>
      </c>
      <c r="BS425" s="27" t="s">
        <v>8</v>
      </c>
      <c r="BU425" s="27" t="s">
        <v>8</v>
      </c>
      <c r="BV425" s="27" t="s">
        <v>7</v>
      </c>
      <c r="BW425" s="27" t="s">
        <v>8</v>
      </c>
      <c r="BX425" s="27" t="s">
        <v>7</v>
      </c>
    </row>
    <row r="426" spans="1:76" x14ac:dyDescent="0.25">
      <c r="A426" s="7">
        <v>24.24530510409388</v>
      </c>
      <c r="B426"/>
      <c r="C426"/>
      <c r="D426"/>
      <c r="E426" t="s">
        <v>8</v>
      </c>
      <c r="BD426" s="27" t="s">
        <v>7</v>
      </c>
      <c r="BE426" s="27" t="s">
        <v>8</v>
      </c>
      <c r="BN426" s="27" t="s">
        <v>7</v>
      </c>
      <c r="BR426" s="27" t="s">
        <v>7</v>
      </c>
      <c r="BS426" s="27" t="s">
        <v>8</v>
      </c>
      <c r="BT426" s="27" t="s">
        <v>7</v>
      </c>
      <c r="BU426" s="27" t="s">
        <v>8</v>
      </c>
      <c r="BV426" s="27" t="s">
        <v>7</v>
      </c>
      <c r="BW426" s="27" t="s">
        <v>8</v>
      </c>
      <c r="BX426" s="27" t="s">
        <v>7</v>
      </c>
    </row>
    <row r="427" spans="1:76" x14ac:dyDescent="0.25">
      <c r="A427" s="7">
        <v>23.769906964797922</v>
      </c>
      <c r="B427"/>
      <c r="C427"/>
      <c r="D427"/>
      <c r="E427" t="s">
        <v>8</v>
      </c>
      <c r="BD427" s="27" t="s">
        <v>7</v>
      </c>
      <c r="BE427" s="27" t="s">
        <v>8</v>
      </c>
      <c r="BR427" s="27" t="s">
        <v>7</v>
      </c>
      <c r="BS427" s="27" t="s">
        <v>8</v>
      </c>
      <c r="BT427" s="27" t="s">
        <v>7</v>
      </c>
      <c r="BU427" s="27" t="s">
        <v>8</v>
      </c>
      <c r="BV427" s="27" t="s">
        <v>7</v>
      </c>
      <c r="BX427" s="27" t="s">
        <v>7</v>
      </c>
    </row>
    <row r="428" spans="1:76" x14ac:dyDescent="0.25">
      <c r="A428" s="7">
        <v>23.303830357645023</v>
      </c>
      <c r="B428"/>
      <c r="C428"/>
      <c r="D428"/>
      <c r="E428" t="s">
        <v>8</v>
      </c>
      <c r="BD428" s="27" t="s">
        <v>7</v>
      </c>
      <c r="BR428" s="27" t="s">
        <v>7</v>
      </c>
      <c r="BS428" s="27" t="s">
        <v>8</v>
      </c>
      <c r="BT428" s="27" t="s">
        <v>7</v>
      </c>
      <c r="BU428" s="27" t="s">
        <v>8</v>
      </c>
      <c r="BX428" s="27" t="s">
        <v>7</v>
      </c>
    </row>
    <row r="429" spans="1:76" x14ac:dyDescent="0.25">
      <c r="A429" s="7">
        <v>22.84689250749512</v>
      </c>
      <c r="B429"/>
      <c r="C429"/>
      <c r="D429"/>
      <c r="E429" t="s">
        <v>8</v>
      </c>
      <c r="BR429" s="27" t="s">
        <v>7</v>
      </c>
      <c r="BT429" s="27" t="s">
        <v>7</v>
      </c>
      <c r="BU429" s="27" t="s">
        <v>8</v>
      </c>
      <c r="BX429" s="27" t="s">
        <v>7</v>
      </c>
    </row>
    <row r="430" spans="1:76" x14ac:dyDescent="0.25">
      <c r="A430" s="7">
        <v>22.398914223034431</v>
      </c>
      <c r="B430"/>
      <c r="C430"/>
      <c r="D430"/>
      <c r="E430" t="s">
        <v>8</v>
      </c>
      <c r="BT430" s="27" t="s">
        <v>7</v>
      </c>
      <c r="BU430" s="27" t="s">
        <v>8</v>
      </c>
      <c r="BX430" s="27" t="s">
        <v>7</v>
      </c>
    </row>
    <row r="431" spans="1:76" x14ac:dyDescent="0.25">
      <c r="A431" s="7">
        <v>21.959719826504344</v>
      </c>
      <c r="B431"/>
      <c r="C431"/>
      <c r="D431"/>
      <c r="E431" t="s">
        <v>8</v>
      </c>
      <c r="BT431" s="27" t="s">
        <v>7</v>
      </c>
      <c r="BX431" s="27" t="s">
        <v>7</v>
      </c>
    </row>
    <row r="432" spans="1:76" x14ac:dyDescent="0.25">
      <c r="A432" s="7">
        <v>21.52913708480818</v>
      </c>
      <c r="B432"/>
      <c r="C432"/>
      <c r="D432"/>
      <c r="E432" t="s">
        <v>8</v>
      </c>
      <c r="BX432" s="27" t="s">
        <v>7</v>
      </c>
    </row>
    <row r="433" spans="1:80" x14ac:dyDescent="0.25">
      <c r="A433" s="7">
        <v>21.106997141968804</v>
      </c>
      <c r="B433"/>
      <c r="C433"/>
      <c r="D433"/>
      <c r="E433" t="s">
        <v>8</v>
      </c>
      <c r="BX433" s="27" t="s">
        <v>7</v>
      </c>
    </row>
    <row r="434" spans="1:80" x14ac:dyDescent="0.25">
      <c r="A434" s="7">
        <v>20.693134452910591</v>
      </c>
      <c r="B434"/>
      <c r="C434"/>
      <c r="D434"/>
      <c r="E434" t="s">
        <v>8</v>
      </c>
      <c r="BX434" s="27" t="s">
        <v>7</v>
      </c>
    </row>
    <row r="435" spans="1:80" x14ac:dyDescent="0.25">
      <c r="A435" s="7">
        <v>20.287386718539796</v>
      </c>
      <c r="B435"/>
      <c r="C435"/>
      <c r="D435"/>
      <c r="E435" t="s">
        <v>8</v>
      </c>
      <c r="BX435" s="27" t="s">
        <v>7</v>
      </c>
    </row>
    <row r="436" spans="1:80" x14ac:dyDescent="0.25">
      <c r="A436" s="7">
        <v>19.889594822097838</v>
      </c>
      <c r="B436"/>
      <c r="C436"/>
      <c r="D436"/>
      <c r="E436" t="s">
        <v>8</v>
      </c>
      <c r="BX436" s="27" t="s">
        <v>7</v>
      </c>
    </row>
    <row r="437" spans="1:80" x14ac:dyDescent="0.25">
      <c r="A437" s="7">
        <v>19.499602766762585</v>
      </c>
      <c r="B437"/>
      <c r="C437"/>
      <c r="D437"/>
      <c r="E437" t="s">
        <v>8</v>
      </c>
      <c r="BX437" s="27" t="s">
        <v>7</v>
      </c>
      <c r="CA437" s="27" t="s">
        <v>8</v>
      </c>
    </row>
    <row r="438" spans="1:80" x14ac:dyDescent="0.25">
      <c r="A438" s="7">
        <v>19.117257614473122</v>
      </c>
      <c r="B438"/>
      <c r="C438"/>
      <c r="D438"/>
      <c r="E438" t="s">
        <v>8</v>
      </c>
      <c r="BX438" s="27" t="s">
        <v>7</v>
      </c>
      <c r="CA438" s="27" t="s">
        <v>8</v>
      </c>
      <c r="CB438" s="27" t="s">
        <v>7</v>
      </c>
    </row>
    <row r="439" spans="1:80" x14ac:dyDescent="0.25">
      <c r="A439" s="7">
        <v>18.74240942595404</v>
      </c>
      <c r="B439"/>
      <c r="C439"/>
      <c r="D439"/>
      <c r="E439" t="s">
        <v>8</v>
      </c>
      <c r="BX439" s="27" t="s">
        <v>7</v>
      </c>
      <c r="BY439" s="27" t="s">
        <v>8</v>
      </c>
      <c r="CA439" s="27" t="s">
        <v>8</v>
      </c>
      <c r="CB439" s="27" t="s">
        <v>7</v>
      </c>
    </row>
    <row r="440" spans="1:80" x14ac:dyDescent="0.25">
      <c r="A440" s="7">
        <v>18.374911201915726</v>
      </c>
      <c r="B440"/>
      <c r="C440"/>
      <c r="D440"/>
      <c r="E440" t="s">
        <v>8</v>
      </c>
      <c r="BX440" s="27" t="s">
        <v>7</v>
      </c>
      <c r="BY440" s="27" t="s">
        <v>8</v>
      </c>
      <c r="BZ440" s="27" t="s">
        <v>7</v>
      </c>
      <c r="CA440" s="27" t="s">
        <v>8</v>
      </c>
      <c r="CB440" s="27" t="s">
        <v>7</v>
      </c>
    </row>
    <row r="441" spans="1:80" x14ac:dyDescent="0.25">
      <c r="A441" s="7">
        <v>18.014618825407574</v>
      </c>
      <c r="B441"/>
      <c r="C441"/>
      <c r="D441"/>
      <c r="E441" t="s">
        <v>8</v>
      </c>
      <c r="BX441" s="27" t="s">
        <v>7</v>
      </c>
      <c r="BY441" s="27" t="s">
        <v>8</v>
      </c>
      <c r="BZ441" s="27" t="s">
        <v>7</v>
      </c>
      <c r="CA441" s="27" t="s">
        <v>8</v>
      </c>
      <c r="CB441" s="27" t="s">
        <v>7</v>
      </c>
    </row>
    <row r="442" spans="1:80" x14ac:dyDescent="0.25">
      <c r="A442" s="7">
        <v>17.661391005301542</v>
      </c>
      <c r="B442"/>
      <c r="C442"/>
      <c r="D442"/>
      <c r="E442" t="s">
        <v>8</v>
      </c>
      <c r="BX442" s="27" t="s">
        <v>7</v>
      </c>
      <c r="BY442" s="27" t="s">
        <v>8</v>
      </c>
      <c r="BZ442" s="27" t="s">
        <v>7</v>
      </c>
      <c r="CA442" s="27" t="s">
        <v>8</v>
      </c>
    </row>
    <row r="443" spans="1:80" x14ac:dyDescent="0.25">
      <c r="A443" s="7">
        <v>17.315089220883866</v>
      </c>
      <c r="B443"/>
      <c r="C443"/>
      <c r="D443"/>
      <c r="E443" t="s">
        <v>8</v>
      </c>
      <c r="BX443" s="27" t="s">
        <v>7</v>
      </c>
      <c r="BY443" s="27" t="s">
        <v>8</v>
      </c>
      <c r="BZ443" s="27" t="s">
        <v>7</v>
      </c>
      <c r="CA443" s="27" t="s">
        <v>8</v>
      </c>
    </row>
    <row r="444" spans="1:80" x14ac:dyDescent="0.25">
      <c r="A444" s="7">
        <v>16.975577667533202</v>
      </c>
      <c r="B444"/>
      <c r="C444"/>
      <c r="D444"/>
      <c r="E444" t="s">
        <v>8</v>
      </c>
      <c r="BX444" s="27" t="s">
        <v>7</v>
      </c>
      <c r="BY444" s="27" t="s">
        <v>8</v>
      </c>
      <c r="BZ444" s="27" t="s">
        <v>7</v>
      </c>
      <c r="CA444" s="27" t="s">
        <v>8</v>
      </c>
    </row>
    <row r="445" spans="1:80" x14ac:dyDescent="0.25">
      <c r="A445" s="7">
        <v>16.642723203463923</v>
      </c>
      <c r="B445"/>
      <c r="C445"/>
      <c r="D445"/>
      <c r="E445" t="s">
        <v>8</v>
      </c>
      <c r="BX445" s="27" t="s">
        <v>7</v>
      </c>
      <c r="BY445" s="27" t="s">
        <v>8</v>
      </c>
      <c r="BZ445" s="27" t="s">
        <v>7</v>
      </c>
      <c r="CA445" s="27" t="s">
        <v>8</v>
      </c>
    </row>
    <row r="446" spans="1:80" x14ac:dyDescent="0.25">
      <c r="A446" s="7">
        <v>16.316395297513651</v>
      </c>
      <c r="B446"/>
      <c r="C446"/>
      <c r="D446"/>
      <c r="E446" t="s">
        <v>8</v>
      </c>
      <c r="BX446" s="27" t="s">
        <v>7</v>
      </c>
      <c r="BZ446" s="27" t="s">
        <v>7</v>
      </c>
    </row>
    <row r="447" spans="1:80" x14ac:dyDescent="0.25">
      <c r="A447" s="7">
        <v>15.996465977954561</v>
      </c>
      <c r="B447"/>
      <c r="C447"/>
      <c r="D447"/>
      <c r="E447" t="s">
        <v>8</v>
      </c>
    </row>
    <row r="448" spans="1:80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596" operator="equal">
      <formula>$U$1</formula>
    </cfRule>
    <cfRule type="cellIs" dxfId="89" priority="597" operator="equal">
      <formula>$S$1</formula>
    </cfRule>
  </conditionalFormatting>
  <conditionalFormatting sqref="D27">
    <cfRule type="cellIs" dxfId="88" priority="594" operator="equal">
      <formula>$S$1</formula>
    </cfRule>
    <cfRule type="cellIs" dxfId="87" priority="595" operator="equal">
      <formula>$U$1</formula>
    </cfRule>
  </conditionalFormatting>
  <conditionalFormatting sqref="C164">
    <cfRule type="cellIs" dxfId="86" priority="592" operator="equal">
      <formula>$U$1</formula>
    </cfRule>
    <cfRule type="cellIs" dxfId="85" priority="593" operator="equal">
      <formula>$S$1</formula>
    </cfRule>
  </conditionalFormatting>
  <conditionalFormatting sqref="D164">
    <cfRule type="cellIs" dxfId="84" priority="590" operator="equal">
      <formula>$S$1</formula>
    </cfRule>
    <cfRule type="cellIs" dxfId="83" priority="591" operator="equal">
      <formula>$U$1</formula>
    </cfRule>
  </conditionalFormatting>
  <conditionalFormatting sqref="C55">
    <cfRule type="cellIs" dxfId="82" priority="588" operator="equal">
      <formula>$U$1</formula>
    </cfRule>
    <cfRule type="cellIs" dxfId="81" priority="589" operator="equal">
      <formula>$S$1</formula>
    </cfRule>
  </conditionalFormatting>
  <conditionalFormatting sqref="D55">
    <cfRule type="cellIs" dxfId="80" priority="586" operator="equal">
      <formula>$S$1</formula>
    </cfRule>
    <cfRule type="cellIs" dxfId="79" priority="587" operator="equal">
      <formula>$U$1</formula>
    </cfRule>
  </conditionalFormatting>
  <conditionalFormatting sqref="C89">
    <cfRule type="cellIs" dxfId="78" priority="584" operator="equal">
      <formula>$U$1</formula>
    </cfRule>
    <cfRule type="cellIs" dxfId="77" priority="585" operator="equal">
      <formula>$S$1</formula>
    </cfRule>
  </conditionalFormatting>
  <conditionalFormatting sqref="D89">
    <cfRule type="cellIs" dxfId="76" priority="582" operator="equal">
      <formula>$S$1</formula>
    </cfRule>
    <cfRule type="cellIs" dxfId="75" priority="583" operator="equal">
      <formula>$U$1</formula>
    </cfRule>
  </conditionalFormatting>
  <conditionalFormatting sqref="C136">
    <cfRule type="cellIs" dxfId="74" priority="580" operator="equal">
      <formula>$U$1</formula>
    </cfRule>
    <cfRule type="cellIs" dxfId="73" priority="581" operator="equal">
      <formula>$S$1</formula>
    </cfRule>
  </conditionalFormatting>
  <conditionalFormatting sqref="D136">
    <cfRule type="cellIs" dxfId="72" priority="578" operator="equal">
      <formula>$S$1</formula>
    </cfRule>
    <cfRule type="cellIs" dxfId="71" priority="579" operator="equal">
      <formula>$U$1</formula>
    </cfRule>
  </conditionalFormatting>
  <conditionalFormatting sqref="C1">
    <cfRule type="cellIs" dxfId="70" priority="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45" zoomScale="90" zoomScaleNormal="90" workbookViewId="0">
      <pane xSplit="4" topLeftCell="G1" activePane="topRight" state="frozen"/>
      <selection activeCell="A109" sqref="A109"/>
      <selection pane="topRight" activeCell="AA179" sqref="AA17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$A$178</v>
      </c>
      <c r="D111" s="1" t="str">
        <f>ADDRESS(C121-1,D121,1,1)</f>
        <v>$AA$178</v>
      </c>
      <c r="E111"/>
    </row>
    <row r="112" spans="1:5" x14ac:dyDescent="0.25">
      <c r="A112" s="30">
        <v>515.50191262726139</v>
      </c>
      <c r="C112" s="1" t="str">
        <f>ADDRESS(C121,1,1,1)</f>
        <v>$A$179</v>
      </c>
      <c r="D112" s="1" t="str">
        <f>ADDRESS(C121,D121-1,1,1)</f>
        <v>$Z$179</v>
      </c>
      <c r="E112"/>
    </row>
    <row r="113" spans="1:5" x14ac:dyDescent="0.25">
      <c r="A113" s="30">
        <v>490.95420250215363</v>
      </c>
      <c r="C113" s="1" t="str">
        <f>ADDRESS(C121+1,1,1,1)</f>
        <v>$A$180</v>
      </c>
      <c r="D113" s="1" t="str">
        <f>ADDRESS(C121-1,D121+1,1,1)</f>
        <v>$AB$178</v>
      </c>
    </row>
    <row r="114" spans="1:5" x14ac:dyDescent="0.25">
      <c r="A114" s="30">
        <v>467.57543095443202</v>
      </c>
      <c r="C114" s="1" t="str">
        <f>ADDRESS(C121,D121,1,1)</f>
        <v>$AA$179</v>
      </c>
      <c r="D114" s="1" t="str">
        <f>ADDRESS(C121+1,D121+1,1,1)</f>
        <v>$AB$180</v>
      </c>
    </row>
    <row r="115" spans="1:5" x14ac:dyDescent="0.25">
      <c r="A115" s="30">
        <v>445.30993424231622</v>
      </c>
      <c r="C115" s="1" t="str">
        <f>ADDRESS(C121+1,D121,1,1)</f>
        <v>$AA$180</v>
      </c>
    </row>
    <row r="116" spans="1:5" x14ac:dyDescent="0.25">
      <c r="A116" s="30">
        <v>424.10469927839637</v>
      </c>
      <c r="C116" s="1">
        <f>C117-1</f>
        <v>178</v>
      </c>
    </row>
    <row r="117" spans="1:5" x14ac:dyDescent="0.25">
      <c r="A117" s="30">
        <v>403.9092374079965</v>
      </c>
      <c r="C117" s="1">
        <f>C121</f>
        <v>179</v>
      </c>
      <c r="D117" s="1">
        <f>D121</f>
        <v>27</v>
      </c>
    </row>
    <row r="118" spans="1:5" x14ac:dyDescent="0.25">
      <c r="A118" s="30">
        <v>384.6754641980919</v>
      </c>
      <c r="C118" s="1">
        <f>C117+1</f>
        <v>180</v>
      </c>
      <c r="D118" s="1">
        <f>D117+1</f>
        <v>28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179</v>
      </c>
      <c r="D121" s="19">
        <v>27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R179</v>
      </c>
      <c r="D123" s="1" t="str">
        <f>"C"&amp;D121</f>
        <v>C27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19.613145188829147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20" x14ac:dyDescent="0.25">
      <c r="A145" s="30">
        <v>103.03467644609493</v>
      </c>
      <c r="E145"/>
    </row>
    <row r="146" spans="1:20" x14ac:dyDescent="0.25">
      <c r="A146" s="30">
        <v>98.128263281995174</v>
      </c>
      <c r="E146"/>
    </row>
    <row r="147" spans="1:20" x14ac:dyDescent="0.25">
      <c r="A147" s="30">
        <v>93.455488839995397</v>
      </c>
      <c r="E147"/>
    </row>
    <row r="148" spans="1:20" x14ac:dyDescent="0.25">
      <c r="A148" s="30">
        <v>89.005227466662276</v>
      </c>
      <c r="E148"/>
    </row>
    <row r="149" spans="1:20" x14ac:dyDescent="0.25">
      <c r="A149" s="30">
        <v>84.766883301583121</v>
      </c>
      <c r="E149"/>
    </row>
    <row r="150" spans="1:20" x14ac:dyDescent="0.25">
      <c r="A150" s="30">
        <v>80.730365049126775</v>
      </c>
      <c r="E150"/>
    </row>
    <row r="151" spans="1:20" x14ac:dyDescent="0.25">
      <c r="A151" s="30">
        <v>76.886061951549308</v>
      </c>
      <c r="E151"/>
    </row>
    <row r="152" spans="1:20" x14ac:dyDescent="0.25">
      <c r="A152" s="30">
        <v>73.22482090623744</v>
      </c>
      <c r="E152"/>
    </row>
    <row r="153" spans="1:20" x14ac:dyDescent="0.25">
      <c r="A153" s="30">
        <v>69.737924672607079</v>
      </c>
      <c r="C153" s="7"/>
      <c r="D153"/>
      <c r="E153"/>
    </row>
    <row r="154" spans="1:20" x14ac:dyDescent="0.25">
      <c r="A154" s="30">
        <v>66.417071116768639</v>
      </c>
      <c r="E154"/>
      <c r="K154" s="27" t="s">
        <v>8</v>
      </c>
    </row>
    <row r="155" spans="1:20" x14ac:dyDescent="0.25">
      <c r="A155" s="30">
        <v>63.254353444541557</v>
      </c>
      <c r="E155"/>
      <c r="K155" s="27" t="s">
        <v>8</v>
      </c>
      <c r="L155" s="27" t="s">
        <v>7</v>
      </c>
    </row>
    <row r="156" spans="1:20" x14ac:dyDescent="0.25">
      <c r="A156" s="30">
        <v>60.242241375753864</v>
      </c>
      <c r="C156"/>
      <c r="D156"/>
      <c r="E156"/>
      <c r="I156" s="27" t="s">
        <v>8</v>
      </c>
      <c r="K156" s="27" t="s">
        <v>8</v>
      </c>
      <c r="L156" s="27" t="s">
        <v>7</v>
      </c>
    </row>
    <row r="157" spans="1:20" x14ac:dyDescent="0.25">
      <c r="A157" s="30">
        <v>57.373563215003678</v>
      </c>
      <c r="E157"/>
      <c r="G157" s="27" t="s">
        <v>8</v>
      </c>
      <c r="I157" s="27" t="s">
        <v>8</v>
      </c>
      <c r="J157" s="27" t="s">
        <v>7</v>
      </c>
      <c r="K157" s="27" t="s">
        <v>8</v>
      </c>
      <c r="L157" s="27" t="s">
        <v>7</v>
      </c>
    </row>
    <row r="158" spans="1:20" x14ac:dyDescent="0.25">
      <c r="A158" s="30">
        <v>54.641488776193974</v>
      </c>
      <c r="E158"/>
      <c r="G158" s="27" t="s">
        <v>8</v>
      </c>
      <c r="H158" s="27" t="s">
        <v>7</v>
      </c>
      <c r="I158" s="27" t="s">
        <v>8</v>
      </c>
      <c r="J158" s="27" t="s">
        <v>7</v>
      </c>
      <c r="K158" s="27" t="s">
        <v>8</v>
      </c>
      <c r="L158" s="27" t="s">
        <v>7</v>
      </c>
    </row>
    <row r="159" spans="1:20" x14ac:dyDescent="0.25">
      <c r="A159" s="30">
        <v>52.039513120184736</v>
      </c>
      <c r="E159"/>
      <c r="G159" s="27" t="s">
        <v>8</v>
      </c>
      <c r="H159" s="27" t="s">
        <v>7</v>
      </c>
      <c r="I159" s="27" t="s">
        <v>8</v>
      </c>
      <c r="J159" s="27" t="s">
        <v>7</v>
      </c>
      <c r="K159" s="27" t="s">
        <v>8</v>
      </c>
      <c r="L159" s="27" t="s">
        <v>7</v>
      </c>
      <c r="M159" s="27" t="s">
        <v>8</v>
      </c>
      <c r="S159" s="27" t="s">
        <v>8</v>
      </c>
    </row>
    <row r="160" spans="1:20" x14ac:dyDescent="0.25">
      <c r="A160" s="30">
        <v>49.561441066842605</v>
      </c>
      <c r="C160"/>
      <c r="E160"/>
      <c r="G160" s="27" t="s">
        <v>8</v>
      </c>
      <c r="H160" s="27" t="s">
        <v>7</v>
      </c>
      <c r="J160" s="27" t="s">
        <v>7</v>
      </c>
      <c r="L160" s="27" t="s">
        <v>7</v>
      </c>
      <c r="M160" s="27" t="s">
        <v>8</v>
      </c>
      <c r="N160" s="27" t="s">
        <v>7</v>
      </c>
      <c r="Q160" s="27" t="s">
        <v>8</v>
      </c>
      <c r="S160" s="27" t="s">
        <v>8</v>
      </c>
      <c r="T160" s="27" t="s">
        <v>7</v>
      </c>
    </row>
    <row r="161" spans="1:26" x14ac:dyDescent="0.25">
      <c r="A161" s="30">
        <v>47.201372444612005</v>
      </c>
      <c r="E161" t="s">
        <v>8</v>
      </c>
      <c r="G161" s="27" t="s">
        <v>8</v>
      </c>
      <c r="L161" s="27" t="s">
        <v>7</v>
      </c>
      <c r="M161" s="27" t="s">
        <v>8</v>
      </c>
      <c r="N161" s="27" t="s">
        <v>7</v>
      </c>
      <c r="Q161" s="27" t="s">
        <v>8</v>
      </c>
      <c r="R161" s="27" t="s">
        <v>7</v>
      </c>
      <c r="S161" s="27" t="s">
        <v>8</v>
      </c>
      <c r="T161" s="27" t="s">
        <v>7</v>
      </c>
    </row>
    <row r="162" spans="1:26" x14ac:dyDescent="0.25">
      <c r="A162" s="30">
        <v>44.95368804248762</v>
      </c>
      <c r="E162" t="s">
        <v>8</v>
      </c>
      <c r="F162" s="27" t="s">
        <v>7</v>
      </c>
      <c r="G162" s="27" t="s">
        <v>8</v>
      </c>
      <c r="L162" s="27" t="s">
        <v>7</v>
      </c>
      <c r="N162" s="27" t="s">
        <v>7</v>
      </c>
      <c r="Q162" s="27" t="s">
        <v>8</v>
      </c>
      <c r="R162" s="27" t="s">
        <v>7</v>
      </c>
      <c r="S162" s="27" t="s">
        <v>8</v>
      </c>
      <c r="T162" s="27" t="s">
        <v>7</v>
      </c>
    </row>
    <row r="163" spans="1:26" x14ac:dyDescent="0.25">
      <c r="A163" s="30">
        <v>42.81303623094059</v>
      </c>
      <c r="E163" t="s">
        <v>8</v>
      </c>
      <c r="F163" s="27" t="s">
        <v>7</v>
      </c>
      <c r="G163" s="27" t="s">
        <v>8</v>
      </c>
      <c r="N163" s="27" t="s">
        <v>7</v>
      </c>
      <c r="O163" s="27" t="s">
        <v>8</v>
      </c>
      <c r="Q163" s="27" t="s">
        <v>8</v>
      </c>
      <c r="R163" s="27" t="s">
        <v>7</v>
      </c>
      <c r="S163" s="27" t="s">
        <v>8</v>
      </c>
      <c r="T163" s="27" t="s">
        <v>7</v>
      </c>
    </row>
    <row r="164" spans="1:26" x14ac:dyDescent="0.25">
      <c r="A164" s="30">
        <v>40.774320219943419</v>
      </c>
      <c r="E164" t="s">
        <v>8</v>
      </c>
      <c r="F164" s="27" t="s">
        <v>7</v>
      </c>
      <c r="N164" s="27" t="s">
        <v>7</v>
      </c>
      <c r="O164" s="27" t="s">
        <v>8</v>
      </c>
      <c r="P164" s="27" t="s">
        <v>7</v>
      </c>
      <c r="Q164" s="27" t="s">
        <v>8</v>
      </c>
      <c r="R164" s="27" t="s">
        <v>7</v>
      </c>
      <c r="S164" s="27" t="s">
        <v>8</v>
      </c>
      <c r="T164" s="27" t="s">
        <v>7</v>
      </c>
    </row>
    <row r="165" spans="1:26" x14ac:dyDescent="0.25">
      <c r="A165" s="30">
        <v>38.832685923755633</v>
      </c>
      <c r="E165" t="s">
        <v>8</v>
      </c>
      <c r="N165" s="27" t="s">
        <v>7</v>
      </c>
      <c r="O165" s="27" t="s">
        <v>8</v>
      </c>
      <c r="P165" s="27" t="s">
        <v>7</v>
      </c>
      <c r="Q165" s="27" t="s">
        <v>8</v>
      </c>
      <c r="R165" s="27" t="s">
        <v>7</v>
      </c>
      <c r="S165" s="27" t="s">
        <v>8</v>
      </c>
      <c r="T165" s="27" t="s">
        <v>7</v>
      </c>
    </row>
    <row r="166" spans="1:26" x14ac:dyDescent="0.25">
      <c r="A166" s="30">
        <v>36.983510403576794</v>
      </c>
      <c r="E166" t="s">
        <v>8</v>
      </c>
      <c r="N166" s="27" t="s">
        <v>7</v>
      </c>
      <c r="P166" s="27" t="s">
        <v>7</v>
      </c>
      <c r="R166" s="27" t="s">
        <v>7</v>
      </c>
      <c r="T166" s="27" t="s">
        <v>7</v>
      </c>
    </row>
    <row r="167" spans="1:26" x14ac:dyDescent="0.25">
      <c r="A167" s="30">
        <v>35.222390860549325</v>
      </c>
      <c r="E167" t="s">
        <v>8</v>
      </c>
      <c r="T167" s="27" t="s">
        <v>7</v>
      </c>
    </row>
    <row r="168" spans="1:26" x14ac:dyDescent="0.25">
      <c r="A168" s="30">
        <v>33.545134152904119</v>
      </c>
      <c r="E168" t="s">
        <v>8</v>
      </c>
      <c r="T168" s="27" t="s">
        <v>7</v>
      </c>
    </row>
    <row r="169" spans="1:26" x14ac:dyDescent="0.25">
      <c r="A169" s="30">
        <v>31.947746812289637</v>
      </c>
      <c r="E169" t="s">
        <v>8</v>
      </c>
      <c r="T169" s="27" t="s">
        <v>7</v>
      </c>
    </row>
    <row r="170" spans="1:26" x14ac:dyDescent="0.25">
      <c r="A170" s="30">
        <v>30.426425535513939</v>
      </c>
      <c r="E170" t="s">
        <v>8</v>
      </c>
      <c r="T170" s="27" t="s">
        <v>7</v>
      </c>
      <c r="U170" s="27" t="s">
        <v>8</v>
      </c>
      <c r="W170" s="27" t="s">
        <v>8</v>
      </c>
      <c r="Y170" s="27" t="s">
        <v>8</v>
      </c>
    </row>
    <row r="171" spans="1:26" x14ac:dyDescent="0.25">
      <c r="A171" s="30">
        <v>28.977548129060892</v>
      </c>
      <c r="E171" t="s">
        <v>8</v>
      </c>
      <c r="T171" s="27" t="s">
        <v>7</v>
      </c>
      <c r="U171" s="27" t="s">
        <v>8</v>
      </c>
      <c r="V171" s="27" t="s">
        <v>7</v>
      </c>
      <c r="W171" s="27" t="s">
        <v>8</v>
      </c>
      <c r="X171" s="27" t="s">
        <v>7</v>
      </c>
      <c r="Y171" s="27" t="s">
        <v>8</v>
      </c>
      <c r="Z171" s="27" t="s">
        <v>7</v>
      </c>
    </row>
    <row r="172" spans="1:26" x14ac:dyDescent="0.25">
      <c r="A172" s="30">
        <v>27.597664884819896</v>
      </c>
      <c r="E172" t="s">
        <v>8</v>
      </c>
      <c r="T172" s="27" t="s">
        <v>7</v>
      </c>
      <c r="U172" s="27" t="s">
        <v>8</v>
      </c>
      <c r="V172" s="27" t="s">
        <v>7</v>
      </c>
      <c r="W172" s="27" t="s">
        <v>8</v>
      </c>
      <c r="X172" s="27" t="s">
        <v>7</v>
      </c>
      <c r="Y172" s="27" t="s">
        <v>8</v>
      </c>
      <c r="Z172" s="27" t="s">
        <v>7</v>
      </c>
    </row>
    <row r="173" spans="1:26" x14ac:dyDescent="0.25">
      <c r="A173" s="30">
        <v>26.283490366495137</v>
      </c>
      <c r="E173" t="s">
        <v>8</v>
      </c>
      <c r="T173" s="27" t="s">
        <v>7</v>
      </c>
      <c r="U173" s="27" t="s">
        <v>8</v>
      </c>
      <c r="V173" s="27" t="s">
        <v>7</v>
      </c>
      <c r="X173" s="27" t="s">
        <v>7</v>
      </c>
      <c r="Y173" s="27" t="s">
        <v>8</v>
      </c>
      <c r="Z173" s="27" t="s">
        <v>7</v>
      </c>
    </row>
    <row r="174" spans="1:26" x14ac:dyDescent="0.25">
      <c r="A174" s="30">
        <v>25.031895587138223</v>
      </c>
      <c r="E174" t="s">
        <v>8</v>
      </c>
      <c r="T174" s="27" t="s">
        <v>7</v>
      </c>
      <c r="U174" s="27" t="s">
        <v>8</v>
      </c>
      <c r="X174" s="27" t="s">
        <v>7</v>
      </c>
      <c r="Z174" s="27" t="s">
        <v>7</v>
      </c>
    </row>
    <row r="175" spans="1:26" x14ac:dyDescent="0.25">
      <c r="A175" s="30">
        <v>23.839900559179259</v>
      </c>
      <c r="E175" t="s">
        <v>8</v>
      </c>
      <c r="T175" s="27" t="s">
        <v>7</v>
      </c>
      <c r="Z175" s="27" t="s">
        <v>7</v>
      </c>
    </row>
    <row r="176" spans="1:26" x14ac:dyDescent="0.25">
      <c r="A176" s="30">
        <v>22.704667199218342</v>
      </c>
      <c r="E176" t="s">
        <v>8</v>
      </c>
      <c r="Z176" s="27" t="s">
        <v>7</v>
      </c>
    </row>
    <row r="177" spans="1:27" x14ac:dyDescent="0.25">
      <c r="A177" s="30">
        <v>21.623492570684135</v>
      </c>
      <c r="E177" t="s">
        <v>8</v>
      </c>
      <c r="Z177" s="27" t="s">
        <v>7</v>
      </c>
    </row>
    <row r="178" spans="1:27" x14ac:dyDescent="0.25">
      <c r="A178" s="30">
        <v>20.593802448270605</v>
      </c>
      <c r="C178" s="7"/>
      <c r="D178"/>
      <c r="E178" t="s">
        <v>8</v>
      </c>
      <c r="Z178" s="27" t="s">
        <v>7</v>
      </c>
    </row>
    <row r="179" spans="1:27" x14ac:dyDescent="0.25">
      <c r="A179" s="30">
        <v>19.613145188829147</v>
      </c>
      <c r="E179" t="s">
        <v>8</v>
      </c>
      <c r="Z179" s="27" t="s">
        <v>7</v>
      </c>
      <c r="AA179" s="27" t="s">
        <v>8</v>
      </c>
    </row>
    <row r="180" spans="1:27" x14ac:dyDescent="0.25">
      <c r="A180" s="30">
        <v>18.679185894122998</v>
      </c>
      <c r="E180" t="s">
        <v>8</v>
      </c>
      <c r="Z180" s="27" t="s">
        <v>7</v>
      </c>
      <c r="AA180" s="27" t="s">
        <v>8</v>
      </c>
    </row>
    <row r="181" spans="1:27" x14ac:dyDescent="0.25">
      <c r="A181" s="30">
        <v>17.78970085154571</v>
      </c>
      <c r="C181"/>
      <c r="D181"/>
      <c r="E181" t="s">
        <v>8</v>
      </c>
      <c r="Z181" s="27" t="s">
        <v>7</v>
      </c>
      <c r="AA181" s="27" t="s">
        <v>8</v>
      </c>
    </row>
    <row r="182" spans="1:27" x14ac:dyDescent="0.25">
      <c r="A182" s="30">
        <v>16.942572239567344</v>
      </c>
      <c r="E182" t="s">
        <v>8</v>
      </c>
      <c r="Z182" s="27" t="s">
        <v>7</v>
      </c>
      <c r="AA182" s="27" t="s">
        <v>8</v>
      </c>
    </row>
    <row r="183" spans="1:27" x14ac:dyDescent="0.25">
      <c r="A183" s="30">
        <v>16.135783085302233</v>
      </c>
      <c r="E183" t="s">
        <v>8</v>
      </c>
      <c r="Z183" s="27" t="s">
        <v>7</v>
      </c>
    </row>
    <row r="184" spans="1:27" x14ac:dyDescent="0.25">
      <c r="A184" s="30">
        <v>15.367412462192602</v>
      </c>
      <c r="E184" t="s">
        <v>8</v>
      </c>
    </row>
    <row r="185" spans="1:27" x14ac:dyDescent="0.25">
      <c r="A185" s="30">
        <v>14.635630916373906</v>
      </c>
      <c r="C185"/>
      <c r="E185" t="s">
        <v>8</v>
      </c>
    </row>
    <row r="186" spans="1:27" x14ac:dyDescent="0.25">
      <c r="A186" s="30">
        <v>13.938696110832291</v>
      </c>
      <c r="E186" t="s">
        <v>8</v>
      </c>
    </row>
    <row r="187" spans="1:27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27" x14ac:dyDescent="0.25">
      <c r="A188" s="30">
        <v>12.64280826379346</v>
      </c>
      <c r="E188" t="s">
        <v>8</v>
      </c>
    </row>
    <row r="189" spans="1:27" x14ac:dyDescent="0.25">
      <c r="A189" s="30">
        <v>12.04076977504139</v>
      </c>
      <c r="E189" t="s">
        <v>8</v>
      </c>
    </row>
    <row r="190" spans="1:27" x14ac:dyDescent="0.25">
      <c r="A190" s="30">
        <v>11.467399785753704</v>
      </c>
      <c r="E190" t="s">
        <v>8</v>
      </c>
    </row>
    <row r="191" spans="1:27" x14ac:dyDescent="0.25">
      <c r="A191" s="30">
        <v>10.921333129289241</v>
      </c>
      <c r="E191" t="s">
        <v>8</v>
      </c>
    </row>
    <row r="192" spans="1:27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11" operator="equal">
      <formula>$U$1</formula>
    </cfRule>
    <cfRule type="cellIs" dxfId="67" priority="612" operator="equal">
      <formula>$S$1</formula>
    </cfRule>
  </conditionalFormatting>
  <conditionalFormatting sqref="D136">
    <cfRule type="cellIs" dxfId="66" priority="609" operator="equal">
      <formula>$S$1</formula>
    </cfRule>
    <cfRule type="cellIs" dxfId="65" priority="610" operator="equal">
      <formula>$U$1</formula>
    </cfRule>
  </conditionalFormatting>
  <conditionalFormatting sqref="C162">
    <cfRule type="cellIs" dxfId="64" priority="607" operator="equal">
      <formula>$U$1</formula>
    </cfRule>
    <cfRule type="cellIs" dxfId="63" priority="608" operator="equal">
      <formula>$S$1</formula>
    </cfRule>
  </conditionalFormatting>
  <conditionalFormatting sqref="D162">
    <cfRule type="cellIs" dxfId="62" priority="605" operator="equal">
      <formula>$S$1</formula>
    </cfRule>
    <cfRule type="cellIs" dxfId="61" priority="606" operator="equal">
      <formula>$U$1</formula>
    </cfRule>
  </conditionalFormatting>
  <conditionalFormatting sqref="C187">
    <cfRule type="cellIs" dxfId="60" priority="603" operator="equal">
      <formula>$U$1</formula>
    </cfRule>
    <cfRule type="cellIs" dxfId="59" priority="604" operator="equal">
      <formula>$S$1</formula>
    </cfRule>
  </conditionalFormatting>
  <conditionalFormatting sqref="D187">
    <cfRule type="cellIs" dxfId="58" priority="601" operator="equal">
      <formula>$S$1</formula>
    </cfRule>
    <cfRule type="cellIs" dxfId="57" priority="602" operator="equal">
      <formula>$U$1</formula>
    </cfRule>
  </conditionalFormatting>
  <conditionalFormatting sqref="C212">
    <cfRule type="cellIs" dxfId="56" priority="599" operator="equal">
      <formula>$U$1</formula>
    </cfRule>
    <cfRule type="cellIs" dxfId="55" priority="600" operator="equal">
      <formula>$S$1</formula>
    </cfRule>
  </conditionalFormatting>
  <conditionalFormatting sqref="D212">
    <cfRule type="cellIs" dxfId="54" priority="597" operator="equal">
      <formula>$S$1</formula>
    </cfRule>
    <cfRule type="cellIs" dxfId="53" priority="598" operator="equal">
      <formula>$U$1</formula>
    </cfRule>
  </conditionalFormatting>
  <conditionalFormatting sqref="C237">
    <cfRule type="cellIs" dxfId="52" priority="595" operator="equal">
      <formula>$U$1</formula>
    </cfRule>
    <cfRule type="cellIs" dxfId="51" priority="596" operator="equal">
      <formula>$S$1</formula>
    </cfRule>
  </conditionalFormatting>
  <conditionalFormatting sqref="D237">
    <cfRule type="cellIs" dxfId="50" priority="593" operator="equal">
      <formula>$S$1</formula>
    </cfRule>
    <cfRule type="cellIs" dxfId="49" priority="594" operator="equal">
      <formula>$U$1</formula>
    </cfRule>
  </conditionalFormatting>
  <conditionalFormatting sqref="C106">
    <cfRule type="cellIs" dxfId="48" priority="591" operator="equal">
      <formula>$U$1</formula>
    </cfRule>
    <cfRule type="cellIs" dxfId="47" priority="592" operator="equal">
      <formula>$S$1</formula>
    </cfRule>
  </conditionalFormatting>
  <conditionalFormatting sqref="D106">
    <cfRule type="cellIs" dxfId="46" priority="589" operator="equal">
      <formula>$S$1</formula>
    </cfRule>
    <cfRule type="cellIs" dxfId="45" priority="590" operator="equal">
      <formula>$U$1</formula>
    </cfRule>
  </conditionalFormatting>
  <conditionalFormatting sqref="C81">
    <cfRule type="cellIs" dxfId="44" priority="587" operator="equal">
      <formula>$U$1</formula>
    </cfRule>
    <cfRule type="cellIs" dxfId="43" priority="588" operator="equal">
      <formula>$S$1</formula>
    </cfRule>
  </conditionalFormatting>
  <conditionalFormatting sqref="D81">
    <cfRule type="cellIs" dxfId="42" priority="585" operator="equal">
      <formula>$S$1</formula>
    </cfRule>
    <cfRule type="cellIs" dxfId="41" priority="586" operator="equal">
      <formula>$U$1</formula>
    </cfRule>
  </conditionalFormatting>
  <conditionalFormatting sqref="C56">
    <cfRule type="cellIs" dxfId="40" priority="583" operator="equal">
      <formula>$U$1</formula>
    </cfRule>
    <cfRule type="cellIs" dxfId="39" priority="584" operator="equal">
      <formula>$S$1</formula>
    </cfRule>
  </conditionalFormatting>
  <conditionalFormatting sqref="D56">
    <cfRule type="cellIs" dxfId="38" priority="581" operator="equal">
      <formula>$S$1</formula>
    </cfRule>
    <cfRule type="cellIs" dxfId="37" priority="582" operator="equal">
      <formula>$U$1</formula>
    </cfRule>
  </conditionalFormatting>
  <conditionalFormatting sqref="C31">
    <cfRule type="cellIs" dxfId="36" priority="579" operator="equal">
      <formula>$U$1</formula>
    </cfRule>
    <cfRule type="cellIs" dxfId="35" priority="580" operator="equal">
      <formula>$S$1</formula>
    </cfRule>
  </conditionalFormatting>
  <conditionalFormatting sqref="D31">
    <cfRule type="cellIs" dxfId="34" priority="577" operator="equal">
      <formula>$S$1</formula>
    </cfRule>
    <cfRule type="cellIs" dxfId="33" priority="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L91" sqref="L9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9" x14ac:dyDescent="0.25">
      <c r="A65" s="30">
        <v>207.96505671840671</v>
      </c>
      <c r="E65"/>
    </row>
    <row r="66" spans="1:9" x14ac:dyDescent="0.25">
      <c r="A66" s="30">
        <v>189.05914247127882</v>
      </c>
      <c r="E66"/>
    </row>
    <row r="67" spans="1:9" x14ac:dyDescent="0.25">
      <c r="A67" s="30">
        <v>171.87194770116255</v>
      </c>
      <c r="C67" s="1" t="s">
        <v>15</v>
      </c>
      <c r="E67"/>
    </row>
    <row r="68" spans="1:9" x14ac:dyDescent="0.25">
      <c r="A68" s="30">
        <v>156.24722518287504</v>
      </c>
      <c r="C68" s="7">
        <v>0.11167815779424731</v>
      </c>
      <c r="D68"/>
      <c r="E68"/>
    </row>
    <row r="69" spans="1:9" x14ac:dyDescent="0.25">
      <c r="A69" s="30">
        <v>142.04293198443185</v>
      </c>
      <c r="E69"/>
    </row>
    <row r="70" spans="1:9" x14ac:dyDescent="0.25">
      <c r="A70" s="30">
        <v>129.1299381676653</v>
      </c>
      <c r="C70" s="1" t="s">
        <v>11</v>
      </c>
      <c r="D70" s="1" t="s">
        <v>12</v>
      </c>
      <c r="E70"/>
    </row>
    <row r="71" spans="1:9" x14ac:dyDescent="0.25">
      <c r="A71" s="30">
        <v>117.39085287969573</v>
      </c>
      <c r="C71"/>
      <c r="D71"/>
      <c r="E71"/>
    </row>
    <row r="72" spans="1:9" x14ac:dyDescent="0.25">
      <c r="A72" s="30">
        <v>106.71895716335975</v>
      </c>
      <c r="E72"/>
    </row>
    <row r="73" spans="1:9" x14ac:dyDescent="0.25">
      <c r="A73" s="30">
        <v>97.017233784872488</v>
      </c>
      <c r="C73" s="1" t="s">
        <v>13</v>
      </c>
      <c r="E73"/>
    </row>
    <row r="74" spans="1:9" x14ac:dyDescent="0.25">
      <c r="A74" s="30">
        <v>88.197485258974979</v>
      </c>
      <c r="C74" s="1">
        <f>C63</f>
        <v>0</v>
      </c>
      <c r="E74"/>
    </row>
    <row r="75" spans="1:9" x14ac:dyDescent="0.25">
      <c r="A75" s="30">
        <v>80.179532053613613</v>
      </c>
      <c r="C75"/>
      <c r="D75"/>
      <c r="E75"/>
    </row>
    <row r="76" spans="1:9" x14ac:dyDescent="0.25">
      <c r="A76" s="30">
        <v>72.890483685103277</v>
      </c>
      <c r="C76" s="1" t="s">
        <v>14</v>
      </c>
      <c r="E76"/>
    </row>
    <row r="77" spans="1:9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9" x14ac:dyDescent="0.25">
      <c r="A78" s="30">
        <v>60.240069161242367</v>
      </c>
      <c r="E78" t="s">
        <v>8</v>
      </c>
      <c r="F78" s="27" t="s">
        <v>7</v>
      </c>
    </row>
    <row r="79" spans="1:9" x14ac:dyDescent="0.25">
      <c r="A79" s="30">
        <v>54.763699237493057</v>
      </c>
      <c r="E79" t="s">
        <v>8</v>
      </c>
      <c r="F79" s="27" t="s">
        <v>7</v>
      </c>
    </row>
    <row r="80" spans="1:9" x14ac:dyDescent="0.25">
      <c r="A80" s="30">
        <v>49.785181124993684</v>
      </c>
      <c r="E80" t="s">
        <v>8</v>
      </c>
      <c r="F80" s="27" t="s">
        <v>7</v>
      </c>
      <c r="G80" s="27" t="s">
        <v>8</v>
      </c>
      <c r="I80" s="27" t="s">
        <v>8</v>
      </c>
    </row>
    <row r="81" spans="1:12" x14ac:dyDescent="0.25">
      <c r="A81" s="30">
        <v>45.259255568176073</v>
      </c>
      <c r="E81" t="s">
        <v>8</v>
      </c>
      <c r="F81" s="27" t="s">
        <v>7</v>
      </c>
      <c r="G81" s="27" t="s">
        <v>8</v>
      </c>
      <c r="H81" s="27" t="s">
        <v>7</v>
      </c>
      <c r="I81" s="27" t="s">
        <v>8</v>
      </c>
      <c r="J81" s="27" t="s">
        <v>7</v>
      </c>
    </row>
    <row r="82" spans="1:12" x14ac:dyDescent="0.25">
      <c r="A82" s="30">
        <v>41.144777789250973</v>
      </c>
      <c r="E82" t="s">
        <v>8</v>
      </c>
      <c r="F82" s="27" t="s">
        <v>7</v>
      </c>
      <c r="G82" s="27" t="s">
        <v>8</v>
      </c>
      <c r="H82" s="27" t="s">
        <v>7</v>
      </c>
      <c r="I82" s="27" t="s">
        <v>8</v>
      </c>
      <c r="J82" s="27" t="s">
        <v>7</v>
      </c>
    </row>
    <row r="83" spans="1:12" x14ac:dyDescent="0.25">
      <c r="A83" s="30">
        <v>37.404343444773609</v>
      </c>
      <c r="E83" t="s">
        <v>8</v>
      </c>
      <c r="F83" s="27" t="s">
        <v>7</v>
      </c>
      <c r="H83" s="27" t="s">
        <v>7</v>
      </c>
      <c r="J83" s="27" t="s">
        <v>7</v>
      </c>
    </row>
    <row r="84" spans="1:12" x14ac:dyDescent="0.25">
      <c r="A84" s="30">
        <v>34.003948586157826</v>
      </c>
      <c r="E84" t="s">
        <v>8</v>
      </c>
      <c r="J84" s="27" t="s">
        <v>7</v>
      </c>
    </row>
    <row r="85" spans="1:12" x14ac:dyDescent="0.25">
      <c r="A85" s="30">
        <v>30.912680532870748</v>
      </c>
      <c r="E85" t="s">
        <v>8</v>
      </c>
      <c r="J85" s="27" t="s">
        <v>7</v>
      </c>
      <c r="K85" s="27" t="s">
        <v>8</v>
      </c>
    </row>
    <row r="86" spans="1:12" x14ac:dyDescent="0.25">
      <c r="A86" s="30">
        <v>28.102436848064315</v>
      </c>
      <c r="E86" t="s">
        <v>8</v>
      </c>
      <c r="J86" s="27" t="s">
        <v>7</v>
      </c>
      <c r="K86" s="27" t="s">
        <v>8</v>
      </c>
      <c r="L86" s="27" t="s">
        <v>7</v>
      </c>
    </row>
    <row r="87" spans="1:12" x14ac:dyDescent="0.25">
      <c r="A87" s="30">
        <v>25.547669861876649</v>
      </c>
      <c r="E87" t="s">
        <v>8</v>
      </c>
      <c r="J87" s="27" t="s">
        <v>7</v>
      </c>
      <c r="K87" s="27" t="s">
        <v>8</v>
      </c>
      <c r="L87" s="27" t="s">
        <v>7</v>
      </c>
    </row>
    <row r="88" spans="1:12" x14ac:dyDescent="0.25">
      <c r="A88" s="30">
        <v>23.225154419887861</v>
      </c>
      <c r="E88" t="s">
        <v>8</v>
      </c>
      <c r="J88" s="27" t="s">
        <v>7</v>
      </c>
      <c r="L88" s="27" t="s">
        <v>7</v>
      </c>
    </row>
    <row r="89" spans="1:12" x14ac:dyDescent="0.25">
      <c r="A89" s="30">
        <v>21.113776745352599</v>
      </c>
      <c r="E89" t="s">
        <v>8</v>
      </c>
      <c r="L89" s="27" t="s">
        <v>7</v>
      </c>
    </row>
    <row r="90" spans="1:12" x14ac:dyDescent="0.25">
      <c r="A90" s="30">
        <v>19.194342495775089</v>
      </c>
      <c r="E90" t="s">
        <v>8</v>
      </c>
      <c r="L90" s="27" t="s">
        <v>7</v>
      </c>
    </row>
    <row r="91" spans="1:12" x14ac:dyDescent="0.25">
      <c r="A91" s="30">
        <v>17.449402268886445</v>
      </c>
      <c r="E91" t="s">
        <v>8</v>
      </c>
      <c r="L91" s="27" t="s">
        <v>7</v>
      </c>
    </row>
    <row r="92" spans="1:12" x14ac:dyDescent="0.25">
      <c r="A92" s="30">
        <v>15.863092971714948</v>
      </c>
      <c r="C92" s="1" t="s">
        <v>15</v>
      </c>
      <c r="E92" t="s">
        <v>8</v>
      </c>
    </row>
    <row r="93" spans="1:12" x14ac:dyDescent="0.25">
      <c r="A93" s="30">
        <v>14.420993610649951</v>
      </c>
      <c r="C93" s="7">
        <v>0.11167815779424731</v>
      </c>
      <c r="D93"/>
      <c r="E93" t="s">
        <v>8</v>
      </c>
    </row>
    <row r="94" spans="1:12" x14ac:dyDescent="0.25">
      <c r="A94" s="30">
        <v>13.109994191499954</v>
      </c>
      <c r="E94" t="s">
        <v>8</v>
      </c>
    </row>
    <row r="95" spans="1:12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12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$A$90</v>
      </c>
      <c r="D111" s="1" t="str">
        <f>ADDRESS(C121-1,D121,1,1)</f>
        <v>$L$90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$A$91</v>
      </c>
      <c r="D112" s="1" t="str">
        <f>ADDRESS(C121,D121-1,1,1)</f>
        <v>$K$91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$A$92</v>
      </c>
      <c r="D113" s="1" t="str">
        <f>ADDRESS(C121-1,D121+1,1,1)</f>
        <v>$M$90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$L$91</v>
      </c>
      <c r="D114" s="1" t="str">
        <f>ADDRESS(C121+1,D121+1,1,1)</f>
        <v>$M$92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$L$92</v>
      </c>
      <c r="E115" s="1" t="s">
        <v>8</v>
      </c>
    </row>
    <row r="116" spans="1:5" x14ac:dyDescent="0.25">
      <c r="A116" s="30">
        <v>1.6105100000000008</v>
      </c>
      <c r="C116" s="1">
        <f>C117-1</f>
        <v>90</v>
      </c>
      <c r="E116" s="1" t="s">
        <v>8</v>
      </c>
    </row>
    <row r="117" spans="1:5" x14ac:dyDescent="0.25">
      <c r="A117" s="30">
        <v>1.4641000000000006</v>
      </c>
      <c r="C117" s="1">
        <f>C121</f>
        <v>91</v>
      </c>
      <c r="D117" s="1">
        <f>D121</f>
        <v>12</v>
      </c>
      <c r="E117" s="1" t="s">
        <v>8</v>
      </c>
    </row>
    <row r="118" spans="1:5" x14ac:dyDescent="0.25">
      <c r="A118" s="30">
        <v>1.3310000000000004</v>
      </c>
      <c r="C118" s="1">
        <f>C117+1</f>
        <v>92</v>
      </c>
      <c r="D118" s="1">
        <f>D117+1</f>
        <v>13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91</v>
      </c>
      <c r="D121" s="19">
        <v>12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R91</v>
      </c>
      <c r="D123" s="1" t="str">
        <f>"C"&amp;D121</f>
        <v>C12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17.449402268886445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595" operator="equal">
      <formula>$U$1</formula>
    </cfRule>
    <cfRule type="cellIs" dxfId="30" priority="596" operator="equal">
      <formula>$S$1</formula>
    </cfRule>
  </conditionalFormatting>
  <conditionalFormatting sqref="D136">
    <cfRule type="cellIs" dxfId="29" priority="593" operator="equal">
      <formula>$S$1</formula>
    </cfRule>
    <cfRule type="cellIs" dxfId="28" priority="594" operator="equal">
      <formula>$U$1</formula>
    </cfRule>
  </conditionalFormatting>
  <conditionalFormatting sqref="C102">
    <cfRule type="cellIs" dxfId="27" priority="591" operator="equal">
      <formula>$U$1</formula>
    </cfRule>
    <cfRule type="cellIs" dxfId="26" priority="592" operator="equal">
      <formula>$S$1</formula>
    </cfRule>
  </conditionalFormatting>
  <conditionalFormatting sqref="D102">
    <cfRule type="cellIs" dxfId="25" priority="589" operator="equal">
      <formula>$S$1</formula>
    </cfRule>
    <cfRule type="cellIs" dxfId="24" priority="590" operator="equal">
      <formula>$U$1</formula>
    </cfRule>
  </conditionalFormatting>
  <conditionalFormatting sqref="C77">
    <cfRule type="cellIs" dxfId="23" priority="587" operator="equal">
      <formula>$U$1</formula>
    </cfRule>
    <cfRule type="cellIs" dxfId="22" priority="588" operator="equal">
      <formula>$S$1</formula>
    </cfRule>
  </conditionalFormatting>
  <conditionalFormatting sqref="D77">
    <cfRule type="cellIs" dxfId="21" priority="585" operator="equal">
      <formula>$S$1</formula>
    </cfRule>
    <cfRule type="cellIs" dxfId="20" priority="586" operator="equal">
      <formula>$U$1</formula>
    </cfRule>
  </conditionalFormatting>
  <conditionalFormatting sqref="C52">
    <cfRule type="cellIs" dxfId="19" priority="583" operator="equal">
      <formula>$U$1</formula>
    </cfRule>
    <cfRule type="cellIs" dxfId="18" priority="584" operator="equal">
      <formula>$S$1</formula>
    </cfRule>
  </conditionalFormatting>
  <conditionalFormatting sqref="D52">
    <cfRule type="cellIs" dxfId="17" priority="581" operator="equal">
      <formula>$S$1</formula>
    </cfRule>
    <cfRule type="cellIs" dxfId="16" priority="582" operator="equal">
      <formula>$U$1</formula>
    </cfRule>
  </conditionalFormatting>
  <conditionalFormatting sqref="C26">
    <cfRule type="cellIs" dxfId="15" priority="579" operator="equal">
      <formula>$U$1</formula>
    </cfRule>
    <cfRule type="cellIs" dxfId="14" priority="580" operator="equal">
      <formula>$S$1</formula>
    </cfRule>
  </conditionalFormatting>
  <conditionalFormatting sqref="D26">
    <cfRule type="cellIs" dxfId="13" priority="577" operator="equal">
      <formula>$S$1</formula>
    </cfRule>
    <cfRule type="cellIs" dxfId="12" priority="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2022-01-28T01:19:23Z</dcterms:modified>
</cp:coreProperties>
</file>