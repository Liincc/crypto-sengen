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B9CC7228-114F-4FE6-A74A-2B261CB0CCD9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861" i="1"/>
  <c r="Q861" i="1" s="1"/>
  <c r="R861" i="1" s="1"/>
  <c r="P860" i="1"/>
  <c r="Q860" i="1" s="1"/>
  <c r="P859" i="1"/>
  <c r="Q859" i="1" s="1"/>
  <c r="P858" i="1"/>
  <c r="Q858" i="1" s="1"/>
  <c r="P857" i="1"/>
  <c r="Q857" i="1" s="1"/>
  <c r="P856" i="1"/>
  <c r="Q856" i="1" s="1"/>
  <c r="P855" i="1"/>
  <c r="Q855" i="1" s="1"/>
  <c r="P854" i="1"/>
  <c r="Q854" i="1" s="1"/>
  <c r="P853" i="1"/>
  <c r="Q853" i="1" s="1"/>
  <c r="P852" i="1"/>
  <c r="Q852" i="1" s="1"/>
  <c r="P851" i="1"/>
  <c r="Q851" i="1" s="1"/>
  <c r="P850" i="1"/>
  <c r="Q850" i="1" s="1"/>
  <c r="P849" i="1"/>
  <c r="Q849" i="1" s="1"/>
  <c r="P848" i="1"/>
  <c r="Q848" i="1" s="1"/>
  <c r="P847" i="1"/>
  <c r="Q847" i="1" s="1"/>
  <c r="P846" i="1"/>
  <c r="Q846" i="1" s="1"/>
  <c r="P845" i="1"/>
  <c r="Q845" i="1" s="1"/>
  <c r="P844" i="1"/>
  <c r="Q844" i="1" s="1"/>
  <c r="P843" i="1"/>
  <c r="Q843" i="1" s="1"/>
  <c r="P842" i="1"/>
  <c r="Q842" i="1" s="1"/>
  <c r="P841" i="1"/>
  <c r="Q841" i="1" s="1"/>
  <c r="P840" i="1"/>
  <c r="Q840" i="1" s="1"/>
  <c r="P839" i="1"/>
  <c r="Q839" i="1" s="1"/>
  <c r="P838" i="1"/>
  <c r="Q838" i="1" s="1"/>
  <c r="P837" i="1"/>
  <c r="Q837" i="1" s="1"/>
  <c r="P836" i="1"/>
  <c r="Q836" i="1" s="1"/>
  <c r="P835" i="1"/>
  <c r="Q835" i="1" s="1"/>
  <c r="P834" i="1"/>
  <c r="Q834" i="1" s="1"/>
  <c r="P833" i="1"/>
  <c r="Q833" i="1" s="1"/>
  <c r="P832" i="1"/>
  <c r="Q832" i="1" s="1"/>
  <c r="P831" i="1"/>
  <c r="Q831" i="1" s="1"/>
  <c r="P830" i="1"/>
  <c r="Q830" i="1" s="1"/>
  <c r="P829" i="1"/>
  <c r="Q829" i="1" s="1"/>
  <c r="P828" i="1"/>
  <c r="Q828" i="1" s="1"/>
  <c r="P827" i="1"/>
  <c r="Q827" i="1" s="1"/>
  <c r="P826" i="1"/>
  <c r="Q826" i="1" s="1"/>
  <c r="P825" i="1"/>
  <c r="Q825" i="1" s="1"/>
  <c r="P824" i="1"/>
  <c r="Q824" i="1" s="1"/>
  <c r="P823" i="1"/>
  <c r="Q823" i="1" s="1"/>
  <c r="P822" i="1"/>
  <c r="Q822" i="1" s="1"/>
  <c r="P821" i="1"/>
  <c r="Q821" i="1" s="1"/>
  <c r="P820" i="1"/>
  <c r="Q820" i="1" s="1"/>
  <c r="P819" i="1"/>
  <c r="Q819" i="1" s="1"/>
  <c r="P818" i="1"/>
  <c r="Q818" i="1" s="1"/>
  <c r="P817" i="1"/>
  <c r="Q817" i="1" s="1"/>
  <c r="P816" i="1"/>
  <c r="Q816" i="1" s="1"/>
  <c r="P815" i="1"/>
  <c r="Q815" i="1" s="1"/>
  <c r="P814" i="1"/>
  <c r="Q814" i="1" s="1"/>
  <c r="P813" i="1"/>
  <c r="Q813" i="1" s="1"/>
  <c r="P812" i="1"/>
  <c r="Q812" i="1" s="1"/>
  <c r="P811" i="1"/>
  <c r="Q811" i="1" s="1"/>
  <c r="P810" i="1"/>
  <c r="Q810" i="1" s="1"/>
  <c r="P809" i="1"/>
  <c r="Q809" i="1" s="1"/>
  <c r="P808" i="1"/>
  <c r="Q808" i="1" s="1"/>
  <c r="P807" i="1"/>
  <c r="Q807" i="1" s="1"/>
  <c r="P806" i="1"/>
  <c r="Q806" i="1" s="1"/>
  <c r="P805" i="1"/>
  <c r="Q805" i="1" s="1"/>
  <c r="P804" i="1"/>
  <c r="Q804" i="1" s="1"/>
  <c r="P803" i="1"/>
  <c r="Q803" i="1" s="1"/>
  <c r="P802" i="1"/>
  <c r="Q802" i="1" s="1"/>
  <c r="P801" i="1"/>
  <c r="Q801" i="1" s="1"/>
  <c r="P800" i="1"/>
  <c r="Q800" i="1" s="1"/>
  <c r="P799" i="1"/>
  <c r="Q799" i="1" s="1"/>
  <c r="P798" i="1"/>
  <c r="Q798" i="1" s="1"/>
  <c r="P797" i="1"/>
  <c r="Q797" i="1" s="1"/>
  <c r="P796" i="1"/>
  <c r="Q796" i="1" s="1"/>
  <c r="P795" i="1"/>
  <c r="Q795" i="1" s="1"/>
  <c r="P794" i="1"/>
  <c r="Q794" i="1" s="1"/>
  <c r="P793" i="1"/>
  <c r="Q793" i="1" s="1"/>
  <c r="P792" i="1"/>
  <c r="Q792" i="1" s="1"/>
  <c r="P791" i="1"/>
  <c r="Q791" i="1" s="1"/>
  <c r="P790" i="1"/>
  <c r="Q790" i="1" s="1"/>
  <c r="P789" i="1"/>
  <c r="Q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861" i="1"/>
  <c r="T861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122" i="5"/>
  <c r="C133" i="5" s="1"/>
  <c r="C56" i="4"/>
  <c r="D136" i="2"/>
  <c r="C136" i="2"/>
  <c r="C138" i="2"/>
  <c r="C2" i="1" l="1"/>
  <c r="D2" i="1"/>
  <c r="C116" i="4"/>
  <c r="C116" i="5"/>
  <c r="C122" i="4"/>
  <c r="C133" i="4" s="1"/>
  <c r="C136" i="4" s="1"/>
  <c r="D136" i="5"/>
  <c r="C136" i="5"/>
  <c r="C116" i="3"/>
  <c r="C122" i="3"/>
  <c r="C133" i="3" s="1"/>
  <c r="D136" i="3" s="1"/>
  <c r="R860" i="1"/>
  <c r="D136" i="4" l="1"/>
  <c r="C138" i="4" s="1"/>
  <c r="C138" i="5"/>
  <c r="C136" i="3"/>
  <c r="C138" i="3" s="1"/>
  <c r="R859" i="1"/>
  <c r="S860" i="1"/>
  <c r="T860" i="1" s="1"/>
  <c r="R858" i="1" l="1"/>
  <c r="S859" i="1"/>
  <c r="T859" i="1" s="1"/>
  <c r="R857" i="1" l="1"/>
  <c r="S858" i="1"/>
  <c r="T858" i="1" s="1"/>
  <c r="R856" i="1" l="1"/>
  <c r="S857" i="1"/>
  <c r="T857" i="1" s="1"/>
  <c r="R855" i="1" l="1"/>
  <c r="S856" i="1"/>
  <c r="T856" i="1" s="1"/>
  <c r="R854" i="1" l="1"/>
  <c r="S855" i="1"/>
  <c r="T855" i="1" s="1"/>
  <c r="R853" i="1" l="1"/>
  <c r="S854" i="1"/>
  <c r="T854" i="1" s="1"/>
  <c r="R852" i="1" l="1"/>
  <c r="S853" i="1"/>
  <c r="T853" i="1" s="1"/>
  <c r="R851" i="1" l="1"/>
  <c r="S852" i="1"/>
  <c r="T852" i="1" s="1"/>
  <c r="R850" i="1" l="1"/>
  <c r="S851" i="1"/>
  <c r="T851" i="1" s="1"/>
  <c r="R849" i="1" l="1"/>
  <c r="S850" i="1"/>
  <c r="T850" i="1" s="1"/>
  <c r="R848" i="1" l="1"/>
  <c r="S849" i="1"/>
  <c r="T849" i="1" s="1"/>
  <c r="R847" i="1" l="1"/>
  <c r="S848" i="1"/>
  <c r="T848" i="1" s="1"/>
  <c r="R846" i="1" l="1"/>
  <c r="S847" i="1"/>
  <c r="T847" i="1" s="1"/>
  <c r="R845" i="1" l="1"/>
  <c r="S846" i="1"/>
  <c r="T846" i="1" s="1"/>
  <c r="R844" i="1" l="1"/>
  <c r="S845" i="1"/>
  <c r="T845" i="1" s="1"/>
  <c r="R843" i="1" l="1"/>
  <c r="S844" i="1"/>
  <c r="T844" i="1" s="1"/>
  <c r="R842" i="1" l="1"/>
  <c r="S843" i="1"/>
  <c r="T843" i="1" s="1"/>
  <c r="R841" i="1" l="1"/>
  <c r="S842" i="1"/>
  <c r="T842" i="1" s="1"/>
  <c r="R840" i="1" l="1"/>
  <c r="S841" i="1"/>
  <c r="T841" i="1" s="1"/>
  <c r="R839" i="1" l="1"/>
  <c r="S840" i="1"/>
  <c r="T840" i="1" s="1"/>
  <c r="R838" i="1" l="1"/>
  <c r="S839" i="1"/>
  <c r="T839" i="1" s="1"/>
  <c r="R837" i="1" l="1"/>
  <c r="S838" i="1"/>
  <c r="T838" i="1" s="1"/>
  <c r="R836" i="1" l="1"/>
  <c r="S837" i="1"/>
  <c r="T837" i="1" s="1"/>
  <c r="R835" i="1" l="1"/>
  <c r="S836" i="1"/>
  <c r="T836" i="1" s="1"/>
  <c r="R834" i="1" l="1"/>
  <c r="S835" i="1"/>
  <c r="T835" i="1" s="1"/>
  <c r="R833" i="1" l="1"/>
  <c r="S834" i="1"/>
  <c r="T834" i="1" s="1"/>
  <c r="R832" i="1" l="1"/>
  <c r="S833" i="1"/>
  <c r="T833" i="1" s="1"/>
  <c r="R831" i="1" l="1"/>
  <c r="S832" i="1"/>
  <c r="T832" i="1" s="1"/>
  <c r="R830" i="1" l="1"/>
  <c r="S831" i="1"/>
  <c r="T831" i="1" s="1"/>
  <c r="R829" i="1" l="1"/>
  <c r="S830" i="1"/>
  <c r="T830" i="1" s="1"/>
  <c r="R828" i="1" l="1"/>
  <c r="S829" i="1"/>
  <c r="T829" i="1" s="1"/>
  <c r="R827" i="1" l="1"/>
  <c r="S828" i="1"/>
  <c r="T828" i="1" s="1"/>
  <c r="R826" i="1" l="1"/>
  <c r="S827" i="1"/>
  <c r="T827" i="1" s="1"/>
  <c r="R825" i="1" l="1"/>
  <c r="S826" i="1"/>
  <c r="T826" i="1" s="1"/>
  <c r="R824" i="1" l="1"/>
  <c r="S825" i="1"/>
  <c r="T825" i="1" s="1"/>
  <c r="R823" i="1" l="1"/>
  <c r="S824" i="1"/>
  <c r="T824" i="1" s="1"/>
  <c r="R822" i="1" l="1"/>
  <c r="S823" i="1"/>
  <c r="T823" i="1" s="1"/>
  <c r="R821" i="1" l="1"/>
  <c r="S822" i="1"/>
  <c r="T822" i="1" s="1"/>
  <c r="R820" i="1" l="1"/>
  <c r="S821" i="1"/>
  <c r="T821" i="1" s="1"/>
  <c r="R819" i="1" l="1"/>
  <c r="S820" i="1"/>
  <c r="T820" i="1" s="1"/>
  <c r="R818" i="1" l="1"/>
  <c r="S819" i="1"/>
  <c r="T819" i="1" s="1"/>
  <c r="R817" i="1" l="1"/>
  <c r="S818" i="1"/>
  <c r="T818" i="1" s="1"/>
  <c r="R816" i="1" l="1"/>
  <c r="S817" i="1"/>
  <c r="T817" i="1" s="1"/>
  <c r="R815" i="1" l="1"/>
  <c r="S816" i="1"/>
  <c r="T816" i="1" s="1"/>
  <c r="R814" i="1" l="1"/>
  <c r="S815" i="1"/>
  <c r="T815" i="1" s="1"/>
  <c r="R813" i="1" l="1"/>
  <c r="S814" i="1"/>
  <c r="T814" i="1" s="1"/>
  <c r="R812" i="1" l="1"/>
  <c r="S813" i="1"/>
  <c r="T813" i="1" s="1"/>
  <c r="R811" i="1" l="1"/>
  <c r="S812" i="1"/>
  <c r="T812" i="1" s="1"/>
  <c r="R810" i="1" l="1"/>
  <c r="S811" i="1"/>
  <c r="T811" i="1" s="1"/>
  <c r="R809" i="1" l="1"/>
  <c r="S810" i="1"/>
  <c r="T810" i="1" s="1"/>
  <c r="R808" i="1" l="1"/>
  <c r="S809" i="1"/>
  <c r="T809" i="1" s="1"/>
  <c r="R807" i="1" l="1"/>
  <c r="S808" i="1"/>
  <c r="T808" i="1" s="1"/>
  <c r="R806" i="1" l="1"/>
  <c r="S807" i="1"/>
  <c r="T807" i="1" s="1"/>
  <c r="R805" i="1" l="1"/>
  <c r="S806" i="1"/>
  <c r="T806" i="1" s="1"/>
  <c r="R804" i="1" l="1"/>
  <c r="S805" i="1"/>
  <c r="T805" i="1" s="1"/>
  <c r="R803" i="1" l="1"/>
  <c r="S804" i="1"/>
  <c r="T804" i="1" s="1"/>
  <c r="R802" i="1" l="1"/>
  <c r="S803" i="1"/>
  <c r="T803" i="1" s="1"/>
  <c r="R801" i="1" l="1"/>
  <c r="S802" i="1"/>
  <c r="T802" i="1" s="1"/>
  <c r="R800" i="1" l="1"/>
  <c r="S801" i="1"/>
  <c r="T801" i="1" s="1"/>
  <c r="R799" i="1" l="1"/>
  <c r="S800" i="1"/>
  <c r="T800" i="1" s="1"/>
  <c r="R798" i="1" l="1"/>
  <c r="S799" i="1"/>
  <c r="T799" i="1" s="1"/>
  <c r="R797" i="1" l="1"/>
  <c r="S798" i="1"/>
  <c r="T798" i="1" s="1"/>
  <c r="R796" i="1" l="1"/>
  <c r="S797" i="1"/>
  <c r="T797" i="1" s="1"/>
  <c r="R795" i="1" l="1"/>
  <c r="S796" i="1"/>
  <c r="T796" i="1" s="1"/>
  <c r="R794" i="1" l="1"/>
  <c r="S795" i="1"/>
  <c r="T795" i="1" s="1"/>
  <c r="R793" i="1" l="1"/>
  <c r="S794" i="1"/>
  <c r="T794" i="1" s="1"/>
  <c r="R792" i="1" l="1"/>
  <c r="S793" i="1"/>
  <c r="T793" i="1" s="1"/>
  <c r="R791" i="1" l="1"/>
  <c r="S792" i="1"/>
  <c r="T792" i="1" s="1"/>
  <c r="R790" i="1" l="1"/>
  <c r="S791" i="1"/>
  <c r="T791" i="1" s="1"/>
  <c r="R789" i="1" l="1"/>
  <c r="S790" i="1"/>
  <c r="T790" i="1" s="1"/>
  <c r="R788" i="1" l="1"/>
  <c r="S789" i="1"/>
  <c r="T789" i="1" s="1"/>
  <c r="R787" i="1" l="1"/>
  <c r="S788" i="1"/>
  <c r="T788" i="1" s="1"/>
  <c r="R786" i="1" l="1"/>
  <c r="S787" i="1"/>
  <c r="T787" i="1" s="1"/>
  <c r="R785" i="1" l="1"/>
  <c r="S786" i="1"/>
  <c r="T786" i="1" s="1"/>
  <c r="R784" i="1" l="1"/>
  <c r="S785" i="1"/>
  <c r="T785" i="1" s="1"/>
  <c r="R783" i="1" l="1"/>
  <c r="S784" i="1"/>
  <c r="T784" i="1" s="1"/>
  <c r="R782" i="1" l="1"/>
  <c r="S783" i="1"/>
  <c r="T783" i="1" s="1"/>
  <c r="R781" i="1" l="1"/>
  <c r="S782" i="1"/>
  <c r="T782" i="1" s="1"/>
  <c r="R780" i="1" l="1"/>
  <c r="S781" i="1"/>
  <c r="T781" i="1" s="1"/>
  <c r="R779" i="1" l="1"/>
  <c r="S780" i="1"/>
  <c r="T780" i="1" s="1"/>
  <c r="R778" i="1" l="1"/>
  <c r="S779" i="1"/>
  <c r="T779" i="1" s="1"/>
  <c r="R777" i="1" l="1"/>
  <c r="S778" i="1"/>
  <c r="T778" i="1" s="1"/>
  <c r="R776" i="1" l="1"/>
  <c r="S777" i="1"/>
  <c r="T777" i="1" s="1"/>
  <c r="R775" i="1" l="1"/>
  <c r="S776" i="1"/>
  <c r="T776" i="1" s="1"/>
  <c r="R774" i="1" l="1"/>
  <c r="S775" i="1"/>
  <c r="T775" i="1" s="1"/>
  <c r="R773" i="1" l="1"/>
  <c r="S774" i="1"/>
  <c r="T774" i="1" s="1"/>
  <c r="R772" i="1" l="1"/>
  <c r="S773" i="1"/>
  <c r="T773" i="1" s="1"/>
  <c r="R771" i="1" l="1"/>
  <c r="S772" i="1"/>
  <c r="T772" i="1" s="1"/>
  <c r="R770" i="1" l="1"/>
  <c r="S771" i="1"/>
  <c r="T771" i="1" s="1"/>
  <c r="R769" i="1" l="1"/>
  <c r="S770" i="1"/>
  <c r="T770" i="1" s="1"/>
  <c r="R768" i="1" l="1"/>
  <c r="S769" i="1"/>
  <c r="T769" i="1" s="1"/>
  <c r="R767" i="1" l="1"/>
  <c r="S768" i="1"/>
  <c r="T768" i="1" s="1"/>
  <c r="R766" i="1" l="1"/>
  <c r="S767" i="1"/>
  <c r="T767" i="1" s="1"/>
  <c r="R765" i="1" l="1"/>
  <c r="S766" i="1"/>
  <c r="T766" i="1" s="1"/>
  <c r="R764" i="1" l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S322" i="1" l="1"/>
  <c r="T322" i="1" s="1"/>
  <c r="R321" i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S315" i="1" l="1"/>
  <c r="T315" i="1" s="1"/>
  <c r="R314" i="1"/>
  <c r="R313" i="1" l="1"/>
  <c r="S314" i="1"/>
  <c r="T314" i="1" s="1"/>
  <c r="R312" i="1" l="1"/>
  <c r="S313" i="1"/>
  <c r="T313" i="1" s="1"/>
  <c r="R311" i="1" l="1"/>
  <c r="S312" i="1"/>
  <c r="T312" i="1" s="1"/>
  <c r="S311" i="1" l="1"/>
  <c r="T311" i="1" s="1"/>
  <c r="R310" i="1"/>
  <c r="S310" i="1" l="1"/>
  <c r="T310" i="1" s="1"/>
  <c r="R309" i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S303" i="1" l="1"/>
  <c r="T303" i="1" s="1"/>
  <c r="R302" i="1"/>
  <c r="R301" i="1" l="1"/>
  <c r="S302" i="1"/>
  <c r="T302" i="1" s="1"/>
  <c r="R300" i="1" l="1"/>
  <c r="S301" i="1"/>
  <c r="T301" i="1" s="1"/>
  <c r="R299" i="1" l="1"/>
  <c r="S300" i="1"/>
  <c r="T300" i="1" s="1"/>
  <c r="S299" i="1" l="1"/>
  <c r="T299" i="1" s="1"/>
  <c r="R298" i="1"/>
  <c r="S298" i="1" l="1"/>
  <c r="T298" i="1" s="1"/>
  <c r="R297" i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S291" i="1" l="1"/>
  <c r="T291" i="1" s="1"/>
  <c r="R290" i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S279" i="1" l="1"/>
  <c r="T279" i="1" s="1"/>
  <c r="R278" i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S267" i="1" l="1"/>
  <c r="T267" i="1" s="1"/>
  <c r="R266" i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S262" i="1" l="1"/>
  <c r="T262" i="1" s="1"/>
  <c r="R261" i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S250" i="1" l="1"/>
  <c r="T250" i="1" s="1"/>
  <c r="R249" i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S238" i="1" l="1"/>
  <c r="T238" i="1" s="1"/>
  <c r="R237" i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S184" i="1" l="1"/>
  <c r="T184" i="1" s="1"/>
  <c r="R183" i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S152" i="1" l="1"/>
  <c r="T152" i="1" s="1"/>
  <c r="R151" i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S136" i="1" l="1"/>
  <c r="T136" i="1" s="1"/>
  <c r="R135" i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S128" i="1" l="1"/>
  <c r="T128" i="1" s="1"/>
  <c r="R127" i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S104" i="1" l="1"/>
  <c r="T104" i="1" s="1"/>
  <c r="R103" i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S88" i="1" l="1"/>
  <c r="T88" i="1" s="1"/>
  <c r="R87" i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S64" i="1" l="1"/>
  <c r="T64" i="1" s="1"/>
  <c r="R63" i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S56" i="1" l="1"/>
  <c r="T56" i="1" s="1"/>
  <c r="R55" i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S42" i="1" l="1"/>
  <c r="T42" i="1" s="1"/>
  <c r="R41" i="1"/>
  <c r="R40" i="1" l="1"/>
  <c r="S41" i="1"/>
  <c r="T41" i="1" s="1"/>
  <c r="S40" i="1" l="1"/>
  <c r="T40" i="1" s="1"/>
  <c r="R39" i="1"/>
  <c r="R38" i="1" l="1"/>
  <c r="S39" i="1"/>
  <c r="T39" i="1" s="1"/>
  <c r="S38" i="1" l="1"/>
  <c r="T38" i="1" s="1"/>
  <c r="R37" i="1"/>
  <c r="S37" i="1" l="1"/>
  <c r="T37" i="1" s="1"/>
  <c r="R36" i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S30" i="1" l="1"/>
  <c r="T30" i="1" s="1"/>
  <c r="R29" i="1"/>
  <c r="R28" i="1" l="1"/>
  <c r="S29" i="1"/>
  <c r="T29" i="1" s="1"/>
  <c r="R27" i="1" l="1"/>
  <c r="S28" i="1"/>
  <c r="T28" i="1" s="1"/>
  <c r="R26" i="1" l="1"/>
  <c r="S27" i="1"/>
  <c r="T27" i="1" s="1"/>
  <c r="R25" i="1" l="1"/>
  <c r="S26" i="1"/>
  <c r="T26" i="1" s="1"/>
  <c r="R24" i="1" l="1"/>
  <c r="S25" i="1"/>
  <c r="T25" i="1" s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<sst xmlns="http://schemas.openxmlformats.org/spreadsheetml/2006/main" count="7214" uniqueCount="34">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</sst>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2.8660000000000001</c:v>
                </c:pt>
                <c:pt idx="1">
                  <c:v>2.948</c:v>
                </c:pt>
                <c:pt idx="2">
                  <c:v>2.92</c:v>
                </c:pt>
                <c:pt idx="3">
                  <c:v>2.968</c:v>
                </c:pt>
                <c:pt idx="4">
                  <c:v>3.0790000000000002</c:v>
                </c:pt>
                <c:pt idx="5">
                  <c:v>2.9580000000000002</c:v>
                </c:pt>
                <c:pt idx="6">
                  <c:v>3.335</c:v>
                </c:pt>
                <c:pt idx="7">
                  <c:v>3.702</c:v>
                </c:pt>
                <c:pt idx="8">
                  <c:v>3.8780000000000001</c:v>
                </c:pt>
                <c:pt idx="9">
                  <c:v>4.1150000000000002</c:v>
                </c:pt>
                <c:pt idx="10">
                  <c:v>4.05</c:v>
                </c:pt>
                <c:pt idx="11">
                  <c:v>4.29</c:v>
                </c:pt>
                <c:pt idx="12">
                  <c:v>4.2770000000000001</c:v>
                </c:pt>
                <c:pt idx="13">
                  <c:v>4.2869999999999999</c:v>
                </c:pt>
                <c:pt idx="14">
                  <c:v>4.12</c:v>
                </c:pt>
                <c:pt idx="15">
                  <c:v>4.383</c:v>
                </c:pt>
                <c:pt idx="16">
                  <c:v>4.1680000000000001</c:v>
                </c:pt>
                <c:pt idx="17">
                  <c:v>4.0259999999999998</c:v>
                </c:pt>
                <c:pt idx="18">
                  <c:v>4.2169999999999996</c:v>
                </c:pt>
                <c:pt idx="19">
                  <c:v>4.0049999999999999</c:v>
                </c:pt>
                <c:pt idx="20">
                  <c:v>4.2530000000000001</c:v>
                </c:pt>
                <c:pt idx="21">
                  <c:v>4.452</c:v>
                </c:pt>
                <c:pt idx="22">
                  <c:v>4.5090000000000003</c:v>
                </c:pt>
                <c:pt idx="23">
                  <c:v>5.0430000000000001</c:v>
                </c:pt>
                <c:pt idx="24">
                  <c:v>4.8029999999999999</c:v>
                </c:pt>
                <c:pt idx="25">
                  <c:v>4.6539999999999999</c:v>
                </c:pt>
                <c:pt idx="26">
                  <c:v>4.7460000000000004</c:v>
                </c:pt>
                <c:pt idx="27">
                  <c:v>4.34</c:v>
                </c:pt>
                <c:pt idx="28">
                  <c:v>4.3440000000000003</c:v>
                </c:pt>
                <c:pt idx="29">
                  <c:v>4.3730000000000002</c:v>
                </c:pt>
                <c:pt idx="30">
                  <c:v>4.4909999999999997</c:v>
                </c:pt>
                <c:pt idx="31">
                  <c:v>5.1020000000000003</c:v>
                </c:pt>
                <c:pt idx="32">
                  <c:v>4.8639999999999999</c:v>
                </c:pt>
                <c:pt idx="33">
                  <c:v>4.5830000000000002</c:v>
                </c:pt>
                <c:pt idx="34">
                  <c:v>4.4960000000000004</c:v>
                </c:pt>
                <c:pt idx="35">
                  <c:v>4.7690000000000001</c:v>
                </c:pt>
                <c:pt idx="36">
                  <c:v>4.5439999999999996</c:v>
                </c:pt>
                <c:pt idx="37">
                  <c:v>4.2320000000000002</c:v>
                </c:pt>
                <c:pt idx="38">
                  <c:v>4.1059999999999999</c:v>
                </c:pt>
                <c:pt idx="39">
                  <c:v>4.1390000000000002</c:v>
                </c:pt>
                <c:pt idx="40">
                  <c:v>4.2409999999999997</c:v>
                </c:pt>
                <c:pt idx="41">
                  <c:v>4.1399999999999997</c:v>
                </c:pt>
                <c:pt idx="42">
                  <c:v>4.3090000000000002</c:v>
                </c:pt>
                <c:pt idx="43">
                  <c:v>4.4870000000000001</c:v>
                </c:pt>
                <c:pt idx="44">
                  <c:v>4.5149999999999997</c:v>
                </c:pt>
                <c:pt idx="45">
                  <c:v>4.0490000000000004</c:v>
                </c:pt>
                <c:pt idx="46">
                  <c:v>4.51</c:v>
                </c:pt>
                <c:pt idx="47">
                  <c:v>4.3959999999999999</c:v>
                </c:pt>
                <c:pt idx="48">
                  <c:v>4.335</c:v>
                </c:pt>
                <c:pt idx="49">
                  <c:v>4.84</c:v>
                </c:pt>
                <c:pt idx="50">
                  <c:v>5.6829999999999998</c:v>
                </c:pt>
                <c:pt idx="51">
                  <c:v>5.6559999999999997</c:v>
                </c:pt>
                <c:pt idx="52">
                  <c:v>4.1500000000000004</c:v>
                </c:pt>
                <c:pt idx="53">
                  <c:v>3.871</c:v>
                </c:pt>
                <c:pt idx="54">
                  <c:v>4.1340000000000003</c:v>
                </c:pt>
                <c:pt idx="55">
                  <c:v>4.8</c:v>
                </c:pt>
                <c:pt idx="56">
                  <c:v>5.0979999999999999</c:v>
                </c:pt>
                <c:pt idx="57">
                  <c:v>5.2450000000000001</c:v>
                </c:pt>
                <c:pt idx="58">
                  <c:v>5.4790000000000001</c:v>
                </c:pt>
                <c:pt idx="59">
                  <c:v>5.61</c:v>
                </c:pt>
                <c:pt idx="60">
                  <c:v>4.6529999999999996</c:v>
                </c:pt>
                <c:pt idx="61">
                  <c:v>4.6180000000000003</c:v>
                </c:pt>
                <c:pt idx="62">
                  <c:v>4.6589999999999998</c:v>
                </c:pt>
                <c:pt idx="63">
                  <c:v>5.07</c:v>
                </c:pt>
                <c:pt idx="64">
                  <c:v>4.91</c:v>
                </c:pt>
                <c:pt idx="65">
                  <c:v>5.1109999999999998</c:v>
                </c:pt>
                <c:pt idx="66">
                  <c:v>5.0170000000000003</c:v>
                </c:pt>
                <c:pt idx="67">
                  <c:v>5.2169999999999996</c:v>
                </c:pt>
                <c:pt idx="68">
                  <c:v>5.524</c:v>
                </c:pt>
                <c:pt idx="69">
                  <c:v>5.27</c:v>
                </c:pt>
                <c:pt idx="70">
                  <c:v>4.7949999999999999</c:v>
                </c:pt>
                <c:pt idx="71">
                  <c:v>5.242</c:v>
                </c:pt>
                <c:pt idx="72">
                  <c:v>5.2089999999999996</c:v>
                </c:pt>
                <c:pt idx="73">
                  <c:v>5.718</c:v>
                </c:pt>
                <c:pt idx="74">
                  <c:v>5.827</c:v>
                </c:pt>
                <c:pt idx="75">
                  <c:v>5.8860000000000001</c:v>
                </c:pt>
                <c:pt idx="76">
                  <c:v>5.7640000000000002</c:v>
                </c:pt>
                <c:pt idx="77">
                  <c:v>5.8609999999999998</c:v>
                </c:pt>
                <c:pt idx="78">
                  <c:v>5.7919999999999998</c:v>
                </c:pt>
                <c:pt idx="79">
                  <c:v>6.3010000000000002</c:v>
                </c:pt>
                <c:pt idx="80">
                  <c:v>6.4989999999999997</c:v>
                </c:pt>
                <c:pt idx="81">
                  <c:v>6.3680000000000003</c:v>
                </c:pt>
                <c:pt idx="82">
                  <c:v>6.4390000000000001</c:v>
                </c:pt>
                <c:pt idx="83">
                  <c:v>6.4569999999999999</c:v>
                </c:pt>
                <c:pt idx="84">
                  <c:v>6.3419999999999996</c:v>
                </c:pt>
                <c:pt idx="85">
                  <c:v>6.3209999999999997</c:v>
                </c:pt>
                <c:pt idx="86">
                  <c:v>6.26</c:v>
                </c:pt>
                <c:pt idx="87">
                  <c:v>6.24</c:v>
                </c:pt>
                <c:pt idx="88">
                  <c:v>6.3520000000000003</c:v>
                </c:pt>
                <c:pt idx="89">
                  <c:v>6.2949999999999999</c:v>
                </c:pt>
                <c:pt idx="90">
                  <c:v>6.56</c:v>
                </c:pt>
                <c:pt idx="91">
                  <c:v>6.1349999999999998</c:v>
                </c:pt>
                <c:pt idx="92">
                  <c:v>5.89</c:v>
                </c:pt>
                <c:pt idx="93">
                  <c:v>6.8170000000000002</c:v>
                </c:pt>
                <c:pt idx="94">
                  <c:v>6.6340000000000003</c:v>
                </c:pt>
                <c:pt idx="95">
                  <c:v>6.4720000000000004</c:v>
                </c:pt>
                <c:pt idx="96">
                  <c:v>6.74</c:v>
                </c:pt>
                <c:pt idx="97">
                  <c:v>6.7080000000000002</c:v>
                </c:pt>
                <c:pt idx="98">
                  <c:v>6.6539999999999999</c:v>
                </c:pt>
                <c:pt idx="99">
                  <c:v>7.0179999999999998</c:v>
                </c:pt>
                <c:pt idx="100">
                  <c:v>6.7409999999999997</c:v>
                </c:pt>
                <c:pt idx="101">
                  <c:v>6.5490000000000004</c:v>
                </c:pt>
                <c:pt idx="102">
                  <c:v>6.6219999999999999</c:v>
                </c:pt>
                <c:pt idx="103">
                  <c:v>6.9119999999999999</c:v>
                </c:pt>
                <c:pt idx="104">
                  <c:v>6.8479999999999999</c:v>
                </c:pt>
                <c:pt idx="105">
                  <c:v>7.14</c:v>
                </c:pt>
                <c:pt idx="106">
                  <c:v>7.2960000000000003</c:v>
                </c:pt>
                <c:pt idx="107">
                  <c:v>7.1180000000000003</c:v>
                </c:pt>
                <c:pt idx="108">
                  <c:v>6.8979999999999997</c:v>
                </c:pt>
                <c:pt idx="109">
                  <c:v>6.9710000000000001</c:v>
                </c:pt>
                <c:pt idx="110">
                  <c:v>7.6219999999999999</c:v>
                </c:pt>
                <c:pt idx="111">
                  <c:v>7.3010000000000002</c:v>
                </c:pt>
                <c:pt idx="112">
                  <c:v>7.6340000000000003</c:v>
                </c:pt>
                <c:pt idx="113">
                  <c:v>7.7949999999999999</c:v>
                </c:pt>
                <c:pt idx="114">
                  <c:v>7.9749999999999996</c:v>
                </c:pt>
                <c:pt idx="115">
                  <c:v>8.4450000000000003</c:v>
                </c:pt>
                <c:pt idx="116">
                  <c:v>8.5210000000000008</c:v>
                </c:pt>
                <c:pt idx="117">
                  <c:v>7.343</c:v>
                </c:pt>
                <c:pt idx="118">
                  <c:v>6.69</c:v>
                </c:pt>
                <c:pt idx="119">
                  <c:v>6.0730000000000004</c:v>
                </c:pt>
                <c:pt idx="120">
                  <c:v>5.641</c:v>
                </c:pt>
                <c:pt idx="121">
                  <c:v>5.4710000000000001</c:v>
                </c:pt>
                <c:pt idx="122">
                  <c:v>6.0339999999999998</c:v>
                </c:pt>
                <c:pt idx="123">
                  <c:v>6.5090000000000003</c:v>
                </c:pt>
                <c:pt idx="124">
                  <c:v>6.8230000000000004</c:v>
                </c:pt>
                <c:pt idx="125">
                  <c:v>6.9870000000000001</c:v>
                </c:pt>
                <c:pt idx="126">
                  <c:v>6.2140000000000004</c:v>
                </c:pt>
                <c:pt idx="127">
                  <c:v>5.5709999999999997</c:v>
                </c:pt>
                <c:pt idx="128">
                  <c:v>4.6849999999999996</c:v>
                </c:pt>
                <c:pt idx="129">
                  <c:v>5.617</c:v>
                </c:pt>
                <c:pt idx="130">
                  <c:v>6.5190000000000001</c:v>
                </c:pt>
                <c:pt idx="131">
                  <c:v>6.399</c:v>
                </c:pt>
                <c:pt idx="132">
                  <c:v>6.1159999999999997</c:v>
                </c:pt>
                <c:pt idx="133">
                  <c:v>6.9359999999999999</c:v>
                </c:pt>
                <c:pt idx="134">
                  <c:v>6.8970000000000002</c:v>
                </c:pt>
                <c:pt idx="135">
                  <c:v>7.1079999999999997</c:v>
                </c:pt>
                <c:pt idx="136">
                  <c:v>7.1639999999999997</c:v>
                </c:pt>
                <c:pt idx="137">
                  <c:v>7.0259999999999998</c:v>
                </c:pt>
                <c:pt idx="138">
                  <c:v>6.1189999999999998</c:v>
                </c:pt>
                <c:pt idx="139">
                  <c:v>6.1840000000000002</c:v>
                </c:pt>
                <c:pt idx="140">
                  <c:v>5.5810000000000004</c:v>
                </c:pt>
                <c:pt idx="141">
                  <c:v>4.3360000000000003</c:v>
                </c:pt>
                <c:pt idx="142">
                  <c:v>4.4130000000000003</c:v>
                </c:pt>
                <c:pt idx="143">
                  <c:v>5.5990000000000002</c:v>
                </c:pt>
                <c:pt idx="144">
                  <c:v>5.569</c:v>
                </c:pt>
                <c:pt idx="145">
                  <c:v>5.399</c:v>
                </c:pt>
                <c:pt idx="146">
                  <c:v>5.3120000000000003</c:v>
                </c:pt>
                <c:pt idx="147">
                  <c:v>5.2930000000000001</c:v>
                </c:pt>
                <c:pt idx="148">
                  <c:v>5.4240000000000004</c:v>
                </c:pt>
                <c:pt idx="149">
                  <c:v>5.1639999999999997</c:v>
                </c:pt>
                <c:pt idx="150">
                  <c:v>5.391</c:v>
                </c:pt>
                <c:pt idx="151">
                  <c:v>5.89</c:v>
                </c:pt>
                <c:pt idx="152">
                  <c:v>5.6319999999999997</c:v>
                </c:pt>
                <c:pt idx="153">
                  <c:v>5.24</c:v>
                </c:pt>
                <c:pt idx="154">
                  <c:v>4.4379999999999997</c:v>
                </c:pt>
                <c:pt idx="155">
                  <c:v>5.0919999999999996</c:v>
                </c:pt>
                <c:pt idx="156">
                  <c:v>3.9626000000000001</c:v>
                </c:pt>
                <c:pt idx="157">
                  <c:v>4.3059000000000003</c:v>
                </c:pt>
                <c:pt idx="158">
                  <c:v>3.8182999999999998</c:v>
                </c:pt>
                <c:pt idx="159">
                  <c:v>3.6894999999999998</c:v>
                </c:pt>
                <c:pt idx="160">
                  <c:v>3.7279</c:v>
                </c:pt>
                <c:pt idx="161">
                  <c:v>3.6398000000000001</c:v>
                </c:pt>
                <c:pt idx="162">
                  <c:v>3.3426999999999998</c:v>
                </c:pt>
                <c:pt idx="163">
                  <c:v>3.4024000000000001</c:v>
                </c:pt>
                <c:pt idx="164">
                  <c:v>3.6320000000000001</c:v>
                </c:pt>
                <c:pt idx="165">
                  <c:v>3.7355</c:v>
                </c:pt>
                <c:pt idx="166">
                  <c:v>3.6951999999999998</c:v>
                </c:pt>
                <c:pt idx="167">
                  <c:v>3.5928</c:v>
                </c:pt>
                <c:pt idx="168">
                  <c:v>3.3491</c:v>
                </c:pt>
                <c:pt idx="169">
                  <c:v>3.4438</c:v>
                </c:pt>
                <c:pt idx="170">
                  <c:v>3.2643</c:v>
                </c:pt>
                <c:pt idx="171">
                  <c:v>3.2867000000000002</c:v>
                </c:pt>
                <c:pt idx="172">
                  <c:v>3.1779999999999999</c:v>
                </c:pt>
                <c:pt idx="173">
                  <c:v>3.4222000000000001</c:v>
                </c:pt>
                <c:pt idx="174">
                  <c:v>3.3574999999999999</c:v>
                </c:pt>
                <c:pt idx="175">
                  <c:v>3.2195999999999998</c:v>
                </c:pt>
                <c:pt idx="176">
                  <c:v>3.1768999999999998</c:v>
                </c:pt>
                <c:pt idx="177">
                  <c:v>3.0547</c:v>
                </c:pt>
                <c:pt idx="178">
                  <c:v>3.125</c:v>
                </c:pt>
                <c:pt idx="179">
                  <c:v>2.9504999999999999</c:v>
                </c:pt>
                <c:pt idx="180">
                  <c:v>3.0354999999999999</c:v>
                </c:pt>
                <c:pt idx="181">
                  <c:v>2.9670000000000001</c:v>
                </c:pt>
                <c:pt idx="182">
                  <c:v>2.8509000000000002</c:v>
                </c:pt>
                <c:pt idx="183">
                  <c:v>2.8132999999999999</c:v>
                </c:pt>
                <c:pt idx="184">
                  <c:v>2.8622999999999998</c:v>
                </c:pt>
                <c:pt idx="185">
                  <c:v>2.8374999999999999</c:v>
                </c:pt>
                <c:pt idx="186">
                  <c:v>2.8919000000000001</c:v>
                </c:pt>
                <c:pt idx="187">
                  <c:v>2.8169</c:v>
                </c:pt>
                <c:pt idx="188">
                  <c:v>2.6852</c:v>
                </c:pt>
                <c:pt idx="189">
                  <c:v>2.5013000000000001</c:v>
                </c:pt>
                <c:pt idx="190">
                  <c:v>2.3976000000000002</c:v>
                </c:pt>
                <c:pt idx="191">
                  <c:v>2.1514000000000002</c:v>
                </c:pt>
                <c:pt idx="192">
                  <c:v>2.2871999999999999</c:v>
                </c:pt>
                <c:pt idx="193">
                  <c:v>2.4291</c:v>
                </c:pt>
                <c:pt idx="194">
                  <c:v>2.4049</c:v>
                </c:pt>
                <c:pt idx="195">
                  <c:v>2.4087999999999998</c:v>
                </c:pt>
                <c:pt idx="196">
                  <c:v>2.5760999999999998</c:v>
                </c:pt>
                <c:pt idx="197">
                  <c:v>2.7160000000000002</c:v>
                </c:pt>
                <c:pt idx="198">
                  <c:v>2.8094000000000001</c:v>
                </c:pt>
                <c:pt idx="199">
                  <c:v>2.8066</c:v>
                </c:pt>
                <c:pt idx="200">
                  <c:v>2.8441000000000001</c:v>
                </c:pt>
                <c:pt idx="201">
                  <c:v>2.7831999999999999</c:v>
                </c:pt>
                <c:pt idx="202">
                  <c:v>2.7503000000000002</c:v>
                </c:pt>
                <c:pt idx="203">
                  <c:v>2.6916000000000002</c:v>
                </c:pt>
                <c:pt idx="204">
                  <c:v>2.8780000000000001</c:v>
                </c:pt>
                <c:pt idx="205">
                  <c:v>2.8647</c:v>
                </c:pt>
                <c:pt idx="206">
                  <c:v>2.8290000000000002</c:v>
                </c:pt>
                <c:pt idx="207">
                  <c:v>3.0407999999999999</c:v>
                </c:pt>
                <c:pt idx="208">
                  <c:v>3.0285000000000002</c:v>
                </c:pt>
                <c:pt idx="209">
                  <c:v>2.9529000000000001</c:v>
                </c:pt>
                <c:pt idx="210">
                  <c:v>2.9419</c:v>
                </c:pt>
                <c:pt idx="211">
                  <c:v>3.0432000000000001</c:v>
                </c:pt>
                <c:pt idx="212">
                  <c:v>2.9775999999999998</c:v>
                </c:pt>
                <c:pt idx="213">
                  <c:v>2.7057000000000002</c:v>
                </c:pt>
                <c:pt idx="214">
                  <c:v>2.6223999999999998</c:v>
                </c:pt>
                <c:pt idx="215">
                  <c:v>2.5394999999999999</c:v>
                </c:pt>
                <c:pt idx="216">
                  <c:v>2.5225</c:v>
                </c:pt>
                <c:pt idx="217">
                  <c:v>2.8308</c:v>
                </c:pt>
                <c:pt idx="218">
                  <c:v>2.6886999999999999</c:v>
                </c:pt>
                <c:pt idx="219">
                  <c:v>2.3748999999999998</c:v>
                </c:pt>
                <c:pt idx="220">
                  <c:v>2.4855</c:v>
                </c:pt>
                <c:pt idx="221">
                  <c:v>3.077</c:v>
                </c:pt>
                <c:pt idx="222">
                  <c:v>3.0379999999999998</c:v>
                </c:pt>
                <c:pt idx="223">
                  <c:v>3.0975999999999999</c:v>
                </c:pt>
                <c:pt idx="224">
                  <c:v>3.3694999999999999</c:v>
                </c:pt>
                <c:pt idx="225">
                  <c:v>3.1150000000000002</c:v>
                </c:pt>
                <c:pt idx="226">
                  <c:v>3.2709999999999999</c:v>
                </c:pt>
                <c:pt idx="227">
                  <c:v>3.3485</c:v>
                </c:pt>
                <c:pt idx="228">
                  <c:v>3.3136000000000001</c:v>
                </c:pt>
                <c:pt idx="229">
                  <c:v>3.1429999999999998</c:v>
                </c:pt>
                <c:pt idx="230">
                  <c:v>3.1373000000000002</c:v>
                </c:pt>
                <c:pt idx="231">
                  <c:v>3.2774000000000001</c:v>
                </c:pt>
                <c:pt idx="232">
                  <c:v>3.5106000000000002</c:v>
                </c:pt>
                <c:pt idx="233">
                  <c:v>3.4472999999999998</c:v>
                </c:pt>
                <c:pt idx="234">
                  <c:v>3.4872000000000001</c:v>
                </c:pt>
                <c:pt idx="235">
                  <c:v>3.8323999999999998</c:v>
                </c:pt>
                <c:pt idx="236">
                  <c:v>3.4293</c:v>
                </c:pt>
                <c:pt idx="237">
                  <c:v>3.5529000000000002</c:v>
                </c:pt>
                <c:pt idx="238">
                  <c:v>3.8786999999999998</c:v>
                </c:pt>
                <c:pt idx="239">
                  <c:v>3.8125</c:v>
                </c:pt>
                <c:pt idx="240">
                  <c:v>3.6663000000000001</c:v>
                </c:pt>
                <c:pt idx="241">
                  <c:v>3.6059999999999999</c:v>
                </c:pt>
                <c:pt idx="242">
                  <c:v>3.2856999999999998</c:v>
                </c:pt>
                <c:pt idx="243">
                  <c:v>3.2038000000000002</c:v>
                </c:pt>
                <c:pt idx="244">
                  <c:v>3.3881999999999999</c:v>
                </c:pt>
                <c:pt idx="245">
                  <c:v>3.8744000000000001</c:v>
                </c:pt>
                <c:pt idx="246">
                  <c:v>3.9245999999999999</c:v>
                </c:pt>
                <c:pt idx="247">
                  <c:v>3.6600999999999999</c:v>
                </c:pt>
                <c:pt idx="248">
                  <c:v>3.5426000000000002</c:v>
                </c:pt>
                <c:pt idx="249">
                  <c:v>2.9070999999999998</c:v>
                </c:pt>
                <c:pt idx="250">
                  <c:v>3.4340000000000002</c:v>
                </c:pt>
                <c:pt idx="251">
                  <c:v>3.6720999999999999</c:v>
                </c:pt>
                <c:pt idx="252">
                  <c:v>4.1825999999999999</c:v>
                </c:pt>
                <c:pt idx="253">
                  <c:v>3.6070000000000002</c:v>
                </c:pt>
                <c:pt idx="254">
                  <c:v>5.7408000000000001</c:v>
                </c:pt>
                <c:pt idx="255">
                  <c:v>5.1688999999999998</c:v>
                </c:pt>
                <c:pt idx="256">
                  <c:v>5.6737000000000002</c:v>
                </c:pt>
                <c:pt idx="257">
                  <c:v>5.7784000000000004</c:v>
                </c:pt>
                <c:pt idx="258">
                  <c:v>6.4737</c:v>
                </c:pt>
                <c:pt idx="259">
                  <c:v>6.1252000000000004</c:v>
                </c:pt>
                <c:pt idx="260">
                  <c:v>5.9391999999999996</c:v>
                </c:pt>
                <c:pt idx="261">
                  <c:v>7.1246999999999998</c:v>
                </c:pt>
                <c:pt idx="262">
                  <c:v>6.1917</c:v>
                </c:pt>
                <c:pt idx="263">
                  <c:v>7.0953999999999997</c:v>
                </c:pt>
                <c:pt idx="264">
                  <c:v>6.9757999999999996</c:v>
                </c:pt>
                <c:pt idx="265">
                  <c:v>7.0856000000000003</c:v>
                </c:pt>
                <c:pt idx="266">
                  <c:v>7.5746000000000002</c:v>
                </c:pt>
                <c:pt idx="267">
                  <c:v>6.6002999999999998</c:v>
                </c:pt>
                <c:pt idx="268">
                  <c:v>5.4873000000000003</c:v>
                </c:pt>
                <c:pt idx="269">
                  <c:v>6.0063000000000004</c:v>
                </c:pt>
                <c:pt idx="270">
                  <c:v>5.6036999999999999</c:v>
                </c:pt>
                <c:pt idx="271">
                  <c:v>5.8208000000000002</c:v>
                </c:pt>
                <c:pt idx="272">
                  <c:v>5.6108000000000002</c:v>
                </c:pt>
                <c:pt idx="273">
                  <c:v>5.2409999999999997</c:v>
                </c:pt>
                <c:pt idx="274">
                  <c:v>5.2523</c:v>
                </c:pt>
                <c:pt idx="275">
                  <c:v>5.4295999999999998</c:v>
                </c:pt>
                <c:pt idx="276">
                  <c:v>5.226</c:v>
                </c:pt>
                <c:pt idx="277">
                  <c:v>4.4519000000000002</c:v>
                </c:pt>
                <c:pt idx="278">
                  <c:v>4.4402999999999997</c:v>
                </c:pt>
                <c:pt idx="279">
                  <c:v>4.8198999999999996</c:v>
                </c:pt>
                <c:pt idx="280">
                  <c:v>4.9127000000000001</c:v>
                </c:pt>
                <c:pt idx="281">
                  <c:v>5.3285999999999998</c:v>
                </c:pt>
                <c:pt idx="282">
                  <c:v>5.7045000000000003</c:v>
                </c:pt>
                <c:pt idx="283">
                  <c:v>5.4512999999999998</c:v>
                </c:pt>
                <c:pt idx="284">
                  <c:v>6.1760000000000002</c:v>
                </c:pt>
                <c:pt idx="285">
                  <c:v>7.0568</c:v>
                </c:pt>
                <c:pt idx="286">
                  <c:v>7.1994999999999996</c:v>
                </c:pt>
                <c:pt idx="287">
                  <c:v>6.7896999999999998</c:v>
                </c:pt>
                <c:pt idx="288">
                  <c:v>6.5662000000000003</c:v>
                </c:pt>
                <c:pt idx="289">
                  <c:v>6.5575999999999999</c:v>
                </c:pt>
                <c:pt idx="290">
                  <c:v>6.2862999999999998</c:v>
                </c:pt>
                <c:pt idx="291">
                  <c:v>6.4516</c:v>
                </c:pt>
                <c:pt idx="292">
                  <c:v>6.5658000000000003</c:v>
                </c:pt>
                <c:pt idx="293">
                  <c:v>6.8372000000000002</c:v>
                </c:pt>
                <c:pt idx="294">
                  <c:v>6.1654</c:v>
                </c:pt>
                <c:pt idx="295">
                  <c:v>5.5270000000000001</c:v>
                </c:pt>
                <c:pt idx="296">
                  <c:v>6.1642999999999999</c:v>
                </c:pt>
                <c:pt idx="297">
                  <c:v>6.1039000000000003</c:v>
                </c:pt>
                <c:pt idx="298">
                  <c:v>5.1348000000000003</c:v>
                </c:pt>
                <c:pt idx="299">
                  <c:v>4.7671999999999999</c:v>
                </c:pt>
                <c:pt idx="300">
                  <c:v>5.2998000000000003</c:v>
                </c:pt>
                <c:pt idx="301">
                  <c:v>5.1227999999999998</c:v>
                </c:pt>
                <c:pt idx="302">
                  <c:v>4.8270999999999997</c:v>
                </c:pt>
                <c:pt idx="303">
                  <c:v>4.5583999999999998</c:v>
                </c:pt>
                <c:pt idx="304">
                  <c:v>4.5936000000000003</c:v>
                </c:pt>
                <c:pt idx="305">
                  <c:v>4.2298999999999998</c:v>
                </c:pt>
                <c:pt idx="306">
                  <c:v>4.1029999999999998</c:v>
                </c:pt>
                <c:pt idx="307">
                  <c:v>4.1900000000000004</c:v>
                </c:pt>
                <c:pt idx="308">
                  <c:v>3.9174000000000002</c:v>
                </c:pt>
                <c:pt idx="309">
                  <c:v>3.9853000000000001</c:v>
                </c:pt>
                <c:pt idx="310">
                  <c:v>4.1292</c:v>
                </c:pt>
                <c:pt idx="311">
                  <c:v>4.0532000000000004</c:v>
                </c:pt>
                <c:pt idx="312">
                  <c:v>4.1707999999999998</c:v>
                </c:pt>
                <c:pt idx="313">
                  <c:v>4.3600000000000003</c:v>
                </c:pt>
                <c:pt idx="314">
                  <c:v>4.2257999999999996</c:v>
                </c:pt>
                <c:pt idx="315">
                  <c:v>4.2594000000000003</c:v>
                </c:pt>
                <c:pt idx="316">
                  <c:v>4.4122000000000003</c:v>
                </c:pt>
                <c:pt idx="317">
                  <c:v>4.0391000000000004</c:v>
                </c:pt>
                <c:pt idx="318">
                  <c:v>3.8323999999999998</c:v>
                </c:pt>
                <c:pt idx="319">
                  <c:v>3.9247999999999998</c:v>
                </c:pt>
                <c:pt idx="320">
                  <c:v>4.1650999999999998</c:v>
                </c:pt>
                <c:pt idx="321">
                  <c:v>3.9691000000000001</c:v>
                </c:pt>
                <c:pt idx="322">
                  <c:v>4.1219999999999999</c:v>
                </c:pt>
                <c:pt idx="323">
                  <c:v>4.1439000000000004</c:v>
                </c:pt>
                <c:pt idx="324">
                  <c:v>4.4664000000000001</c:v>
                </c:pt>
                <c:pt idx="325">
                  <c:v>4.4000000000000004</c:v>
                </c:pt>
                <c:pt idx="326">
                  <c:v>4.1948999999999996</c:v>
                </c:pt>
                <c:pt idx="327">
                  <c:v>3.8719999999999999</c:v>
                </c:pt>
                <c:pt idx="328">
                  <c:v>3.7621000000000002</c:v>
                </c:pt>
                <c:pt idx="329">
                  <c:v>3.6631999999999998</c:v>
                </c:pt>
                <c:pt idx="330">
                  <c:v>3.8433999999999999</c:v>
                </c:pt>
                <c:pt idx="331">
                  <c:v>3.6898</c:v>
                </c:pt>
                <c:pt idx="332">
                  <c:v>3.6335999999999999</c:v>
                </c:pt>
                <c:pt idx="333">
                  <c:v>3.4257</c:v>
                </c:pt>
                <c:pt idx="334">
                  <c:v>3.6343999999999999</c:v>
                </c:pt>
                <c:pt idx="335">
                  <c:v>3.4691999999999998</c:v>
                </c:pt>
                <c:pt idx="336">
                  <c:v>3.3369</c:v>
                </c:pt>
                <c:pt idx="337">
                  <c:v>3.5324</c:v>
                </c:pt>
                <c:pt idx="338">
                  <c:v>3.5518999999999998</c:v>
                </c:pt>
                <c:pt idx="339">
                  <c:v>4.2751999999999999</c:v>
                </c:pt>
                <c:pt idx="340">
                  <c:v>4.6759000000000004</c:v>
                </c:pt>
                <c:pt idx="341">
                  <c:v>4.6368</c:v>
                </c:pt>
                <c:pt idx="342">
                  <c:v>4.9706999999999999</c:v>
                </c:pt>
                <c:pt idx="343">
                  <c:v>4.8436000000000003</c:v>
                </c:pt>
                <c:pt idx="344">
                  <c:v>4.6059999999999999</c:v>
                </c:pt>
                <c:pt idx="345">
                  <c:v>4.5448000000000004</c:v>
                </c:pt>
                <c:pt idx="346">
                  <c:v>4.5406000000000004</c:v>
                </c:pt>
                <c:pt idx="347">
                  <c:v>4.8625999999999996</c:v>
                </c:pt>
                <c:pt idx="348">
                  <c:v>5.3684000000000003</c:v>
                </c:pt>
                <c:pt idx="349">
                  <c:v>5.0152999999999999</c:v>
                </c:pt>
                <c:pt idx="350">
                  <c:v>4.1123000000000003</c:v>
                </c:pt>
                <c:pt idx="351">
                  <c:v>3.8469000000000002</c:v>
                </c:pt>
                <c:pt idx="352">
                  <c:v>3.7606999999999999</c:v>
                </c:pt>
                <c:pt idx="353">
                  <c:v>3.4066999999999998</c:v>
                </c:pt>
                <c:pt idx="354">
                  <c:v>3.3050000000000002</c:v>
                </c:pt>
                <c:pt idx="355">
                  <c:v>3.1730999999999998</c:v>
                </c:pt>
                <c:pt idx="356">
                  <c:v>3.4735</c:v>
                </c:pt>
                <c:pt idx="357">
                  <c:v>2.9649999999999999</c:v>
                </c:pt>
                <c:pt idx="358">
                  <c:v>3.0493999999999999</c:v>
                </c:pt>
                <c:pt idx="359">
                  <c:v>2.9091999999999998</c:v>
                </c:pt>
                <c:pt idx="360">
                  <c:v>2.9247999999999998</c:v>
                </c:pt>
                <c:pt idx="361">
                  <c:v>2.8443999999999998</c:v>
                </c:pt>
                <c:pt idx="362">
                  <c:v>2.8990999999999998</c:v>
                </c:pt>
                <c:pt idx="363">
                  <c:v>2.9116</c:v>
                </c:pt>
                <c:pt idx="364">
                  <c:v>2.9977</c:v>
                </c:pt>
                <c:pt idx="365">
                  <c:v>2.7930999999999999</c:v>
                </c:pt>
                <c:pt idx="366">
                  <c:v>2.9074</c:v>
                </c:pt>
                <c:pt idx="367">
                  <c:v>2.9188000000000001</c:v>
                </c:pt>
                <c:pt idx="368">
                  <c:v>3.0449000000000002</c:v>
                </c:pt>
                <c:pt idx="369">
                  <c:v>3.1638999999999999</c:v>
                </c:pt>
                <c:pt idx="370">
                  <c:v>2.9089</c:v>
                </c:pt>
                <c:pt idx="371">
                  <c:v>2.4605000000000001</c:v>
                </c:pt>
                <c:pt idx="372">
                  <c:v>2.9098999999999999</c:v>
                </c:pt>
                <c:pt idx="373">
                  <c:v>2.8744999999999998</c:v>
                </c:pt>
                <c:pt idx="374">
                  <c:v>3.0331000000000001</c:v>
                </c:pt>
                <c:pt idx="375">
                  <c:v>2.9714</c:v>
                </c:pt>
                <c:pt idx="376">
                  <c:v>2.8540000000000001</c:v>
                </c:pt>
                <c:pt idx="377">
                  <c:v>2.7118000000000002</c:v>
                </c:pt>
                <c:pt idx="378">
                  <c:v>2.5528</c:v>
                </c:pt>
                <c:pt idx="379">
                  <c:v>2.4998999999999998</c:v>
                </c:pt>
                <c:pt idx="380">
                  <c:v>2.298</c:v>
                </c:pt>
                <c:pt idx="381">
                  <c:v>2.3281999999999998</c:v>
                </c:pt>
                <c:pt idx="382">
                  <c:v>2.7621000000000002</c:v>
                </c:pt>
                <c:pt idx="383">
                  <c:v>2.6356999999999999</c:v>
                </c:pt>
                <c:pt idx="384">
                  <c:v>2.4546999999999999</c:v>
                </c:pt>
                <c:pt idx="385">
                  <c:v>2.5293999999999999</c:v>
                </c:pt>
                <c:pt idx="386">
                  <c:v>2.6476000000000002</c:v>
                </c:pt>
                <c:pt idx="387">
                  <c:v>2.3769999999999998</c:v>
                </c:pt>
                <c:pt idx="388">
                  <c:v>2.3283999999999998</c:v>
                </c:pt>
                <c:pt idx="389">
                  <c:v>2.1345000000000001</c:v>
                </c:pt>
                <c:pt idx="390">
                  <c:v>1.9992000000000001</c:v>
                </c:pt>
                <c:pt idx="391">
                  <c:v>2.0074999999999998</c:v>
                </c:pt>
                <c:pt idx="392">
                  <c:v>2.0106999999999999</c:v>
                </c:pt>
                <c:pt idx="393">
                  <c:v>1.9890000000000001</c:v>
                </c:pt>
                <c:pt idx="394">
                  <c:v>2.0428999999999999</c:v>
                </c:pt>
                <c:pt idx="395">
                  <c:v>2.1213000000000002</c:v>
                </c:pt>
                <c:pt idx="396">
                  <c:v>2.004</c:v>
                </c:pt>
                <c:pt idx="397">
                  <c:v>1.9793000000000001</c:v>
                </c:pt>
                <c:pt idx="398">
                  <c:v>2.0286</c:v>
                </c:pt>
                <c:pt idx="399">
                  <c:v>2.06</c:v>
                </c:pt>
                <c:pt idx="400">
                  <c:v>1.819</c:v>
                </c:pt>
                <c:pt idx="401">
                  <c:v>2.1823999999999999</c:v>
                </c:pt>
                <c:pt idx="402">
                  <c:v>2.1800999999999999</c:v>
                </c:pt>
                <c:pt idx="403">
                  <c:v>2.2673999999999999</c:v>
                </c:pt>
                <c:pt idx="404">
                  <c:v>2.3237000000000001</c:v>
                </c:pt>
                <c:pt idx="405">
                  <c:v>2.3250000000000002</c:v>
                </c:pt>
                <c:pt idx="406">
                  <c:v>2.2964000000000002</c:v>
                </c:pt>
                <c:pt idx="407">
                  <c:v>2.3668999999999998</c:v>
                </c:pt>
                <c:pt idx="408">
                  <c:v>2.2307000000000001</c:v>
                </c:pt>
                <c:pt idx="409">
                  <c:v>2.2242999999999999</c:v>
                </c:pt>
                <c:pt idx="410">
                  <c:v>2.2320000000000002</c:v>
                </c:pt>
                <c:pt idx="411">
                  <c:v>2.1356999999999999</c:v>
                </c:pt>
                <c:pt idx="412">
                  <c:v>2.0790999999999999</c:v>
                </c:pt>
                <c:pt idx="413">
                  <c:v>2.1055000000000001</c:v>
                </c:pt>
                <c:pt idx="414">
                  <c:v>2.1743000000000001</c:v>
                </c:pt>
                <c:pt idx="415">
                  <c:v>2.1536</c:v>
                </c:pt>
                <c:pt idx="416">
                  <c:v>2.2746</c:v>
                </c:pt>
                <c:pt idx="417">
                  <c:v>2.3237000000000001</c:v>
                </c:pt>
                <c:pt idx="418">
                  <c:v>2.3237000000000001</c:v>
                </c:pt>
                <c:pt idx="419">
                  <c:v>2.2766999999999999</c:v>
                </c:pt>
                <c:pt idx="420">
                  <c:v>2.4049999999999998</c:v>
                </c:pt>
                <c:pt idx="421">
                  <c:v>2.3885000000000001</c:v>
                </c:pt>
                <c:pt idx="422">
                  <c:v>2.3220999999999998</c:v>
                </c:pt>
                <c:pt idx="423">
                  <c:v>2.4914000000000001</c:v>
                </c:pt>
                <c:pt idx="424">
                  <c:v>2.3586</c:v>
                </c:pt>
                <c:pt idx="425">
                  <c:v>2.3199000000000001</c:v>
                </c:pt>
                <c:pt idx="426">
                  <c:v>2.2521</c:v>
                </c:pt>
                <c:pt idx="427">
                  <c:v>2.2456</c:v>
                </c:pt>
                <c:pt idx="428">
                  <c:v>2.5994999999999999</c:v>
                </c:pt>
                <c:pt idx="429">
                  <c:v>2.6726999999999999</c:v>
                </c:pt>
                <c:pt idx="430">
                  <c:v>2.6211000000000002</c:v>
                </c:pt>
                <c:pt idx="431">
                  <c:v>2.2808999999999999</c:v>
                </c:pt>
                <c:pt idx="432">
                  <c:v>2.3936000000000002</c:v>
                </c:pt>
                <c:pt idx="433">
                  <c:v>2.1069</c:v>
                </c:pt>
                <c:pt idx="434">
                  <c:v>2.0771000000000002</c:v>
                </c:pt>
                <c:pt idx="435">
                  <c:v>2.0834000000000001</c:v>
                </c:pt>
                <c:pt idx="436">
                  <c:v>2.1435</c:v>
                </c:pt>
                <c:pt idx="437">
                  <c:v>2.0825</c:v>
                </c:pt>
                <c:pt idx="438">
                  <c:v>2.0148999999999999</c:v>
                </c:pt>
                <c:pt idx="439">
                  <c:v>2.0979999999999999</c:v>
                </c:pt>
                <c:pt idx="440">
                  <c:v>2.1513</c:v>
                </c:pt>
                <c:pt idx="441">
                  <c:v>2.0733999999999999</c:v>
                </c:pt>
                <c:pt idx="442">
                  <c:v>2.1254</c:v>
                </c:pt>
                <c:pt idx="443">
                  <c:v>2.1522000000000001</c:v>
                </c:pt>
                <c:pt idx="444">
                  <c:v>2.1160000000000001</c:v>
                </c:pt>
                <c:pt idx="445">
                  <c:v>2.0869</c:v>
                </c:pt>
                <c:pt idx="446">
                  <c:v>2.0186000000000002</c:v>
                </c:pt>
                <c:pt idx="447">
                  <c:v>2.0889000000000002</c:v>
                </c:pt>
                <c:pt idx="448">
                  <c:v>1.883</c:v>
                </c:pt>
                <c:pt idx="449">
                  <c:v>1.8758999999999999</c:v>
                </c:pt>
                <c:pt idx="450">
                  <c:v>1.8697999999999999</c:v>
                </c:pt>
                <c:pt idx="451">
                  <c:v>1.8945000000000001</c:v>
                </c:pt>
                <c:pt idx="452">
                  <c:v>1.9955000000000001</c:v>
                </c:pt>
                <c:pt idx="453">
                  <c:v>1.9770000000000001</c:v>
                </c:pt>
                <c:pt idx="454">
                  <c:v>1.9025000000000001</c:v>
                </c:pt>
                <c:pt idx="455">
                  <c:v>1.9340999999999999</c:v>
                </c:pt>
                <c:pt idx="456">
                  <c:v>1.9991000000000001</c:v>
                </c:pt>
                <c:pt idx="457">
                  <c:v>2.0836000000000001</c:v>
                </c:pt>
                <c:pt idx="458">
                  <c:v>2.0901999999999998</c:v>
                </c:pt>
                <c:pt idx="459">
                  <c:v>2.1648999999999998</c:v>
                </c:pt>
                <c:pt idx="460">
                  <c:v>2.2195999999999998</c:v>
                </c:pt>
                <c:pt idx="461">
                  <c:v>2.2176999999999998</c:v>
                </c:pt>
                <c:pt idx="462">
                  <c:v>2.1922000000000001</c:v>
                </c:pt>
                <c:pt idx="463">
                  <c:v>2.1246</c:v>
                </c:pt>
                <c:pt idx="464">
                  <c:v>2.0531000000000001</c:v>
                </c:pt>
                <c:pt idx="465">
                  <c:v>2.1880999999999999</c:v>
                </c:pt>
                <c:pt idx="466">
                  <c:v>2.2269999999999999</c:v>
                </c:pt>
                <c:pt idx="467">
                  <c:v>2.1873</c:v>
                </c:pt>
                <c:pt idx="468">
                  <c:v>2.1659999999999999</c:v>
                </c:pt>
                <c:pt idx="469">
                  <c:v>2.2385999999999999</c:v>
                </c:pt>
                <c:pt idx="470">
                  <c:v>2.2747000000000002</c:v>
                </c:pt>
                <c:pt idx="471">
                  <c:v>2.4013</c:v>
                </c:pt>
                <c:pt idx="472">
                  <c:v>2.3424</c:v>
                </c:pt>
                <c:pt idx="473">
                  <c:v>2.2511999999999999</c:v>
                </c:pt>
                <c:pt idx="474">
                  <c:v>2.2084999999999999</c:v>
                </c:pt>
                <c:pt idx="475">
                  <c:v>2.1955</c:v>
                </c:pt>
                <c:pt idx="476">
                  <c:v>2.1120999999999999</c:v>
                </c:pt>
                <c:pt idx="477">
                  <c:v>2.0674000000000001</c:v>
                </c:pt>
                <c:pt idx="478">
                  <c:v>2.0611999999999999</c:v>
                </c:pt>
                <c:pt idx="479">
                  <c:v>2.1429</c:v>
                </c:pt>
                <c:pt idx="480">
                  <c:v>2.1113</c:v>
                </c:pt>
                <c:pt idx="481">
                  <c:v>2.1143000000000001</c:v>
                </c:pt>
                <c:pt idx="482">
                  <c:v>2.0867</c:v>
                </c:pt>
                <c:pt idx="483">
                  <c:v>2.1922000000000001</c:v>
                </c:pt>
                <c:pt idx="484">
                  <c:v>2.2004000000000001</c:v>
                </c:pt>
                <c:pt idx="485">
                  <c:v>2.2305000000000001</c:v>
                </c:pt>
                <c:pt idx="486">
                  <c:v>2.2448999999999999</c:v>
                </c:pt>
                <c:pt idx="487">
                  <c:v>2.1768999999999998</c:v>
                </c:pt>
                <c:pt idx="488">
                  <c:v>2.1701000000000001</c:v>
                </c:pt>
                <c:pt idx="489">
                  <c:v>2.21</c:v>
                </c:pt>
                <c:pt idx="490">
                  <c:v>2.1551999999999998</c:v>
                </c:pt>
                <c:pt idx="491">
                  <c:v>1.9532</c:v>
                </c:pt>
                <c:pt idx="492">
                  <c:v>2.1072000000000002</c:v>
                </c:pt>
                <c:pt idx="493">
                  <c:v>1.9726999999999999</c:v>
                </c:pt>
                <c:pt idx="494">
                  <c:v>2.2195999999999998</c:v>
                </c:pt>
                <c:pt idx="495">
                  <c:v>2.319</c:v>
                </c:pt>
                <c:pt idx="496">
                  <c:v>2.3894000000000002</c:v>
                </c:pt>
                <c:pt idx="497">
                  <c:v>2.472</c:v>
                </c:pt>
                <c:pt idx="498">
                  <c:v>2.4710999999999999</c:v>
                </c:pt>
                <c:pt idx="499">
                  <c:v>2.5002</c:v>
                </c:pt>
                <c:pt idx="500">
                  <c:v>2.6122000000000001</c:v>
                </c:pt>
                <c:pt idx="501">
                  <c:v>2.6248999999999998</c:v>
                </c:pt>
                <c:pt idx="502">
                  <c:v>2.5977999999999999</c:v>
                </c:pt>
                <c:pt idx="503">
                  <c:v>2.5691000000000002</c:v>
                </c:pt>
                <c:pt idx="504">
                  <c:v>2.5756999999999999</c:v>
                </c:pt>
                <c:pt idx="505">
                  <c:v>2.5283000000000002</c:v>
                </c:pt>
                <c:pt idx="506">
                  <c:v>2.5015000000000001</c:v>
                </c:pt>
                <c:pt idx="507">
                  <c:v>2.5581999999999998</c:v>
                </c:pt>
                <c:pt idx="508">
                  <c:v>2.5495000000000001</c:v>
                </c:pt>
                <c:pt idx="509">
                  <c:v>2.4821</c:v>
                </c:pt>
                <c:pt idx="510">
                  <c:v>2.7418</c:v>
                </c:pt>
                <c:pt idx="511">
                  <c:v>2.5528</c:v>
                </c:pt>
                <c:pt idx="512">
                  <c:v>3.1398999999999999</c:v>
                </c:pt>
                <c:pt idx="513">
                  <c:v>3.4447999999999999</c:v>
                </c:pt>
                <c:pt idx="514">
                  <c:v>3.2431999999999999</c:v>
                </c:pt>
                <c:pt idx="515">
                  <c:v>3.3860999999999999</c:v>
                </c:pt>
                <c:pt idx="516">
                  <c:v>3.3512</c:v>
                </c:pt>
                <c:pt idx="517">
                  <c:v>3.2635000000000001</c:v>
                </c:pt>
                <c:pt idx="518">
                  <c:v>3.2235</c:v>
                </c:pt>
                <c:pt idx="519">
                  <c:v>3.3666</c:v>
                </c:pt>
                <c:pt idx="520">
                  <c:v>3.4346999999999999</c:v>
                </c:pt>
                <c:pt idx="521">
                  <c:v>3.6791</c:v>
                </c:pt>
                <c:pt idx="522">
                  <c:v>3.5188000000000001</c:v>
                </c:pt>
                <c:pt idx="523">
                  <c:v>3.5758000000000001</c:v>
                </c:pt>
                <c:pt idx="524">
                  <c:v>3.3885000000000001</c:v>
                </c:pt>
                <c:pt idx="525">
                  <c:v>3.8546</c:v>
                </c:pt>
                <c:pt idx="526">
                  <c:v>3.6246999999999998</c:v>
                </c:pt>
                <c:pt idx="527">
                  <c:v>3.8319999999999999</c:v>
                </c:pt>
                <c:pt idx="528">
                  <c:v>4.0323000000000002</c:v>
                </c:pt>
                <c:pt idx="529">
                  <c:v>4.2401</c:v>
                </c:pt>
                <c:pt idx="530">
                  <c:v>4.0674999999999999</c:v>
                </c:pt>
                <c:pt idx="531">
                  <c:v>4.1093999999999999</c:v>
                </c:pt>
                <c:pt idx="532">
                  <c:v>4.1356000000000002</c:v>
                </c:pt>
                <c:pt idx="533">
                  <c:v>4.3605</c:v>
                </c:pt>
                <c:pt idx="534">
                  <c:v>4.01</c:v>
                </c:pt>
                <c:pt idx="535">
                  <c:v>4.2557999999999998</c:v>
                </c:pt>
                <c:pt idx="536">
                  <c:v>3.6924000000000001</c:v>
                </c:pt>
                <c:pt idx="537">
                  <c:v>3.3820000000000001</c:v>
                </c:pt>
                <c:pt idx="538">
                  <c:v>3.081</c:v>
                </c:pt>
                <c:pt idx="539">
                  <c:v>3.2286999999999999</c:v>
                </c:pt>
                <c:pt idx="540">
                  <c:v>3.1114999999999999</c:v>
                </c:pt>
                <c:pt idx="541">
                  <c:v>3.2437999999999998</c:v>
                </c:pt>
                <c:pt idx="542">
                  <c:v>3.0703</c:v>
                </c:pt>
                <c:pt idx="543">
                  <c:v>2.8929999999999998</c:v>
                </c:pt>
                <c:pt idx="544">
                  <c:v>3.0390000000000001</c:v>
                </c:pt>
                <c:pt idx="545">
                  <c:v>2.8401000000000001</c:v>
                </c:pt>
                <c:pt idx="546">
                  <c:v>2.8027000000000002</c:v>
                </c:pt>
                <c:pt idx="547">
                  <c:v>2.7810000000000001</c:v>
                </c:pt>
                <c:pt idx="548">
                  <c:v>2.8323</c:v>
                </c:pt>
                <c:pt idx="549">
                  <c:v>2.8275000000000001</c:v>
                </c:pt>
                <c:pt idx="550">
                  <c:v>2.9859</c:v>
                </c:pt>
                <c:pt idx="551">
                  <c:v>3.0579000000000001</c:v>
                </c:pt>
                <c:pt idx="552">
                  <c:v>3.0306000000000002</c:v>
                </c:pt>
                <c:pt idx="553">
                  <c:v>3.1880999999999999</c:v>
                </c:pt>
                <c:pt idx="554">
                  <c:v>3.1057000000000001</c:v>
                </c:pt>
                <c:pt idx="555">
                  <c:v>3.0226999999999999</c:v>
                </c:pt>
                <c:pt idx="556">
                  <c:v>2.7682000000000002</c:v>
                </c:pt>
                <c:pt idx="557">
                  <c:v>2.9824999999999999</c:v>
                </c:pt>
                <c:pt idx="558">
                  <c:v>3.0078999999999998</c:v>
                </c:pt>
                <c:pt idx="559">
                  <c:v>3.17</c:v>
                </c:pt>
                <c:pt idx="560">
                  <c:v>3.101</c:v>
                </c:pt>
                <c:pt idx="561">
                  <c:v>3.2149999999999999</c:v>
                </c:pt>
                <c:pt idx="562">
                  <c:v>2.9557000000000002</c:v>
                </c:pt>
                <c:pt idx="563">
                  <c:v>2.8999000000000001</c:v>
                </c:pt>
                <c:pt idx="564">
                  <c:v>2.8220999999999998</c:v>
                </c:pt>
                <c:pt idx="565">
                  <c:v>2.6819999999999999</c:v>
                </c:pt>
                <c:pt idx="566">
                  <c:v>2.5434000000000001</c:v>
                </c:pt>
                <c:pt idx="567">
                  <c:v>2.5310000000000001</c:v>
                </c:pt>
                <c:pt idx="568">
                  <c:v>2.6520000000000001</c:v>
                </c:pt>
                <c:pt idx="569">
                  <c:v>2.5105</c:v>
                </c:pt>
                <c:pt idx="570">
                  <c:v>2.4388000000000001</c:v>
                </c:pt>
                <c:pt idx="571">
                  <c:v>2.2844000000000002</c:v>
                </c:pt>
                <c:pt idx="572">
                  <c:v>2.3294000000000001</c:v>
                </c:pt>
                <c:pt idx="573">
                  <c:v>2.2764000000000002</c:v>
                </c:pt>
                <c:pt idx="574">
                  <c:v>2.3347000000000002</c:v>
                </c:pt>
                <c:pt idx="575">
                  <c:v>2.3984999999999999</c:v>
                </c:pt>
                <c:pt idx="576">
                  <c:v>2.3576000000000001</c:v>
                </c:pt>
                <c:pt idx="577">
                  <c:v>2.4121999999999999</c:v>
                </c:pt>
                <c:pt idx="578">
                  <c:v>2.3679000000000001</c:v>
                </c:pt>
                <c:pt idx="579">
                  <c:v>2.3132000000000001</c:v>
                </c:pt>
                <c:pt idx="580">
                  <c:v>2.4849000000000001</c:v>
                </c:pt>
                <c:pt idx="581">
                  <c:v>2.5790000000000002</c:v>
                </c:pt>
                <c:pt idx="582">
                  <c:v>2.6265000000000001</c:v>
                </c:pt>
                <c:pt idx="583">
                  <c:v>2.7837000000000001</c:v>
                </c:pt>
                <c:pt idx="584">
                  <c:v>2.68</c:v>
                </c:pt>
                <c:pt idx="585">
                  <c:v>2.5895000000000001</c:v>
                </c:pt>
                <c:pt idx="586">
                  <c:v>2.6162000000000001</c:v>
                </c:pt>
                <c:pt idx="587">
                  <c:v>2.6246999999999998</c:v>
                </c:pt>
                <c:pt idx="588">
                  <c:v>2.6625000000000001</c:v>
                </c:pt>
                <c:pt idx="589">
                  <c:v>2.6791</c:v>
                </c:pt>
                <c:pt idx="590">
                  <c:v>2.613</c:v>
                </c:pt>
                <c:pt idx="591">
                  <c:v>2.6278999999999999</c:v>
                </c:pt>
                <c:pt idx="592">
                  <c:v>2.5882999999999998</c:v>
                </c:pt>
                <c:pt idx="593">
                  <c:v>2.6953</c:v>
                </c:pt>
                <c:pt idx="594">
                  <c:v>2.6655000000000002</c:v>
                </c:pt>
                <c:pt idx="595">
                  <c:v>2.6133000000000002</c:v>
                </c:pt>
                <c:pt idx="596">
                  <c:v>2.8862000000000001</c:v>
                </c:pt>
                <c:pt idx="597">
                  <c:v>2.9014000000000002</c:v>
                </c:pt>
                <c:pt idx="598">
                  <c:v>2.9430999999999998</c:v>
                </c:pt>
                <c:pt idx="599">
                  <c:v>2.8849999999999998</c:v>
                </c:pt>
                <c:pt idx="600">
                  <c:v>2.9241000000000001</c:v>
                </c:pt>
                <c:pt idx="601">
                  <c:v>2.9333</c:v>
                </c:pt>
                <c:pt idx="602">
                  <c:v>2.9975000000000001</c:v>
                </c:pt>
                <c:pt idx="603">
                  <c:v>3.0415000000000001</c:v>
                </c:pt>
                <c:pt idx="604">
                  <c:v>2.8961000000000001</c:v>
                </c:pt>
                <c:pt idx="605">
                  <c:v>2.9664000000000001</c:v>
                </c:pt>
                <c:pt idx="606">
                  <c:v>2.806</c:v>
                </c:pt>
                <c:pt idx="607">
                  <c:v>2.9241000000000001</c:v>
                </c:pt>
                <c:pt idx="608">
                  <c:v>2.8729</c:v>
                </c:pt>
                <c:pt idx="609">
                  <c:v>2.8319000000000001</c:v>
                </c:pt>
                <c:pt idx="610">
                  <c:v>2.7092999999999998</c:v>
                </c:pt>
                <c:pt idx="611">
                  <c:v>2.6964999999999999</c:v>
                </c:pt>
                <c:pt idx="612">
                  <c:v>2.7360000000000002</c:v>
                </c:pt>
                <c:pt idx="613">
                  <c:v>2.6433</c:v>
                </c:pt>
                <c:pt idx="614">
                  <c:v>2.7593999999999999</c:v>
                </c:pt>
                <c:pt idx="615">
                  <c:v>2.7970999999999999</c:v>
                </c:pt>
                <c:pt idx="616">
                  <c:v>2.6435</c:v>
                </c:pt>
                <c:pt idx="617">
                  <c:v>2.8239999999999998</c:v>
                </c:pt>
                <c:pt idx="618">
                  <c:v>2.8353000000000002</c:v>
                </c:pt>
                <c:pt idx="619">
                  <c:v>2.7530000000000001</c:v>
                </c:pt>
                <c:pt idx="620">
                  <c:v>2.6234000000000002</c:v>
                </c:pt>
                <c:pt idx="621">
                  <c:v>2.6261999999999999</c:v>
                </c:pt>
                <c:pt idx="622">
                  <c:v>2.4901</c:v>
                </c:pt>
                <c:pt idx="623">
                  <c:v>2.5449999999999999</c:v>
                </c:pt>
                <c:pt idx="624">
                  <c:v>2.5695999999999999</c:v>
                </c:pt>
                <c:pt idx="625">
                  <c:v>2.5103</c:v>
                </c:pt>
                <c:pt idx="626">
                  <c:v>2.4260000000000002</c:v>
                </c:pt>
                <c:pt idx="627">
                  <c:v>2.5535999999999999</c:v>
                </c:pt>
                <c:pt idx="628">
                  <c:v>2.8106</c:v>
                </c:pt>
                <c:pt idx="629">
                  <c:v>2.75</c:v>
                </c:pt>
                <c:pt idx="630">
                  <c:v>2.718</c:v>
                </c:pt>
                <c:pt idx="631">
                  <c:v>2.6574</c:v>
                </c:pt>
                <c:pt idx="632">
                  <c:v>2.7502</c:v>
                </c:pt>
                <c:pt idx="633">
                  <c:v>2.7766000000000002</c:v>
                </c:pt>
                <c:pt idx="634">
                  <c:v>2.7360000000000002</c:v>
                </c:pt>
                <c:pt idx="635">
                  <c:v>2.8349000000000002</c:v>
                </c:pt>
                <c:pt idx="636">
                  <c:v>2.7974999999999999</c:v>
                </c:pt>
                <c:pt idx="637">
                  <c:v>2.7526000000000002</c:v>
                </c:pt>
                <c:pt idx="638">
                  <c:v>2.9352999999999998</c:v>
                </c:pt>
                <c:pt idx="639">
                  <c:v>2.7431999999999999</c:v>
                </c:pt>
                <c:pt idx="640">
                  <c:v>2.7418999999999998</c:v>
                </c:pt>
                <c:pt idx="641">
                  <c:v>2.7637</c:v>
                </c:pt>
                <c:pt idx="642">
                  <c:v>2.8586</c:v>
                </c:pt>
                <c:pt idx="643">
                  <c:v>2.7147999999999999</c:v>
                </c:pt>
                <c:pt idx="644">
                  <c:v>2.4980000000000002</c:v>
                </c:pt>
                <c:pt idx="645">
                  <c:v>2.3370000000000002</c:v>
                </c:pt>
                <c:pt idx="646">
                  <c:v>2.1467999999999998</c:v>
                </c:pt>
                <c:pt idx="647">
                  <c:v>2.1263000000000001</c:v>
                </c:pt>
                <c:pt idx="648">
                  <c:v>2.2421000000000002</c:v>
                </c:pt>
                <c:pt idx="649">
                  <c:v>2.3271999999999999</c:v>
                </c:pt>
                <c:pt idx="650">
                  <c:v>2.0870000000000002</c:v>
                </c:pt>
                <c:pt idx="651">
                  <c:v>2.1061999999999999</c:v>
                </c:pt>
                <c:pt idx="652">
                  <c:v>1.8989</c:v>
                </c:pt>
                <c:pt idx="653">
                  <c:v>1.9455</c:v>
                </c:pt>
                <c:pt idx="654">
                  <c:v>1.9353</c:v>
                </c:pt>
                <c:pt idx="655">
                  <c:v>2.0042</c:v>
                </c:pt>
                <c:pt idx="656">
                  <c:v>1.9735</c:v>
                </c:pt>
                <c:pt idx="657">
                  <c:v>1.9077999999999999</c:v>
                </c:pt>
                <c:pt idx="658">
                  <c:v>2.1078000000000001</c:v>
                </c:pt>
                <c:pt idx="659">
                  <c:v>2.1427</c:v>
                </c:pt>
                <c:pt idx="660">
                  <c:v>1.9609000000000001</c:v>
                </c:pt>
                <c:pt idx="661">
                  <c:v>1.9145000000000001</c:v>
                </c:pt>
                <c:pt idx="662">
                  <c:v>1.665</c:v>
                </c:pt>
                <c:pt idx="663">
                  <c:v>1.6957</c:v>
                </c:pt>
                <c:pt idx="664">
                  <c:v>1.6753</c:v>
                </c:pt>
                <c:pt idx="665">
                  <c:v>1.6671</c:v>
                </c:pt>
                <c:pt idx="666">
                  <c:v>1.6089</c:v>
                </c:pt>
                <c:pt idx="667">
                  <c:v>1.607</c:v>
                </c:pt>
                <c:pt idx="668">
                  <c:v>1.6066</c:v>
                </c:pt>
                <c:pt idx="669">
                  <c:v>1.4683999999999999</c:v>
                </c:pt>
                <c:pt idx="670">
                  <c:v>1.5617000000000001</c:v>
                </c:pt>
                <c:pt idx="671">
                  <c:v>1.5873999999999999</c:v>
                </c:pt>
                <c:pt idx="672">
                  <c:v>1.7545999999999999</c:v>
                </c:pt>
                <c:pt idx="673">
                  <c:v>1.7110000000000001</c:v>
                </c:pt>
                <c:pt idx="674">
                  <c:v>1.7611000000000001</c:v>
                </c:pt>
                <c:pt idx="675">
                  <c:v>1.6777</c:v>
                </c:pt>
                <c:pt idx="676">
                  <c:v>1.4724999999999999</c:v>
                </c:pt>
                <c:pt idx="677">
                  <c:v>1.6618999999999999</c:v>
                </c:pt>
                <c:pt idx="678">
                  <c:v>1.6825000000000001</c:v>
                </c:pt>
                <c:pt idx="679">
                  <c:v>1.6318999999999999</c:v>
                </c:pt>
                <c:pt idx="680">
                  <c:v>1.3997999999999999</c:v>
                </c:pt>
                <c:pt idx="681">
                  <c:v>1.3645</c:v>
                </c:pt>
                <c:pt idx="682">
                  <c:v>1.3231999999999999</c:v>
                </c:pt>
                <c:pt idx="683">
                  <c:v>1.5451999999999999</c:v>
                </c:pt>
                <c:pt idx="684">
                  <c:v>1.5859000000000001</c:v>
                </c:pt>
                <c:pt idx="685">
                  <c:v>1.7674000000000001</c:v>
                </c:pt>
                <c:pt idx="686">
                  <c:v>1.319</c:v>
                </c:pt>
                <c:pt idx="687">
                  <c:v>2.5102000000000002</c:v>
                </c:pt>
                <c:pt idx="688">
                  <c:v>2.5943000000000001</c:v>
                </c:pt>
                <c:pt idx="689">
                  <c:v>2.5396000000000001</c:v>
                </c:pt>
                <c:pt idx="690">
                  <c:v>2.5893999999999999</c:v>
                </c:pt>
                <c:pt idx="691">
                  <c:v>2.9857</c:v>
                </c:pt>
                <c:pt idx="692">
                  <c:v>3.1747999999999998</c:v>
                </c:pt>
                <c:pt idx="693">
                  <c:v>3.0895000000000001</c:v>
                </c:pt>
                <c:pt idx="694">
                  <c:v>3.1</c:v>
                </c:pt>
                <c:pt idx="695">
                  <c:v>2.7595000000000001</c:v>
                </c:pt>
                <c:pt idx="696">
                  <c:v>2.8001</c:v>
                </c:pt>
                <c:pt idx="697">
                  <c:v>2.6135000000000002</c:v>
                </c:pt>
                <c:pt idx="698">
                  <c:v>2.7328999999999999</c:v>
                </c:pt>
                <c:pt idx="699">
                  <c:v>2.7845</c:v>
                </c:pt>
                <c:pt idx="700">
                  <c:v>2.8</c:v>
                </c:pt>
                <c:pt idx="701">
                  <c:v>2.7538999999999998</c:v>
                </c:pt>
                <c:pt idx="702">
                  <c:v>2.8117999999999999</c:v>
                </c:pt>
                <c:pt idx="703">
                  <c:v>3.1850000000000001</c:v>
                </c:pt>
                <c:pt idx="704">
                  <c:v>3.52</c:v>
                </c:pt>
                <c:pt idx="705">
                  <c:v>3.2997999999999998</c:v>
                </c:pt>
                <c:pt idx="706">
                  <c:v>3.4817999999999998</c:v>
                </c:pt>
                <c:pt idx="707">
                  <c:v>3.6124000000000001</c:v>
                </c:pt>
                <c:pt idx="708">
                  <c:v>3.5539000000000001</c:v>
                </c:pt>
                <c:pt idx="709">
                  <c:v>3.4327999999999999</c:v>
                </c:pt>
                <c:pt idx="710">
                  <c:v>3.1608999999999998</c:v>
                </c:pt>
                <c:pt idx="711">
                  <c:v>3.2498999999999998</c:v>
                </c:pt>
                <c:pt idx="712">
                  <c:v>3.2048000000000001</c:v>
                </c:pt>
                <c:pt idx="713">
                  <c:v>3.4796999999999998</c:v>
                </c:pt>
                <c:pt idx="714">
                  <c:v>3.1238999999999999</c:v>
                </c:pt>
                <c:pt idx="715">
                  <c:v>3.3001</c:v>
                </c:pt>
                <c:pt idx="716">
                  <c:v>2.9114</c:v>
                </c:pt>
                <c:pt idx="717">
                  <c:v>2.6219999999999999</c:v>
                </c:pt>
                <c:pt idx="718">
                  <c:v>2.6423000000000001</c:v>
                </c:pt>
                <c:pt idx="719">
                  <c:v>2.2947000000000002</c:v>
                </c:pt>
                <c:pt idx="720">
                  <c:v>2.19</c:v>
                </c:pt>
                <c:pt idx="721">
                  <c:v>2.1690999999999998</c:v>
                </c:pt>
                <c:pt idx="722">
                  <c:v>2.1440999999999999</c:v>
                </c:pt>
                <c:pt idx="723">
                  <c:v>1.923</c:v>
                </c:pt>
                <c:pt idx="724">
                  <c:v>1.9967999999999999</c:v>
                </c:pt>
                <c:pt idx="725">
                  <c:v>1.929</c:v>
                </c:pt>
                <c:pt idx="726">
                  <c:v>1.7490000000000001</c:v>
                </c:pt>
                <c:pt idx="727">
                  <c:v>1.6564000000000001</c:v>
                </c:pt>
                <c:pt idx="728">
                  <c:v>1.6773</c:v>
                </c:pt>
                <c:pt idx="729">
                  <c:v>1.5698000000000001</c:v>
                </c:pt>
                <c:pt idx="730">
                  <c:v>1.5508</c:v>
                </c:pt>
                <c:pt idx="731">
                  <c:v>1.5206999999999999</c:v>
                </c:pt>
                <c:pt idx="732">
                  <c:v>1.5256000000000001</c:v>
                </c:pt>
                <c:pt idx="733">
                  <c:v>1.4946999999999999</c:v>
                </c:pt>
                <c:pt idx="734">
                  <c:v>1.5144</c:v>
                </c:pt>
                <c:pt idx="735">
                  <c:v>1.5590999999999999</c:v>
                </c:pt>
                <c:pt idx="736">
                  <c:v>1.5936999999999999</c:v>
                </c:pt>
                <c:pt idx="737">
                  <c:v>1.536</c:v>
                </c:pt>
                <c:pt idx="738">
                  <c:v>1.5929</c:v>
                </c:pt>
                <c:pt idx="739">
                  <c:v>1.4267000000000001</c:v>
                </c:pt>
                <c:pt idx="740">
                  <c:v>1.4805999999999999</c:v>
                </c:pt>
                <c:pt idx="741">
                  <c:v>1.4770000000000001</c:v>
                </c:pt>
                <c:pt idx="742">
                  <c:v>1.4936</c:v>
                </c:pt>
                <c:pt idx="743">
                  <c:v>1.3452999999999999</c:v>
                </c:pt>
                <c:pt idx="744">
                  <c:v>1.3248</c:v>
                </c:pt>
                <c:pt idx="745">
                  <c:v>1.2743</c:v>
                </c:pt>
                <c:pt idx="746">
                  <c:v>1.3071999999999999</c:v>
                </c:pt>
                <c:pt idx="747">
                  <c:v>1.3041</c:v>
                </c:pt>
                <c:pt idx="748">
                  <c:v>1.3064</c:v>
                </c:pt>
                <c:pt idx="749">
                  <c:v>1.2810999999999999</c:v>
                </c:pt>
                <c:pt idx="750">
                  <c:v>1.3307</c:v>
                </c:pt>
                <c:pt idx="751">
                  <c:v>1.2928999999999999</c:v>
                </c:pt>
                <c:pt idx="752">
                  <c:v>1.3047</c:v>
                </c:pt>
                <c:pt idx="753">
                  <c:v>1.2544999999999999</c:v>
                </c:pt>
                <c:pt idx="754">
                  <c:v>1.2557</c:v>
                </c:pt>
                <c:pt idx="755">
                  <c:v>1.2785</c:v>
                </c:pt>
                <c:pt idx="756">
                  <c:v>1.2427999999999999</c:v>
                </c:pt>
                <c:pt idx="757">
                  <c:v>1.37</c:v>
                </c:pt>
                <c:pt idx="758">
                  <c:v>1.3532999999999999</c:v>
                </c:pt>
                <c:pt idx="759">
                  <c:v>1.3297000000000001</c:v>
                </c:pt>
                <c:pt idx="760">
                  <c:v>1.3113999999999999</c:v>
                </c:pt>
                <c:pt idx="761">
                  <c:v>1.3281000000000001</c:v>
                </c:pt>
                <c:pt idx="762">
                  <c:v>1.38</c:v>
                </c:pt>
                <c:pt idx="763">
                  <c:v>1.3684000000000001</c:v>
                </c:pt>
                <c:pt idx="764">
                  <c:v>1.4016</c:v>
                </c:pt>
                <c:pt idx="765">
                  <c:v>1.4824999999999999</c:v>
                </c:pt>
                <c:pt idx="766">
                  <c:v>1.5155000000000001</c:v>
                </c:pt>
                <c:pt idx="767">
                  <c:v>1.464</c:v>
                </c:pt>
                <c:pt idx="768">
                  <c:v>1.4709000000000001</c:v>
                </c:pt>
                <c:pt idx="769">
                  <c:v>1.6045</c:v>
                </c:pt>
                <c:pt idx="770">
                  <c:v>1.5007999999999999</c:v>
                </c:pt>
                <c:pt idx="771">
                  <c:v>1.5839000000000001</c:v>
                </c:pt>
                <c:pt idx="772">
                  <c:v>1.5429999999999999</c:v>
                </c:pt>
                <c:pt idx="773">
                  <c:v>1.6657</c:v>
                </c:pt>
                <c:pt idx="774">
                  <c:v>1.6715</c:v>
                </c:pt>
                <c:pt idx="775">
                  <c:v>1.6768000000000001</c:v>
                </c:pt>
                <c:pt idx="776">
                  <c:v>1.7685</c:v>
                </c:pt>
                <c:pt idx="777">
                  <c:v>1.7583</c:v>
                </c:pt>
                <c:pt idx="778">
                  <c:v>1.5725</c:v>
                </c:pt>
                <c:pt idx="779">
                  <c:v>1.4754</c:v>
                </c:pt>
                <c:pt idx="780">
                  <c:v>1.5497000000000001</c:v>
                </c:pt>
                <c:pt idx="781">
                  <c:v>1.5998000000000001</c:v>
                </c:pt>
                <c:pt idx="782">
                  <c:v>1.4379999999999999</c:v>
                </c:pt>
                <c:pt idx="783">
                  <c:v>1.3774</c:v>
                </c:pt>
                <c:pt idx="784">
                  <c:v>1.2887</c:v>
                </c:pt>
                <c:pt idx="785">
                  <c:v>1.2411000000000001</c:v>
                </c:pt>
                <c:pt idx="786">
                  <c:v>1.2904</c:v>
                </c:pt>
                <c:pt idx="787">
                  <c:v>1.2394000000000001</c:v>
                </c:pt>
                <c:pt idx="788">
                  <c:v>1.2526999999999999</c:v>
                </c:pt>
                <c:pt idx="789">
                  <c:v>1.3335999999999999</c:v>
                </c:pt>
                <c:pt idx="790">
                  <c:v>1.3068</c:v>
                </c:pt>
                <c:pt idx="791">
                  <c:v>1.2725</c:v>
                </c:pt>
                <c:pt idx="792">
                  <c:v>1.2542</c:v>
                </c:pt>
                <c:pt idx="793">
                  <c:v>1.2383999999999999</c:v>
                </c:pt>
                <c:pt idx="794">
                  <c:v>1.228</c:v>
                </c:pt>
                <c:pt idx="795">
                  <c:v>1.3099000000000001</c:v>
                </c:pt>
                <c:pt idx="796">
                  <c:v>1.3802000000000001</c:v>
                </c:pt>
                <c:pt idx="797">
                  <c:v>1.2199</c:v>
                </c:pt>
                <c:pt idx="798">
                  <c:v>1.2158</c:v>
                </c:pt>
                <c:pt idx="799">
                  <c:v>1.2144999999999999</c:v>
                </c:pt>
                <c:pt idx="800">
                  <c:v>1.2036</c:v>
                </c:pt>
                <c:pt idx="801">
                  <c:v>1.2121999999999999</c:v>
                </c:pt>
                <c:pt idx="802">
                  <c:v>1.1552</c:v>
                </c:pt>
                <c:pt idx="803">
                  <c:v>1.1546000000000001</c:v>
                </c:pt>
                <c:pt idx="804">
                  <c:v>1.17</c:v>
                </c:pt>
                <c:pt idx="805">
                  <c:v>1.2161999999999999</c:v>
                </c:pt>
                <c:pt idx="806">
                  <c:v>1.1314</c:v>
                </c:pt>
                <c:pt idx="807">
                  <c:v>1.1655</c:v>
                </c:pt>
                <c:pt idx="808">
                  <c:v>1.1706000000000001</c:v>
                </c:pt>
                <c:pt idx="809">
                  <c:v>1.2237</c:v>
                </c:pt>
                <c:pt idx="810">
                  <c:v>1.2658</c:v>
                </c:pt>
                <c:pt idx="811">
                  <c:v>1.1658999999999999</c:v>
                </c:pt>
                <c:pt idx="812">
                  <c:v>1.2079</c:v>
                </c:pt>
                <c:pt idx="813">
                  <c:v>1.0156000000000001</c:v>
                </c:pt>
                <c:pt idx="814">
                  <c:v>0.92430000000000001</c:v>
                </c:pt>
                <c:pt idx="815">
                  <c:v>0.88590000000000002</c:v>
                </c:pt>
                <c:pt idx="816">
                  <c:v>0.86660000000000004</c:v>
                </c:pt>
                <c:pt idx="817">
                  <c:v>0.8619</c:v>
                </c:pt>
                <c:pt idx="818">
                  <c:v>0.87280000000000002</c:v>
                </c:pt>
                <c:pt idx="819">
                  <c:v>0.88319999999999999</c:v>
                </c:pt>
                <c:pt idx="820">
                  <c:v>0.87549999999999994</c:v>
                </c:pt>
                <c:pt idx="821">
                  <c:v>0.84189999999999998</c:v>
                </c:pt>
                <c:pt idx="822">
                  <c:v>0.85</c:v>
                </c:pt>
                <c:pt idx="823">
                  <c:v>0.86029999999999995</c:v>
                </c:pt>
                <c:pt idx="824">
                  <c:v>0.83460000000000001</c:v>
                </c:pt>
                <c:pt idx="825">
                  <c:v>0.83479999999999999</c:v>
                </c:pt>
                <c:pt idx="826">
                  <c:v>0.75900000000000001</c:v>
                </c:pt>
                <c:pt idx="827">
                  <c:v>0.75849999999999995</c:v>
                </c:pt>
                <c:pt idx="828">
                  <c:v>0.83350000000000002</c:v>
                </c:pt>
                <c:pt idx="829">
                  <c:v>0.86439999999999995</c:v>
                </c:pt>
                <c:pt idx="830">
                  <c:v>0.87929999999999997</c:v>
                </c:pt>
                <c:pt idx="831">
                  <c:v>0.86180000000000001</c:v>
                </c:pt>
                <c:pt idx="832">
                  <c:v>0.87919999999999998</c:v>
                </c:pt>
                <c:pt idx="833">
                  <c:v>0.89229999999999998</c:v>
                </c:pt>
                <c:pt idx="834">
                  <c:v>0.87309999999999999</c:v>
                </c:pt>
                <c:pt idx="835">
                  <c:v>0.90559999999999996</c:v>
                </c:pt>
                <c:pt idx="836">
                  <c:v>0.93630000000000002</c:v>
                </c:pt>
                <c:pt idx="837">
                  <c:v>0.90310000000000001</c:v>
                </c:pt>
                <c:pt idx="838">
                  <c:v>0.89</c:v>
                </c:pt>
                <c:pt idx="839">
                  <c:v>0.9052</c:v>
                </c:pt>
                <c:pt idx="840">
                  <c:v>0.91400000000000003</c:v>
                </c:pt>
                <c:pt idx="841">
                  <c:v>0.93320000000000003</c:v>
                </c:pt>
                <c:pt idx="842">
                  <c:v>0.8982</c:v>
                </c:pt>
                <c:pt idx="843">
                  <c:v>0.89829999999999999</c:v>
                </c:pt>
                <c:pt idx="844">
                  <c:v>0.86409999999999998</c:v>
                </c:pt>
                <c:pt idx="845">
                  <c:v>0.90939999999999999</c:v>
                </c:pt>
                <c:pt idx="846">
                  <c:v>0.9194</c:v>
                </c:pt>
                <c:pt idx="847">
                  <c:v>0.92989999999999995</c:v>
                </c:pt>
                <c:pt idx="848">
                  <c:v>0.94279999999999997</c:v>
                </c:pt>
                <c:pt idx="849">
                  <c:v>0.95020000000000004</c:v>
                </c:pt>
                <c:pt idx="850">
                  <c:v>0.90180000000000005</c:v>
                </c:pt>
                <c:pt idx="851">
                  <c:v>0.88170000000000004</c:v>
                </c:pt>
                <c:pt idx="852">
                  <c:v>0.89019999999999999</c:v>
                </c:pt>
                <c:pt idx="853">
                  <c:v>0.88449999999999995</c:v>
                </c:pt>
                <c:pt idx="854">
                  <c:v>0.85029999999999994</c:v>
                </c:pt>
                <c:pt idx="855">
                  <c:v>0.85170000000000001</c:v>
                </c:pt>
                <c:pt idx="856">
                  <c:v>0.85970000000000002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D7-4E30-B1F1-2F73882D5DA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3.8742129773236931</c:v>
                </c:pt>
                <c:pt idx="1">
                  <c:v>3.875840390227693</c:v>
                </c:pt>
                <c:pt idx="2">
                  <c:v>3.8975900291425876</c:v>
                </c:pt>
                <c:pt idx="3">
                  <c:v>3.9024852683560707</c:v>
                </c:pt>
                <c:pt idx="4">
                  <c:v>3.8603164291394347</c:v>
                </c:pt>
                <c:pt idx="5">
                  <c:v>3.8388420885078554</c:v>
                </c:pt>
                <c:pt idx="6">
                  <c:v>3.866334936454269</c:v>
                </c:pt>
                <c:pt idx="7">
                  <c:v>3.933087601770676</c:v>
                </c:pt>
                <c:pt idx="8">
                  <c:v>3.961082204782961</c:v>
                </c:pt>
                <c:pt idx="9">
                  <c:v>3.9853485152174848</c:v>
                </c:pt>
                <c:pt idx="10">
                  <c:v>3.9710054668841517</c:v>
                </c:pt>
                <c:pt idx="11">
                  <c:v>3.9868666712227099</c:v>
                </c:pt>
                <c:pt idx="12">
                  <c:v>3.980666273087575</c:v>
                </c:pt>
                <c:pt idx="13">
                  <c:v>3.9864587931542412</c:v>
                </c:pt>
                <c:pt idx="14">
                  <c:v>3.9651770325705678</c:v>
                </c:pt>
                <c:pt idx="15">
                  <c:v>4.0022228854234205</c:v>
                </c:pt>
                <c:pt idx="16">
                  <c:v>3.9733091291377063</c:v>
                </c:pt>
                <c:pt idx="17">
                  <c:v>3.9517586056377056</c:v>
                </c:pt>
                <c:pt idx="18">
                  <c:v>3.9510669401646767</c:v>
                </c:pt>
                <c:pt idx="19">
                  <c:v>3.9352876744503913</c:v>
                </c:pt>
                <c:pt idx="20">
                  <c:v>3.957344752848829</c:v>
                </c:pt>
                <c:pt idx="21">
                  <c:v>3.9623626797821623</c:v>
                </c:pt>
                <c:pt idx="22">
                  <c:v>3.9200591015042168</c:v>
                </c:pt>
                <c:pt idx="23">
                  <c:v>3.9937665986295814</c:v>
                </c:pt>
                <c:pt idx="24">
                  <c:v>3.9595573107724387</c:v>
                </c:pt>
                <c:pt idx="25">
                  <c:v>3.9506868514942428</c:v>
                </c:pt>
                <c:pt idx="26">
                  <c:v>3.961329412866792</c:v>
                </c:pt>
                <c:pt idx="27">
                  <c:v>3.8909824460954914</c:v>
                </c:pt>
                <c:pt idx="28">
                  <c:v>3.893135746883102</c:v>
                </c:pt>
                <c:pt idx="29">
                  <c:v>3.9009127166870234</c:v>
                </c:pt>
                <c:pt idx="30">
                  <c:v>3.9019727651121001</c:v>
                </c:pt>
                <c:pt idx="31">
                  <c:v>3.9555467528274284</c:v>
                </c:pt>
                <c:pt idx="32">
                  <c:v>3.8975581120284208</c:v>
                </c:pt>
                <c:pt idx="33">
                  <c:v>3.8202746453051093</c:v>
                </c:pt>
                <c:pt idx="34">
                  <c:v>3.8185409054510169</c:v>
                </c:pt>
                <c:pt idx="35">
                  <c:v>3.8626517289497113</c:v>
                </c:pt>
                <c:pt idx="36">
                  <c:v>3.801911466488173</c:v>
                </c:pt>
                <c:pt idx="37">
                  <c:v>3.7745452202295522</c:v>
                </c:pt>
                <c:pt idx="38">
                  <c:v>3.747428127200426</c:v>
                </c:pt>
                <c:pt idx="39">
                  <c:v>3.7342288964966288</c:v>
                </c:pt>
                <c:pt idx="40">
                  <c:v>3.7590956500924833</c:v>
                </c:pt>
                <c:pt idx="41">
                  <c:v>3.7487302000810763</c:v>
                </c:pt>
                <c:pt idx="42">
                  <c:v>3.7826542992274184</c:v>
                </c:pt>
                <c:pt idx="43">
                  <c:v>3.8590845643246752</c:v>
                </c:pt>
                <c:pt idx="44">
                  <c:v>3.7760580545379825</c:v>
                </c:pt>
                <c:pt idx="45">
                  <c:v>3.6681173150667781</c:v>
                </c:pt>
                <c:pt idx="46">
                  <c:v>3.7112561543616498</c:v>
                </c:pt>
                <c:pt idx="47">
                  <c:v>3.7080884140767334</c:v>
                </c:pt>
                <c:pt idx="48">
                  <c:v>3.7008711546113244</c:v>
                </c:pt>
                <c:pt idx="49">
                  <c:v>3.827147700971564</c:v>
                </c:pt>
                <c:pt idx="50">
                  <c:v>4.0372917261131827</c:v>
                </c:pt>
                <c:pt idx="51">
                  <c:v>3.943641957104294</c:v>
                </c:pt>
                <c:pt idx="52">
                  <c:v>3.6499304219983255</c:v>
                </c:pt>
                <c:pt idx="53">
                  <c:v>3.5660232191625045</c:v>
                </c:pt>
                <c:pt idx="54">
                  <c:v>3.5959710067641302</c:v>
                </c:pt>
                <c:pt idx="55">
                  <c:v>3.572564408254042</c:v>
                </c:pt>
                <c:pt idx="56">
                  <c:v>3.6094744024532011</c:v>
                </c:pt>
                <c:pt idx="57">
                  <c:v>3.6302006352684875</c:v>
                </c:pt>
                <c:pt idx="58">
                  <c:v>3.6571364777429771</c:v>
                </c:pt>
                <c:pt idx="59">
                  <c:v>3.7125787965201118</c:v>
                </c:pt>
                <c:pt idx="60">
                  <c:v>3.6026058375201111</c:v>
                </c:pt>
                <c:pt idx="61">
                  <c:v>3.5722780551277067</c:v>
                </c:pt>
                <c:pt idx="62">
                  <c:v>3.5832133318668369</c:v>
                </c:pt>
                <c:pt idx="63">
                  <c:v>3.6134813395325867</c:v>
                </c:pt>
                <c:pt idx="64">
                  <c:v>3.5983109841544354</c:v>
                </c:pt>
                <c:pt idx="65">
                  <c:v>3.6121999798792674</c:v>
                </c:pt>
                <c:pt idx="66">
                  <c:v>3.6014459676554922</c:v>
                </c:pt>
                <c:pt idx="67">
                  <c:v>3.6170453605980897</c:v>
                </c:pt>
                <c:pt idx="68">
                  <c:v>3.6513376170266612</c:v>
                </c:pt>
                <c:pt idx="69">
                  <c:v>3.6209283817627314</c:v>
                </c:pt>
                <c:pt idx="70">
                  <c:v>3.5792389905555106</c:v>
                </c:pt>
                <c:pt idx="71">
                  <c:v>3.6190588162575388</c:v>
                </c:pt>
                <c:pt idx="72">
                  <c:v>3.5878770880289674</c:v>
                </c:pt>
                <c:pt idx="73">
                  <c:v>3.6271052635779868</c:v>
                </c:pt>
                <c:pt idx="74">
                  <c:v>3.6542259242222821</c:v>
                </c:pt>
                <c:pt idx="75">
                  <c:v>3.6618129875573469</c:v>
                </c:pt>
                <c:pt idx="76">
                  <c:v>3.6383092498380489</c:v>
                </c:pt>
                <c:pt idx="77">
                  <c:v>3.6402966536352839</c:v>
                </c:pt>
                <c:pt idx="78">
                  <c:v>3.6460477923129697</c:v>
                </c:pt>
                <c:pt idx="79">
                  <c:v>3.6608188527313033</c:v>
                </c:pt>
                <c:pt idx="80">
                  <c:v>3.7119619620716722</c:v>
                </c:pt>
                <c:pt idx="81">
                  <c:v>3.6831015253744894</c:v>
                </c:pt>
                <c:pt idx="82">
                  <c:v>3.6858627196286324</c:v>
                </c:pt>
                <c:pt idx="83">
                  <c:v>3.700074691962528</c:v>
                </c:pt>
                <c:pt idx="84">
                  <c:v>3.7281782864157771</c:v>
                </c:pt>
                <c:pt idx="85">
                  <c:v>3.7143651450994506</c:v>
                </c:pt>
                <c:pt idx="86">
                  <c:v>3.6995073168945516</c:v>
                </c:pt>
                <c:pt idx="87">
                  <c:v>3.6620941229083765</c:v>
                </c:pt>
                <c:pt idx="88">
                  <c:v>3.653361448490466</c:v>
                </c:pt>
                <c:pt idx="89">
                  <c:v>3.6368955572290398</c:v>
                </c:pt>
                <c:pt idx="90">
                  <c:v>3.6827300875332467</c:v>
                </c:pt>
                <c:pt idx="91">
                  <c:v>3.6464112375481723</c:v>
                </c:pt>
                <c:pt idx="92">
                  <c:v>3.6068608627715997</c:v>
                </c:pt>
                <c:pt idx="93">
                  <c:v>3.6870958238021743</c:v>
                </c:pt>
                <c:pt idx="94">
                  <c:v>3.717573403823796</c:v>
                </c:pt>
                <c:pt idx="95">
                  <c:v>3.6941103005194478</c:v>
                </c:pt>
                <c:pt idx="96">
                  <c:v>3.7020262966362205</c:v>
                </c:pt>
                <c:pt idx="97">
                  <c:v>3.6977323883383484</c:v>
                </c:pt>
                <c:pt idx="98">
                  <c:v>3.70286207380577</c:v>
                </c:pt>
                <c:pt idx="99">
                  <c:v>3.7658081873864755</c:v>
                </c:pt>
                <c:pt idx="100">
                  <c:v>3.7230397637864749</c:v>
                </c:pt>
                <c:pt idx="101">
                  <c:v>3.708623273586475</c:v>
                </c:pt>
                <c:pt idx="102">
                  <c:v>3.6981893744723808</c:v>
                </c:pt>
                <c:pt idx="103">
                  <c:v>3.7069717723903617</c:v>
                </c:pt>
                <c:pt idx="104">
                  <c:v>3.7351091081781433</c:v>
                </c:pt>
                <c:pt idx="105">
                  <c:v>3.7740336089179025</c:v>
                </c:pt>
                <c:pt idx="106">
                  <c:v>3.8106497911981223</c:v>
                </c:pt>
                <c:pt idx="107">
                  <c:v>3.7369746681140885</c:v>
                </c:pt>
                <c:pt idx="108">
                  <c:v>3.670818568491732</c:v>
                </c:pt>
                <c:pt idx="109">
                  <c:v>3.7007830613235324</c:v>
                </c:pt>
                <c:pt idx="110">
                  <c:v>3.842604915326103</c:v>
                </c:pt>
                <c:pt idx="111">
                  <c:v>3.7776527297316975</c:v>
                </c:pt>
                <c:pt idx="112">
                  <c:v>3.9291538276730713</c:v>
                </c:pt>
                <c:pt idx="113">
                  <c:v>3.9916729372185253</c:v>
                </c:pt>
                <c:pt idx="114">
                  <c:v>4.019118877175484</c:v>
                </c:pt>
                <c:pt idx="115">
                  <c:v>4.1047376242914515</c:v>
                </c:pt>
                <c:pt idx="116">
                  <c:v>4.2417227760158411</c:v>
                </c:pt>
                <c:pt idx="117">
                  <c:v>4.0645463132392532</c:v>
                </c:pt>
                <c:pt idx="118">
                  <c:v>4.0019241900640363</c:v>
                </c:pt>
                <c:pt idx="119">
                  <c:v>3.8977046380289893</c:v>
                </c:pt>
                <c:pt idx="120">
                  <c:v>3.8033706995338434</c:v>
                </c:pt>
                <c:pt idx="121">
                  <c:v>3.8295178310675366</c:v>
                </c:pt>
                <c:pt idx="122">
                  <c:v>3.9651436561274886</c:v>
                </c:pt>
                <c:pt idx="123">
                  <c:v>4.0936268837450909</c:v>
                </c:pt>
                <c:pt idx="124">
                  <c:v>4.2473025775841373</c:v>
                </c:pt>
                <c:pt idx="125">
                  <c:v>4.4996932028189427</c:v>
                </c:pt>
                <c:pt idx="126">
                  <c:v>4.289072311528761</c:v>
                </c:pt>
                <c:pt idx="127">
                  <c:v>4.2136408184010232</c:v>
                </c:pt>
                <c:pt idx="128">
                  <c:v>4.0967041536955451</c:v>
                </c:pt>
                <c:pt idx="129">
                  <c:v>4.2255696380013932</c:v>
                </c:pt>
                <c:pt idx="130">
                  <c:v>4.3255337005592782</c:v>
                </c:pt>
                <c:pt idx="131">
                  <c:v>4.326960919435642</c:v>
                </c:pt>
                <c:pt idx="132">
                  <c:v>4.2984551671506299</c:v>
                </c:pt>
                <c:pt idx="133">
                  <c:v>4.4272728695888084</c:v>
                </c:pt>
                <c:pt idx="134">
                  <c:v>4.3232427160146143</c:v>
                </c:pt>
                <c:pt idx="135">
                  <c:v>4.4679808050675867</c:v>
                </c:pt>
                <c:pt idx="136">
                  <c:v>4.6371897071920456</c:v>
                </c:pt>
                <c:pt idx="137">
                  <c:v>4.5825224458659459</c:v>
                </c:pt>
                <c:pt idx="138">
                  <c:v>4.3897832481654966</c:v>
                </c:pt>
                <c:pt idx="139">
                  <c:v>4.6442712947368312</c:v>
                </c:pt>
                <c:pt idx="140">
                  <c:v>4.5593285892921864</c:v>
                </c:pt>
                <c:pt idx="141">
                  <c:v>4.334680071107079</c:v>
                </c:pt>
                <c:pt idx="142">
                  <c:v>4.2850086359582109</c:v>
                </c:pt>
                <c:pt idx="143">
                  <c:v>4.3826546624860105</c:v>
                </c:pt>
                <c:pt idx="144">
                  <c:v>4.3741070613630155</c:v>
                </c:pt>
                <c:pt idx="145">
                  <c:v>4.3129669335058729</c:v>
                </c:pt>
                <c:pt idx="146">
                  <c:v>4.3205469744577139</c:v>
                </c:pt>
                <c:pt idx="147">
                  <c:v>4.3148970227874139</c:v>
                </c:pt>
                <c:pt idx="148">
                  <c:v>4.3264968785757958</c:v>
                </c:pt>
                <c:pt idx="149">
                  <c:v>4.277431497755078</c:v>
                </c:pt>
                <c:pt idx="150">
                  <c:v>4.3364095721980309</c:v>
                </c:pt>
                <c:pt idx="151">
                  <c:v>4.5046486769283218</c:v>
                </c:pt>
                <c:pt idx="152">
                  <c:v>4.4161005147629844</c:v>
                </c:pt>
                <c:pt idx="153">
                  <c:v>4.2799128050879842</c:v>
                </c:pt>
                <c:pt idx="154">
                  <c:v>4.1109185927471694</c:v>
                </c:pt>
                <c:pt idx="155">
                  <c:v>4.2981426850138362</c:v>
                </c:pt>
                <c:pt idx="156">
                  <c:v>4.0624489701810713</c:v>
                </c:pt>
                <c:pt idx="157">
                  <c:v>4.2258320964407554</c:v>
                </c:pt>
                <c:pt idx="158">
                  <c:v>4.0047093268436003</c:v>
                </c:pt>
                <c:pt idx="159">
                  <c:v>3.9842846551400215</c:v>
                </c:pt>
                <c:pt idx="160">
                  <c:v>4.010096868205121</c:v>
                </c:pt>
                <c:pt idx="161">
                  <c:v>3.9566129034269344</c:v>
                </c:pt>
                <c:pt idx="162">
                  <c:v>3.8829206555685785</c:v>
                </c:pt>
                <c:pt idx="163">
                  <c:v>3.8863579661232985</c:v>
                </c:pt>
                <c:pt idx="164">
                  <c:v>3.9542184544111896</c:v>
                </c:pt>
                <c:pt idx="165">
                  <c:v>4.0103648031029788</c:v>
                </c:pt>
                <c:pt idx="166">
                  <c:v>3.9649536345779786</c:v>
                </c:pt>
                <c:pt idx="167">
                  <c:v>3.8854148972904392</c:v>
                </c:pt>
                <c:pt idx="168">
                  <c:v>3.7998659705405227</c:v>
                </c:pt>
                <c:pt idx="169">
                  <c:v>3.8294590100374357</c:v>
                </c:pt>
                <c:pt idx="170">
                  <c:v>3.8063054478307867</c:v>
                </c:pt>
                <c:pt idx="171">
                  <c:v>3.8080615527368367</c:v>
                </c:pt>
                <c:pt idx="172">
                  <c:v>3.7774109936065332</c:v>
                </c:pt>
                <c:pt idx="173">
                  <c:v>3.8134023893978273</c:v>
                </c:pt>
                <c:pt idx="174">
                  <c:v>3.8108656662750304</c:v>
                </c:pt>
                <c:pt idx="175">
                  <c:v>3.764959516697119</c:v>
                </c:pt>
                <c:pt idx="176">
                  <c:v>3.7366623450161058</c:v>
                </c:pt>
                <c:pt idx="177">
                  <c:v>3.7098056448774877</c:v>
                </c:pt>
                <c:pt idx="178">
                  <c:v>3.7256793054321653</c:v>
                </c:pt>
                <c:pt idx="179">
                  <c:v>3.7150597514410046</c:v>
                </c:pt>
                <c:pt idx="180">
                  <c:v>3.7534459288435693</c:v>
                </c:pt>
                <c:pt idx="181">
                  <c:v>3.7394652590443762</c:v>
                </c:pt>
                <c:pt idx="182">
                  <c:v>3.7006040481376452</c:v>
                </c:pt>
                <c:pt idx="183">
                  <c:v>3.6778146236156113</c:v>
                </c:pt>
                <c:pt idx="184">
                  <c:v>3.687174871142751</c:v>
                </c:pt>
                <c:pt idx="185">
                  <c:v>3.6722828818405895</c:v>
                </c:pt>
                <c:pt idx="186">
                  <c:v>3.759255063787958</c:v>
                </c:pt>
                <c:pt idx="187">
                  <c:v>3.7184533612284456</c:v>
                </c:pt>
                <c:pt idx="188">
                  <c:v>3.6680900671153474</c:v>
                </c:pt>
                <c:pt idx="189">
                  <c:v>3.6252877234564167</c:v>
                </c:pt>
                <c:pt idx="190">
                  <c:v>3.5930449398217972</c:v>
                </c:pt>
                <c:pt idx="191">
                  <c:v>3.5569372097465459</c:v>
                </c:pt>
                <c:pt idx="192">
                  <c:v>3.5868385052179015</c:v>
                </c:pt>
                <c:pt idx="193">
                  <c:v>3.6164015869839354</c:v>
                </c:pt>
                <c:pt idx="194">
                  <c:v>3.6208626544308902</c:v>
                </c:pt>
                <c:pt idx="195">
                  <c:v>3.6350056575801908</c:v>
                </c:pt>
                <c:pt idx="196">
                  <c:v>3.6770388767644078</c:v>
                </c:pt>
                <c:pt idx="197">
                  <c:v>3.6941072826230212</c:v>
                </c:pt>
                <c:pt idx="198">
                  <c:v>3.6796690550607569</c:v>
                </c:pt>
                <c:pt idx="199">
                  <c:v>3.6994958534233051</c:v>
                </c:pt>
                <c:pt idx="200">
                  <c:v>3.7185050265504644</c:v>
                </c:pt>
                <c:pt idx="201">
                  <c:v>3.7060831172949094</c:v>
                </c:pt>
                <c:pt idx="202">
                  <c:v>3.7005836211868384</c:v>
                </c:pt>
                <c:pt idx="203">
                  <c:v>3.6853167132425337</c:v>
                </c:pt>
                <c:pt idx="204">
                  <c:v>3.7044836245059578</c:v>
                </c:pt>
                <c:pt idx="205">
                  <c:v>3.7108937261059576</c:v>
                </c:pt>
                <c:pt idx="206">
                  <c:v>3.7213058749394738</c:v>
                </c:pt>
                <c:pt idx="207">
                  <c:v>3.75225219868191</c:v>
                </c:pt>
                <c:pt idx="208">
                  <c:v>3.744980411630789</c:v>
                </c:pt>
                <c:pt idx="209">
                  <c:v>3.7248713600307886</c:v>
                </c:pt>
                <c:pt idx="210">
                  <c:v>3.7011355905470209</c:v>
                </c:pt>
                <c:pt idx="211">
                  <c:v>3.7041939276921823</c:v>
                </c:pt>
                <c:pt idx="212">
                  <c:v>3.6594038365670549</c:v>
                </c:pt>
                <c:pt idx="213">
                  <c:v>3.6098255478394639</c:v>
                </c:pt>
                <c:pt idx="214">
                  <c:v>3.5933334609710728</c:v>
                </c:pt>
                <c:pt idx="215">
                  <c:v>3.56222911186978</c:v>
                </c:pt>
                <c:pt idx="216">
                  <c:v>3.5502354978881452</c:v>
                </c:pt>
                <c:pt idx="217">
                  <c:v>3.5968482617979198</c:v>
                </c:pt>
                <c:pt idx="218">
                  <c:v>3.5646985545531091</c:v>
                </c:pt>
                <c:pt idx="219">
                  <c:v>3.5257105273422957</c:v>
                </c:pt>
                <c:pt idx="220">
                  <c:v>3.5317503098374878</c:v>
                </c:pt>
                <c:pt idx="221">
                  <c:v>3.6099110436243502</c:v>
                </c:pt>
                <c:pt idx="222">
                  <c:v>3.5851122747572983</c:v>
                </c:pt>
                <c:pt idx="223">
                  <c:v>3.6101143236669753</c:v>
                </c:pt>
                <c:pt idx="224">
                  <c:v>3.6382061456709511</c:v>
                </c:pt>
                <c:pt idx="225">
                  <c:v>3.5820871761628692</c:v>
                </c:pt>
                <c:pt idx="226">
                  <c:v>3.6075324778596163</c:v>
                </c:pt>
                <c:pt idx="227">
                  <c:v>3.6191188191713359</c:v>
                </c:pt>
                <c:pt idx="228">
                  <c:v>3.579960833732847</c:v>
                </c:pt>
                <c:pt idx="229">
                  <c:v>3.5376297597004851</c:v>
                </c:pt>
                <c:pt idx="230">
                  <c:v>3.5138883435165016</c:v>
                </c:pt>
                <c:pt idx="231">
                  <c:v>3.5443475413091612</c:v>
                </c:pt>
                <c:pt idx="232">
                  <c:v>3.5714462526123048</c:v>
                </c:pt>
                <c:pt idx="233">
                  <c:v>3.4980409585169721</c:v>
                </c:pt>
                <c:pt idx="234">
                  <c:v>3.440719085278547</c:v>
                </c:pt>
                <c:pt idx="235">
                  <c:v>3.5713669578086948</c:v>
                </c:pt>
                <c:pt idx="236">
                  <c:v>3.5108180070216135</c:v>
                </c:pt>
                <c:pt idx="237">
                  <c:v>3.5204146705296879</c:v>
                </c:pt>
                <c:pt idx="238">
                  <c:v>3.541546566919374</c:v>
                </c:pt>
                <c:pt idx="239">
                  <c:v>3.532934168866503</c:v>
                </c:pt>
                <c:pt idx="240">
                  <c:v>3.4887300274977284</c:v>
                </c:pt>
                <c:pt idx="241">
                  <c:v>3.4230972579533963</c:v>
                </c:pt>
                <c:pt idx="242">
                  <c:v>3.3532810557742407</c:v>
                </c:pt>
                <c:pt idx="243">
                  <c:v>3.3389120371364496</c:v>
                </c:pt>
                <c:pt idx="244">
                  <c:v>3.3644476980300682</c:v>
                </c:pt>
                <c:pt idx="245">
                  <c:v>3.4393666760179662</c:v>
                </c:pt>
                <c:pt idx="246">
                  <c:v>3.4382792828526139</c:v>
                </c:pt>
                <c:pt idx="247">
                  <c:v>3.3654132280669637</c:v>
                </c:pt>
                <c:pt idx="248">
                  <c:v>3.2882675919885136</c:v>
                </c:pt>
                <c:pt idx="249">
                  <c:v>3.1737225081078821</c:v>
                </c:pt>
                <c:pt idx="250">
                  <c:v>3.2147166734680597</c:v>
                </c:pt>
                <c:pt idx="251">
                  <c:v>3.2316341380248406</c:v>
                </c:pt>
                <c:pt idx="252">
                  <c:v>3.2531587349665516</c:v>
                </c:pt>
                <c:pt idx="253">
                  <c:v>3.1224824344789615</c:v>
                </c:pt>
                <c:pt idx="254">
                  <c:v>3.286865307036793</c:v>
                </c:pt>
                <c:pt idx="255">
                  <c:v>3.2276172012194437</c:v>
                </c:pt>
                <c:pt idx="256">
                  <c:v>3.3107054224853165</c:v>
                </c:pt>
                <c:pt idx="257">
                  <c:v>3.3404591420927323</c:v>
                </c:pt>
                <c:pt idx="258">
                  <c:v>3.4145190810540371</c:v>
                </c:pt>
                <c:pt idx="259">
                  <c:v>3.3423326426110704</c:v>
                </c:pt>
                <c:pt idx="260">
                  <c:v>3.3074132680590638</c:v>
                </c:pt>
                <c:pt idx="261">
                  <c:v>3.4659110546216181</c:v>
                </c:pt>
                <c:pt idx="262">
                  <c:v>3.3349025653343967</c:v>
                </c:pt>
                <c:pt idx="263">
                  <c:v>3.3959789716528648</c:v>
                </c:pt>
                <c:pt idx="264">
                  <c:v>3.3282540267467038</c:v>
                </c:pt>
                <c:pt idx="265">
                  <c:v>3.3716693956775474</c:v>
                </c:pt>
                <c:pt idx="266">
                  <c:v>3.5278338102391285</c:v>
                </c:pt>
                <c:pt idx="267">
                  <c:v>3.3929709473560798</c:v>
                </c:pt>
                <c:pt idx="268">
                  <c:v>3.2387754405517044</c:v>
                </c:pt>
                <c:pt idx="269">
                  <c:v>3.3403202875937827</c:v>
                </c:pt>
                <c:pt idx="270">
                  <c:v>3.2822435531717322</c:v>
                </c:pt>
                <c:pt idx="271">
                  <c:v>3.2933821299249026</c:v>
                </c:pt>
                <c:pt idx="272">
                  <c:v>3.2572940175709082</c:v>
                </c:pt>
                <c:pt idx="273">
                  <c:v>3.1958904801431443</c:v>
                </c:pt>
                <c:pt idx="274">
                  <c:v>3.2025669546772453</c:v>
                </c:pt>
                <c:pt idx="275">
                  <c:v>3.217352629594092</c:v>
                </c:pt>
                <c:pt idx="276">
                  <c:v>3.1714201526935395</c:v>
                </c:pt>
                <c:pt idx="277">
                  <c:v>3.0925372321224289</c:v>
                </c:pt>
                <c:pt idx="278">
                  <c:v>3.1039889428262364</c:v>
                </c:pt>
                <c:pt idx="279">
                  <c:v>3.1499174672415919</c:v>
                </c:pt>
                <c:pt idx="280">
                  <c:v>3.0578506818937812</c:v>
                </c:pt>
                <c:pt idx="281">
                  <c:v>3.1532207799408871</c:v>
                </c:pt>
                <c:pt idx="282">
                  <c:v>3.2323395205795551</c:v>
                </c:pt>
                <c:pt idx="283">
                  <c:v>3.0971221778714235</c:v>
                </c:pt>
                <c:pt idx="284">
                  <c:v>3.2065932301114559</c:v>
                </c:pt>
                <c:pt idx="285">
                  <c:v>3.2030051377494617</c:v>
                </c:pt>
                <c:pt idx="286">
                  <c:v>3.2747720775058595</c:v>
                </c:pt>
                <c:pt idx="287">
                  <c:v>3.1844609157779766</c:v>
                </c:pt>
                <c:pt idx="288">
                  <c:v>3.1435551602381535</c:v>
                </c:pt>
                <c:pt idx="289">
                  <c:v>3.1315248599017664</c:v>
                </c:pt>
                <c:pt idx="290">
                  <c:v>3.0803259995278034</c:v>
                </c:pt>
                <c:pt idx="291">
                  <c:v>3.0885050412179833</c:v>
                </c:pt>
                <c:pt idx="292">
                  <c:v>3.103414692454125</c:v>
                </c:pt>
                <c:pt idx="293">
                  <c:v>3.1574306092599786</c:v>
                </c:pt>
                <c:pt idx="294">
                  <c:v>3.0363539438081673</c:v>
                </c:pt>
                <c:pt idx="295">
                  <c:v>2.9717623582314903</c:v>
                </c:pt>
                <c:pt idx="296">
                  <c:v>3.0864181538218753</c:v>
                </c:pt>
                <c:pt idx="297">
                  <c:v>3.159037433842891</c:v>
                </c:pt>
                <c:pt idx="298">
                  <c:v>3.0388526951976655</c:v>
                </c:pt>
                <c:pt idx="299">
                  <c:v>2.9989300535973711</c:v>
                </c:pt>
                <c:pt idx="300">
                  <c:v>3.0762769810839004</c:v>
                </c:pt>
                <c:pt idx="301">
                  <c:v>3.0223279230713467</c:v>
                </c:pt>
                <c:pt idx="302">
                  <c:v>2.9773948013844271</c:v>
                </c:pt>
                <c:pt idx="303">
                  <c:v>2.90101367086868</c:v>
                </c:pt>
                <c:pt idx="304">
                  <c:v>2.9661260609687181</c:v>
                </c:pt>
                <c:pt idx="305">
                  <c:v>2.8988236875647564</c:v>
                </c:pt>
                <c:pt idx="306">
                  <c:v>2.8849930478769594</c:v>
                </c:pt>
                <c:pt idx="307">
                  <c:v>2.891531966641665</c:v>
                </c:pt>
                <c:pt idx="308">
                  <c:v>2.8458274489571314</c:v>
                </c:pt>
                <c:pt idx="309">
                  <c:v>2.8449745563296722</c:v>
                </c:pt>
                <c:pt idx="310">
                  <c:v>2.911314643348724</c:v>
                </c:pt>
                <c:pt idx="311">
                  <c:v>2.8959279691075777</c:v>
                </c:pt>
                <c:pt idx="312">
                  <c:v>2.9620316522052721</c:v>
                </c:pt>
                <c:pt idx="313">
                  <c:v>2.9793848241402099</c:v>
                </c:pt>
                <c:pt idx="314">
                  <c:v>2.9968376989898045</c:v>
                </c:pt>
                <c:pt idx="315">
                  <c:v>2.9992440775743305</c:v>
                </c:pt>
                <c:pt idx="316">
                  <c:v>3.0743178199430625</c:v>
                </c:pt>
                <c:pt idx="317">
                  <c:v>2.9786666382179359</c:v>
                </c:pt>
                <c:pt idx="318">
                  <c:v>2.9200010371586838</c:v>
                </c:pt>
                <c:pt idx="319">
                  <c:v>2.9402197318482628</c:v>
                </c:pt>
                <c:pt idx="320">
                  <c:v>2.9861192482482624</c:v>
                </c:pt>
                <c:pt idx="321">
                  <c:v>2.9499358450406441</c:v>
                </c:pt>
                <c:pt idx="322">
                  <c:v>2.9534557724825605</c:v>
                </c:pt>
                <c:pt idx="323">
                  <c:v>2.9319078606655355</c:v>
                </c:pt>
                <c:pt idx="324">
                  <c:v>2.9769603793284669</c:v>
                </c:pt>
                <c:pt idx="325">
                  <c:v>2.9733093627191787</c:v>
                </c:pt>
                <c:pt idx="326">
                  <c:v>2.9069507927281428</c:v>
                </c:pt>
                <c:pt idx="327">
                  <c:v>2.8326481681225077</c:v>
                </c:pt>
                <c:pt idx="328">
                  <c:v>2.828719235587148</c:v>
                </c:pt>
                <c:pt idx="329">
                  <c:v>2.781390113278261</c:v>
                </c:pt>
                <c:pt idx="330">
                  <c:v>2.8265312535214586</c:v>
                </c:pt>
                <c:pt idx="331">
                  <c:v>2.8183548157225173</c:v>
                </c:pt>
                <c:pt idx="332">
                  <c:v>2.7921011885492573</c:v>
                </c:pt>
                <c:pt idx="333">
                  <c:v>2.7498542929249736</c:v>
                </c:pt>
                <c:pt idx="334">
                  <c:v>2.7515539651106824</c:v>
                </c:pt>
                <c:pt idx="335">
                  <c:v>2.7669935903171408</c:v>
                </c:pt>
                <c:pt idx="336">
                  <c:v>2.7745828518748179</c:v>
                </c:pt>
                <c:pt idx="337">
                  <c:v>2.9242285715448326</c:v>
                </c:pt>
                <c:pt idx="338">
                  <c:v>2.9797766181660004</c:v>
                </c:pt>
                <c:pt idx="339">
                  <c:v>2.995881658533345</c:v>
                </c:pt>
                <c:pt idx="340">
                  <c:v>2.9448834158400885</c:v>
                </c:pt>
                <c:pt idx="341">
                  <c:v>2.9283574589994568</c:v>
                </c:pt>
                <c:pt idx="342">
                  <c:v>2.9663534111390226</c:v>
                </c:pt>
                <c:pt idx="343">
                  <c:v>2.9072242511012849</c:v>
                </c:pt>
                <c:pt idx="344">
                  <c:v>2.8569709994558616</c:v>
                </c:pt>
                <c:pt idx="345">
                  <c:v>2.8011409455219818</c:v>
                </c:pt>
                <c:pt idx="346">
                  <c:v>2.8269332740064557</c:v>
                </c:pt>
                <c:pt idx="347">
                  <c:v>2.7756087871051505</c:v>
                </c:pt>
                <c:pt idx="348">
                  <c:v>2.8849082182634169</c:v>
                </c:pt>
                <c:pt idx="349">
                  <c:v>2.6747890895703805</c:v>
                </c:pt>
                <c:pt idx="350">
                  <c:v>2.564850523254814</c:v>
                </c:pt>
                <c:pt idx="351">
                  <c:v>2.5227498385713889</c:v>
                </c:pt>
                <c:pt idx="352">
                  <c:v>2.3824421228339463</c:v>
                </c:pt>
                <c:pt idx="353">
                  <c:v>2.2326708333008449</c:v>
                </c:pt>
                <c:pt idx="354">
                  <c:v>2.158645537156715</c:v>
                </c:pt>
                <c:pt idx="355">
                  <c:v>2.125218218454012</c:v>
                </c:pt>
                <c:pt idx="356">
                  <c:v>2.1981886878013364</c:v>
                </c:pt>
                <c:pt idx="357">
                  <c:v>2.062131171015344</c:v>
                </c:pt>
                <c:pt idx="358">
                  <c:v>2.0956649301098733</c:v>
                </c:pt>
                <c:pt idx="359">
                  <c:v>2.0851895210920866</c:v>
                </c:pt>
                <c:pt idx="360">
                  <c:v>2.0704199261345111</c:v>
                </c:pt>
                <c:pt idx="361">
                  <c:v>2.00732060650809</c:v>
                </c:pt>
                <c:pt idx="362">
                  <c:v>2.0040087314024349</c:v>
                </c:pt>
                <c:pt idx="363">
                  <c:v>2.0133590788466273</c:v>
                </c:pt>
                <c:pt idx="364">
                  <c:v>2.0273918761029632</c:v>
                </c:pt>
                <c:pt idx="365">
                  <c:v>1.9686944067722167</c:v>
                </c:pt>
                <c:pt idx="366">
                  <c:v>1.9633115643537611</c:v>
                </c:pt>
                <c:pt idx="367">
                  <c:v>1.9495828489466753</c:v>
                </c:pt>
                <c:pt idx="368">
                  <c:v>2.0294799024888159</c:v>
                </c:pt>
                <c:pt idx="369">
                  <c:v>2.0653203730024443</c:v>
                </c:pt>
                <c:pt idx="370">
                  <c:v>2.0136103371954999</c:v>
                </c:pt>
                <c:pt idx="371">
                  <c:v>1.9034489941540429</c:v>
                </c:pt>
                <c:pt idx="372">
                  <c:v>1.9856091934778448</c:v>
                </c:pt>
                <c:pt idx="373">
                  <c:v>1.9090356696779753</c:v>
                </c:pt>
                <c:pt idx="374">
                  <c:v>2.036178430836006</c:v>
                </c:pt>
                <c:pt idx="375">
                  <c:v>1.9922658731996119</c:v>
                </c:pt>
                <c:pt idx="376">
                  <c:v>1.9445998031329756</c:v>
                </c:pt>
                <c:pt idx="377">
                  <c:v>2.0297416080197848</c:v>
                </c:pt>
                <c:pt idx="378">
                  <c:v>2.0061495288243139</c:v>
                </c:pt>
                <c:pt idx="379">
                  <c:v>1.9703907663583924</c:v>
                </c:pt>
                <c:pt idx="380">
                  <c:v>1.8887786745812485</c:v>
                </c:pt>
                <c:pt idx="381">
                  <c:v>1.9076283955426383</c:v>
                </c:pt>
                <c:pt idx="382">
                  <c:v>1.9692831437903215</c:v>
                </c:pt>
                <c:pt idx="383">
                  <c:v>1.9106312053033836</c:v>
                </c:pt>
                <c:pt idx="384">
                  <c:v>1.8543636301859137</c:v>
                </c:pt>
                <c:pt idx="385">
                  <c:v>1.8246344409163091</c:v>
                </c:pt>
                <c:pt idx="386">
                  <c:v>1.8711008041373094</c:v>
                </c:pt>
                <c:pt idx="387">
                  <c:v>1.7840783633467943</c:v>
                </c:pt>
                <c:pt idx="388">
                  <c:v>1.7194695661713235</c:v>
                </c:pt>
                <c:pt idx="389">
                  <c:v>1.5874048670979486</c:v>
                </c:pt>
                <c:pt idx="390">
                  <c:v>1.5624318178667302</c:v>
                </c:pt>
                <c:pt idx="391">
                  <c:v>1.5631308389579548</c:v>
                </c:pt>
                <c:pt idx="392">
                  <c:v>1.5942396478011587</c:v>
                </c:pt>
                <c:pt idx="393">
                  <c:v>1.5694528718426335</c:v>
                </c:pt>
                <c:pt idx="394">
                  <c:v>1.5878469962349799</c:v>
                </c:pt>
                <c:pt idx="395">
                  <c:v>1.61249248256755</c:v>
                </c:pt>
                <c:pt idx="396">
                  <c:v>1.6074494896758471</c:v>
                </c:pt>
                <c:pt idx="397">
                  <c:v>1.6127519731977933</c:v>
                </c:pt>
                <c:pt idx="398">
                  <c:v>1.6149762920330972</c:v>
                </c:pt>
                <c:pt idx="399">
                  <c:v>1.6258345625948432</c:v>
                </c:pt>
                <c:pt idx="400">
                  <c:v>1.5695871803599144</c:v>
                </c:pt>
                <c:pt idx="401">
                  <c:v>1.5882317129817469</c:v>
                </c:pt>
                <c:pt idx="402">
                  <c:v>1.556977454771334</c:v>
                </c:pt>
                <c:pt idx="403">
                  <c:v>1.5700914038623366</c:v>
                </c:pt>
                <c:pt idx="404">
                  <c:v>1.5870965781602766</c:v>
                </c:pt>
                <c:pt idx="405">
                  <c:v>1.6057295642829637</c:v>
                </c:pt>
                <c:pt idx="406">
                  <c:v>1.5901357239367597</c:v>
                </c:pt>
                <c:pt idx="407">
                  <c:v>1.642516322158436</c:v>
                </c:pt>
                <c:pt idx="408">
                  <c:v>1.5974850483025471</c:v>
                </c:pt>
                <c:pt idx="409">
                  <c:v>1.5912163715402061</c:v>
                </c:pt>
                <c:pt idx="410">
                  <c:v>1.5890424153837512</c:v>
                </c:pt>
                <c:pt idx="411">
                  <c:v>1.5718147224855379</c:v>
                </c:pt>
                <c:pt idx="412">
                  <c:v>1.5602303605987347</c:v>
                </c:pt>
                <c:pt idx="413">
                  <c:v>1.5604209057202862</c:v>
                </c:pt>
                <c:pt idx="414">
                  <c:v>1.5699299593880403</c:v>
                </c:pt>
                <c:pt idx="415">
                  <c:v>1.5302663336541995</c:v>
                </c:pt>
                <c:pt idx="416">
                  <c:v>1.5620844577023922</c:v>
                </c:pt>
                <c:pt idx="417">
                  <c:v>1.5636055449385771</c:v>
                </c:pt>
                <c:pt idx="418">
                  <c:v>1.5489860454220632</c:v>
                </c:pt>
                <c:pt idx="419">
                  <c:v>1.5241544316233617</c:v>
                </c:pt>
                <c:pt idx="420">
                  <c:v>1.5453016420128154</c:v>
                </c:pt>
                <c:pt idx="421">
                  <c:v>1.5530012446850083</c:v>
                </c:pt>
                <c:pt idx="422">
                  <c:v>1.5313415405026374</c:v>
                </c:pt>
                <c:pt idx="423">
                  <c:v>1.5532208127851754</c:v>
                </c:pt>
                <c:pt idx="424">
                  <c:v>1.5231489429422993</c:v>
                </c:pt>
                <c:pt idx="425">
                  <c:v>1.5199940065381938</c:v>
                </c:pt>
                <c:pt idx="426">
                  <c:v>1.5183052599200937</c:v>
                </c:pt>
                <c:pt idx="427">
                  <c:v>1.5133605230429605</c:v>
                </c:pt>
                <c:pt idx="428">
                  <c:v>1.6164225683655309</c:v>
                </c:pt>
                <c:pt idx="429">
                  <c:v>1.7079811263578035</c:v>
                </c:pt>
                <c:pt idx="430">
                  <c:v>1.6931806573301846</c:v>
                </c:pt>
                <c:pt idx="431">
                  <c:v>1.566760989559578</c:v>
                </c:pt>
                <c:pt idx="432">
                  <c:v>1.5814454781411174</c:v>
                </c:pt>
                <c:pt idx="433">
                  <c:v>1.368678081736268</c:v>
                </c:pt>
                <c:pt idx="434">
                  <c:v>1.3688695144483218</c:v>
                </c:pt>
                <c:pt idx="435">
                  <c:v>1.3719227950492847</c:v>
                </c:pt>
                <c:pt idx="436">
                  <c:v>1.3784194611426182</c:v>
                </c:pt>
                <c:pt idx="437">
                  <c:v>1.3381503119001936</c:v>
                </c:pt>
                <c:pt idx="438">
                  <c:v>1.3041374686008531</c:v>
                </c:pt>
                <c:pt idx="439">
                  <c:v>1.3225577443569747</c:v>
                </c:pt>
                <c:pt idx="440">
                  <c:v>1.327373287705208</c:v>
                </c:pt>
                <c:pt idx="441">
                  <c:v>1.2986425205187095</c:v>
                </c:pt>
                <c:pt idx="442">
                  <c:v>1.3151335640181716</c:v>
                </c:pt>
                <c:pt idx="443">
                  <c:v>1.3456059016389821</c:v>
                </c:pt>
                <c:pt idx="444">
                  <c:v>1.3349224178414765</c:v>
                </c:pt>
                <c:pt idx="445">
                  <c:v>1.319071724160638</c:v>
                </c:pt>
                <c:pt idx="446">
                  <c:v>1.3065955359204415</c:v>
                </c:pt>
                <c:pt idx="447">
                  <c:v>1.3822578378088815</c:v>
                </c:pt>
                <c:pt idx="448">
                  <c:v>1.2662543085005886</c:v>
                </c:pt>
                <c:pt idx="449">
                  <c:v>1.277030909671055</c:v>
                </c:pt>
                <c:pt idx="450">
                  <c:v>1.2564194391700996</c:v>
                </c:pt>
                <c:pt idx="451">
                  <c:v>1.2494474656570078</c:v>
                </c:pt>
                <c:pt idx="452">
                  <c:v>1.27515065382271</c:v>
                </c:pt>
                <c:pt idx="453">
                  <c:v>1.2604904661917822</c:v>
                </c:pt>
                <c:pt idx="454">
                  <c:v>1.2503444619707169</c:v>
                </c:pt>
                <c:pt idx="455">
                  <c:v>1.2365561593559629</c:v>
                </c:pt>
                <c:pt idx="456">
                  <c:v>1.2546188394809628</c:v>
                </c:pt>
                <c:pt idx="457">
                  <c:v>1.2695536125910469</c:v>
                </c:pt>
                <c:pt idx="458">
                  <c:v>1.2824363030742838</c:v>
                </c:pt>
                <c:pt idx="459">
                  <c:v>1.2976976457630496</c:v>
                </c:pt>
                <c:pt idx="460">
                  <c:v>1.3186570415197931</c:v>
                </c:pt>
                <c:pt idx="461">
                  <c:v>1.3157864740300815</c:v>
                </c:pt>
                <c:pt idx="462">
                  <c:v>1.3156497616471112</c:v>
                </c:pt>
                <c:pt idx="463">
                  <c:v>1.308765935472902</c:v>
                </c:pt>
                <c:pt idx="464">
                  <c:v>1.2999093777835617</c:v>
                </c:pt>
                <c:pt idx="465">
                  <c:v>1.3320507980233676</c:v>
                </c:pt>
                <c:pt idx="466">
                  <c:v>1.3567861753371138</c:v>
                </c:pt>
                <c:pt idx="467">
                  <c:v>1.3496702582231754</c:v>
                </c:pt>
                <c:pt idx="468">
                  <c:v>1.3491967941980678</c:v>
                </c:pt>
                <c:pt idx="469">
                  <c:v>1.3700249486204341</c:v>
                </c:pt>
                <c:pt idx="470">
                  <c:v>1.3799789268531615</c:v>
                </c:pt>
                <c:pt idx="471">
                  <c:v>1.4046058832234316</c:v>
                </c:pt>
                <c:pt idx="472">
                  <c:v>1.3901555459034747</c:v>
                </c:pt>
                <c:pt idx="473">
                  <c:v>1.3709586367973063</c:v>
                </c:pt>
                <c:pt idx="474">
                  <c:v>1.3724436370322319</c:v>
                </c:pt>
                <c:pt idx="475">
                  <c:v>1.3978708423396395</c:v>
                </c:pt>
                <c:pt idx="476">
                  <c:v>1.3796228764601035</c:v>
                </c:pt>
                <c:pt idx="477">
                  <c:v>1.3611666804946652</c:v>
                </c:pt>
                <c:pt idx="478">
                  <c:v>1.3711879278137329</c:v>
                </c:pt>
                <c:pt idx="479">
                  <c:v>1.3978412287664082</c:v>
                </c:pt>
                <c:pt idx="480">
                  <c:v>1.3891647568420236</c:v>
                </c:pt>
                <c:pt idx="481">
                  <c:v>1.39343814453161</c:v>
                </c:pt>
                <c:pt idx="482">
                  <c:v>1.389561505223085</c:v>
                </c:pt>
                <c:pt idx="483">
                  <c:v>1.400520853090665</c:v>
                </c:pt>
                <c:pt idx="484">
                  <c:v>1.4110045528296691</c:v>
                </c:pt>
                <c:pt idx="485">
                  <c:v>1.4030659553524187</c:v>
                </c:pt>
                <c:pt idx="486">
                  <c:v>1.3904240768202263</c:v>
                </c:pt>
                <c:pt idx="487">
                  <c:v>1.4043633568240625</c:v>
                </c:pt>
                <c:pt idx="488">
                  <c:v>1.3965706120023502</c:v>
                </c:pt>
                <c:pt idx="489">
                  <c:v>1.41271025106364</c:v>
                </c:pt>
                <c:pt idx="490">
                  <c:v>1.4013611844502172</c:v>
                </c:pt>
                <c:pt idx="491">
                  <c:v>1.3599998305037622</c:v>
                </c:pt>
                <c:pt idx="492">
                  <c:v>1.4089295128397219</c:v>
                </c:pt>
                <c:pt idx="493">
                  <c:v>1.387892307067407</c:v>
                </c:pt>
                <c:pt idx="494">
                  <c:v>1.4525056142937005</c:v>
                </c:pt>
                <c:pt idx="495">
                  <c:v>1.4731047827486092</c:v>
                </c:pt>
                <c:pt idx="496">
                  <c:v>1.4779188222232049</c:v>
                </c:pt>
                <c:pt idx="497">
                  <c:v>1.4903395812224272</c:v>
                </c:pt>
                <c:pt idx="498">
                  <c:v>1.5039054585927198</c:v>
                </c:pt>
                <c:pt idx="499">
                  <c:v>1.5068638938544587</c:v>
                </c:pt>
                <c:pt idx="500">
                  <c:v>1.5520711786627419</c:v>
                </c:pt>
                <c:pt idx="501">
                  <c:v>1.5544608554590833</c:v>
                </c:pt>
                <c:pt idx="502">
                  <c:v>1.5601537509846743</c:v>
                </c:pt>
                <c:pt idx="503">
                  <c:v>1.5408973789976406</c:v>
                </c:pt>
                <c:pt idx="504">
                  <c:v>1.5365852289193727</c:v>
                </c:pt>
                <c:pt idx="505">
                  <c:v>1.5510233352723137</c:v>
                </c:pt>
                <c:pt idx="506">
                  <c:v>1.5405730052442239</c:v>
                </c:pt>
                <c:pt idx="507">
                  <c:v>1.5537610604980727</c:v>
                </c:pt>
                <c:pt idx="508">
                  <c:v>1.5124497854008121</c:v>
                </c:pt>
                <c:pt idx="509">
                  <c:v>1.4819324670712781</c:v>
                </c:pt>
                <c:pt idx="510">
                  <c:v>1.5273589589585228</c:v>
                </c:pt>
                <c:pt idx="511">
                  <c:v>1.4718817646722431</c:v>
                </c:pt>
                <c:pt idx="512">
                  <c:v>1.56264272601466</c:v>
                </c:pt>
                <c:pt idx="513">
                  <c:v>1.5775323613321215</c:v>
                </c:pt>
                <c:pt idx="514">
                  <c:v>1.5283937215109882</c:v>
                </c:pt>
                <c:pt idx="515">
                  <c:v>1.5858286822651493</c:v>
                </c:pt>
                <c:pt idx="516">
                  <c:v>1.583501236131174</c:v>
                </c:pt>
                <c:pt idx="517">
                  <c:v>1.5715114133544177</c:v>
                </c:pt>
                <c:pt idx="518">
                  <c:v>1.5456032789386627</c:v>
                </c:pt>
                <c:pt idx="519">
                  <c:v>1.5658706602925805</c:v>
                </c:pt>
                <c:pt idx="520">
                  <c:v>1.5902083865259136</c:v>
                </c:pt>
                <c:pt idx="521">
                  <c:v>1.6215559521094658</c:v>
                </c:pt>
                <c:pt idx="522">
                  <c:v>1.5891377618220002</c:v>
                </c:pt>
                <c:pt idx="523">
                  <c:v>1.5741916142019849</c:v>
                </c:pt>
                <c:pt idx="524">
                  <c:v>1.5086640729454515</c:v>
                </c:pt>
                <c:pt idx="525">
                  <c:v>1.6160745035323751</c:v>
                </c:pt>
                <c:pt idx="526">
                  <c:v>1.547122925403666</c:v>
                </c:pt>
                <c:pt idx="527">
                  <c:v>1.5801722940891796</c:v>
                </c:pt>
                <c:pt idx="528">
                  <c:v>1.6236402945800132</c:v>
                </c:pt>
                <c:pt idx="529">
                  <c:v>1.6972653262234658</c:v>
                </c:pt>
                <c:pt idx="530">
                  <c:v>1.6702263198353406</c:v>
                </c:pt>
                <c:pt idx="531">
                  <c:v>1.6939032654632478</c:v>
                </c:pt>
                <c:pt idx="532">
                  <c:v>1.7031125880326838</c:v>
                </c:pt>
                <c:pt idx="533">
                  <c:v>1.7598648264977124</c:v>
                </c:pt>
                <c:pt idx="534">
                  <c:v>1.5770064001632709</c:v>
                </c:pt>
                <c:pt idx="535">
                  <c:v>1.6394169138250299</c:v>
                </c:pt>
                <c:pt idx="536">
                  <c:v>1.4193699929079391</c:v>
                </c:pt>
                <c:pt idx="537">
                  <c:v>1.2909841588782613</c:v>
                </c:pt>
                <c:pt idx="538">
                  <c:v>1.2183439320186216</c:v>
                </c:pt>
                <c:pt idx="539">
                  <c:v>1.2344657964193486</c:v>
                </c:pt>
                <c:pt idx="540">
                  <c:v>1.244445189087505</c:v>
                </c:pt>
                <c:pt idx="541">
                  <c:v>1.2953874735988771</c:v>
                </c:pt>
                <c:pt idx="542">
                  <c:v>1.2364293848644052</c:v>
                </c:pt>
                <c:pt idx="543">
                  <c:v>1.150430286162254</c:v>
                </c:pt>
                <c:pt idx="544">
                  <c:v>1.1499837112304678</c:v>
                </c:pt>
                <c:pt idx="545">
                  <c:v>1.093091526715966</c:v>
                </c:pt>
                <c:pt idx="546">
                  <c:v>1.0960167016803606</c:v>
                </c:pt>
                <c:pt idx="547">
                  <c:v>1.0891158785280526</c:v>
                </c:pt>
                <c:pt idx="548">
                  <c:v>1.1283812509235229</c:v>
                </c:pt>
                <c:pt idx="549">
                  <c:v>1.1081994455448334</c:v>
                </c:pt>
                <c:pt idx="550">
                  <c:v>1.0910719625781384</c:v>
                </c:pt>
                <c:pt idx="551">
                  <c:v>1.106524596157173</c:v>
                </c:pt>
                <c:pt idx="552">
                  <c:v>1.1170896938714583</c:v>
                </c:pt>
                <c:pt idx="553">
                  <c:v>1.1670091570692001</c:v>
                </c:pt>
                <c:pt idx="554">
                  <c:v>1.1191798279015857</c:v>
                </c:pt>
                <c:pt idx="555">
                  <c:v>1.072581623960869</c:v>
                </c:pt>
                <c:pt idx="556">
                  <c:v>1.012346817977656</c:v>
                </c:pt>
                <c:pt idx="557">
                  <c:v>1.0343400546037735</c:v>
                </c:pt>
                <c:pt idx="558">
                  <c:v>1.0221791215163629</c:v>
                </c:pt>
                <c:pt idx="559">
                  <c:v>1.0680182453059899</c:v>
                </c:pt>
                <c:pt idx="560">
                  <c:v>1.0155526753192159</c:v>
                </c:pt>
                <c:pt idx="561">
                  <c:v>1.0636809717237719</c:v>
                </c:pt>
                <c:pt idx="562">
                  <c:v>0.87248440915661896</c:v>
                </c:pt>
                <c:pt idx="563">
                  <c:v>0.78433135918730312</c:v>
                </c:pt>
                <c:pt idx="564">
                  <c:v>0.84694092344170036</c:v>
                </c:pt>
                <c:pt idx="565">
                  <c:v>0.77156092856079328</c:v>
                </c:pt>
                <c:pt idx="566">
                  <c:v>0.72431803208092049</c:v>
                </c:pt>
                <c:pt idx="567">
                  <c:v>0.7015109664897341</c:v>
                </c:pt>
                <c:pt idx="568">
                  <c:v>0.71684527481473392</c:v>
                </c:pt>
                <c:pt idx="569">
                  <c:v>0.67414336005855413</c:v>
                </c:pt>
                <c:pt idx="570">
                  <c:v>0.66479947842738518</c:v>
                </c:pt>
                <c:pt idx="571">
                  <c:v>0.63300112126910657</c:v>
                </c:pt>
                <c:pt idx="572">
                  <c:v>0.62569510938094852</c:v>
                </c:pt>
                <c:pt idx="573">
                  <c:v>0.61835674584903355</c:v>
                </c:pt>
                <c:pt idx="574">
                  <c:v>0.6420896620943517</c:v>
                </c:pt>
                <c:pt idx="575">
                  <c:v>0.64417337788846485</c:v>
                </c:pt>
                <c:pt idx="576">
                  <c:v>0.64000505923204087</c:v>
                </c:pt>
                <c:pt idx="577">
                  <c:v>0.65710042903568566</c:v>
                </c:pt>
                <c:pt idx="578">
                  <c:v>0.64694878659257204</c:v>
                </c:pt>
                <c:pt idx="579">
                  <c:v>0.64332086967040858</c:v>
                </c:pt>
                <c:pt idx="580">
                  <c:v>0.66782816222326336</c:v>
                </c:pt>
                <c:pt idx="581">
                  <c:v>0.69218410305610789</c:v>
                </c:pt>
                <c:pt idx="582">
                  <c:v>0.69715862234673298</c:v>
                </c:pt>
                <c:pt idx="583">
                  <c:v>0.74437605785068961</c:v>
                </c:pt>
                <c:pt idx="584">
                  <c:v>0.70416024028042101</c:v>
                </c:pt>
                <c:pt idx="585">
                  <c:v>0.69084182227431412</c:v>
                </c:pt>
                <c:pt idx="586">
                  <c:v>0.69706185275259069</c:v>
                </c:pt>
                <c:pt idx="587">
                  <c:v>0.68961410104430465</c:v>
                </c:pt>
                <c:pt idx="588">
                  <c:v>0.716627797649667</c:v>
                </c:pt>
                <c:pt idx="589">
                  <c:v>0.7193843188439476</c:v>
                </c:pt>
                <c:pt idx="590">
                  <c:v>0.69605615099374851</c:v>
                </c:pt>
                <c:pt idx="591">
                  <c:v>0.69814596013044306</c:v>
                </c:pt>
                <c:pt idx="592">
                  <c:v>0.67428132702819754</c:v>
                </c:pt>
                <c:pt idx="593">
                  <c:v>0.68199659849336147</c:v>
                </c:pt>
                <c:pt idx="594">
                  <c:v>0.67664997191545451</c:v>
                </c:pt>
                <c:pt idx="595">
                  <c:v>0.68197434630967402</c:v>
                </c:pt>
                <c:pt idx="596">
                  <c:v>0.71133821982145318</c:v>
                </c:pt>
                <c:pt idx="597">
                  <c:v>0.71488236426209495</c:v>
                </c:pt>
                <c:pt idx="598">
                  <c:v>0.72039087242737121</c:v>
                </c:pt>
                <c:pt idx="599">
                  <c:v>0.70546024352321912</c:v>
                </c:pt>
                <c:pt idx="600">
                  <c:v>0.69906142765794865</c:v>
                </c:pt>
                <c:pt idx="601">
                  <c:v>0.7048349828741014</c:v>
                </c:pt>
                <c:pt idx="602">
                  <c:v>0.72250989306943902</c:v>
                </c:pt>
                <c:pt idx="603">
                  <c:v>0.7205644454904917</c:v>
                </c:pt>
                <c:pt idx="604">
                  <c:v>0.68808849536795813</c:v>
                </c:pt>
                <c:pt idx="605">
                  <c:v>0.69624348471287356</c:v>
                </c:pt>
                <c:pt idx="606">
                  <c:v>0.65696926361113939</c:v>
                </c:pt>
                <c:pt idx="607">
                  <c:v>0.68924777933286052</c:v>
                </c:pt>
                <c:pt idx="608">
                  <c:v>0.6666106798763618</c:v>
                </c:pt>
                <c:pt idx="609">
                  <c:v>0.64726837858691555</c:v>
                </c:pt>
                <c:pt idx="610">
                  <c:v>0.62197871734031585</c:v>
                </c:pt>
                <c:pt idx="611">
                  <c:v>0.62533356087108516</c:v>
                </c:pt>
                <c:pt idx="612">
                  <c:v>0.63129631774757755</c:v>
                </c:pt>
                <c:pt idx="613">
                  <c:v>0.60577048915088594</c:v>
                </c:pt>
                <c:pt idx="614">
                  <c:v>0.64138371434484731</c:v>
                </c:pt>
                <c:pt idx="615">
                  <c:v>0.65114513353727177</c:v>
                </c:pt>
                <c:pt idx="616">
                  <c:v>0.62872942698419476</c:v>
                </c:pt>
                <c:pt idx="617">
                  <c:v>0.65429208067496503</c:v>
                </c:pt>
                <c:pt idx="618">
                  <c:v>0.64367917549996512</c:v>
                </c:pt>
                <c:pt idx="619">
                  <c:v>0.59616482387735126</c:v>
                </c:pt>
                <c:pt idx="620">
                  <c:v>0.55823568933320067</c:v>
                </c:pt>
                <c:pt idx="621">
                  <c:v>0.57707054021649751</c:v>
                </c:pt>
                <c:pt idx="622">
                  <c:v>0.54501054483863598</c:v>
                </c:pt>
                <c:pt idx="623">
                  <c:v>0.550384262154473</c:v>
                </c:pt>
                <c:pt idx="624">
                  <c:v>0.55871878204552727</c:v>
                </c:pt>
                <c:pt idx="625">
                  <c:v>0.53310529899777459</c:v>
                </c:pt>
                <c:pt idx="626">
                  <c:v>0.52088384534437659</c:v>
                </c:pt>
                <c:pt idx="627">
                  <c:v>0.52224204898487792</c:v>
                </c:pt>
                <c:pt idx="628">
                  <c:v>0.50525023052203732</c:v>
                </c:pt>
                <c:pt idx="629">
                  <c:v>0.52707577028060093</c:v>
                </c:pt>
                <c:pt idx="630">
                  <c:v>0.5267453230553909</c:v>
                </c:pt>
                <c:pt idx="631">
                  <c:v>0.51963017373397336</c:v>
                </c:pt>
                <c:pt idx="632">
                  <c:v>0.56050978362996617</c:v>
                </c:pt>
                <c:pt idx="633">
                  <c:v>0.57075207995362121</c:v>
                </c:pt>
                <c:pt idx="634">
                  <c:v>0.52533620107978951</c:v>
                </c:pt>
                <c:pt idx="635">
                  <c:v>0.549324000687749</c:v>
                </c:pt>
                <c:pt idx="636">
                  <c:v>0.53450080861735061</c:v>
                </c:pt>
                <c:pt idx="637">
                  <c:v>0.5805844805514232</c:v>
                </c:pt>
                <c:pt idx="638">
                  <c:v>0.65030369456019788</c:v>
                </c:pt>
                <c:pt idx="639">
                  <c:v>0.59644317875206621</c:v>
                </c:pt>
                <c:pt idx="640">
                  <c:v>0.5923523924020353</c:v>
                </c:pt>
                <c:pt idx="641">
                  <c:v>0.52935837168494193</c:v>
                </c:pt>
                <c:pt idx="642">
                  <c:v>0.562433394876797</c:v>
                </c:pt>
                <c:pt idx="643">
                  <c:v>0.49674745677423299</c:v>
                </c:pt>
                <c:pt idx="644">
                  <c:v>0.40262335943102306</c:v>
                </c:pt>
                <c:pt idx="645">
                  <c:v>0.3498974243647277</c:v>
                </c:pt>
                <c:pt idx="646">
                  <c:v>0.26814156647368137</c:v>
                </c:pt>
                <c:pt idx="647">
                  <c:v>0.26186909208637499</c:v>
                </c:pt>
                <c:pt idx="648">
                  <c:v>0.33994775429692842</c:v>
                </c:pt>
                <c:pt idx="649">
                  <c:v>0.39514975882911485</c:v>
                </c:pt>
                <c:pt idx="650">
                  <c:v>0.32266683920279543</c:v>
                </c:pt>
                <c:pt idx="651">
                  <c:v>0.36341314533450236</c:v>
                </c:pt>
                <c:pt idx="652">
                  <c:v>0.27460940350216712</c:v>
                </c:pt>
                <c:pt idx="653">
                  <c:v>0.31738444341169092</c:v>
                </c:pt>
                <c:pt idx="654">
                  <c:v>0.32237503814214452</c:v>
                </c:pt>
                <c:pt idx="655">
                  <c:v>0.30646442796982482</c:v>
                </c:pt>
                <c:pt idx="656">
                  <c:v>0.26850431221503346</c:v>
                </c:pt>
                <c:pt idx="657">
                  <c:v>0.25756791254292849</c:v>
                </c:pt>
                <c:pt idx="658">
                  <c:v>0.31791138961655058</c:v>
                </c:pt>
                <c:pt idx="659">
                  <c:v>0.28104376108649931</c:v>
                </c:pt>
                <c:pt idx="660">
                  <c:v>0.17632394934936541</c:v>
                </c:pt>
                <c:pt idx="661">
                  <c:v>0.21941063291415211</c:v>
                </c:pt>
                <c:pt idx="662">
                  <c:v>0.10709176531415211</c:v>
                </c:pt>
                <c:pt idx="663">
                  <c:v>0.1345792164483742</c:v>
                </c:pt>
                <c:pt idx="664">
                  <c:v>0.12823878034119465</c:v>
                </c:pt>
                <c:pt idx="665">
                  <c:v>0.17842454749586545</c:v>
                </c:pt>
                <c:pt idx="666">
                  <c:v>0.20566336918956404</c:v>
                </c:pt>
                <c:pt idx="667">
                  <c:v>0.1731842452532808</c:v>
                </c:pt>
                <c:pt idx="668">
                  <c:v>0.15871267832447472</c:v>
                </c:pt>
                <c:pt idx="669">
                  <c:v>0.13010975929928537</c:v>
                </c:pt>
                <c:pt idx="670">
                  <c:v>0.16561186684149817</c:v>
                </c:pt>
                <c:pt idx="671">
                  <c:v>0.16255652896997733</c:v>
                </c:pt>
                <c:pt idx="672">
                  <c:v>0.21902663076793843</c:v>
                </c:pt>
                <c:pt idx="673">
                  <c:v>0.17990681016193852</c:v>
                </c:pt>
                <c:pt idx="674">
                  <c:v>0.18829185278502575</c:v>
                </c:pt>
                <c:pt idx="675">
                  <c:v>9.2801211465825179E-2</c:v>
                </c:pt>
                <c:pt idx="676">
                  <c:v>-6.6907171745030029E-3</c:v>
                </c:pt>
                <c:pt idx="677">
                  <c:v>8.9032238753299714E-2</c:v>
                </c:pt>
                <c:pt idx="678">
                  <c:v>0.10082874192829971</c:v>
                </c:pt>
                <c:pt idx="679">
                  <c:v>9.8569996637744933E-2</c:v>
                </c:pt>
                <c:pt idx="680">
                  <c:v>1.4617089023865583E-2</c:v>
                </c:pt>
                <c:pt idx="681">
                  <c:v>-7.5020390956539076E-2</c:v>
                </c:pt>
                <c:pt idx="682">
                  <c:v>-4.5457979042634683E-2</c:v>
                </c:pt>
                <c:pt idx="683">
                  <c:v>-3.4499206874523389E-2</c:v>
                </c:pt>
                <c:pt idx="684">
                  <c:v>8.1275260386276249E-3</c:v>
                </c:pt>
                <c:pt idx="685">
                  <c:v>9.7631231479148678E-2</c:v>
                </c:pt>
                <c:pt idx="686">
                  <c:v>-0.17404731244063537</c:v>
                </c:pt>
                <c:pt idx="687">
                  <c:v>0.14873151272870694</c:v>
                </c:pt>
                <c:pt idx="688">
                  <c:v>0.1341493294084537</c:v>
                </c:pt>
                <c:pt idx="689">
                  <c:v>0.15143116934722917</c:v>
                </c:pt>
                <c:pt idx="690">
                  <c:v>9.8751783592896727E-2</c:v>
                </c:pt>
                <c:pt idx="691">
                  <c:v>0.20496130771119253</c:v>
                </c:pt>
                <c:pt idx="692">
                  <c:v>0.27494714928036046</c:v>
                </c:pt>
                <c:pt idx="693">
                  <c:v>0.23652226093599266</c:v>
                </c:pt>
                <c:pt idx="694">
                  <c:v>0.28914221891051467</c:v>
                </c:pt>
                <c:pt idx="695">
                  <c:v>0.16581091501051465</c:v>
                </c:pt>
                <c:pt idx="696">
                  <c:v>0.14152419309743336</c:v>
                </c:pt>
                <c:pt idx="697">
                  <c:v>0.10137065742186073</c:v>
                </c:pt>
                <c:pt idx="698">
                  <c:v>0.15343038897697139</c:v>
                </c:pt>
                <c:pt idx="699">
                  <c:v>0.2329458763812777</c:v>
                </c:pt>
                <c:pt idx="700">
                  <c:v>0.21977232900079413</c:v>
                </c:pt>
                <c:pt idx="701">
                  <c:v>0.17519409356744833</c:v>
                </c:pt>
                <c:pt idx="702">
                  <c:v>0.178886439693483</c:v>
                </c:pt>
                <c:pt idx="703">
                  <c:v>0.24936455167455643</c:v>
                </c:pt>
                <c:pt idx="704">
                  <c:v>0.2676731036482406</c:v>
                </c:pt>
                <c:pt idx="705">
                  <c:v>0.23883420836144553</c:v>
                </c:pt>
                <c:pt idx="706">
                  <c:v>0.28271030785858353</c:v>
                </c:pt>
                <c:pt idx="707">
                  <c:v>0.31866126541173484</c:v>
                </c:pt>
                <c:pt idx="708">
                  <c:v>0.34853492312936152</c:v>
                </c:pt>
                <c:pt idx="709">
                  <c:v>0.38176464668933568</c:v>
                </c:pt>
                <c:pt idx="710">
                  <c:v>0.33983741276824037</c:v>
                </c:pt>
                <c:pt idx="711">
                  <c:v>0.28585160470186871</c:v>
                </c:pt>
                <c:pt idx="712">
                  <c:v>0.2230039342723035</c:v>
                </c:pt>
                <c:pt idx="713">
                  <c:v>0.23617090168001437</c:v>
                </c:pt>
                <c:pt idx="714">
                  <c:v>0.18715035085688148</c:v>
                </c:pt>
                <c:pt idx="715">
                  <c:v>0.19695021331983678</c:v>
                </c:pt>
                <c:pt idx="716">
                  <c:v>0.18194468021340537</c:v>
                </c:pt>
                <c:pt idx="717">
                  <c:v>0.13623135700397368</c:v>
                </c:pt>
                <c:pt idx="718">
                  <c:v>0.12422814548455129</c:v>
                </c:pt>
                <c:pt idx="719">
                  <c:v>8.0000491747506314E-2</c:v>
                </c:pt>
                <c:pt idx="720">
                  <c:v>5.3832525632394899E-2</c:v>
                </c:pt>
                <c:pt idx="721">
                  <c:v>6.386689164406005E-2</c:v>
                </c:pt>
                <c:pt idx="722">
                  <c:v>7.2583522551445318E-2</c:v>
                </c:pt>
                <c:pt idx="723">
                  <c:v>4.8365661491072652E-2</c:v>
                </c:pt>
                <c:pt idx="724">
                  <c:v>6.7382154832115002E-2</c:v>
                </c:pt>
                <c:pt idx="725">
                  <c:v>6.4178323931573203E-2</c:v>
                </c:pt>
                <c:pt idx="726">
                  <c:v>4.1757578018714665E-2</c:v>
                </c:pt>
                <c:pt idx="727">
                  <c:v>3.1743962418714668E-2</c:v>
                </c:pt>
                <c:pt idx="728">
                  <c:v>4.3973007006485314E-2</c:v>
                </c:pt>
                <c:pt idx="729">
                  <c:v>2.5509765977913854E-2</c:v>
                </c:pt>
                <c:pt idx="730">
                  <c:v>4.3919305039601668E-2</c:v>
                </c:pt>
                <c:pt idx="731">
                  <c:v>3.9913368221823946E-2</c:v>
                </c:pt>
                <c:pt idx="732">
                  <c:v>3.7974887429491733E-2</c:v>
                </c:pt>
                <c:pt idx="733">
                  <c:v>3.0225912027036728E-2</c:v>
                </c:pt>
                <c:pt idx="734">
                  <c:v>3.1868398476361061E-2</c:v>
                </c:pt>
                <c:pt idx="735">
                  <c:v>3.9655495412170103E-2</c:v>
                </c:pt>
                <c:pt idx="736">
                  <c:v>4.0507584567216037E-2</c:v>
                </c:pt>
                <c:pt idx="737">
                  <c:v>3.769632831129844E-2</c:v>
                </c:pt>
                <c:pt idx="738">
                  <c:v>4.7097014518294296E-2</c:v>
                </c:pt>
                <c:pt idx="739">
                  <c:v>1.4988507394771198E-2</c:v>
                </c:pt>
                <c:pt idx="740">
                  <c:v>1.9418120082866433E-2</c:v>
                </c:pt>
                <c:pt idx="741">
                  <c:v>2.0205605823830318E-2</c:v>
                </c:pt>
                <c:pt idx="742">
                  <c:v>2.2013658130984999E-2</c:v>
                </c:pt>
                <c:pt idx="743">
                  <c:v>7.5112888192445555E-4</c:v>
                </c:pt>
                <c:pt idx="744">
                  <c:v>9.446789672352304E-4</c:v>
                </c:pt>
                <c:pt idx="745">
                  <c:v>-1.1793926733030011E-2</c:v>
                </c:pt>
                <c:pt idx="746">
                  <c:v>-8.168057442423363E-3</c:v>
                </c:pt>
                <c:pt idx="747">
                  <c:v>-8.1455252705866319E-3</c:v>
                </c:pt>
                <c:pt idx="748">
                  <c:v>2.1670952321656942E-3</c:v>
                </c:pt>
                <c:pt idx="749">
                  <c:v>3.0304697203774008E-4</c:v>
                </c:pt>
                <c:pt idx="750">
                  <c:v>1.5479084278251416E-2</c:v>
                </c:pt>
                <c:pt idx="751">
                  <c:v>1.815397296601513E-2</c:v>
                </c:pt>
                <c:pt idx="752">
                  <c:v>1.749666959678443E-2</c:v>
                </c:pt>
                <c:pt idx="753">
                  <c:v>1.2999320264976676E-2</c:v>
                </c:pt>
                <c:pt idx="754">
                  <c:v>1.5223789999965867E-2</c:v>
                </c:pt>
                <c:pt idx="755">
                  <c:v>1.5254130654577869E-2</c:v>
                </c:pt>
                <c:pt idx="756">
                  <c:v>1.0201780684766558E-2</c:v>
                </c:pt>
                <c:pt idx="757">
                  <c:v>2.7610780851051144E-2</c:v>
                </c:pt>
                <c:pt idx="758">
                  <c:v>1.7678933668096575E-2</c:v>
                </c:pt>
                <c:pt idx="759">
                  <c:v>1.577480025827805E-2</c:v>
                </c:pt>
                <c:pt idx="760">
                  <c:v>1.1282335891113805E-2</c:v>
                </c:pt>
                <c:pt idx="761">
                  <c:v>9.9308449172370826E-3</c:v>
                </c:pt>
                <c:pt idx="762">
                  <c:v>2.5667220474422714E-2</c:v>
                </c:pt>
                <c:pt idx="763">
                  <c:v>2.6342540204209956E-2</c:v>
                </c:pt>
                <c:pt idx="764">
                  <c:v>3.6370375230198627E-2</c:v>
                </c:pt>
                <c:pt idx="765">
                  <c:v>5.2359440039055488E-2</c:v>
                </c:pt>
                <c:pt idx="766">
                  <c:v>5.8258886852974194E-2</c:v>
                </c:pt>
                <c:pt idx="767">
                  <c:v>5.9752862962361937E-2</c:v>
                </c:pt>
                <c:pt idx="768">
                  <c:v>6.9743834901353371E-2</c:v>
                </c:pt>
                <c:pt idx="769">
                  <c:v>8.9758237059772567E-2</c:v>
                </c:pt>
                <c:pt idx="770">
                  <c:v>6.2527340059772563E-2</c:v>
                </c:pt>
                <c:pt idx="771">
                  <c:v>8.0669217200044122E-2</c:v>
                </c:pt>
                <c:pt idx="772">
                  <c:v>5.4526502607022964E-2</c:v>
                </c:pt>
                <c:pt idx="773">
                  <c:v>0.11177813292863702</c:v>
                </c:pt>
                <c:pt idx="774">
                  <c:v>0.10564097125471651</c:v>
                </c:pt>
                <c:pt idx="775">
                  <c:v>0.10535131732727218</c:v>
                </c:pt>
                <c:pt idx="776">
                  <c:v>0.1188561070153365</c:v>
                </c:pt>
                <c:pt idx="777">
                  <c:v>0.10749099894106813</c:v>
                </c:pt>
                <c:pt idx="778">
                  <c:v>5.2705916779272874E-2</c:v>
                </c:pt>
                <c:pt idx="779">
                  <c:v>3.341510765483182E-2</c:v>
                </c:pt>
                <c:pt idx="780">
                  <c:v>3.1846787730557526E-2</c:v>
                </c:pt>
                <c:pt idx="781">
                  <c:v>5.3343248678176525E-2</c:v>
                </c:pt>
                <c:pt idx="782">
                  <c:v>1.7957026075425247E-2</c:v>
                </c:pt>
                <c:pt idx="783">
                  <c:v>8.9688996391328428E-3</c:v>
                </c:pt>
                <c:pt idx="784">
                  <c:v>2.6528241997158747E-3</c:v>
                </c:pt>
                <c:pt idx="785">
                  <c:v>-3.7072700726978876E-3</c:v>
                </c:pt>
                <c:pt idx="786">
                  <c:v>1.2633654678881029E-2</c:v>
                </c:pt>
                <c:pt idx="787">
                  <c:v>-1.8563553063810336E-4</c:v>
                </c:pt>
                <c:pt idx="788">
                  <c:v>-6.1727533596762137E-3</c:v>
                </c:pt>
                <c:pt idx="789">
                  <c:v>3.0352433358270107E-3</c:v>
                </c:pt>
                <c:pt idx="790">
                  <c:v>2.3375502924036125E-3</c:v>
                </c:pt>
                <c:pt idx="791">
                  <c:v>2.4131331620844978E-3</c:v>
                </c:pt>
                <c:pt idx="792">
                  <c:v>4.008287515503299E-3</c:v>
                </c:pt>
                <c:pt idx="793">
                  <c:v>-9.5903254099810528E-3</c:v>
                </c:pt>
                <c:pt idx="794">
                  <c:v>-3.350203492442558E-3</c:v>
                </c:pt>
                <c:pt idx="795">
                  <c:v>1.087341926383884E-2</c:v>
                </c:pt>
                <c:pt idx="796">
                  <c:v>2.1727820644886216E-2</c:v>
                </c:pt>
                <c:pt idx="797">
                  <c:v>9.1187009417735966E-5</c:v>
                </c:pt>
                <c:pt idx="798">
                  <c:v>-1.1148019214968974E-2</c:v>
                </c:pt>
                <c:pt idx="799">
                  <c:v>-3.8937565101738983E-3</c:v>
                </c:pt>
                <c:pt idx="800">
                  <c:v>-6.5340336461928491E-3</c:v>
                </c:pt>
                <c:pt idx="801">
                  <c:v>-9.506711834158469E-3</c:v>
                </c:pt>
                <c:pt idx="802">
                  <c:v>-1.0993483240938125E-2</c:v>
                </c:pt>
                <c:pt idx="803">
                  <c:v>-1.0196269465051625E-2</c:v>
                </c:pt>
                <c:pt idx="804">
                  <c:v>-8.274468848113543E-3</c:v>
                </c:pt>
                <c:pt idx="805">
                  <c:v>-3.92751076371261E-3</c:v>
                </c:pt>
                <c:pt idx="806">
                  <c:v>-9.6854281331954523E-3</c:v>
                </c:pt>
                <c:pt idx="807">
                  <c:v>-8.1869802059857423E-3</c:v>
                </c:pt>
                <c:pt idx="808">
                  <c:v>-6.9505612020309372E-3</c:v>
                </c:pt>
                <c:pt idx="809">
                  <c:v>-2.4084983369146644E-3</c:v>
                </c:pt>
                <c:pt idx="810">
                  <c:v>-2.2801930465443081E-3</c:v>
                </c:pt>
                <c:pt idx="811">
                  <c:v>-1.2016598439044329E-2</c:v>
                </c:pt>
                <c:pt idx="812">
                  <c:v>-2.6392815497371571E-3</c:v>
                </c:pt>
                <c:pt idx="813">
                  <c:v>2.0689394244742931E-3</c:v>
                </c:pt>
                <c:pt idx="814">
                  <c:v>-6.1001499533780579E-3</c:v>
                </c:pt>
                <c:pt idx="815">
                  <c:v>-9.2003638984162334E-3</c:v>
                </c:pt>
                <c:pt idx="816">
                  <c:v>-9.6254040702407132E-3</c:v>
                </c:pt>
                <c:pt idx="817">
                  <c:v>-1.0621655132559556E-2</c:v>
                </c:pt>
                <c:pt idx="818">
                  <c:v>-9.9725700349595561E-3</c:v>
                </c:pt>
                <c:pt idx="819">
                  <c:v>-9.8062798773543777E-3</c:v>
                </c:pt>
                <c:pt idx="820">
                  <c:v>-7.7070341746516696E-3</c:v>
                </c:pt>
                <c:pt idx="821">
                  <c:v>-7.9755993589653868E-3</c:v>
                </c:pt>
                <c:pt idx="822">
                  <c:v>-7.4011958040535479E-3</c:v>
                </c:pt>
                <c:pt idx="823">
                  <c:v>-4.0065525723462303E-3</c:v>
                </c:pt>
                <c:pt idx="824">
                  <c:v>-4.980741296874527E-3</c:v>
                </c:pt>
                <c:pt idx="825">
                  <c:v>-3.4894015599617771E-3</c:v>
                </c:pt>
                <c:pt idx="826">
                  <c:v>-6.1470960256334193E-3</c:v>
                </c:pt>
                <c:pt idx="827">
                  <c:v>-5.7152452928900602E-3</c:v>
                </c:pt>
                <c:pt idx="828">
                  <c:v>-2.8650872321335547E-3</c:v>
                </c:pt>
                <c:pt idx="829">
                  <c:v>-1.5838495040930191E-3</c:v>
                </c:pt>
                <c:pt idx="830">
                  <c:v>-1.2214869857539164E-3</c:v>
                </c:pt>
                <c:pt idx="831">
                  <c:v>-1.4616772504245736E-3</c:v>
                </c:pt>
                <c:pt idx="832">
                  <c:v>-1.0960619965385649E-3</c:v>
                </c:pt>
                <c:pt idx="833">
                  <c:v>-1.0639302632052304E-3</c:v>
                </c:pt>
                <c:pt idx="834">
                  <c:v>-1.6768634118163406E-3</c:v>
                </c:pt>
                <c:pt idx="835">
                  <c:v>-1.1016061125767981E-3</c:v>
                </c:pt>
                <c:pt idx="836">
                  <c:v>-3.1468391775391037E-4</c:v>
                </c:pt>
                <c:pt idx="837">
                  <c:v>-2.3063871683505692E-3</c:v>
                </c:pt>
                <c:pt idx="838">
                  <c:v>-1.8413176124570309E-3</c:v>
                </c:pt>
                <c:pt idx="839">
                  <c:v>-1.112867912457031E-3</c:v>
                </c:pt>
                <c:pt idx="840">
                  <c:v>-1.9919855023652904E-3</c:v>
                </c:pt>
                <c:pt idx="841">
                  <c:v>-3.7938362743341177E-4</c:v>
                </c:pt>
                <c:pt idx="842">
                  <c:v>-1.3192436316302337E-3</c:v>
                </c:pt>
                <c:pt idx="843">
                  <c:v>-9.1587900378213235E-4</c:v>
                </c:pt>
                <c:pt idx="844">
                  <c:v>-1.9407755854147887E-3</c:v>
                </c:pt>
                <c:pt idx="845">
                  <c:v>6.9401560739058209E-5</c:v>
                </c:pt>
                <c:pt idx="846">
                  <c:v>1.1064950212743934E-5</c:v>
                </c:pt>
                <c:pt idx="847">
                  <c:v>-4.0394247014123759E-4</c:v>
                </c:pt>
                <c:pt idx="848">
                  <c:v>-1.1290096040513308E-5</c:v>
                </c:pt>
                <c:pt idx="849">
                  <c:v>-2.0342114017729922E-3</c:v>
                </c:pt>
                <c:pt idx="850">
                  <c:v>-2.420122007958562E-3</c:v>
                </c:pt>
                <c:pt idx="851">
                  <c:v>-4.2085540016758398E-3</c:v>
                </c:pt>
                <c:pt idx="852">
                  <c:v>-4.2428727789577863E-3</c:v>
                </c:pt>
                <c:pt idx="853">
                  <c:v>-3.6062347336747666E-3</c:v>
                </c:pt>
                <c:pt idx="854">
                  <c:v>-5.3935953275314171E-3</c:v>
                </c:pt>
                <c:pt idx="855">
                  <c:v>-4.6523083924401333E-3</c:v>
                </c:pt>
                <c:pt idx="856">
                  <c:v>-4.0174325688358227E-3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D7-4E30-B1F1-2F73882D5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026223"/>
        <c:axId val="41029551"/>
      </c:lineChart>
      <c:dateAx>
        <c:axId val="4102622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29551"/>
        <c:crosses val="autoZero"/>
        <c:auto val="1"/>
        <c:lblOffset val="100"/>
        <c:baseTimeUnit val="days"/>
      </c:dateAx>
      <c:valAx>
        <c:axId val="41029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262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8A3AAD7-699A-4F62-8960-7F64896FB734}">
  <sheetPr codeName="Chart1"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5107D2-C0FE-4605-AD4E-BBEA92F0C70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9.1709999999999994</v>
      </c>
      <c r="D2" s="4">
        <f>MIN(D3:D1912)</f>
        <v>0.74990000000000001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2.9449999999999998</v>
      </c>
      <c r="C5">
        <v>2.9870000000000001</v>
      </c>
      <c r="D5">
        <v>2.8620000000000001</v>
      </c>
      <c r="E5">
        <v>2.8660000000000001</v>
      </c>
      <c r="F5">
        <v>173868.9</v>
      </c>
      <c r="G5">
        <v>2.8660000000000001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-0.93599999999999994</v>
      </c>
      <c r="Q5">
        <f t="shared" ref="Q5" si="1">F5*P5</f>
        <v>-162741.2904</v>
      </c>
      <c r="R5">
        <f t="shared" ref="R5" si="2">R6+Q5</f>
        <v>387421297.7323693</v>
      </c>
      <c r="S5">
        <f t="shared" ref="S5" si="3">R5/100000</f>
        <v>3874.2129773236929</v>
      </c>
      <c r="T5">
        <f t="shared" ref="T5" si="4">S5/1000</f>
        <v>3.8742129773236931</v>
      </c>
    </row>
    <row r="6" spans="1:20" x14ac:dyDescent="0.25">
      <c r="A6" s="5">
        <v>44587</v>
      </c>
      <c r="B6">
        <v>2.9220000000000002</v>
      </c>
      <c r="C6">
        <v>3.2290000000000001</v>
      </c>
      <c r="D6">
        <v>2.8530000000000002</v>
      </c>
      <c r="E6">
        <v>2.948</v>
      </c>
      <c r="F6">
        <v>4396701.2</v>
      </c>
      <c r="G6">
        <v>2.948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-0.49468085106383097</v>
      </c>
      <c r="Q6">
        <f t="shared" ref="Q6" si="6">F6*P6</f>
        <v>-2174963.891489367</v>
      </c>
      <c r="R6">
        <f t="shared" ref="R6" si="7">R7+Q6</f>
        <v>387584039.02276933</v>
      </c>
      <c r="S6">
        <f t="shared" ref="S6" si="8">R6/100000</f>
        <v>3875.8403902276932</v>
      </c>
      <c r="T6">
        <f t="shared" ref="T6" si="9">S6/1000</f>
        <v>3.875840390227693</v>
      </c>
    </row>
    <row r="7" spans="1:20" x14ac:dyDescent="0.25">
      <c r="A7" s="5">
        <v>44586</v>
      </c>
      <c r="B7">
        <v>2.9710000000000001</v>
      </c>
      <c r="C7">
        <v>3.0190000000000001</v>
      </c>
      <c r="D7">
        <v>2.8410000000000002</v>
      </c>
      <c r="E7">
        <v>2.92</v>
      </c>
      <c r="F7">
        <v>4356762.9000000004</v>
      </c>
      <c r="G7">
        <v>2.92</v>
      </c>
      <c r="L7" t="s">
        <v>8</v>
      </c>
      <c r="M7" t="s">
        <v>7</v>
      </c>
      <c r="N7" t="s">
        <v>7</v>
      </c>
      <c r="P7">
        <f t="shared" ref="P7" si="10">IF(C7=D7,0,((E7-D7)-(C7-E7))/(C7-D7))</f>
        <v>-0.11235955056180039</v>
      </c>
      <c r="Q7">
        <f t="shared" ref="Q7" si="11">F7*P7</f>
        <v>-489523.92134832614</v>
      </c>
      <c r="R7">
        <f t="shared" ref="R7" si="12">R8+Q7</f>
        <v>389759002.91425872</v>
      </c>
      <c r="S7">
        <f t="shared" ref="S7" si="13">R7/100000</f>
        <v>3897.5900291425874</v>
      </c>
      <c r="T7">
        <f t="shared" ref="T7" si="14">S7/1000</f>
        <v>3.8975900291425876</v>
      </c>
    </row>
    <row r="8" spans="1:20" x14ac:dyDescent="0.25">
      <c r="A8" s="5">
        <v>44585</v>
      </c>
      <c r="B8">
        <v>3.0790000000000002</v>
      </c>
      <c r="C8">
        <v>3.08</v>
      </c>
      <c r="D8">
        <v>2.5390000000000001</v>
      </c>
      <c r="E8">
        <v>2.968</v>
      </c>
      <c r="F8">
        <v>7196637.8600000003</v>
      </c>
      <c r="G8">
        <v>2.968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0.5859519408502768</v>
      </c>
      <c r="Q8">
        <f t="shared" ref="Q8" si="16">F8*P8</f>
        <v>4216883.9216635833</v>
      </c>
      <c r="R8">
        <f t="shared" ref="R8" si="17">R9+Q8</f>
        <v>390248526.83560705</v>
      </c>
      <c r="S8">
        <f t="shared" ref="S8" si="18">R8/100000</f>
        <v>3902.4852683560707</v>
      </c>
      <c r="T8">
        <f t="shared" ref="T8" si="19">S8/1000</f>
        <v>3.9024852683560707</v>
      </c>
    </row>
    <row r="9" spans="1:20" x14ac:dyDescent="0.25">
      <c r="A9" s="5">
        <v>44584</v>
      </c>
      <c r="B9">
        <v>2.9529999999999998</v>
      </c>
      <c r="C9">
        <v>3.1589999999999998</v>
      </c>
      <c r="D9">
        <v>2.8359999999999999</v>
      </c>
      <c r="E9">
        <v>3.0790000000000002</v>
      </c>
      <c r="F9">
        <v>4255344.8</v>
      </c>
      <c r="G9">
        <v>3.0790000000000002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0.50464396284829949</v>
      </c>
      <c r="Q9">
        <f t="shared" ref="Q9" si="21">F9*P9</f>
        <v>2147434.0631579044</v>
      </c>
      <c r="R9">
        <f t="shared" ref="R9" si="22">R10+Q9</f>
        <v>386031642.91394347</v>
      </c>
      <c r="S9">
        <f t="shared" ref="S9" si="23">R9/100000</f>
        <v>3860.3164291394346</v>
      </c>
      <c r="T9">
        <f t="shared" ref="T9" si="24">S9/1000</f>
        <v>3.8603164291394347</v>
      </c>
    </row>
    <row r="10" spans="1:20" x14ac:dyDescent="0.25">
      <c r="A10" s="5">
        <v>44583</v>
      </c>
      <c r="B10">
        <v>3.3340000000000001</v>
      </c>
      <c r="C10">
        <v>3.4359999999999999</v>
      </c>
      <c r="D10">
        <v>2.6970000000000001</v>
      </c>
      <c r="E10">
        <v>2.9580000000000002</v>
      </c>
      <c r="F10">
        <v>9362771.7200000007</v>
      </c>
      <c r="G10">
        <v>2.9580000000000002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-0.29364005412719846</v>
      </c>
      <c r="Q10">
        <f t="shared" ref="Q10" si="26">F10*P10</f>
        <v>-2749284.794641403</v>
      </c>
      <c r="R10">
        <f t="shared" ref="R10" si="27">R11+Q10</f>
        <v>383884208.85078555</v>
      </c>
      <c r="S10">
        <f t="shared" ref="S10" si="28">R10/100000</f>
        <v>3838.8420885078554</v>
      </c>
      <c r="T10">
        <f t="shared" ref="T10" si="29">S10/1000</f>
        <v>3.8388420885078554</v>
      </c>
    </row>
    <row r="11" spans="1:20" x14ac:dyDescent="0.25">
      <c r="A11" s="5">
        <v>44582</v>
      </c>
      <c r="B11">
        <v>3.702</v>
      </c>
      <c r="C11">
        <v>3.77</v>
      </c>
      <c r="D11">
        <v>3.258</v>
      </c>
      <c r="E11">
        <v>3.335</v>
      </c>
      <c r="F11">
        <v>9546749.9000000004</v>
      </c>
      <c r="G11">
        <v>3.335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-0.69921875000000022</v>
      </c>
      <c r="Q11">
        <f t="shared" ref="Q11" si="31">F11*P11</f>
        <v>-6675266.5316406274</v>
      </c>
      <c r="R11">
        <f t="shared" ref="R11" si="32">R12+Q11</f>
        <v>386633493.64542693</v>
      </c>
      <c r="S11">
        <f t="shared" ref="S11" si="33">R11/100000</f>
        <v>3866.3349364542692</v>
      </c>
      <c r="T11">
        <f t="shared" ref="T11" si="34">S11/1000</f>
        <v>3.866334936454269</v>
      </c>
    </row>
    <row r="12" spans="1:20" x14ac:dyDescent="0.25">
      <c r="A12" s="5">
        <v>44581</v>
      </c>
      <c r="B12">
        <v>3.8759999999999999</v>
      </c>
      <c r="C12">
        <v>4.085</v>
      </c>
      <c r="D12">
        <v>3.6779999999999999</v>
      </c>
      <c r="E12">
        <v>3.702</v>
      </c>
      <c r="F12">
        <v>3173761.4</v>
      </c>
      <c r="G12">
        <v>3.702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-0.88206388206388198</v>
      </c>
      <c r="Q12">
        <f t="shared" ref="Q12" si="36">F12*P12</f>
        <v>-2799460.3012285009</v>
      </c>
      <c r="R12">
        <f t="shared" ref="R12" si="37">R13+Q12</f>
        <v>393308760.17706758</v>
      </c>
      <c r="S12">
        <f t="shared" ref="S12" si="38">R12/100000</f>
        <v>3933.087601770676</v>
      </c>
      <c r="T12">
        <f t="shared" ref="T12" si="39">S12/1000</f>
        <v>3.933087601770676</v>
      </c>
    </row>
    <row r="13" spans="1:20" x14ac:dyDescent="0.25">
      <c r="A13" s="5">
        <v>44580</v>
      </c>
      <c r="B13">
        <v>4.1120000000000001</v>
      </c>
      <c r="C13">
        <v>4.1429999999999998</v>
      </c>
      <c r="D13">
        <v>3.8069999999999999</v>
      </c>
      <c r="E13">
        <v>3.8780000000000001</v>
      </c>
      <c r="F13">
        <v>4202824.9000000004</v>
      </c>
      <c r="G13">
        <v>3.8780000000000001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-0.57738095238095111</v>
      </c>
      <c r="Q13">
        <f t="shared" ref="Q13" si="41">F13*P13</f>
        <v>-2426631.043452376</v>
      </c>
      <c r="R13">
        <f t="shared" ref="R13" si="42">R14+Q13</f>
        <v>396108220.4782961</v>
      </c>
      <c r="S13">
        <f t="shared" ref="S13" si="43">R13/100000</f>
        <v>3961.0822047829611</v>
      </c>
      <c r="T13">
        <f t="shared" ref="T13" si="44">S13/1000</f>
        <v>3.961082204782961</v>
      </c>
    </row>
    <row r="14" spans="1:20" x14ac:dyDescent="0.25">
      <c r="A14" s="5">
        <v>44579</v>
      </c>
      <c r="B14">
        <v>4.0519999999999996</v>
      </c>
      <c r="C14">
        <v>4.21</v>
      </c>
      <c r="D14">
        <v>3.9249999999999998</v>
      </c>
      <c r="E14">
        <v>4.1150000000000002</v>
      </c>
      <c r="F14">
        <v>4302914.5</v>
      </c>
      <c r="G14">
        <v>4.1150000000000002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0.33333333333333542</v>
      </c>
      <c r="Q14">
        <f t="shared" ref="Q14" si="46">F14*P14</f>
        <v>1434304.8333333423</v>
      </c>
      <c r="R14">
        <f t="shared" ref="R14" si="47">R15+Q14</f>
        <v>398534851.52174848</v>
      </c>
      <c r="S14">
        <f t="shared" ref="S14" si="48">R14/100000</f>
        <v>3985.3485152174849</v>
      </c>
      <c r="T14">
        <f t="shared" ref="T14" si="49">S14/1000</f>
        <v>3.9853485152174848</v>
      </c>
    </row>
    <row r="15" spans="1:20" x14ac:dyDescent="0.25">
      <c r="A15" s="5">
        <v>44578</v>
      </c>
      <c r="B15">
        <v>4.2880000000000003</v>
      </c>
      <c r="C15">
        <v>4.3129999999999997</v>
      </c>
      <c r="D15">
        <v>3.9940000000000002</v>
      </c>
      <c r="E15">
        <v>4.05</v>
      </c>
      <c r="F15">
        <v>2444311.2000000002</v>
      </c>
      <c r="G15">
        <v>4.05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-0.64890282131661636</v>
      </c>
      <c r="Q15">
        <f t="shared" ref="Q15" si="51">F15*P15</f>
        <v>-1586120.4338558041</v>
      </c>
      <c r="R15">
        <f t="shared" ref="R15" si="52">R16+Q15</f>
        <v>397100546.68841517</v>
      </c>
      <c r="S15">
        <f t="shared" ref="S15" si="53">R15/100000</f>
        <v>3971.0054668841517</v>
      </c>
      <c r="T15">
        <f t="shared" ref="T15" si="54">S15/1000</f>
        <v>3.9710054668841517</v>
      </c>
    </row>
    <row r="16" spans="1:20" x14ac:dyDescent="0.25">
      <c r="A16" s="5">
        <v>44577</v>
      </c>
      <c r="B16">
        <v>4.274</v>
      </c>
      <c r="C16">
        <v>4.343</v>
      </c>
      <c r="D16">
        <v>4.1950000000000003</v>
      </c>
      <c r="E16">
        <v>4.29</v>
      </c>
      <c r="F16">
        <v>2184902.2000000002</v>
      </c>
      <c r="G16">
        <v>4.29</v>
      </c>
      <c r="L16" t="s">
        <v>8</v>
      </c>
      <c r="M16" t="s">
        <v>7</v>
      </c>
      <c r="N16" t="s">
        <v>7</v>
      </c>
      <c r="P16">
        <f t="shared" ref="P16" si="55">IF(C16=D16,0,((E16-D16)-(C16-E16))/(C16-D16))</f>
        <v>0.28378378378378316</v>
      </c>
      <c r="Q16">
        <f t="shared" ref="Q16" si="56">F16*P16</f>
        <v>620039.81351351226</v>
      </c>
      <c r="R16">
        <f t="shared" ref="R16" si="57">R17+Q16</f>
        <v>398686667.122271</v>
      </c>
      <c r="S16">
        <f t="shared" ref="S16" si="58">R16/100000</f>
        <v>3986.86667122271</v>
      </c>
      <c r="T16">
        <f t="shared" ref="T16" si="59">S16/1000</f>
        <v>3.9868666712227099</v>
      </c>
    </row>
    <row r="17" spans="1:20" x14ac:dyDescent="0.25">
      <c r="A17" s="5">
        <v>44576</v>
      </c>
      <c r="B17">
        <v>4.2889999999999997</v>
      </c>
      <c r="C17">
        <v>4.3609999999999998</v>
      </c>
      <c r="D17">
        <v>4.226</v>
      </c>
      <c r="E17">
        <v>4.2770000000000001</v>
      </c>
      <c r="F17">
        <v>2369667.2999999998</v>
      </c>
      <c r="G17">
        <v>4.2770000000000001</v>
      </c>
      <c r="L17" t="s">
        <v>8</v>
      </c>
      <c r="M17" t="s">
        <v>7</v>
      </c>
      <c r="N17" t="s">
        <v>7</v>
      </c>
      <c r="P17">
        <f t="shared" ref="P17" si="60">IF(C17=D17,0,((E17-D17)-(C17-E17))/(C17-D17))</f>
        <v>-0.24444444444444094</v>
      </c>
      <c r="Q17">
        <f t="shared" ref="Q17" si="61">F17*P17</f>
        <v>-579252.00666665833</v>
      </c>
      <c r="R17">
        <f t="shared" ref="R17" si="62">R18+Q17</f>
        <v>398066627.30875748</v>
      </c>
      <c r="S17">
        <f t="shared" ref="S17" si="63">R17/100000</f>
        <v>3980.6662730875751</v>
      </c>
      <c r="T17">
        <f t="shared" ref="T17" si="64">S17/1000</f>
        <v>3.980666273087575</v>
      </c>
    </row>
    <row r="18" spans="1:20" x14ac:dyDescent="0.25">
      <c r="A18" s="5">
        <v>44575</v>
      </c>
      <c r="B18">
        <v>4.1189999999999998</v>
      </c>
      <c r="C18">
        <v>4.319</v>
      </c>
      <c r="D18">
        <v>4.0739999999999998</v>
      </c>
      <c r="E18">
        <v>4.2869999999999999</v>
      </c>
      <c r="F18">
        <v>2880680.3</v>
      </c>
      <c r="G18">
        <v>4.2869999999999999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0.7387755102040815</v>
      </c>
      <c r="Q18">
        <f t="shared" ref="Q18" si="66">F18*P18</f>
        <v>2128176.0583673464</v>
      </c>
      <c r="R18">
        <f t="shared" ref="R18" si="67">R19+Q18</f>
        <v>398645879.31542414</v>
      </c>
      <c r="S18">
        <f t="shared" ref="S18" si="68">R18/100000</f>
        <v>3986.4587931542414</v>
      </c>
      <c r="T18">
        <f t="shared" ref="T18" si="69">S18/1000</f>
        <v>3.9864587931542412</v>
      </c>
    </row>
    <row r="19" spans="1:20" x14ac:dyDescent="0.25">
      <c r="A19" s="5">
        <v>44574</v>
      </c>
      <c r="B19">
        <v>4.3899999999999997</v>
      </c>
      <c r="C19">
        <v>4.4240000000000004</v>
      </c>
      <c r="D19">
        <v>4.0910000000000002</v>
      </c>
      <c r="E19">
        <v>4.12</v>
      </c>
      <c r="F19">
        <v>4485916</v>
      </c>
      <c r="G19">
        <v>4.12</v>
      </c>
      <c r="L19" t="s">
        <v>7</v>
      </c>
      <c r="M19" t="s">
        <v>7</v>
      </c>
      <c r="N19" t="s">
        <v>7</v>
      </c>
      <c r="P19">
        <f t="shared" ref="P19" si="70">IF(C19=D19,0,((E19-D19)-(C19-E19))/(C19-D19))</f>
        <v>-0.82582582582582642</v>
      </c>
      <c r="Q19">
        <f t="shared" ref="Q19" si="71">F19*P19</f>
        <v>-3704585.285285288</v>
      </c>
      <c r="R19">
        <f t="shared" ref="R19" si="72">R20+Q19</f>
        <v>396517703.25705677</v>
      </c>
      <c r="S19">
        <f t="shared" ref="S19" si="73">R19/100000</f>
        <v>3965.1770325705679</v>
      </c>
      <c r="T19">
        <f t="shared" ref="T19" si="74">S19/1000</f>
        <v>3.9651770325705678</v>
      </c>
    </row>
    <row r="20" spans="1:20" x14ac:dyDescent="0.25">
      <c r="A20" s="5">
        <v>44573</v>
      </c>
      <c r="B20">
        <v>4.1680000000000001</v>
      </c>
      <c r="C20">
        <v>4.4610000000000003</v>
      </c>
      <c r="D20">
        <v>4.1459999999999999</v>
      </c>
      <c r="E20">
        <v>4.383</v>
      </c>
      <c r="F20">
        <v>5728197</v>
      </c>
      <c r="G20">
        <v>4.383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0.50476190476190352</v>
      </c>
      <c r="Q20">
        <f t="shared" ref="Q20" si="76">F20*P20</f>
        <v>2891375.6285714214</v>
      </c>
      <c r="R20">
        <f t="shared" ref="R20" si="77">R21+Q20</f>
        <v>400222288.54234207</v>
      </c>
      <c r="S20">
        <f t="shared" ref="S20" si="78">R20/100000</f>
        <v>4002.2228854234208</v>
      </c>
      <c r="T20">
        <f t="shared" ref="T20" si="79">S20/1000</f>
        <v>4.0022228854234205</v>
      </c>
    </row>
    <row r="21" spans="1:20" x14ac:dyDescent="0.25">
      <c r="A21" s="5">
        <v>44572</v>
      </c>
      <c r="B21">
        <v>4.0270000000000001</v>
      </c>
      <c r="C21">
        <v>4.2240000000000002</v>
      </c>
      <c r="D21">
        <v>3.9359999999999999</v>
      </c>
      <c r="E21">
        <v>4.1680000000000001</v>
      </c>
      <c r="F21">
        <v>3526449.3</v>
      </c>
      <c r="G21">
        <v>4.1680000000000001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0.61111111111111116</v>
      </c>
      <c r="Q21">
        <f t="shared" ref="Q21" si="81">F21*P21</f>
        <v>2155052.35</v>
      </c>
      <c r="R21">
        <f t="shared" ref="R21" si="82">R22+Q21</f>
        <v>397330912.91377062</v>
      </c>
      <c r="S21">
        <f t="shared" ref="S21" si="83">R21/100000</f>
        <v>3973.3091291377063</v>
      </c>
      <c r="T21">
        <f t="shared" ref="T21" si="84">S21/1000</f>
        <v>3.9733091291377063</v>
      </c>
    </row>
    <row r="22" spans="1:20" x14ac:dyDescent="0.25">
      <c r="A22" s="5">
        <v>44571</v>
      </c>
      <c r="B22">
        <v>4.2149999999999999</v>
      </c>
      <c r="C22">
        <v>4.2640000000000002</v>
      </c>
      <c r="D22">
        <v>3.782</v>
      </c>
      <c r="E22">
        <v>4.0259999999999998</v>
      </c>
      <c r="F22">
        <v>5556379.2999999998</v>
      </c>
      <c r="G22">
        <v>4.0259999999999998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1.2448132780081611E-2</v>
      </c>
      <c r="Q22">
        <f t="shared" ref="Q22" si="86">F22*P22</f>
        <v>69166.547302896914</v>
      </c>
      <c r="R22">
        <f t="shared" ref="R22" si="87">R23+Q22</f>
        <v>395175860.56377059</v>
      </c>
      <c r="S22">
        <f t="shared" ref="S22" si="88">R22/100000</f>
        <v>3951.7586056377058</v>
      </c>
      <c r="T22">
        <f t="shared" ref="T22" si="89">S22/1000</f>
        <v>3.9517586056377056</v>
      </c>
    </row>
    <row r="23" spans="1:20" x14ac:dyDescent="0.25">
      <c r="A23" s="5">
        <v>44570</v>
      </c>
      <c r="B23">
        <v>4.0060000000000002</v>
      </c>
      <c r="C23">
        <v>4.3460000000000001</v>
      </c>
      <c r="D23">
        <v>3.968</v>
      </c>
      <c r="E23">
        <v>4.2169999999999996</v>
      </c>
      <c r="F23">
        <v>4970468.7</v>
      </c>
      <c r="G23">
        <v>4.2169999999999996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0.31746031746031528</v>
      </c>
      <c r="Q23">
        <f t="shared" ref="Q23" si="91">F23*P23</f>
        <v>1577926.5714285607</v>
      </c>
      <c r="R23">
        <f t="shared" ref="R23" si="92">R24+Q23</f>
        <v>395106694.01646769</v>
      </c>
      <c r="S23">
        <f t="shared" ref="S23" si="93">R23/100000</f>
        <v>3951.0669401646769</v>
      </c>
      <c r="T23">
        <f t="shared" ref="T23" si="94">S23/1000</f>
        <v>3.9510669401646767</v>
      </c>
    </row>
    <row r="24" spans="1:20" x14ac:dyDescent="0.25">
      <c r="A24" s="5">
        <v>44569</v>
      </c>
      <c r="B24">
        <v>4.26</v>
      </c>
      <c r="C24">
        <v>4.3710000000000004</v>
      </c>
      <c r="D24">
        <v>3.859</v>
      </c>
      <c r="E24">
        <v>4.0049999999999999</v>
      </c>
      <c r="F24">
        <v>5133283.7</v>
      </c>
      <c r="G24">
        <v>4.0049999999999999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-0.42968750000000089</v>
      </c>
      <c r="Q24">
        <f t="shared" ref="Q24" si="96">F24*P24</f>
        <v>-2205707.8398437547</v>
      </c>
      <c r="R24">
        <f t="shared" ref="R24" si="97">R25+Q24</f>
        <v>393528767.44503915</v>
      </c>
      <c r="S24">
        <f t="shared" ref="S24" si="98">R24/100000</f>
        <v>3935.2876744503915</v>
      </c>
      <c r="T24">
        <f t="shared" ref="T24" si="99">S24/1000</f>
        <v>3.9352876744503913</v>
      </c>
    </row>
    <row r="25" spans="1:20" x14ac:dyDescent="0.25">
      <c r="A25" s="5">
        <v>44568</v>
      </c>
      <c r="B25">
        <v>4.4550000000000001</v>
      </c>
      <c r="C25">
        <v>4.4850000000000003</v>
      </c>
      <c r="D25">
        <v>4.05</v>
      </c>
      <c r="E25">
        <v>4.2530000000000001</v>
      </c>
      <c r="F25">
        <v>7526890.4000000004</v>
      </c>
      <c r="G25">
        <v>4.2530000000000001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-6.6666666666666388E-2</v>
      </c>
      <c r="Q25">
        <f t="shared" ref="Q25" si="101">F25*P25</f>
        <v>-501792.69333333126</v>
      </c>
      <c r="R25">
        <f t="shared" ref="R25" si="102">R26+Q25</f>
        <v>395734475.2848829</v>
      </c>
      <c r="S25">
        <f t="shared" ref="S25" si="103">R25/100000</f>
        <v>3957.3447528488291</v>
      </c>
      <c r="T25">
        <f t="shared" ref="T25" si="104">S25/1000</f>
        <v>3.957344752848829</v>
      </c>
    </row>
    <row r="26" spans="1:20" x14ac:dyDescent="0.25">
      <c r="A26" s="5">
        <v>44567</v>
      </c>
      <c r="B26">
        <v>4.5069999999999997</v>
      </c>
      <c r="C26">
        <v>4.5449999999999999</v>
      </c>
      <c r="D26">
        <v>4.2140000000000004</v>
      </c>
      <c r="E26">
        <v>4.452</v>
      </c>
      <c r="F26">
        <v>9656885.8000000007</v>
      </c>
      <c r="G26">
        <v>4.452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0.43806646525679693</v>
      </c>
      <c r="Q26">
        <f t="shared" ref="Q26" si="106">F26*P26</f>
        <v>4230357.8277945556</v>
      </c>
      <c r="R26">
        <f t="shared" ref="R26" si="107">R27+Q26</f>
        <v>396236267.97821623</v>
      </c>
      <c r="S26">
        <f t="shared" ref="S26" si="108">R26/100000</f>
        <v>3962.3626797821621</v>
      </c>
      <c r="T26">
        <f t="shared" ref="T26" si="109">S26/1000</f>
        <v>3.9623626797821623</v>
      </c>
    </row>
    <row r="27" spans="1:20" x14ac:dyDescent="0.25">
      <c r="A27" s="5">
        <v>44566</v>
      </c>
      <c r="B27">
        <v>5.0439999999999996</v>
      </c>
      <c r="C27">
        <v>5.3049999999999997</v>
      </c>
      <c r="D27">
        <v>4.2759999999999998</v>
      </c>
      <c r="E27">
        <v>4.5090000000000003</v>
      </c>
      <c r="F27">
        <v>13471583.4</v>
      </c>
      <c r="G27">
        <v>4.5090000000000003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-0.54713313896987259</v>
      </c>
      <c r="Q27">
        <f t="shared" ref="Q27" si="111">F27*P27</f>
        <v>-7370749.7125364291</v>
      </c>
      <c r="R27">
        <f t="shared" ref="R27" si="112">R28+Q27</f>
        <v>392005910.15042168</v>
      </c>
      <c r="S27">
        <f t="shared" ref="S27" si="113">R27/100000</f>
        <v>3920.0591015042169</v>
      </c>
      <c r="T27">
        <f t="shared" ref="T27" si="114">S27/1000</f>
        <v>3.9200591015042168</v>
      </c>
    </row>
    <row r="28" spans="1:20" x14ac:dyDescent="0.25">
      <c r="A28" s="5">
        <v>44565</v>
      </c>
      <c r="B28">
        <v>4.8040000000000003</v>
      </c>
      <c r="C28">
        <v>5.3650000000000002</v>
      </c>
      <c r="D28">
        <v>4.5810000000000004</v>
      </c>
      <c r="E28">
        <v>5.0430000000000001</v>
      </c>
      <c r="F28">
        <v>19157201.199999999</v>
      </c>
      <c r="G28">
        <v>5.0430000000000001</v>
      </c>
      <c r="L28" t="s">
        <v>8</v>
      </c>
      <c r="M28" t="s">
        <v>8</v>
      </c>
      <c r="N28" t="s">
        <v>7</v>
      </c>
      <c r="P28">
        <f t="shared" ref="P28" si="115">IF(C28=D28,0,((E28-D28)-(C28-E28))/(C28-D28))</f>
        <v>0.17857142857142821</v>
      </c>
      <c r="Q28">
        <f t="shared" ref="Q28" si="116">F28*P28</f>
        <v>3420928.7857142789</v>
      </c>
      <c r="R28">
        <f t="shared" ref="R28" si="117">R29+Q28</f>
        <v>399376659.86295813</v>
      </c>
      <c r="S28">
        <f t="shared" ref="S28" si="118">R28/100000</f>
        <v>3993.7665986295815</v>
      </c>
      <c r="T28">
        <f t="shared" ref="T28" si="119">S28/1000</f>
        <v>3.9937665986295814</v>
      </c>
    </row>
    <row r="29" spans="1:20" x14ac:dyDescent="0.25">
      <c r="A29" s="5">
        <v>44564</v>
      </c>
      <c r="B29">
        <v>4.6539999999999999</v>
      </c>
      <c r="C29">
        <v>5.0449999999999999</v>
      </c>
      <c r="D29">
        <v>4.5129999999999999</v>
      </c>
      <c r="E29">
        <v>4.8029999999999999</v>
      </c>
      <c r="F29">
        <v>9831425.6999999993</v>
      </c>
      <c r="G29">
        <v>4.8029999999999999</v>
      </c>
      <c r="L29" t="s">
        <v>8</v>
      </c>
      <c r="M29" t="s">
        <v>8</v>
      </c>
      <c r="N29" t="s">
        <v>7</v>
      </c>
      <c r="P29">
        <f t="shared" ref="P29" si="120">IF(C29=D29,0,((E29-D29)-(C29-E29))/(C29-D29))</f>
        <v>9.0225563909774514E-2</v>
      </c>
      <c r="Q29">
        <f t="shared" ref="Q29" si="121">F29*P29</f>
        <v>887045.92781954957</v>
      </c>
      <c r="R29">
        <f t="shared" ref="R29" si="122">R30+Q29</f>
        <v>395955731.07724386</v>
      </c>
      <c r="S29">
        <f t="shared" ref="S29" si="123">R29/100000</f>
        <v>3959.5573107724385</v>
      </c>
      <c r="T29">
        <f t="shared" ref="T29" si="124">S29/1000</f>
        <v>3.9595573107724387</v>
      </c>
    </row>
    <row r="30" spans="1:20" x14ac:dyDescent="0.25">
      <c r="A30" s="5">
        <v>44563</v>
      </c>
      <c r="B30">
        <v>4.7469999999999999</v>
      </c>
      <c r="C30">
        <v>4.7869999999999999</v>
      </c>
      <c r="D30">
        <v>4.5830000000000002</v>
      </c>
      <c r="E30">
        <v>4.6539999999999999</v>
      </c>
      <c r="F30">
        <v>3501746</v>
      </c>
      <c r="G30">
        <v>4.6539999999999999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-0.30392156862745273</v>
      </c>
      <c r="Q30">
        <f t="shared" ref="Q30" si="126">F30*P30</f>
        <v>-1064256.137254908</v>
      </c>
      <c r="R30">
        <f t="shared" ref="R30" si="127">R31+Q30</f>
        <v>395068685.14942431</v>
      </c>
      <c r="S30">
        <f t="shared" ref="S30" si="128">R30/100000</f>
        <v>3950.686851494243</v>
      </c>
      <c r="T30">
        <f t="shared" ref="T30" si="129">S30/1000</f>
        <v>3.9506868514942428</v>
      </c>
    </row>
    <row r="31" spans="1:20" x14ac:dyDescent="0.25">
      <c r="A31" s="5">
        <v>44562</v>
      </c>
      <c r="B31">
        <v>4.3410000000000002</v>
      </c>
      <c r="C31">
        <v>4.7839999999999998</v>
      </c>
      <c r="D31">
        <v>4.3380000000000001</v>
      </c>
      <c r="E31">
        <v>4.7460000000000004</v>
      </c>
      <c r="F31">
        <v>8479661.4000000004</v>
      </c>
      <c r="G31">
        <v>4.7460000000000004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0.82959641255605654</v>
      </c>
      <c r="Q31">
        <f t="shared" ref="Q31" si="131">F31*P31</f>
        <v>7034696.6771300687</v>
      </c>
      <c r="R31">
        <f t="shared" ref="R31" si="132">R32+Q31</f>
        <v>396132941.28667921</v>
      </c>
      <c r="S31">
        <f t="shared" ref="S31" si="133">R31/100000</f>
        <v>3961.3294128667922</v>
      </c>
      <c r="T31">
        <f t="shared" ref="T31" si="134">S31/1000</f>
        <v>3.961329412866792</v>
      </c>
    </row>
    <row r="32" spans="1:20" x14ac:dyDescent="0.25">
      <c r="A32" s="5">
        <v>44561</v>
      </c>
      <c r="B32">
        <v>4.3440000000000003</v>
      </c>
      <c r="C32">
        <v>4.5179999999999998</v>
      </c>
      <c r="D32">
        <v>4.1790000000000003</v>
      </c>
      <c r="E32">
        <v>4.34</v>
      </c>
      <c r="F32">
        <v>4293935.0999999996</v>
      </c>
      <c r="G32">
        <v>4.34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-5.0147492625369827E-2</v>
      </c>
      <c r="Q32">
        <f t="shared" ref="Q32" si="136">F32*P32</f>
        <v>-215330.07876106663</v>
      </c>
      <c r="R32">
        <f t="shared" ref="R32" si="137">R33+Q32</f>
        <v>389098244.60954916</v>
      </c>
      <c r="S32">
        <f t="shared" ref="S32" si="138">R32/100000</f>
        <v>3890.9824460954915</v>
      </c>
      <c r="T32">
        <f t="shared" ref="T32" si="139">S32/1000</f>
        <v>3.8909824460954914</v>
      </c>
    </row>
    <row r="33" spans="1:20" x14ac:dyDescent="0.25">
      <c r="A33" s="5">
        <v>44560</v>
      </c>
      <c r="B33">
        <v>4.375</v>
      </c>
      <c r="C33">
        <v>4.5259999999999998</v>
      </c>
      <c r="D33">
        <v>4.22</v>
      </c>
      <c r="E33">
        <v>4.3440000000000003</v>
      </c>
      <c r="F33">
        <v>4103022</v>
      </c>
      <c r="G33">
        <v>4.3440000000000003</v>
      </c>
      <c r="L33" t="s">
        <v>8</v>
      </c>
      <c r="M33" t="s">
        <v>7</v>
      </c>
      <c r="N33" t="s">
        <v>7</v>
      </c>
      <c r="P33">
        <f t="shared" ref="P33" si="140">IF(C33=D33,0,((E33-D33)-(C33-E33))/(C33-D33))</f>
        <v>-0.18954248366012721</v>
      </c>
      <c r="Q33">
        <f t="shared" ref="Q33" si="141">F33*P33</f>
        <v>-777696.98039214243</v>
      </c>
      <c r="R33">
        <f t="shared" ref="R33" si="142">R34+Q33</f>
        <v>389313574.68831021</v>
      </c>
      <c r="S33">
        <f t="shared" ref="S33" si="143">R33/100000</f>
        <v>3893.135746883102</v>
      </c>
      <c r="T33">
        <f t="shared" ref="T33" si="144">S33/1000</f>
        <v>3.893135746883102</v>
      </c>
    </row>
    <row r="34" spans="1:20" x14ac:dyDescent="0.25">
      <c r="A34" s="5">
        <v>44559</v>
      </c>
      <c r="B34">
        <v>4.4870000000000001</v>
      </c>
      <c r="C34">
        <v>4.54</v>
      </c>
      <c r="D34">
        <v>4.2130000000000001</v>
      </c>
      <c r="E34">
        <v>4.3730000000000002</v>
      </c>
      <c r="F34">
        <v>4951940.5</v>
      </c>
      <c r="G34">
        <v>4.3730000000000002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-2.1406727828745181E-2</v>
      </c>
      <c r="Q34">
        <f t="shared" ref="Q34" si="146">F34*P34</f>
        <v>-106004.84250764032</v>
      </c>
      <c r="R34">
        <f t="shared" ref="R34" si="147">R35+Q34</f>
        <v>390091271.66870236</v>
      </c>
      <c r="S34">
        <f t="shared" ref="S34" si="148">R34/100000</f>
        <v>3900.9127166870235</v>
      </c>
      <c r="T34">
        <f t="shared" ref="T34" si="149">S34/1000</f>
        <v>3.9009127166870234</v>
      </c>
    </row>
    <row r="35" spans="1:20" x14ac:dyDescent="0.25">
      <c r="A35" s="5">
        <v>44558</v>
      </c>
      <c r="B35">
        <v>5.0999999999999996</v>
      </c>
      <c r="C35">
        <v>5.1059999999999999</v>
      </c>
      <c r="D35">
        <v>4.4210000000000003</v>
      </c>
      <c r="E35">
        <v>4.4909999999999997</v>
      </c>
      <c r="F35">
        <v>6733611.2999999998</v>
      </c>
      <c r="G35">
        <v>4.4909999999999997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-0.79562043795620607</v>
      </c>
      <c r="Q35">
        <f t="shared" ref="Q35" si="151">F35*P35</f>
        <v>-5357398.7715328578</v>
      </c>
      <c r="R35">
        <f t="shared" ref="R35" si="152">R36+Q35</f>
        <v>390197276.51121002</v>
      </c>
      <c r="S35">
        <f t="shared" ref="S35" si="153">R35/100000</f>
        <v>3901.9727651121002</v>
      </c>
      <c r="T35">
        <f t="shared" ref="T35" si="154">S35/1000</f>
        <v>3.9019727651121001</v>
      </c>
    </row>
    <row r="36" spans="1:20" x14ac:dyDescent="0.25">
      <c r="A36" s="5">
        <v>44557</v>
      </c>
      <c r="B36">
        <v>4.8650000000000002</v>
      </c>
      <c r="C36">
        <v>5.17</v>
      </c>
      <c r="D36">
        <v>4.7670000000000003</v>
      </c>
      <c r="E36">
        <v>5.1020000000000003</v>
      </c>
      <c r="F36">
        <v>8752592.5999999996</v>
      </c>
      <c r="G36">
        <v>5.1020000000000003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0.66253101736972864</v>
      </c>
      <c r="Q36">
        <f t="shared" ref="Q36" si="156">F36*P36</f>
        <v>5798864.0799007583</v>
      </c>
      <c r="R36">
        <f t="shared" ref="R36" si="157">R37+Q36</f>
        <v>395554675.28274286</v>
      </c>
      <c r="S36">
        <f t="shared" ref="S36" si="158">R36/100000</f>
        <v>3955.5467528274285</v>
      </c>
      <c r="T36">
        <f t="shared" ref="T36" si="159">S36/1000</f>
        <v>3.9555467528274284</v>
      </c>
    </row>
    <row r="37" spans="1:20" x14ac:dyDescent="0.25">
      <c r="A37" s="5">
        <v>44556</v>
      </c>
      <c r="B37">
        <v>4.585</v>
      </c>
      <c r="C37">
        <v>4.9130000000000003</v>
      </c>
      <c r="D37">
        <v>4.4539999999999997</v>
      </c>
      <c r="E37">
        <v>4.8639999999999999</v>
      </c>
      <c r="F37">
        <v>9826346.5999999996</v>
      </c>
      <c r="G37">
        <v>4.8639999999999999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0.78649237472766742</v>
      </c>
      <c r="Q37">
        <f t="shared" ref="Q37" si="161">F37*P37</f>
        <v>7728346.6723311404</v>
      </c>
      <c r="R37">
        <f t="shared" ref="R37" si="162">R38+Q37</f>
        <v>389755811.20284212</v>
      </c>
      <c r="S37">
        <f t="shared" ref="S37" si="163">R37/100000</f>
        <v>3897.558112028421</v>
      </c>
      <c r="T37">
        <f t="shared" ref="T37" si="164">S37/1000</f>
        <v>3.8975581120284208</v>
      </c>
    </row>
    <row r="38" spans="1:20" x14ac:dyDescent="0.25">
      <c r="A38" s="5">
        <v>44555</v>
      </c>
      <c r="B38">
        <v>4.4950000000000001</v>
      </c>
      <c r="C38">
        <v>4.7190000000000003</v>
      </c>
      <c r="D38">
        <v>4.4379999999999997</v>
      </c>
      <c r="E38">
        <v>4.5830000000000002</v>
      </c>
      <c r="F38">
        <v>5413121.0999999996</v>
      </c>
      <c r="G38">
        <v>4.5830000000000002</v>
      </c>
      <c r="L38" t="s">
        <v>7</v>
      </c>
      <c r="M38" t="s">
        <v>8</v>
      </c>
      <c r="N38" t="s">
        <v>7</v>
      </c>
      <c r="P38">
        <f t="shared" ref="P38" si="165">IF(C38=D38,0,((E38-D38)-(C38-E38))/(C38-D38))</f>
        <v>3.2028469750890826E-2</v>
      </c>
      <c r="Q38">
        <f t="shared" ref="Q38" si="166">F38*P38</f>
        <v>173373.98540925886</v>
      </c>
      <c r="R38">
        <f t="shared" ref="R38" si="167">R39+Q38</f>
        <v>382027464.53051096</v>
      </c>
      <c r="S38">
        <f t="shared" ref="S38" si="168">R38/100000</f>
        <v>3820.2746453051095</v>
      </c>
      <c r="T38">
        <f t="shared" ref="T38" si="169">S38/1000</f>
        <v>3.8202746453051093</v>
      </c>
    </row>
    <row r="39" spans="1:20" x14ac:dyDescent="0.25">
      <c r="A39" s="5">
        <v>44554</v>
      </c>
      <c r="B39">
        <v>4.7690000000000001</v>
      </c>
      <c r="C39">
        <v>4.8099999999999996</v>
      </c>
      <c r="D39">
        <v>4.4269999999999996</v>
      </c>
      <c r="E39">
        <v>4.4960000000000004</v>
      </c>
      <c r="F39">
        <v>6895692</v>
      </c>
      <c r="G39">
        <v>4.4960000000000004</v>
      </c>
      <c r="L39" t="s">
        <v>7</v>
      </c>
      <c r="M39" t="s">
        <v>8</v>
      </c>
      <c r="N39" t="s">
        <v>7</v>
      </c>
      <c r="P39">
        <f t="shared" ref="P39" si="170">IF(C39=D39,0,((E39-D39)-(C39-E39))/(C39-D39))</f>
        <v>-0.6396866840731027</v>
      </c>
      <c r="Q39">
        <f t="shared" ref="Q39" si="171">F39*P39</f>
        <v>-4411082.3498694217</v>
      </c>
      <c r="R39">
        <f t="shared" ref="R39" si="172">R40+Q39</f>
        <v>381854090.5451017</v>
      </c>
      <c r="S39">
        <f t="shared" ref="S39" si="173">R39/100000</f>
        <v>3818.5409054510169</v>
      </c>
      <c r="T39">
        <f t="shared" ref="T39" si="174">S39/1000</f>
        <v>3.8185409054510169</v>
      </c>
    </row>
    <row r="40" spans="1:20" x14ac:dyDescent="0.25">
      <c r="A40" s="5">
        <v>44553</v>
      </c>
      <c r="B40">
        <v>4.5410000000000004</v>
      </c>
      <c r="C40">
        <v>4.8150000000000004</v>
      </c>
      <c r="D40">
        <v>4.4509999999999996</v>
      </c>
      <c r="E40">
        <v>4.7690000000000001</v>
      </c>
      <c r="F40">
        <v>8128476.2999999998</v>
      </c>
      <c r="G40">
        <v>4.7690000000000001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0.74725274725274637</v>
      </c>
      <c r="Q40">
        <f t="shared" ref="Q40" si="176">F40*P40</f>
        <v>6074026.2461538389</v>
      </c>
      <c r="R40">
        <f t="shared" ref="R40" si="177">R41+Q40</f>
        <v>386265172.89497113</v>
      </c>
      <c r="S40">
        <f t="shared" ref="S40" si="178">R40/100000</f>
        <v>3862.6517289497115</v>
      </c>
      <c r="T40">
        <f t="shared" ref="T40" si="179">S40/1000</f>
        <v>3.8626517289497113</v>
      </c>
    </row>
    <row r="41" spans="1:20" x14ac:dyDescent="0.25">
      <c r="A41" s="5">
        <v>44552</v>
      </c>
      <c r="B41">
        <v>4.2309999999999999</v>
      </c>
      <c r="C41">
        <v>4.6929999999999996</v>
      </c>
      <c r="D41">
        <v>4.2290000000000001</v>
      </c>
      <c r="E41">
        <v>4.5439999999999996</v>
      </c>
      <c r="F41">
        <v>7649360.4000000004</v>
      </c>
      <c r="G41">
        <v>4.5439999999999996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0.35775862068965442</v>
      </c>
      <c r="Q41">
        <f t="shared" ref="Q41" si="181">F41*P41</f>
        <v>2736624.6258620634</v>
      </c>
      <c r="R41">
        <f t="shared" ref="R41" si="182">R42+Q41</f>
        <v>380191146.6488173</v>
      </c>
      <c r="S41">
        <f t="shared" ref="S41" si="183">R41/100000</f>
        <v>3801.9114664881731</v>
      </c>
      <c r="T41">
        <f t="shared" ref="T41" si="184">S41/1000</f>
        <v>3.801911466488173</v>
      </c>
    </row>
    <row r="42" spans="1:20" x14ac:dyDescent="0.25">
      <c r="A42" s="5">
        <v>44551</v>
      </c>
      <c r="B42">
        <v>4.1040000000000001</v>
      </c>
      <c r="C42">
        <v>4.2569999999999997</v>
      </c>
      <c r="D42">
        <v>4.0510000000000002</v>
      </c>
      <c r="E42">
        <v>4.2320000000000002</v>
      </c>
      <c r="F42">
        <v>3580846.9</v>
      </c>
      <c r="G42">
        <v>4.2320000000000002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0.75728155339806291</v>
      </c>
      <c r="Q42">
        <f t="shared" ref="Q42" si="186">F42*P42</f>
        <v>2711709.3029126381</v>
      </c>
      <c r="R42">
        <f t="shared" ref="R42" si="187">R43+Q42</f>
        <v>377454522.02295524</v>
      </c>
      <c r="S42">
        <f t="shared" ref="S42" si="188">R42/100000</f>
        <v>3774.5452202295523</v>
      </c>
      <c r="T42">
        <f t="shared" ref="T42" si="189">S42/1000</f>
        <v>3.7745452202295522</v>
      </c>
    </row>
    <row r="43" spans="1:20" x14ac:dyDescent="0.25">
      <c r="A43" s="5">
        <v>44550</v>
      </c>
      <c r="B43">
        <v>4.1379999999999999</v>
      </c>
      <c r="C43">
        <v>4.2619999999999996</v>
      </c>
      <c r="D43">
        <v>3.867</v>
      </c>
      <c r="E43">
        <v>4.1059999999999999</v>
      </c>
      <c r="F43">
        <v>6281561.5999999996</v>
      </c>
      <c r="G43">
        <v>4.1059999999999999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0.21012658227848172</v>
      </c>
      <c r="Q43">
        <f t="shared" ref="Q43" si="191">F43*P43</f>
        <v>1319923.0703797513</v>
      </c>
      <c r="R43">
        <f t="shared" ref="R43" si="192">R44+Q43</f>
        <v>374742812.72004259</v>
      </c>
      <c r="S43">
        <f t="shared" ref="S43" si="193">R43/100000</f>
        <v>3747.4281272004259</v>
      </c>
      <c r="T43">
        <f t="shared" ref="T43" si="194">S43/1000</f>
        <v>3.747428127200426</v>
      </c>
    </row>
    <row r="44" spans="1:20" x14ac:dyDescent="0.25">
      <c r="A44" s="5">
        <v>44549</v>
      </c>
      <c r="B44">
        <v>4.2389999999999999</v>
      </c>
      <c r="C44">
        <v>4.3099999999999996</v>
      </c>
      <c r="D44">
        <v>4.117</v>
      </c>
      <c r="E44">
        <v>4.1390000000000002</v>
      </c>
      <c r="F44">
        <v>3220995.6</v>
      </c>
      <c r="G44">
        <v>4.1390000000000002</v>
      </c>
      <c r="L44" t="s">
        <v>8</v>
      </c>
      <c r="M44" t="s">
        <v>8</v>
      </c>
      <c r="N44" t="s">
        <v>7</v>
      </c>
      <c r="P44">
        <f t="shared" ref="P44" si="195">IF(C44=D44,0,((E44-D44)-(C44-E44))/(C44-D44))</f>
        <v>-0.77202072538859812</v>
      </c>
      <c r="Q44">
        <f t="shared" ref="Q44" si="196">F44*P44</f>
        <v>-2486675.3595854831</v>
      </c>
      <c r="R44">
        <f t="shared" ref="R44" si="197">R45+Q44</f>
        <v>373422889.64966285</v>
      </c>
      <c r="S44">
        <f t="shared" ref="S44" si="198">R44/100000</f>
        <v>3734.2288964966287</v>
      </c>
      <c r="T44">
        <f t="shared" ref="T44" si="199">S44/1000</f>
        <v>3.7342288964966288</v>
      </c>
    </row>
    <row r="45" spans="1:20" x14ac:dyDescent="0.25">
      <c r="A45" s="5">
        <v>44548</v>
      </c>
      <c r="B45">
        <v>4.1420000000000003</v>
      </c>
      <c r="C45">
        <v>4.3390000000000004</v>
      </c>
      <c r="D45">
        <v>4.0759999999999996</v>
      </c>
      <c r="E45">
        <v>4.2409999999999997</v>
      </c>
      <c r="F45">
        <v>4068825.9</v>
      </c>
      <c r="G45">
        <v>4.2409999999999997</v>
      </c>
      <c r="L45" t="s">
        <v>8</v>
      </c>
      <c r="M45" t="s">
        <v>8</v>
      </c>
      <c r="N45" t="s">
        <v>7</v>
      </c>
      <c r="P45">
        <f t="shared" ref="P45" si="200">IF(C45=D45,0,((E45-D45)-(C45-E45))/(C45-D45))</f>
        <v>0.25475285171102313</v>
      </c>
      <c r="Q45">
        <f t="shared" ref="Q45" si="201">F45*P45</f>
        <v>1036545.0011406702</v>
      </c>
      <c r="R45">
        <f t="shared" ref="R45" si="202">R46+Q45</f>
        <v>375909565.00924832</v>
      </c>
      <c r="S45">
        <f t="shared" ref="S45" si="203">R45/100000</f>
        <v>3759.0956500924831</v>
      </c>
      <c r="T45">
        <f t="shared" ref="T45" si="204">S45/1000</f>
        <v>3.7590956500924833</v>
      </c>
    </row>
    <row r="46" spans="1:20" x14ac:dyDescent="0.25">
      <c r="A46" s="5">
        <v>44547</v>
      </c>
      <c r="B46">
        <v>4.3099999999999996</v>
      </c>
      <c r="C46">
        <v>4.3879999999999999</v>
      </c>
      <c r="D46">
        <v>4.0599999999999996</v>
      </c>
      <c r="E46">
        <v>4.1399999999999997</v>
      </c>
      <c r="F46">
        <v>6623276.5</v>
      </c>
      <c r="G46">
        <v>4.1399999999999997</v>
      </c>
      <c r="L46" t="s">
        <v>7</v>
      </c>
      <c r="M46" t="s">
        <v>8</v>
      </c>
      <c r="N46" t="s">
        <v>7</v>
      </c>
      <c r="P46">
        <f t="shared" ref="P46" si="205">IF(C46=D46,0,((E46-D46)-(C46-E46))/(C46-D46))</f>
        <v>-0.51219512195121952</v>
      </c>
      <c r="Q46">
        <f t="shared" ref="Q46" si="206">F46*P46</f>
        <v>-3392409.9146341463</v>
      </c>
      <c r="R46">
        <f t="shared" ref="R46" si="207">R47+Q46</f>
        <v>374873020.00810766</v>
      </c>
      <c r="S46">
        <f t="shared" ref="S46" si="208">R46/100000</f>
        <v>3748.7302000810764</v>
      </c>
      <c r="T46">
        <f t="shared" ref="T46" si="209">S46/1000</f>
        <v>3.7487302000810763</v>
      </c>
    </row>
    <row r="47" spans="1:20" x14ac:dyDescent="0.25">
      <c r="A47" s="5">
        <v>44546</v>
      </c>
      <c r="B47">
        <v>4.4880000000000004</v>
      </c>
      <c r="C47">
        <v>4.7009999999999996</v>
      </c>
      <c r="D47">
        <v>4.3</v>
      </c>
      <c r="E47">
        <v>4.3090000000000002</v>
      </c>
      <c r="F47">
        <v>8002228.7999999998</v>
      </c>
      <c r="G47">
        <v>4.3090000000000002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-0.95511221945136981</v>
      </c>
      <c r="Q47">
        <f t="shared" ref="Q47" si="211">F47*P47</f>
        <v>-7643026.5097256713</v>
      </c>
      <c r="R47">
        <f t="shared" ref="R47" si="212">R48+Q47</f>
        <v>378265429.92274183</v>
      </c>
      <c r="S47">
        <f t="shared" ref="S47" si="213">R47/100000</f>
        <v>3782.6542992274185</v>
      </c>
      <c r="T47">
        <f t="shared" ref="T47" si="214">S47/1000</f>
        <v>3.7826542992274184</v>
      </c>
    </row>
    <row r="48" spans="1:20" x14ac:dyDescent="0.25">
      <c r="A48" s="5">
        <v>44545</v>
      </c>
      <c r="B48">
        <v>4.5199999999999996</v>
      </c>
      <c r="C48">
        <v>4.5659999999999998</v>
      </c>
      <c r="D48">
        <v>4.0549999999999997</v>
      </c>
      <c r="E48">
        <v>4.4870000000000001</v>
      </c>
      <c r="F48">
        <v>12018851.699999999</v>
      </c>
      <c r="G48">
        <v>4.4870000000000001</v>
      </c>
      <c r="L48" t="s">
        <v>7</v>
      </c>
      <c r="M48" t="s">
        <v>8</v>
      </c>
      <c r="N48" t="s">
        <v>7</v>
      </c>
      <c r="P48">
        <f t="shared" ref="P48" si="215">IF(C48=D48,0,((E48-D48)-(C48-E48))/(C48-D48))</f>
        <v>0.69080234833659604</v>
      </c>
      <c r="Q48">
        <f t="shared" ref="Q48" si="216">F48*P48</f>
        <v>8302650.9786692886</v>
      </c>
      <c r="R48">
        <f t="shared" ref="R48" si="217">R49+Q48</f>
        <v>385908456.43246752</v>
      </c>
      <c r="S48">
        <f t="shared" ref="S48" si="218">R48/100000</f>
        <v>3859.0845643246753</v>
      </c>
      <c r="T48">
        <f t="shared" ref="T48" si="219">S48/1000</f>
        <v>3.8590845643246752</v>
      </c>
    </row>
    <row r="49" spans="1:20" x14ac:dyDescent="0.25">
      <c r="A49" s="5">
        <v>44544</v>
      </c>
      <c r="B49">
        <v>4.0469999999999997</v>
      </c>
      <c r="C49">
        <v>4.6029999999999998</v>
      </c>
      <c r="D49">
        <v>4.03</v>
      </c>
      <c r="E49">
        <v>4.5149999999999997</v>
      </c>
      <c r="F49">
        <v>15579356.1</v>
      </c>
      <c r="G49">
        <v>4.5149999999999997</v>
      </c>
      <c r="L49" t="s">
        <v>8</v>
      </c>
      <c r="M49" t="s">
        <v>8</v>
      </c>
      <c r="N49" t="s">
        <v>7</v>
      </c>
      <c r="P49">
        <f t="shared" ref="P49" si="220">IF(C49=D49,0,((E49-D49)-(C49-E49))/(C49-D49))</f>
        <v>0.69284467713787035</v>
      </c>
      <c r="Q49">
        <f t="shared" ref="Q49" si="221">F49*P49</f>
        <v>10794073.947120411</v>
      </c>
      <c r="R49">
        <f t="shared" ref="R49" si="222">R50+Q49</f>
        <v>377605805.45379823</v>
      </c>
      <c r="S49">
        <f t="shared" ref="S49" si="223">R49/100000</f>
        <v>3776.0580545379826</v>
      </c>
      <c r="T49">
        <f t="shared" ref="T49" si="224">S49/1000</f>
        <v>3.7760580545379825</v>
      </c>
    </row>
    <row r="50" spans="1:20" x14ac:dyDescent="0.25">
      <c r="A50" s="5">
        <v>44543</v>
      </c>
      <c r="B50">
        <v>4.5119999999999996</v>
      </c>
      <c r="C50">
        <v>4.5309999999999997</v>
      </c>
      <c r="D50">
        <v>3.907</v>
      </c>
      <c r="E50">
        <v>4.0490000000000004</v>
      </c>
      <c r="F50">
        <v>7917245.7999999998</v>
      </c>
      <c r="G50">
        <v>4.0490000000000004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-0.54487179487179349</v>
      </c>
      <c r="Q50">
        <f t="shared" ref="Q50" si="226">F50*P50</f>
        <v>-4313883.9294871688</v>
      </c>
      <c r="R50">
        <f t="shared" ref="R50" si="227">R51+Q50</f>
        <v>366811731.50667781</v>
      </c>
      <c r="S50">
        <f t="shared" ref="S50" si="228">R50/100000</f>
        <v>3668.1173150667782</v>
      </c>
      <c r="T50">
        <f t="shared" ref="T50" si="229">S50/1000</f>
        <v>3.6681173150667781</v>
      </c>
    </row>
    <row r="51" spans="1:20" x14ac:dyDescent="0.25">
      <c r="A51" s="5">
        <v>44542</v>
      </c>
      <c r="B51">
        <v>4.5259999999999998</v>
      </c>
      <c r="C51">
        <v>4.6760000000000002</v>
      </c>
      <c r="D51">
        <v>4.3179999999999996</v>
      </c>
      <c r="E51">
        <v>4.51</v>
      </c>
      <c r="F51">
        <v>4361734.7</v>
      </c>
      <c r="G51">
        <v>4.51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7.2625698324021687E-2</v>
      </c>
      <c r="Q51">
        <f t="shared" ref="Q51" si="231">F51*P51</f>
        <v>316774.02849161724</v>
      </c>
      <c r="R51">
        <f t="shared" ref="R51" si="232">R52+Q51</f>
        <v>371125615.43616498</v>
      </c>
      <c r="S51">
        <f t="shared" ref="S51" si="233">R51/100000</f>
        <v>3711.2561543616498</v>
      </c>
      <c r="T51">
        <f t="shared" ref="T51" si="234">S51/1000</f>
        <v>3.7112561543616498</v>
      </c>
    </row>
    <row r="52" spans="1:20" x14ac:dyDescent="0.25">
      <c r="A52" s="5">
        <v>44541</v>
      </c>
      <c r="B52">
        <v>4.34</v>
      </c>
      <c r="C52">
        <v>4.4039999999999999</v>
      </c>
      <c r="D52">
        <v>4.2450000000000001</v>
      </c>
      <c r="E52">
        <v>4.3959999999999999</v>
      </c>
      <c r="F52">
        <v>802478.5</v>
      </c>
      <c r="G52">
        <v>4.3959999999999999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0.89937106918238974</v>
      </c>
      <c r="Q52">
        <f t="shared" ref="Q52" si="236">F52*P52</f>
        <v>721725.94654088037</v>
      </c>
      <c r="R52">
        <f t="shared" ref="R52" si="237">R53+Q52</f>
        <v>370808841.40767336</v>
      </c>
      <c r="S52">
        <f t="shared" ref="S52" si="238">R52/100000</f>
        <v>3708.0884140767334</v>
      </c>
      <c r="T52">
        <f t="shared" ref="T52" si="239">S52/1000</f>
        <v>3.7080884140767334</v>
      </c>
    </row>
    <row r="53" spans="1:20" x14ac:dyDescent="0.25">
      <c r="A53" s="5">
        <v>44540</v>
      </c>
      <c r="B53">
        <v>4.8380000000000001</v>
      </c>
      <c r="C53">
        <v>4.9729999999999999</v>
      </c>
      <c r="D53">
        <v>4.3040000000000003</v>
      </c>
      <c r="E53">
        <v>4.335</v>
      </c>
      <c r="F53">
        <v>13917464.5</v>
      </c>
      <c r="G53">
        <v>4.335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-0.90732436472346867</v>
      </c>
      <c r="Q53">
        <f t="shared" ref="Q53" si="241">F53*P53</f>
        <v>-12627654.636023927</v>
      </c>
      <c r="R53">
        <f t="shared" ref="R53" si="242">R54+Q53</f>
        <v>370087115.46113247</v>
      </c>
      <c r="S53">
        <f t="shared" ref="S53" si="243">R53/100000</f>
        <v>3700.8711546113245</v>
      </c>
      <c r="T53">
        <f t="shared" ref="T53" si="244">S53/1000</f>
        <v>3.7008711546113244</v>
      </c>
    </row>
    <row r="54" spans="1:20" x14ac:dyDescent="0.25">
      <c r="A54" s="5">
        <v>44539</v>
      </c>
      <c r="B54">
        <v>5.6840000000000002</v>
      </c>
      <c r="C54">
        <v>6.19</v>
      </c>
      <c r="D54">
        <v>4.806</v>
      </c>
      <c r="E54">
        <v>4.84</v>
      </c>
      <c r="F54">
        <v>22100253.100000001</v>
      </c>
      <c r="G54">
        <v>4.84</v>
      </c>
      <c r="L54" t="s">
        <v>8</v>
      </c>
      <c r="M54" t="s">
        <v>8</v>
      </c>
      <c r="N54" t="s">
        <v>8</v>
      </c>
      <c r="P54">
        <f t="shared" ref="P54" si="245">IF(C54=D54,0,((E54-D54)-(C54-E54))/(C54-D54))</f>
        <v>-0.95086705202312172</v>
      </c>
      <c r="Q54">
        <f t="shared" ref="Q54" si="246">F54*P54</f>
        <v>-21014402.514161859</v>
      </c>
      <c r="R54">
        <f t="shared" ref="R54" si="247">R55+Q54</f>
        <v>382714770.09715641</v>
      </c>
      <c r="S54">
        <f t="shared" ref="S54" si="248">R54/100000</f>
        <v>3827.1477009715641</v>
      </c>
      <c r="T54">
        <f t="shared" ref="T54" si="249">S54/1000</f>
        <v>3.827147700971564</v>
      </c>
    </row>
    <row r="55" spans="1:20" x14ac:dyDescent="0.25">
      <c r="A55" s="5">
        <v>44538</v>
      </c>
      <c r="B55">
        <v>5.6559999999999997</v>
      </c>
      <c r="C55">
        <v>6.02</v>
      </c>
      <c r="D55">
        <v>5.12</v>
      </c>
      <c r="E55">
        <v>5.6829999999999998</v>
      </c>
      <c r="F55">
        <v>37294155.799999997</v>
      </c>
      <c r="G55">
        <v>5.6829999999999998</v>
      </c>
      <c r="L55" t="s">
        <v>8</v>
      </c>
      <c r="M55" t="s">
        <v>8</v>
      </c>
      <c r="N55" t="s">
        <v>8</v>
      </c>
      <c r="P55">
        <f t="shared" ref="P55" si="250">IF(C55=D55,0,((E55-D55)-(C55-E55))/(C55-D55))</f>
        <v>0.25111111111111123</v>
      </c>
      <c r="Q55">
        <f t="shared" ref="Q55" si="251">F55*P55</f>
        <v>9364976.9008888919</v>
      </c>
      <c r="R55">
        <f t="shared" ref="R55" si="252">R56+Q55</f>
        <v>403729172.61131829</v>
      </c>
      <c r="S55">
        <f t="shared" ref="S55" si="253">R55/100000</f>
        <v>4037.2917261131829</v>
      </c>
      <c r="T55">
        <f t="shared" ref="T55" si="254">S55/1000</f>
        <v>4.0372917261131827</v>
      </c>
    </row>
    <row r="56" spans="1:20" x14ac:dyDescent="0.25">
      <c r="A56" s="5">
        <v>44537</v>
      </c>
      <c r="B56">
        <v>4.149</v>
      </c>
      <c r="C56">
        <v>5.6989999999999998</v>
      </c>
      <c r="D56">
        <v>4.0570000000000004</v>
      </c>
      <c r="E56">
        <v>5.6559999999999997</v>
      </c>
      <c r="F56">
        <v>30994494.899999999</v>
      </c>
      <c r="G56">
        <v>5.6559999999999997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0.94762484774665023</v>
      </c>
      <c r="Q56">
        <f t="shared" ref="Q56" si="256">F56*P56</f>
        <v>29371153.510596827</v>
      </c>
      <c r="R56">
        <f t="shared" ref="R56" si="257">R57+Q56</f>
        <v>394364195.71042937</v>
      </c>
      <c r="S56">
        <f t="shared" ref="S56" si="258">R56/100000</f>
        <v>3943.6419571042939</v>
      </c>
      <c r="T56">
        <f t="shared" ref="T56" si="259">S56/1000</f>
        <v>3.943641957104294</v>
      </c>
    </row>
    <row r="57" spans="1:20" x14ac:dyDescent="0.25">
      <c r="A57" s="5">
        <v>44536</v>
      </c>
      <c r="B57">
        <v>3.8740000000000001</v>
      </c>
      <c r="C57">
        <v>4.1959999999999997</v>
      </c>
      <c r="D57">
        <v>3.66</v>
      </c>
      <c r="E57">
        <v>4.1500000000000004</v>
      </c>
      <c r="F57">
        <v>10129338</v>
      </c>
      <c r="G57">
        <v>4.1500000000000004</v>
      </c>
      <c r="L57" t="s">
        <v>7</v>
      </c>
      <c r="M57" t="s">
        <v>8</v>
      </c>
      <c r="N57" t="s">
        <v>7</v>
      </c>
      <c r="P57">
        <f t="shared" ref="P57" si="260">IF(C57=D57,0,((E57-D57)-(C57-E57))/(C57-D57))</f>
        <v>0.82835820895522605</v>
      </c>
      <c r="Q57">
        <f t="shared" ref="Q57" si="261">F57*P57</f>
        <v>8390720.2835821118</v>
      </c>
      <c r="R57">
        <f t="shared" ref="R57" si="262">R58+Q57</f>
        <v>364993042.19983256</v>
      </c>
      <c r="S57">
        <f t="shared" ref="S57" si="263">R57/100000</f>
        <v>3649.9304219983255</v>
      </c>
      <c r="T57">
        <f t="shared" ref="T57" si="264">S57/1000</f>
        <v>3.6499304219983255</v>
      </c>
    </row>
    <row r="58" spans="1:20" x14ac:dyDescent="0.25">
      <c r="A58" s="5">
        <v>44535</v>
      </c>
      <c r="B58">
        <v>4.1360000000000001</v>
      </c>
      <c r="C58">
        <v>4.242</v>
      </c>
      <c r="D58">
        <v>3.75</v>
      </c>
      <c r="E58">
        <v>3.871</v>
      </c>
      <c r="F58">
        <v>5893724.5999999996</v>
      </c>
      <c r="G58">
        <v>3.871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-0.50813008130081305</v>
      </c>
      <c r="Q58">
        <f t="shared" ref="Q58" si="266">F58*P58</f>
        <v>-2994778.7601626017</v>
      </c>
      <c r="R58">
        <f t="shared" ref="R58" si="267">R59+Q58</f>
        <v>356602321.91625047</v>
      </c>
      <c r="S58">
        <f t="shared" ref="S58" si="268">R58/100000</f>
        <v>3566.0232191625046</v>
      </c>
      <c r="T58">
        <f t="shared" ref="T58" si="269">S58/1000</f>
        <v>3.5660232191625045</v>
      </c>
    </row>
    <row r="59" spans="1:20" x14ac:dyDescent="0.25">
      <c r="A59" s="5">
        <v>44534</v>
      </c>
      <c r="B59">
        <v>4.8010000000000002</v>
      </c>
      <c r="C59">
        <v>4.8120000000000003</v>
      </c>
      <c r="D59">
        <v>3.226</v>
      </c>
      <c r="E59">
        <v>4.1340000000000003</v>
      </c>
      <c r="F59">
        <v>16140376.189999999</v>
      </c>
      <c r="G59">
        <v>4.1340000000000003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0.14501891551071902</v>
      </c>
      <c r="Q59">
        <f t="shared" ref="Q59" si="271">F59*P59</f>
        <v>2340659.8510088311</v>
      </c>
      <c r="R59">
        <f t="shared" ref="R59" si="272">R60+Q59</f>
        <v>359597100.67641306</v>
      </c>
      <c r="S59">
        <f t="shared" ref="S59" si="273">R59/100000</f>
        <v>3595.9710067641304</v>
      </c>
      <c r="T59">
        <f t="shared" ref="T59" si="274">S59/1000</f>
        <v>3.5959710067641302</v>
      </c>
    </row>
    <row r="60" spans="1:20" x14ac:dyDescent="0.25">
      <c r="A60" s="5">
        <v>44533</v>
      </c>
      <c r="B60">
        <v>5.0990000000000002</v>
      </c>
      <c r="C60">
        <v>5.3630000000000004</v>
      </c>
      <c r="D60">
        <v>4.6500000000000004</v>
      </c>
      <c r="E60">
        <v>4.8</v>
      </c>
      <c r="F60">
        <v>6372112.7999999998</v>
      </c>
      <c r="G60">
        <v>4.8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-0.57924263674614462</v>
      </c>
      <c r="Q60">
        <f t="shared" ref="Q60" si="276">F60*P60</f>
        <v>-3690999.4199158582</v>
      </c>
      <c r="R60">
        <f t="shared" ref="R60" si="277">R61+Q60</f>
        <v>357256440.82540423</v>
      </c>
      <c r="S60">
        <f t="shared" ref="S60" si="278">R60/100000</f>
        <v>3572.5644082540421</v>
      </c>
      <c r="T60">
        <f t="shared" ref="T60" si="279">S60/1000</f>
        <v>3.572564408254042</v>
      </c>
    </row>
    <row r="61" spans="1:20" x14ac:dyDescent="0.25">
      <c r="A61" s="5">
        <v>44532</v>
      </c>
      <c r="B61">
        <v>5.24</v>
      </c>
      <c r="C61">
        <v>5.3230000000000004</v>
      </c>
      <c r="D61">
        <v>5.0090000000000003</v>
      </c>
      <c r="E61">
        <v>5.0979999999999999</v>
      </c>
      <c r="F61">
        <v>4785321.4000000004</v>
      </c>
      <c r="G61">
        <v>5.0979999999999999</v>
      </c>
      <c r="L61" t="s">
        <v>7</v>
      </c>
      <c r="M61" t="s">
        <v>8</v>
      </c>
      <c r="N61" t="s">
        <v>7</v>
      </c>
      <c r="P61">
        <f t="shared" ref="P61" si="280">IF(C61=D61,0,((E61-D61)-(C61-E61))/(C61-D61))</f>
        <v>-0.43312101910828338</v>
      </c>
      <c r="Q61">
        <f t="shared" ref="Q61" si="281">F61*P61</f>
        <v>-2072623.2815286776</v>
      </c>
      <c r="R61">
        <f t="shared" ref="R61" si="282">R62+Q61</f>
        <v>360947440.24532008</v>
      </c>
      <c r="S61">
        <f t="shared" ref="S61" si="283">R61/100000</f>
        <v>3609.474402453201</v>
      </c>
      <c r="T61">
        <f t="shared" ref="T61" si="284">S61/1000</f>
        <v>3.6094744024532011</v>
      </c>
    </row>
    <row r="62" spans="1:20" x14ac:dyDescent="0.25">
      <c r="A62" s="5">
        <v>44531</v>
      </c>
      <c r="B62">
        <v>5.4870000000000001</v>
      </c>
      <c r="C62">
        <v>5.516</v>
      </c>
      <c r="D62">
        <v>5.1239999999999997</v>
      </c>
      <c r="E62">
        <v>5.2450000000000001</v>
      </c>
      <c r="F62">
        <v>7039233.5</v>
      </c>
      <c r="G62">
        <v>5.2450000000000001</v>
      </c>
      <c r="L62" t="s">
        <v>7</v>
      </c>
      <c r="M62" t="s">
        <v>8</v>
      </c>
      <c r="N62" t="s">
        <v>7</v>
      </c>
      <c r="P62">
        <f t="shared" ref="P62" si="285">IF(C62=D62,0,((E62-D62)-(C62-E62))/(C62-D62))</f>
        <v>-0.38265306122448811</v>
      </c>
      <c r="Q62">
        <f t="shared" ref="Q62" si="286">F62*P62</f>
        <v>-2693584.2474489678</v>
      </c>
      <c r="R62">
        <f t="shared" ref="R62" si="287">R63+Q62</f>
        <v>363020063.52684873</v>
      </c>
      <c r="S62">
        <f t="shared" ref="S62" si="288">R62/100000</f>
        <v>3630.2006352684875</v>
      </c>
      <c r="T62">
        <f t="shared" ref="T62" si="289">S62/1000</f>
        <v>3.6302006352684875</v>
      </c>
    </row>
    <row r="63" spans="1:20" x14ac:dyDescent="0.25">
      <c r="A63" s="5">
        <v>44530</v>
      </c>
      <c r="B63">
        <v>5.6109999999999998</v>
      </c>
      <c r="C63">
        <v>5.93</v>
      </c>
      <c r="D63">
        <v>5.2389999999999999</v>
      </c>
      <c r="E63">
        <v>5.4790000000000001</v>
      </c>
      <c r="F63">
        <v>18156702.5</v>
      </c>
      <c r="G63">
        <v>5.4790000000000001</v>
      </c>
      <c r="L63" t="s">
        <v>8</v>
      </c>
      <c r="M63" t="s">
        <v>8</v>
      </c>
      <c r="N63" t="s">
        <v>7</v>
      </c>
      <c r="P63">
        <f t="shared" ref="P63" si="290">IF(C63=D63,0,((E63-D63)-(C63-E63))/(C63-D63))</f>
        <v>-0.30535455861070832</v>
      </c>
      <c r="Q63">
        <f t="shared" ref="Q63" si="291">F63*P63</f>
        <v>-5544231.8777134446</v>
      </c>
      <c r="R63">
        <f t="shared" ref="R63" si="292">R64+Q63</f>
        <v>365713647.77429771</v>
      </c>
      <c r="S63">
        <f t="shared" ref="S63" si="293">R63/100000</f>
        <v>3657.1364777429771</v>
      </c>
      <c r="T63">
        <f t="shared" ref="T63" si="294">S63/1000</f>
        <v>3.6571364777429771</v>
      </c>
    </row>
    <row r="64" spans="1:20" x14ac:dyDescent="0.25">
      <c r="A64" s="5">
        <v>44529</v>
      </c>
      <c r="B64">
        <v>4.6459999999999999</v>
      </c>
      <c r="C64">
        <v>5.7779999999999996</v>
      </c>
      <c r="D64">
        <v>4.63</v>
      </c>
      <c r="E64">
        <v>5.61</v>
      </c>
      <c r="F64">
        <v>15547901.1</v>
      </c>
      <c r="G64">
        <v>5.61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0.70731707317073289</v>
      </c>
      <c r="Q64">
        <f t="shared" ref="Q64" si="296">F64*P64</f>
        <v>10997295.900000019</v>
      </c>
      <c r="R64">
        <f t="shared" ref="R64" si="297">R65+Q64</f>
        <v>371257879.65201116</v>
      </c>
      <c r="S64">
        <f t="shared" ref="S64" si="298">R64/100000</f>
        <v>3712.5787965201116</v>
      </c>
      <c r="T64">
        <f t="shared" ref="T64" si="299">S64/1000</f>
        <v>3.7125787965201118</v>
      </c>
    </row>
    <row r="65" spans="1:20" x14ac:dyDescent="0.25">
      <c r="A65" s="5">
        <v>44528</v>
      </c>
      <c r="B65">
        <v>4.6180000000000003</v>
      </c>
      <c r="C65">
        <v>4.6580000000000004</v>
      </c>
      <c r="D65">
        <v>4.2629999999999999</v>
      </c>
      <c r="E65">
        <v>4.6529999999999996</v>
      </c>
      <c r="F65">
        <v>3111551.7</v>
      </c>
      <c r="G65">
        <v>4.6529999999999996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0.97468354430379356</v>
      </c>
      <c r="Q65">
        <f t="shared" ref="Q65" si="301">F65*P65</f>
        <v>3032778.2392404946</v>
      </c>
      <c r="R65">
        <f t="shared" ref="R65" si="302">R66+Q65</f>
        <v>360260583.75201112</v>
      </c>
      <c r="S65">
        <f t="shared" ref="S65" si="303">R65/100000</f>
        <v>3602.605837520111</v>
      </c>
      <c r="T65">
        <f t="shared" ref="T65" si="304">S65/1000</f>
        <v>3.6026058375201111</v>
      </c>
    </row>
    <row r="66" spans="1:20" x14ac:dyDescent="0.25">
      <c r="A66" s="5">
        <v>44527</v>
      </c>
      <c r="B66">
        <v>4.6609999999999996</v>
      </c>
      <c r="C66">
        <v>4.774</v>
      </c>
      <c r="D66">
        <v>4.5670000000000002</v>
      </c>
      <c r="E66">
        <v>4.6180000000000003</v>
      </c>
      <c r="F66">
        <v>2155811.7000000002</v>
      </c>
      <c r="G66">
        <v>4.6180000000000003</v>
      </c>
      <c r="L66" t="s">
        <v>7</v>
      </c>
      <c r="M66" t="s">
        <v>7</v>
      </c>
      <c r="N66" t="s">
        <v>7</v>
      </c>
      <c r="P66">
        <f t="shared" ref="P66" si="305">IF(C66=D66,0,((E66-D66)-(C66-E66))/(C66-D66))</f>
        <v>-0.50724637681159235</v>
      </c>
      <c r="Q66">
        <f t="shared" ref="Q66" si="306">F66*P66</f>
        <v>-1093527.6739130395</v>
      </c>
      <c r="R66">
        <f t="shared" ref="R66" si="307">R67+Q66</f>
        <v>357227805.51277065</v>
      </c>
      <c r="S66">
        <f t="shared" ref="S66" si="308">R66/100000</f>
        <v>3572.2780551277065</v>
      </c>
      <c r="T66">
        <f t="shared" ref="T66" si="309">S66/1000</f>
        <v>3.5722780551277067</v>
      </c>
    </row>
    <row r="67" spans="1:20" x14ac:dyDescent="0.25">
      <c r="A67" s="5">
        <v>44526</v>
      </c>
      <c r="B67">
        <v>5.0709999999999997</v>
      </c>
      <c r="C67">
        <v>5.2069999999999999</v>
      </c>
      <c r="D67">
        <v>4.4800000000000004</v>
      </c>
      <c r="E67">
        <v>4.6589999999999998</v>
      </c>
      <c r="F67">
        <v>5963371.7000000002</v>
      </c>
      <c r="G67">
        <v>4.6589999999999998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-0.50756533700137685</v>
      </c>
      <c r="Q67">
        <f t="shared" ref="Q67" si="311">F67*P67</f>
        <v>-3026800.7665749737</v>
      </c>
      <c r="R67">
        <f t="shared" ref="R67" si="312">R68+Q67</f>
        <v>358321333.18668371</v>
      </c>
      <c r="S67">
        <f t="shared" ref="S67" si="313">R67/100000</f>
        <v>3583.2133318668371</v>
      </c>
      <c r="T67">
        <f t="shared" ref="T67" si="314">S67/1000</f>
        <v>3.5832133318668369</v>
      </c>
    </row>
    <row r="68" spans="1:20" x14ac:dyDescent="0.25">
      <c r="A68" s="5">
        <v>44525</v>
      </c>
      <c r="B68">
        <v>4.8890000000000002</v>
      </c>
      <c r="C68">
        <v>5.181</v>
      </c>
      <c r="D68">
        <v>4.8239999999999998</v>
      </c>
      <c r="E68">
        <v>5.07</v>
      </c>
      <c r="F68">
        <v>4011716.2</v>
      </c>
      <c r="G68">
        <v>5.07</v>
      </c>
      <c r="L68" t="s">
        <v>7</v>
      </c>
      <c r="M68" t="s">
        <v>8</v>
      </c>
      <c r="N68" t="s">
        <v>7</v>
      </c>
      <c r="P68">
        <f t="shared" ref="P68" si="315">IF(C68=D68,0,((E68-D68)-(C68-E68))/(C68-D68))</f>
        <v>0.37815126050420333</v>
      </c>
      <c r="Q68">
        <f t="shared" ref="Q68" si="316">F68*P68</f>
        <v>1517035.5378151326</v>
      </c>
      <c r="R68">
        <f t="shared" ref="R68" si="317">R69+Q68</f>
        <v>361348133.95325869</v>
      </c>
      <c r="S68">
        <f t="shared" ref="S68" si="318">R68/100000</f>
        <v>3613.4813395325868</v>
      </c>
      <c r="T68">
        <f t="shared" ref="T68" si="319">S68/1000</f>
        <v>3.6134813395325867</v>
      </c>
    </row>
    <row r="69" spans="1:20" x14ac:dyDescent="0.25">
      <c r="A69" s="5">
        <v>44524</v>
      </c>
      <c r="B69">
        <v>5.109</v>
      </c>
      <c r="C69">
        <v>5.1820000000000004</v>
      </c>
      <c r="D69">
        <v>4.8840000000000003</v>
      </c>
      <c r="E69">
        <v>4.91</v>
      </c>
      <c r="F69">
        <v>1682488.1</v>
      </c>
      <c r="G69">
        <v>4.91</v>
      </c>
      <c r="L69" t="s">
        <v>7</v>
      </c>
      <c r="M69" t="s">
        <v>8</v>
      </c>
      <c r="N69" t="s">
        <v>7</v>
      </c>
      <c r="P69">
        <f t="shared" ref="P69" si="320">IF(C69=D69,0,((E69-D69)-(C69-E69))/(C69-D69))</f>
        <v>-0.82550335570469935</v>
      </c>
      <c r="Q69">
        <f t="shared" ref="Q69" si="321">F69*P69</f>
        <v>-1388899.5724832239</v>
      </c>
      <c r="R69">
        <f t="shared" ref="R69" si="322">R70+Q69</f>
        <v>359831098.41544354</v>
      </c>
      <c r="S69">
        <f t="shared" ref="S69" si="323">R69/100000</f>
        <v>3598.3109841544356</v>
      </c>
      <c r="T69">
        <f t="shared" ref="T69" si="324">S69/1000</f>
        <v>3.5983109841544354</v>
      </c>
    </row>
    <row r="70" spans="1:20" x14ac:dyDescent="0.25">
      <c r="A70" s="5">
        <v>44523</v>
      </c>
      <c r="B70">
        <v>5.0110000000000001</v>
      </c>
      <c r="C70">
        <v>5.2160000000000002</v>
      </c>
      <c r="D70">
        <v>4.93</v>
      </c>
      <c r="E70">
        <v>5.1109999999999998</v>
      </c>
      <c r="F70">
        <v>4046904.6</v>
      </c>
      <c r="G70">
        <v>5.1109999999999998</v>
      </c>
      <c r="L70" t="s">
        <v>7</v>
      </c>
      <c r="M70" t="s">
        <v>8</v>
      </c>
      <c r="N70" t="s">
        <v>7</v>
      </c>
      <c r="P70">
        <f t="shared" ref="P70" si="325">IF(C70=D70,0,((E70-D70)-(C70-E70))/(C70-D70))</f>
        <v>0.26573426573426395</v>
      </c>
      <c r="Q70">
        <f t="shared" ref="Q70" si="326">F70*P70</f>
        <v>1075401.2223776153</v>
      </c>
      <c r="R70">
        <f t="shared" ref="R70" si="327">R71+Q70</f>
        <v>361219997.98792678</v>
      </c>
      <c r="S70">
        <f t="shared" ref="S70" si="328">R70/100000</f>
        <v>3612.1999798792676</v>
      </c>
      <c r="T70">
        <f t="shared" ref="T70" si="329">S70/1000</f>
        <v>3.6121999798792674</v>
      </c>
    </row>
    <row r="71" spans="1:20" x14ac:dyDescent="0.25">
      <c r="A71" s="5">
        <v>44522</v>
      </c>
      <c r="B71">
        <v>5.2220000000000004</v>
      </c>
      <c r="C71">
        <v>5.234</v>
      </c>
      <c r="D71">
        <v>4.9029999999999996</v>
      </c>
      <c r="E71">
        <v>5.0170000000000003</v>
      </c>
      <c r="F71">
        <v>5013008.8</v>
      </c>
      <c r="G71">
        <v>5.0170000000000003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-0.31117824773413516</v>
      </c>
      <c r="Q71">
        <f t="shared" ref="Q71" si="331">F71*P71</f>
        <v>-1559939.2942597996</v>
      </c>
      <c r="R71">
        <f t="shared" ref="R71" si="332">R72+Q71</f>
        <v>360144596.76554918</v>
      </c>
      <c r="S71">
        <f t="shared" ref="S71" si="333">R71/100000</f>
        <v>3601.445967655492</v>
      </c>
      <c r="T71">
        <f t="shared" ref="T71" si="334">S71/1000</f>
        <v>3.6014459676554922</v>
      </c>
    </row>
    <row r="72" spans="1:20" x14ac:dyDescent="0.25">
      <c r="A72" s="5">
        <v>44521</v>
      </c>
      <c r="B72">
        <v>5.524</v>
      </c>
      <c r="C72">
        <v>5.5590000000000002</v>
      </c>
      <c r="D72">
        <v>5.202</v>
      </c>
      <c r="E72">
        <v>5.2169999999999996</v>
      </c>
      <c r="F72">
        <v>3743833.5</v>
      </c>
      <c r="G72">
        <v>5.2169999999999996</v>
      </c>
      <c r="L72" t="s">
        <v>7</v>
      </c>
      <c r="M72" t="s">
        <v>8</v>
      </c>
      <c r="N72" t="s">
        <v>7</v>
      </c>
      <c r="P72">
        <f t="shared" ref="P72" si="335">IF(C72=D72,0,((E72-D72)-(C72-E72))/(C72-D72))</f>
        <v>-0.9159663865546237</v>
      </c>
      <c r="Q72">
        <f t="shared" ref="Q72" si="336">F72*P72</f>
        <v>-3429225.6428571497</v>
      </c>
      <c r="R72">
        <f t="shared" ref="R72" si="337">R73+Q72</f>
        <v>361704536.05980897</v>
      </c>
      <c r="S72">
        <f t="shared" ref="S72" si="338">R72/100000</f>
        <v>3617.0453605980897</v>
      </c>
      <c r="T72">
        <f t="shared" ref="T72" si="339">S72/1000</f>
        <v>3.6170453605980897</v>
      </c>
    </row>
    <row r="73" spans="1:20" x14ac:dyDescent="0.25">
      <c r="A73" s="5">
        <v>44520</v>
      </c>
      <c r="B73">
        <v>5.2720000000000002</v>
      </c>
      <c r="C73">
        <v>5.6070000000000002</v>
      </c>
      <c r="D73">
        <v>5.266</v>
      </c>
      <c r="E73">
        <v>5.524</v>
      </c>
      <c r="F73">
        <v>5925456.7000000002</v>
      </c>
      <c r="G73">
        <v>5.524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0.51319648093841563</v>
      </c>
      <c r="Q73">
        <f t="shared" ref="Q73" si="341">F73*P73</f>
        <v>3040923.5263929572</v>
      </c>
      <c r="R73">
        <f t="shared" ref="R73" si="342">R74+Q73</f>
        <v>365133761.7026661</v>
      </c>
      <c r="S73">
        <f t="shared" ref="S73" si="343">R73/100000</f>
        <v>3651.3376170266611</v>
      </c>
      <c r="T73">
        <f t="shared" ref="T73" si="344">S73/1000</f>
        <v>3.6513376170266612</v>
      </c>
    </row>
    <row r="74" spans="1:20" x14ac:dyDescent="0.25">
      <c r="A74" s="5">
        <v>44519</v>
      </c>
      <c r="B74">
        <v>4.7910000000000004</v>
      </c>
      <c r="C74">
        <v>5.3179999999999996</v>
      </c>
      <c r="D74">
        <v>4.681</v>
      </c>
      <c r="E74">
        <v>5.27</v>
      </c>
      <c r="F74">
        <v>4908713.9000000004</v>
      </c>
      <c r="G74">
        <v>5.27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0.84929356357927765</v>
      </c>
      <c r="Q74">
        <f t="shared" ref="Q74" si="346">F74*P74</f>
        <v>4168939.1207221341</v>
      </c>
      <c r="R74">
        <f t="shared" ref="R74" si="347">R75+Q74</f>
        <v>362092838.17627317</v>
      </c>
      <c r="S74">
        <f t="shared" ref="S74" si="348">R74/100000</f>
        <v>3620.9283817627315</v>
      </c>
      <c r="T74">
        <f t="shared" ref="T74" si="349">S74/1000</f>
        <v>3.6209283817627314</v>
      </c>
    </row>
    <row r="75" spans="1:20" x14ac:dyDescent="0.25">
      <c r="A75" s="5">
        <v>44518</v>
      </c>
      <c r="B75">
        <v>5.242</v>
      </c>
      <c r="C75">
        <v>5.282</v>
      </c>
      <c r="D75">
        <v>4.641</v>
      </c>
      <c r="E75">
        <v>4.7949999999999999</v>
      </c>
      <c r="F75">
        <v>7665017.5</v>
      </c>
      <c r="G75">
        <v>4.7949999999999999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-0.51950078003120148</v>
      </c>
      <c r="Q75">
        <f t="shared" ref="Q75" si="351">F75*P75</f>
        <v>-3981982.5702028098</v>
      </c>
      <c r="R75">
        <f t="shared" ref="R75" si="352">R76+Q75</f>
        <v>357923899.05555105</v>
      </c>
      <c r="S75">
        <f t="shared" ref="S75" si="353">R75/100000</f>
        <v>3579.2389905555106</v>
      </c>
      <c r="T75">
        <f t="shared" ref="T75" si="354">S75/1000</f>
        <v>3.5792389905555106</v>
      </c>
    </row>
    <row r="76" spans="1:20" x14ac:dyDescent="0.25">
      <c r="A76" s="5">
        <v>44517</v>
      </c>
      <c r="B76">
        <v>5.2080000000000002</v>
      </c>
      <c r="C76">
        <v>5.3250000000000002</v>
      </c>
      <c r="D76">
        <v>4.9749999999999996</v>
      </c>
      <c r="E76">
        <v>5.242</v>
      </c>
      <c r="F76">
        <v>5931307</v>
      </c>
      <c r="G76">
        <v>5.242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0.52571428571428536</v>
      </c>
      <c r="Q76">
        <f t="shared" ref="Q76" si="356">F76*P76</f>
        <v>3118172.8228571406</v>
      </c>
      <c r="R76">
        <f t="shared" ref="R76" si="357">R77+Q76</f>
        <v>361905881.62575388</v>
      </c>
      <c r="S76">
        <f t="shared" ref="S76" si="358">R76/100000</f>
        <v>3619.0588162575386</v>
      </c>
      <c r="T76">
        <f t="shared" ref="T76" si="359">S76/1000</f>
        <v>3.6190588162575388</v>
      </c>
    </row>
    <row r="77" spans="1:20" x14ac:dyDescent="0.25">
      <c r="A77" s="5">
        <v>44516</v>
      </c>
      <c r="B77">
        <v>5.718</v>
      </c>
      <c r="C77">
        <v>5.7210000000000001</v>
      </c>
      <c r="D77">
        <v>4.9560000000000004</v>
      </c>
      <c r="E77">
        <v>5.2089999999999996</v>
      </c>
      <c r="F77">
        <v>11586700.5</v>
      </c>
      <c r="G77">
        <v>5.2089999999999996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-0.33856209150326971</v>
      </c>
      <c r="Q77">
        <f t="shared" ref="Q77" si="361">F77*P77</f>
        <v>-3922817.5549019808</v>
      </c>
      <c r="R77">
        <f t="shared" ref="R77" si="362">R78+Q77</f>
        <v>358787708.80289674</v>
      </c>
      <c r="S77">
        <f t="shared" ref="S77" si="363">R77/100000</f>
        <v>3587.8770880289676</v>
      </c>
      <c r="T77">
        <f t="shared" ref="T77" si="364">S77/1000</f>
        <v>3.5878770880289674</v>
      </c>
    </row>
    <row r="78" spans="1:20" x14ac:dyDescent="0.25">
      <c r="A78" s="5">
        <v>44515</v>
      </c>
      <c r="B78">
        <v>5.8239999999999998</v>
      </c>
      <c r="C78">
        <v>5.9660000000000002</v>
      </c>
      <c r="D78">
        <v>5.6680000000000001</v>
      </c>
      <c r="E78">
        <v>5.718</v>
      </c>
      <c r="F78">
        <v>4081796.4</v>
      </c>
      <c r="G78">
        <v>5.718</v>
      </c>
      <c r="L78" t="s">
        <v>7</v>
      </c>
      <c r="M78" t="s">
        <v>7</v>
      </c>
      <c r="N78" t="s">
        <v>7</v>
      </c>
      <c r="P78">
        <f t="shared" ref="P78" si="365">IF(C78=D78,0,((E78-D78)-(C78-E78))/(C78-D78))</f>
        <v>-0.66442953020134354</v>
      </c>
      <c r="Q78">
        <f t="shared" ref="Q78" si="366">F78*P78</f>
        <v>-2712066.0644295351</v>
      </c>
      <c r="R78">
        <f t="shared" ref="R78" si="367">R79+Q78</f>
        <v>362710526.3577987</v>
      </c>
      <c r="S78">
        <f t="shared" ref="S78" si="368">R78/100000</f>
        <v>3627.105263577987</v>
      </c>
      <c r="T78">
        <f t="shared" ref="T78" si="369">S78/1000</f>
        <v>3.6271052635779868</v>
      </c>
    </row>
    <row r="79" spans="1:20" x14ac:dyDescent="0.25">
      <c r="A79" s="5">
        <v>44514</v>
      </c>
      <c r="B79">
        <v>5.8890000000000002</v>
      </c>
      <c r="C79">
        <v>6.07</v>
      </c>
      <c r="D79">
        <v>5.6849999999999996</v>
      </c>
      <c r="E79">
        <v>5.827</v>
      </c>
      <c r="F79">
        <v>2892098.4</v>
      </c>
      <c r="G79">
        <v>5.827</v>
      </c>
      <c r="L79" t="s">
        <v>8</v>
      </c>
      <c r="M79" t="s">
        <v>7</v>
      </c>
      <c r="N79" t="s">
        <v>7</v>
      </c>
      <c r="P79">
        <f t="shared" ref="P79" si="370">IF(C79=D79,0,((E79-D79)-(C79-E79))/(C79-D79))</f>
        <v>-0.26233766233766181</v>
      </c>
      <c r="Q79">
        <f t="shared" ref="Q79" si="371">F79*P79</f>
        <v>-758706.33350649197</v>
      </c>
      <c r="R79">
        <f t="shared" ref="R79" si="372">R80+Q79</f>
        <v>365422592.42222822</v>
      </c>
      <c r="S79">
        <f t="shared" ref="S79" si="373">R79/100000</f>
        <v>3654.2259242222822</v>
      </c>
      <c r="T79">
        <f t="shared" ref="T79" si="374">S79/1000</f>
        <v>3.6542259242222821</v>
      </c>
    </row>
    <row r="80" spans="1:20" x14ac:dyDescent="0.25">
      <c r="A80" s="5">
        <v>44513</v>
      </c>
      <c r="B80">
        <v>5.7649999999999997</v>
      </c>
      <c r="C80">
        <v>5.992</v>
      </c>
      <c r="D80">
        <v>5.65</v>
      </c>
      <c r="E80">
        <v>5.8860000000000001</v>
      </c>
      <c r="F80">
        <v>6183291</v>
      </c>
      <c r="G80">
        <v>5.8860000000000001</v>
      </c>
      <c r="L80" t="s">
        <v>8</v>
      </c>
      <c r="M80" t="s">
        <v>7</v>
      </c>
      <c r="N80" t="s">
        <v>7</v>
      </c>
      <c r="P80">
        <f t="shared" ref="P80" si="375">IF(C80=D80,0,((E80-D80)-(C80-E80))/(C80-D80))</f>
        <v>0.38011695906432758</v>
      </c>
      <c r="Q80">
        <f t="shared" ref="Q80" si="376">F80*P80</f>
        <v>2350373.7719298252</v>
      </c>
      <c r="R80">
        <f t="shared" ref="R80" si="377">R81+Q80</f>
        <v>366181298.75573468</v>
      </c>
      <c r="S80">
        <f t="shared" ref="S80" si="378">R80/100000</f>
        <v>3661.8129875573468</v>
      </c>
      <c r="T80">
        <f t="shared" ref="T80" si="379">S80/1000</f>
        <v>3.6618129875573469</v>
      </c>
    </row>
    <row r="81" spans="1:20" x14ac:dyDescent="0.25">
      <c r="A81" s="5">
        <v>44512</v>
      </c>
      <c r="B81">
        <v>5.86</v>
      </c>
      <c r="C81">
        <v>5.9889999999999999</v>
      </c>
      <c r="D81">
        <v>5.5549999999999997</v>
      </c>
      <c r="E81">
        <v>5.7640000000000002</v>
      </c>
      <c r="F81">
        <v>5390832.7999999998</v>
      </c>
      <c r="G81">
        <v>5.7640000000000002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-3.6866359447002582E-2</v>
      </c>
      <c r="Q81">
        <f t="shared" ref="Q81" si="381">F81*P81</f>
        <v>-198740.37972349138</v>
      </c>
      <c r="R81">
        <f t="shared" ref="R81" si="382">R82+Q81</f>
        <v>363830924.98380488</v>
      </c>
      <c r="S81">
        <f t="shared" ref="S81" si="383">R81/100000</f>
        <v>3638.3092498380488</v>
      </c>
      <c r="T81">
        <f t="shared" ref="T81" si="384">S81/1000</f>
        <v>3.6383092498380489</v>
      </c>
    </row>
    <row r="82" spans="1:20" x14ac:dyDescent="0.25">
      <c r="A82" s="5">
        <v>44511</v>
      </c>
      <c r="B82">
        <v>5.7919999999999998</v>
      </c>
      <c r="C82">
        <v>6.06</v>
      </c>
      <c r="D82">
        <v>5.6970000000000001</v>
      </c>
      <c r="E82">
        <v>5.8609999999999998</v>
      </c>
      <c r="F82">
        <v>5964752.4000000004</v>
      </c>
      <c r="G82">
        <v>5.8609999999999998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-9.6418732782369662E-2</v>
      </c>
      <c r="Q82">
        <f t="shared" ref="Q82" si="386">F82*P82</f>
        <v>-575113.86776859814</v>
      </c>
      <c r="R82">
        <f t="shared" ref="R82" si="387">R83+Q82</f>
        <v>364029665.36352837</v>
      </c>
      <c r="S82">
        <f t="shared" ref="S82" si="388">R82/100000</f>
        <v>3640.2966536352837</v>
      </c>
      <c r="T82">
        <f t="shared" ref="T82" si="389">S82/1000</f>
        <v>3.6402966536352839</v>
      </c>
    </row>
    <row r="83" spans="1:20" x14ac:dyDescent="0.25">
      <c r="A83" s="5">
        <v>44510</v>
      </c>
      <c r="B83">
        <v>6.3010000000000002</v>
      </c>
      <c r="C83">
        <v>6.4710000000000001</v>
      </c>
      <c r="D83">
        <v>5.2709999999999999</v>
      </c>
      <c r="E83">
        <v>5.7919999999999998</v>
      </c>
      <c r="F83">
        <v>11218526.9</v>
      </c>
      <c r="G83">
        <v>5.7919999999999998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-0.13166666666666696</v>
      </c>
      <c r="Q83">
        <f t="shared" ref="Q83" si="391">F83*P83</f>
        <v>-1477106.0418333367</v>
      </c>
      <c r="R83">
        <f t="shared" ref="R83" si="392">R84+Q83</f>
        <v>364604779.23129696</v>
      </c>
      <c r="S83">
        <f t="shared" ref="S83" si="393">R83/100000</f>
        <v>3646.0477923129697</v>
      </c>
      <c r="T83">
        <f t="shared" ref="T83" si="394">S83/1000</f>
        <v>3.6460477923129697</v>
      </c>
    </row>
    <row r="84" spans="1:20" x14ac:dyDescent="0.25">
      <c r="A84" s="5">
        <v>44509</v>
      </c>
      <c r="B84">
        <v>6.4989999999999997</v>
      </c>
      <c r="C84">
        <v>6.6230000000000002</v>
      </c>
      <c r="D84">
        <v>6.2439999999999998</v>
      </c>
      <c r="E84">
        <v>6.3010000000000002</v>
      </c>
      <c r="F84">
        <v>7314429.5999999996</v>
      </c>
      <c r="G84">
        <v>6.3010000000000002</v>
      </c>
      <c r="L84" t="s">
        <v>7</v>
      </c>
      <c r="M84" t="s">
        <v>8</v>
      </c>
      <c r="N84" t="s">
        <v>7</v>
      </c>
      <c r="P84">
        <f t="shared" ref="P84" si="395">IF(C84=D84,0,((E84-D84)-(C84-E84))/(C84-D84))</f>
        <v>-0.69920844327176612</v>
      </c>
      <c r="Q84">
        <f t="shared" ref="Q84" si="396">F84*P84</f>
        <v>-5114310.9340369264</v>
      </c>
      <c r="R84">
        <f t="shared" ref="R84" si="397">R85+Q84</f>
        <v>366081885.2731303</v>
      </c>
      <c r="S84">
        <f t="shared" ref="S84" si="398">R84/100000</f>
        <v>3660.8188527313032</v>
      </c>
      <c r="T84">
        <f t="shared" ref="T84" si="399">S84/1000</f>
        <v>3.6608188527313033</v>
      </c>
    </row>
    <row r="85" spans="1:20" x14ac:dyDescent="0.25">
      <c r="A85" s="5">
        <v>44508</v>
      </c>
      <c r="B85">
        <v>6.3689999999999998</v>
      </c>
      <c r="C85">
        <v>6.5640000000000001</v>
      </c>
      <c r="D85">
        <v>6.28</v>
      </c>
      <c r="E85">
        <v>6.4989999999999997</v>
      </c>
      <c r="F85">
        <v>5322314.3</v>
      </c>
      <c r="G85">
        <v>6.4989999999999997</v>
      </c>
      <c r="L85" t="s">
        <v>7</v>
      </c>
      <c r="M85" t="s">
        <v>8</v>
      </c>
      <c r="N85" t="s">
        <v>7</v>
      </c>
      <c r="P85">
        <f t="shared" ref="P85" si="400">IF(C85=D85,0,((E85-D85)-(C85-E85))/(C85-D85))</f>
        <v>0.54225352112675751</v>
      </c>
      <c r="Q85">
        <f t="shared" ref="Q85" si="401">F85*P85</f>
        <v>2886043.6697182935</v>
      </c>
      <c r="R85">
        <f t="shared" ref="R85" si="402">R86+Q85</f>
        <v>371196196.20716721</v>
      </c>
      <c r="S85">
        <f t="shared" ref="S85" si="403">R85/100000</f>
        <v>3711.9619620716721</v>
      </c>
      <c r="T85">
        <f t="shared" ref="T85" si="404">S85/1000</f>
        <v>3.7119619620716722</v>
      </c>
    </row>
    <row r="86" spans="1:20" x14ac:dyDescent="0.25">
      <c r="A86" s="5">
        <v>44507</v>
      </c>
      <c r="B86">
        <v>6.4379999999999997</v>
      </c>
      <c r="C86">
        <v>6.4649999999999999</v>
      </c>
      <c r="D86">
        <v>6.2839999999999998</v>
      </c>
      <c r="E86">
        <v>6.3680000000000003</v>
      </c>
      <c r="F86">
        <v>3844432</v>
      </c>
      <c r="G86">
        <v>6.3680000000000003</v>
      </c>
      <c r="L86" t="s">
        <v>7</v>
      </c>
      <c r="M86" t="s">
        <v>8</v>
      </c>
      <c r="N86" t="s">
        <v>7</v>
      </c>
      <c r="P86">
        <f t="shared" ref="P86" si="405">IF(C86=D86,0,((E86-D86)-(C86-E86))/(C86-D86))</f>
        <v>-7.1823204419884032E-2</v>
      </c>
      <c r="Q86">
        <f t="shared" ref="Q86" si="406">F86*P86</f>
        <v>-276119.4254143436</v>
      </c>
      <c r="R86">
        <f t="shared" ref="R86" si="407">R87+Q86</f>
        <v>368310152.53744894</v>
      </c>
      <c r="S86">
        <f t="shared" ref="S86" si="408">R86/100000</f>
        <v>3683.1015253744895</v>
      </c>
      <c r="T86">
        <f t="shared" ref="T86" si="409">S86/1000</f>
        <v>3.6831015253744894</v>
      </c>
    </row>
    <row r="87" spans="1:20" x14ac:dyDescent="0.25">
      <c r="A87" s="5">
        <v>44506</v>
      </c>
      <c r="B87">
        <v>6.4550000000000001</v>
      </c>
      <c r="C87">
        <v>6.8239999999999998</v>
      </c>
      <c r="D87">
        <v>6.2309999999999999</v>
      </c>
      <c r="E87">
        <v>6.4390000000000001</v>
      </c>
      <c r="F87">
        <v>4761412.2</v>
      </c>
      <c r="G87">
        <v>6.4390000000000001</v>
      </c>
      <c r="L87" t="s">
        <v>7</v>
      </c>
      <c r="M87" t="s">
        <v>8</v>
      </c>
      <c r="N87" t="s">
        <v>7</v>
      </c>
      <c r="P87">
        <f t="shared" ref="P87" si="410">IF(C87=D87,0,((E87-D87)-(C87-E87))/(C87-D87))</f>
        <v>-0.29848229342327082</v>
      </c>
      <c r="Q87">
        <f t="shared" ref="Q87" si="411">F87*P87</f>
        <v>-1421197.2333895415</v>
      </c>
      <c r="R87">
        <f t="shared" ref="R87" si="412">R88+Q87</f>
        <v>368586271.96286327</v>
      </c>
      <c r="S87">
        <f t="shared" ref="S87" si="413">R87/100000</f>
        <v>3685.8627196286325</v>
      </c>
      <c r="T87">
        <f t="shared" ref="T87" si="414">S87/1000</f>
        <v>3.6858627196286324</v>
      </c>
    </row>
    <row r="88" spans="1:20" x14ac:dyDescent="0.25">
      <c r="A88" s="5">
        <v>44505</v>
      </c>
      <c r="B88">
        <v>6.3410000000000002</v>
      </c>
      <c r="C88">
        <v>6.86</v>
      </c>
      <c r="D88">
        <v>6.2290000000000001</v>
      </c>
      <c r="E88">
        <v>6.4569999999999999</v>
      </c>
      <c r="F88">
        <v>10133353.199999999</v>
      </c>
      <c r="G88">
        <v>6.4569999999999999</v>
      </c>
      <c r="L88" t="s">
        <v>8</v>
      </c>
      <c r="M88" t="s">
        <v>8</v>
      </c>
      <c r="N88" t="s">
        <v>7</v>
      </c>
      <c r="P88">
        <f t="shared" ref="P88" si="415">IF(C88=D88,0,((E88-D88)-(C88-E88))/(C88-D88))</f>
        <v>-0.27733755942947802</v>
      </c>
      <c r="Q88">
        <f t="shared" ref="Q88" si="416">F88*P88</f>
        <v>-2810359.4453248912</v>
      </c>
      <c r="R88">
        <f t="shared" ref="R88" si="417">R89+Q88</f>
        <v>370007469.19625282</v>
      </c>
      <c r="S88">
        <f t="shared" ref="S88" si="418">R88/100000</f>
        <v>3700.074691962528</v>
      </c>
      <c r="T88">
        <f t="shared" ref="T88" si="419">S88/1000</f>
        <v>3.700074691962528</v>
      </c>
    </row>
    <row r="89" spans="1:20" x14ac:dyDescent="0.25">
      <c r="A89" s="5">
        <v>44504</v>
      </c>
      <c r="B89">
        <v>6.3170000000000002</v>
      </c>
      <c r="C89">
        <v>6.484</v>
      </c>
      <c r="D89">
        <v>6.0919999999999996</v>
      </c>
      <c r="E89">
        <v>6.3419999999999996</v>
      </c>
      <c r="F89">
        <v>5013658.7</v>
      </c>
      <c r="G89">
        <v>6.3419999999999996</v>
      </c>
      <c r="L89" t="s">
        <v>8</v>
      </c>
      <c r="M89" t="s">
        <v>7</v>
      </c>
      <c r="N89" t="s">
        <v>7</v>
      </c>
      <c r="P89">
        <f t="shared" ref="P89" si="420">IF(C89=D89,0,((E89-D89)-(C89-E89))/(C89-D89))</f>
        <v>0.27551020408163152</v>
      </c>
      <c r="Q89">
        <f t="shared" ref="Q89" si="421">F89*P89</f>
        <v>1381314.1316326475</v>
      </c>
      <c r="R89">
        <f t="shared" ref="R89" si="422">R90+Q89</f>
        <v>372817828.64157772</v>
      </c>
      <c r="S89">
        <f t="shared" ref="S89" si="423">R89/100000</f>
        <v>3728.1782864157772</v>
      </c>
      <c r="T89">
        <f t="shared" ref="T89" si="424">S89/1000</f>
        <v>3.7281782864157771</v>
      </c>
    </row>
    <row r="90" spans="1:20" x14ac:dyDescent="0.25">
      <c r="A90" s="5">
        <v>44503</v>
      </c>
      <c r="B90">
        <v>6.26</v>
      </c>
      <c r="C90">
        <v>6.5</v>
      </c>
      <c r="D90">
        <v>6.0510000000000002</v>
      </c>
      <c r="E90">
        <v>6.3209999999999997</v>
      </c>
      <c r="F90">
        <v>7330950.4000000004</v>
      </c>
      <c r="G90">
        <v>6.3209999999999997</v>
      </c>
      <c r="L90" t="s">
        <v>8</v>
      </c>
      <c r="M90" t="s">
        <v>7</v>
      </c>
      <c r="N90" t="s">
        <v>7</v>
      </c>
      <c r="P90">
        <f t="shared" ref="P90" si="425">IF(C90=D90,0,((E90-D90)-(C90-E90))/(C90-D90))</f>
        <v>0.20267260579064439</v>
      </c>
      <c r="Q90">
        <f t="shared" ref="Q90" si="426">F90*P90</f>
        <v>1485782.8204899668</v>
      </c>
      <c r="R90">
        <f t="shared" ref="R90" si="427">R91+Q90</f>
        <v>371436514.50994509</v>
      </c>
      <c r="S90">
        <f t="shared" ref="S90" si="428">R90/100000</f>
        <v>3714.3651450994507</v>
      </c>
      <c r="T90">
        <f t="shared" ref="T90" si="429">S90/1000</f>
        <v>3.7143651450994506</v>
      </c>
    </row>
    <row r="91" spans="1:20" x14ac:dyDescent="0.25">
      <c r="A91" s="5">
        <v>44502</v>
      </c>
      <c r="B91">
        <v>6.2380000000000004</v>
      </c>
      <c r="C91">
        <v>6.3609999999999998</v>
      </c>
      <c r="D91">
        <v>5.71</v>
      </c>
      <c r="E91">
        <v>6.26</v>
      </c>
      <c r="F91">
        <v>5424496.5</v>
      </c>
      <c r="G91">
        <v>6.26</v>
      </c>
      <c r="L91" t="s">
        <v>7</v>
      </c>
      <c r="M91" t="s">
        <v>7</v>
      </c>
      <c r="N91" t="s">
        <v>7</v>
      </c>
      <c r="P91">
        <f t="shared" ref="P91" si="430">IF(C91=D91,0,((E91-D91)-(C91-E91))/(C91-D91))</f>
        <v>0.68970814132104452</v>
      </c>
      <c r="Q91">
        <f t="shared" ref="Q91" si="431">F91*P91</f>
        <v>3741319.3986175111</v>
      </c>
      <c r="R91">
        <f t="shared" ref="R91" si="432">R92+Q91</f>
        <v>369950731.68945515</v>
      </c>
      <c r="S91">
        <f t="shared" ref="S91" si="433">R91/100000</f>
        <v>3699.5073168945514</v>
      </c>
      <c r="T91">
        <f t="shared" ref="T91" si="434">S91/1000</f>
        <v>3.6995073168945516</v>
      </c>
    </row>
    <row r="92" spans="1:20" x14ac:dyDescent="0.25">
      <c r="A92" s="5">
        <v>44501</v>
      </c>
      <c r="B92">
        <v>6.3490000000000002</v>
      </c>
      <c r="C92">
        <v>6.38</v>
      </c>
      <c r="D92">
        <v>6.0449999999999999</v>
      </c>
      <c r="E92">
        <v>6.24</v>
      </c>
      <c r="F92">
        <v>5318992.5999999996</v>
      </c>
      <c r="G92">
        <v>6.24</v>
      </c>
      <c r="L92" t="s">
        <v>7</v>
      </c>
      <c r="M92" t="s">
        <v>8</v>
      </c>
      <c r="N92" t="s">
        <v>7</v>
      </c>
      <c r="P92">
        <f t="shared" ref="P92" si="435">IF(C92=D92,0,((E92-D92)-(C92-E92))/(C92-D92))</f>
        <v>0.16417910447761377</v>
      </c>
      <c r="Q92">
        <f t="shared" ref="Q92" si="436">F92*P92</f>
        <v>873267.44179105444</v>
      </c>
      <c r="R92">
        <f t="shared" ref="R92" si="437">R93+Q92</f>
        <v>366209412.29083765</v>
      </c>
      <c r="S92">
        <f t="shared" ref="S92" si="438">R92/100000</f>
        <v>3662.0941229083764</v>
      </c>
      <c r="T92">
        <f t="shared" ref="T92" si="439">S92/1000</f>
        <v>3.6620941229083765</v>
      </c>
    </row>
    <row r="93" spans="1:20" x14ac:dyDescent="0.25">
      <c r="A93" s="5">
        <v>44500</v>
      </c>
      <c r="B93">
        <v>6.2949999999999999</v>
      </c>
      <c r="C93">
        <v>6.5579999999999998</v>
      </c>
      <c r="D93">
        <v>6.0110000000000001</v>
      </c>
      <c r="E93">
        <v>6.3520000000000003</v>
      </c>
      <c r="F93">
        <v>6671735.2000000002</v>
      </c>
      <c r="G93">
        <v>6.3520000000000003</v>
      </c>
      <c r="L93" t="s">
        <v>7</v>
      </c>
      <c r="M93" t="s">
        <v>8</v>
      </c>
      <c r="N93" t="s">
        <v>7</v>
      </c>
      <c r="P93">
        <f t="shared" ref="P93" si="440">IF(C93=D93,0,((E93-D93)-(C93-E93))/(C93-D93))</f>
        <v>0.24680073126142732</v>
      </c>
      <c r="Q93">
        <f t="shared" ref="Q93" si="441">F93*P93</f>
        <v>1646589.1261426052</v>
      </c>
      <c r="R93">
        <f t="shared" ref="R93" si="442">R94+Q93</f>
        <v>365336144.84904659</v>
      </c>
      <c r="S93">
        <f t="shared" ref="S93" si="443">R93/100000</f>
        <v>3653.361448490466</v>
      </c>
      <c r="T93">
        <f t="shared" ref="T93" si="444">S93/1000</f>
        <v>3.653361448490466</v>
      </c>
    </row>
    <row r="94" spans="1:20" x14ac:dyDescent="0.25">
      <c r="A94" s="5">
        <v>44499</v>
      </c>
      <c r="B94">
        <v>6.5609999999999999</v>
      </c>
      <c r="C94">
        <v>6.7910000000000004</v>
      </c>
      <c r="D94">
        <v>6.173</v>
      </c>
      <c r="E94">
        <v>6.2949999999999999</v>
      </c>
      <c r="F94">
        <v>7573727.2000000002</v>
      </c>
      <c r="G94">
        <v>6.2949999999999999</v>
      </c>
      <c r="L94" t="s">
        <v>7</v>
      </c>
      <c r="M94" t="s">
        <v>8</v>
      </c>
      <c r="N94" t="s">
        <v>7</v>
      </c>
      <c r="P94">
        <f t="shared" ref="P94" si="445">IF(C94=D94,0,((E94-D94)-(C94-E94))/(C94-D94))</f>
        <v>-0.60517799352750867</v>
      </c>
      <c r="Q94">
        <f t="shared" ref="Q94" si="446">F94*P94</f>
        <v>-4583453.0304207169</v>
      </c>
      <c r="R94">
        <f t="shared" ref="R94" si="447">R95+Q94</f>
        <v>363689555.72290397</v>
      </c>
      <c r="S94">
        <f t="shared" ref="S94" si="448">R94/100000</f>
        <v>3636.8955572290397</v>
      </c>
      <c r="T94">
        <f t="shared" ref="T94" si="449">S94/1000</f>
        <v>3.6368955572290398</v>
      </c>
    </row>
    <row r="95" spans="1:20" x14ac:dyDescent="0.25">
      <c r="A95" s="5">
        <v>44498</v>
      </c>
      <c r="B95">
        <v>6.1349999999999998</v>
      </c>
      <c r="C95">
        <v>6.742</v>
      </c>
      <c r="D95">
        <v>6.0720000000000001</v>
      </c>
      <c r="E95">
        <v>6.56</v>
      </c>
      <c r="F95">
        <v>7952166.5</v>
      </c>
      <c r="G95">
        <v>6.56</v>
      </c>
      <c r="L95" t="s">
        <v>8</v>
      </c>
      <c r="M95" t="s">
        <v>8</v>
      </c>
      <c r="N95" t="s">
        <v>7</v>
      </c>
      <c r="P95">
        <f t="shared" ref="P95" si="450">IF(C95=D95,0,((E95-D95)-(C95-E95))/(C95-D95))</f>
        <v>0.45671641791044654</v>
      </c>
      <c r="Q95">
        <f t="shared" ref="Q95" si="451">F95*P95</f>
        <v>3631884.9985074531</v>
      </c>
      <c r="R95">
        <f t="shared" ref="R95" si="452">R96+Q95</f>
        <v>368273008.75332469</v>
      </c>
      <c r="S95">
        <f t="shared" ref="S95" si="453">R95/100000</f>
        <v>3682.7300875332467</v>
      </c>
      <c r="T95">
        <f t="shared" ref="T95" si="454">S95/1000</f>
        <v>3.6827300875332467</v>
      </c>
    </row>
    <row r="96" spans="1:20" x14ac:dyDescent="0.25">
      <c r="A96" s="5">
        <v>44497</v>
      </c>
      <c r="B96">
        <v>5.891</v>
      </c>
      <c r="C96">
        <v>6.2610000000000001</v>
      </c>
      <c r="D96">
        <v>5.8</v>
      </c>
      <c r="E96">
        <v>6.1349999999999998</v>
      </c>
      <c r="F96">
        <v>8723790.8000000007</v>
      </c>
      <c r="G96">
        <v>6.1349999999999998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0.45336225596529173</v>
      </c>
      <c r="Q96">
        <f t="shared" ref="Q96" si="456">F96*P96</f>
        <v>3955037.4776572576</v>
      </c>
      <c r="R96">
        <f t="shared" ref="R96" si="457">R97+Q96</f>
        <v>364641123.75481725</v>
      </c>
      <c r="S96">
        <f t="shared" ref="S96" si="458">R96/100000</f>
        <v>3646.4112375481723</v>
      </c>
      <c r="T96">
        <f t="shared" ref="T96" si="459">S96/1000</f>
        <v>3.6464112375481723</v>
      </c>
    </row>
    <row r="97" spans="1:20" x14ac:dyDescent="0.25">
      <c r="A97" s="5">
        <v>44496</v>
      </c>
      <c r="B97">
        <v>6.82</v>
      </c>
      <c r="C97">
        <v>6.891</v>
      </c>
      <c r="D97">
        <v>5.55</v>
      </c>
      <c r="E97">
        <v>5.89</v>
      </c>
      <c r="F97">
        <v>16277622.199999999</v>
      </c>
      <c r="G97">
        <v>5.89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-0.49291573452647308</v>
      </c>
      <c r="Q97">
        <f t="shared" ref="Q97" si="461">F97*P97</f>
        <v>-8023496.1030574245</v>
      </c>
      <c r="R97">
        <f t="shared" ref="R97" si="462">R98+Q97</f>
        <v>360686086.27715999</v>
      </c>
      <c r="S97">
        <f t="shared" ref="S97" si="463">R97/100000</f>
        <v>3606.8608627715998</v>
      </c>
      <c r="T97">
        <f t="shared" ref="T97" si="464">S97/1000</f>
        <v>3.6068608627715997</v>
      </c>
    </row>
    <row r="98" spans="1:20" x14ac:dyDescent="0.25">
      <c r="A98" s="5">
        <v>44495</v>
      </c>
      <c r="B98">
        <v>6.633</v>
      </c>
      <c r="C98">
        <v>7.173</v>
      </c>
      <c r="D98">
        <v>6.6180000000000003</v>
      </c>
      <c r="E98">
        <v>6.8170000000000002</v>
      </c>
      <c r="F98">
        <v>10773921.6</v>
      </c>
      <c r="G98">
        <v>6.8170000000000002</v>
      </c>
      <c r="L98" t="s">
        <v>8</v>
      </c>
      <c r="M98" t="s">
        <v>7</v>
      </c>
      <c r="N98" t="s">
        <v>7</v>
      </c>
      <c r="P98">
        <f t="shared" ref="P98" si="465">IF(C98=D98,0,((E98-D98)-(C98-E98))/(C98-D98))</f>
        <v>-0.2828828828828831</v>
      </c>
      <c r="Q98">
        <f t="shared" ref="Q98" si="466">F98*P98</f>
        <v>-3047758.0021621645</v>
      </c>
      <c r="R98">
        <f t="shared" ref="R98" si="467">R99+Q98</f>
        <v>368709582.38021743</v>
      </c>
      <c r="S98">
        <f t="shared" ref="S98" si="468">R98/100000</f>
        <v>3687.0958238021744</v>
      </c>
      <c r="T98">
        <f t="shared" ref="T98" si="469">S98/1000</f>
        <v>3.6870958238021743</v>
      </c>
    </row>
    <row r="99" spans="1:20" x14ac:dyDescent="0.25">
      <c r="A99" s="5">
        <v>44494</v>
      </c>
      <c r="B99">
        <v>6.476</v>
      </c>
      <c r="C99">
        <v>6.7190000000000003</v>
      </c>
      <c r="D99">
        <v>6.42</v>
      </c>
      <c r="E99">
        <v>6.6340000000000003</v>
      </c>
      <c r="F99">
        <v>5438347.2000000002</v>
      </c>
      <c r="G99">
        <v>6.6340000000000003</v>
      </c>
      <c r="L99" t="s">
        <v>8</v>
      </c>
      <c r="M99" t="s">
        <v>7</v>
      </c>
      <c r="N99" t="s">
        <v>7</v>
      </c>
      <c r="P99">
        <f t="shared" ref="P99" si="470">IF(C99=D99,0,((E99-D99)-(C99-E99))/(C99-D99))</f>
        <v>0.43143812709030194</v>
      </c>
      <c r="Q99">
        <f t="shared" ref="Q99" si="471">F99*P99</f>
        <v>2346310.3304347876</v>
      </c>
      <c r="R99">
        <f t="shared" ref="R99" si="472">R100+Q99</f>
        <v>371757340.38237959</v>
      </c>
      <c r="S99">
        <f t="shared" ref="S99" si="473">R99/100000</f>
        <v>3717.5734038237961</v>
      </c>
      <c r="T99">
        <f t="shared" ref="T99" si="474">S99/1000</f>
        <v>3.717573403823796</v>
      </c>
    </row>
    <row r="100" spans="1:20" x14ac:dyDescent="0.25">
      <c r="A100" s="5">
        <v>44493</v>
      </c>
      <c r="B100">
        <v>6.7359999999999998</v>
      </c>
      <c r="C100">
        <v>6.7460000000000004</v>
      </c>
      <c r="D100">
        <v>6.2750000000000004</v>
      </c>
      <c r="E100">
        <v>6.4720000000000004</v>
      </c>
      <c r="F100">
        <v>4842122.3</v>
      </c>
      <c r="G100">
        <v>6.4720000000000004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-0.16348195329087037</v>
      </c>
      <c r="Q100">
        <f t="shared" ref="Q100" si="476">F100*P100</f>
        <v>-791599.61167728179</v>
      </c>
      <c r="R100">
        <f t="shared" ref="R100" si="477">R101+Q100</f>
        <v>369411030.05194479</v>
      </c>
      <c r="S100">
        <f t="shared" ref="S100" si="478">R100/100000</f>
        <v>3694.1103005194477</v>
      </c>
      <c r="T100">
        <f t="shared" ref="T100" si="479">S100/1000</f>
        <v>3.6941103005194478</v>
      </c>
    </row>
    <row r="101" spans="1:20" x14ac:dyDescent="0.25">
      <c r="A101" s="5">
        <v>44492</v>
      </c>
      <c r="B101">
        <v>6.7060000000000004</v>
      </c>
      <c r="C101">
        <v>6.8220000000000001</v>
      </c>
      <c r="D101">
        <v>6.6340000000000003</v>
      </c>
      <c r="E101">
        <v>6.74</v>
      </c>
      <c r="F101">
        <v>3363561.5</v>
      </c>
      <c r="G101">
        <v>6.74</v>
      </c>
      <c r="L101" t="s">
        <v>7</v>
      </c>
      <c r="M101" t="s">
        <v>7</v>
      </c>
      <c r="N101" t="s">
        <v>7</v>
      </c>
      <c r="P101">
        <f t="shared" ref="P101" si="480">IF(C101=D101,0,((E101-D101)-(C101-E101))/(C101-D101))</f>
        <v>0.1276595744680854</v>
      </c>
      <c r="Q101">
        <f t="shared" ref="Q101" si="481">F101*P101</f>
        <v>429390.82978723501</v>
      </c>
      <c r="R101">
        <f t="shared" ref="R101" si="482">R102+Q101</f>
        <v>370202629.66362208</v>
      </c>
      <c r="S101">
        <f t="shared" ref="S101" si="483">R101/100000</f>
        <v>3702.0262966362206</v>
      </c>
      <c r="T101">
        <f t="shared" ref="T101" si="484">S101/1000</f>
        <v>3.7020262966362205</v>
      </c>
    </row>
    <row r="102" spans="1:20" x14ac:dyDescent="0.25">
      <c r="A102" s="5">
        <v>44491</v>
      </c>
      <c r="B102">
        <v>6.6509999999999998</v>
      </c>
      <c r="C102">
        <v>6.9020000000000001</v>
      </c>
      <c r="D102">
        <v>6.5490000000000004</v>
      </c>
      <c r="E102">
        <v>6.7080000000000002</v>
      </c>
      <c r="F102">
        <v>5173654.2</v>
      </c>
      <c r="G102">
        <v>6.7080000000000002</v>
      </c>
      <c r="L102" t="s">
        <v>7</v>
      </c>
      <c r="M102" t="s">
        <v>7</v>
      </c>
      <c r="N102" t="s">
        <v>7</v>
      </c>
      <c r="P102">
        <f t="shared" ref="P102" si="485">IF(C102=D102,0,((E102-D102)-(C102-E102))/(C102-D102))</f>
        <v>-9.9150141643059964E-2</v>
      </c>
      <c r="Q102">
        <f t="shared" ref="Q102" si="486">F102*P102</f>
        <v>-512968.54674221209</v>
      </c>
      <c r="R102">
        <f t="shared" ref="R102" si="487">R103+Q102</f>
        <v>369773238.83383483</v>
      </c>
      <c r="S102">
        <f t="shared" ref="S102" si="488">R102/100000</f>
        <v>3697.7323883383483</v>
      </c>
      <c r="T102">
        <f t="shared" ref="T102" si="489">S102/1000</f>
        <v>3.6977323883383484</v>
      </c>
    </row>
    <row r="103" spans="1:20" x14ac:dyDescent="0.25">
      <c r="A103" s="5">
        <v>44490</v>
      </c>
      <c r="B103">
        <v>7.0170000000000003</v>
      </c>
      <c r="C103">
        <v>7.1459999999999999</v>
      </c>
      <c r="D103">
        <v>6.6070000000000002</v>
      </c>
      <c r="E103">
        <v>6.6539999999999999</v>
      </c>
      <c r="F103">
        <v>7624259.5999999996</v>
      </c>
      <c r="G103">
        <v>6.6539999999999999</v>
      </c>
      <c r="L103" t="s">
        <v>7</v>
      </c>
      <c r="M103" t="s">
        <v>7</v>
      </c>
      <c r="N103" t="s">
        <v>7</v>
      </c>
      <c r="P103">
        <f t="shared" ref="P103" si="490">IF(C103=D103,0,((E103-D103)-(C103-E103))/(C103-D103))</f>
        <v>-0.82560296846011227</v>
      </c>
      <c r="Q103">
        <f t="shared" ref="Q103" si="491">F103*P103</f>
        <v>-6294611.3580705076</v>
      </c>
      <c r="R103">
        <f t="shared" ref="R103" si="492">R104+Q103</f>
        <v>370286207.38057703</v>
      </c>
      <c r="S103">
        <f t="shared" ref="S103" si="493">R103/100000</f>
        <v>3702.8620738057703</v>
      </c>
      <c r="T103">
        <f t="shared" ref="T103" si="494">S103/1000</f>
        <v>3.70286207380577</v>
      </c>
    </row>
    <row r="104" spans="1:20" x14ac:dyDescent="0.25">
      <c r="A104" s="5">
        <v>44489</v>
      </c>
      <c r="B104">
        <v>6.7409999999999997</v>
      </c>
      <c r="C104">
        <v>7.1310000000000002</v>
      </c>
      <c r="D104">
        <v>6.5659999999999998</v>
      </c>
      <c r="E104">
        <v>7.0179999999999998</v>
      </c>
      <c r="F104">
        <v>7128070.5999999996</v>
      </c>
      <c r="G104">
        <v>7.0179999999999998</v>
      </c>
      <c r="L104" t="s">
        <v>8</v>
      </c>
      <c r="M104" t="s">
        <v>7</v>
      </c>
      <c r="N104" t="s">
        <v>7</v>
      </c>
      <c r="P104">
        <f t="shared" ref="P104" si="495">IF(C104=D104,0,((E104-D104)-(C104-E104))/(C104-D104))</f>
        <v>0.59999999999999876</v>
      </c>
      <c r="Q104">
        <f t="shared" ref="Q104" si="496">F104*P104</f>
        <v>4276842.359999991</v>
      </c>
      <c r="R104">
        <f t="shared" ref="R104" si="497">R105+Q104</f>
        <v>376580818.73864752</v>
      </c>
      <c r="S104">
        <f t="shared" ref="S104" si="498">R104/100000</f>
        <v>3765.8081873864753</v>
      </c>
      <c r="T104">
        <f t="shared" ref="T104" si="499">S104/1000</f>
        <v>3.7658081873864755</v>
      </c>
    </row>
    <row r="105" spans="1:20" x14ac:dyDescent="0.25">
      <c r="A105" s="5">
        <v>44488</v>
      </c>
      <c r="B105">
        <v>6.5460000000000003</v>
      </c>
      <c r="C105">
        <v>6.8970000000000002</v>
      </c>
      <c r="D105">
        <v>6.5069999999999997</v>
      </c>
      <c r="E105">
        <v>6.7409999999999997</v>
      </c>
      <c r="F105">
        <v>7208245.0999999996</v>
      </c>
      <c r="G105">
        <v>6.7409999999999997</v>
      </c>
      <c r="L105" t="s">
        <v>8</v>
      </c>
      <c r="M105" t="s">
        <v>7</v>
      </c>
      <c r="N105" t="s">
        <v>7</v>
      </c>
      <c r="P105">
        <f t="shared" ref="P105" si="500">IF(C105=D105,0,((E105-D105)-(C105-E105))/(C105-D105))</f>
        <v>0.19999999999999818</v>
      </c>
      <c r="Q105">
        <f t="shared" ref="Q105" si="501">F105*P105</f>
        <v>1441649.0199999867</v>
      </c>
      <c r="R105">
        <f t="shared" ref="R105" si="502">R106+Q105</f>
        <v>372303976.37864751</v>
      </c>
      <c r="S105">
        <f t="shared" ref="S105" si="503">R105/100000</f>
        <v>3723.0397637864749</v>
      </c>
      <c r="T105">
        <f t="shared" ref="T105" si="504">S105/1000</f>
        <v>3.7230397637864749</v>
      </c>
    </row>
    <row r="106" spans="1:20" x14ac:dyDescent="0.25">
      <c r="A106" s="5">
        <v>44487</v>
      </c>
      <c r="B106">
        <v>6.6230000000000002</v>
      </c>
      <c r="C106">
        <v>6.6719999999999997</v>
      </c>
      <c r="D106">
        <v>6.3739999999999997</v>
      </c>
      <c r="E106">
        <v>6.5490000000000004</v>
      </c>
      <c r="F106">
        <v>5979426.7999999998</v>
      </c>
      <c r="G106">
        <v>6.5490000000000004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0.17449664429530662</v>
      </c>
      <c r="Q106">
        <f t="shared" ref="Q106" si="506">F106*P106</f>
        <v>1043389.9114094235</v>
      </c>
      <c r="R106">
        <f t="shared" ref="R106" si="507">R107+Q106</f>
        <v>370862327.35864753</v>
      </c>
      <c r="S106">
        <f t="shared" ref="S106" si="508">R106/100000</f>
        <v>3708.6232735864751</v>
      </c>
      <c r="T106">
        <f t="shared" ref="T106" si="509">S106/1000</f>
        <v>3.708623273586475</v>
      </c>
    </row>
    <row r="107" spans="1:20" x14ac:dyDescent="0.25">
      <c r="A107" s="5">
        <v>44486</v>
      </c>
      <c r="B107">
        <v>6.91</v>
      </c>
      <c r="C107">
        <v>6.9829999999999997</v>
      </c>
      <c r="D107">
        <v>6.3490000000000002</v>
      </c>
      <c r="E107">
        <v>6.6219999999999999</v>
      </c>
      <c r="F107">
        <v>6327318.5</v>
      </c>
      <c r="G107">
        <v>6.6219999999999999</v>
      </c>
      <c r="L107" t="s">
        <v>7</v>
      </c>
      <c r="M107" t="s">
        <v>7</v>
      </c>
      <c r="N107" t="s">
        <v>7</v>
      </c>
      <c r="P107">
        <f t="shared" ref="P107" si="510">IF(C107=D107,0,((E107-D107)-(C107-E107))/(C107-D107))</f>
        <v>-0.13880126182965324</v>
      </c>
      <c r="Q107">
        <f t="shared" ref="Q107" si="511">F107*P107</f>
        <v>-878239.79179810884</v>
      </c>
      <c r="R107">
        <f t="shared" ref="R107" si="512">R108+Q107</f>
        <v>369818937.44723809</v>
      </c>
      <c r="S107">
        <f t="shared" ref="S107" si="513">R107/100000</f>
        <v>3698.1893744723807</v>
      </c>
      <c r="T107">
        <f t="shared" ref="T107" si="514">S107/1000</f>
        <v>3.6981893744723808</v>
      </c>
    </row>
    <row r="108" spans="1:20" x14ac:dyDescent="0.25">
      <c r="A108" s="5">
        <v>44485</v>
      </c>
      <c r="B108">
        <v>6.8470000000000004</v>
      </c>
      <c r="C108">
        <v>7.14</v>
      </c>
      <c r="D108">
        <v>6.8289999999999997</v>
      </c>
      <c r="E108">
        <v>6.9119999999999999</v>
      </c>
      <c r="F108">
        <v>6034973.4000000004</v>
      </c>
      <c r="G108">
        <v>6.9119999999999999</v>
      </c>
      <c r="L108" t="s">
        <v>7</v>
      </c>
      <c r="M108" t="s">
        <v>7</v>
      </c>
      <c r="N108" t="s">
        <v>7</v>
      </c>
      <c r="P108">
        <f t="shared" ref="P108" si="515">IF(C108=D108,0,((E108-D108)-(C108-E108))/(C108-D108))</f>
        <v>-0.46623794212218522</v>
      </c>
      <c r="Q108">
        <f t="shared" ref="Q108" si="516">F108*P108</f>
        <v>-2813733.5787781277</v>
      </c>
      <c r="R108">
        <f t="shared" ref="R108" si="517">R109+Q108</f>
        <v>370697177.2390362</v>
      </c>
      <c r="S108">
        <f t="shared" ref="S108" si="518">R108/100000</f>
        <v>3706.9717723903618</v>
      </c>
      <c r="T108">
        <f t="shared" ref="T108" si="519">S108/1000</f>
        <v>3.7069717723903617</v>
      </c>
    </row>
    <row r="109" spans="1:20" x14ac:dyDescent="0.25">
      <c r="A109" s="5">
        <v>44484</v>
      </c>
      <c r="B109">
        <v>7.1369999999999996</v>
      </c>
      <c r="C109">
        <v>7.1509999999999998</v>
      </c>
      <c r="D109">
        <v>6.7359999999999998</v>
      </c>
      <c r="E109">
        <v>6.8479999999999999</v>
      </c>
      <c r="F109">
        <v>8457417.6999999993</v>
      </c>
      <c r="G109">
        <v>6.8479999999999999</v>
      </c>
      <c r="L109" t="s">
        <v>7</v>
      </c>
      <c r="M109" t="s">
        <v>7</v>
      </c>
      <c r="N109" t="s">
        <v>7</v>
      </c>
      <c r="P109">
        <f t="shared" ref="P109" si="520">IF(C109=D109,0,((E109-D109)-(C109-E109))/(C109-D109))</f>
        <v>-0.46024096385542124</v>
      </c>
      <c r="Q109">
        <f t="shared" ref="Q109" si="521">F109*P109</f>
        <v>-3892450.0739758993</v>
      </c>
      <c r="R109">
        <f t="shared" ref="R109" si="522">R110+Q109</f>
        <v>373510910.81781435</v>
      </c>
      <c r="S109">
        <f t="shared" ref="S109" si="523">R109/100000</f>
        <v>3735.1091081781433</v>
      </c>
      <c r="T109">
        <f t="shared" ref="T109" si="524">S109/1000</f>
        <v>3.7351091081781433</v>
      </c>
    </row>
    <row r="110" spans="1:20" x14ac:dyDescent="0.25">
      <c r="A110" s="5">
        <v>44483</v>
      </c>
      <c r="B110">
        <v>7.3</v>
      </c>
      <c r="C110">
        <v>7.415</v>
      </c>
      <c r="D110">
        <v>7.0510000000000002</v>
      </c>
      <c r="E110">
        <v>7.14</v>
      </c>
      <c r="F110">
        <v>7165747.5</v>
      </c>
      <c r="G110">
        <v>7.14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-0.51098901098901339</v>
      </c>
      <c r="Q110">
        <f t="shared" ref="Q110" si="526">F110*P110</f>
        <v>-3661618.2280219952</v>
      </c>
      <c r="R110">
        <f t="shared" ref="R110" si="527">R111+Q110</f>
        <v>377403360.89179027</v>
      </c>
      <c r="S110">
        <f t="shared" ref="S110" si="528">R110/100000</f>
        <v>3774.0336089179027</v>
      </c>
      <c r="T110">
        <f t="shared" ref="T110" si="529">S110/1000</f>
        <v>3.7740336089179025</v>
      </c>
    </row>
    <row r="111" spans="1:20" x14ac:dyDescent="0.25">
      <c r="A111" s="5">
        <v>44482</v>
      </c>
      <c r="B111">
        <v>7.117</v>
      </c>
      <c r="C111">
        <v>7.3209999999999997</v>
      </c>
      <c r="D111">
        <v>6.8449999999999998</v>
      </c>
      <c r="E111">
        <v>7.2960000000000003</v>
      </c>
      <c r="F111">
        <v>8232243.7999999998</v>
      </c>
      <c r="G111">
        <v>7.2960000000000003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0.89495798319327957</v>
      </c>
      <c r="Q111">
        <f t="shared" ref="Q111" si="531">F111*P111</f>
        <v>7367512.3084033802</v>
      </c>
      <c r="R111">
        <f t="shared" ref="R111" si="532">R112+Q111</f>
        <v>381064979.11981225</v>
      </c>
      <c r="S111">
        <f t="shared" ref="S111" si="533">R111/100000</f>
        <v>3810.6497911981223</v>
      </c>
      <c r="T111">
        <f t="shared" ref="T111" si="534">S111/1000</f>
        <v>3.8106497911981223</v>
      </c>
    </row>
    <row r="112" spans="1:20" x14ac:dyDescent="0.25">
      <c r="A112" s="5">
        <v>44481</v>
      </c>
      <c r="B112">
        <v>6.8970000000000002</v>
      </c>
      <c r="C112">
        <v>7.274</v>
      </c>
      <c r="D112">
        <v>6.6120000000000001</v>
      </c>
      <c r="E112">
        <v>7.1180000000000003</v>
      </c>
      <c r="F112">
        <v>12512953.699999999</v>
      </c>
      <c r="G112">
        <v>7.1180000000000003</v>
      </c>
      <c r="L112" t="s">
        <v>8</v>
      </c>
      <c r="M112" t="s">
        <v>7</v>
      </c>
      <c r="N112" t="s">
        <v>7</v>
      </c>
      <c r="P112">
        <f t="shared" ref="P112" si="535">IF(C112=D112,0,((E112-D112)-(C112-E112))/(C112-D112))</f>
        <v>0.52870090634441169</v>
      </c>
      <c r="Q112">
        <f t="shared" ref="Q112" si="536">F112*P112</f>
        <v>6615609.9622356594</v>
      </c>
      <c r="R112">
        <f t="shared" ref="R112" si="537">R113+Q112</f>
        <v>373697466.81140888</v>
      </c>
      <c r="S112">
        <f t="shared" ref="S112" si="538">R112/100000</f>
        <v>3736.9746681140887</v>
      </c>
      <c r="T112">
        <f t="shared" ref="T112" si="539">S112/1000</f>
        <v>3.7369746681140885</v>
      </c>
    </row>
    <row r="113" spans="1:20" x14ac:dyDescent="0.25">
      <c r="A113" s="5">
        <v>44480</v>
      </c>
      <c r="B113">
        <v>6.9660000000000002</v>
      </c>
      <c r="C113">
        <v>7.3940000000000001</v>
      </c>
      <c r="D113">
        <v>6.633</v>
      </c>
      <c r="E113">
        <v>6.8979999999999997</v>
      </c>
      <c r="F113">
        <v>9871419.5</v>
      </c>
      <c r="G113">
        <v>6.8979999999999997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-0.30354796320630845</v>
      </c>
      <c r="Q113">
        <f t="shared" ref="Q113" si="541">F113*P113</f>
        <v>-2996449.2831800357</v>
      </c>
      <c r="R113">
        <f t="shared" ref="R113" si="542">R114+Q113</f>
        <v>367081856.84917319</v>
      </c>
      <c r="S113">
        <f t="shared" ref="S113" si="543">R113/100000</f>
        <v>3670.8185684917321</v>
      </c>
      <c r="T113">
        <f t="shared" ref="T113" si="544">S113/1000</f>
        <v>3.670818568491732</v>
      </c>
    </row>
    <row r="114" spans="1:20" x14ac:dyDescent="0.25">
      <c r="A114" s="5">
        <v>44479</v>
      </c>
      <c r="B114">
        <v>7.6219999999999999</v>
      </c>
      <c r="C114">
        <v>8.0960000000000001</v>
      </c>
      <c r="D114">
        <v>6.9290000000000003</v>
      </c>
      <c r="E114">
        <v>6.9710000000000001</v>
      </c>
      <c r="F114">
        <v>15282188.699999999</v>
      </c>
      <c r="G114">
        <v>6.9710000000000001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-0.92802056555269952</v>
      </c>
      <c r="Q114">
        <f t="shared" ref="Q114" si="546">F114*P114</f>
        <v>-14182185.400257073</v>
      </c>
      <c r="R114">
        <f t="shared" ref="R114" si="547">R115+Q114</f>
        <v>370078306.13235325</v>
      </c>
      <c r="S114">
        <f t="shared" ref="S114" si="548">R114/100000</f>
        <v>3700.7830613235324</v>
      </c>
      <c r="T114">
        <f t="shared" ref="T114" si="549">S114/1000</f>
        <v>3.7007830613235324</v>
      </c>
    </row>
    <row r="115" spans="1:20" x14ac:dyDescent="0.25">
      <c r="A115" s="5">
        <v>44478</v>
      </c>
      <c r="B115">
        <v>7.2969999999999997</v>
      </c>
      <c r="C115">
        <v>7.6340000000000003</v>
      </c>
      <c r="D115">
        <v>7.2050000000000001</v>
      </c>
      <c r="E115">
        <v>7.6219999999999999</v>
      </c>
      <c r="F115">
        <v>6880120.4000000004</v>
      </c>
      <c r="G115">
        <v>7.6219999999999999</v>
      </c>
      <c r="L115" t="s">
        <v>7</v>
      </c>
      <c r="M115" t="s">
        <v>7</v>
      </c>
      <c r="N115" t="s">
        <v>8</v>
      </c>
      <c r="P115">
        <f t="shared" ref="P115" si="550">IF(C115=D115,0,((E115-D115)-(C115-E115))/(C115-D115))</f>
        <v>0.94405594405594195</v>
      </c>
      <c r="Q115">
        <f t="shared" ref="Q115" si="551">F115*P115</f>
        <v>6495218.5594405457</v>
      </c>
      <c r="R115">
        <f t="shared" ref="R115" si="552">R116+Q115</f>
        <v>384260491.5326103</v>
      </c>
      <c r="S115">
        <f t="shared" ref="S115" si="553">R115/100000</f>
        <v>3842.6049153261029</v>
      </c>
      <c r="T115">
        <f t="shared" ref="T115" si="554">S115/1000</f>
        <v>3.842604915326103</v>
      </c>
    </row>
    <row r="116" spans="1:20" x14ac:dyDescent="0.25">
      <c r="A116" s="5">
        <v>44477</v>
      </c>
      <c r="B116">
        <v>7.6360000000000001</v>
      </c>
      <c r="C116">
        <v>7.819</v>
      </c>
      <c r="D116">
        <v>7.2220000000000004</v>
      </c>
      <c r="E116">
        <v>7.3010000000000002</v>
      </c>
      <c r="F116">
        <v>20602768.899999999</v>
      </c>
      <c r="G116">
        <v>7.3010000000000002</v>
      </c>
      <c r="L116" t="s">
        <v>7</v>
      </c>
      <c r="M116" t="s">
        <v>7</v>
      </c>
      <c r="N116" t="s">
        <v>8</v>
      </c>
      <c r="P116">
        <f t="shared" ref="P116" si="555">IF(C116=D116,0,((E116-D116)-(C116-E116))/(C116-D116))</f>
        <v>-0.73534338358459028</v>
      </c>
      <c r="Q116">
        <f t="shared" ref="Q116" si="556">F116*P116</f>
        <v>-15150109.794137366</v>
      </c>
      <c r="R116">
        <f t="shared" ref="R116" si="557">R117+Q116</f>
        <v>377765272.97316974</v>
      </c>
      <c r="S116">
        <f t="shared" ref="S116" si="558">R116/100000</f>
        <v>3777.6527297316975</v>
      </c>
      <c r="T116">
        <f t="shared" ref="T116" si="559">S116/1000</f>
        <v>3.7776527297316975</v>
      </c>
    </row>
    <row r="117" spans="1:20" x14ac:dyDescent="0.25">
      <c r="A117" s="5">
        <v>44476</v>
      </c>
      <c r="B117">
        <v>7.7919999999999998</v>
      </c>
      <c r="C117">
        <v>8.1219999999999999</v>
      </c>
      <c r="D117">
        <v>7.4509999999999996</v>
      </c>
      <c r="E117">
        <v>7.6340000000000003</v>
      </c>
      <c r="F117">
        <v>13754204.1</v>
      </c>
      <c r="G117">
        <v>7.6340000000000003</v>
      </c>
      <c r="L117" t="s">
        <v>8</v>
      </c>
      <c r="M117" t="s">
        <v>7</v>
      </c>
      <c r="N117" t="s">
        <v>8</v>
      </c>
      <c r="P117">
        <f t="shared" ref="P117" si="560">IF(C117=D117,0,((E117-D117)-(C117-E117))/(C117-D117))</f>
        <v>-0.45454545454545264</v>
      </c>
      <c r="Q117">
        <f t="shared" ref="Q117" si="561">F117*P117</f>
        <v>-6251910.954545428</v>
      </c>
      <c r="R117">
        <f t="shared" ref="R117" si="562">R118+Q117</f>
        <v>392915382.7673071</v>
      </c>
      <c r="S117">
        <f t="shared" ref="S117" si="563">R117/100000</f>
        <v>3929.1538276730712</v>
      </c>
      <c r="T117">
        <f t="shared" ref="T117" si="564">S117/1000</f>
        <v>3.9291538276730713</v>
      </c>
    </row>
    <row r="118" spans="1:20" x14ac:dyDescent="0.25">
      <c r="A118" s="5">
        <v>44475</v>
      </c>
      <c r="B118">
        <v>7.9829999999999997</v>
      </c>
      <c r="C118">
        <v>8.5860000000000003</v>
      </c>
      <c r="D118">
        <v>7.1920000000000002</v>
      </c>
      <c r="E118">
        <v>7.7949999999999999</v>
      </c>
      <c r="F118">
        <v>20350872.5</v>
      </c>
      <c r="G118">
        <v>7.7949999999999999</v>
      </c>
      <c r="L118" t="s">
        <v>7</v>
      </c>
      <c r="M118" t="s">
        <v>7</v>
      </c>
      <c r="N118" t="s">
        <v>8</v>
      </c>
      <c r="P118">
        <f t="shared" ref="P118" si="565">IF(C118=D118,0,((E118-D118)-(C118-E118))/(C118-D118))</f>
        <v>-0.13486370157819269</v>
      </c>
      <c r="Q118">
        <f t="shared" ref="Q118" si="566">F118*P118</f>
        <v>-2744593.995695848</v>
      </c>
      <c r="R118">
        <f t="shared" ref="R118" si="567">R119+Q118</f>
        <v>399167293.72185254</v>
      </c>
      <c r="S118">
        <f t="shared" ref="S118" si="568">R118/100000</f>
        <v>3991.6729372185255</v>
      </c>
      <c r="T118">
        <f t="shared" ref="T118" si="569">S118/1000</f>
        <v>3.9916729372185253</v>
      </c>
    </row>
    <row r="119" spans="1:20" x14ac:dyDescent="0.25">
      <c r="A119" s="5">
        <v>44474</v>
      </c>
      <c r="B119">
        <v>8.359</v>
      </c>
      <c r="C119">
        <v>8.8699999999999992</v>
      </c>
      <c r="D119">
        <v>7.7489999999999997</v>
      </c>
      <c r="E119">
        <v>7.9749999999999996</v>
      </c>
      <c r="F119">
        <v>14346579.300000001</v>
      </c>
      <c r="G119">
        <v>7.9749999999999996</v>
      </c>
      <c r="L119" t="s">
        <v>7</v>
      </c>
      <c r="M119" t="s">
        <v>7</v>
      </c>
      <c r="N119" t="s">
        <v>8</v>
      </c>
      <c r="P119">
        <f t="shared" ref="P119" si="570">IF(C119=D119,0,((E119-D119)-(C119-E119))/(C119-D119))</f>
        <v>-0.59678858162355031</v>
      </c>
      <c r="Q119">
        <f t="shared" ref="Q119" si="571">F119*P119</f>
        <v>-8561874.711596787</v>
      </c>
      <c r="R119">
        <f t="shared" ref="R119" si="572">R120+Q119</f>
        <v>401911887.71754837</v>
      </c>
      <c r="S119">
        <f t="shared" ref="S119" si="573">R119/100000</f>
        <v>4019.1188771754837</v>
      </c>
      <c r="T119">
        <f t="shared" ref="T119" si="574">S119/1000</f>
        <v>4.019118877175484</v>
      </c>
    </row>
    <row r="120" spans="1:20" x14ac:dyDescent="0.25">
      <c r="A120" s="5">
        <v>44473</v>
      </c>
      <c r="B120">
        <v>8.7110000000000003</v>
      </c>
      <c r="C120">
        <v>9.1709999999999994</v>
      </c>
      <c r="D120">
        <v>8.1869999999999994</v>
      </c>
      <c r="E120">
        <v>8.4450000000000003</v>
      </c>
      <c r="F120">
        <v>28802006.260000002</v>
      </c>
      <c r="G120">
        <v>8.4450000000000003</v>
      </c>
      <c r="L120" t="s">
        <v>8</v>
      </c>
      <c r="M120" t="s">
        <v>8</v>
      </c>
      <c r="N120" t="s">
        <v>8</v>
      </c>
      <c r="P120">
        <f t="shared" ref="P120" si="575">IF(C120=D120,0,((E120-D120)-(C120-E120))/(C120-D120))</f>
        <v>-0.47560975609755912</v>
      </c>
      <c r="Q120">
        <f t="shared" ref="Q120" si="576">F120*P120</f>
        <v>-13698515.172438972</v>
      </c>
      <c r="R120">
        <f t="shared" ref="R120" si="577">R121+Q120</f>
        <v>410473762.42914516</v>
      </c>
      <c r="S120">
        <f t="shared" ref="S120" si="578">R120/100000</f>
        <v>4104.7376242914515</v>
      </c>
      <c r="T120">
        <f t="shared" ref="T120" si="579">S120/1000</f>
        <v>4.1047376242914515</v>
      </c>
    </row>
    <row r="121" spans="1:20" x14ac:dyDescent="0.25">
      <c r="A121" s="5">
        <v>44472</v>
      </c>
      <c r="B121">
        <v>7.34</v>
      </c>
      <c r="C121">
        <v>8.9459999999999997</v>
      </c>
      <c r="D121">
        <v>7.34</v>
      </c>
      <c r="E121">
        <v>8.5210000000000008</v>
      </c>
      <c r="F121">
        <v>37638280.32</v>
      </c>
      <c r="G121">
        <v>8.5210000000000008</v>
      </c>
      <c r="L121" t="s">
        <v>8</v>
      </c>
      <c r="M121" t="s">
        <v>8</v>
      </c>
      <c r="N121" t="s">
        <v>8</v>
      </c>
      <c r="P121">
        <f t="shared" ref="P121" si="580">IF(C121=D121,0,((E121-D121)-(C121-E121))/(C121-D121))</f>
        <v>0.47073474470734872</v>
      </c>
      <c r="Q121">
        <f t="shared" ref="Q121" si="581">F121*P121</f>
        <v>17717646.277658828</v>
      </c>
      <c r="R121">
        <f t="shared" ref="R121" si="582">R122+Q121</f>
        <v>424172277.60158414</v>
      </c>
      <c r="S121">
        <f t="shared" ref="S121" si="583">R121/100000</f>
        <v>4241.7227760158412</v>
      </c>
      <c r="T121">
        <f t="shared" ref="T121" si="584">S121/1000</f>
        <v>4.2417227760158411</v>
      </c>
    </row>
    <row r="122" spans="1:20" x14ac:dyDescent="0.25">
      <c r="A122" s="5">
        <v>44471</v>
      </c>
      <c r="B122">
        <v>6.69</v>
      </c>
      <c r="C122">
        <v>7.7859999999999996</v>
      </c>
      <c r="D122">
        <v>6.5190000000000001</v>
      </c>
      <c r="E122">
        <v>7.343</v>
      </c>
      <c r="F122">
        <v>20824732.300000001</v>
      </c>
      <c r="G122">
        <v>7.343</v>
      </c>
      <c r="L122" t="s">
        <v>8</v>
      </c>
      <c r="M122" t="s">
        <v>8</v>
      </c>
      <c r="N122" t="s">
        <v>8</v>
      </c>
      <c r="P122">
        <f t="shared" ref="P122" si="585">IF(C122=D122,0,((E122-D122)-(C122-E122))/(C122-D122))</f>
        <v>0.30071033938437286</v>
      </c>
      <c r="Q122">
        <f t="shared" ref="Q122" si="586">F122*P122</f>
        <v>6262212.3175217118</v>
      </c>
      <c r="R122">
        <f t="shared" ref="R122" si="587">R123+Q122</f>
        <v>406454631.32392532</v>
      </c>
      <c r="S122">
        <f t="shared" ref="S122" si="588">R122/100000</f>
        <v>4064.5463132392533</v>
      </c>
      <c r="T122">
        <f t="shared" ref="T122" si="589">S122/1000</f>
        <v>4.0645463132392532</v>
      </c>
    </row>
    <row r="123" spans="1:20" x14ac:dyDescent="0.25">
      <c r="A123" s="5">
        <v>44470</v>
      </c>
      <c r="B123">
        <v>6.0720000000000001</v>
      </c>
      <c r="C123">
        <v>6.867</v>
      </c>
      <c r="D123">
        <v>6.0110000000000001</v>
      </c>
      <c r="E123">
        <v>6.69</v>
      </c>
      <c r="F123">
        <v>17771302.100000001</v>
      </c>
      <c r="G123">
        <v>6.69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0.58644859813084194</v>
      </c>
      <c r="Q123">
        <f t="shared" ref="Q123" si="591">F123*P123</f>
        <v>10421955.203504689</v>
      </c>
      <c r="R123">
        <f t="shared" ref="R123" si="592">R124+Q123</f>
        <v>400192419.00640363</v>
      </c>
      <c r="S123">
        <f t="shared" ref="S123" si="593">R123/100000</f>
        <v>4001.9241900640363</v>
      </c>
      <c r="T123">
        <f t="shared" ref="T123" si="594">S123/1000</f>
        <v>4.0019241900640363</v>
      </c>
    </row>
    <row r="124" spans="1:20" x14ac:dyDescent="0.25">
      <c r="A124" s="5">
        <v>44469</v>
      </c>
      <c r="B124">
        <v>5.6420000000000003</v>
      </c>
      <c r="C124">
        <v>6.1079999999999997</v>
      </c>
      <c r="D124">
        <v>5.593</v>
      </c>
      <c r="E124">
        <v>6.0730000000000004</v>
      </c>
      <c r="F124">
        <v>10917298.5</v>
      </c>
      <c r="G124">
        <v>6.0730000000000004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0.86407766990291546</v>
      </c>
      <c r="Q124">
        <f t="shared" ref="Q124" si="596">F124*P124</f>
        <v>9433393.8495145943</v>
      </c>
      <c r="R124">
        <f t="shared" ref="R124" si="597">R125+Q124</f>
        <v>389770463.80289894</v>
      </c>
      <c r="S124">
        <f t="shared" ref="S124" si="598">R124/100000</f>
        <v>3897.7046380289894</v>
      </c>
      <c r="T124">
        <f t="shared" ref="T124" si="599">S124/1000</f>
        <v>3.8977046380289893</v>
      </c>
    </row>
    <row r="125" spans="1:20" x14ac:dyDescent="0.25">
      <c r="A125" s="5">
        <v>44468</v>
      </c>
      <c r="B125">
        <v>5.4710000000000001</v>
      </c>
      <c r="C125">
        <v>6.0830000000000002</v>
      </c>
      <c r="D125">
        <v>5.3410000000000002</v>
      </c>
      <c r="E125">
        <v>5.641</v>
      </c>
      <c r="F125">
        <v>13662796.9</v>
      </c>
      <c r="G125">
        <v>5.641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-0.19137466307277676</v>
      </c>
      <c r="Q125">
        <f t="shared" ref="Q125" si="601">F125*P125</f>
        <v>-2614713.1533692786</v>
      </c>
      <c r="R125">
        <f t="shared" ref="R125" si="602">R126+Q125</f>
        <v>380337069.95338434</v>
      </c>
      <c r="S125">
        <f t="shared" ref="S125" si="603">R125/100000</f>
        <v>3803.3706995338434</v>
      </c>
      <c r="T125">
        <f t="shared" ref="T125" si="604">S125/1000</f>
        <v>3.8033706995338434</v>
      </c>
    </row>
    <row r="126" spans="1:20" x14ac:dyDescent="0.25">
      <c r="A126" s="5">
        <v>44467</v>
      </c>
      <c r="B126">
        <v>6.0309999999999997</v>
      </c>
      <c r="C126">
        <v>6.27</v>
      </c>
      <c r="D126">
        <v>5.4359999999999999</v>
      </c>
      <c r="E126">
        <v>5.4710000000000001</v>
      </c>
      <c r="F126">
        <v>14805227.5</v>
      </c>
      <c r="G126">
        <v>5.4710000000000001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-0.91606714628297325</v>
      </c>
      <c r="Q126">
        <f t="shared" ref="Q126" si="606">F126*P126</f>
        <v>-13562582.505995199</v>
      </c>
      <c r="R126">
        <f t="shared" ref="R126" si="607">R127+Q126</f>
        <v>382951783.10675365</v>
      </c>
      <c r="S126">
        <f t="shared" ref="S126" si="608">R126/100000</f>
        <v>3829.5178310675365</v>
      </c>
      <c r="T126">
        <f t="shared" ref="T126" si="609">S126/1000</f>
        <v>3.8295178310675366</v>
      </c>
    </row>
    <row r="127" spans="1:20" x14ac:dyDescent="0.25">
      <c r="A127" s="5">
        <v>44466</v>
      </c>
      <c r="B127">
        <v>6.5090000000000003</v>
      </c>
      <c r="C127">
        <v>6.6630000000000003</v>
      </c>
      <c r="D127">
        <v>6.0039999999999996</v>
      </c>
      <c r="E127">
        <v>6.0339999999999998</v>
      </c>
      <c r="F127">
        <v>14135300</v>
      </c>
      <c r="G127">
        <v>6.0339999999999998</v>
      </c>
      <c r="L127" t="s">
        <v>7</v>
      </c>
      <c r="M127" t="s">
        <v>7</v>
      </c>
      <c r="N127" t="s">
        <v>8</v>
      </c>
      <c r="P127">
        <f t="shared" ref="P127" si="610">IF(C127=D127,0,((E127-D127)-(C127-E127))/(C127-D127))</f>
        <v>-0.90895295902883089</v>
      </c>
      <c r="Q127">
        <f t="shared" ref="Q127" si="611">F127*P127</f>
        <v>-12848322.761760233</v>
      </c>
      <c r="R127">
        <f t="shared" ref="R127" si="612">R128+Q127</f>
        <v>396514365.61274886</v>
      </c>
      <c r="S127">
        <f t="shared" ref="S127" si="613">R127/100000</f>
        <v>3965.1436561274886</v>
      </c>
      <c r="T127">
        <f t="shared" ref="T127" si="614">S127/1000</f>
        <v>3.9651436561274886</v>
      </c>
    </row>
    <row r="128" spans="1:20" x14ac:dyDescent="0.25">
      <c r="A128" s="5">
        <v>44465</v>
      </c>
      <c r="B128">
        <v>6.8209999999999997</v>
      </c>
      <c r="C128">
        <v>7.0750000000000002</v>
      </c>
      <c r="D128">
        <v>6.4039999999999999</v>
      </c>
      <c r="E128">
        <v>6.5090000000000003</v>
      </c>
      <c r="F128">
        <v>22367980.600000001</v>
      </c>
      <c r="G128">
        <v>6.5090000000000003</v>
      </c>
      <c r="L128" t="s">
        <v>7</v>
      </c>
      <c r="M128" t="s">
        <v>8</v>
      </c>
      <c r="N128" t="s">
        <v>8</v>
      </c>
      <c r="P128">
        <f t="shared" ref="P128" si="615">IF(C128=D128,0,((E128-D128)-(C128-E128))/(C128-D128))</f>
        <v>-0.68703427719821053</v>
      </c>
      <c r="Q128">
        <f t="shared" ref="Q128" si="616">F128*P128</f>
        <v>-15367569.383904597</v>
      </c>
      <c r="R128">
        <f t="shared" ref="R128" si="617">R129+Q128</f>
        <v>409362688.3745091</v>
      </c>
      <c r="S128">
        <f t="shared" ref="S128" si="618">R128/100000</f>
        <v>4093.6268837450912</v>
      </c>
      <c r="T128">
        <f t="shared" ref="T128" si="619">S128/1000</f>
        <v>4.0936268837450909</v>
      </c>
    </row>
    <row r="129" spans="1:20" x14ac:dyDescent="0.25">
      <c r="A129" s="5">
        <v>44464</v>
      </c>
      <c r="B129">
        <v>6.9870000000000001</v>
      </c>
      <c r="C129">
        <v>7.5</v>
      </c>
      <c r="D129">
        <v>6.7759999999999998</v>
      </c>
      <c r="E129">
        <v>6.8230000000000004</v>
      </c>
      <c r="F129">
        <v>29004890.899999999</v>
      </c>
      <c r="G129">
        <v>6.8230000000000004</v>
      </c>
      <c r="L129" t="s">
        <v>7</v>
      </c>
      <c r="M129" t="s">
        <v>8</v>
      </c>
      <c r="N129" t="s">
        <v>8</v>
      </c>
      <c r="P129">
        <f t="shared" ref="P129" si="620">IF(C129=D129,0,((E129-D129)-(C129-E129))/(C129-D129))</f>
        <v>-0.87016574585635198</v>
      </c>
      <c r="Q129">
        <f t="shared" ref="Q129" si="621">F129*P129</f>
        <v>-25239062.523480617</v>
      </c>
      <c r="R129">
        <f t="shared" ref="R129" si="622">R130+Q129</f>
        <v>424730257.75841367</v>
      </c>
      <c r="S129">
        <f t="shared" ref="S129" si="623">R129/100000</f>
        <v>4247.302577584137</v>
      </c>
      <c r="T129">
        <f t="shared" ref="T129" si="624">S129/1000</f>
        <v>4.2473025775841373</v>
      </c>
    </row>
    <row r="130" spans="1:20" x14ac:dyDescent="0.25">
      <c r="A130" s="5">
        <v>44463</v>
      </c>
      <c r="B130">
        <v>6.2119999999999997</v>
      </c>
      <c r="C130">
        <v>7.4</v>
      </c>
      <c r="D130">
        <v>5.8010000000000002</v>
      </c>
      <c r="E130">
        <v>6.9870000000000001</v>
      </c>
      <c r="F130">
        <v>43568280.100000001</v>
      </c>
      <c r="G130">
        <v>6.9870000000000001</v>
      </c>
      <c r="L130" t="s">
        <v>8</v>
      </c>
      <c r="M130" t="s">
        <v>8</v>
      </c>
      <c r="N130" t="s">
        <v>8</v>
      </c>
      <c r="P130">
        <f t="shared" ref="P130" si="625">IF(C130=D130,0,((E130-D130)-(C130-E130))/(C130-D130))</f>
        <v>0.48342714196372705</v>
      </c>
      <c r="Q130">
        <f t="shared" ref="Q130" si="626">F130*P130</f>
        <v>21062089.129018124</v>
      </c>
      <c r="R130">
        <f t="shared" ref="R130" si="627">R131+Q130</f>
        <v>449969320.28189427</v>
      </c>
      <c r="S130">
        <f t="shared" ref="S130" si="628">R130/100000</f>
        <v>4499.6932028189431</v>
      </c>
      <c r="T130">
        <f t="shared" ref="T130" si="629">S130/1000</f>
        <v>4.4996932028189427</v>
      </c>
    </row>
    <row r="131" spans="1:20" x14ac:dyDescent="0.25">
      <c r="A131" s="5">
        <v>44462</v>
      </c>
      <c r="B131">
        <v>5.5709999999999997</v>
      </c>
      <c r="C131">
        <v>6.5949999999999998</v>
      </c>
      <c r="D131">
        <v>5.4989999999999997</v>
      </c>
      <c r="E131">
        <v>6.2140000000000004</v>
      </c>
      <c r="F131">
        <v>24752370.199999999</v>
      </c>
      <c r="G131">
        <v>6.2140000000000004</v>
      </c>
      <c r="L131" t="s">
        <v>8</v>
      </c>
      <c r="M131" t="s">
        <v>8</v>
      </c>
      <c r="N131" t="s">
        <v>8</v>
      </c>
      <c r="P131">
        <f t="shared" ref="P131" si="630">IF(C131=D131,0,((E131-D131)-(C131-E131))/(C131-D131))</f>
        <v>0.30474452554744652</v>
      </c>
      <c r="Q131">
        <f t="shared" ref="Q131" si="631">F131*P131</f>
        <v>7543149.3127737539</v>
      </c>
      <c r="R131">
        <f t="shared" ref="R131" si="632">R132+Q131</f>
        <v>428907231.15287614</v>
      </c>
      <c r="S131">
        <f t="shared" ref="S131" si="633">R131/100000</f>
        <v>4289.072311528761</v>
      </c>
      <c r="T131">
        <f t="shared" ref="T131" si="634">S131/1000</f>
        <v>4.289072311528761</v>
      </c>
    </row>
    <row r="132" spans="1:20" x14ac:dyDescent="0.25">
      <c r="A132" s="5">
        <v>44461</v>
      </c>
      <c r="B132">
        <v>4.6849999999999996</v>
      </c>
      <c r="C132">
        <v>5.6790000000000003</v>
      </c>
      <c r="D132">
        <v>4.5110000000000001</v>
      </c>
      <c r="E132">
        <v>5.5709999999999997</v>
      </c>
      <c r="F132">
        <v>14346851.300000001</v>
      </c>
      <c r="G132">
        <v>5.5709999999999997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0.81506849315068408</v>
      </c>
      <c r="Q132">
        <f t="shared" ref="Q132" si="636">F132*P132</f>
        <v>11693666.470547933</v>
      </c>
      <c r="R132">
        <f t="shared" ref="R132" si="637">R133+Q132</f>
        <v>421364081.84010237</v>
      </c>
      <c r="S132">
        <f t="shared" ref="S132" si="638">R132/100000</f>
        <v>4213.6408184010234</v>
      </c>
      <c r="T132">
        <f t="shared" ref="T132" si="639">S132/1000</f>
        <v>4.2136408184010232</v>
      </c>
    </row>
    <row r="133" spans="1:20" x14ac:dyDescent="0.25">
      <c r="A133" s="5">
        <v>44460</v>
      </c>
      <c r="B133">
        <v>5.298</v>
      </c>
      <c r="C133">
        <v>5.52</v>
      </c>
      <c r="D133">
        <v>4.4770000000000003</v>
      </c>
      <c r="E133">
        <v>4.6849999999999996</v>
      </c>
      <c r="F133">
        <v>21436475.300000001</v>
      </c>
      <c r="G133">
        <v>4.6849999999999996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-0.60115052732502505</v>
      </c>
      <c r="Q133">
        <f t="shared" ref="Q133" si="641">F133*P133</f>
        <v>-12886548.430584876</v>
      </c>
      <c r="R133">
        <f t="shared" ref="R133" si="642">R134+Q133</f>
        <v>409670415.36955446</v>
      </c>
      <c r="S133">
        <f t="shared" ref="S133" si="643">R133/100000</f>
        <v>4096.7041536955448</v>
      </c>
      <c r="T133">
        <f t="shared" ref="T133" si="644">S133/1000</f>
        <v>4.0967041536955451</v>
      </c>
    </row>
    <row r="134" spans="1:20" x14ac:dyDescent="0.25">
      <c r="A134" s="5">
        <v>44459</v>
      </c>
      <c r="B134">
        <v>6.5170000000000003</v>
      </c>
      <c r="C134">
        <v>6.5570000000000004</v>
      </c>
      <c r="D134">
        <v>5.46</v>
      </c>
      <c r="E134">
        <v>5.617</v>
      </c>
      <c r="F134">
        <v>14005182.199999999</v>
      </c>
      <c r="G134">
        <v>5.617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-0.71376481312670925</v>
      </c>
      <c r="Q134">
        <f t="shared" ref="Q134" si="646">F134*P134</f>
        <v>-9996406.2557885144</v>
      </c>
      <c r="R134">
        <f t="shared" ref="R134" si="647">R135+Q134</f>
        <v>422556963.80013931</v>
      </c>
      <c r="S134">
        <f t="shared" ref="S134" si="648">R134/100000</f>
        <v>4225.5696380013933</v>
      </c>
      <c r="T134">
        <f t="shared" ref="T134" si="649">S134/1000</f>
        <v>4.2255696380013932</v>
      </c>
    </row>
    <row r="135" spans="1:20" x14ac:dyDescent="0.25">
      <c r="A135" s="5">
        <v>44458</v>
      </c>
      <c r="B135">
        <v>6.4020000000000001</v>
      </c>
      <c r="C135">
        <v>6.9349999999999996</v>
      </c>
      <c r="D135">
        <v>6.11</v>
      </c>
      <c r="E135">
        <v>6.5190000000000001</v>
      </c>
      <c r="F135">
        <v>16820793.899999999</v>
      </c>
      <c r="G135">
        <v>6.5190000000000001</v>
      </c>
      <c r="L135" t="s">
        <v>8</v>
      </c>
      <c r="M135" t="s">
        <v>7</v>
      </c>
      <c r="N135" t="s">
        <v>8</v>
      </c>
      <c r="P135">
        <f t="shared" ref="P135" si="650">IF(C135=D135,0,((E135-D135)-(C135-E135))/(C135-D135))</f>
        <v>-8.4848484848480954E-3</v>
      </c>
      <c r="Q135">
        <f t="shared" ref="Q135" si="651">F135*P135</f>
        <v>-142721.88763635707</v>
      </c>
      <c r="R135">
        <f t="shared" ref="R135" si="652">R136+Q135</f>
        <v>432553370.05592781</v>
      </c>
      <c r="S135">
        <f t="shared" ref="S135" si="653">R135/100000</f>
        <v>4325.5337005592783</v>
      </c>
      <c r="T135">
        <f t="shared" ref="T135" si="654">S135/1000</f>
        <v>4.3255337005592782</v>
      </c>
    </row>
    <row r="136" spans="1:20" x14ac:dyDescent="0.25">
      <c r="A136" s="5">
        <v>44457</v>
      </c>
      <c r="B136">
        <v>6.1130000000000004</v>
      </c>
      <c r="C136">
        <v>6.73</v>
      </c>
      <c r="D136">
        <v>5.9160000000000004</v>
      </c>
      <c r="E136">
        <v>6.399</v>
      </c>
      <c r="F136">
        <v>15265580.5</v>
      </c>
      <c r="G136">
        <v>6.399</v>
      </c>
      <c r="L136" t="s">
        <v>7</v>
      </c>
      <c r="M136" t="s">
        <v>7</v>
      </c>
      <c r="N136" t="s">
        <v>8</v>
      </c>
      <c r="P136">
        <f t="shared" ref="P136" si="655">IF(C136=D136,0,((E136-D136)-(C136-E136))/(C136-D136))</f>
        <v>0.18673218673218581</v>
      </c>
      <c r="Q136">
        <f t="shared" ref="Q136" si="656">F136*P136</f>
        <v>2850575.2285012142</v>
      </c>
      <c r="R136">
        <f t="shared" ref="R136" si="657">R137+Q136</f>
        <v>432696091.94356418</v>
      </c>
      <c r="S136">
        <f t="shared" ref="S136" si="658">R136/100000</f>
        <v>4326.9609194356417</v>
      </c>
      <c r="T136">
        <f t="shared" ref="T136" si="659">S136/1000</f>
        <v>4.326960919435642</v>
      </c>
    </row>
    <row r="137" spans="1:20" x14ac:dyDescent="0.25">
      <c r="A137" s="5">
        <v>44456</v>
      </c>
      <c r="B137">
        <v>6.9420000000000002</v>
      </c>
      <c r="C137">
        <v>6.9690000000000003</v>
      </c>
      <c r="D137">
        <v>6.0469999999999997</v>
      </c>
      <c r="E137">
        <v>6.1159999999999997</v>
      </c>
      <c r="F137">
        <v>15149224.699999999</v>
      </c>
      <c r="G137">
        <v>6.1159999999999997</v>
      </c>
      <c r="L137" t="s">
        <v>7</v>
      </c>
      <c r="M137" t="s">
        <v>7</v>
      </c>
      <c r="N137" t="s">
        <v>8</v>
      </c>
      <c r="P137">
        <f t="shared" ref="P137" si="660">IF(C137=D137,0,((E137-D137)-(C137-E137))/(C137-D137))</f>
        <v>-0.85032537960954468</v>
      </c>
      <c r="Q137">
        <f t="shared" ref="Q137" si="661">F137*P137</f>
        <v>-12881770.243817789</v>
      </c>
      <c r="R137">
        <f t="shared" ref="R137" si="662">R138+Q137</f>
        <v>429845516.71506298</v>
      </c>
      <c r="S137">
        <f t="shared" ref="S137" si="663">R137/100000</f>
        <v>4298.4551671506297</v>
      </c>
      <c r="T137">
        <f t="shared" ref="T137" si="664">S137/1000</f>
        <v>4.2984551671506299</v>
      </c>
    </row>
    <row r="138" spans="1:20" x14ac:dyDescent="0.25">
      <c r="A138" s="5">
        <v>44455</v>
      </c>
      <c r="B138">
        <v>6.8949999999999996</v>
      </c>
      <c r="C138">
        <v>7.069</v>
      </c>
      <c r="D138">
        <v>6.4489999999999998</v>
      </c>
      <c r="E138">
        <v>6.9359999999999999</v>
      </c>
      <c r="F138">
        <v>18219970.399999999</v>
      </c>
      <c r="G138">
        <v>6.9359999999999999</v>
      </c>
      <c r="L138" t="s">
        <v>7</v>
      </c>
      <c r="M138" t="s">
        <v>7</v>
      </c>
      <c r="N138" t="s">
        <v>8</v>
      </c>
      <c r="P138">
        <f t="shared" ref="P138" si="665">IF(C138=D138,0,((E138-D138)-(C138-E138))/(C138-D138))</f>
        <v>0.57096774193548394</v>
      </c>
      <c r="Q138">
        <f t="shared" ref="Q138" si="666">F138*P138</f>
        <v>10403015.357419355</v>
      </c>
      <c r="R138">
        <f t="shared" ref="R138" si="667">R139+Q138</f>
        <v>442727286.95888078</v>
      </c>
      <c r="S138">
        <f t="shared" ref="S138" si="668">R138/100000</f>
        <v>4427.2728695888081</v>
      </c>
      <c r="T138">
        <f t="shared" ref="T138" si="669">S138/1000</f>
        <v>4.4272728695888084</v>
      </c>
    </row>
    <row r="139" spans="1:20" x14ac:dyDescent="0.25">
      <c r="A139" s="5">
        <v>44454</v>
      </c>
      <c r="B139">
        <v>7.109</v>
      </c>
      <c r="C139">
        <v>7.6459999999999999</v>
      </c>
      <c r="D139">
        <v>6.7210000000000001</v>
      </c>
      <c r="E139">
        <v>6.8970000000000002</v>
      </c>
      <c r="F139">
        <v>23365223.800000001</v>
      </c>
      <c r="G139">
        <v>6.8970000000000002</v>
      </c>
      <c r="L139" t="s">
        <v>7</v>
      </c>
      <c r="M139" t="s">
        <v>8</v>
      </c>
      <c r="N139" t="s">
        <v>8</v>
      </c>
      <c r="P139">
        <f t="shared" ref="P139" si="670">IF(C139=D139,0,((E139-D139)-(C139-E139))/(C139-D139))</f>
        <v>-0.61945945945945902</v>
      </c>
      <c r="Q139">
        <f t="shared" ref="Q139" si="671">F139*P139</f>
        <v>-14473808.905297287</v>
      </c>
      <c r="R139">
        <f t="shared" ref="R139" si="672">R140+Q139</f>
        <v>432324271.60146141</v>
      </c>
      <c r="S139">
        <f t="shared" ref="S139" si="673">R139/100000</f>
        <v>4323.2427160146144</v>
      </c>
      <c r="T139">
        <f t="shared" ref="T139" si="674">S139/1000</f>
        <v>4.3232427160146143</v>
      </c>
    </row>
    <row r="140" spans="1:20" x14ac:dyDescent="0.25">
      <c r="A140" s="5">
        <v>44453</v>
      </c>
      <c r="B140">
        <v>7.1660000000000004</v>
      </c>
      <c r="C140">
        <v>8.0310000000000006</v>
      </c>
      <c r="D140">
        <v>6.8289999999999997</v>
      </c>
      <c r="E140">
        <v>7.1079999999999997</v>
      </c>
      <c r="F140">
        <v>31582158.440000001</v>
      </c>
      <c r="G140">
        <v>7.1079999999999997</v>
      </c>
      <c r="L140" t="s">
        <v>8</v>
      </c>
      <c r="M140" t="s">
        <v>8</v>
      </c>
      <c r="N140" t="s">
        <v>8</v>
      </c>
      <c r="P140">
        <f t="shared" ref="P140" si="675">IF(C140=D140,0,((E140-D140)-(C140-E140))/(C140-D140))</f>
        <v>-0.53577371048252964</v>
      </c>
      <c r="Q140">
        <f t="shared" ref="Q140" si="676">F140*P140</f>
        <v>-16920890.212445941</v>
      </c>
      <c r="R140">
        <f t="shared" ref="R140" si="677">R141+Q140</f>
        <v>446798080.50675869</v>
      </c>
      <c r="S140">
        <f t="shared" ref="S140" si="678">R140/100000</f>
        <v>4467.9808050675865</v>
      </c>
      <c r="T140">
        <f t="shared" ref="T140" si="679">S140/1000</f>
        <v>4.4679808050675867</v>
      </c>
    </row>
    <row r="141" spans="1:20" x14ac:dyDescent="0.25">
      <c r="A141" s="5">
        <v>44452</v>
      </c>
      <c r="B141">
        <v>7.0259999999999998</v>
      </c>
      <c r="C141">
        <v>7.8929999999999998</v>
      </c>
      <c r="D141">
        <v>6.28</v>
      </c>
      <c r="E141">
        <v>7.1639999999999997</v>
      </c>
      <c r="F141">
        <v>56889220.979999997</v>
      </c>
      <c r="G141">
        <v>7.1639999999999997</v>
      </c>
      <c r="L141" t="s">
        <v>8</v>
      </c>
      <c r="M141" t="s">
        <v>8</v>
      </c>
      <c r="N141" t="s">
        <v>8</v>
      </c>
      <c r="P141">
        <f t="shared" ref="P141" si="680">IF(C141=D141,0,((E141-D141)-(C141-E141))/(C141-D141))</f>
        <v>9.6094234345938875E-2</v>
      </c>
      <c r="Q141">
        <f t="shared" ref="Q141" si="681">F141*P141</f>
        <v>5466726.1326100221</v>
      </c>
      <c r="R141">
        <f t="shared" ref="R141" si="682">R142+Q141</f>
        <v>463718970.7192046</v>
      </c>
      <c r="S141">
        <f t="shared" ref="S141" si="683">R141/100000</f>
        <v>4637.1897071920457</v>
      </c>
      <c r="T141">
        <f t="shared" ref="T141" si="684">S141/1000</f>
        <v>4.6371897071920456</v>
      </c>
    </row>
    <row r="142" spans="1:20" x14ac:dyDescent="0.25">
      <c r="A142" s="5">
        <v>44451</v>
      </c>
      <c r="B142">
        <v>6.1189999999999998</v>
      </c>
      <c r="C142">
        <v>7.2370000000000001</v>
      </c>
      <c r="D142">
        <v>5.9009999999999998</v>
      </c>
      <c r="E142">
        <v>7.0259999999999998</v>
      </c>
      <c r="F142">
        <v>28172819.27</v>
      </c>
      <c r="G142">
        <v>7.0259999999999998</v>
      </c>
      <c r="L142" t="s">
        <v>7</v>
      </c>
      <c r="M142" t="s">
        <v>8</v>
      </c>
      <c r="N142" t="s">
        <v>8</v>
      </c>
      <c r="P142">
        <f t="shared" ref="P142" si="685">IF(C142=D142,0,((E142-D142)-(C142-E142))/(C142-D142))</f>
        <v>0.6841317365269457</v>
      </c>
      <c r="Q142">
        <f t="shared" ref="Q142" si="686">F142*P142</f>
        <v>19273919.770044897</v>
      </c>
      <c r="R142">
        <f t="shared" ref="R142" si="687">R143+Q142</f>
        <v>458252244.58659458</v>
      </c>
      <c r="S142">
        <f t="shared" ref="S142" si="688">R142/100000</f>
        <v>4582.5224458659459</v>
      </c>
      <c r="T142">
        <f t="shared" ref="T142" si="689">S142/1000</f>
        <v>4.5825224458659459</v>
      </c>
    </row>
    <row r="143" spans="1:20" x14ac:dyDescent="0.25">
      <c r="A143" s="5">
        <v>44450</v>
      </c>
      <c r="B143">
        <v>6.1849999999999996</v>
      </c>
      <c r="C143">
        <v>6.9539999999999997</v>
      </c>
      <c r="D143">
        <v>6.0469999999999997</v>
      </c>
      <c r="E143">
        <v>6.1189999999999998</v>
      </c>
      <c r="F143">
        <v>30251724.539999999</v>
      </c>
      <c r="G143">
        <v>6.1189999999999998</v>
      </c>
      <c r="L143" t="s">
        <v>7</v>
      </c>
      <c r="M143" t="s">
        <v>8</v>
      </c>
      <c r="N143" t="s">
        <v>8</v>
      </c>
      <c r="P143">
        <f t="shared" ref="P143" si="690">IF(C143=D143,0,((E143-D143)-(C143-E143))/(C143-D143))</f>
        <v>-0.84123484013230421</v>
      </c>
      <c r="Q143">
        <f t="shared" ref="Q143" si="691">F143*P143</f>
        <v>-25448804.657133404</v>
      </c>
      <c r="R143">
        <f t="shared" ref="R143" si="692">R144+Q143</f>
        <v>438978324.81654966</v>
      </c>
      <c r="S143">
        <f t="shared" ref="S143" si="693">R143/100000</f>
        <v>4389.7832481654968</v>
      </c>
      <c r="T143">
        <f t="shared" ref="T143" si="694">S143/1000</f>
        <v>4.3897832481654966</v>
      </c>
    </row>
    <row r="144" spans="1:20" x14ac:dyDescent="0.25">
      <c r="A144" s="5">
        <v>44449</v>
      </c>
      <c r="B144">
        <v>5.5810000000000004</v>
      </c>
      <c r="C144">
        <v>6.8739999999999997</v>
      </c>
      <c r="D144">
        <v>5.3150000000000004</v>
      </c>
      <c r="E144">
        <v>6.1840000000000002</v>
      </c>
      <c r="F144">
        <v>73980825.579999998</v>
      </c>
      <c r="G144">
        <v>6.1840000000000002</v>
      </c>
      <c r="L144" t="s">
        <v>8</v>
      </c>
      <c r="M144" t="s">
        <v>8</v>
      </c>
      <c r="N144" t="s">
        <v>8</v>
      </c>
      <c r="P144">
        <f t="shared" ref="P144" si="695">IF(C144=D144,0,((E144-D144)-(C144-E144))/(C144-D144))</f>
        <v>0.11481719050673532</v>
      </c>
      <c r="Q144">
        <f t="shared" ref="Q144" si="696">F144*P144</f>
        <v>8494270.5444644168</v>
      </c>
      <c r="R144">
        <f t="shared" ref="R144" si="697">R145+Q144</f>
        <v>464427129.47368306</v>
      </c>
      <c r="S144">
        <f t="shared" ref="S144" si="698">R144/100000</f>
        <v>4644.2712947368309</v>
      </c>
      <c r="T144">
        <f t="shared" ref="T144" si="699">S144/1000</f>
        <v>4.6442712947368312</v>
      </c>
    </row>
    <row r="145" spans="1:20" x14ac:dyDescent="0.25">
      <c r="A145" s="5">
        <v>44448</v>
      </c>
      <c r="B145">
        <v>4.3369999999999997</v>
      </c>
      <c r="C145">
        <v>5.7</v>
      </c>
      <c r="D145">
        <v>4.2629999999999999</v>
      </c>
      <c r="E145">
        <v>5.5810000000000004</v>
      </c>
      <c r="F145">
        <v>26924096.800000001</v>
      </c>
      <c r="G145">
        <v>5.5810000000000004</v>
      </c>
      <c r="L145" t="s">
        <v>8</v>
      </c>
      <c r="M145" t="s">
        <v>8</v>
      </c>
      <c r="N145" t="s">
        <v>8</v>
      </c>
      <c r="P145">
        <f t="shared" ref="P145" si="700">IF(C145=D145,0,((E145-D145)-(C145-E145))/(C145-D145))</f>
        <v>0.83437717466945061</v>
      </c>
      <c r="Q145">
        <f t="shared" ref="Q145" si="701">F145*P145</f>
        <v>22464851.818510797</v>
      </c>
      <c r="R145">
        <f t="shared" ref="R145" si="702">R146+Q145</f>
        <v>455932858.92921865</v>
      </c>
      <c r="S145">
        <f t="shared" ref="S145" si="703">R145/100000</f>
        <v>4559.3285892921867</v>
      </c>
      <c r="T145">
        <f t="shared" ref="T145" si="704">S145/1000</f>
        <v>4.5593285892921864</v>
      </c>
    </row>
    <row r="146" spans="1:20" x14ac:dyDescent="0.25">
      <c r="A146" s="5">
        <v>44447</v>
      </c>
      <c r="B146">
        <v>4.4130000000000003</v>
      </c>
      <c r="C146">
        <v>4.508</v>
      </c>
      <c r="D146">
        <v>3.89</v>
      </c>
      <c r="E146">
        <v>4.3360000000000003</v>
      </c>
      <c r="F146">
        <v>11203265.300000001</v>
      </c>
      <c r="G146">
        <v>4.3360000000000003</v>
      </c>
      <c r="L146" t="s">
        <v>8</v>
      </c>
      <c r="M146" t="s">
        <v>7</v>
      </c>
      <c r="N146" t="s">
        <v>7</v>
      </c>
      <c r="P146">
        <f t="shared" ref="P146" si="705">IF(C146=D146,0,((E146-D146)-(C146-E146))/(C146-D146))</f>
        <v>0.4433656957928811</v>
      </c>
      <c r="Q146">
        <f t="shared" ref="Q146" si="706">F146*P146</f>
        <v>4967143.5148867415</v>
      </c>
      <c r="R146">
        <f t="shared" ref="R146" si="707">R147+Q146</f>
        <v>433468007.11070788</v>
      </c>
      <c r="S146">
        <f t="shared" ref="S146" si="708">R146/100000</f>
        <v>4334.6800711070791</v>
      </c>
      <c r="T146">
        <f t="shared" ref="T146" si="709">S146/1000</f>
        <v>4.334680071107079</v>
      </c>
    </row>
    <row r="147" spans="1:20" x14ac:dyDescent="0.25">
      <c r="A147" s="5">
        <v>44446</v>
      </c>
      <c r="B147">
        <v>5.5990000000000002</v>
      </c>
      <c r="C147">
        <v>5.7149999999999999</v>
      </c>
      <c r="D147">
        <v>3.8839999999999999</v>
      </c>
      <c r="E147">
        <v>4.4130000000000003</v>
      </c>
      <c r="F147">
        <v>23129349.879999999</v>
      </c>
      <c r="G147">
        <v>4.4130000000000003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-0.42217367558711044</v>
      </c>
      <c r="Q147">
        <f t="shared" ref="Q147" si="711">F147*P147</f>
        <v>-9764602.6527798921</v>
      </c>
      <c r="R147">
        <f t="shared" ref="R147" si="712">R148+Q147</f>
        <v>428500863.59582114</v>
      </c>
      <c r="S147">
        <f t="shared" ref="S147" si="713">R147/100000</f>
        <v>4285.008635958211</v>
      </c>
      <c r="T147">
        <f t="shared" ref="T147" si="714">S147/1000</f>
        <v>4.2850086359582109</v>
      </c>
    </row>
    <row r="148" spans="1:20" x14ac:dyDescent="0.25">
      <c r="A148" s="5">
        <v>44445</v>
      </c>
      <c r="B148">
        <v>5.5640000000000001</v>
      </c>
      <c r="C148">
        <v>5.7709999999999999</v>
      </c>
      <c r="D148">
        <v>5.3970000000000002</v>
      </c>
      <c r="E148">
        <v>5.5990000000000002</v>
      </c>
      <c r="F148">
        <v>10656009.4</v>
      </c>
      <c r="G148">
        <v>5.5990000000000002</v>
      </c>
      <c r="L148" t="s">
        <v>8</v>
      </c>
      <c r="M148" t="s">
        <v>7</v>
      </c>
      <c r="N148" t="s">
        <v>8</v>
      </c>
      <c r="P148">
        <f t="shared" ref="P148" si="715">IF(C148=D148,0,((E148-D148)-(C148-E148))/(C148-D148))</f>
        <v>8.0213903743316245E-2</v>
      </c>
      <c r="Q148">
        <f t="shared" ref="Q148" si="716">F148*P148</f>
        <v>854760.11229947314</v>
      </c>
      <c r="R148">
        <f t="shared" ref="R148" si="717">R149+Q148</f>
        <v>438265466.24860102</v>
      </c>
      <c r="S148">
        <f t="shared" ref="S148" si="718">R148/100000</f>
        <v>4382.6546624860102</v>
      </c>
      <c r="T148">
        <f t="shared" ref="T148" si="719">S148/1000</f>
        <v>4.3826546624860105</v>
      </c>
    </row>
    <row r="149" spans="1:20" x14ac:dyDescent="0.25">
      <c r="A149" s="5">
        <v>44444</v>
      </c>
      <c r="B149">
        <v>5.4</v>
      </c>
      <c r="C149">
        <v>5.5990000000000002</v>
      </c>
      <c r="D149">
        <v>5.2629999999999999</v>
      </c>
      <c r="E149">
        <v>5.569</v>
      </c>
      <c r="F149">
        <v>7443146</v>
      </c>
      <c r="G149">
        <v>5.569</v>
      </c>
      <c r="L149" t="s">
        <v>8</v>
      </c>
      <c r="M149" t="s">
        <v>7</v>
      </c>
      <c r="N149" t="s">
        <v>8</v>
      </c>
      <c r="P149">
        <f t="shared" ref="P149" si="720">IF(C149=D149,0,((E149-D149)-(C149-E149))/(C149-D149))</f>
        <v>0.82142857142857006</v>
      </c>
      <c r="Q149">
        <f t="shared" ref="Q149" si="721">F149*P149</f>
        <v>6114012.7857142752</v>
      </c>
      <c r="R149">
        <f t="shared" ref="R149" si="722">R150+Q149</f>
        <v>437410706.13630152</v>
      </c>
      <c r="S149">
        <f t="shared" ref="S149" si="723">R149/100000</f>
        <v>4374.1070613630154</v>
      </c>
      <c r="T149">
        <f t="shared" ref="T149" si="724">S149/1000</f>
        <v>4.3741070613630155</v>
      </c>
    </row>
    <row r="150" spans="1:20" x14ac:dyDescent="0.25">
      <c r="A150" s="5">
        <v>44443</v>
      </c>
      <c r="B150">
        <v>5.3109999999999999</v>
      </c>
      <c r="C150">
        <v>5.5940000000000003</v>
      </c>
      <c r="D150">
        <v>5.2409999999999997</v>
      </c>
      <c r="E150">
        <v>5.399</v>
      </c>
      <c r="F150">
        <v>7231768.7999999998</v>
      </c>
      <c r="G150">
        <v>5.399</v>
      </c>
      <c r="L150" t="s">
        <v>8</v>
      </c>
      <c r="M150" t="s">
        <v>7</v>
      </c>
      <c r="N150" t="s">
        <v>8</v>
      </c>
      <c r="P150">
        <f t="shared" ref="P150" si="725">IF(C150=D150,0,((E150-D150)-(C150-E150))/(C150-D150))</f>
        <v>-0.10481586402266248</v>
      </c>
      <c r="Q150">
        <f t="shared" ref="Q150" si="726">F150*P150</f>
        <v>-758004.09518413292</v>
      </c>
      <c r="R150">
        <f t="shared" ref="R150" si="727">R151+Q150</f>
        <v>431296693.35058725</v>
      </c>
      <c r="S150">
        <f t="shared" ref="S150" si="728">R150/100000</f>
        <v>4312.9669335058725</v>
      </c>
      <c r="T150">
        <f t="shared" ref="T150" si="729">S150/1000</f>
        <v>4.3129669335058729</v>
      </c>
    </row>
    <row r="151" spans="1:20" x14ac:dyDescent="0.25">
      <c r="A151" s="5">
        <v>44442</v>
      </c>
      <c r="B151">
        <v>5.2930000000000001</v>
      </c>
      <c r="C151">
        <v>5.4790000000000001</v>
      </c>
      <c r="D151">
        <v>5.1120000000000001</v>
      </c>
      <c r="E151">
        <v>5.3120000000000003</v>
      </c>
      <c r="F151">
        <v>6283431.0999999996</v>
      </c>
      <c r="G151">
        <v>5.3120000000000003</v>
      </c>
      <c r="L151" t="s">
        <v>7</v>
      </c>
      <c r="M151" t="s">
        <v>7</v>
      </c>
      <c r="N151" t="s">
        <v>8</v>
      </c>
      <c r="P151">
        <f t="shared" ref="P151" si="730">IF(C151=D151,0,((E151-D151)-(C151-E151))/(C151-D151))</f>
        <v>8.9918256130791185E-2</v>
      </c>
      <c r="Q151">
        <f t="shared" ref="Q151" si="731">F151*P151</f>
        <v>564995.16702997894</v>
      </c>
      <c r="R151">
        <f t="shared" ref="R151" si="732">R152+Q151</f>
        <v>432054697.4457714</v>
      </c>
      <c r="S151">
        <f t="shared" ref="S151" si="733">R151/100000</f>
        <v>4320.546974457714</v>
      </c>
      <c r="T151">
        <f t="shared" ref="T151" si="734">S151/1000</f>
        <v>4.3205469744577139</v>
      </c>
    </row>
    <row r="152" spans="1:20" x14ac:dyDescent="0.25">
      <c r="A152" s="5">
        <v>44441</v>
      </c>
      <c r="B152">
        <v>5.4240000000000004</v>
      </c>
      <c r="C152">
        <v>5.4409999999999998</v>
      </c>
      <c r="D152">
        <v>5.2</v>
      </c>
      <c r="E152">
        <v>5.2930000000000001</v>
      </c>
      <c r="F152">
        <v>5082845.9000000004</v>
      </c>
      <c r="G152">
        <v>5.2930000000000001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-0.22821576763485391</v>
      </c>
      <c r="Q152">
        <f t="shared" ref="Q152" si="736">F152*P152</f>
        <v>-1159985.57883817</v>
      </c>
      <c r="R152">
        <f t="shared" ref="R152" si="737">R153+Q152</f>
        <v>431489702.27874142</v>
      </c>
      <c r="S152">
        <f t="shared" ref="S152" si="738">R152/100000</f>
        <v>4314.8970227874142</v>
      </c>
      <c r="T152">
        <f t="shared" ref="T152" si="739">S152/1000</f>
        <v>4.3148970227874139</v>
      </c>
    </row>
    <row r="153" spans="1:20" x14ac:dyDescent="0.25">
      <c r="A153" s="5">
        <v>44440</v>
      </c>
      <c r="B153">
        <v>5.16</v>
      </c>
      <c r="C153">
        <v>5.5129999999999999</v>
      </c>
      <c r="D153">
        <v>5.0110000000000001</v>
      </c>
      <c r="E153">
        <v>5.4240000000000004</v>
      </c>
      <c r="F153">
        <v>7602105.2999999998</v>
      </c>
      <c r="G153">
        <v>5.4240000000000004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0.64541832669322885</v>
      </c>
      <c r="Q153">
        <f t="shared" ref="Q153" si="741">F153*P153</f>
        <v>4906538.0820717262</v>
      </c>
      <c r="R153">
        <f t="shared" ref="R153" si="742">R154+Q153</f>
        <v>432649687.85757959</v>
      </c>
      <c r="S153">
        <f t="shared" ref="S153" si="743">R153/100000</f>
        <v>4326.4968785757956</v>
      </c>
      <c r="T153">
        <f t="shared" ref="T153" si="744">S153/1000</f>
        <v>4.3264968785757958</v>
      </c>
    </row>
    <row r="154" spans="1:20" x14ac:dyDescent="0.25">
      <c r="A154" s="5">
        <v>44439</v>
      </c>
      <c r="B154">
        <v>5.3890000000000002</v>
      </c>
      <c r="C154">
        <v>5.5979999999999999</v>
      </c>
      <c r="D154">
        <v>5.0019999999999998</v>
      </c>
      <c r="E154">
        <v>5.1639999999999997</v>
      </c>
      <c r="F154">
        <v>12923136.9</v>
      </c>
      <c r="G154">
        <v>5.1639999999999997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-0.45637583892617484</v>
      </c>
      <c r="Q154">
        <f t="shared" ref="Q154" si="746">F154*P154</f>
        <v>-5897807.4442953067</v>
      </c>
      <c r="R154">
        <f t="shared" ref="R154" si="747">R155+Q154</f>
        <v>427743149.77550787</v>
      </c>
      <c r="S154">
        <f t="shared" ref="S154" si="748">R154/100000</f>
        <v>4277.4314977550785</v>
      </c>
      <c r="T154">
        <f t="shared" ref="T154" si="749">S154/1000</f>
        <v>4.277431497755078</v>
      </c>
    </row>
    <row r="155" spans="1:20" x14ac:dyDescent="0.25">
      <c r="A155" s="5">
        <v>44438</v>
      </c>
      <c r="B155">
        <v>5.8860000000000001</v>
      </c>
      <c r="C155">
        <v>6</v>
      </c>
      <c r="D155">
        <v>5.2770000000000001</v>
      </c>
      <c r="E155">
        <v>5.391</v>
      </c>
      <c r="F155">
        <v>24573105.600000001</v>
      </c>
      <c r="G155">
        <v>5.391</v>
      </c>
      <c r="L155" t="s">
        <v>7</v>
      </c>
      <c r="M155" t="s">
        <v>8</v>
      </c>
      <c r="N155" t="s">
        <v>8</v>
      </c>
      <c r="P155">
        <f t="shared" ref="P155" si="750">IF(C155=D155,0,((E155-D155)-(C155-E155))/(C155-D155))</f>
        <v>-0.68464730290456455</v>
      </c>
      <c r="Q155">
        <f t="shared" ref="Q155" si="751">F155*P155</f>
        <v>-16823910.473029051</v>
      </c>
      <c r="R155">
        <f t="shared" ref="R155" si="752">R156+Q155</f>
        <v>433640957.21980315</v>
      </c>
      <c r="S155">
        <f t="shared" ref="S155" si="753">R155/100000</f>
        <v>4336.4095721980311</v>
      </c>
      <c r="T155">
        <f t="shared" ref="T155" si="754">S155/1000</f>
        <v>4.3364095721980309</v>
      </c>
    </row>
    <row r="156" spans="1:20" x14ac:dyDescent="0.25">
      <c r="A156" s="5">
        <v>44437</v>
      </c>
      <c r="B156">
        <v>5.6369999999999996</v>
      </c>
      <c r="C156">
        <v>6.1429999999999998</v>
      </c>
      <c r="D156">
        <v>5.39</v>
      </c>
      <c r="E156">
        <v>5.89</v>
      </c>
      <c r="F156">
        <v>26994642.149999999</v>
      </c>
      <c r="G156">
        <v>5.89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0.32802124833997326</v>
      </c>
      <c r="Q156">
        <f t="shared" ref="Q156" si="756">F156*P156</f>
        <v>8854816.2165338583</v>
      </c>
      <c r="R156">
        <f t="shared" ref="R156" si="757">R157+Q156</f>
        <v>450464867.69283223</v>
      </c>
      <c r="S156">
        <f t="shared" ref="S156" si="758">R156/100000</f>
        <v>4504.6486769283219</v>
      </c>
      <c r="T156">
        <f t="shared" ref="T156" si="759">S156/1000</f>
        <v>4.5046486769283218</v>
      </c>
    </row>
    <row r="157" spans="1:20" x14ac:dyDescent="0.25">
      <c r="A157" s="5">
        <v>44436</v>
      </c>
      <c r="B157">
        <v>5.24</v>
      </c>
      <c r="C157">
        <v>5.6890000000000001</v>
      </c>
      <c r="D157">
        <v>5.0170000000000003</v>
      </c>
      <c r="E157">
        <v>5.6319999999999997</v>
      </c>
      <c r="F157">
        <v>16401100.52</v>
      </c>
      <c r="G157">
        <v>5.6319999999999997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0.83035714285714168</v>
      </c>
      <c r="Q157">
        <f t="shared" ref="Q157" si="761">F157*P157</f>
        <v>13618770.967499981</v>
      </c>
      <c r="R157">
        <f t="shared" ref="R157" si="762">R158+Q157</f>
        <v>441610051.47629839</v>
      </c>
      <c r="S157">
        <f t="shared" ref="S157" si="763">R157/100000</f>
        <v>4416.1005147629839</v>
      </c>
      <c r="T157">
        <f t="shared" ref="T157" si="764">S157/1000</f>
        <v>4.4161005147629844</v>
      </c>
    </row>
    <row r="158" spans="1:20" x14ac:dyDescent="0.25">
      <c r="A158" s="5">
        <v>44435</v>
      </c>
      <c r="B158">
        <v>4.4329999999999998</v>
      </c>
      <c r="C158">
        <v>5.5270000000000001</v>
      </c>
      <c r="D158">
        <v>4.226</v>
      </c>
      <c r="E158">
        <v>5.24</v>
      </c>
      <c r="F158">
        <v>30242293.02</v>
      </c>
      <c r="G158">
        <v>5.24</v>
      </c>
      <c r="L158" t="s">
        <v>7</v>
      </c>
      <c r="M158" t="s">
        <v>8</v>
      </c>
      <c r="N158" t="s">
        <v>8</v>
      </c>
      <c r="P158">
        <f t="shared" ref="P158" si="765">IF(C158=D158,0,((E158-D158)-(C158-E158))/(C158-D158))</f>
        <v>0.55880092236740986</v>
      </c>
      <c r="Q158">
        <f t="shared" ref="Q158" si="766">F158*P158</f>
        <v>16899421.234081481</v>
      </c>
      <c r="R158">
        <f t="shared" ref="R158" si="767">R159+Q158</f>
        <v>427991280.50879842</v>
      </c>
      <c r="S158">
        <f t="shared" ref="S158" si="768">R158/100000</f>
        <v>4279.9128050879845</v>
      </c>
      <c r="T158">
        <f t="shared" ref="T158" si="769">S158/1000</f>
        <v>4.2799128050879842</v>
      </c>
    </row>
    <row r="159" spans="1:20" x14ac:dyDescent="0.25">
      <c r="A159" s="5">
        <v>44434</v>
      </c>
      <c r="B159">
        <v>5.0921000000000003</v>
      </c>
      <c r="C159">
        <v>5.1230000000000002</v>
      </c>
      <c r="D159">
        <v>4.3010000000000002</v>
      </c>
      <c r="E159">
        <v>4.4379999999999997</v>
      </c>
      <c r="F159">
        <v>28083613.84</v>
      </c>
      <c r="G159">
        <v>4.4379999999999997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-0.66666666666666774</v>
      </c>
      <c r="Q159">
        <f t="shared" ref="Q159" si="771">F159*P159</f>
        <v>-18722409.226666696</v>
      </c>
      <c r="R159">
        <f t="shared" ref="R159" si="772">R160+Q159</f>
        <v>411091859.27471691</v>
      </c>
      <c r="S159">
        <f t="shared" ref="S159" si="773">R159/100000</f>
        <v>4110.918592747169</v>
      </c>
      <c r="T159">
        <f t="shared" ref="T159" si="774">S159/1000</f>
        <v>4.1109185927471694</v>
      </c>
    </row>
    <row r="160" spans="1:20" x14ac:dyDescent="0.25">
      <c r="A160" s="5">
        <v>44433</v>
      </c>
      <c r="B160">
        <v>3.9588999999999999</v>
      </c>
      <c r="C160">
        <v>5.4509999999999996</v>
      </c>
      <c r="D160">
        <v>3.9561000000000002</v>
      </c>
      <c r="E160">
        <v>5.0919999999999996</v>
      </c>
      <c r="F160">
        <v>45351851.5</v>
      </c>
      <c r="G160">
        <v>5.0919999999999996</v>
      </c>
      <c r="L160" t="s">
        <v>8</v>
      </c>
      <c r="M160" t="s">
        <v>8</v>
      </c>
      <c r="N160" t="s">
        <v>8</v>
      </c>
      <c r="P160">
        <f t="shared" ref="P160" si="775">IF(C160=D160,0,((E160-D160)-(C160-E160))/(C160-D160))</f>
        <v>0.51970031440230102</v>
      </c>
      <c r="Q160">
        <f t="shared" ref="Q160" si="776">F160*P160</f>
        <v>23569371.483276468</v>
      </c>
      <c r="R160">
        <f t="shared" ref="R160" si="777">R161+Q160</f>
        <v>429814268.5013836</v>
      </c>
      <c r="S160">
        <f t="shared" ref="S160" si="778">R160/100000</f>
        <v>4298.1426850138359</v>
      </c>
      <c r="T160">
        <f t="shared" ref="T160" si="779">S160/1000</f>
        <v>4.2981426850138362</v>
      </c>
    </row>
    <row r="161" spans="1:20" x14ac:dyDescent="0.25">
      <c r="A161" s="5">
        <v>44432</v>
      </c>
      <c r="B161">
        <v>4.3059000000000003</v>
      </c>
      <c r="C161">
        <v>4.4725999999999999</v>
      </c>
      <c r="D161">
        <v>3.8892000000000002</v>
      </c>
      <c r="E161">
        <v>3.9626000000000001</v>
      </c>
      <c r="F161">
        <v>21831817.649999999</v>
      </c>
      <c r="G161">
        <v>3.9626000000000001</v>
      </c>
      <c r="L161" t="s">
        <v>8</v>
      </c>
      <c r="M161" t="s">
        <v>8</v>
      </c>
      <c r="N161" t="s">
        <v>8</v>
      </c>
      <c r="P161">
        <f t="shared" ref="P161" si="780">IF(C161=D161,0,((E161-D161)-(C161-E161))/(C161-D161))</f>
        <v>-0.74837161467260904</v>
      </c>
      <c r="Q161">
        <f t="shared" ref="Q161" si="781">F161*P161</f>
        <v>-16338312.625968464</v>
      </c>
      <c r="R161">
        <f t="shared" ref="R161" si="782">R162+Q161</f>
        <v>406244897.01810712</v>
      </c>
      <c r="S161">
        <f t="shared" ref="S161" si="783">R161/100000</f>
        <v>4062.4489701810712</v>
      </c>
      <c r="T161">
        <f t="shared" ref="T161" si="784">S161/1000</f>
        <v>4.0624489701810713</v>
      </c>
    </row>
    <row r="162" spans="1:20" x14ac:dyDescent="0.25">
      <c r="A162" s="5">
        <v>44431</v>
      </c>
      <c r="B162">
        <v>3.7985000000000002</v>
      </c>
      <c r="C162">
        <v>4.3499999999999996</v>
      </c>
      <c r="D162">
        <v>3.7736000000000001</v>
      </c>
      <c r="E162">
        <v>4.3059000000000003</v>
      </c>
      <c r="F162">
        <v>26107161.899999999</v>
      </c>
      <c r="G162">
        <v>4.3059000000000003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0.84698126301179943</v>
      </c>
      <c r="Q162">
        <f t="shared" ref="Q162" si="786">F162*P162</f>
        <v>22112276.959715527</v>
      </c>
      <c r="R162">
        <f t="shared" ref="R162" si="787">R163+Q162</f>
        <v>422583209.64407557</v>
      </c>
      <c r="S162">
        <f t="shared" ref="S162" si="788">R162/100000</f>
        <v>4225.8320964407558</v>
      </c>
      <c r="T162">
        <f t="shared" ref="T162" si="789">S162/1000</f>
        <v>4.2258320964407554</v>
      </c>
    </row>
    <row r="163" spans="1:20" x14ac:dyDescent="0.25">
      <c r="A163" s="5">
        <v>44430</v>
      </c>
      <c r="B163">
        <v>3.6928999999999998</v>
      </c>
      <c r="C163">
        <v>3.8220000000000001</v>
      </c>
      <c r="D163">
        <v>3.6795</v>
      </c>
      <c r="E163">
        <v>3.8182999999999998</v>
      </c>
      <c r="F163">
        <v>2154341.7599999998</v>
      </c>
      <c r="G163">
        <v>3.8182999999999998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0.94807017543859284</v>
      </c>
      <c r="Q163">
        <f t="shared" ref="Q163" si="791">F163*P163</f>
        <v>2042467.1703578867</v>
      </c>
      <c r="R163">
        <f t="shared" ref="R163" si="792">R164+Q163</f>
        <v>400470932.68436003</v>
      </c>
      <c r="S163">
        <f t="shared" ref="S163" si="793">R163/100000</f>
        <v>4004.7093268436001</v>
      </c>
      <c r="T163">
        <f t="shared" ref="T163" si="794">S163/1000</f>
        <v>4.0047093268436003</v>
      </c>
    </row>
    <row r="164" spans="1:20" x14ac:dyDescent="0.25">
      <c r="A164" s="5">
        <v>44429</v>
      </c>
      <c r="B164">
        <v>3.7259000000000002</v>
      </c>
      <c r="C164">
        <v>3.8334999999999999</v>
      </c>
      <c r="D164">
        <v>3.6122999999999998</v>
      </c>
      <c r="E164">
        <v>3.6894999999999998</v>
      </c>
      <c r="F164">
        <v>8547397.5</v>
      </c>
      <c r="G164">
        <v>3.6894999999999998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-0.30198915009041671</v>
      </c>
      <c r="Q164">
        <f t="shared" ref="Q164" si="796">F164*P164</f>
        <v>-2581221.3065099525</v>
      </c>
      <c r="R164">
        <f t="shared" ref="R164" si="797">R165+Q164</f>
        <v>398428465.51400214</v>
      </c>
      <c r="S164">
        <f t="shared" ref="S164" si="798">R164/100000</f>
        <v>3984.2846551400216</v>
      </c>
      <c r="T164">
        <f t="shared" ref="T164" si="799">S164/1000</f>
        <v>3.9842846551400215</v>
      </c>
    </row>
    <row r="165" spans="1:20" x14ac:dyDescent="0.25">
      <c r="A165" s="5">
        <v>44428</v>
      </c>
      <c r="B165">
        <v>3.6402999999999999</v>
      </c>
      <c r="C165">
        <v>3.7345999999999999</v>
      </c>
      <c r="D165">
        <v>3.5823999999999998</v>
      </c>
      <c r="E165">
        <v>3.7279</v>
      </c>
      <c r="F165">
        <v>5864740.2300000004</v>
      </c>
      <c r="G165">
        <v>3.7279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0.91195795006570401</v>
      </c>
      <c r="Q165">
        <f t="shared" ref="Q165" si="801">F165*P165</f>
        <v>5348396.477818666</v>
      </c>
      <c r="R165">
        <f t="shared" ref="R165" si="802">R166+Q165</f>
        <v>401009686.82051212</v>
      </c>
      <c r="S165">
        <f t="shared" ref="S165" si="803">R165/100000</f>
        <v>4010.0968682051212</v>
      </c>
      <c r="T165">
        <f t="shared" ref="T165" si="804">S165/1000</f>
        <v>4.010096868205121</v>
      </c>
    </row>
    <row r="166" spans="1:20" x14ac:dyDescent="0.25">
      <c r="A166" s="5">
        <v>44427</v>
      </c>
      <c r="B166">
        <v>3.3443000000000001</v>
      </c>
      <c r="C166">
        <v>3.65</v>
      </c>
      <c r="D166">
        <v>3.2850000000000001</v>
      </c>
      <c r="E166">
        <v>3.6398000000000001</v>
      </c>
      <c r="F166">
        <v>7805476.0499999998</v>
      </c>
      <c r="G166">
        <v>3.6398000000000001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0.9441095890410971</v>
      </c>
      <c r="Q166">
        <f t="shared" ref="Q166" si="806">F166*P166</f>
        <v>7369224.7858356256</v>
      </c>
      <c r="R166">
        <f t="shared" ref="R166" si="807">R167+Q166</f>
        <v>395661290.34269345</v>
      </c>
      <c r="S166">
        <f t="shared" ref="S166" si="808">R166/100000</f>
        <v>3956.6129034269343</v>
      </c>
      <c r="T166">
        <f t="shared" ref="T166" si="809">S166/1000</f>
        <v>3.9566129034269344</v>
      </c>
    </row>
    <row r="167" spans="1:20" x14ac:dyDescent="0.25">
      <c r="A167" s="5">
        <v>44426</v>
      </c>
      <c r="B167">
        <v>3.4016999999999999</v>
      </c>
      <c r="C167">
        <v>3.4691999999999998</v>
      </c>
      <c r="D167">
        <v>3.2298</v>
      </c>
      <c r="E167">
        <v>3.3426999999999998</v>
      </c>
      <c r="F167">
        <v>6050677.5499999998</v>
      </c>
      <c r="G167">
        <v>3.3426999999999998</v>
      </c>
      <c r="L167" t="s">
        <v>7</v>
      </c>
      <c r="M167" t="s">
        <v>8</v>
      </c>
      <c r="N167" t="s">
        <v>8</v>
      </c>
      <c r="P167">
        <f t="shared" ref="P167" si="810">IF(C167=D167,0,((E167-D167)-(C167-E167))/(C167-D167))</f>
        <v>-5.680868838763696E-2</v>
      </c>
      <c r="Q167">
        <f t="shared" ref="Q167" si="811">F167*P167</f>
        <v>-343731.05547202064</v>
      </c>
      <c r="R167">
        <f t="shared" ref="R167" si="812">R168+Q167</f>
        <v>388292065.55685782</v>
      </c>
      <c r="S167">
        <f t="shared" ref="S167" si="813">R167/100000</f>
        <v>3882.9206555685782</v>
      </c>
      <c r="T167">
        <f t="shared" ref="T167" si="814">S167/1000</f>
        <v>3.8829206555685785</v>
      </c>
    </row>
    <row r="168" spans="1:20" x14ac:dyDescent="0.25">
      <c r="A168" s="5">
        <v>44425</v>
      </c>
      <c r="B168">
        <v>3.6328999999999998</v>
      </c>
      <c r="C168">
        <v>3.8031000000000001</v>
      </c>
      <c r="D168">
        <v>3.3778000000000001</v>
      </c>
      <c r="E168">
        <v>3.4024000000000001</v>
      </c>
      <c r="F168">
        <v>7673774.4400000004</v>
      </c>
      <c r="G168">
        <v>3.4024000000000001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-0.88431695273924316</v>
      </c>
      <c r="Q168">
        <f t="shared" ref="Q168" si="816">F168*P168</f>
        <v>-6786048.8287890926</v>
      </c>
      <c r="R168">
        <f t="shared" ref="R168" si="817">R169+Q168</f>
        <v>388635796.61232984</v>
      </c>
      <c r="S168">
        <f t="shared" ref="S168" si="818">R168/100000</f>
        <v>3886.3579661232984</v>
      </c>
      <c r="T168">
        <f t="shared" ref="T168" si="819">S168/1000</f>
        <v>3.8863579661232985</v>
      </c>
    </row>
    <row r="169" spans="1:20" x14ac:dyDescent="0.25">
      <c r="A169" s="5">
        <v>44424</v>
      </c>
      <c r="B169">
        <v>3.7351000000000001</v>
      </c>
      <c r="C169">
        <v>3.8944000000000001</v>
      </c>
      <c r="D169">
        <v>3.5886999999999998</v>
      </c>
      <c r="E169">
        <v>3.6320000000000001</v>
      </c>
      <c r="F169">
        <v>7833837.8799999999</v>
      </c>
      <c r="G169">
        <v>3.6320000000000001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-0.71671573438010927</v>
      </c>
      <c r="Q169">
        <f t="shared" ref="Q169" si="821">F169*P169</f>
        <v>-5614634.8691789182</v>
      </c>
      <c r="R169">
        <f t="shared" ref="R169" si="822">R170+Q169</f>
        <v>395421845.44111896</v>
      </c>
      <c r="S169">
        <f t="shared" ref="S169" si="823">R169/100000</f>
        <v>3954.2184544111897</v>
      </c>
      <c r="T169">
        <f t="shared" ref="T169" si="824">S169/1000</f>
        <v>3.9542184544111896</v>
      </c>
    </row>
    <row r="170" spans="1:20" x14ac:dyDescent="0.25">
      <c r="A170" s="5">
        <v>44423</v>
      </c>
      <c r="B170">
        <v>3.6953</v>
      </c>
      <c r="C170">
        <v>3.762</v>
      </c>
      <c r="D170">
        <v>3.55</v>
      </c>
      <c r="E170">
        <v>3.7355</v>
      </c>
      <c r="F170">
        <v>6054822.4699999997</v>
      </c>
      <c r="G170">
        <v>3.7355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0.75000000000000056</v>
      </c>
      <c r="Q170">
        <f t="shared" ref="Q170" si="826">F170*P170</f>
        <v>4541116.8525000028</v>
      </c>
      <c r="R170">
        <f t="shared" ref="R170" si="827">R171+Q170</f>
        <v>401036480.31029785</v>
      </c>
      <c r="S170">
        <f t="shared" ref="S170" si="828">R170/100000</f>
        <v>4010.3648031029784</v>
      </c>
      <c r="T170">
        <f t="shared" ref="T170" si="829">S170/1000</f>
        <v>4.0103648031029788</v>
      </c>
    </row>
    <row r="171" spans="1:20" x14ac:dyDescent="0.25">
      <c r="A171" s="5">
        <v>44422</v>
      </c>
      <c r="B171">
        <v>3.5928</v>
      </c>
      <c r="C171">
        <v>3.7183000000000002</v>
      </c>
      <c r="D171">
        <v>3.4647000000000001</v>
      </c>
      <c r="E171">
        <v>3.6951999999999998</v>
      </c>
      <c r="F171">
        <v>9725662.3800000008</v>
      </c>
      <c r="G171">
        <v>3.6951999999999998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0.8178233438485778</v>
      </c>
      <c r="Q171">
        <f t="shared" ref="Q171" si="831">F171*P171</f>
        <v>7953873.7287539179</v>
      </c>
      <c r="R171">
        <f t="shared" ref="R171" si="832">R172+Q171</f>
        <v>396495363.45779783</v>
      </c>
      <c r="S171">
        <f t="shared" ref="S171" si="833">R171/100000</f>
        <v>3964.9536345779784</v>
      </c>
      <c r="T171">
        <f t="shared" ref="T171" si="834">S171/1000</f>
        <v>3.9649536345779786</v>
      </c>
    </row>
    <row r="172" spans="1:20" x14ac:dyDescent="0.25">
      <c r="A172" s="5">
        <v>44421</v>
      </c>
      <c r="B172">
        <v>3.3513999999999999</v>
      </c>
      <c r="C172">
        <v>3.5962000000000001</v>
      </c>
      <c r="D172">
        <v>3.2968999999999999</v>
      </c>
      <c r="E172">
        <v>3.5928</v>
      </c>
      <c r="F172">
        <v>8753775.6500000004</v>
      </c>
      <c r="G172">
        <v>3.5928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0.97728032074841253</v>
      </c>
      <c r="Q172">
        <f t="shared" ref="Q172" si="836">F172*P172</f>
        <v>8554892.6749916431</v>
      </c>
      <c r="R172">
        <f t="shared" ref="R172" si="837">R173+Q172</f>
        <v>388541489.7290439</v>
      </c>
      <c r="S172">
        <f t="shared" ref="S172" si="838">R172/100000</f>
        <v>3885.4148972904391</v>
      </c>
      <c r="T172">
        <f t="shared" ref="T172" si="839">S172/1000</f>
        <v>3.8854148972904392</v>
      </c>
    </row>
    <row r="173" spans="1:20" x14ac:dyDescent="0.25">
      <c r="A173" s="5">
        <v>44420</v>
      </c>
      <c r="B173">
        <v>3.4453</v>
      </c>
      <c r="C173">
        <v>3.6177999999999999</v>
      </c>
      <c r="D173">
        <v>3.2193000000000001</v>
      </c>
      <c r="E173">
        <v>3.3491</v>
      </c>
      <c r="F173">
        <v>8490155.6799999997</v>
      </c>
      <c r="G173">
        <v>3.3491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-0.34855708908406541</v>
      </c>
      <c r="Q173">
        <f t="shared" ref="Q173" si="841">F173*P173</f>
        <v>-2959303.9496913436</v>
      </c>
      <c r="R173">
        <f t="shared" ref="R173" si="842">R174+Q173</f>
        <v>379986597.05405223</v>
      </c>
      <c r="S173">
        <f t="shared" ref="S173" si="843">R173/100000</f>
        <v>3799.8659705405225</v>
      </c>
      <c r="T173">
        <f t="shared" ref="T173" si="844">S173/1000</f>
        <v>3.7998659705405227</v>
      </c>
    </row>
    <row r="174" spans="1:20" x14ac:dyDescent="0.25">
      <c r="A174" s="5">
        <v>44419</v>
      </c>
      <c r="B174">
        <v>3.2671000000000001</v>
      </c>
      <c r="C174">
        <v>3.5657999999999999</v>
      </c>
      <c r="D174">
        <v>3.2589999999999999</v>
      </c>
      <c r="E174">
        <v>3.4438</v>
      </c>
      <c r="F174">
        <v>11311326.25</v>
      </c>
      <c r="G174">
        <v>3.4438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0.20469361147327314</v>
      </c>
      <c r="Q174">
        <f t="shared" ref="Q174" si="846">F174*P174</f>
        <v>2315356.2206649357</v>
      </c>
      <c r="R174">
        <f t="shared" ref="R174" si="847">R175+Q174</f>
        <v>382945901.00374359</v>
      </c>
      <c r="S174">
        <f t="shared" ref="S174" si="848">R174/100000</f>
        <v>3829.4590100374357</v>
      </c>
      <c r="T174">
        <f t="shared" ref="T174" si="849">S174/1000</f>
        <v>3.8294590100374357</v>
      </c>
    </row>
    <row r="175" spans="1:20" x14ac:dyDescent="0.25">
      <c r="A175" s="5">
        <v>44418</v>
      </c>
      <c r="B175">
        <v>3.2850999999999999</v>
      </c>
      <c r="C175">
        <v>3.3519999999999999</v>
      </c>
      <c r="D175">
        <v>3.1800999999999999</v>
      </c>
      <c r="E175">
        <v>3.2643</v>
      </c>
      <c r="F175">
        <v>8624983.8100000005</v>
      </c>
      <c r="G175">
        <v>3.2643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-2.0360674810935647E-2</v>
      </c>
      <c r="Q175">
        <f t="shared" ref="Q175" si="851">F175*P175</f>
        <v>-175610.49060499479</v>
      </c>
      <c r="R175">
        <f t="shared" ref="R175" si="852">R176+Q175</f>
        <v>380630544.78307867</v>
      </c>
      <c r="S175">
        <f t="shared" ref="S175" si="853">R175/100000</f>
        <v>3806.3054478307868</v>
      </c>
      <c r="T175">
        <f t="shared" ref="T175" si="854">S175/1000</f>
        <v>3.8063054478307867</v>
      </c>
    </row>
    <row r="176" spans="1:20" x14ac:dyDescent="0.25">
      <c r="A176" s="5">
        <v>44417</v>
      </c>
      <c r="B176">
        <v>3.1783999999999999</v>
      </c>
      <c r="C176">
        <v>3.3475000000000001</v>
      </c>
      <c r="D176">
        <v>3.1032999999999999</v>
      </c>
      <c r="E176">
        <v>3.2867000000000002</v>
      </c>
      <c r="F176">
        <v>6105111.3700000001</v>
      </c>
      <c r="G176">
        <v>3.2867000000000002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0.5020475020475027</v>
      </c>
      <c r="Q176">
        <f t="shared" ref="Q176" si="856">F176*P176</f>
        <v>3065055.9130303073</v>
      </c>
      <c r="R176">
        <f t="shared" ref="R176" si="857">R177+Q176</f>
        <v>380806155.27368367</v>
      </c>
      <c r="S176">
        <f t="shared" ref="S176" si="858">R176/100000</f>
        <v>3808.0615527368368</v>
      </c>
      <c r="T176">
        <f t="shared" ref="T176" si="859">S176/1000</f>
        <v>3.8080615527368367</v>
      </c>
    </row>
    <row r="177" spans="1:20" x14ac:dyDescent="0.25">
      <c r="A177" s="5">
        <v>44416</v>
      </c>
      <c r="B177">
        <v>3.4241000000000001</v>
      </c>
      <c r="C177">
        <v>3.4893000000000001</v>
      </c>
      <c r="D177">
        <v>3.1539000000000001</v>
      </c>
      <c r="E177">
        <v>3.1779999999999999</v>
      </c>
      <c r="F177">
        <v>4203173.45</v>
      </c>
      <c r="G177">
        <v>3.1779999999999999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-0.85629099582588075</v>
      </c>
      <c r="Q177">
        <f t="shared" ref="Q177" si="861">F177*P177</f>
        <v>-3599139.579129403</v>
      </c>
      <c r="R177">
        <f t="shared" ref="R177" si="862">R178+Q177</f>
        <v>377741099.36065334</v>
      </c>
      <c r="S177">
        <f t="shared" ref="S177" si="863">R177/100000</f>
        <v>3777.4109936065333</v>
      </c>
      <c r="T177">
        <f t="shared" ref="T177" si="864">S177/1000</f>
        <v>3.7774109936065332</v>
      </c>
    </row>
    <row r="178" spans="1:20" x14ac:dyDescent="0.25">
      <c r="A178" s="5">
        <v>44415</v>
      </c>
      <c r="B178">
        <v>3.3582000000000001</v>
      </c>
      <c r="C178">
        <v>3.5360999999999998</v>
      </c>
      <c r="D178">
        <v>3.3001</v>
      </c>
      <c r="E178">
        <v>3.4222000000000001</v>
      </c>
      <c r="F178">
        <v>7300812.8899999997</v>
      </c>
      <c r="G178">
        <v>3.4222000000000001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3.474576271186626E-2</v>
      </c>
      <c r="Q178">
        <f t="shared" ref="Q178" si="866">F178*P178</f>
        <v>253672.31227967454</v>
      </c>
      <c r="R178">
        <f t="shared" ref="R178" si="867">R179+Q178</f>
        <v>381340238.93978274</v>
      </c>
      <c r="S178">
        <f t="shared" ref="S178" si="868">R178/100000</f>
        <v>3813.4023893978274</v>
      </c>
      <c r="T178">
        <f t="shared" ref="T178" si="869">S178/1000</f>
        <v>3.8134023893978273</v>
      </c>
    </row>
    <row r="179" spans="1:20" x14ac:dyDescent="0.25">
      <c r="A179" s="5">
        <v>44414</v>
      </c>
      <c r="B179">
        <v>3.2212000000000001</v>
      </c>
      <c r="C179">
        <v>3.3637000000000001</v>
      </c>
      <c r="D179">
        <v>3.1482000000000001</v>
      </c>
      <c r="E179">
        <v>3.3574999999999999</v>
      </c>
      <c r="F179">
        <v>4870888.84</v>
      </c>
      <c r="G179">
        <v>3.3574999999999999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0.94245939675173829</v>
      </c>
      <c r="Q179">
        <f t="shared" ref="Q179" si="871">F179*P179</f>
        <v>4590614.9577911738</v>
      </c>
      <c r="R179">
        <f t="shared" ref="R179" si="872">R180+Q179</f>
        <v>381086566.62750304</v>
      </c>
      <c r="S179">
        <f t="shared" ref="S179" si="873">R179/100000</f>
        <v>3810.8656662750304</v>
      </c>
      <c r="T179">
        <f t="shared" ref="T179" si="874">S179/1000</f>
        <v>3.8108656662750304</v>
      </c>
    </row>
    <row r="180" spans="1:20" x14ac:dyDescent="0.25">
      <c r="A180" s="5">
        <v>44413</v>
      </c>
      <c r="B180">
        <v>3.1779999999999999</v>
      </c>
      <c r="C180">
        <v>3.2738999999999998</v>
      </c>
      <c r="D180">
        <v>3.0706000000000002</v>
      </c>
      <c r="E180">
        <v>3.2195999999999998</v>
      </c>
      <c r="F180">
        <v>6074778.25</v>
      </c>
      <c r="G180">
        <v>3.2195999999999998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0.46581406787997909</v>
      </c>
      <c r="Q180">
        <f t="shared" ref="Q180" si="876">F180*P180</f>
        <v>2829717.1681013205</v>
      </c>
      <c r="R180">
        <f t="shared" ref="R180" si="877">R181+Q180</f>
        <v>376495951.66971189</v>
      </c>
      <c r="S180">
        <f t="shared" ref="S180" si="878">R180/100000</f>
        <v>3764.9595166971189</v>
      </c>
      <c r="T180">
        <f t="shared" ref="T180" si="879">S180/1000</f>
        <v>3.764959516697119</v>
      </c>
    </row>
    <row r="181" spans="1:20" x14ac:dyDescent="0.25">
      <c r="A181" s="5">
        <v>44412</v>
      </c>
      <c r="B181">
        <v>3.0571999999999999</v>
      </c>
      <c r="C181">
        <v>3.1899000000000002</v>
      </c>
      <c r="D181">
        <v>2.9931000000000001</v>
      </c>
      <c r="E181">
        <v>3.1768999999999998</v>
      </c>
      <c r="F181">
        <v>3094495.66</v>
      </c>
      <c r="G181">
        <v>3.1768999999999998</v>
      </c>
      <c r="L181" t="s">
        <v>7</v>
      </c>
      <c r="M181" t="s">
        <v>8</v>
      </c>
      <c r="N181" t="s">
        <v>8</v>
      </c>
      <c r="P181">
        <f t="shared" ref="P181" si="880">IF(C181=D181,0,((E181-D181)-(C181-E181))/(C181-D181))</f>
        <v>0.86788617886178521</v>
      </c>
      <c r="Q181">
        <f t="shared" ref="Q181" si="881">F181*P181</f>
        <v>2685670.0138617782</v>
      </c>
      <c r="R181">
        <f t="shared" ref="R181" si="882">R182+Q181</f>
        <v>373666234.50161058</v>
      </c>
      <c r="S181">
        <f t="shared" ref="S181" si="883">R181/100000</f>
        <v>3736.662345016106</v>
      </c>
      <c r="T181">
        <f t="shared" ref="T181" si="884">S181/1000</f>
        <v>3.7366623450161058</v>
      </c>
    </row>
    <row r="182" spans="1:20" x14ac:dyDescent="0.25">
      <c r="A182" s="5">
        <v>44411</v>
      </c>
      <c r="B182">
        <v>3.1265999999999998</v>
      </c>
      <c r="C182">
        <v>3.2065000000000001</v>
      </c>
      <c r="D182">
        <v>2.9723999999999999</v>
      </c>
      <c r="E182">
        <v>3.0547</v>
      </c>
      <c r="F182">
        <v>5346797.03</v>
      </c>
      <c r="G182">
        <v>3.0547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-0.29688167449807801</v>
      </c>
      <c r="Q182">
        <f t="shared" ref="Q182" si="886">F182*P182</f>
        <v>-1587366.0554677504</v>
      </c>
      <c r="R182">
        <f t="shared" ref="R182" si="887">R183+Q182</f>
        <v>370980564.4877488</v>
      </c>
      <c r="S182">
        <f t="shared" ref="S182" si="888">R182/100000</f>
        <v>3709.8056448774878</v>
      </c>
      <c r="T182">
        <f t="shared" ref="T182" si="889">S182/1000</f>
        <v>3.7098056448774877</v>
      </c>
    </row>
    <row r="183" spans="1:20" x14ac:dyDescent="0.25">
      <c r="A183" s="5">
        <v>44410</v>
      </c>
      <c r="B183">
        <v>2.9489999999999998</v>
      </c>
      <c r="C183">
        <v>3.3127</v>
      </c>
      <c r="D183">
        <v>2.8862000000000001</v>
      </c>
      <c r="E183">
        <v>3.125</v>
      </c>
      <c r="F183">
        <v>8863482.9299999997</v>
      </c>
      <c r="G183">
        <v>3.125</v>
      </c>
      <c r="L183" t="s">
        <v>8</v>
      </c>
      <c r="M183" t="s">
        <v>8</v>
      </c>
      <c r="N183" t="s">
        <v>8</v>
      </c>
      <c r="P183">
        <f t="shared" ref="P183" si="890">IF(C183=D183,0,((E183-D183)-(C183-E183))/(C183-D183))</f>
        <v>0.11981242672919094</v>
      </c>
      <c r="Q183">
        <f t="shared" ref="Q183" si="891">F183*P183</f>
        <v>1061955.3991160595</v>
      </c>
      <c r="R183">
        <f t="shared" ref="R183" si="892">R184+Q183</f>
        <v>372567930.54321653</v>
      </c>
      <c r="S183">
        <f t="shared" ref="S183" si="893">R183/100000</f>
        <v>3725.6793054321652</v>
      </c>
      <c r="T183">
        <f t="shared" ref="T183" si="894">S183/1000</f>
        <v>3.7256793054321653</v>
      </c>
    </row>
    <row r="184" spans="1:20" x14ac:dyDescent="0.25">
      <c r="A184" s="5">
        <v>44409</v>
      </c>
      <c r="B184">
        <v>3.0362</v>
      </c>
      <c r="C184">
        <v>3.1808000000000001</v>
      </c>
      <c r="D184">
        <v>2.9</v>
      </c>
      <c r="E184">
        <v>2.9504999999999999</v>
      </c>
      <c r="F184">
        <v>5994904.6799999997</v>
      </c>
      <c r="G184">
        <v>2.9504999999999999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-0.64031339031339063</v>
      </c>
      <c r="Q184">
        <f t="shared" ref="Q184" si="896">F184*P184</f>
        <v>-3838617.740256412</v>
      </c>
      <c r="R184">
        <f t="shared" ref="R184" si="897">R185+Q184</f>
        <v>371505975.14410049</v>
      </c>
      <c r="S184">
        <f t="shared" ref="S184" si="898">R184/100000</f>
        <v>3715.0597514410047</v>
      </c>
      <c r="T184">
        <f t="shared" ref="T184" si="899">S184/1000</f>
        <v>3.7150597514410046</v>
      </c>
    </row>
    <row r="185" spans="1:20" x14ac:dyDescent="0.25">
      <c r="A185" s="5">
        <v>44408</v>
      </c>
      <c r="B185">
        <v>2.9670000000000001</v>
      </c>
      <c r="C185">
        <v>3.1052</v>
      </c>
      <c r="D185">
        <v>2.9068999999999998</v>
      </c>
      <c r="E185">
        <v>3.0354999999999999</v>
      </c>
      <c r="F185">
        <v>4706904.62</v>
      </c>
      <c r="G185">
        <v>3.0354999999999999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0.29702471003529962</v>
      </c>
      <c r="Q185">
        <f t="shared" ref="Q185" si="901">F185*P185</f>
        <v>1398066.9799193123</v>
      </c>
      <c r="R185">
        <f t="shared" ref="R185" si="902">R186+Q185</f>
        <v>375344592.88435692</v>
      </c>
      <c r="S185">
        <f t="shared" ref="S185" si="903">R185/100000</f>
        <v>3753.4459288435692</v>
      </c>
      <c r="T185">
        <f t="shared" ref="T185" si="904">S185/1000</f>
        <v>3.7534459288435693</v>
      </c>
    </row>
    <row r="186" spans="1:20" x14ac:dyDescent="0.25">
      <c r="A186" s="5">
        <v>44407</v>
      </c>
      <c r="B186">
        <v>2.8512</v>
      </c>
      <c r="C186">
        <v>2.97</v>
      </c>
      <c r="D186">
        <v>2.762</v>
      </c>
      <c r="E186">
        <v>2.9670000000000001</v>
      </c>
      <c r="F186">
        <v>4001550.43</v>
      </c>
      <c r="G186">
        <v>2.9670000000000001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0.97115384615384504</v>
      </c>
      <c r="Q186">
        <f t="shared" ref="Q186" si="906">F186*P186</f>
        <v>3886121.0906730727</v>
      </c>
      <c r="R186">
        <f t="shared" ref="R186" si="907">R187+Q186</f>
        <v>373946525.9044376</v>
      </c>
      <c r="S186">
        <f t="shared" ref="S186" si="908">R186/100000</f>
        <v>3739.4652590443761</v>
      </c>
      <c r="T186">
        <f t="shared" ref="T186" si="909">S186/1000</f>
        <v>3.7394652590443762</v>
      </c>
    </row>
    <row r="187" spans="1:20" x14ac:dyDescent="0.25">
      <c r="A187" s="5">
        <v>44406</v>
      </c>
      <c r="B187">
        <v>2.8108</v>
      </c>
      <c r="C187">
        <v>2.8660999999999999</v>
      </c>
      <c r="D187">
        <v>2.7363</v>
      </c>
      <c r="E187">
        <v>2.8509000000000002</v>
      </c>
      <c r="F187">
        <v>2975922.84</v>
      </c>
      <c r="G187">
        <v>2.8509000000000002</v>
      </c>
      <c r="L187" t="s">
        <v>7</v>
      </c>
      <c r="M187" t="s">
        <v>8</v>
      </c>
      <c r="N187" t="s">
        <v>8</v>
      </c>
      <c r="P187">
        <f t="shared" ref="P187" si="910">IF(C187=D187,0,((E187-D187)-(C187-E187))/(C187-D187))</f>
        <v>0.76579352850539806</v>
      </c>
      <c r="Q187">
        <f t="shared" ref="Q187" si="911">F187*P187</f>
        <v>2278942.4522034051</v>
      </c>
      <c r="R187">
        <f t="shared" ref="R187" si="912">R188+Q187</f>
        <v>370060404.81376451</v>
      </c>
      <c r="S187">
        <f t="shared" ref="S187" si="913">R187/100000</f>
        <v>3700.6040481376453</v>
      </c>
      <c r="T187">
        <f t="shared" ref="T187" si="914">S187/1000</f>
        <v>3.7006040481376452</v>
      </c>
    </row>
    <row r="188" spans="1:20" x14ac:dyDescent="0.25">
      <c r="A188" s="5">
        <v>44405</v>
      </c>
      <c r="B188">
        <v>2.8616000000000001</v>
      </c>
      <c r="C188">
        <v>2.9011999999999998</v>
      </c>
      <c r="D188">
        <v>2.7574999999999998</v>
      </c>
      <c r="E188">
        <v>2.8132999999999999</v>
      </c>
      <c r="F188">
        <v>4190241.65</v>
      </c>
      <c r="G188">
        <v>2.8132999999999999</v>
      </c>
      <c r="L188" t="s">
        <v>7</v>
      </c>
      <c r="M188" t="s">
        <v>8</v>
      </c>
      <c r="N188" t="s">
        <v>8</v>
      </c>
      <c r="P188">
        <f t="shared" ref="P188" si="915">IF(C188=D188,0,((E188-D188)-(C188-E188))/(C188-D188))</f>
        <v>-0.22338204592901745</v>
      </c>
      <c r="Q188">
        <f t="shared" ref="Q188" si="916">F188*P188</f>
        <v>-936024.75271398178</v>
      </c>
      <c r="R188">
        <f t="shared" ref="R188" si="917">R189+Q188</f>
        <v>367781462.36156112</v>
      </c>
      <c r="S188">
        <f t="shared" ref="S188" si="918">R188/100000</f>
        <v>3677.8146236156113</v>
      </c>
      <c r="T188">
        <f t="shared" ref="T188" si="919">S188/1000</f>
        <v>3.6778146236156113</v>
      </c>
    </row>
    <row r="189" spans="1:20" x14ac:dyDescent="0.25">
      <c r="A189" s="5">
        <v>44404</v>
      </c>
      <c r="B189">
        <v>2.8393000000000002</v>
      </c>
      <c r="C189">
        <v>2.9297</v>
      </c>
      <c r="D189">
        <v>2.74</v>
      </c>
      <c r="E189">
        <v>2.8622999999999998</v>
      </c>
      <c r="F189">
        <v>5145738.38</v>
      </c>
      <c r="G189">
        <v>2.8622999999999998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0.28940432261465249</v>
      </c>
      <c r="Q189">
        <f t="shared" ref="Q189" si="921">F189*P189</f>
        <v>1489198.9302161192</v>
      </c>
      <c r="R189">
        <f t="shared" ref="R189" si="922">R190+Q189</f>
        <v>368717487.1142751</v>
      </c>
      <c r="S189">
        <f t="shared" ref="S189" si="923">R189/100000</f>
        <v>3687.1748711427508</v>
      </c>
      <c r="T189">
        <f t="shared" ref="T189" si="924">S189/1000</f>
        <v>3.687174871142751</v>
      </c>
    </row>
    <row r="190" spans="1:20" x14ac:dyDescent="0.25">
      <c r="A190" s="5">
        <v>44403</v>
      </c>
      <c r="B190">
        <v>2.8894000000000002</v>
      </c>
      <c r="C190">
        <v>3.1173999999999999</v>
      </c>
      <c r="D190">
        <v>2.8229000000000002</v>
      </c>
      <c r="E190">
        <v>2.8374999999999999</v>
      </c>
      <c r="F190">
        <v>9654469.5</v>
      </c>
      <c r="G190">
        <v>2.8374999999999999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-0.90084889643463673</v>
      </c>
      <c r="Q190">
        <f t="shared" ref="Q190" si="926">F190*P190</f>
        <v>-8697218.1947368588</v>
      </c>
      <c r="R190">
        <f t="shared" ref="R190" si="927">R191+Q190</f>
        <v>367228288.18405896</v>
      </c>
      <c r="S190">
        <f t="shared" ref="S190" si="928">R190/100000</f>
        <v>3672.2828818405897</v>
      </c>
      <c r="T190">
        <f t="shared" ref="T190" si="929">S190/1000</f>
        <v>3.6722828818405895</v>
      </c>
    </row>
    <row r="191" spans="1:20" x14ac:dyDescent="0.25">
      <c r="A191" s="5">
        <v>44402</v>
      </c>
      <c r="B191">
        <v>2.8170999999999999</v>
      </c>
      <c r="C191">
        <v>2.9064000000000001</v>
      </c>
      <c r="D191">
        <v>2.7176999999999998</v>
      </c>
      <c r="E191">
        <v>2.8919000000000001</v>
      </c>
      <c r="F191">
        <v>4821090.34</v>
      </c>
      <c r="G191">
        <v>2.8919000000000001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0.84631690514043523</v>
      </c>
      <c r="Q191">
        <f t="shared" ref="Q191" si="931">F191*P191</f>
        <v>4080170.2559512486</v>
      </c>
      <c r="R191">
        <f t="shared" ref="R191" si="932">R192+Q191</f>
        <v>375925506.3787958</v>
      </c>
      <c r="S191">
        <f t="shared" ref="S191" si="933">R191/100000</f>
        <v>3759.2550637879581</v>
      </c>
      <c r="T191">
        <f t="shared" ref="T191:T197" si="934">S191/1000</f>
        <v>3.759255063787958</v>
      </c>
    </row>
    <row r="192" spans="1:20" x14ac:dyDescent="0.25">
      <c r="A192" s="5">
        <v>44401</v>
      </c>
      <c r="B192">
        <v>2.6882999999999999</v>
      </c>
      <c r="C192">
        <v>2.8208000000000002</v>
      </c>
      <c r="D192">
        <v>2.6475</v>
      </c>
      <c r="E192">
        <v>2.8169</v>
      </c>
      <c r="F192">
        <v>5273691.16</v>
      </c>
      <c r="G192">
        <v>2.8169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0.95499134448932221</v>
      </c>
      <c r="Q192">
        <f t="shared" ref="Q192" si="936">F192*P192</f>
        <v>5036329.4113098532</v>
      </c>
      <c r="R192">
        <f t="shared" ref="R192" si="937">R193+Q192</f>
        <v>371845336.12284458</v>
      </c>
      <c r="S192">
        <f t="shared" ref="S192" si="938">R192/100000</f>
        <v>3718.4533612284458</v>
      </c>
      <c r="T192">
        <f t="shared" si="934"/>
        <v>3.7184533612284456</v>
      </c>
    </row>
    <row r="193" spans="1:20" x14ac:dyDescent="0.25">
      <c r="A193" s="5">
        <v>44400</v>
      </c>
      <c r="B193">
        <v>2.5003000000000002</v>
      </c>
      <c r="C193">
        <v>2.6932999999999998</v>
      </c>
      <c r="D193">
        <v>2.4950999999999999</v>
      </c>
      <c r="E193">
        <v>2.6852</v>
      </c>
      <c r="F193">
        <v>4661222.26</v>
      </c>
      <c r="G193">
        <v>2.6852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0.91826437941473482</v>
      </c>
      <c r="Q193">
        <f t="shared" ref="Q193" si="940">F193*P193</f>
        <v>4280234.3658930473</v>
      </c>
      <c r="R193">
        <f t="shared" ref="R193" si="941">R194+Q193</f>
        <v>366809006.71153474</v>
      </c>
      <c r="S193">
        <f t="shared" ref="S193" si="942">R193/100000</f>
        <v>3668.0900671153472</v>
      </c>
      <c r="T193">
        <f t="shared" si="934"/>
        <v>3.6680900671153474</v>
      </c>
    </row>
    <row r="194" spans="1:20" x14ac:dyDescent="0.25">
      <c r="A194" s="5">
        <v>44399</v>
      </c>
      <c r="B194">
        <v>2.3976000000000002</v>
      </c>
      <c r="C194">
        <v>2.5097</v>
      </c>
      <c r="D194">
        <v>2.3334999999999999</v>
      </c>
      <c r="E194">
        <v>2.5013000000000001</v>
      </c>
      <c r="F194">
        <v>3564101.93</v>
      </c>
      <c r="G194">
        <v>2.5013000000000001</v>
      </c>
      <c r="L194" t="s">
        <v>8</v>
      </c>
      <c r="M194" t="s">
        <v>7</v>
      </c>
      <c r="N194" t="s">
        <v>7</v>
      </c>
      <c r="P194">
        <f t="shared" ref="P194" si="943">IF(C194=D194,0,((E194-D194)-(C194-E194))/(C194-D194))</f>
        <v>0.90465380249716276</v>
      </c>
      <c r="Q194">
        <f t="shared" ref="Q194" si="944">F194*P194</f>
        <v>3224278.3634619769</v>
      </c>
      <c r="R194">
        <f t="shared" ref="R194" si="945">R195+Q194</f>
        <v>362528772.34564167</v>
      </c>
      <c r="S194">
        <f t="shared" ref="S194" si="946">R194/100000</f>
        <v>3625.2877234564166</v>
      </c>
      <c r="T194">
        <f t="shared" si="934"/>
        <v>3.6252877234564167</v>
      </c>
    </row>
    <row r="195" spans="1:20" x14ac:dyDescent="0.25">
      <c r="A195" s="5">
        <v>44398</v>
      </c>
      <c r="B195">
        <v>2.1537000000000002</v>
      </c>
      <c r="C195">
        <v>2.4405999999999999</v>
      </c>
      <c r="D195">
        <v>2.1027999999999998</v>
      </c>
      <c r="E195">
        <v>2.3976000000000002</v>
      </c>
      <c r="F195">
        <v>4843999.6900000004</v>
      </c>
      <c r="G195">
        <v>2.3976000000000002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0.74541148608644348</v>
      </c>
      <c r="Q195">
        <f t="shared" ref="Q195" si="948">F195*P195</f>
        <v>3610773.0075251716</v>
      </c>
      <c r="R195">
        <f t="shared" ref="R195" si="949">R196+Q195</f>
        <v>359304493.9821797</v>
      </c>
      <c r="S195">
        <f t="shared" ref="S195" si="950">R195/100000</f>
        <v>3593.044939821797</v>
      </c>
      <c r="T195">
        <f t="shared" si="934"/>
        <v>3.5930449398217972</v>
      </c>
    </row>
    <row r="196" spans="1:20" x14ac:dyDescent="0.25">
      <c r="A196" s="5">
        <v>44397</v>
      </c>
      <c r="B196">
        <v>2.2887</v>
      </c>
      <c r="C196">
        <v>2.3355999999999999</v>
      </c>
      <c r="D196">
        <v>2.0989</v>
      </c>
      <c r="E196">
        <v>2.1514000000000002</v>
      </c>
      <c r="F196">
        <v>5374059.71</v>
      </c>
      <c r="G196">
        <v>2.1514000000000002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-0.5564005069708472</v>
      </c>
      <c r="Q196">
        <f t="shared" ref="Q196" si="952">F196*P196</f>
        <v>-2990129.5471356041</v>
      </c>
      <c r="R196">
        <f t="shared" ref="R196" si="953">R197+Q196</f>
        <v>355693720.97465456</v>
      </c>
      <c r="S196">
        <f t="shared" ref="S196" si="954">R196/100000</f>
        <v>3556.9372097465457</v>
      </c>
      <c r="T196">
        <f t="shared" si="934"/>
        <v>3.5569372097465459</v>
      </c>
    </row>
    <row r="197" spans="1:20" x14ac:dyDescent="0.25">
      <c r="A197" s="5">
        <v>44396</v>
      </c>
      <c r="B197">
        <v>2.4276</v>
      </c>
      <c r="C197">
        <v>2.4514</v>
      </c>
      <c r="D197">
        <v>2.2618</v>
      </c>
      <c r="E197">
        <v>2.2871999999999999</v>
      </c>
      <c r="F197">
        <v>4038299.93</v>
      </c>
      <c r="G197">
        <v>0</v>
      </c>
      <c r="L197" t="s">
        <v>7</v>
      </c>
      <c r="M197" t="s">
        <v>7</v>
      </c>
      <c r="N197" t="s">
        <v>8</v>
      </c>
      <c r="P197">
        <f t="shared" ref="P197" si="955">IF(C197=D197,0,((E197-D197)-(C197-E197))/(C197-D197))</f>
        <v>-0.73206751054852459</v>
      </c>
      <c r="Q197">
        <f t="shared" ref="Q197" si="956">F197*P197</f>
        <v>-2956308.1766033811</v>
      </c>
      <c r="R197">
        <f t="shared" ref="R197" si="957">R198+Q197</f>
        <v>358683850.52179015</v>
      </c>
      <c r="S197">
        <f t="shared" ref="S197" si="958">R197/100000</f>
        <v>3586.8385052179015</v>
      </c>
      <c r="T197">
        <f t="shared" si="934"/>
        <v>3.5868385052179015</v>
      </c>
    </row>
    <row r="198" spans="1:20" x14ac:dyDescent="0.25">
      <c r="A198" s="5">
        <v>44395</v>
      </c>
      <c r="B198">
        <v>2.407</v>
      </c>
      <c r="C198">
        <v>2.4944000000000002</v>
      </c>
      <c r="D198">
        <v>2.3811</v>
      </c>
      <c r="E198">
        <v>2.4291</v>
      </c>
      <c r="F198">
        <v>2921612.38</v>
      </c>
      <c r="G198">
        <v>0</v>
      </c>
      <c r="L198" t="s">
        <v>7</v>
      </c>
      <c r="M198" t="s">
        <v>7</v>
      </c>
      <c r="N198" t="s">
        <v>8</v>
      </c>
      <c r="P198">
        <f t="shared" ref="P198:P261" si="959">IF(C198=D198,0,((E198-D198)-(C198-E198))/(C198-D198))</f>
        <v>-0.15269196822594938</v>
      </c>
      <c r="Q198">
        <f t="shared" ref="Q198:Q261" si="960">F198*P198</f>
        <v>-446106.74469550035</v>
      </c>
      <c r="R198">
        <f t="shared" ref="R198:R261" si="961">R199+Q198</f>
        <v>361640158.69839352</v>
      </c>
      <c r="S198">
        <f t="shared" ref="S198:S261" si="962">R198/100000</f>
        <v>3616.4015869839354</v>
      </c>
      <c r="T198">
        <f t="shared" ref="T198:T261" si="963">S198/1000</f>
        <v>3.6164015869839354</v>
      </c>
    </row>
    <row r="199" spans="1:20" x14ac:dyDescent="0.25">
      <c r="A199" s="5">
        <v>44394</v>
      </c>
      <c r="B199">
        <v>2.4089</v>
      </c>
      <c r="C199">
        <v>2.4838</v>
      </c>
      <c r="D199">
        <v>2.3694000000000002</v>
      </c>
      <c r="E199">
        <v>2.4049</v>
      </c>
      <c r="F199">
        <v>3728017.42</v>
      </c>
      <c r="G199">
        <v>0</v>
      </c>
      <c r="L199" t="s">
        <v>7</v>
      </c>
      <c r="M199" t="s">
        <v>7</v>
      </c>
      <c r="N199" t="s">
        <v>8</v>
      </c>
      <c r="P199">
        <f t="shared" si="959"/>
        <v>-0.37937062937063082</v>
      </c>
      <c r="Q199">
        <f t="shared" si="960"/>
        <v>-1414300.3149300753</v>
      </c>
      <c r="R199">
        <f t="shared" si="961"/>
        <v>362086265.44308901</v>
      </c>
      <c r="S199">
        <f t="shared" si="962"/>
        <v>3620.86265443089</v>
      </c>
      <c r="T199">
        <f t="shared" si="963"/>
        <v>3.6208626544308902</v>
      </c>
    </row>
    <row r="200" spans="1:20" x14ac:dyDescent="0.25">
      <c r="A200" s="5">
        <v>44393</v>
      </c>
      <c r="B200">
        <v>2.5775000000000001</v>
      </c>
      <c r="C200">
        <v>2.6433</v>
      </c>
      <c r="D200">
        <v>2.4</v>
      </c>
      <c r="E200">
        <v>2.4087999999999998</v>
      </c>
      <c r="F200">
        <v>4531095.3600000003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-0.92766132346896901</v>
      </c>
      <c r="Q200">
        <f t="shared" si="960"/>
        <v>-4203321.9184217053</v>
      </c>
      <c r="R200">
        <f t="shared" si="961"/>
        <v>363500565.75801909</v>
      </c>
      <c r="S200">
        <f t="shared" si="962"/>
        <v>3635.0056575801909</v>
      </c>
      <c r="T200">
        <f t="shared" si="963"/>
        <v>3.6350056575801908</v>
      </c>
    </row>
    <row r="201" spans="1:20" x14ac:dyDescent="0.25">
      <c r="A201" s="5">
        <v>44392</v>
      </c>
      <c r="B201">
        <v>2.7153999999999998</v>
      </c>
      <c r="C201">
        <v>2.7511999999999999</v>
      </c>
      <c r="D201">
        <v>2.5219</v>
      </c>
      <c r="E201">
        <v>2.5760999999999998</v>
      </c>
      <c r="F201">
        <v>3237208.82</v>
      </c>
      <c r="G201">
        <v>0</v>
      </c>
      <c r="L201" t="s">
        <v>8</v>
      </c>
      <c r="M201" t="s">
        <v>7</v>
      </c>
      <c r="N201" t="s">
        <v>8</v>
      </c>
      <c r="P201">
        <f t="shared" si="959"/>
        <v>-0.52725686873092159</v>
      </c>
      <c r="Q201">
        <f t="shared" si="960"/>
        <v>-1706840.5858613215</v>
      </c>
      <c r="R201">
        <f t="shared" si="961"/>
        <v>367703887.67644078</v>
      </c>
      <c r="S201">
        <f t="shared" si="962"/>
        <v>3677.0388767644076</v>
      </c>
      <c r="T201">
        <f t="shared" si="963"/>
        <v>3.6770388767644078</v>
      </c>
    </row>
    <row r="202" spans="1:20" x14ac:dyDescent="0.25">
      <c r="A202" s="5">
        <v>44391</v>
      </c>
      <c r="B202">
        <v>2.8105000000000002</v>
      </c>
      <c r="C202">
        <v>2.8207</v>
      </c>
      <c r="D202">
        <v>2.5345</v>
      </c>
      <c r="E202">
        <v>2.7160000000000002</v>
      </c>
      <c r="F202">
        <v>5380495.7400000002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0.26834381551362829</v>
      </c>
      <c r="Q202">
        <f t="shared" si="960"/>
        <v>1443822.756226423</v>
      </c>
      <c r="R202">
        <f t="shared" si="961"/>
        <v>369410728.2623021</v>
      </c>
      <c r="S202">
        <f t="shared" si="962"/>
        <v>3694.1072826230211</v>
      </c>
      <c r="T202">
        <f t="shared" si="963"/>
        <v>3.6941072826230212</v>
      </c>
    </row>
    <row r="203" spans="1:20" x14ac:dyDescent="0.25">
      <c r="A203" s="5">
        <v>44390</v>
      </c>
      <c r="B203">
        <v>2.8069000000000002</v>
      </c>
      <c r="C203">
        <v>2.9186999999999999</v>
      </c>
      <c r="D203">
        <v>2.7648999999999999</v>
      </c>
      <c r="E203">
        <v>2.8094000000000001</v>
      </c>
      <c r="F203">
        <v>4705804.92</v>
      </c>
      <c r="G203">
        <v>0</v>
      </c>
      <c r="L203" t="s">
        <v>8</v>
      </c>
      <c r="M203" t="s">
        <v>7</v>
      </c>
      <c r="N203" t="s">
        <v>8</v>
      </c>
      <c r="P203">
        <f t="shared" si="959"/>
        <v>-0.42132639791937287</v>
      </c>
      <c r="Q203">
        <f t="shared" si="960"/>
        <v>-1982679.8362548626</v>
      </c>
      <c r="R203">
        <f t="shared" si="961"/>
        <v>367966905.50607568</v>
      </c>
      <c r="S203">
        <f t="shared" si="962"/>
        <v>3679.6690550607568</v>
      </c>
      <c r="T203">
        <f t="shared" si="963"/>
        <v>3.6796690550607569</v>
      </c>
    </row>
    <row r="204" spans="1:20" x14ac:dyDescent="0.25">
      <c r="A204" s="5">
        <v>44389</v>
      </c>
      <c r="B204">
        <v>2.8479999999999999</v>
      </c>
      <c r="C204">
        <v>2.9514999999999998</v>
      </c>
      <c r="D204">
        <v>2.7593000000000001</v>
      </c>
      <c r="E204">
        <v>2.8066</v>
      </c>
      <c r="F204">
        <v>3743404.79</v>
      </c>
      <c r="G204">
        <v>0</v>
      </c>
      <c r="L204" t="s">
        <v>8</v>
      </c>
      <c r="M204" t="s">
        <v>7</v>
      </c>
      <c r="N204" t="s">
        <v>8</v>
      </c>
      <c r="P204">
        <f t="shared" si="959"/>
        <v>-0.50780437044745086</v>
      </c>
      <c r="Q204">
        <f t="shared" si="960"/>
        <v>-1900917.312715922</v>
      </c>
      <c r="R204">
        <f t="shared" si="961"/>
        <v>369949585.34233052</v>
      </c>
      <c r="S204">
        <f t="shared" si="962"/>
        <v>3699.4958534233051</v>
      </c>
      <c r="T204">
        <f t="shared" si="963"/>
        <v>3.6994958534233051</v>
      </c>
    </row>
    <row r="205" spans="1:20" x14ac:dyDescent="0.25">
      <c r="A205" s="5">
        <v>44388</v>
      </c>
      <c r="B205">
        <v>2.786</v>
      </c>
      <c r="C205">
        <v>2.8913000000000002</v>
      </c>
      <c r="D205">
        <v>2.7320000000000002</v>
      </c>
      <c r="E205">
        <v>2.8441000000000001</v>
      </c>
      <c r="F205">
        <v>3049014.09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0.40740740740740577</v>
      </c>
      <c r="Q205">
        <f t="shared" si="960"/>
        <v>1242190.9255555505</v>
      </c>
      <c r="R205">
        <f t="shared" si="961"/>
        <v>371850502.65504646</v>
      </c>
      <c r="S205">
        <f t="shared" si="962"/>
        <v>3718.5050265504647</v>
      </c>
      <c r="T205">
        <f t="shared" si="963"/>
        <v>3.7185050265504644</v>
      </c>
    </row>
    <row r="206" spans="1:20" x14ac:dyDescent="0.25">
      <c r="A206" s="5">
        <v>44387</v>
      </c>
      <c r="B206">
        <v>2.7503000000000002</v>
      </c>
      <c r="C206">
        <v>2.8401000000000001</v>
      </c>
      <c r="D206">
        <v>2.6939000000000002</v>
      </c>
      <c r="E206">
        <v>2.7831999999999999</v>
      </c>
      <c r="F206">
        <v>2481562.75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0.22161422708618034</v>
      </c>
      <c r="Q206">
        <f t="shared" si="960"/>
        <v>549949.61080710613</v>
      </c>
      <c r="R206">
        <f t="shared" si="961"/>
        <v>370608311.72949094</v>
      </c>
      <c r="S206">
        <f t="shared" si="962"/>
        <v>3706.0831172949092</v>
      </c>
      <c r="T206">
        <f t="shared" si="963"/>
        <v>3.7060831172949094</v>
      </c>
    </row>
    <row r="207" spans="1:20" x14ac:dyDescent="0.25">
      <c r="A207" s="5">
        <v>44386</v>
      </c>
      <c r="B207">
        <v>2.6934999999999998</v>
      </c>
      <c r="C207">
        <v>2.8</v>
      </c>
      <c r="D207">
        <v>2.5779000000000001</v>
      </c>
      <c r="E207">
        <v>2.7503000000000002</v>
      </c>
      <c r="F207">
        <v>2763472.09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0.55245384961729227</v>
      </c>
      <c r="Q207">
        <f t="shared" si="960"/>
        <v>1526690.7944304442</v>
      </c>
      <c r="R207">
        <f t="shared" si="961"/>
        <v>370058362.11868382</v>
      </c>
      <c r="S207">
        <f t="shared" si="962"/>
        <v>3700.5836211868382</v>
      </c>
      <c r="T207">
        <f t="shared" si="963"/>
        <v>3.7005836211868384</v>
      </c>
    </row>
    <row r="208" spans="1:20" x14ac:dyDescent="0.25">
      <c r="A208" s="5">
        <v>44385</v>
      </c>
      <c r="B208">
        <v>2.875</v>
      </c>
      <c r="C208">
        <v>2.8999000000000001</v>
      </c>
      <c r="D208">
        <v>2.6172</v>
      </c>
      <c r="E208">
        <v>2.6916000000000002</v>
      </c>
      <c r="F208">
        <v>4046666.03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-0.47364697559249946</v>
      </c>
      <c r="Q208">
        <f t="shared" si="960"/>
        <v>-1916691.1263424065</v>
      </c>
      <c r="R208">
        <f t="shared" si="961"/>
        <v>368531671.32425338</v>
      </c>
      <c r="S208">
        <f t="shared" si="962"/>
        <v>3685.3167132425338</v>
      </c>
      <c r="T208">
        <f t="shared" si="963"/>
        <v>3.6853167132425337</v>
      </c>
    </row>
    <row r="209" spans="1:20" x14ac:dyDescent="0.25">
      <c r="A209" s="5">
        <v>44384</v>
      </c>
      <c r="B209">
        <v>2.8618999999999999</v>
      </c>
      <c r="C209">
        <v>2.9670999999999998</v>
      </c>
      <c r="D209">
        <v>2.8140999999999998</v>
      </c>
      <c r="E209">
        <v>2.8780000000000001</v>
      </c>
      <c r="F209">
        <v>3891847.4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-0.16470588235293751</v>
      </c>
      <c r="Q209">
        <f t="shared" si="960"/>
        <v>-641010.15999998571</v>
      </c>
      <c r="R209">
        <f t="shared" si="961"/>
        <v>370448362.4505958</v>
      </c>
      <c r="S209">
        <f t="shared" si="962"/>
        <v>3704.4836245059578</v>
      </c>
      <c r="T209">
        <f t="shared" si="963"/>
        <v>3.7044836245059578</v>
      </c>
    </row>
    <row r="210" spans="1:20" x14ac:dyDescent="0.25">
      <c r="A210" s="5">
        <v>44383</v>
      </c>
      <c r="B210">
        <v>2.8290999999999999</v>
      </c>
      <c r="C210">
        <v>2.9838</v>
      </c>
      <c r="D210">
        <v>2.8018000000000001</v>
      </c>
      <c r="E210">
        <v>2.8647</v>
      </c>
      <c r="F210">
        <v>3371905.85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-0.30879120879120903</v>
      </c>
      <c r="Q210">
        <f t="shared" si="960"/>
        <v>-1041214.8833516492</v>
      </c>
      <c r="R210">
        <f t="shared" si="961"/>
        <v>371089372.61059576</v>
      </c>
      <c r="S210">
        <f t="shared" si="962"/>
        <v>3710.8937261059577</v>
      </c>
      <c r="T210">
        <f t="shared" si="963"/>
        <v>3.7108937261059576</v>
      </c>
    </row>
    <row r="211" spans="1:20" x14ac:dyDescent="0.25">
      <c r="A211" s="5">
        <v>44382</v>
      </c>
      <c r="B211">
        <v>3.0392000000000001</v>
      </c>
      <c r="C211">
        <v>3.0392000000000001</v>
      </c>
      <c r="D211">
        <v>2.7913000000000001</v>
      </c>
      <c r="E211">
        <v>2.8290000000000002</v>
      </c>
      <c r="F211">
        <v>4447300.67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-0.69584509883017298</v>
      </c>
      <c r="Q211">
        <f t="shared" si="960"/>
        <v>-3094632.3742436445</v>
      </c>
      <c r="R211">
        <f t="shared" si="961"/>
        <v>372130587.49394739</v>
      </c>
      <c r="S211">
        <f t="shared" si="962"/>
        <v>3721.3058749394741</v>
      </c>
      <c r="T211">
        <f t="shared" si="963"/>
        <v>3.7213058749394738</v>
      </c>
    </row>
    <row r="212" spans="1:20" x14ac:dyDescent="0.25">
      <c r="A212" s="5">
        <v>44381</v>
      </c>
      <c r="B212">
        <v>3.0272999999999999</v>
      </c>
      <c r="C212">
        <v>3.1107999999999998</v>
      </c>
      <c r="D212">
        <v>2.9100999999999999</v>
      </c>
      <c r="E212">
        <v>3.0407999999999999</v>
      </c>
      <c r="F212">
        <v>2404361.88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0.30244145490782381</v>
      </c>
      <c r="Q212">
        <f t="shared" si="960"/>
        <v>727178.70511211047</v>
      </c>
      <c r="R212">
        <f t="shared" si="961"/>
        <v>375225219.868191</v>
      </c>
      <c r="S212">
        <f t="shared" si="962"/>
        <v>3752.2521986819102</v>
      </c>
      <c r="T212">
        <f t="shared" si="963"/>
        <v>3.75225219868191</v>
      </c>
    </row>
    <row r="213" spans="1:20" x14ac:dyDescent="0.25">
      <c r="A213" s="5">
        <v>44380</v>
      </c>
      <c r="B213">
        <v>2.9521000000000002</v>
      </c>
      <c r="C213">
        <v>3.0285000000000002</v>
      </c>
      <c r="D213">
        <v>2.8736000000000002</v>
      </c>
      <c r="E213">
        <v>3.0285000000000002</v>
      </c>
      <c r="F213">
        <v>2010905.16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1</v>
      </c>
      <c r="Q213">
        <f t="shared" si="960"/>
        <v>2010905.16</v>
      </c>
      <c r="R213">
        <f t="shared" si="961"/>
        <v>374498041.1630789</v>
      </c>
      <c r="S213">
        <f t="shared" si="962"/>
        <v>3744.9804116307891</v>
      </c>
      <c r="T213">
        <f t="shared" si="963"/>
        <v>3.744980411630789</v>
      </c>
    </row>
    <row r="214" spans="1:20" x14ac:dyDescent="0.25">
      <c r="A214" s="5">
        <v>44379</v>
      </c>
      <c r="B214">
        <v>2.9419</v>
      </c>
      <c r="C214">
        <v>2.9822000000000002</v>
      </c>
      <c r="D214">
        <v>2.7481</v>
      </c>
      <c r="E214">
        <v>2.9529000000000001</v>
      </c>
      <c r="F214">
        <v>3166121.73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0.74967962409226763</v>
      </c>
      <c r="Q214">
        <f t="shared" si="960"/>
        <v>2373576.9483767599</v>
      </c>
      <c r="R214">
        <f t="shared" si="961"/>
        <v>372487136.00307888</v>
      </c>
      <c r="S214">
        <f t="shared" si="962"/>
        <v>3724.8713600307888</v>
      </c>
      <c r="T214">
        <f t="shared" si="963"/>
        <v>3.7248713600307886</v>
      </c>
    </row>
    <row r="215" spans="1:20" x14ac:dyDescent="0.25">
      <c r="A215" s="5">
        <v>44378</v>
      </c>
      <c r="B215">
        <v>3.0464000000000002</v>
      </c>
      <c r="C215">
        <v>3.0661</v>
      </c>
      <c r="D215">
        <v>2.8367</v>
      </c>
      <c r="E215">
        <v>2.9419</v>
      </c>
      <c r="F215">
        <v>3692539.69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-8.2824760244115628E-2</v>
      </c>
      <c r="Q215">
        <f t="shared" si="960"/>
        <v>-305833.71451613103</v>
      </c>
      <c r="R215">
        <f t="shared" si="961"/>
        <v>370113559.0547021</v>
      </c>
      <c r="S215">
        <f t="shared" si="962"/>
        <v>3701.1355905470209</v>
      </c>
      <c r="T215">
        <f t="shared" si="963"/>
        <v>3.7011355905470209</v>
      </c>
    </row>
    <row r="216" spans="1:20" x14ac:dyDescent="0.25">
      <c r="A216" s="5">
        <v>44377</v>
      </c>
      <c r="B216">
        <v>2.9752000000000001</v>
      </c>
      <c r="C216">
        <v>3.0459999999999998</v>
      </c>
      <c r="D216">
        <v>2.7511000000000001</v>
      </c>
      <c r="E216">
        <v>3.0432000000000001</v>
      </c>
      <c r="F216">
        <v>4565709.5999999996</v>
      </c>
      <c r="G216">
        <v>0</v>
      </c>
      <c r="L216" t="s">
        <v>8</v>
      </c>
      <c r="M216" t="s">
        <v>8</v>
      </c>
      <c r="N216" t="s">
        <v>8</v>
      </c>
      <c r="P216">
        <f t="shared" si="959"/>
        <v>0.98101051203798106</v>
      </c>
      <c r="Q216">
        <f t="shared" si="960"/>
        <v>4479009.1125127254</v>
      </c>
      <c r="R216">
        <f t="shared" si="961"/>
        <v>370419392.76921821</v>
      </c>
      <c r="S216">
        <f t="shared" si="962"/>
        <v>3704.1939276921821</v>
      </c>
      <c r="T216">
        <f t="shared" si="963"/>
        <v>3.7041939276921823</v>
      </c>
    </row>
    <row r="217" spans="1:20" x14ac:dyDescent="0.25">
      <c r="A217" s="5">
        <v>44376</v>
      </c>
      <c r="B217">
        <v>2.7038000000000002</v>
      </c>
      <c r="C217">
        <v>2.9929999999999999</v>
      </c>
      <c r="D217">
        <v>2.6958000000000002</v>
      </c>
      <c r="E217">
        <v>2.9775999999999998</v>
      </c>
      <c r="F217">
        <v>5531031.3099999996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0.89636608344549062</v>
      </c>
      <c r="Q217">
        <f t="shared" si="960"/>
        <v>4957828.8727590805</v>
      </c>
      <c r="R217">
        <f t="shared" si="961"/>
        <v>365940383.6567055</v>
      </c>
      <c r="S217">
        <f t="shared" si="962"/>
        <v>3659.4038365670549</v>
      </c>
      <c r="T217">
        <f t="shared" si="963"/>
        <v>3.6594038365670549</v>
      </c>
    </row>
    <row r="218" spans="1:20" x14ac:dyDescent="0.25">
      <c r="A218" s="5">
        <v>44375</v>
      </c>
      <c r="B218">
        <v>2.6261000000000001</v>
      </c>
      <c r="C218">
        <v>2.7383999999999999</v>
      </c>
      <c r="D218">
        <v>2.5625</v>
      </c>
      <c r="E218">
        <v>2.7057000000000002</v>
      </c>
      <c r="F218">
        <v>2625301.4300000002</v>
      </c>
      <c r="G218">
        <v>0</v>
      </c>
      <c r="L218" t="s">
        <v>8</v>
      </c>
      <c r="M218" t="s">
        <v>7</v>
      </c>
      <c r="N218" t="s">
        <v>8</v>
      </c>
      <c r="P218">
        <f t="shared" si="959"/>
        <v>0.62819783968164022</v>
      </c>
      <c r="Q218">
        <f t="shared" si="960"/>
        <v>1649208.6868391209</v>
      </c>
      <c r="R218">
        <f t="shared" si="961"/>
        <v>360982554.78394639</v>
      </c>
      <c r="S218">
        <f t="shared" si="962"/>
        <v>3609.825547839464</v>
      </c>
      <c r="T218">
        <f t="shared" si="963"/>
        <v>3.6098255478394639</v>
      </c>
    </row>
    <row r="219" spans="1:20" x14ac:dyDescent="0.25">
      <c r="A219" s="5">
        <v>44374</v>
      </c>
      <c r="B219">
        <v>2.5432999999999999</v>
      </c>
      <c r="C219">
        <v>2.63</v>
      </c>
      <c r="D219">
        <v>2.4521000000000002</v>
      </c>
      <c r="E219">
        <v>2.6223999999999998</v>
      </c>
      <c r="F219">
        <v>3401022.56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0.91455874086565414</v>
      </c>
      <c r="Q219">
        <f t="shared" si="960"/>
        <v>3110434.9101292836</v>
      </c>
      <c r="R219">
        <f t="shared" si="961"/>
        <v>359333346.09710729</v>
      </c>
      <c r="S219">
        <f t="shared" si="962"/>
        <v>3593.3334609710728</v>
      </c>
      <c r="T219">
        <f t="shared" si="963"/>
        <v>3.5933334609710728</v>
      </c>
    </row>
    <row r="220" spans="1:20" x14ac:dyDescent="0.25">
      <c r="A220" s="5">
        <v>44373</v>
      </c>
      <c r="B220">
        <v>2.5209999999999999</v>
      </c>
      <c r="C220">
        <v>2.6225000000000001</v>
      </c>
      <c r="D220">
        <v>2.3851</v>
      </c>
      <c r="E220">
        <v>2.5394999999999999</v>
      </c>
      <c r="F220">
        <v>3987792.66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0.30075821398483432</v>
      </c>
      <c r="Q220">
        <f t="shared" si="960"/>
        <v>1199361.3981634318</v>
      </c>
      <c r="R220">
        <f t="shared" si="961"/>
        <v>356222911.18697798</v>
      </c>
      <c r="S220">
        <f t="shared" si="962"/>
        <v>3562.2291118697799</v>
      </c>
      <c r="T220">
        <f t="shared" si="963"/>
        <v>3.56222911186978</v>
      </c>
    </row>
    <row r="221" spans="1:20" x14ac:dyDescent="0.25">
      <c r="A221" s="5">
        <v>44372</v>
      </c>
      <c r="B221">
        <v>2.8321000000000001</v>
      </c>
      <c r="C221">
        <v>2.8820000000000001</v>
      </c>
      <c r="D221">
        <v>2.4830000000000001</v>
      </c>
      <c r="E221">
        <v>2.5225</v>
      </c>
      <c r="F221">
        <v>5812029</v>
      </c>
      <c r="G221">
        <v>0</v>
      </c>
      <c r="L221" t="s">
        <v>8</v>
      </c>
      <c r="M221" t="s">
        <v>8</v>
      </c>
      <c r="N221" t="s">
        <v>8</v>
      </c>
      <c r="P221">
        <f t="shared" si="959"/>
        <v>-0.80200501253132894</v>
      </c>
      <c r="Q221">
        <f t="shared" si="960"/>
        <v>-4661276.3909774469</v>
      </c>
      <c r="R221">
        <f t="shared" si="961"/>
        <v>355023549.78881454</v>
      </c>
      <c r="S221">
        <f t="shared" si="962"/>
        <v>3550.2354978881453</v>
      </c>
      <c r="T221">
        <f t="shared" si="963"/>
        <v>3.5502354978881452</v>
      </c>
    </row>
    <row r="222" spans="1:20" x14ac:dyDescent="0.25">
      <c r="A222" s="5">
        <v>44371</v>
      </c>
      <c r="B222">
        <v>2.6886000000000001</v>
      </c>
      <c r="C222">
        <v>2.85</v>
      </c>
      <c r="D222">
        <v>2.5706000000000002</v>
      </c>
      <c r="E222">
        <v>2.8308</v>
      </c>
      <c r="F222">
        <v>3727231.62</v>
      </c>
      <c r="G222">
        <v>0</v>
      </c>
      <c r="L222" t="s">
        <v>8</v>
      </c>
      <c r="M222" t="s">
        <v>8</v>
      </c>
      <c r="N222" t="s">
        <v>7</v>
      </c>
      <c r="P222">
        <f t="shared" si="959"/>
        <v>0.86256263421617674</v>
      </c>
      <c r="Q222">
        <f t="shared" si="960"/>
        <v>3214970.724481028</v>
      </c>
      <c r="R222">
        <f t="shared" si="961"/>
        <v>359684826.17979199</v>
      </c>
      <c r="S222">
        <f t="shared" si="962"/>
        <v>3596.8482617979198</v>
      </c>
      <c r="T222">
        <f t="shared" si="963"/>
        <v>3.5968482617979198</v>
      </c>
    </row>
    <row r="223" spans="1:20" x14ac:dyDescent="0.25">
      <c r="A223" s="5">
        <v>44370</v>
      </c>
      <c r="B223">
        <v>2.375</v>
      </c>
      <c r="C223">
        <v>2.7896999999999998</v>
      </c>
      <c r="D223">
        <v>2.2774000000000001</v>
      </c>
      <c r="E223">
        <v>2.6886999999999999</v>
      </c>
      <c r="F223">
        <v>6436856.7000000002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0.60569978528206114</v>
      </c>
      <c r="Q223">
        <f t="shared" si="960"/>
        <v>3898802.7210813966</v>
      </c>
      <c r="R223">
        <f t="shared" si="961"/>
        <v>356469855.45531094</v>
      </c>
      <c r="S223">
        <f t="shared" si="962"/>
        <v>3564.6985545531093</v>
      </c>
      <c r="T223">
        <f t="shared" si="963"/>
        <v>3.5646985545531091</v>
      </c>
    </row>
    <row r="224" spans="1:20" x14ac:dyDescent="0.25">
      <c r="A224" s="5">
        <v>44369</v>
      </c>
      <c r="B224">
        <v>2.4861</v>
      </c>
      <c r="C224">
        <v>2.6583000000000001</v>
      </c>
      <c r="D224">
        <v>2.1175000000000002</v>
      </c>
      <c r="E224">
        <v>2.3748999999999998</v>
      </c>
      <c r="F224">
        <v>12562747.59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-4.8076923076924356E-2</v>
      </c>
      <c r="Q224">
        <f t="shared" si="960"/>
        <v>-603978.24951924686</v>
      </c>
      <c r="R224">
        <f t="shared" si="961"/>
        <v>352571052.73422956</v>
      </c>
      <c r="S224">
        <f t="shared" si="962"/>
        <v>3525.7105273422958</v>
      </c>
      <c r="T224">
        <f t="shared" si="963"/>
        <v>3.5257105273422957</v>
      </c>
    </row>
    <row r="225" spans="1:20" x14ac:dyDescent="0.25">
      <c r="A225" s="5">
        <v>44368</v>
      </c>
      <c r="B225">
        <v>3.0756999999999999</v>
      </c>
      <c r="C225">
        <v>3.0996000000000001</v>
      </c>
      <c r="D225">
        <v>2.48</v>
      </c>
      <c r="E225">
        <v>2.4855</v>
      </c>
      <c r="F225">
        <v>7957343.1900000004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-0.98224661071659114</v>
      </c>
      <c r="Q225">
        <f t="shared" si="960"/>
        <v>-7816073.3786862483</v>
      </c>
      <c r="R225">
        <f t="shared" si="961"/>
        <v>353175030.98374879</v>
      </c>
      <c r="S225">
        <f t="shared" si="962"/>
        <v>3531.7503098374877</v>
      </c>
      <c r="T225">
        <f t="shared" si="963"/>
        <v>3.5317503098374878</v>
      </c>
    </row>
    <row r="226" spans="1:20" x14ac:dyDescent="0.25">
      <c r="A226" s="5">
        <v>44367</v>
      </c>
      <c r="B226">
        <v>3.0293000000000001</v>
      </c>
      <c r="C226">
        <v>3.1177000000000001</v>
      </c>
      <c r="D226">
        <v>2.8755000000000002</v>
      </c>
      <c r="E226">
        <v>3.077</v>
      </c>
      <c r="F226">
        <v>3735237.45</v>
      </c>
      <c r="G226">
        <v>0</v>
      </c>
      <c r="L226" t="s">
        <v>7</v>
      </c>
      <c r="M226" t="s">
        <v>7</v>
      </c>
      <c r="N226" t="s">
        <v>8</v>
      </c>
      <c r="P226">
        <f t="shared" si="959"/>
        <v>0.66391412056151788</v>
      </c>
      <c r="Q226">
        <f t="shared" si="960"/>
        <v>2479876.8867051969</v>
      </c>
      <c r="R226">
        <f t="shared" si="961"/>
        <v>360991104.36243504</v>
      </c>
      <c r="S226">
        <f t="shared" si="962"/>
        <v>3609.9110436243504</v>
      </c>
      <c r="T226">
        <f t="shared" si="963"/>
        <v>3.6099110436243502</v>
      </c>
    </row>
    <row r="227" spans="1:20" x14ac:dyDescent="0.25">
      <c r="A227" s="5">
        <v>44366</v>
      </c>
      <c r="B227">
        <v>3.0977000000000001</v>
      </c>
      <c r="C227">
        <v>3.1791999999999998</v>
      </c>
      <c r="D227">
        <v>3.0179999999999998</v>
      </c>
      <c r="E227">
        <v>3.0379999999999998</v>
      </c>
      <c r="F227">
        <v>3325355.02</v>
      </c>
      <c r="G227">
        <v>0</v>
      </c>
      <c r="L227" t="s">
        <v>7</v>
      </c>
      <c r="M227" t="s">
        <v>8</v>
      </c>
      <c r="N227" t="s">
        <v>8</v>
      </c>
      <c r="P227">
        <f t="shared" si="959"/>
        <v>-0.7518610421836226</v>
      </c>
      <c r="Q227">
        <f t="shared" si="960"/>
        <v>-2500204.8909677411</v>
      </c>
      <c r="R227">
        <f t="shared" si="961"/>
        <v>358511227.47572982</v>
      </c>
      <c r="S227">
        <f t="shared" si="962"/>
        <v>3585.1122747572981</v>
      </c>
      <c r="T227">
        <f t="shared" si="963"/>
        <v>3.5851122747572983</v>
      </c>
    </row>
    <row r="228" spans="1:20" x14ac:dyDescent="0.25">
      <c r="A228" s="5">
        <v>44365</v>
      </c>
      <c r="B228">
        <v>3.3730000000000002</v>
      </c>
      <c r="C228">
        <v>3.3852000000000002</v>
      </c>
      <c r="D228">
        <v>2.9927999999999999</v>
      </c>
      <c r="E228">
        <v>3.0975999999999999</v>
      </c>
      <c r="F228">
        <v>6030213.8700000001</v>
      </c>
      <c r="G228">
        <v>0</v>
      </c>
      <c r="L228" t="s">
        <v>7</v>
      </c>
      <c r="M228" t="s">
        <v>8</v>
      </c>
      <c r="N228" t="s">
        <v>8</v>
      </c>
      <c r="P228">
        <f t="shared" si="959"/>
        <v>-0.46585117227319101</v>
      </c>
      <c r="Q228">
        <f t="shared" si="960"/>
        <v>-2809182.2003975557</v>
      </c>
      <c r="R228">
        <f t="shared" si="961"/>
        <v>361011432.36669755</v>
      </c>
      <c r="S228">
        <f t="shared" si="962"/>
        <v>3610.1143236669755</v>
      </c>
      <c r="T228">
        <f t="shared" si="963"/>
        <v>3.6101143236669753</v>
      </c>
    </row>
    <row r="229" spans="1:20" x14ac:dyDescent="0.25">
      <c r="A229" s="5">
        <v>44364</v>
      </c>
      <c r="B229">
        <v>3.1171000000000002</v>
      </c>
      <c r="C229">
        <v>3.4390000000000001</v>
      </c>
      <c r="D229">
        <v>3.1074000000000002</v>
      </c>
      <c r="E229">
        <v>3.3694999999999999</v>
      </c>
      <c r="F229">
        <v>9662019.8800000008</v>
      </c>
      <c r="G229">
        <v>0</v>
      </c>
      <c r="L229" t="s">
        <v>8</v>
      </c>
      <c r="M229" t="s">
        <v>8</v>
      </c>
      <c r="N229" t="s">
        <v>8</v>
      </c>
      <c r="P229">
        <f t="shared" si="959"/>
        <v>0.580820265379975</v>
      </c>
      <c r="Q229">
        <f t="shared" si="960"/>
        <v>5611896.9508081945</v>
      </c>
      <c r="R229">
        <f t="shared" si="961"/>
        <v>363820614.5670951</v>
      </c>
      <c r="S229">
        <f t="shared" si="962"/>
        <v>3638.2061456709512</v>
      </c>
      <c r="T229">
        <f t="shared" si="963"/>
        <v>3.6382061456709511</v>
      </c>
    </row>
    <row r="230" spans="1:20" x14ac:dyDescent="0.25">
      <c r="A230" s="5">
        <v>44363</v>
      </c>
      <c r="B230">
        <v>3.2717000000000001</v>
      </c>
      <c r="C230">
        <v>3.3281000000000001</v>
      </c>
      <c r="D230">
        <v>3.0882999999999998</v>
      </c>
      <c r="E230">
        <v>3.1150000000000002</v>
      </c>
      <c r="F230">
        <v>3273488.92</v>
      </c>
      <c r="G230">
        <v>0</v>
      </c>
      <c r="L230" t="s">
        <v>7</v>
      </c>
      <c r="M230" t="s">
        <v>8</v>
      </c>
      <c r="N230" t="s">
        <v>8</v>
      </c>
      <c r="P230">
        <f t="shared" si="959"/>
        <v>-0.77731442869057243</v>
      </c>
      <c r="Q230">
        <f t="shared" si="960"/>
        <v>-2544530.1696747188</v>
      </c>
      <c r="R230">
        <f t="shared" si="961"/>
        <v>358208717.61628693</v>
      </c>
      <c r="S230">
        <f t="shared" si="962"/>
        <v>3582.0871761628691</v>
      </c>
      <c r="T230">
        <f t="shared" si="963"/>
        <v>3.5820871761628692</v>
      </c>
    </row>
    <row r="231" spans="1:20" x14ac:dyDescent="0.25">
      <c r="A231" s="5">
        <v>44362</v>
      </c>
      <c r="B231">
        <v>3.351</v>
      </c>
      <c r="C231">
        <v>3.3934000000000002</v>
      </c>
      <c r="D231">
        <v>3.2107999999999999</v>
      </c>
      <c r="E231">
        <v>3.2709999999999999</v>
      </c>
      <c r="F231">
        <v>3401392.16</v>
      </c>
      <c r="G231">
        <v>0</v>
      </c>
      <c r="L231" t="s">
        <v>8</v>
      </c>
      <c r="M231" t="s">
        <v>8</v>
      </c>
      <c r="N231" t="s">
        <v>8</v>
      </c>
      <c r="P231">
        <f t="shared" si="959"/>
        <v>-0.34063526834611252</v>
      </c>
      <c r="Q231">
        <f t="shared" si="960"/>
        <v>-1158634.1311719634</v>
      </c>
      <c r="R231">
        <f t="shared" si="961"/>
        <v>360753247.78596163</v>
      </c>
      <c r="S231">
        <f t="shared" si="962"/>
        <v>3607.5324778596164</v>
      </c>
      <c r="T231">
        <f t="shared" si="963"/>
        <v>3.6075324778596163</v>
      </c>
    </row>
    <row r="232" spans="1:20" x14ac:dyDescent="0.25">
      <c r="A232" s="5">
        <v>44361</v>
      </c>
      <c r="B232">
        <v>3.3140000000000001</v>
      </c>
      <c r="C232">
        <v>3.355</v>
      </c>
      <c r="D232">
        <v>3.1856</v>
      </c>
      <c r="E232">
        <v>3.3485</v>
      </c>
      <c r="F232">
        <v>4241280.5199999996</v>
      </c>
      <c r="G232">
        <v>0</v>
      </c>
      <c r="L232" t="s">
        <v>8</v>
      </c>
      <c r="M232" t="s">
        <v>7</v>
      </c>
      <c r="N232" t="s">
        <v>8</v>
      </c>
      <c r="P232">
        <f t="shared" si="959"/>
        <v>0.92325855962219661</v>
      </c>
      <c r="Q232">
        <f t="shared" si="960"/>
        <v>3915798.5438488806</v>
      </c>
      <c r="R232">
        <f t="shared" si="961"/>
        <v>361911881.91713357</v>
      </c>
      <c r="S232">
        <f t="shared" si="962"/>
        <v>3619.1188191713359</v>
      </c>
      <c r="T232">
        <f t="shared" si="963"/>
        <v>3.6191188191713359</v>
      </c>
    </row>
    <row r="233" spans="1:20" x14ac:dyDescent="0.25">
      <c r="A233" s="5">
        <v>44360</v>
      </c>
      <c r="B233">
        <v>3.1429</v>
      </c>
      <c r="C233">
        <v>3.3239999999999998</v>
      </c>
      <c r="D233">
        <v>3.0013999999999998</v>
      </c>
      <c r="E233">
        <v>3.3136000000000001</v>
      </c>
      <c r="F233">
        <v>4524852.38</v>
      </c>
      <c r="G233">
        <v>0</v>
      </c>
      <c r="L233" t="s">
        <v>8</v>
      </c>
      <c r="M233" t="s">
        <v>7</v>
      </c>
      <c r="N233" t="s">
        <v>8</v>
      </c>
      <c r="P233">
        <f t="shared" si="959"/>
        <v>0.9355238685678875</v>
      </c>
      <c r="Q233">
        <f t="shared" si="960"/>
        <v>4233107.4032362131</v>
      </c>
      <c r="R233">
        <f t="shared" si="961"/>
        <v>357996083.3732847</v>
      </c>
      <c r="S233">
        <f t="shared" si="962"/>
        <v>3579.9608337328468</v>
      </c>
      <c r="T233">
        <f t="shared" si="963"/>
        <v>3.579960833732847</v>
      </c>
    </row>
    <row r="234" spans="1:20" x14ac:dyDescent="0.25">
      <c r="A234" s="5">
        <v>44359</v>
      </c>
      <c r="B234">
        <v>3.1345000000000001</v>
      </c>
      <c r="C234">
        <v>3.2252999999999998</v>
      </c>
      <c r="D234">
        <v>2.92</v>
      </c>
      <c r="E234">
        <v>3.1429999999999998</v>
      </c>
      <c r="F234">
        <v>5151566.71</v>
      </c>
      <c r="G234">
        <v>0</v>
      </c>
      <c r="L234" t="s">
        <v>7</v>
      </c>
      <c r="M234" t="s">
        <v>7</v>
      </c>
      <c r="N234" t="s">
        <v>8</v>
      </c>
      <c r="P234">
        <f t="shared" si="959"/>
        <v>0.46085817228955084</v>
      </c>
      <c r="Q234">
        <f t="shared" si="960"/>
        <v>2374141.6183982948</v>
      </c>
      <c r="R234">
        <f t="shared" si="961"/>
        <v>353762975.97004849</v>
      </c>
      <c r="S234">
        <f t="shared" si="962"/>
        <v>3537.629759700485</v>
      </c>
      <c r="T234">
        <f t="shared" si="963"/>
        <v>3.5376297597004851</v>
      </c>
    </row>
    <row r="235" spans="1:20" x14ac:dyDescent="0.25">
      <c r="A235" s="5">
        <v>44358</v>
      </c>
      <c r="B235">
        <v>3.2772000000000001</v>
      </c>
      <c r="C235">
        <v>3.3714</v>
      </c>
      <c r="D235">
        <v>3.0825999999999998</v>
      </c>
      <c r="E235">
        <v>3.1373000000000002</v>
      </c>
      <c r="F235">
        <v>4903353.58</v>
      </c>
      <c r="G235">
        <v>0</v>
      </c>
      <c r="L235" t="s">
        <v>7</v>
      </c>
      <c r="M235" t="s">
        <v>7</v>
      </c>
      <c r="N235" t="s">
        <v>8</v>
      </c>
      <c r="P235">
        <f t="shared" si="959"/>
        <v>-0.62119113573406937</v>
      </c>
      <c r="Q235">
        <f t="shared" si="960"/>
        <v>-3045919.779265915</v>
      </c>
      <c r="R235">
        <f t="shared" si="961"/>
        <v>351388834.35165018</v>
      </c>
      <c r="S235">
        <f t="shared" si="962"/>
        <v>3513.8883435165017</v>
      </c>
      <c r="T235">
        <f t="shared" si="963"/>
        <v>3.5138883435165016</v>
      </c>
    </row>
    <row r="236" spans="1:20" x14ac:dyDescent="0.25">
      <c r="A236" s="5">
        <v>44357</v>
      </c>
      <c r="B236">
        <v>3.5106000000000002</v>
      </c>
      <c r="C236">
        <v>3.5478000000000001</v>
      </c>
      <c r="D236">
        <v>3.1787999999999998</v>
      </c>
      <c r="E236">
        <v>3.2774000000000001</v>
      </c>
      <c r="F236">
        <v>5820386.7699999996</v>
      </c>
      <c r="G236">
        <v>0</v>
      </c>
      <c r="L236" t="s">
        <v>7</v>
      </c>
      <c r="M236" t="s">
        <v>7</v>
      </c>
      <c r="N236" t="s">
        <v>8</v>
      </c>
      <c r="P236">
        <f t="shared" si="959"/>
        <v>-0.46558265582655728</v>
      </c>
      <c r="Q236">
        <f t="shared" si="960"/>
        <v>-2709871.1303143571</v>
      </c>
      <c r="R236">
        <f t="shared" si="961"/>
        <v>354434754.13091612</v>
      </c>
      <c r="S236">
        <f t="shared" si="962"/>
        <v>3544.347541309161</v>
      </c>
      <c r="T236">
        <f t="shared" si="963"/>
        <v>3.5443475413091612</v>
      </c>
    </row>
    <row r="237" spans="1:20" x14ac:dyDescent="0.25">
      <c r="A237" s="5">
        <v>44356</v>
      </c>
      <c r="B237">
        <v>3.4466999999999999</v>
      </c>
      <c r="C237">
        <v>3.5369000000000002</v>
      </c>
      <c r="D237">
        <v>3.2241</v>
      </c>
      <c r="E237">
        <v>3.5106000000000002</v>
      </c>
      <c r="F237">
        <v>8824433.5099999998</v>
      </c>
      <c r="G237">
        <v>0</v>
      </c>
      <c r="L237" t="s">
        <v>8</v>
      </c>
      <c r="M237" t="s">
        <v>7</v>
      </c>
      <c r="N237" t="s">
        <v>8</v>
      </c>
      <c r="P237">
        <f t="shared" si="959"/>
        <v>0.83184143222506413</v>
      </c>
      <c r="Q237">
        <f t="shared" si="960"/>
        <v>7340529.4095332492</v>
      </c>
      <c r="R237">
        <f t="shared" si="961"/>
        <v>357144625.26123047</v>
      </c>
      <c r="S237">
        <f t="shared" si="962"/>
        <v>3571.4462526123048</v>
      </c>
      <c r="T237">
        <f t="shared" si="963"/>
        <v>3.5714462526123048</v>
      </c>
    </row>
    <row r="238" spans="1:20" x14ac:dyDescent="0.25">
      <c r="A238" s="5">
        <v>44355</v>
      </c>
      <c r="B238">
        <v>3.484</v>
      </c>
      <c r="C238">
        <v>3.5849000000000002</v>
      </c>
      <c r="D238">
        <v>3.0743</v>
      </c>
      <c r="E238">
        <v>3.4472999999999998</v>
      </c>
      <c r="F238">
        <v>12433538.01</v>
      </c>
      <c r="G238">
        <v>0</v>
      </c>
      <c r="L238" t="s">
        <v>7</v>
      </c>
      <c r="M238" t="s">
        <v>7</v>
      </c>
      <c r="N238" t="s">
        <v>8</v>
      </c>
      <c r="P238">
        <f t="shared" si="959"/>
        <v>0.46102624363493794</v>
      </c>
      <c r="Q238">
        <f t="shared" si="960"/>
        <v>5732187.3238425218</v>
      </c>
      <c r="R238">
        <f t="shared" si="961"/>
        <v>349804095.85169721</v>
      </c>
      <c r="S238">
        <f t="shared" si="962"/>
        <v>3498.0409585169718</v>
      </c>
      <c r="T238">
        <f t="shared" si="963"/>
        <v>3.4980409585169721</v>
      </c>
    </row>
    <row r="239" spans="1:20" x14ac:dyDescent="0.25">
      <c r="A239" s="5">
        <v>44354</v>
      </c>
      <c r="B239">
        <v>3.8372000000000002</v>
      </c>
      <c r="C239">
        <v>4.1387</v>
      </c>
      <c r="D239">
        <v>3.4375</v>
      </c>
      <c r="E239">
        <v>3.4872000000000001</v>
      </c>
      <c r="F239">
        <v>15222713.23</v>
      </c>
      <c r="G239">
        <v>0</v>
      </c>
      <c r="L239" t="s">
        <v>8</v>
      </c>
      <c r="M239" t="s">
        <v>8</v>
      </c>
      <c r="N239" t="s">
        <v>8</v>
      </c>
      <c r="P239">
        <f t="shared" si="959"/>
        <v>-0.85824301197946351</v>
      </c>
      <c r="Q239">
        <f t="shared" si="960"/>
        <v>-13064787.253014827</v>
      </c>
      <c r="R239">
        <f t="shared" si="961"/>
        <v>344071908.52785468</v>
      </c>
      <c r="S239">
        <f t="shared" si="962"/>
        <v>3440.719085278547</v>
      </c>
      <c r="T239">
        <f t="shared" si="963"/>
        <v>3.440719085278547</v>
      </c>
    </row>
    <row r="240" spans="1:20" x14ac:dyDescent="0.25">
      <c r="A240" s="5">
        <v>44353</v>
      </c>
      <c r="B240">
        <v>3.4289999999999998</v>
      </c>
      <c r="C240">
        <v>3.9</v>
      </c>
      <c r="D240">
        <v>3.4045999999999998</v>
      </c>
      <c r="E240">
        <v>3.8323999999999998</v>
      </c>
      <c r="F240">
        <v>8327581.96</v>
      </c>
      <c r="G240">
        <v>0</v>
      </c>
      <c r="L240" t="s">
        <v>8</v>
      </c>
      <c r="M240" t="s">
        <v>7</v>
      </c>
      <c r="N240" t="s">
        <v>8</v>
      </c>
      <c r="P240">
        <f t="shared" si="959"/>
        <v>0.72708922083165084</v>
      </c>
      <c r="Q240">
        <f t="shared" si="960"/>
        <v>6054895.0787081113</v>
      </c>
      <c r="R240">
        <f t="shared" si="961"/>
        <v>357136695.78086948</v>
      </c>
      <c r="S240">
        <f t="shared" si="962"/>
        <v>3571.3669578086947</v>
      </c>
      <c r="T240">
        <f t="shared" si="963"/>
        <v>3.5713669578086948</v>
      </c>
    </row>
    <row r="241" spans="1:20" x14ac:dyDescent="0.25">
      <c r="A241" s="5">
        <v>44352</v>
      </c>
      <c r="B241">
        <v>3.5499000000000001</v>
      </c>
      <c r="C241">
        <v>3.6911999999999998</v>
      </c>
      <c r="D241">
        <v>3.2565</v>
      </c>
      <c r="E241">
        <v>3.4293</v>
      </c>
      <c r="F241">
        <v>4682008.5599999996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-0.20496894409937833</v>
      </c>
      <c r="Q241">
        <f t="shared" si="960"/>
        <v>-959666.35080745071</v>
      </c>
      <c r="R241">
        <f t="shared" si="961"/>
        <v>351081800.70216137</v>
      </c>
      <c r="S241">
        <f t="shared" si="962"/>
        <v>3510.8180070216135</v>
      </c>
      <c r="T241">
        <f t="shared" si="963"/>
        <v>3.5108180070216135</v>
      </c>
    </row>
    <row r="242" spans="1:20" x14ac:dyDescent="0.25">
      <c r="A242" s="5">
        <v>44351</v>
      </c>
      <c r="B242">
        <v>3.8791000000000002</v>
      </c>
      <c r="C242">
        <v>3.9228999999999998</v>
      </c>
      <c r="D242">
        <v>3.3654000000000002</v>
      </c>
      <c r="E242">
        <v>3.5529000000000002</v>
      </c>
      <c r="F242">
        <v>6455360.1299999999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-0.32735426008968571</v>
      </c>
      <c r="Q242">
        <f t="shared" si="960"/>
        <v>-2113189.6389686074</v>
      </c>
      <c r="R242">
        <f t="shared" si="961"/>
        <v>352041467.0529688</v>
      </c>
      <c r="S242">
        <f t="shared" si="962"/>
        <v>3520.414670529688</v>
      </c>
      <c r="T242">
        <f t="shared" si="963"/>
        <v>3.5204146705296879</v>
      </c>
    </row>
    <row r="243" spans="1:20" x14ac:dyDescent="0.25">
      <c r="A243" s="5">
        <v>44350</v>
      </c>
      <c r="B243">
        <v>3.8149000000000002</v>
      </c>
      <c r="C243">
        <v>3.99</v>
      </c>
      <c r="D243">
        <v>3.7235</v>
      </c>
      <c r="E243">
        <v>3.8786999999999998</v>
      </c>
      <c r="F243">
        <v>5228255.3099999996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0.164727954971855</v>
      </c>
      <c r="Q243">
        <f t="shared" si="960"/>
        <v>861239.8052870417</v>
      </c>
      <c r="R243">
        <f t="shared" si="961"/>
        <v>354154656.69193739</v>
      </c>
      <c r="S243">
        <f t="shared" si="962"/>
        <v>3541.5465669193741</v>
      </c>
      <c r="T243">
        <f t="shared" si="963"/>
        <v>3.541546566919374</v>
      </c>
    </row>
    <row r="244" spans="1:20" x14ac:dyDescent="0.25">
      <c r="A244" s="5">
        <v>44349</v>
      </c>
      <c r="B244">
        <v>3.6667999999999998</v>
      </c>
      <c r="C244">
        <v>3.8748999999999998</v>
      </c>
      <c r="D244">
        <v>3.5712999999999999</v>
      </c>
      <c r="E244">
        <v>3.8125</v>
      </c>
      <c r="F244">
        <v>7505803.8700000001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0.58893280632411193</v>
      </c>
      <c r="Q244">
        <f t="shared" si="960"/>
        <v>4420414.13687748</v>
      </c>
      <c r="R244">
        <f t="shared" si="961"/>
        <v>353293416.88665032</v>
      </c>
      <c r="S244">
        <f t="shared" si="962"/>
        <v>3532.9341688665031</v>
      </c>
      <c r="T244">
        <f t="shared" si="963"/>
        <v>3.532934168866503</v>
      </c>
    </row>
    <row r="245" spans="1:20" x14ac:dyDescent="0.25">
      <c r="A245" s="5">
        <v>44348</v>
      </c>
      <c r="B245">
        <v>3.605</v>
      </c>
      <c r="C245">
        <v>3.7002000000000002</v>
      </c>
      <c r="D245">
        <v>3.4329000000000001</v>
      </c>
      <c r="E245">
        <v>3.6663000000000001</v>
      </c>
      <c r="F245">
        <v>8793804.1600000001</v>
      </c>
      <c r="G245">
        <v>0</v>
      </c>
      <c r="L245" t="s">
        <v>8</v>
      </c>
      <c r="M245" t="s">
        <v>8</v>
      </c>
      <c r="N245" t="s">
        <v>8</v>
      </c>
      <c r="P245">
        <f t="shared" si="959"/>
        <v>0.74635241301907951</v>
      </c>
      <c r="Q245">
        <f t="shared" si="960"/>
        <v>6563276.9544332195</v>
      </c>
      <c r="R245">
        <f t="shared" si="961"/>
        <v>348873002.74977285</v>
      </c>
      <c r="S245">
        <f t="shared" si="962"/>
        <v>3488.7300274977283</v>
      </c>
      <c r="T245">
        <f t="shared" si="963"/>
        <v>3.4887300274977284</v>
      </c>
    </row>
    <row r="246" spans="1:20" x14ac:dyDescent="0.25">
      <c r="A246" s="5">
        <v>44347</v>
      </c>
      <c r="B246">
        <v>3.2841999999999998</v>
      </c>
      <c r="C246">
        <v>3.6126999999999998</v>
      </c>
      <c r="D246">
        <v>3.1440000000000001</v>
      </c>
      <c r="E246">
        <v>3.6059999999999999</v>
      </c>
      <c r="F246">
        <v>7187097.29</v>
      </c>
      <c r="G246">
        <v>0</v>
      </c>
      <c r="L246" t="s">
        <v>8</v>
      </c>
      <c r="M246" t="s">
        <v>8</v>
      </c>
      <c r="N246" t="s">
        <v>8</v>
      </c>
      <c r="P246">
        <f t="shared" si="959"/>
        <v>0.97141028376360172</v>
      </c>
      <c r="Q246">
        <f t="shared" si="960"/>
        <v>6981620.2179155126</v>
      </c>
      <c r="R246">
        <f t="shared" si="961"/>
        <v>342309725.79533964</v>
      </c>
      <c r="S246">
        <f t="shared" si="962"/>
        <v>3423.0972579533964</v>
      </c>
      <c r="T246">
        <f t="shared" si="963"/>
        <v>3.4230972579533963</v>
      </c>
    </row>
    <row r="247" spans="1:20" x14ac:dyDescent="0.25">
      <c r="A247" s="5">
        <v>44346</v>
      </c>
      <c r="B247">
        <v>3.2086999999999999</v>
      </c>
      <c r="C247">
        <v>3.4533999999999998</v>
      </c>
      <c r="D247">
        <v>3.0196999999999998</v>
      </c>
      <c r="E247">
        <v>3.2856999999999998</v>
      </c>
      <c r="F247">
        <v>6339616.8700000001</v>
      </c>
      <c r="G247">
        <v>0</v>
      </c>
      <c r="L247" t="s">
        <v>8</v>
      </c>
      <c r="M247" t="s">
        <v>7</v>
      </c>
      <c r="N247" t="s">
        <v>8</v>
      </c>
      <c r="P247">
        <f t="shared" si="959"/>
        <v>0.22665436937975572</v>
      </c>
      <c r="Q247">
        <f t="shared" si="960"/>
        <v>1436901.8637791108</v>
      </c>
      <c r="R247">
        <f t="shared" si="961"/>
        <v>335328105.57742411</v>
      </c>
      <c r="S247">
        <f t="shared" si="962"/>
        <v>3353.2810557742409</v>
      </c>
      <c r="T247">
        <f t="shared" si="963"/>
        <v>3.3532810557742407</v>
      </c>
    </row>
    <row r="248" spans="1:20" x14ac:dyDescent="0.25">
      <c r="A248" s="5">
        <v>44345</v>
      </c>
      <c r="B248">
        <v>3.391</v>
      </c>
      <c r="C248">
        <v>3.5703999999999998</v>
      </c>
      <c r="D248">
        <v>3</v>
      </c>
      <c r="E248">
        <v>3.2038000000000002</v>
      </c>
      <c r="F248">
        <v>8946892.4900000002</v>
      </c>
      <c r="G248">
        <v>0</v>
      </c>
      <c r="L248" t="s">
        <v>7</v>
      </c>
      <c r="M248" t="s">
        <v>7</v>
      </c>
      <c r="N248" t="s">
        <v>8</v>
      </c>
      <c r="P248">
        <f t="shared" si="959"/>
        <v>-0.28541374474053199</v>
      </c>
      <c r="Q248">
        <f t="shared" si="960"/>
        <v>-2553566.0893618427</v>
      </c>
      <c r="R248">
        <f t="shared" si="961"/>
        <v>333891203.71364498</v>
      </c>
      <c r="S248">
        <f t="shared" si="962"/>
        <v>3338.9120371364497</v>
      </c>
      <c r="T248">
        <f t="shared" si="963"/>
        <v>3.3389120371364496</v>
      </c>
    </row>
    <row r="249" spans="1:20" x14ac:dyDescent="0.25">
      <c r="A249" s="5">
        <v>44344</v>
      </c>
      <c r="B249">
        <v>3.8744000000000001</v>
      </c>
      <c r="C249">
        <v>3.9327000000000001</v>
      </c>
      <c r="D249">
        <v>3.2509999999999999</v>
      </c>
      <c r="E249">
        <v>3.3881999999999999</v>
      </c>
      <c r="F249">
        <v>12539225.949999999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-0.59747689599530596</v>
      </c>
      <c r="Q249">
        <f t="shared" si="960"/>
        <v>-7491897.7987897908</v>
      </c>
      <c r="R249">
        <f t="shared" si="961"/>
        <v>336444769.80300683</v>
      </c>
      <c r="S249">
        <f t="shared" si="962"/>
        <v>3364.4476980300683</v>
      </c>
      <c r="T249">
        <f t="shared" si="963"/>
        <v>3.3644476980300682</v>
      </c>
    </row>
    <row r="250" spans="1:20" x14ac:dyDescent="0.25">
      <c r="A250" s="5">
        <v>44343</v>
      </c>
      <c r="B250">
        <v>3.9266999999999999</v>
      </c>
      <c r="C250">
        <v>4.1730999999999998</v>
      </c>
      <c r="D250">
        <v>3.5695999999999999</v>
      </c>
      <c r="E250">
        <v>3.8744000000000001</v>
      </c>
      <c r="F250">
        <v>10758061.890000001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1.0107705053853255E-2</v>
      </c>
      <c r="Q250">
        <f t="shared" si="960"/>
        <v>108739.31653521911</v>
      </c>
      <c r="R250">
        <f t="shared" si="961"/>
        <v>343936667.60179663</v>
      </c>
      <c r="S250">
        <f t="shared" si="962"/>
        <v>3439.3666760179663</v>
      </c>
      <c r="T250">
        <f t="shared" si="963"/>
        <v>3.4393666760179662</v>
      </c>
    </row>
    <row r="251" spans="1:20" x14ac:dyDescent="0.25">
      <c r="A251" s="5">
        <v>44342</v>
      </c>
      <c r="B251">
        <v>3.6625000000000001</v>
      </c>
      <c r="C251">
        <v>3.9792000000000001</v>
      </c>
      <c r="D251">
        <v>3.5756999999999999</v>
      </c>
      <c r="E251">
        <v>3.9245999999999999</v>
      </c>
      <c r="F251">
        <v>9990300.0700000003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0.7293680297397761</v>
      </c>
      <c r="Q251">
        <f t="shared" si="960"/>
        <v>7286605.4785650475</v>
      </c>
      <c r="R251">
        <f t="shared" si="961"/>
        <v>343827928.28526139</v>
      </c>
      <c r="S251">
        <f t="shared" si="962"/>
        <v>3438.279282852614</v>
      </c>
      <c r="T251">
        <f t="shared" si="963"/>
        <v>3.4382792828526139</v>
      </c>
    </row>
    <row r="252" spans="1:20" x14ac:dyDescent="0.25">
      <c r="A252" s="5">
        <v>44341</v>
      </c>
      <c r="B252">
        <v>3.5427</v>
      </c>
      <c r="C252">
        <v>3.7570000000000001</v>
      </c>
      <c r="D252">
        <v>3.2382</v>
      </c>
      <c r="E252">
        <v>3.6600999999999999</v>
      </c>
      <c r="F252">
        <v>12314817.23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0.62644564379336865</v>
      </c>
      <c r="Q252">
        <f t="shared" si="960"/>
        <v>7714563.6078450186</v>
      </c>
      <c r="R252">
        <f t="shared" si="961"/>
        <v>336541322.80669636</v>
      </c>
      <c r="S252">
        <f t="shared" si="962"/>
        <v>3365.4132280669637</v>
      </c>
      <c r="T252">
        <f t="shared" si="963"/>
        <v>3.3654132280669637</v>
      </c>
    </row>
    <row r="253" spans="1:20" x14ac:dyDescent="0.25">
      <c r="A253" s="5">
        <v>44340</v>
      </c>
      <c r="B253">
        <v>2.9066000000000001</v>
      </c>
      <c r="C253">
        <v>3.6166</v>
      </c>
      <c r="D253">
        <v>2.8308</v>
      </c>
      <c r="E253">
        <v>3.5426000000000002</v>
      </c>
      <c r="F253">
        <v>14112500.300000001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0.81165691015525621</v>
      </c>
      <c r="Q253">
        <f t="shared" si="960"/>
        <v>11454508.388063127</v>
      </c>
      <c r="R253">
        <f t="shared" si="961"/>
        <v>328826759.19885135</v>
      </c>
      <c r="S253">
        <f t="shared" si="962"/>
        <v>3288.2675919885137</v>
      </c>
      <c r="T253">
        <f t="shared" si="963"/>
        <v>3.2882675919885136</v>
      </c>
    </row>
    <row r="254" spans="1:20" x14ac:dyDescent="0.25">
      <c r="A254" s="5">
        <v>44339</v>
      </c>
      <c r="B254">
        <v>3.4373</v>
      </c>
      <c r="C254">
        <v>3.6038000000000001</v>
      </c>
      <c r="D254">
        <v>2.4296000000000002</v>
      </c>
      <c r="E254">
        <v>2.9070999999999998</v>
      </c>
      <c r="F254">
        <v>21959557.010000002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-0.18668029296542391</v>
      </c>
      <c r="Q254">
        <f t="shared" si="960"/>
        <v>-4099416.5360177285</v>
      </c>
      <c r="R254">
        <f t="shared" si="961"/>
        <v>317372250.81078821</v>
      </c>
      <c r="S254">
        <f t="shared" si="962"/>
        <v>3173.7225081078823</v>
      </c>
      <c r="T254">
        <f t="shared" si="963"/>
        <v>3.1737225081078821</v>
      </c>
    </row>
    <row r="255" spans="1:20" x14ac:dyDescent="0.25">
      <c r="A255" s="5">
        <v>44338</v>
      </c>
      <c r="B255">
        <v>3.67</v>
      </c>
      <c r="C255">
        <v>3.7450000000000001</v>
      </c>
      <c r="D255">
        <v>3.1920000000000002</v>
      </c>
      <c r="E255">
        <v>3.4340000000000002</v>
      </c>
      <c r="F255">
        <v>13558489.710000001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-0.12477396021699812</v>
      </c>
      <c r="Q255">
        <f t="shared" si="960"/>
        <v>-1691746.4556781184</v>
      </c>
      <c r="R255">
        <f t="shared" si="961"/>
        <v>321471667.34680593</v>
      </c>
      <c r="S255">
        <f t="shared" si="962"/>
        <v>3214.7166734680595</v>
      </c>
      <c r="T255">
        <f t="shared" si="963"/>
        <v>3.2147166734680597</v>
      </c>
    </row>
    <row r="256" spans="1:20" x14ac:dyDescent="0.25">
      <c r="A256" s="5">
        <v>44337</v>
      </c>
      <c r="B256">
        <v>4.1824000000000003</v>
      </c>
      <c r="C256">
        <v>4.3960999999999997</v>
      </c>
      <c r="D256">
        <v>3.0918999999999999</v>
      </c>
      <c r="E256">
        <v>3.6720999999999999</v>
      </c>
      <c r="F256">
        <v>19521821.510000002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-0.11025916270510637</v>
      </c>
      <c r="Q256">
        <f t="shared" si="960"/>
        <v>-2152459.6941711353</v>
      </c>
      <c r="R256">
        <f t="shared" si="961"/>
        <v>323163413.80248404</v>
      </c>
      <c r="S256">
        <f t="shared" si="962"/>
        <v>3231.6341380248405</v>
      </c>
      <c r="T256">
        <f t="shared" si="963"/>
        <v>3.2316341380248406</v>
      </c>
    </row>
    <row r="257" spans="1:20" x14ac:dyDescent="0.25">
      <c r="A257" s="5">
        <v>44336</v>
      </c>
      <c r="B257">
        <v>3.6168999999999998</v>
      </c>
      <c r="C257">
        <v>4.4779999999999998</v>
      </c>
      <c r="D257">
        <v>3.15</v>
      </c>
      <c r="E257">
        <v>4.1825999999999999</v>
      </c>
      <c r="F257">
        <v>23540169.16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0.55512048192771102</v>
      </c>
      <c r="Q257">
        <f t="shared" si="960"/>
        <v>13067630.048759039</v>
      </c>
      <c r="R257">
        <f t="shared" si="961"/>
        <v>325315873.49665517</v>
      </c>
      <c r="S257">
        <f t="shared" si="962"/>
        <v>3253.1587349665515</v>
      </c>
      <c r="T257">
        <f t="shared" si="963"/>
        <v>3.2531587349665516</v>
      </c>
    </row>
    <row r="258" spans="1:20" x14ac:dyDescent="0.25">
      <c r="A258" s="5">
        <v>44335</v>
      </c>
      <c r="B258">
        <v>5.7408000000000001</v>
      </c>
      <c r="C258">
        <v>5.8376999999999999</v>
      </c>
      <c r="D258">
        <v>2.6898</v>
      </c>
      <c r="E258">
        <v>3.6070000000000002</v>
      </c>
      <c r="F258">
        <v>39395572.479999997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-0.41726230185202817</v>
      </c>
      <c r="Q258">
        <f t="shared" si="960"/>
        <v>-16438287.255783213</v>
      </c>
      <c r="R258">
        <f t="shared" si="961"/>
        <v>312248243.44789612</v>
      </c>
      <c r="S258">
        <f t="shared" si="962"/>
        <v>3122.4824344789613</v>
      </c>
      <c r="T258">
        <f t="shared" si="963"/>
        <v>3.1224824344789615</v>
      </c>
    </row>
    <row r="259" spans="1:20" x14ac:dyDescent="0.25">
      <c r="A259" s="5">
        <v>44334</v>
      </c>
      <c r="B259">
        <v>5.1736000000000004</v>
      </c>
      <c r="C259">
        <v>5.9881000000000002</v>
      </c>
      <c r="D259">
        <v>5.0900999999999996</v>
      </c>
      <c r="E259">
        <v>5.7408000000000001</v>
      </c>
      <c r="F259">
        <v>13189092.470000001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0.44922048997772845</v>
      </c>
      <c r="Q259">
        <f t="shared" si="960"/>
        <v>5924810.5817349693</v>
      </c>
      <c r="R259">
        <f t="shared" si="961"/>
        <v>328686530.70367932</v>
      </c>
      <c r="S259">
        <f t="shared" si="962"/>
        <v>3286.8653070367932</v>
      </c>
      <c r="T259">
        <f t="shared" si="963"/>
        <v>3.286865307036793</v>
      </c>
    </row>
    <row r="260" spans="1:20" x14ac:dyDescent="0.25">
      <c r="A260" s="5">
        <v>44333</v>
      </c>
      <c r="B260">
        <v>5.6737000000000002</v>
      </c>
      <c r="C260">
        <v>5.6752000000000002</v>
      </c>
      <c r="D260">
        <v>5.0373000000000001</v>
      </c>
      <c r="E260">
        <v>5.1688999999999998</v>
      </c>
      <c r="F260">
        <v>14145176.5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-0.58739614359617587</v>
      </c>
      <c r="Q260">
        <f t="shared" si="960"/>
        <v>-8308822.1265872521</v>
      </c>
      <c r="R260">
        <f t="shared" si="961"/>
        <v>322761720.12194437</v>
      </c>
      <c r="S260">
        <f t="shared" si="962"/>
        <v>3227.6172012194438</v>
      </c>
      <c r="T260">
        <f t="shared" si="963"/>
        <v>3.2276172012194437</v>
      </c>
    </row>
    <row r="261" spans="1:20" x14ac:dyDescent="0.25">
      <c r="A261" s="5">
        <v>44332</v>
      </c>
      <c r="B261">
        <v>5.7839</v>
      </c>
      <c r="C261">
        <v>6.24</v>
      </c>
      <c r="D261">
        <v>5.3445999999999998</v>
      </c>
      <c r="E261">
        <v>5.6737000000000002</v>
      </c>
      <c r="F261">
        <v>11231652.84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-0.26490953763680986</v>
      </c>
      <c r="Q261">
        <f t="shared" si="960"/>
        <v>-2975371.9607415623</v>
      </c>
      <c r="R261">
        <f t="shared" si="961"/>
        <v>331070542.24853164</v>
      </c>
      <c r="S261">
        <f t="shared" si="962"/>
        <v>3310.7054224853164</v>
      </c>
      <c r="T261">
        <f t="shared" si="963"/>
        <v>3.3107054224853165</v>
      </c>
    </row>
    <row r="262" spans="1:20" x14ac:dyDescent="0.25">
      <c r="A262" s="5">
        <v>44331</v>
      </c>
      <c r="B262">
        <v>6.4744000000000002</v>
      </c>
      <c r="C262">
        <v>6.5179</v>
      </c>
      <c r="D262">
        <v>5.7271000000000001</v>
      </c>
      <c r="E262">
        <v>5.7784000000000004</v>
      </c>
      <c r="F262">
        <v>8510113.3000000007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-0.87025796661608412</v>
      </c>
      <c r="Q262">
        <f t="shared" ref="Q262:Q325" si="965">F262*P262</f>
        <v>-7405993.8961304938</v>
      </c>
      <c r="R262">
        <f t="shared" ref="R262:R325" si="966">R263+Q262</f>
        <v>334045914.20927322</v>
      </c>
      <c r="S262">
        <f t="shared" ref="S262:S325" si="967">R262/100000</f>
        <v>3340.4591420927322</v>
      </c>
      <c r="T262">
        <f t="shared" ref="T262:T325" si="968">S262/1000</f>
        <v>3.3404591420927323</v>
      </c>
    </row>
    <row r="263" spans="1:20" x14ac:dyDescent="0.25">
      <c r="A263" s="5">
        <v>44330</v>
      </c>
      <c r="B263">
        <v>6.1252000000000004</v>
      </c>
      <c r="C263">
        <v>6.5132000000000003</v>
      </c>
      <c r="D263">
        <v>6.0332999999999997</v>
      </c>
      <c r="E263">
        <v>6.4737</v>
      </c>
      <c r="F263">
        <v>8641125.4199999999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0.83538237132735882</v>
      </c>
      <c r="Q263">
        <f t="shared" si="965"/>
        <v>7218643.8442967189</v>
      </c>
      <c r="R263">
        <f t="shared" si="966"/>
        <v>341451908.10540372</v>
      </c>
      <c r="S263">
        <f t="shared" si="967"/>
        <v>3414.5190810540371</v>
      </c>
      <c r="T263">
        <f t="shared" si="968"/>
        <v>3.4145190810540371</v>
      </c>
    </row>
    <row r="264" spans="1:20" x14ac:dyDescent="0.25">
      <c r="A264" s="5">
        <v>44329</v>
      </c>
      <c r="B264">
        <v>5.9391999999999996</v>
      </c>
      <c r="C264">
        <v>6.4162999999999997</v>
      </c>
      <c r="D264">
        <v>5.6761999999999997</v>
      </c>
      <c r="E264">
        <v>6.1252000000000004</v>
      </c>
      <c r="F264">
        <v>16367212.859999999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0.21334954735846709</v>
      </c>
      <c r="Q264">
        <f t="shared" si="965"/>
        <v>3491937.4552006815</v>
      </c>
      <c r="R264">
        <f t="shared" si="966"/>
        <v>334233264.26110703</v>
      </c>
      <c r="S264">
        <f t="shared" si="967"/>
        <v>3342.3326426110702</v>
      </c>
      <c r="T264">
        <f t="shared" si="968"/>
        <v>3.3423326426110704</v>
      </c>
    </row>
    <row r="265" spans="1:20" x14ac:dyDescent="0.25">
      <c r="A265" s="5">
        <v>44328</v>
      </c>
      <c r="B265">
        <v>7.1256000000000004</v>
      </c>
      <c r="C265">
        <v>7.3414999999999999</v>
      </c>
      <c r="D265">
        <v>5.85</v>
      </c>
      <c r="E265">
        <v>5.9391999999999996</v>
      </c>
      <c r="F265">
        <v>18003156.550000001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-0.88038887026483414</v>
      </c>
      <c r="Q265">
        <f t="shared" si="965"/>
        <v>-15849778.65625545</v>
      </c>
      <c r="R265">
        <f t="shared" si="966"/>
        <v>330741326.80590636</v>
      </c>
      <c r="S265">
        <f t="shared" si="967"/>
        <v>3307.4132680590637</v>
      </c>
      <c r="T265">
        <f t="shared" si="968"/>
        <v>3.3074132680590638</v>
      </c>
    </row>
    <row r="266" spans="1:20" x14ac:dyDescent="0.25">
      <c r="A266" s="5">
        <v>44327</v>
      </c>
      <c r="B266">
        <v>6.1860999999999997</v>
      </c>
      <c r="C266">
        <v>7.2676999999999996</v>
      </c>
      <c r="D266">
        <v>5.9123000000000001</v>
      </c>
      <c r="E266">
        <v>7.1246999999999998</v>
      </c>
      <c r="F266">
        <v>16604535.85</v>
      </c>
      <c r="G266">
        <v>0</v>
      </c>
      <c r="L266" t="s">
        <v>8</v>
      </c>
      <c r="M266" t="s">
        <v>8</v>
      </c>
      <c r="N266" t="s">
        <v>7</v>
      </c>
      <c r="P266">
        <f t="shared" si="964"/>
        <v>0.78899217943042665</v>
      </c>
      <c r="Q266">
        <f t="shared" si="965"/>
        <v>13100848.928722152</v>
      </c>
      <c r="R266">
        <f t="shared" si="966"/>
        <v>346591105.46216178</v>
      </c>
      <c r="S266">
        <f t="shared" si="967"/>
        <v>3465.911054621618</v>
      </c>
      <c r="T266">
        <f t="shared" si="968"/>
        <v>3.4659110546216181</v>
      </c>
    </row>
    <row r="267" spans="1:20" x14ac:dyDescent="0.25">
      <c r="A267" s="5">
        <v>44326</v>
      </c>
      <c r="B267">
        <v>7.0960999999999999</v>
      </c>
      <c r="C267">
        <v>7.2539999999999996</v>
      </c>
      <c r="D267">
        <v>5.8646000000000003</v>
      </c>
      <c r="E267">
        <v>6.1917</v>
      </c>
      <c r="F267">
        <v>11542377.439999999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-0.52914927306751136</v>
      </c>
      <c r="Q267">
        <f t="shared" si="965"/>
        <v>-6107640.6318468424</v>
      </c>
      <c r="R267">
        <f t="shared" si="966"/>
        <v>333490256.53343964</v>
      </c>
      <c r="S267">
        <f t="shared" si="967"/>
        <v>3334.9025653343965</v>
      </c>
      <c r="T267">
        <f t="shared" si="968"/>
        <v>3.3349025653343967</v>
      </c>
    </row>
    <row r="268" spans="1:20" x14ac:dyDescent="0.25">
      <c r="A268" s="5">
        <v>44325</v>
      </c>
      <c r="B268">
        <v>6.9701000000000004</v>
      </c>
      <c r="C268">
        <v>7.16</v>
      </c>
      <c r="D268">
        <v>6.4912999999999998</v>
      </c>
      <c r="E268">
        <v>7.0953999999999997</v>
      </c>
      <c r="F268">
        <v>8394378.25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0.80678929265739374</v>
      </c>
      <c r="Q268">
        <f t="shared" si="965"/>
        <v>6772494.4906161111</v>
      </c>
      <c r="R268">
        <f t="shared" si="966"/>
        <v>339597897.16528648</v>
      </c>
      <c r="S268">
        <f t="shared" si="967"/>
        <v>3395.9789716528649</v>
      </c>
      <c r="T268">
        <f t="shared" si="968"/>
        <v>3.3959789716528648</v>
      </c>
    </row>
    <row r="269" spans="1:20" x14ac:dyDescent="0.25">
      <c r="A269" s="5">
        <v>44324</v>
      </c>
      <c r="B269">
        <v>7.0839999999999996</v>
      </c>
      <c r="C269">
        <v>7.32</v>
      </c>
      <c r="D269">
        <v>6.8087</v>
      </c>
      <c r="E269">
        <v>6.9757999999999996</v>
      </c>
      <c r="F269">
        <v>12534318.539999999</v>
      </c>
      <c r="G269">
        <v>0</v>
      </c>
      <c r="L269" t="s">
        <v>7</v>
      </c>
      <c r="M269" t="s">
        <v>7</v>
      </c>
      <c r="N269" t="s">
        <v>8</v>
      </c>
      <c r="P269">
        <f t="shared" si="964"/>
        <v>-0.34637199295912585</v>
      </c>
      <c r="Q269">
        <f t="shared" si="965"/>
        <v>-4341536.8930843202</v>
      </c>
      <c r="R269">
        <f t="shared" si="966"/>
        <v>332825402.6746704</v>
      </c>
      <c r="S269">
        <f t="shared" si="967"/>
        <v>3328.2540267467039</v>
      </c>
      <c r="T269">
        <f t="shared" si="968"/>
        <v>3.3282540267467038</v>
      </c>
    </row>
    <row r="270" spans="1:20" x14ac:dyDescent="0.25">
      <c r="A270" s="5">
        <v>44323</v>
      </c>
      <c r="B270">
        <v>7.5796999999999999</v>
      </c>
      <c r="C270">
        <v>8.42</v>
      </c>
      <c r="D270">
        <v>6.75</v>
      </c>
      <c r="E270">
        <v>7.0856000000000003</v>
      </c>
      <c r="F270">
        <v>26110790.18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-0.59808383233532891</v>
      </c>
      <c r="Q270">
        <f t="shared" si="965"/>
        <v>-15616441.456158072</v>
      </c>
      <c r="R270">
        <f t="shared" si="966"/>
        <v>337166939.56775475</v>
      </c>
      <c r="S270">
        <f t="shared" si="967"/>
        <v>3371.6693956775475</v>
      </c>
      <c r="T270">
        <f t="shared" si="968"/>
        <v>3.3716693956775474</v>
      </c>
    </row>
    <row r="271" spans="1:20" x14ac:dyDescent="0.25">
      <c r="A271" s="5">
        <v>44322</v>
      </c>
      <c r="B271">
        <v>6.6020000000000003</v>
      </c>
      <c r="C271">
        <v>8.0500000000000007</v>
      </c>
      <c r="D271">
        <v>6.4389000000000003</v>
      </c>
      <c r="E271">
        <v>7.5746000000000002</v>
      </c>
      <c r="F271">
        <v>32905884.960000001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0.40984420582210868</v>
      </c>
      <c r="Q271">
        <f t="shared" si="965"/>
        <v>13486286.288304871</v>
      </c>
      <c r="R271">
        <f t="shared" si="966"/>
        <v>352783381.02391285</v>
      </c>
      <c r="S271">
        <f t="shared" si="967"/>
        <v>3527.8338102391285</v>
      </c>
      <c r="T271">
        <f t="shared" si="968"/>
        <v>3.5278338102391285</v>
      </c>
    </row>
    <row r="272" spans="1:20" x14ac:dyDescent="0.25">
      <c r="A272" s="5">
        <v>44321</v>
      </c>
      <c r="B272">
        <v>5.4863999999999997</v>
      </c>
      <c r="C272">
        <v>6.7084999999999999</v>
      </c>
      <c r="D272">
        <v>5.4012000000000002</v>
      </c>
      <c r="E272">
        <v>6.6002999999999998</v>
      </c>
      <c r="F272">
        <v>18478301.039999999</v>
      </c>
      <c r="G272">
        <v>0</v>
      </c>
      <c r="L272" t="s">
        <v>8</v>
      </c>
      <c r="M272" t="s">
        <v>8</v>
      </c>
      <c r="N272" t="s">
        <v>8</v>
      </c>
      <c r="P272">
        <f t="shared" si="964"/>
        <v>0.8344679874550599</v>
      </c>
      <c r="Q272">
        <f t="shared" si="965"/>
        <v>15419550.680437539</v>
      </c>
      <c r="R272">
        <f t="shared" si="966"/>
        <v>339297094.73560798</v>
      </c>
      <c r="S272">
        <f t="shared" si="967"/>
        <v>3392.9709473560797</v>
      </c>
      <c r="T272">
        <f t="shared" si="968"/>
        <v>3.3929709473560798</v>
      </c>
    </row>
    <row r="273" spans="1:20" x14ac:dyDescent="0.25">
      <c r="A273" s="5">
        <v>44320</v>
      </c>
      <c r="B273">
        <v>6.0061999999999998</v>
      </c>
      <c r="C273">
        <v>6.0625999999999998</v>
      </c>
      <c r="D273">
        <v>5.4169</v>
      </c>
      <c r="E273">
        <v>5.4873000000000003</v>
      </c>
      <c r="F273">
        <v>12986236.43</v>
      </c>
      <c r="G273">
        <v>0</v>
      </c>
      <c r="L273" t="s">
        <v>7</v>
      </c>
      <c r="M273" t="s">
        <v>8</v>
      </c>
      <c r="N273" t="s">
        <v>8</v>
      </c>
      <c r="P273">
        <f t="shared" si="964"/>
        <v>-0.78194207836456475</v>
      </c>
      <c r="Q273">
        <f t="shared" si="965"/>
        <v>-10154484.704207825</v>
      </c>
      <c r="R273">
        <f t="shared" si="966"/>
        <v>323877544.05517042</v>
      </c>
      <c r="S273">
        <f t="shared" si="967"/>
        <v>3238.7754405517044</v>
      </c>
      <c r="T273">
        <f t="shared" si="968"/>
        <v>3.2387754405517044</v>
      </c>
    </row>
    <row r="274" spans="1:20" x14ac:dyDescent="0.25">
      <c r="A274" s="5">
        <v>44319</v>
      </c>
      <c r="B274">
        <v>5.6048</v>
      </c>
      <c r="C274">
        <v>6.1017999999999999</v>
      </c>
      <c r="D274">
        <v>5.5865999999999998</v>
      </c>
      <c r="E274">
        <v>6.0063000000000004</v>
      </c>
      <c r="F274">
        <v>9229220.7200000007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0.62927018633540588</v>
      </c>
      <c r="Q274">
        <f t="shared" si="965"/>
        <v>5807673.4422049895</v>
      </c>
      <c r="R274">
        <f t="shared" si="966"/>
        <v>334032028.75937825</v>
      </c>
      <c r="S274">
        <f t="shared" si="967"/>
        <v>3340.3202875937827</v>
      </c>
      <c r="T274">
        <f t="shared" si="968"/>
        <v>3.3403202875937827</v>
      </c>
    </row>
    <row r="275" spans="1:20" x14ac:dyDescent="0.25">
      <c r="A275" s="5">
        <v>44318</v>
      </c>
      <c r="B275">
        <v>5.8164999999999996</v>
      </c>
      <c r="C275">
        <v>5.8570000000000002</v>
      </c>
      <c r="D275">
        <v>5.4485000000000001</v>
      </c>
      <c r="E275">
        <v>5.6036999999999999</v>
      </c>
      <c r="F275">
        <v>4638235.07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-0.24014687882497063</v>
      </c>
      <c r="Q275">
        <f t="shared" si="965"/>
        <v>-1113857.6753170192</v>
      </c>
      <c r="R275">
        <f t="shared" si="966"/>
        <v>328224355.31717324</v>
      </c>
      <c r="S275">
        <f t="shared" si="967"/>
        <v>3282.2435531717324</v>
      </c>
      <c r="T275">
        <f t="shared" si="968"/>
        <v>3.2822435531717322</v>
      </c>
    </row>
    <row r="276" spans="1:20" x14ac:dyDescent="0.25">
      <c r="A276" s="5">
        <v>44317</v>
      </c>
      <c r="B276">
        <v>5.61</v>
      </c>
      <c r="C276">
        <v>5.9</v>
      </c>
      <c r="D276">
        <v>5.4843999999999999</v>
      </c>
      <c r="E276">
        <v>5.8208000000000002</v>
      </c>
      <c r="F276">
        <v>5831345.0599999996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0.61886429258902753</v>
      </c>
      <c r="Q276">
        <f t="shared" si="965"/>
        <v>3608811.2353994199</v>
      </c>
      <c r="R276">
        <f t="shared" si="966"/>
        <v>329338212.99249023</v>
      </c>
      <c r="S276">
        <f t="shared" si="967"/>
        <v>3293.3821299249025</v>
      </c>
      <c r="T276">
        <f t="shared" si="968"/>
        <v>3.2933821299249026</v>
      </c>
    </row>
    <row r="277" spans="1:20" x14ac:dyDescent="0.25">
      <c r="A277" s="5">
        <v>44316</v>
      </c>
      <c r="B277">
        <v>5.2375999999999996</v>
      </c>
      <c r="C277">
        <v>5.65</v>
      </c>
      <c r="D277">
        <v>5.1208999999999998</v>
      </c>
      <c r="E277">
        <v>5.6108000000000002</v>
      </c>
      <c r="F277">
        <v>7208478.29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0.85182385182385156</v>
      </c>
      <c r="Q277">
        <f t="shared" si="965"/>
        <v>6140353.7427764107</v>
      </c>
      <c r="R277">
        <f t="shared" si="966"/>
        <v>325729401.75709081</v>
      </c>
      <c r="S277">
        <f t="shared" si="967"/>
        <v>3257.2940175709082</v>
      </c>
      <c r="T277">
        <f t="shared" si="968"/>
        <v>3.2572940175709082</v>
      </c>
    </row>
    <row r="278" spans="1:20" x14ac:dyDescent="0.25">
      <c r="A278" s="5">
        <v>44315</v>
      </c>
      <c r="B278">
        <v>5.2544000000000004</v>
      </c>
      <c r="C278">
        <v>5.4348999999999998</v>
      </c>
      <c r="D278">
        <v>5.0918000000000001</v>
      </c>
      <c r="E278">
        <v>5.2409999999999997</v>
      </c>
      <c r="F278">
        <v>5124604.95</v>
      </c>
      <c r="G278">
        <v>0</v>
      </c>
      <c r="L278" t="s">
        <v>7</v>
      </c>
      <c r="M278" t="s">
        <v>8</v>
      </c>
      <c r="N278" t="s">
        <v>7</v>
      </c>
      <c r="P278">
        <f t="shared" si="964"/>
        <v>-0.13028271640921207</v>
      </c>
      <c r="Q278">
        <f t="shared" si="965"/>
        <v>-667647.45341009449</v>
      </c>
      <c r="R278">
        <f t="shared" si="966"/>
        <v>319589048.01431441</v>
      </c>
      <c r="S278">
        <f t="shared" si="967"/>
        <v>3195.890480143144</v>
      </c>
      <c r="T278">
        <f t="shared" si="968"/>
        <v>3.1958904801431443</v>
      </c>
    </row>
    <row r="279" spans="1:20" x14ac:dyDescent="0.25">
      <c r="A279" s="5">
        <v>44314</v>
      </c>
      <c r="B279">
        <v>5.4321000000000002</v>
      </c>
      <c r="C279">
        <v>5.5488999999999997</v>
      </c>
      <c r="D279">
        <v>5.0669000000000004</v>
      </c>
      <c r="E279">
        <v>5.2523</v>
      </c>
      <c r="F279">
        <v>6408898.6600000001</v>
      </c>
      <c r="G279">
        <v>0</v>
      </c>
      <c r="L279" t="s">
        <v>8</v>
      </c>
      <c r="M279" t="s">
        <v>8</v>
      </c>
      <c r="N279" t="s">
        <v>7</v>
      </c>
      <c r="P279">
        <f t="shared" si="964"/>
        <v>-0.23070539419087208</v>
      </c>
      <c r="Q279">
        <f t="shared" si="965"/>
        <v>-1478567.4916846519</v>
      </c>
      <c r="R279">
        <f t="shared" si="966"/>
        <v>320256695.4677245</v>
      </c>
      <c r="S279">
        <f t="shared" si="967"/>
        <v>3202.5669546772451</v>
      </c>
      <c r="T279">
        <f t="shared" si="968"/>
        <v>3.2025669546772453</v>
      </c>
    </row>
    <row r="280" spans="1:20" x14ac:dyDescent="0.25">
      <c r="A280" s="5">
        <v>44313</v>
      </c>
      <c r="B280">
        <v>5.2241999999999997</v>
      </c>
      <c r="C280">
        <v>5.4898999999999996</v>
      </c>
      <c r="D280">
        <v>5.1459999999999999</v>
      </c>
      <c r="E280">
        <v>5.4295999999999998</v>
      </c>
      <c r="F280">
        <v>7073971.7000000002</v>
      </c>
      <c r="G280">
        <v>0</v>
      </c>
      <c r="L280" t="s">
        <v>8</v>
      </c>
      <c r="M280" t="s">
        <v>8</v>
      </c>
      <c r="N280" t="s">
        <v>7</v>
      </c>
      <c r="P280">
        <f t="shared" si="964"/>
        <v>0.64931666182029746</v>
      </c>
      <c r="Q280">
        <f t="shared" si="965"/>
        <v>4593247.6900552548</v>
      </c>
      <c r="R280">
        <f t="shared" si="966"/>
        <v>321735262.95940918</v>
      </c>
      <c r="S280">
        <f t="shared" si="967"/>
        <v>3217.3526295940919</v>
      </c>
      <c r="T280">
        <f t="shared" si="968"/>
        <v>3.217352629594092</v>
      </c>
    </row>
    <row r="281" spans="1:20" x14ac:dyDescent="0.25">
      <c r="A281" s="5">
        <v>44312</v>
      </c>
      <c r="B281">
        <v>4.4523999999999999</v>
      </c>
      <c r="C281">
        <v>5.3536000000000001</v>
      </c>
      <c r="D281">
        <v>4.3837000000000002</v>
      </c>
      <c r="E281">
        <v>5.226</v>
      </c>
      <c r="F281">
        <v>10704987.359999999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0.73688009073100291</v>
      </c>
      <c r="Q281">
        <f t="shared" si="965"/>
        <v>7888292.0571110388</v>
      </c>
      <c r="R281">
        <f t="shared" si="966"/>
        <v>317142015.26935393</v>
      </c>
      <c r="S281">
        <f t="shared" si="967"/>
        <v>3171.4201526935394</v>
      </c>
      <c r="T281">
        <f t="shared" si="968"/>
        <v>3.1714201526935395</v>
      </c>
    </row>
    <row r="282" spans="1:20" x14ac:dyDescent="0.25">
      <c r="A282" s="5">
        <v>44311</v>
      </c>
      <c r="B282">
        <v>4.4409999999999998</v>
      </c>
      <c r="C282">
        <v>4.7950999999999997</v>
      </c>
      <c r="D282">
        <v>4.2252000000000001</v>
      </c>
      <c r="E282">
        <v>4.4519000000000002</v>
      </c>
      <c r="F282">
        <v>5601999.9400000004</v>
      </c>
      <c r="G282">
        <v>0</v>
      </c>
      <c r="L282" t="s">
        <v>7</v>
      </c>
      <c r="M282" t="s">
        <v>8</v>
      </c>
      <c r="N282" t="s">
        <v>7</v>
      </c>
      <c r="P282">
        <f t="shared" si="964"/>
        <v>-0.20442182839094483</v>
      </c>
      <c r="Q282">
        <f t="shared" si="965"/>
        <v>-1145171.0703807634</v>
      </c>
      <c r="R282">
        <f t="shared" si="966"/>
        <v>309253723.2122429</v>
      </c>
      <c r="S282">
        <f t="shared" si="967"/>
        <v>3092.537232122429</v>
      </c>
      <c r="T282">
        <f t="shared" si="968"/>
        <v>3.0925372321224289</v>
      </c>
    </row>
    <row r="283" spans="1:20" x14ac:dyDescent="0.25">
      <c r="A283" s="5">
        <v>44310</v>
      </c>
      <c r="B283">
        <v>4.8198999999999996</v>
      </c>
      <c r="C283">
        <v>4.8334000000000001</v>
      </c>
      <c r="D283">
        <v>4.3898999999999999</v>
      </c>
      <c r="E283">
        <v>4.4402999999999997</v>
      </c>
      <c r="F283">
        <v>5943770.2300000004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-0.77271702367531114</v>
      </c>
      <c r="Q283">
        <f t="shared" si="965"/>
        <v>-4592852.4415355204</v>
      </c>
      <c r="R283">
        <f t="shared" si="966"/>
        <v>310398894.28262365</v>
      </c>
      <c r="S283">
        <f t="shared" si="967"/>
        <v>3103.9889428262363</v>
      </c>
      <c r="T283">
        <f t="shared" si="968"/>
        <v>3.1039889428262364</v>
      </c>
    </row>
    <row r="284" spans="1:20" x14ac:dyDescent="0.25">
      <c r="A284" s="5">
        <v>44309</v>
      </c>
      <c r="B284">
        <v>4.92</v>
      </c>
      <c r="C284">
        <v>5.1097999999999999</v>
      </c>
      <c r="D284">
        <v>4</v>
      </c>
      <c r="E284">
        <v>4.8198999999999996</v>
      </c>
      <c r="F284">
        <v>19278437.43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0.47756352495945165</v>
      </c>
      <c r="Q284">
        <f t="shared" si="965"/>
        <v>9206678.5347810313</v>
      </c>
      <c r="R284">
        <f t="shared" si="966"/>
        <v>314991746.72415918</v>
      </c>
      <c r="S284">
        <f t="shared" si="967"/>
        <v>3149.917467241592</v>
      </c>
      <c r="T284">
        <f t="shared" si="968"/>
        <v>3.1499174672415919</v>
      </c>
    </row>
    <row r="285" spans="1:20" x14ac:dyDescent="0.25">
      <c r="A285" s="5">
        <v>44308</v>
      </c>
      <c r="B285">
        <v>5.3300999999999998</v>
      </c>
      <c r="C285">
        <v>5.7582000000000004</v>
      </c>
      <c r="D285">
        <v>4.7770000000000001</v>
      </c>
      <c r="E285">
        <v>4.9127000000000001</v>
      </c>
      <c r="F285">
        <v>13183592.59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-0.72339991846718321</v>
      </c>
      <c r="Q285">
        <f t="shared" si="965"/>
        <v>-9537009.8047105614</v>
      </c>
      <c r="R285">
        <f t="shared" si="966"/>
        <v>305785068.18937814</v>
      </c>
      <c r="S285">
        <f t="shared" si="967"/>
        <v>3057.8506818937813</v>
      </c>
      <c r="T285">
        <f t="shared" si="968"/>
        <v>3.0578506818937812</v>
      </c>
    </row>
    <row r="286" spans="1:20" x14ac:dyDescent="0.25">
      <c r="A286" s="5">
        <v>44307</v>
      </c>
      <c r="B286">
        <v>5.6999000000000004</v>
      </c>
      <c r="C286">
        <v>5.84</v>
      </c>
      <c r="D286">
        <v>5.3026</v>
      </c>
      <c r="E286">
        <v>5.3285999999999998</v>
      </c>
      <c r="F286">
        <v>8759458.4299999997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-0.90323781168589579</v>
      </c>
      <c r="Q286">
        <f t="shared" si="965"/>
        <v>-7911874.0638667718</v>
      </c>
      <c r="R286">
        <f t="shared" si="966"/>
        <v>315322077.99408871</v>
      </c>
      <c r="S286">
        <f t="shared" si="967"/>
        <v>3153.220779940887</v>
      </c>
      <c r="T286">
        <f t="shared" si="968"/>
        <v>3.1532207799408871</v>
      </c>
    </row>
    <row r="287" spans="1:20" x14ac:dyDescent="0.25">
      <c r="A287" s="5">
        <v>44306</v>
      </c>
      <c r="B287">
        <v>5.4526000000000003</v>
      </c>
      <c r="C287">
        <v>5.7098000000000004</v>
      </c>
      <c r="D287">
        <v>4.9375</v>
      </c>
      <c r="E287">
        <v>5.7045000000000003</v>
      </c>
      <c r="F287">
        <v>13709905.970000001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0.98627476369286526</v>
      </c>
      <c r="Q287">
        <f t="shared" si="965"/>
        <v>13521734.270813154</v>
      </c>
      <c r="R287">
        <f t="shared" si="966"/>
        <v>323233952.0579555</v>
      </c>
      <c r="S287">
        <f t="shared" si="967"/>
        <v>3232.339520579555</v>
      </c>
      <c r="T287">
        <f t="shared" si="968"/>
        <v>3.2323395205795551</v>
      </c>
    </row>
    <row r="288" spans="1:20" x14ac:dyDescent="0.25">
      <c r="A288" s="5">
        <v>44305</v>
      </c>
      <c r="B288">
        <v>6.1760000000000002</v>
      </c>
      <c r="C288">
        <v>6.4223999999999997</v>
      </c>
      <c r="D288">
        <v>5.3163</v>
      </c>
      <c r="E288">
        <v>5.4512999999999998</v>
      </c>
      <c r="F288">
        <v>14482230.699999999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-0.75589910496338519</v>
      </c>
      <c r="Q288">
        <f t="shared" si="965"/>
        <v>-10947105.224003259</v>
      </c>
      <c r="R288">
        <f t="shared" si="966"/>
        <v>309712217.78714234</v>
      </c>
      <c r="S288">
        <f t="shared" si="967"/>
        <v>3097.1221778714234</v>
      </c>
      <c r="T288">
        <f t="shared" si="968"/>
        <v>3.0971221778714235</v>
      </c>
    </row>
    <row r="289" spans="1:20" x14ac:dyDescent="0.25">
      <c r="A289" s="5">
        <v>44304</v>
      </c>
      <c r="B289">
        <v>7.0568</v>
      </c>
      <c r="C289">
        <v>7.1685999999999996</v>
      </c>
      <c r="D289">
        <v>5.1471</v>
      </c>
      <c r="E289">
        <v>6.1760000000000002</v>
      </c>
      <c r="F289">
        <v>19981621.789999999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1.7956962651496745E-2</v>
      </c>
      <c r="Q289">
        <f t="shared" si="965"/>
        <v>358809.23619936354</v>
      </c>
      <c r="R289">
        <f t="shared" si="966"/>
        <v>320659323.01114559</v>
      </c>
      <c r="S289">
        <f t="shared" si="967"/>
        <v>3206.5932301114558</v>
      </c>
      <c r="T289">
        <f t="shared" si="968"/>
        <v>3.2065932301114559</v>
      </c>
    </row>
    <row r="290" spans="1:20" x14ac:dyDescent="0.25">
      <c r="A290" s="5">
        <v>44303</v>
      </c>
      <c r="B290">
        <v>7.2007000000000003</v>
      </c>
      <c r="C290">
        <v>7.6745000000000001</v>
      </c>
      <c r="D290">
        <v>6.9249999999999998</v>
      </c>
      <c r="E290">
        <v>7.0568</v>
      </c>
      <c r="F290">
        <v>11070039.380000001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-0.64829886591060681</v>
      </c>
      <c r="Q290">
        <f t="shared" si="965"/>
        <v>-7176693.9756397577</v>
      </c>
      <c r="R290">
        <f t="shared" si="966"/>
        <v>320300513.77494621</v>
      </c>
      <c r="S290">
        <f t="shared" si="967"/>
        <v>3203.0051377494619</v>
      </c>
      <c r="T290">
        <f t="shared" si="968"/>
        <v>3.2030051377494617</v>
      </c>
    </row>
    <row r="291" spans="1:20" x14ac:dyDescent="0.25">
      <c r="A291" s="5">
        <v>44302</v>
      </c>
      <c r="B291">
        <v>6.7873000000000001</v>
      </c>
      <c r="C291">
        <v>7.48</v>
      </c>
      <c r="D291">
        <v>6.5331999999999999</v>
      </c>
      <c r="E291">
        <v>7.1994999999999996</v>
      </c>
      <c r="F291">
        <v>22163454.620000001</v>
      </c>
      <c r="G291">
        <v>0</v>
      </c>
      <c r="L291" t="s">
        <v>8</v>
      </c>
      <c r="M291" t="s">
        <v>8</v>
      </c>
      <c r="N291" t="s">
        <v>8</v>
      </c>
      <c r="P291">
        <f t="shared" si="964"/>
        <v>0.40747782002534705</v>
      </c>
      <c r="Q291">
        <f t="shared" si="965"/>
        <v>9031116.1727883071</v>
      </c>
      <c r="R291">
        <f t="shared" si="966"/>
        <v>327477207.75058597</v>
      </c>
      <c r="S291">
        <f t="shared" si="967"/>
        <v>3274.7720775058597</v>
      </c>
      <c r="T291">
        <f t="shared" si="968"/>
        <v>3.2747720775058595</v>
      </c>
    </row>
    <row r="292" spans="1:20" x14ac:dyDescent="0.25">
      <c r="A292" s="5">
        <v>44301</v>
      </c>
      <c r="B292">
        <v>6.5689000000000002</v>
      </c>
      <c r="C292">
        <v>6.98</v>
      </c>
      <c r="D292">
        <v>6.3688000000000002</v>
      </c>
      <c r="E292">
        <v>6.7896999999999998</v>
      </c>
      <c r="F292">
        <v>10841976.49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0.37729057591622867</v>
      </c>
      <c r="Q292">
        <f t="shared" si="965"/>
        <v>4090575.5539823114</v>
      </c>
      <c r="R292">
        <f t="shared" si="966"/>
        <v>318446091.57779765</v>
      </c>
      <c r="S292">
        <f t="shared" si="967"/>
        <v>3184.4609157779764</v>
      </c>
      <c r="T292">
        <f t="shared" si="968"/>
        <v>3.1844609157779766</v>
      </c>
    </row>
    <row r="293" spans="1:20" x14ac:dyDescent="0.25">
      <c r="A293" s="5">
        <v>44300</v>
      </c>
      <c r="B293">
        <v>6.5574000000000003</v>
      </c>
      <c r="C293">
        <v>6.9108000000000001</v>
      </c>
      <c r="D293">
        <v>6.1424000000000003</v>
      </c>
      <c r="E293">
        <v>6.5662000000000003</v>
      </c>
      <c r="F293">
        <v>11671821.689999999</v>
      </c>
      <c r="G293">
        <v>0</v>
      </c>
      <c r="L293" t="s">
        <v>8</v>
      </c>
      <c r="M293" t="s">
        <v>8</v>
      </c>
      <c r="N293" t="s">
        <v>8</v>
      </c>
      <c r="P293">
        <f t="shared" si="964"/>
        <v>0.10307131702238441</v>
      </c>
      <c r="Q293">
        <f t="shared" si="965"/>
        <v>1203030.0336387325</v>
      </c>
      <c r="R293">
        <f t="shared" si="966"/>
        <v>314355516.02381533</v>
      </c>
      <c r="S293">
        <f t="shared" si="967"/>
        <v>3143.5551602381533</v>
      </c>
      <c r="T293">
        <f t="shared" si="968"/>
        <v>3.1435551602381535</v>
      </c>
    </row>
    <row r="294" spans="1:20" x14ac:dyDescent="0.25">
      <c r="A294" s="5">
        <v>44299</v>
      </c>
      <c r="B294">
        <v>6.2826000000000004</v>
      </c>
      <c r="C294">
        <v>6.6779999999999999</v>
      </c>
      <c r="D294">
        <v>6.0972999999999997</v>
      </c>
      <c r="E294">
        <v>6.5575999999999999</v>
      </c>
      <c r="F294">
        <v>8747036.8399999999</v>
      </c>
      <c r="G294">
        <v>0</v>
      </c>
      <c r="L294" t="s">
        <v>8</v>
      </c>
      <c r="M294" t="s">
        <v>8</v>
      </c>
      <c r="N294" t="s">
        <v>8</v>
      </c>
      <c r="P294">
        <f t="shared" si="964"/>
        <v>0.58532805235061125</v>
      </c>
      <c r="Q294">
        <f t="shared" si="965"/>
        <v>5119886.0373962447</v>
      </c>
      <c r="R294">
        <f t="shared" si="966"/>
        <v>313152485.99017662</v>
      </c>
      <c r="S294">
        <f t="shared" si="967"/>
        <v>3131.5248599017664</v>
      </c>
      <c r="T294">
        <f t="shared" si="968"/>
        <v>3.1315248599017664</v>
      </c>
    </row>
    <row r="295" spans="1:20" x14ac:dyDescent="0.25">
      <c r="A295" s="5">
        <v>44298</v>
      </c>
      <c r="B295">
        <v>6.4518000000000004</v>
      </c>
      <c r="C295">
        <v>6.5374999999999996</v>
      </c>
      <c r="D295">
        <v>6.0864000000000003</v>
      </c>
      <c r="E295">
        <v>6.2862999999999998</v>
      </c>
      <c r="F295">
        <v>7192135.8799999999</v>
      </c>
      <c r="G295">
        <v>0</v>
      </c>
      <c r="L295" t="s">
        <v>7</v>
      </c>
      <c r="M295" t="s">
        <v>8</v>
      </c>
      <c r="N295" t="s">
        <v>8</v>
      </c>
      <c r="P295">
        <f t="shared" si="964"/>
        <v>-0.11372201285746046</v>
      </c>
      <c r="Q295">
        <f t="shared" si="965"/>
        <v>-817904.16901796265</v>
      </c>
      <c r="R295">
        <f t="shared" si="966"/>
        <v>308032599.95278037</v>
      </c>
      <c r="S295">
        <f t="shared" si="967"/>
        <v>3080.3259995278036</v>
      </c>
      <c r="T295">
        <f t="shared" si="968"/>
        <v>3.0803259995278034</v>
      </c>
    </row>
    <row r="296" spans="1:20" x14ac:dyDescent="0.25">
      <c r="A296" s="5">
        <v>44297</v>
      </c>
      <c r="B296">
        <v>6.5674000000000001</v>
      </c>
      <c r="C296">
        <v>6.6879</v>
      </c>
      <c r="D296">
        <v>6.2938999999999998</v>
      </c>
      <c r="E296">
        <v>6.4516</v>
      </c>
      <c r="F296">
        <v>7473794.6399999997</v>
      </c>
      <c r="G296">
        <v>0</v>
      </c>
      <c r="L296" t="s">
        <v>7</v>
      </c>
      <c r="M296" t="s">
        <v>8</v>
      </c>
      <c r="N296" t="s">
        <v>8</v>
      </c>
      <c r="P296">
        <f t="shared" si="964"/>
        <v>-0.19949238578680142</v>
      </c>
      <c r="Q296">
        <f t="shared" si="965"/>
        <v>-1490965.1236142085</v>
      </c>
      <c r="R296">
        <f t="shared" si="966"/>
        <v>308850504.12179834</v>
      </c>
      <c r="S296">
        <f t="shared" si="967"/>
        <v>3088.5050412179835</v>
      </c>
      <c r="T296">
        <f t="shared" si="968"/>
        <v>3.0885050412179833</v>
      </c>
    </row>
    <row r="297" spans="1:20" x14ac:dyDescent="0.25">
      <c r="A297" s="5">
        <v>44296</v>
      </c>
      <c r="B297">
        <v>6.8376000000000001</v>
      </c>
      <c r="C297">
        <v>7.21</v>
      </c>
      <c r="D297">
        <v>6.2430000000000003</v>
      </c>
      <c r="E297">
        <v>6.5658000000000003</v>
      </c>
      <c r="F297">
        <v>16251833.09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-0.33236814891416733</v>
      </c>
      <c r="Q297">
        <f t="shared" si="965"/>
        <v>-5401591.6805853117</v>
      </c>
      <c r="R297">
        <f t="shared" si="966"/>
        <v>310341469.24541253</v>
      </c>
      <c r="S297">
        <f t="shared" si="967"/>
        <v>3103.4146924541251</v>
      </c>
      <c r="T297">
        <f t="shared" si="968"/>
        <v>3.103414692454125</v>
      </c>
    </row>
    <row r="298" spans="1:20" x14ac:dyDescent="0.25">
      <c r="A298" s="5">
        <v>44295</v>
      </c>
      <c r="B298">
        <v>6.1618000000000004</v>
      </c>
      <c r="C298">
        <v>6.8920000000000003</v>
      </c>
      <c r="D298">
        <v>6.0058999999999996</v>
      </c>
      <c r="E298">
        <v>6.8372000000000002</v>
      </c>
      <c r="F298">
        <v>13816617.289999999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0.87631192867622132</v>
      </c>
      <c r="Q298">
        <f t="shared" si="965"/>
        <v>12107666.545181125</v>
      </c>
      <c r="R298">
        <f t="shared" si="966"/>
        <v>315743060.92599785</v>
      </c>
      <c r="S298">
        <f t="shared" si="967"/>
        <v>3157.4306092599786</v>
      </c>
      <c r="T298">
        <f t="shared" si="968"/>
        <v>3.1574306092599786</v>
      </c>
    </row>
    <row r="299" spans="1:20" x14ac:dyDescent="0.25">
      <c r="A299" s="5">
        <v>44294</v>
      </c>
      <c r="B299">
        <v>5.5256999999999996</v>
      </c>
      <c r="C299">
        <v>6.2331000000000003</v>
      </c>
      <c r="D299">
        <v>5.4638999999999998</v>
      </c>
      <c r="E299">
        <v>6.1654</v>
      </c>
      <c r="F299">
        <v>7839041.9100000001</v>
      </c>
      <c r="G299">
        <v>0</v>
      </c>
      <c r="L299" t="s">
        <v>8</v>
      </c>
      <c r="M299" t="s">
        <v>7</v>
      </c>
      <c r="N299" t="s">
        <v>8</v>
      </c>
      <c r="P299">
        <f t="shared" si="964"/>
        <v>0.82397295891835609</v>
      </c>
      <c r="Q299">
        <f t="shared" si="965"/>
        <v>6459158.5576677015</v>
      </c>
      <c r="R299">
        <f t="shared" si="966"/>
        <v>303635394.3808167</v>
      </c>
      <c r="S299">
        <f t="shared" si="967"/>
        <v>3036.3539438081671</v>
      </c>
      <c r="T299">
        <f t="shared" si="968"/>
        <v>3.0363539438081673</v>
      </c>
    </row>
    <row r="300" spans="1:20" x14ac:dyDescent="0.25">
      <c r="A300" s="5">
        <v>44293</v>
      </c>
      <c r="B300">
        <v>6.1673999999999998</v>
      </c>
      <c r="C300">
        <v>6.4836</v>
      </c>
      <c r="D300">
        <v>5.3696999999999999</v>
      </c>
      <c r="E300">
        <v>5.5270000000000001</v>
      </c>
      <c r="F300">
        <v>15978367.41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-0.71756890205583945</v>
      </c>
      <c r="Q300">
        <f t="shared" si="965"/>
        <v>-11465579.559038507</v>
      </c>
      <c r="R300">
        <f t="shared" si="966"/>
        <v>297176235.82314903</v>
      </c>
      <c r="S300">
        <f t="shared" si="967"/>
        <v>2971.7623582314905</v>
      </c>
      <c r="T300">
        <f t="shared" si="968"/>
        <v>2.9717623582314903</v>
      </c>
    </row>
    <row r="301" spans="1:20" x14ac:dyDescent="0.25">
      <c r="A301" s="5">
        <v>44292</v>
      </c>
      <c r="B301">
        <v>6.1075999999999997</v>
      </c>
      <c r="C301">
        <v>6.8</v>
      </c>
      <c r="D301">
        <v>5.8369</v>
      </c>
      <c r="E301">
        <v>6.1642999999999999</v>
      </c>
      <c r="F301">
        <v>22685575.280000001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-0.32011213788806986</v>
      </c>
      <c r="Q301">
        <f t="shared" si="965"/>
        <v>-7261928.0021015489</v>
      </c>
      <c r="R301">
        <f t="shared" si="966"/>
        <v>308641815.38218755</v>
      </c>
      <c r="S301">
        <f t="shared" si="967"/>
        <v>3086.4181538218754</v>
      </c>
      <c r="T301">
        <f t="shared" si="968"/>
        <v>3.0864181538218753</v>
      </c>
    </row>
    <row r="302" spans="1:20" x14ac:dyDescent="0.25">
      <c r="A302" s="5">
        <v>44291</v>
      </c>
      <c r="B302">
        <v>5.1322999999999999</v>
      </c>
      <c r="C302">
        <v>6.48</v>
      </c>
      <c r="D302">
        <v>4.9657999999999998</v>
      </c>
      <c r="E302">
        <v>6.1039000000000003</v>
      </c>
      <c r="F302">
        <v>23882379.43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0.50323603222823943</v>
      </c>
      <c r="Q302">
        <f t="shared" si="965"/>
        <v>12018473.864522522</v>
      </c>
      <c r="R302">
        <f t="shared" si="966"/>
        <v>315903743.38428909</v>
      </c>
      <c r="S302">
        <f t="shared" si="967"/>
        <v>3159.037433842891</v>
      </c>
      <c r="T302">
        <f t="shared" si="968"/>
        <v>3.159037433842891</v>
      </c>
    </row>
    <row r="303" spans="1:20" x14ac:dyDescent="0.25">
      <c r="A303" s="5">
        <v>44290</v>
      </c>
      <c r="B303">
        <v>4.7670000000000003</v>
      </c>
      <c r="C303">
        <v>5.2054</v>
      </c>
      <c r="D303">
        <v>4.6626000000000003</v>
      </c>
      <c r="E303">
        <v>5.1348000000000003</v>
      </c>
      <c r="F303">
        <v>5395918.79</v>
      </c>
      <c r="G303">
        <v>0</v>
      </c>
      <c r="L303" t="s">
        <v>7</v>
      </c>
      <c r="M303" t="s">
        <v>8</v>
      </c>
      <c r="N303" t="s">
        <v>8</v>
      </c>
      <c r="P303">
        <f t="shared" si="964"/>
        <v>0.73986735445836471</v>
      </c>
      <c r="Q303">
        <f t="shared" si="965"/>
        <v>3992264.1600294802</v>
      </c>
      <c r="R303">
        <f t="shared" si="966"/>
        <v>303885269.51976657</v>
      </c>
      <c r="S303">
        <f t="shared" si="967"/>
        <v>3038.8526951976655</v>
      </c>
      <c r="T303">
        <f t="shared" si="968"/>
        <v>3.0388526951976655</v>
      </c>
    </row>
    <row r="304" spans="1:20" x14ac:dyDescent="0.25">
      <c r="A304" s="5">
        <v>44289</v>
      </c>
      <c r="B304">
        <v>5.2979000000000003</v>
      </c>
      <c r="C304">
        <v>5.41</v>
      </c>
      <c r="D304">
        <v>4.7336999999999998</v>
      </c>
      <c r="E304">
        <v>4.7671999999999999</v>
      </c>
      <c r="F304">
        <v>8585216.9800000004</v>
      </c>
      <c r="G304">
        <v>0</v>
      </c>
      <c r="L304" t="s">
        <v>7</v>
      </c>
      <c r="M304" t="s">
        <v>8</v>
      </c>
      <c r="N304" t="s">
        <v>8</v>
      </c>
      <c r="P304">
        <f t="shared" si="964"/>
        <v>-0.90093153925772562</v>
      </c>
      <c r="Q304">
        <f t="shared" si="965"/>
        <v>-7734692.748652963</v>
      </c>
      <c r="R304">
        <f t="shared" si="966"/>
        <v>299893005.3597371</v>
      </c>
      <c r="S304">
        <f t="shared" si="967"/>
        <v>2998.9300535973712</v>
      </c>
      <c r="T304">
        <f t="shared" si="968"/>
        <v>2.9989300535973711</v>
      </c>
    </row>
    <row r="305" spans="1:20" x14ac:dyDescent="0.25">
      <c r="A305" s="5">
        <v>44288</v>
      </c>
      <c r="B305">
        <v>5.1247999999999996</v>
      </c>
      <c r="C305">
        <v>5.38</v>
      </c>
      <c r="D305">
        <v>4.9641999999999999</v>
      </c>
      <c r="E305">
        <v>5.2998000000000003</v>
      </c>
      <c r="F305">
        <v>8783092.5299999993</v>
      </c>
      <c r="G305">
        <v>0</v>
      </c>
      <c r="L305" t="s">
        <v>7</v>
      </c>
      <c r="M305" t="s">
        <v>8</v>
      </c>
      <c r="N305" t="s">
        <v>8</v>
      </c>
      <c r="P305">
        <f t="shared" si="964"/>
        <v>0.61423761423761614</v>
      </c>
      <c r="Q305">
        <f t="shared" si="965"/>
        <v>5394905.8012554273</v>
      </c>
      <c r="R305">
        <f t="shared" si="966"/>
        <v>307627698.10839003</v>
      </c>
      <c r="S305">
        <f t="shared" si="967"/>
        <v>3076.2769810839004</v>
      </c>
      <c r="T305">
        <f t="shared" si="968"/>
        <v>3.0762769810839004</v>
      </c>
    </row>
    <row r="306" spans="1:20" x14ac:dyDescent="0.25">
      <c r="A306" s="5">
        <v>44287</v>
      </c>
      <c r="B306">
        <v>4.8262</v>
      </c>
      <c r="C306">
        <v>5.35</v>
      </c>
      <c r="D306">
        <v>4.7384000000000004</v>
      </c>
      <c r="E306">
        <v>5.1227999999999998</v>
      </c>
      <c r="F306">
        <v>17481614.010000002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0.25703073904512713</v>
      </c>
      <c r="Q306">
        <f t="shared" si="965"/>
        <v>4493312.168691949</v>
      </c>
      <c r="R306">
        <f t="shared" si="966"/>
        <v>302232792.30713463</v>
      </c>
      <c r="S306">
        <f t="shared" si="967"/>
        <v>3022.3279230713465</v>
      </c>
      <c r="T306">
        <f t="shared" si="968"/>
        <v>3.0223279230713467</v>
      </c>
    </row>
    <row r="307" spans="1:20" x14ac:dyDescent="0.25">
      <c r="A307" s="5">
        <v>44286</v>
      </c>
      <c r="B307">
        <v>4.5583</v>
      </c>
      <c r="C307">
        <v>4.8883000000000001</v>
      </c>
      <c r="D307">
        <v>4.2176999999999998</v>
      </c>
      <c r="E307">
        <v>4.8270999999999997</v>
      </c>
      <c r="F307">
        <v>9343521.7300000004</v>
      </c>
      <c r="G307">
        <v>0</v>
      </c>
      <c r="L307" t="s">
        <v>8</v>
      </c>
      <c r="M307" t="s">
        <v>8</v>
      </c>
      <c r="N307" t="s">
        <v>8</v>
      </c>
      <c r="P307">
        <f t="shared" si="964"/>
        <v>0.8174768863704136</v>
      </c>
      <c r="Q307">
        <f t="shared" si="965"/>
        <v>7638113.0515747005</v>
      </c>
      <c r="R307">
        <f t="shared" si="966"/>
        <v>297739480.1384427</v>
      </c>
      <c r="S307">
        <f t="shared" si="967"/>
        <v>2977.394801384427</v>
      </c>
      <c r="T307">
        <f t="shared" si="968"/>
        <v>2.9773948013844271</v>
      </c>
    </row>
    <row r="308" spans="1:20" x14ac:dyDescent="0.25">
      <c r="A308" s="5">
        <v>44285</v>
      </c>
      <c r="B308">
        <v>4.5940000000000003</v>
      </c>
      <c r="C308">
        <v>4.8</v>
      </c>
      <c r="D308">
        <v>4.5408999999999997</v>
      </c>
      <c r="E308">
        <v>4.5583999999999998</v>
      </c>
      <c r="F308">
        <v>7528166.1200000001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-0.86491702045542207</v>
      </c>
      <c r="Q308">
        <f t="shared" si="965"/>
        <v>-6511239.0100038555</v>
      </c>
      <c r="R308">
        <f t="shared" si="966"/>
        <v>290101367.08686799</v>
      </c>
      <c r="S308">
        <f t="shared" si="967"/>
        <v>2901.01367086868</v>
      </c>
      <c r="T308">
        <f t="shared" si="968"/>
        <v>2.90101367086868</v>
      </c>
    </row>
    <row r="309" spans="1:20" x14ac:dyDescent="0.25">
      <c r="A309" s="5">
        <v>44284</v>
      </c>
      <c r="B309">
        <v>4.2290000000000001</v>
      </c>
      <c r="C309">
        <v>4.6346999999999996</v>
      </c>
      <c r="D309">
        <v>4.1803999999999997</v>
      </c>
      <c r="E309">
        <v>4.5936000000000003</v>
      </c>
      <c r="F309">
        <v>8217003.0199999996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0.81906229363856808</v>
      </c>
      <c r="Q309">
        <f t="shared" si="965"/>
        <v>6730237.3403962404</v>
      </c>
      <c r="R309">
        <f t="shared" si="966"/>
        <v>296612606.09687185</v>
      </c>
      <c r="S309">
        <f t="shared" si="967"/>
        <v>2966.1260609687183</v>
      </c>
      <c r="T309">
        <f t="shared" si="968"/>
        <v>2.9661260609687181</v>
      </c>
    </row>
    <row r="310" spans="1:20" x14ac:dyDescent="0.25">
      <c r="A310" s="5">
        <v>44283</v>
      </c>
      <c r="B310">
        <v>4.1052999999999997</v>
      </c>
      <c r="C310">
        <v>4.3224</v>
      </c>
      <c r="D310">
        <v>4.07</v>
      </c>
      <c r="E310">
        <v>4.2298999999999998</v>
      </c>
      <c r="F310">
        <v>5179307.8</v>
      </c>
      <c r="G310">
        <v>0</v>
      </c>
      <c r="L310" t="s">
        <v>8</v>
      </c>
      <c r="M310" t="s">
        <v>7</v>
      </c>
      <c r="N310" t="s">
        <v>8</v>
      </c>
      <c r="P310">
        <f t="shared" si="964"/>
        <v>0.26703645007923654</v>
      </c>
      <c r="Q310">
        <f t="shared" si="965"/>
        <v>1383063.9687797003</v>
      </c>
      <c r="R310">
        <f t="shared" si="966"/>
        <v>289882368.75647563</v>
      </c>
      <c r="S310">
        <f t="shared" si="967"/>
        <v>2898.8236875647563</v>
      </c>
      <c r="T310">
        <f t="shared" si="968"/>
        <v>2.8988236875647564</v>
      </c>
    </row>
    <row r="311" spans="1:20" x14ac:dyDescent="0.25">
      <c r="A311" s="5">
        <v>44282</v>
      </c>
      <c r="B311">
        <v>4.1957000000000004</v>
      </c>
      <c r="C311">
        <v>4.2249999999999996</v>
      </c>
      <c r="D311">
        <v>4.0175999999999998</v>
      </c>
      <c r="E311">
        <v>4.1029999999999998</v>
      </c>
      <c r="F311">
        <v>3705387.3</v>
      </c>
      <c r="G311">
        <v>0</v>
      </c>
      <c r="L311" t="s">
        <v>8</v>
      </c>
      <c r="M311" t="s">
        <v>7</v>
      </c>
      <c r="N311" t="s">
        <v>8</v>
      </c>
      <c r="P311">
        <f t="shared" si="964"/>
        <v>-0.17647058823529413</v>
      </c>
      <c r="Q311">
        <f t="shared" si="965"/>
        <v>-653891.87647058826</v>
      </c>
      <c r="R311">
        <f t="shared" si="966"/>
        <v>288499304.78769594</v>
      </c>
      <c r="S311">
        <f t="shared" si="967"/>
        <v>2884.9930478769593</v>
      </c>
      <c r="T311">
        <f t="shared" si="968"/>
        <v>2.8849930478769594</v>
      </c>
    </row>
    <row r="312" spans="1:20" x14ac:dyDescent="0.25">
      <c r="A312" s="5">
        <v>44281</v>
      </c>
      <c r="B312">
        <v>3.9167999999999998</v>
      </c>
      <c r="C312">
        <v>4.2027999999999999</v>
      </c>
      <c r="D312">
        <v>3.9125000000000001</v>
      </c>
      <c r="E312">
        <v>4.1900000000000004</v>
      </c>
      <c r="F312">
        <v>5012475.0599999996</v>
      </c>
      <c r="G312">
        <v>0</v>
      </c>
      <c r="L312" t="s">
        <v>8</v>
      </c>
      <c r="M312" t="s">
        <v>7</v>
      </c>
      <c r="N312" t="s">
        <v>8</v>
      </c>
      <c r="P312">
        <f t="shared" si="964"/>
        <v>0.91181536341715819</v>
      </c>
      <c r="Q312">
        <f t="shared" si="965"/>
        <v>4570451.768453341</v>
      </c>
      <c r="R312">
        <f t="shared" si="966"/>
        <v>289153196.66416651</v>
      </c>
      <c r="S312">
        <f t="shared" si="967"/>
        <v>2891.5319666416649</v>
      </c>
      <c r="T312">
        <f t="shared" si="968"/>
        <v>2.891531966641665</v>
      </c>
    </row>
    <row r="313" spans="1:20" x14ac:dyDescent="0.25">
      <c r="A313" s="5">
        <v>44280</v>
      </c>
      <c r="B313">
        <v>3.9845000000000002</v>
      </c>
      <c r="C313">
        <v>4.0814000000000004</v>
      </c>
      <c r="D313">
        <v>3.75</v>
      </c>
      <c r="E313">
        <v>3.9174000000000002</v>
      </c>
      <c r="F313">
        <v>8313194.6100000003</v>
      </c>
      <c r="G313">
        <v>0</v>
      </c>
      <c r="L313" t="s">
        <v>7</v>
      </c>
      <c r="M313" t="s">
        <v>7</v>
      </c>
      <c r="N313" t="s">
        <v>8</v>
      </c>
      <c r="P313">
        <f t="shared" si="964"/>
        <v>1.0259505129752764E-2</v>
      </c>
      <c r="Q313">
        <f t="shared" si="965"/>
        <v>85289.262745928034</v>
      </c>
      <c r="R313">
        <f t="shared" si="966"/>
        <v>284582744.89571315</v>
      </c>
      <c r="S313">
        <f t="shared" si="967"/>
        <v>2845.8274489571313</v>
      </c>
      <c r="T313">
        <f t="shared" si="968"/>
        <v>2.8458274489571314</v>
      </c>
    </row>
    <row r="314" spans="1:20" x14ac:dyDescent="0.25">
      <c r="A314" s="5">
        <v>44279</v>
      </c>
      <c r="B314">
        <v>4.1261999999999999</v>
      </c>
      <c r="C314">
        <v>4.5270999999999999</v>
      </c>
      <c r="D314">
        <v>3.85</v>
      </c>
      <c r="E314">
        <v>3.9853000000000001</v>
      </c>
      <c r="F314">
        <v>11050153.24</v>
      </c>
      <c r="G314">
        <v>0</v>
      </c>
      <c r="L314" t="s">
        <v>7</v>
      </c>
      <c r="M314" t="s">
        <v>7</v>
      </c>
      <c r="N314" t="s">
        <v>8</v>
      </c>
      <c r="P314">
        <f t="shared" si="964"/>
        <v>-0.60035445281346922</v>
      </c>
      <c r="Q314">
        <f t="shared" si="965"/>
        <v>-6634008.7019051844</v>
      </c>
      <c r="R314">
        <f t="shared" si="966"/>
        <v>284497455.63296723</v>
      </c>
      <c r="S314">
        <f t="shared" si="967"/>
        <v>2844.9745563296724</v>
      </c>
      <c r="T314">
        <f t="shared" si="968"/>
        <v>2.8449745563296722</v>
      </c>
    </row>
    <row r="315" spans="1:20" x14ac:dyDescent="0.25">
      <c r="A315" s="5">
        <v>44278</v>
      </c>
      <c r="B315">
        <v>4.0555000000000003</v>
      </c>
      <c r="C315">
        <v>4.2428999999999997</v>
      </c>
      <c r="D315">
        <v>3.9498000000000002</v>
      </c>
      <c r="E315">
        <v>4.1292</v>
      </c>
      <c r="F315">
        <v>6864283.4400000004</v>
      </c>
      <c r="G315">
        <v>0</v>
      </c>
      <c r="L315" t="s">
        <v>7</v>
      </c>
      <c r="M315" t="s">
        <v>8</v>
      </c>
      <c r="N315" t="s">
        <v>8</v>
      </c>
      <c r="P315">
        <f t="shared" si="964"/>
        <v>0.22415557830092189</v>
      </c>
      <c r="Q315">
        <f t="shared" si="965"/>
        <v>1538667.4241146415</v>
      </c>
      <c r="R315">
        <f t="shared" si="966"/>
        <v>291131464.33487242</v>
      </c>
      <c r="S315">
        <f t="shared" si="967"/>
        <v>2911.3146433487241</v>
      </c>
      <c r="T315">
        <f t="shared" si="968"/>
        <v>2.911314643348724</v>
      </c>
    </row>
    <row r="316" spans="1:20" x14ac:dyDescent="0.25">
      <c r="A316" s="5">
        <v>44277</v>
      </c>
      <c r="B316">
        <v>4.1707999999999998</v>
      </c>
      <c r="C316">
        <v>4.4257</v>
      </c>
      <c r="D316">
        <v>4.0179</v>
      </c>
      <c r="E316">
        <v>4.0532000000000004</v>
      </c>
      <c r="F316">
        <v>7994389.6699999999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-0.82687591956841422</v>
      </c>
      <c r="Q316">
        <f t="shared" si="965"/>
        <v>-6610368.3097694814</v>
      </c>
      <c r="R316">
        <f t="shared" si="966"/>
        <v>289592796.91075778</v>
      </c>
      <c r="S316">
        <f t="shared" si="967"/>
        <v>2895.9279691075776</v>
      </c>
      <c r="T316">
        <f t="shared" si="968"/>
        <v>2.8959279691075777</v>
      </c>
    </row>
    <row r="317" spans="1:20" x14ac:dyDescent="0.25">
      <c r="A317" s="5">
        <v>44276</v>
      </c>
      <c r="B317">
        <v>4.3630000000000004</v>
      </c>
      <c r="C317">
        <v>4.4286000000000003</v>
      </c>
      <c r="D317">
        <v>4.0378999999999996</v>
      </c>
      <c r="E317">
        <v>4.1707999999999998</v>
      </c>
      <c r="F317">
        <v>5428250.0199999996</v>
      </c>
      <c r="G317">
        <v>0</v>
      </c>
      <c r="L317" t="s">
        <v>7</v>
      </c>
      <c r="M317" t="s">
        <v>8</v>
      </c>
      <c r="N317" t="s">
        <v>8</v>
      </c>
      <c r="P317">
        <f t="shared" si="964"/>
        <v>-0.31968262093678013</v>
      </c>
      <c r="Q317">
        <f t="shared" si="965"/>
        <v>-1735317.193493729</v>
      </c>
      <c r="R317">
        <f t="shared" si="966"/>
        <v>296203165.22052723</v>
      </c>
      <c r="S317">
        <f t="shared" si="967"/>
        <v>2962.0316522052722</v>
      </c>
      <c r="T317">
        <f t="shared" si="968"/>
        <v>2.9620316522052721</v>
      </c>
    </row>
    <row r="318" spans="1:20" x14ac:dyDescent="0.25">
      <c r="A318" s="5">
        <v>44275</v>
      </c>
      <c r="B318">
        <v>4.2229999999999999</v>
      </c>
      <c r="C318">
        <v>4.6100000000000003</v>
      </c>
      <c r="D318">
        <v>4.2027000000000001</v>
      </c>
      <c r="E318">
        <v>4.3600000000000003</v>
      </c>
      <c r="F318">
        <v>7668345.1200000001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-0.22759636631475505</v>
      </c>
      <c r="Q318">
        <f t="shared" si="965"/>
        <v>-1745287.4849594843</v>
      </c>
      <c r="R318">
        <f t="shared" si="966"/>
        <v>297938482.41402096</v>
      </c>
      <c r="S318">
        <f t="shared" si="967"/>
        <v>2979.3848241402097</v>
      </c>
      <c r="T318">
        <f t="shared" si="968"/>
        <v>2.9793848241402099</v>
      </c>
    </row>
    <row r="319" spans="1:20" x14ac:dyDescent="0.25">
      <c r="A319" s="5">
        <v>44274</v>
      </c>
      <c r="B319">
        <v>4.2637</v>
      </c>
      <c r="C319">
        <v>4.3518999999999997</v>
      </c>
      <c r="D319">
        <v>4.1115000000000004</v>
      </c>
      <c r="E319">
        <v>4.2257999999999996</v>
      </c>
      <c r="F319">
        <v>4902486.54</v>
      </c>
      <c r="G319">
        <v>0</v>
      </c>
      <c r="L319" t="s">
        <v>7</v>
      </c>
      <c r="M319" t="s">
        <v>8</v>
      </c>
      <c r="N319" t="s">
        <v>8</v>
      </c>
      <c r="P319">
        <f t="shared" si="964"/>
        <v>-4.9084858569055555E-2</v>
      </c>
      <c r="Q319">
        <f t="shared" si="965"/>
        <v>-240637.85845259851</v>
      </c>
      <c r="R319">
        <f t="shared" si="966"/>
        <v>299683769.89898044</v>
      </c>
      <c r="S319">
        <f t="shared" si="967"/>
        <v>2996.8376989898043</v>
      </c>
      <c r="T319">
        <f t="shared" si="968"/>
        <v>2.9968376989898045</v>
      </c>
    </row>
    <row r="320" spans="1:20" x14ac:dyDescent="0.25">
      <c r="A320" s="5">
        <v>44273</v>
      </c>
      <c r="B320">
        <v>4.4122000000000003</v>
      </c>
      <c r="C320">
        <v>4.58</v>
      </c>
      <c r="D320">
        <v>4.2249999999999996</v>
      </c>
      <c r="E320">
        <v>4.2594000000000003</v>
      </c>
      <c r="F320">
        <v>9312081.9499999993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-0.80619718309858812</v>
      </c>
      <c r="Q320">
        <f t="shared" si="965"/>
        <v>-7507374.2368732067</v>
      </c>
      <c r="R320">
        <f t="shared" si="966"/>
        <v>299924407.75743306</v>
      </c>
      <c r="S320">
        <f t="shared" si="967"/>
        <v>2999.2440775743307</v>
      </c>
      <c r="T320">
        <f t="shared" si="968"/>
        <v>2.9992440775743305</v>
      </c>
    </row>
    <row r="321" spans="1:20" x14ac:dyDescent="0.25">
      <c r="A321" s="5">
        <v>44272</v>
      </c>
      <c r="B321">
        <v>4.0420999999999996</v>
      </c>
      <c r="C321">
        <v>4.4550000000000001</v>
      </c>
      <c r="D321">
        <v>3.8409</v>
      </c>
      <c r="E321">
        <v>4.4122000000000003</v>
      </c>
      <c r="F321">
        <v>11114359.640000001</v>
      </c>
      <c r="G321">
        <v>0</v>
      </c>
      <c r="L321" t="s">
        <v>8</v>
      </c>
      <c r="M321" t="s">
        <v>8</v>
      </c>
      <c r="N321" t="s">
        <v>8</v>
      </c>
      <c r="P321">
        <f t="shared" si="964"/>
        <v>0.86060902133203154</v>
      </c>
      <c r="Q321">
        <f t="shared" si="965"/>
        <v>9565118.1725126319</v>
      </c>
      <c r="R321">
        <f t="shared" si="966"/>
        <v>307431781.99430627</v>
      </c>
      <c r="S321">
        <f t="shared" si="967"/>
        <v>3074.3178199430627</v>
      </c>
      <c r="T321">
        <f t="shared" si="968"/>
        <v>3.0743178199430625</v>
      </c>
    </row>
    <row r="322" spans="1:20" x14ac:dyDescent="0.25">
      <c r="A322" s="5">
        <v>44271</v>
      </c>
      <c r="B322">
        <v>3.8313999999999999</v>
      </c>
      <c r="C322">
        <v>4.0496999999999996</v>
      </c>
      <c r="D322">
        <v>3.6859999999999999</v>
      </c>
      <c r="E322">
        <v>4.0391000000000004</v>
      </c>
      <c r="F322">
        <v>6229687.3300000001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0.94171020071487888</v>
      </c>
      <c r="Q322">
        <f t="shared" si="965"/>
        <v>5866560.1059252378</v>
      </c>
      <c r="R322">
        <f t="shared" si="966"/>
        <v>297866663.82179362</v>
      </c>
      <c r="S322">
        <f t="shared" si="967"/>
        <v>2978.666638217936</v>
      </c>
      <c r="T322">
        <f t="shared" si="968"/>
        <v>2.9786666382179359</v>
      </c>
    </row>
    <row r="323" spans="1:20" x14ac:dyDescent="0.25">
      <c r="A323" s="5">
        <v>44270</v>
      </c>
      <c r="B323">
        <v>3.9302000000000001</v>
      </c>
      <c r="C323">
        <v>4.0553999999999997</v>
      </c>
      <c r="D323">
        <v>3.7301000000000002</v>
      </c>
      <c r="E323">
        <v>3.8323999999999998</v>
      </c>
      <c r="F323">
        <v>5449164.3600000003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-0.37104211497079753</v>
      </c>
      <c r="Q323">
        <f t="shared" si="965"/>
        <v>-2021869.4689578924</v>
      </c>
      <c r="R323">
        <f t="shared" si="966"/>
        <v>292000103.71586835</v>
      </c>
      <c r="S323">
        <f t="shared" si="967"/>
        <v>2920.0010371586836</v>
      </c>
      <c r="T323">
        <f t="shared" si="968"/>
        <v>2.9200010371586838</v>
      </c>
    </row>
    <row r="324" spans="1:20" x14ac:dyDescent="0.25">
      <c r="A324" s="5">
        <v>44269</v>
      </c>
      <c r="B324">
        <v>4.1654</v>
      </c>
      <c r="C324">
        <v>4.1917</v>
      </c>
      <c r="D324">
        <v>3.9247999999999998</v>
      </c>
      <c r="E324">
        <v>3.9247999999999998</v>
      </c>
      <c r="F324">
        <v>4589951.6399999997</v>
      </c>
      <c r="G324">
        <v>0</v>
      </c>
      <c r="L324" t="s">
        <v>8</v>
      </c>
      <c r="M324" t="s">
        <v>7</v>
      </c>
      <c r="N324" t="s">
        <v>8</v>
      </c>
      <c r="P324">
        <f t="shared" si="964"/>
        <v>-1</v>
      </c>
      <c r="Q324">
        <f t="shared" si="965"/>
        <v>-4589951.6399999997</v>
      </c>
      <c r="R324">
        <f t="shared" si="966"/>
        <v>294021973.18482625</v>
      </c>
      <c r="S324">
        <f t="shared" si="967"/>
        <v>2940.2197318482627</v>
      </c>
      <c r="T324">
        <f t="shared" si="968"/>
        <v>2.9402197318482628</v>
      </c>
    </row>
    <row r="325" spans="1:20" x14ac:dyDescent="0.25">
      <c r="A325" s="5">
        <v>44268</v>
      </c>
      <c r="B325">
        <v>3.9645999999999999</v>
      </c>
      <c r="C325">
        <v>4.2370999999999999</v>
      </c>
      <c r="D325">
        <v>3.8</v>
      </c>
      <c r="E325">
        <v>4.1650999999999998</v>
      </c>
      <c r="F325">
        <v>5396030.5499999998</v>
      </c>
      <c r="G325">
        <v>0</v>
      </c>
      <c r="L325" t="s">
        <v>8</v>
      </c>
      <c r="M325" t="s">
        <v>7</v>
      </c>
      <c r="N325" t="s">
        <v>8</v>
      </c>
      <c r="P325">
        <f t="shared" si="964"/>
        <v>0.67055593685655435</v>
      </c>
      <c r="Q325">
        <f t="shared" si="965"/>
        <v>3618340.320761838</v>
      </c>
      <c r="R325">
        <f t="shared" si="966"/>
        <v>298611924.82482624</v>
      </c>
      <c r="S325">
        <f t="shared" si="967"/>
        <v>2986.1192482482625</v>
      </c>
      <c r="T325">
        <f t="shared" si="968"/>
        <v>2.9861192482482624</v>
      </c>
    </row>
    <row r="326" spans="1:20" x14ac:dyDescent="0.25">
      <c r="A326" s="5">
        <v>44267</v>
      </c>
      <c r="B326">
        <v>4.1215000000000002</v>
      </c>
      <c r="C326">
        <v>4.1451000000000002</v>
      </c>
      <c r="D326">
        <v>3.8111000000000002</v>
      </c>
      <c r="E326">
        <v>3.9691000000000001</v>
      </c>
      <c r="F326">
        <v>6531420.9199999999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-5.3892215568862978E-2</v>
      </c>
      <c r="Q326">
        <f t="shared" ref="Q326:Q389" si="970">F326*P326</f>
        <v>-351992.74419162137</v>
      </c>
      <c r="R326">
        <f t="shared" ref="R326:R389" si="971">R327+Q326</f>
        <v>294993584.50406438</v>
      </c>
      <c r="S326">
        <f t="shared" ref="S326:S389" si="972">R326/100000</f>
        <v>2949.9358450406439</v>
      </c>
      <c r="T326">
        <f t="shared" ref="T326:T389" si="973">S326/1000</f>
        <v>2.9499358450406441</v>
      </c>
    </row>
    <row r="327" spans="1:20" x14ac:dyDescent="0.25">
      <c r="A327" s="5">
        <v>44266</v>
      </c>
      <c r="B327">
        <v>4.1402000000000001</v>
      </c>
      <c r="C327">
        <v>4.1947000000000001</v>
      </c>
      <c r="D327">
        <v>3.9432999999999998</v>
      </c>
      <c r="E327">
        <v>4.1219999999999999</v>
      </c>
      <c r="F327">
        <v>5110514.18</v>
      </c>
      <c r="G327">
        <v>0</v>
      </c>
      <c r="L327" t="s">
        <v>7</v>
      </c>
      <c r="M327" t="s">
        <v>8</v>
      </c>
      <c r="N327" t="s">
        <v>8</v>
      </c>
      <c r="P327">
        <f t="shared" si="969"/>
        <v>0.42163882259347552</v>
      </c>
      <c r="Q327">
        <f t="shared" si="970"/>
        <v>2154791.1817024611</v>
      </c>
      <c r="R327">
        <f t="shared" si="971"/>
        <v>295345577.24825603</v>
      </c>
      <c r="S327">
        <f t="shared" si="972"/>
        <v>2953.4557724825604</v>
      </c>
      <c r="T327">
        <f t="shared" si="973"/>
        <v>2.9534557724825605</v>
      </c>
    </row>
    <row r="328" spans="1:20" x14ac:dyDescent="0.25">
      <c r="A328" s="5">
        <v>44265</v>
      </c>
      <c r="B328">
        <v>4.4673999999999996</v>
      </c>
      <c r="C328">
        <v>4.4805000000000001</v>
      </c>
      <c r="D328">
        <v>4.0629</v>
      </c>
      <c r="E328">
        <v>4.1439000000000004</v>
      </c>
      <c r="F328">
        <v>7360693.1900000004</v>
      </c>
      <c r="G328">
        <v>0</v>
      </c>
      <c r="L328" t="s">
        <v>7</v>
      </c>
      <c r="M328" t="s">
        <v>8</v>
      </c>
      <c r="N328" t="s">
        <v>8</v>
      </c>
      <c r="P328">
        <f t="shared" si="969"/>
        <v>-0.61206896551723966</v>
      </c>
      <c r="Q328">
        <f t="shared" si="970"/>
        <v>-4505251.8662930913</v>
      </c>
      <c r="R328">
        <f t="shared" si="971"/>
        <v>293190786.06655359</v>
      </c>
      <c r="S328">
        <f t="shared" si="972"/>
        <v>2931.9078606655357</v>
      </c>
      <c r="T328">
        <f t="shared" si="973"/>
        <v>2.9319078606655355</v>
      </c>
    </row>
    <row r="329" spans="1:20" x14ac:dyDescent="0.25">
      <c r="A329" s="5">
        <v>44264</v>
      </c>
      <c r="B329">
        <v>4.4004000000000003</v>
      </c>
      <c r="C329">
        <v>4.5898000000000003</v>
      </c>
      <c r="D329">
        <v>4.3314000000000004</v>
      </c>
      <c r="E329">
        <v>4.4664000000000001</v>
      </c>
      <c r="F329">
        <v>8132954.2400000002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4.4891640866871564E-2</v>
      </c>
      <c r="Q329">
        <f t="shared" si="970"/>
        <v>365101.66092878039</v>
      </c>
      <c r="R329">
        <f t="shared" si="971"/>
        <v>297696037.93284667</v>
      </c>
      <c r="S329">
        <f t="shared" si="972"/>
        <v>2976.9603793284668</v>
      </c>
      <c r="T329">
        <f t="shared" si="973"/>
        <v>2.9769603793284669</v>
      </c>
    </row>
    <row r="330" spans="1:20" x14ac:dyDescent="0.25">
      <c r="A330" s="5">
        <v>44263</v>
      </c>
      <c r="B330">
        <v>4.1914999999999996</v>
      </c>
      <c r="C330">
        <v>4.49</v>
      </c>
      <c r="D330">
        <v>4.0526999999999997</v>
      </c>
      <c r="E330">
        <v>4.4000000000000004</v>
      </c>
      <c r="F330">
        <v>11278119.960000001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0.58838326091927851</v>
      </c>
      <c r="Q330">
        <f t="shared" si="970"/>
        <v>6635856.999103603</v>
      </c>
      <c r="R330">
        <f t="shared" si="971"/>
        <v>297330936.27191788</v>
      </c>
      <c r="S330">
        <f t="shared" si="972"/>
        <v>2973.3093627191788</v>
      </c>
      <c r="T330">
        <f t="shared" si="973"/>
        <v>2.9733093627191787</v>
      </c>
    </row>
    <row r="331" spans="1:20" x14ac:dyDescent="0.25">
      <c r="A331" s="5">
        <v>44262</v>
      </c>
      <c r="B331">
        <v>3.8732000000000002</v>
      </c>
      <c r="C331">
        <v>4.2069000000000001</v>
      </c>
      <c r="D331">
        <v>3.8218000000000001</v>
      </c>
      <c r="E331">
        <v>4.1948999999999996</v>
      </c>
      <c r="F331">
        <v>7924104.3300000001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0.93767852505842397</v>
      </c>
      <c r="Q331">
        <f t="shared" si="970"/>
        <v>7430262.4605634706</v>
      </c>
      <c r="R331">
        <f t="shared" si="971"/>
        <v>290695079.27281427</v>
      </c>
      <c r="S331">
        <f t="shared" si="972"/>
        <v>2906.9507927281429</v>
      </c>
      <c r="T331">
        <f t="shared" si="973"/>
        <v>2.9069507927281428</v>
      </c>
    </row>
    <row r="332" spans="1:20" x14ac:dyDescent="0.25">
      <c r="A332" s="5">
        <v>44261</v>
      </c>
      <c r="B332">
        <v>3.7631000000000001</v>
      </c>
      <c r="C332">
        <v>4.0143000000000004</v>
      </c>
      <c r="D332">
        <v>3.7117</v>
      </c>
      <c r="E332">
        <v>3.8719999999999999</v>
      </c>
      <c r="F332">
        <v>6604972.1399999997</v>
      </c>
      <c r="G332">
        <v>0</v>
      </c>
      <c r="L332" t="s">
        <v>8</v>
      </c>
      <c r="M332" t="s">
        <v>8</v>
      </c>
      <c r="N332" t="s">
        <v>7</v>
      </c>
      <c r="P332">
        <f t="shared" si="969"/>
        <v>5.9484467944478932E-2</v>
      </c>
      <c r="Q332">
        <f t="shared" si="970"/>
        <v>392893.25353600638</v>
      </c>
      <c r="R332">
        <f t="shared" si="971"/>
        <v>283264816.81225079</v>
      </c>
      <c r="S332">
        <f t="shared" si="972"/>
        <v>2832.6481681225077</v>
      </c>
      <c r="T332">
        <f t="shared" si="973"/>
        <v>2.8326481681225077</v>
      </c>
    </row>
    <row r="333" spans="1:20" x14ac:dyDescent="0.25">
      <c r="A333" s="5">
        <v>44260</v>
      </c>
      <c r="B333">
        <v>3.6646999999999998</v>
      </c>
      <c r="C333">
        <v>3.8605</v>
      </c>
      <c r="D333">
        <v>3.4419</v>
      </c>
      <c r="E333">
        <v>3.7621000000000002</v>
      </c>
      <c r="F333">
        <v>8932358.25</v>
      </c>
      <c r="G333">
        <v>0</v>
      </c>
      <c r="L333" t="s">
        <v>7</v>
      </c>
      <c r="M333" t="s">
        <v>8</v>
      </c>
      <c r="N333" t="s">
        <v>7</v>
      </c>
      <c r="P333">
        <f t="shared" si="969"/>
        <v>0.5298614429049221</v>
      </c>
      <c r="Q333">
        <f t="shared" si="970"/>
        <v>4732912.2308886852</v>
      </c>
      <c r="R333">
        <f t="shared" si="971"/>
        <v>282871923.55871481</v>
      </c>
      <c r="S333">
        <f t="shared" si="972"/>
        <v>2828.719235587148</v>
      </c>
      <c r="T333">
        <f t="shared" si="973"/>
        <v>2.828719235587148</v>
      </c>
    </row>
    <row r="334" spans="1:20" x14ac:dyDescent="0.25">
      <c r="A334" s="5">
        <v>44259</v>
      </c>
      <c r="B334">
        <v>3.8435000000000001</v>
      </c>
      <c r="C334">
        <v>3.9708999999999999</v>
      </c>
      <c r="D334">
        <v>3.5592999999999999</v>
      </c>
      <c r="E334">
        <v>3.6631999999999998</v>
      </c>
      <c r="F334">
        <v>9116826.9499999993</v>
      </c>
      <c r="G334">
        <v>0</v>
      </c>
      <c r="L334" t="s">
        <v>7</v>
      </c>
      <c r="M334" t="s">
        <v>8</v>
      </c>
      <c r="N334" t="s">
        <v>7</v>
      </c>
      <c r="P334">
        <f t="shared" si="969"/>
        <v>-0.495140913508261</v>
      </c>
      <c r="Q334">
        <f t="shared" si="970"/>
        <v>-4514114.0243197326</v>
      </c>
      <c r="R334">
        <f t="shared" si="971"/>
        <v>278139011.32782614</v>
      </c>
      <c r="S334">
        <f t="shared" si="972"/>
        <v>2781.3901132782612</v>
      </c>
      <c r="T334">
        <f t="shared" si="973"/>
        <v>2.781390113278261</v>
      </c>
    </row>
    <row r="335" spans="1:20" x14ac:dyDescent="0.25">
      <c r="A335" s="5">
        <v>44258</v>
      </c>
      <c r="B335">
        <v>3.6871999999999998</v>
      </c>
      <c r="C335">
        <v>4</v>
      </c>
      <c r="D335">
        <v>3.66</v>
      </c>
      <c r="E335">
        <v>3.8433999999999999</v>
      </c>
      <c r="F335">
        <v>10373092.73</v>
      </c>
      <c r="G335">
        <v>0</v>
      </c>
      <c r="L335" t="s">
        <v>8</v>
      </c>
      <c r="M335" t="s">
        <v>8</v>
      </c>
      <c r="N335" t="s">
        <v>7</v>
      </c>
      <c r="P335">
        <f t="shared" si="969"/>
        <v>7.882352941176389E-2</v>
      </c>
      <c r="Q335">
        <f t="shared" si="970"/>
        <v>817643.77989410923</v>
      </c>
      <c r="R335">
        <f t="shared" si="971"/>
        <v>282653125.35214585</v>
      </c>
      <c r="S335">
        <f t="shared" si="972"/>
        <v>2826.5312535214584</v>
      </c>
      <c r="T335">
        <f t="shared" si="973"/>
        <v>2.8265312535214586</v>
      </c>
    </row>
    <row r="336" spans="1:20" x14ac:dyDescent="0.25">
      <c r="A336" s="5">
        <v>44257</v>
      </c>
      <c r="B336">
        <v>3.6335999999999999</v>
      </c>
      <c r="C336">
        <v>3.8056999999999999</v>
      </c>
      <c r="D336">
        <v>3.4851999999999999</v>
      </c>
      <c r="E336">
        <v>3.6898</v>
      </c>
      <c r="F336">
        <v>9486231.6899999995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0.27675507020280882</v>
      </c>
      <c r="Q336">
        <f t="shared" si="970"/>
        <v>2625362.7173260595</v>
      </c>
      <c r="R336">
        <f t="shared" si="971"/>
        <v>281835481.57225174</v>
      </c>
      <c r="S336">
        <f t="shared" si="972"/>
        <v>2818.3548157225173</v>
      </c>
      <c r="T336">
        <f t="shared" si="973"/>
        <v>2.8183548157225173</v>
      </c>
    </row>
    <row r="337" spans="1:20" x14ac:dyDescent="0.25">
      <c r="A337" s="5">
        <v>44256</v>
      </c>
      <c r="B337">
        <v>3.4256000000000002</v>
      </c>
      <c r="C337">
        <v>3.6886999999999999</v>
      </c>
      <c r="D337">
        <v>3.3889</v>
      </c>
      <c r="E337">
        <v>3.6335999999999999</v>
      </c>
      <c r="F337">
        <v>6680178.96</v>
      </c>
      <c r="G337">
        <v>0</v>
      </c>
      <c r="L337" t="s">
        <v>8</v>
      </c>
      <c r="M337" t="s">
        <v>7</v>
      </c>
      <c r="N337" t="s">
        <v>7</v>
      </c>
      <c r="P337">
        <f t="shared" si="969"/>
        <v>0.63242161440960665</v>
      </c>
      <c r="Q337">
        <f t="shared" si="970"/>
        <v>4224689.5624282872</v>
      </c>
      <c r="R337">
        <f t="shared" si="971"/>
        <v>279210118.85492569</v>
      </c>
      <c r="S337">
        <f t="shared" si="972"/>
        <v>2792.1011885492571</v>
      </c>
      <c r="T337">
        <f t="shared" si="973"/>
        <v>2.7921011885492573</v>
      </c>
    </row>
    <row r="338" spans="1:20" x14ac:dyDescent="0.25">
      <c r="A338" s="5">
        <v>44255</v>
      </c>
      <c r="B338">
        <v>3.6345000000000001</v>
      </c>
      <c r="C338">
        <v>3.673</v>
      </c>
      <c r="D338">
        <v>3.1867000000000001</v>
      </c>
      <c r="E338">
        <v>3.4257</v>
      </c>
      <c r="F338">
        <v>9958440.7699999996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-1.7067653711701002E-2</v>
      </c>
      <c r="Q338">
        <f t="shared" si="970"/>
        <v>-169967.21857084509</v>
      </c>
      <c r="R338">
        <f t="shared" si="971"/>
        <v>274985429.2924974</v>
      </c>
      <c r="S338">
        <f t="shared" si="972"/>
        <v>2749.8542929249738</v>
      </c>
      <c r="T338">
        <f t="shared" si="973"/>
        <v>2.7498542929249736</v>
      </c>
    </row>
    <row r="339" spans="1:20" x14ac:dyDescent="0.25">
      <c r="A339" s="5">
        <v>44254</v>
      </c>
      <c r="B339">
        <v>3.4693000000000001</v>
      </c>
      <c r="C339">
        <v>3.8666</v>
      </c>
      <c r="D339">
        <v>3.4624999999999999</v>
      </c>
      <c r="E339">
        <v>3.6343999999999999</v>
      </c>
      <c r="F339">
        <v>10346853.310000001</v>
      </c>
      <c r="G339">
        <v>0</v>
      </c>
      <c r="L339" t="s">
        <v>8</v>
      </c>
      <c r="M339" t="s">
        <v>8</v>
      </c>
      <c r="N339" t="s">
        <v>7</v>
      </c>
      <c r="P339">
        <f t="shared" si="969"/>
        <v>-0.14922048997772883</v>
      </c>
      <c r="Q339">
        <f t="shared" si="970"/>
        <v>-1543962.5206458855</v>
      </c>
      <c r="R339">
        <f t="shared" si="971"/>
        <v>275155396.51106822</v>
      </c>
      <c r="S339">
        <f t="shared" si="972"/>
        <v>2751.5539651106824</v>
      </c>
      <c r="T339">
        <f t="shared" si="973"/>
        <v>2.7515539651106824</v>
      </c>
    </row>
    <row r="340" spans="1:20" x14ac:dyDescent="0.25">
      <c r="A340" s="5">
        <v>44253</v>
      </c>
      <c r="B340">
        <v>3.3374999999999999</v>
      </c>
      <c r="C340">
        <v>3.7991999999999999</v>
      </c>
      <c r="D340">
        <v>3.1680999999999999</v>
      </c>
      <c r="E340">
        <v>3.4691999999999998</v>
      </c>
      <c r="F340">
        <v>16572951.449999999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-4.5793059736967436E-2</v>
      </c>
      <c r="Q340">
        <f t="shared" si="970"/>
        <v>-758926.155767711</v>
      </c>
      <c r="R340">
        <f t="shared" si="971"/>
        <v>276699359.03171408</v>
      </c>
      <c r="S340">
        <f t="shared" si="972"/>
        <v>2766.9935903171408</v>
      </c>
      <c r="T340">
        <f t="shared" si="973"/>
        <v>2.7669935903171408</v>
      </c>
    </row>
    <row r="341" spans="1:20" x14ac:dyDescent="0.25">
      <c r="A341" s="5">
        <v>44252</v>
      </c>
      <c r="B341">
        <v>3.5341</v>
      </c>
      <c r="C341">
        <v>3.8382999999999998</v>
      </c>
      <c r="D341">
        <v>3.2847</v>
      </c>
      <c r="E341">
        <v>3.3369</v>
      </c>
      <c r="F341">
        <v>18442535.710000001</v>
      </c>
      <c r="G341">
        <v>0</v>
      </c>
      <c r="L341" t="s">
        <v>7</v>
      </c>
      <c r="M341" t="s">
        <v>8</v>
      </c>
      <c r="N341" t="s">
        <v>7</v>
      </c>
      <c r="P341">
        <f t="shared" si="969"/>
        <v>-0.81141618497109813</v>
      </c>
      <c r="Q341">
        <f t="shared" si="970"/>
        <v>-14964571.967001444</v>
      </c>
      <c r="R341">
        <f t="shared" si="971"/>
        <v>277458285.18748182</v>
      </c>
      <c r="S341">
        <f t="shared" si="972"/>
        <v>2774.5828518748181</v>
      </c>
      <c r="T341">
        <f t="shared" si="973"/>
        <v>2.7745828518748179</v>
      </c>
    </row>
    <row r="342" spans="1:20" x14ac:dyDescent="0.25">
      <c r="A342" s="5">
        <v>44251</v>
      </c>
      <c r="B342">
        <v>3.5488</v>
      </c>
      <c r="C342">
        <v>3.8988999999999998</v>
      </c>
      <c r="D342">
        <v>3.3542000000000001</v>
      </c>
      <c r="E342">
        <v>3.5324</v>
      </c>
      <c r="F342">
        <v>16068518.85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-0.34569487791444831</v>
      </c>
      <c r="Q342">
        <f t="shared" si="970"/>
        <v>-5554804.6621167613</v>
      </c>
      <c r="R342">
        <f t="shared" si="971"/>
        <v>292422857.15448326</v>
      </c>
      <c r="S342">
        <f t="shared" si="972"/>
        <v>2924.2285715448324</v>
      </c>
      <c r="T342">
        <f t="shared" si="973"/>
        <v>2.9242285715448326</v>
      </c>
    </row>
    <row r="343" spans="1:20" x14ac:dyDescent="0.25">
      <c r="A343" s="5">
        <v>44250</v>
      </c>
      <c r="B343">
        <v>4.2759</v>
      </c>
      <c r="C343">
        <v>4.2976999999999999</v>
      </c>
      <c r="D343">
        <v>2.9013</v>
      </c>
      <c r="E343">
        <v>3.5518999999999998</v>
      </c>
      <c r="F343">
        <v>23622981.48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-6.817530793468933E-2</v>
      </c>
      <c r="Q343">
        <f t="shared" si="970"/>
        <v>-1610504.0367344632</v>
      </c>
      <c r="R343">
        <f t="shared" si="971"/>
        <v>297977661.81660002</v>
      </c>
      <c r="S343">
        <f t="shared" si="972"/>
        <v>2979.7766181660004</v>
      </c>
      <c r="T343">
        <f t="shared" si="973"/>
        <v>2.9797766181660004</v>
      </c>
    </row>
    <row r="344" spans="1:20" x14ac:dyDescent="0.25">
      <c r="A344" s="5">
        <v>44249</v>
      </c>
      <c r="B344">
        <v>4.6749999999999998</v>
      </c>
      <c r="C344">
        <v>4.6856</v>
      </c>
      <c r="D344">
        <v>3.6105</v>
      </c>
      <c r="E344">
        <v>4.2751999999999999</v>
      </c>
      <c r="F344">
        <v>21560444.640000001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0.23653613617337899</v>
      </c>
      <c r="Q344">
        <f t="shared" si="970"/>
        <v>5099824.2693256391</v>
      </c>
      <c r="R344">
        <f t="shared" si="971"/>
        <v>299588165.85333449</v>
      </c>
      <c r="S344">
        <f t="shared" si="972"/>
        <v>2995.8816585333448</v>
      </c>
      <c r="T344">
        <f t="shared" si="973"/>
        <v>2.995881658533345</v>
      </c>
    </row>
    <row r="345" spans="1:20" x14ac:dyDescent="0.25">
      <c r="A345" s="5">
        <v>44248</v>
      </c>
      <c r="B345">
        <v>4.6406000000000001</v>
      </c>
      <c r="C345">
        <v>4.8051000000000004</v>
      </c>
      <c r="D345">
        <v>4.5014000000000003</v>
      </c>
      <c r="E345">
        <v>4.6759000000000004</v>
      </c>
      <c r="F345">
        <v>11079322.5</v>
      </c>
      <c r="G345">
        <v>0</v>
      </c>
      <c r="L345" t="s">
        <v>8</v>
      </c>
      <c r="M345" t="s">
        <v>7</v>
      </c>
      <c r="N345" t="s">
        <v>7</v>
      </c>
      <c r="P345">
        <f t="shared" si="969"/>
        <v>0.14916035561409322</v>
      </c>
      <c r="Q345">
        <f t="shared" si="970"/>
        <v>1652595.6840632244</v>
      </c>
      <c r="R345">
        <f t="shared" si="971"/>
        <v>294488341.58400887</v>
      </c>
      <c r="S345">
        <f t="shared" si="972"/>
        <v>2944.8834158400887</v>
      </c>
      <c r="T345">
        <f t="shared" si="973"/>
        <v>2.9448834158400885</v>
      </c>
    </row>
    <row r="346" spans="1:20" x14ac:dyDescent="0.25">
      <c r="A346" s="5">
        <v>44247</v>
      </c>
      <c r="B346">
        <v>4.9706999999999999</v>
      </c>
      <c r="C346">
        <v>5.1509999999999998</v>
      </c>
      <c r="D346">
        <v>4.3209999999999997</v>
      </c>
      <c r="E346">
        <v>4.6368</v>
      </c>
      <c r="F346">
        <v>15895484.01</v>
      </c>
      <c r="G346">
        <v>0</v>
      </c>
      <c r="L346" t="s">
        <v>7</v>
      </c>
      <c r="M346" t="s">
        <v>7</v>
      </c>
      <c r="N346" t="s">
        <v>7</v>
      </c>
      <c r="P346">
        <f t="shared" si="969"/>
        <v>-0.2390361445783126</v>
      </c>
      <c r="Q346">
        <f t="shared" si="970"/>
        <v>-3799595.2139566159</v>
      </c>
      <c r="R346">
        <f t="shared" si="971"/>
        <v>292835745.89994568</v>
      </c>
      <c r="S346">
        <f t="shared" si="972"/>
        <v>2928.3574589994569</v>
      </c>
      <c r="T346">
        <f t="shared" si="973"/>
        <v>2.9283574589994568</v>
      </c>
    </row>
    <row r="347" spans="1:20" x14ac:dyDescent="0.25">
      <c r="A347" s="5">
        <v>44246</v>
      </c>
      <c r="B347">
        <v>4.8448000000000002</v>
      </c>
      <c r="C347">
        <v>5.1093999999999999</v>
      </c>
      <c r="D347">
        <v>4.5674999999999999</v>
      </c>
      <c r="E347">
        <v>4.9706999999999999</v>
      </c>
      <c r="F347">
        <v>12114212.41</v>
      </c>
      <c r="G347">
        <v>0</v>
      </c>
      <c r="L347" t="s">
        <v>8</v>
      </c>
      <c r="M347" t="s">
        <v>8</v>
      </c>
      <c r="N347" t="s">
        <v>7</v>
      </c>
      <c r="P347">
        <f t="shared" si="969"/>
        <v>0.48809743495109786</v>
      </c>
      <c r="Q347">
        <f t="shared" si="970"/>
        <v>5912916.0037737573</v>
      </c>
      <c r="R347">
        <f t="shared" si="971"/>
        <v>296635341.11390227</v>
      </c>
      <c r="S347">
        <f t="shared" si="972"/>
        <v>2966.3534111390227</v>
      </c>
      <c r="T347">
        <f t="shared" si="973"/>
        <v>2.9663534111390226</v>
      </c>
    </row>
    <row r="348" spans="1:20" x14ac:dyDescent="0.25">
      <c r="A348" s="5">
        <v>44245</v>
      </c>
      <c r="B348">
        <v>4.6028000000000002</v>
      </c>
      <c r="C348">
        <v>4.9980000000000002</v>
      </c>
      <c r="D348">
        <v>4.5008999999999997</v>
      </c>
      <c r="E348">
        <v>4.8436000000000003</v>
      </c>
      <c r="F348">
        <v>13266538.18</v>
      </c>
      <c r="G348">
        <v>0</v>
      </c>
      <c r="L348" t="s">
        <v>8</v>
      </c>
      <c r="M348" t="s">
        <v>8</v>
      </c>
      <c r="N348" t="s">
        <v>7</v>
      </c>
      <c r="P348">
        <f t="shared" si="969"/>
        <v>0.3787970227318459</v>
      </c>
      <c r="Q348">
        <f t="shared" si="970"/>
        <v>5025325.1645423612</v>
      </c>
      <c r="R348">
        <f t="shared" si="971"/>
        <v>290722425.11012852</v>
      </c>
      <c r="S348">
        <f t="shared" si="972"/>
        <v>2907.2242511012851</v>
      </c>
      <c r="T348">
        <f t="shared" si="973"/>
        <v>2.9072242511012849</v>
      </c>
    </row>
    <row r="349" spans="1:20" x14ac:dyDescent="0.25">
      <c r="A349" s="5">
        <v>44244</v>
      </c>
      <c r="B349">
        <v>4.5452000000000004</v>
      </c>
      <c r="C349">
        <v>4.7683999999999997</v>
      </c>
      <c r="D349">
        <v>4.1828000000000003</v>
      </c>
      <c r="E349">
        <v>4.6059999999999999</v>
      </c>
      <c r="F349">
        <v>12536073.460000001</v>
      </c>
      <c r="G349">
        <v>0</v>
      </c>
      <c r="L349" t="s">
        <v>7</v>
      </c>
      <c r="M349" t="s">
        <v>8</v>
      </c>
      <c r="N349" t="s">
        <v>7</v>
      </c>
      <c r="P349">
        <f t="shared" si="969"/>
        <v>0.44535519125683048</v>
      </c>
      <c r="Q349">
        <f t="shared" si="970"/>
        <v>5583005.393387977</v>
      </c>
      <c r="R349">
        <f t="shared" si="971"/>
        <v>285697099.94558614</v>
      </c>
      <c r="S349">
        <f t="shared" si="972"/>
        <v>2856.9709994558616</v>
      </c>
      <c r="T349">
        <f t="shared" si="973"/>
        <v>2.8569709994558616</v>
      </c>
    </row>
    <row r="350" spans="1:20" x14ac:dyDescent="0.25">
      <c r="A350" s="5">
        <v>44243</v>
      </c>
      <c r="B350">
        <v>4.5353000000000003</v>
      </c>
      <c r="C350">
        <v>4.8928000000000003</v>
      </c>
      <c r="D350">
        <v>4.3053999999999997</v>
      </c>
      <c r="E350">
        <v>4.5448000000000004</v>
      </c>
      <c r="F350">
        <v>13950657.23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-0.18488253319713829</v>
      </c>
      <c r="Q350">
        <f t="shared" si="970"/>
        <v>-2579232.8484473722</v>
      </c>
      <c r="R350">
        <f t="shared" si="971"/>
        <v>280114094.55219817</v>
      </c>
      <c r="S350">
        <f t="shared" si="972"/>
        <v>2801.1409455219818</v>
      </c>
      <c r="T350">
        <f t="shared" si="973"/>
        <v>2.8011409455219818</v>
      </c>
    </row>
    <row r="351" spans="1:20" x14ac:dyDescent="0.25">
      <c r="A351" s="5">
        <v>44242</v>
      </c>
      <c r="B351">
        <v>4.8631000000000002</v>
      </c>
      <c r="C351">
        <v>4.9633000000000003</v>
      </c>
      <c r="D351">
        <v>3.8370000000000002</v>
      </c>
      <c r="E351">
        <v>4.5406000000000004</v>
      </c>
      <c r="F351">
        <v>20579127.66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0.2494006925330732</v>
      </c>
      <c r="Q351">
        <f t="shared" si="970"/>
        <v>5132448.6901305225</v>
      </c>
      <c r="R351">
        <f t="shared" si="971"/>
        <v>282693327.40064555</v>
      </c>
      <c r="S351">
        <f t="shared" si="972"/>
        <v>2826.9332740064556</v>
      </c>
      <c r="T351">
        <f t="shared" si="973"/>
        <v>2.8269332740064557</v>
      </c>
    </row>
    <row r="352" spans="1:20" x14ac:dyDescent="0.25">
      <c r="A352" s="5">
        <v>44241</v>
      </c>
      <c r="B352">
        <v>5.3684000000000003</v>
      </c>
      <c r="C352">
        <v>5.6471</v>
      </c>
      <c r="D352">
        <v>4.7126000000000001</v>
      </c>
      <c r="E352">
        <v>4.8625999999999996</v>
      </c>
      <c r="F352">
        <v>16097764.92</v>
      </c>
      <c r="G352">
        <v>0</v>
      </c>
      <c r="L352" t="s">
        <v>8</v>
      </c>
      <c r="M352" t="s">
        <v>8</v>
      </c>
      <c r="N352" t="s">
        <v>8</v>
      </c>
      <c r="P352">
        <f t="shared" si="969"/>
        <v>-0.6789727126805789</v>
      </c>
      <c r="Q352">
        <f t="shared" si="970"/>
        <v>-10929943.115826663</v>
      </c>
      <c r="R352">
        <f t="shared" si="971"/>
        <v>277560878.71051502</v>
      </c>
      <c r="S352">
        <f t="shared" si="972"/>
        <v>2775.6087871051504</v>
      </c>
      <c r="T352">
        <f t="shared" si="973"/>
        <v>2.7756087871051505</v>
      </c>
    </row>
    <row r="353" spans="1:20" x14ac:dyDescent="0.25">
      <c r="A353" s="5">
        <v>44240</v>
      </c>
      <c r="B353">
        <v>5.0147000000000004</v>
      </c>
      <c r="C353">
        <v>5.3780999999999999</v>
      </c>
      <c r="D353">
        <v>4.5537999999999998</v>
      </c>
      <c r="E353">
        <v>5.3684000000000003</v>
      </c>
      <c r="F353">
        <v>21518349.829999998</v>
      </c>
      <c r="G353">
        <v>0</v>
      </c>
      <c r="L353" t="s">
        <v>7</v>
      </c>
      <c r="M353" t="s">
        <v>8</v>
      </c>
      <c r="N353" t="s">
        <v>8</v>
      </c>
      <c r="P353">
        <f t="shared" si="969"/>
        <v>0.97646487929152104</v>
      </c>
      <c r="Q353">
        <f t="shared" si="970"/>
        <v>21011912.86930367</v>
      </c>
      <c r="R353">
        <f t="shared" si="971"/>
        <v>288490821.82634169</v>
      </c>
      <c r="S353">
        <f t="shared" si="972"/>
        <v>2884.908218263417</v>
      </c>
      <c r="T353">
        <f t="shared" si="973"/>
        <v>2.8849082182634169</v>
      </c>
    </row>
    <row r="354" spans="1:20" x14ac:dyDescent="0.25">
      <c r="A354" s="5">
        <v>44239</v>
      </c>
      <c r="B354">
        <v>4.1150000000000002</v>
      </c>
      <c r="C354">
        <v>5.4410999999999996</v>
      </c>
      <c r="D354">
        <v>4.0021000000000004</v>
      </c>
      <c r="E354">
        <v>5.0152999999999999</v>
      </c>
      <c r="F354">
        <v>26932515.649999999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0.40820013898540658</v>
      </c>
      <c r="Q354">
        <f t="shared" si="970"/>
        <v>10993856.631556638</v>
      </c>
      <c r="R354">
        <f t="shared" si="971"/>
        <v>267478908.95703804</v>
      </c>
      <c r="S354">
        <f t="shared" si="972"/>
        <v>2674.7890895703804</v>
      </c>
      <c r="T354">
        <f t="shared" si="973"/>
        <v>2.6747890895703805</v>
      </c>
    </row>
    <row r="355" spans="1:20" x14ac:dyDescent="0.25">
      <c r="A355" s="5">
        <v>44238</v>
      </c>
      <c r="B355">
        <v>3.8468</v>
      </c>
      <c r="C355">
        <v>4.3164999999999996</v>
      </c>
      <c r="D355">
        <v>3.7873999999999999</v>
      </c>
      <c r="E355">
        <v>4.1123000000000003</v>
      </c>
      <c r="F355">
        <v>18455238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0.22812322812323041</v>
      </c>
      <c r="Q355">
        <f t="shared" si="970"/>
        <v>4210068.468342511</v>
      </c>
      <c r="R355">
        <f t="shared" si="971"/>
        <v>256485052.32548141</v>
      </c>
      <c r="S355">
        <f t="shared" si="972"/>
        <v>2564.8505232548141</v>
      </c>
      <c r="T355">
        <f t="shared" si="973"/>
        <v>2.564850523254814</v>
      </c>
    </row>
    <row r="356" spans="1:20" x14ac:dyDescent="0.25">
      <c r="A356" s="5">
        <v>44237</v>
      </c>
      <c r="B356">
        <v>3.7614000000000001</v>
      </c>
      <c r="C356">
        <v>3.8969999999999998</v>
      </c>
      <c r="D356">
        <v>3.4394999999999998</v>
      </c>
      <c r="E356">
        <v>3.8469000000000002</v>
      </c>
      <c r="F356">
        <v>17965513.559999999</v>
      </c>
      <c r="G356">
        <v>0</v>
      </c>
      <c r="L356" t="s">
        <v>7</v>
      </c>
      <c r="M356" t="s">
        <v>8</v>
      </c>
      <c r="N356" t="s">
        <v>8</v>
      </c>
      <c r="P356">
        <f t="shared" si="969"/>
        <v>0.78098360655737886</v>
      </c>
      <c r="Q356">
        <f t="shared" si="970"/>
        <v>14030771.573744293</v>
      </c>
      <c r="R356">
        <f t="shared" si="971"/>
        <v>252274983.8571389</v>
      </c>
      <c r="S356">
        <f t="shared" si="972"/>
        <v>2522.7498385713889</v>
      </c>
      <c r="T356">
        <f t="shared" si="973"/>
        <v>2.5227498385713889</v>
      </c>
    </row>
    <row r="357" spans="1:20" x14ac:dyDescent="0.25">
      <c r="A357" s="5">
        <v>44236</v>
      </c>
      <c r="B357">
        <v>3.4125000000000001</v>
      </c>
      <c r="C357">
        <v>3.8746999999999998</v>
      </c>
      <c r="D357">
        <v>3.1859000000000002</v>
      </c>
      <c r="E357">
        <v>3.7606999999999999</v>
      </c>
      <c r="F357">
        <v>22387687.550000001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0.66898954703832769</v>
      </c>
      <c r="Q357">
        <f t="shared" si="970"/>
        <v>14977128.95331011</v>
      </c>
      <c r="R357">
        <f t="shared" si="971"/>
        <v>238244212.2833946</v>
      </c>
      <c r="S357">
        <f t="shared" si="972"/>
        <v>2382.4421228339461</v>
      </c>
      <c r="T357">
        <f t="shared" si="973"/>
        <v>2.3824421228339463</v>
      </c>
    </row>
    <row r="358" spans="1:20" x14ac:dyDescent="0.25">
      <c r="A358" s="5">
        <v>44235</v>
      </c>
      <c r="B358">
        <v>3.3073999999999999</v>
      </c>
      <c r="C358">
        <v>3.4417</v>
      </c>
      <c r="D358">
        <v>3.2330000000000001</v>
      </c>
      <c r="E358">
        <v>3.4066999999999998</v>
      </c>
      <c r="F358">
        <v>11138485.439999999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0.66459032103497684</v>
      </c>
      <c r="Q358">
        <f t="shared" si="970"/>
        <v>7402529.6144130146</v>
      </c>
      <c r="R358">
        <f t="shared" si="971"/>
        <v>223267083.3300845</v>
      </c>
      <c r="S358">
        <f t="shared" si="972"/>
        <v>2232.6708333008451</v>
      </c>
      <c r="T358">
        <f t="shared" si="973"/>
        <v>2.2326708333008449</v>
      </c>
    </row>
    <row r="359" spans="1:20" x14ac:dyDescent="0.25">
      <c r="A359" s="5">
        <v>44234</v>
      </c>
      <c r="B359">
        <v>3.1728999999999998</v>
      </c>
      <c r="C359">
        <v>3.4674</v>
      </c>
      <c r="D359">
        <v>3.0529999999999999</v>
      </c>
      <c r="E359">
        <v>3.3050000000000002</v>
      </c>
      <c r="F359">
        <v>15460134.9</v>
      </c>
      <c r="G359">
        <v>0</v>
      </c>
      <c r="L359" t="s">
        <v>8</v>
      </c>
      <c r="M359" t="s">
        <v>8</v>
      </c>
      <c r="N359" t="s">
        <v>8</v>
      </c>
      <c r="P359">
        <f t="shared" si="969"/>
        <v>0.21621621621621701</v>
      </c>
      <c r="Q359">
        <f t="shared" si="970"/>
        <v>3342731.8702702825</v>
      </c>
      <c r="R359">
        <f t="shared" si="971"/>
        <v>215864553.71567148</v>
      </c>
      <c r="S359">
        <f t="shared" si="972"/>
        <v>2158.6455371567149</v>
      </c>
      <c r="T359">
        <f t="shared" si="973"/>
        <v>2.158645537156715</v>
      </c>
    </row>
    <row r="360" spans="1:20" x14ac:dyDescent="0.25">
      <c r="A360" s="5">
        <v>44233</v>
      </c>
      <c r="B360">
        <v>3.4735</v>
      </c>
      <c r="C360">
        <v>3.5154000000000001</v>
      </c>
      <c r="D360">
        <v>3.0817999999999999</v>
      </c>
      <c r="E360">
        <v>3.1730999999999998</v>
      </c>
      <c r="F360">
        <v>12605575.9</v>
      </c>
      <c r="G360">
        <v>0</v>
      </c>
      <c r="L360" t="s">
        <v>7</v>
      </c>
      <c r="M360" t="s">
        <v>8</v>
      </c>
      <c r="N360" t="s">
        <v>8</v>
      </c>
      <c r="P360">
        <f t="shared" si="969"/>
        <v>-0.57887453874538797</v>
      </c>
      <c r="Q360">
        <f t="shared" si="970"/>
        <v>-7297046.934732479</v>
      </c>
      <c r="R360">
        <f t="shared" si="971"/>
        <v>212521821.8454012</v>
      </c>
      <c r="S360">
        <f t="shared" si="972"/>
        <v>2125.218218454012</v>
      </c>
      <c r="T360">
        <f t="shared" si="973"/>
        <v>2.125218218454012</v>
      </c>
    </row>
    <row r="361" spans="1:20" x14ac:dyDescent="0.25">
      <c r="A361" s="5">
        <v>44232</v>
      </c>
      <c r="B361">
        <v>2.9649999999999999</v>
      </c>
      <c r="C361">
        <v>3.5261</v>
      </c>
      <c r="D361">
        <v>2.9506999999999999</v>
      </c>
      <c r="E361">
        <v>3.4735</v>
      </c>
      <c r="F361">
        <v>16649828.83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0.81717066388599247</v>
      </c>
      <c r="Q361">
        <f t="shared" si="970"/>
        <v>13605751.678599237</v>
      </c>
      <c r="R361">
        <f t="shared" si="971"/>
        <v>219818868.78013366</v>
      </c>
      <c r="S361">
        <f t="shared" si="972"/>
        <v>2198.1886878013365</v>
      </c>
      <c r="T361">
        <f t="shared" si="973"/>
        <v>2.1981886878013364</v>
      </c>
    </row>
    <row r="362" spans="1:20" x14ac:dyDescent="0.25">
      <c r="A362" s="5">
        <v>44231</v>
      </c>
      <c r="B362">
        <v>3.0489000000000002</v>
      </c>
      <c r="C362">
        <v>3.169</v>
      </c>
      <c r="D362">
        <v>2.84</v>
      </c>
      <c r="E362">
        <v>2.9649999999999999</v>
      </c>
      <c r="F362">
        <v>13965324.99</v>
      </c>
      <c r="G362">
        <v>0</v>
      </c>
      <c r="L362" t="s">
        <v>7</v>
      </c>
      <c r="M362" t="s">
        <v>8</v>
      </c>
      <c r="N362" t="s">
        <v>8</v>
      </c>
      <c r="P362">
        <f t="shared" si="969"/>
        <v>-0.24012158054711288</v>
      </c>
      <c r="Q362">
        <f t="shared" si="970"/>
        <v>-3353375.9094528933</v>
      </c>
      <c r="R362">
        <f t="shared" si="971"/>
        <v>206213117.10153443</v>
      </c>
      <c r="S362">
        <f t="shared" si="972"/>
        <v>2062.1311710153441</v>
      </c>
      <c r="T362">
        <f t="shared" si="973"/>
        <v>2.062131171015344</v>
      </c>
    </row>
    <row r="363" spans="1:20" x14ac:dyDescent="0.25">
      <c r="A363" s="5">
        <v>44230</v>
      </c>
      <c r="B363">
        <v>2.9093</v>
      </c>
      <c r="C363">
        <v>3.1884999999999999</v>
      </c>
      <c r="D363">
        <v>2.8849</v>
      </c>
      <c r="E363">
        <v>3.0493999999999999</v>
      </c>
      <c r="F363">
        <v>12521000.699999999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8.3662714097496302E-2</v>
      </c>
      <c r="Q363">
        <f t="shared" si="970"/>
        <v>1047540.9017786511</v>
      </c>
      <c r="R363">
        <f t="shared" si="971"/>
        <v>209566493.01098731</v>
      </c>
      <c r="S363">
        <f t="shared" si="972"/>
        <v>2095.6649301098732</v>
      </c>
      <c r="T363">
        <f t="shared" si="973"/>
        <v>2.0956649301098733</v>
      </c>
    </row>
    <row r="364" spans="1:20" x14ac:dyDescent="0.25">
      <c r="A364" s="5">
        <v>44229</v>
      </c>
      <c r="B364">
        <v>2.9237000000000002</v>
      </c>
      <c r="C364">
        <v>2.96</v>
      </c>
      <c r="D364">
        <v>2.8279999999999998</v>
      </c>
      <c r="E364">
        <v>2.9091999999999998</v>
      </c>
      <c r="F364">
        <v>6413113.5999999996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0.23030303030302829</v>
      </c>
      <c r="Q364">
        <f t="shared" si="970"/>
        <v>1476959.4957575628</v>
      </c>
      <c r="R364">
        <f t="shared" si="971"/>
        <v>208518952.10920867</v>
      </c>
      <c r="S364">
        <f t="shared" si="972"/>
        <v>2085.1895210920866</v>
      </c>
      <c r="T364">
        <f t="shared" si="973"/>
        <v>2.0851895210920866</v>
      </c>
    </row>
    <row r="365" spans="1:20" x14ac:dyDescent="0.25">
      <c r="A365" s="5">
        <v>44228</v>
      </c>
      <c r="B365">
        <v>2.8439999999999999</v>
      </c>
      <c r="C365">
        <v>2.9344000000000001</v>
      </c>
      <c r="D365">
        <v>2.7549999999999999</v>
      </c>
      <c r="E365">
        <v>2.9247999999999998</v>
      </c>
      <c r="F365">
        <v>7066178.4900000002</v>
      </c>
      <c r="G365">
        <v>0</v>
      </c>
      <c r="L365" t="s">
        <v>8</v>
      </c>
      <c r="M365" t="s">
        <v>8</v>
      </c>
      <c r="N365" t="s">
        <v>8</v>
      </c>
      <c r="P365">
        <f t="shared" si="969"/>
        <v>0.89297658862875962</v>
      </c>
      <c r="Q365">
        <f t="shared" si="970"/>
        <v>6309931.9626421202</v>
      </c>
      <c r="R365">
        <f t="shared" si="971"/>
        <v>207041992.61345112</v>
      </c>
      <c r="S365">
        <f t="shared" si="972"/>
        <v>2070.4199261345111</v>
      </c>
      <c r="T365">
        <f t="shared" si="973"/>
        <v>2.0704199261345111</v>
      </c>
    </row>
    <row r="366" spans="1:20" x14ac:dyDescent="0.25">
      <c r="A366" s="5">
        <v>44227</v>
      </c>
      <c r="B366">
        <v>2.8990999999999998</v>
      </c>
      <c r="C366">
        <v>2.9485000000000001</v>
      </c>
      <c r="D366">
        <v>2.7309999999999999</v>
      </c>
      <c r="E366">
        <v>2.8443999999999998</v>
      </c>
      <c r="F366">
        <v>7745514.3600000003</v>
      </c>
      <c r="G366">
        <v>0</v>
      </c>
      <c r="L366" t="s">
        <v>7</v>
      </c>
      <c r="M366" t="s">
        <v>8</v>
      </c>
      <c r="N366" t="s">
        <v>8</v>
      </c>
      <c r="P366">
        <f t="shared" si="969"/>
        <v>4.2758620689653477E-2</v>
      </c>
      <c r="Q366">
        <f t="shared" si="970"/>
        <v>331187.51056550414</v>
      </c>
      <c r="R366">
        <f t="shared" si="971"/>
        <v>200732060.65080899</v>
      </c>
      <c r="S366">
        <f t="shared" si="972"/>
        <v>2007.3206065080899</v>
      </c>
      <c r="T366">
        <f t="shared" si="973"/>
        <v>2.00732060650809</v>
      </c>
    </row>
    <row r="367" spans="1:20" x14ac:dyDescent="0.25">
      <c r="A367" s="5">
        <v>44226</v>
      </c>
      <c r="B367">
        <v>2.9108000000000001</v>
      </c>
      <c r="C367">
        <v>3.0192999999999999</v>
      </c>
      <c r="D367">
        <v>2.8031999999999999</v>
      </c>
      <c r="E367">
        <v>2.8990999999999998</v>
      </c>
      <c r="F367">
        <v>8315267.8300000001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-0.11244794076816388</v>
      </c>
      <c r="Q367">
        <f t="shared" si="970"/>
        <v>-935034.74441925855</v>
      </c>
      <c r="R367">
        <f t="shared" si="971"/>
        <v>200400873.1402435</v>
      </c>
      <c r="S367">
        <f t="shared" si="972"/>
        <v>2004.0087314024349</v>
      </c>
      <c r="T367">
        <f t="shared" si="973"/>
        <v>2.0040087314024349</v>
      </c>
    </row>
    <row r="368" spans="1:20" x14ac:dyDescent="0.25">
      <c r="A368" s="5">
        <v>44225</v>
      </c>
      <c r="B368">
        <v>2.9943</v>
      </c>
      <c r="C368">
        <v>3.0691999999999999</v>
      </c>
      <c r="D368">
        <v>2.7930000000000001</v>
      </c>
      <c r="E368">
        <v>2.9116</v>
      </c>
      <c r="F368">
        <v>9938098.9800000004</v>
      </c>
      <c r="G368">
        <v>0</v>
      </c>
      <c r="L368" t="s">
        <v>7</v>
      </c>
      <c r="M368" t="s">
        <v>8</v>
      </c>
      <c r="N368" t="s">
        <v>8</v>
      </c>
      <c r="P368">
        <f t="shared" si="969"/>
        <v>-0.14120202751629318</v>
      </c>
      <c r="Q368">
        <f t="shared" si="970"/>
        <v>-1403279.7256336054</v>
      </c>
      <c r="R368">
        <f t="shared" si="971"/>
        <v>201335907.88466275</v>
      </c>
      <c r="S368">
        <f t="shared" si="972"/>
        <v>2013.3590788466274</v>
      </c>
      <c r="T368">
        <f t="shared" si="973"/>
        <v>2.0133590788466273</v>
      </c>
    </row>
    <row r="369" spans="1:20" x14ac:dyDescent="0.25">
      <c r="A369" s="5">
        <v>44224</v>
      </c>
      <c r="B369">
        <v>2.7904</v>
      </c>
      <c r="C369">
        <v>3.0888</v>
      </c>
      <c r="D369">
        <v>2.7151000000000001</v>
      </c>
      <c r="E369">
        <v>2.9977</v>
      </c>
      <c r="F369">
        <v>11454435.66</v>
      </c>
      <c r="G369">
        <v>0</v>
      </c>
      <c r="L369" t="s">
        <v>8</v>
      </c>
      <c r="M369" t="s">
        <v>8</v>
      </c>
      <c r="N369" t="s">
        <v>8</v>
      </c>
      <c r="P369">
        <f t="shared" si="969"/>
        <v>0.51244313620551252</v>
      </c>
      <c r="Q369">
        <f t="shared" si="970"/>
        <v>5869746.9330746597</v>
      </c>
      <c r="R369">
        <f t="shared" si="971"/>
        <v>202739187.61029634</v>
      </c>
      <c r="S369">
        <f t="shared" si="972"/>
        <v>2027.3918761029634</v>
      </c>
      <c r="T369">
        <f t="shared" si="973"/>
        <v>2.0273918761029632</v>
      </c>
    </row>
    <row r="370" spans="1:20" x14ac:dyDescent="0.25">
      <c r="A370" s="5">
        <v>44223</v>
      </c>
      <c r="B370">
        <v>2.9039000000000001</v>
      </c>
      <c r="C370">
        <v>2.9388999999999998</v>
      </c>
      <c r="D370">
        <v>2.6267999999999998</v>
      </c>
      <c r="E370">
        <v>2.7930999999999999</v>
      </c>
      <c r="F370">
        <v>8195049.3600000003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6.5684075616790072E-2</v>
      </c>
      <c r="Q370">
        <f t="shared" si="970"/>
        <v>538284.24184556713</v>
      </c>
      <c r="R370">
        <f t="shared" si="971"/>
        <v>196869440.67722169</v>
      </c>
      <c r="S370">
        <f t="shared" si="972"/>
        <v>1968.6944067722168</v>
      </c>
      <c r="T370">
        <f t="shared" si="973"/>
        <v>1.9686944067722167</v>
      </c>
    </row>
    <row r="371" spans="1:20" x14ac:dyDescent="0.25">
      <c r="A371" s="5">
        <v>44222</v>
      </c>
      <c r="B371">
        <v>2.9186000000000001</v>
      </c>
      <c r="C371">
        <v>3.0127000000000002</v>
      </c>
      <c r="D371">
        <v>2.7502</v>
      </c>
      <c r="E371">
        <v>2.9074</v>
      </c>
      <c r="F371">
        <v>6943714.4400000004</v>
      </c>
      <c r="G371">
        <v>0</v>
      </c>
      <c r="L371" t="s">
        <v>7</v>
      </c>
      <c r="M371" t="s">
        <v>7</v>
      </c>
      <c r="N371" t="s">
        <v>8</v>
      </c>
      <c r="P371">
        <f t="shared" si="969"/>
        <v>0.19771428571428495</v>
      </c>
      <c r="Q371">
        <f t="shared" si="970"/>
        <v>1372871.5407085663</v>
      </c>
      <c r="R371">
        <f t="shared" si="971"/>
        <v>196331156.43537611</v>
      </c>
      <c r="S371">
        <f t="shared" si="972"/>
        <v>1963.311564353761</v>
      </c>
      <c r="T371">
        <f t="shared" si="973"/>
        <v>1.9633115643537611</v>
      </c>
    </row>
    <row r="372" spans="1:20" x14ac:dyDescent="0.25">
      <c r="A372" s="5">
        <v>44221</v>
      </c>
      <c r="B372">
        <v>3.0430999999999999</v>
      </c>
      <c r="C372">
        <v>3.1831999999999998</v>
      </c>
      <c r="D372">
        <v>2.9001000000000001</v>
      </c>
      <c r="E372">
        <v>2.9188000000000001</v>
      </c>
      <c r="F372">
        <v>9205883.5399999991</v>
      </c>
      <c r="G372">
        <v>0</v>
      </c>
      <c r="L372" t="s">
        <v>8</v>
      </c>
      <c r="M372" t="s">
        <v>7</v>
      </c>
      <c r="N372" t="s">
        <v>8</v>
      </c>
      <c r="P372">
        <f t="shared" si="969"/>
        <v>-0.86789120452137081</v>
      </c>
      <c r="Q372">
        <f t="shared" si="970"/>
        <v>-7989705.3542140601</v>
      </c>
      <c r="R372">
        <f t="shared" si="971"/>
        <v>194958284.89466754</v>
      </c>
      <c r="S372">
        <f t="shared" si="972"/>
        <v>1949.5828489466753</v>
      </c>
      <c r="T372">
        <f t="shared" si="973"/>
        <v>1.9495828489466753</v>
      </c>
    </row>
    <row r="373" spans="1:20" x14ac:dyDescent="0.25">
      <c r="A373" s="5">
        <v>44220</v>
      </c>
      <c r="B373">
        <v>3.1617000000000002</v>
      </c>
      <c r="C373">
        <v>3.2949999999999999</v>
      </c>
      <c r="D373">
        <v>2.9039000000000001</v>
      </c>
      <c r="E373">
        <v>3.0449000000000002</v>
      </c>
      <c r="F373">
        <v>12848036.68</v>
      </c>
      <c r="G373">
        <v>0</v>
      </c>
      <c r="L373" t="s">
        <v>7</v>
      </c>
      <c r="M373" t="s">
        <v>7</v>
      </c>
      <c r="N373" t="s">
        <v>8</v>
      </c>
      <c r="P373">
        <f t="shared" si="969"/>
        <v>-0.27895678854512862</v>
      </c>
      <c r="Q373">
        <f t="shared" si="970"/>
        <v>-3584047.0513628162</v>
      </c>
      <c r="R373">
        <f t="shared" si="971"/>
        <v>202947990.24888161</v>
      </c>
      <c r="S373">
        <f t="shared" si="972"/>
        <v>2029.4799024888162</v>
      </c>
      <c r="T373">
        <f t="shared" si="973"/>
        <v>2.0294799024888159</v>
      </c>
    </row>
    <row r="374" spans="1:20" x14ac:dyDescent="0.25">
      <c r="A374" s="5">
        <v>44219</v>
      </c>
      <c r="B374">
        <v>2.9081000000000001</v>
      </c>
      <c r="C374">
        <v>3.399</v>
      </c>
      <c r="D374">
        <v>2.823</v>
      </c>
      <c r="E374">
        <v>3.1638999999999999</v>
      </c>
      <c r="F374">
        <v>28152155.600000001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0.18368055555555535</v>
      </c>
      <c r="Q374">
        <f t="shared" si="970"/>
        <v>5171003.5806944389</v>
      </c>
      <c r="R374">
        <f t="shared" si="971"/>
        <v>206532037.30024442</v>
      </c>
      <c r="S374">
        <f t="shared" si="972"/>
        <v>2065.3203730024443</v>
      </c>
      <c r="T374">
        <f t="shared" si="973"/>
        <v>2.0653203730024443</v>
      </c>
    </row>
    <row r="375" spans="1:20" x14ac:dyDescent="0.25">
      <c r="A375" s="5">
        <v>44218</v>
      </c>
      <c r="B375">
        <v>2.4586999999999999</v>
      </c>
      <c r="C375">
        <v>3.11</v>
      </c>
      <c r="D375">
        <v>2.2999999999999998</v>
      </c>
      <c r="E375">
        <v>2.9089</v>
      </c>
      <c r="F375">
        <v>21880992.609999999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0.50345679012345723</v>
      </c>
      <c r="Q375">
        <f t="shared" si="970"/>
        <v>11016134.304145688</v>
      </c>
      <c r="R375">
        <f t="shared" si="971"/>
        <v>201361033.71954998</v>
      </c>
      <c r="S375">
        <f t="shared" si="972"/>
        <v>2013.6103371954998</v>
      </c>
      <c r="T375">
        <f t="shared" si="973"/>
        <v>2.0136103371954999</v>
      </c>
    </row>
    <row r="376" spans="1:20" x14ac:dyDescent="0.25">
      <c r="A376" s="5">
        <v>44217</v>
      </c>
      <c r="B376">
        <v>2.9098999999999999</v>
      </c>
      <c r="C376">
        <v>2.9335</v>
      </c>
      <c r="D376">
        <v>2.4243000000000001</v>
      </c>
      <c r="E376">
        <v>2.4605000000000001</v>
      </c>
      <c r="F376">
        <v>9577832.7599999998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-0.85781618224666134</v>
      </c>
      <c r="Q376">
        <f t="shared" si="970"/>
        <v>-8216019.9323802032</v>
      </c>
      <c r="R376">
        <f t="shared" si="971"/>
        <v>190344899.41540429</v>
      </c>
      <c r="S376">
        <f t="shared" si="972"/>
        <v>1903.4489941540428</v>
      </c>
      <c r="T376">
        <f t="shared" si="973"/>
        <v>1.9034489941540429</v>
      </c>
    </row>
    <row r="377" spans="1:20" x14ac:dyDescent="0.25">
      <c r="A377" s="5">
        <v>44216</v>
      </c>
      <c r="B377">
        <v>2.8744999999999998</v>
      </c>
      <c r="C377">
        <v>2.9512</v>
      </c>
      <c r="D377">
        <v>2.645</v>
      </c>
      <c r="E377">
        <v>2.9098999999999999</v>
      </c>
      <c r="F377">
        <v>10486052.32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0.73024167210973145</v>
      </c>
      <c r="Q377">
        <f t="shared" si="970"/>
        <v>7657352.3799869288</v>
      </c>
      <c r="R377">
        <f t="shared" si="971"/>
        <v>198560919.34778449</v>
      </c>
      <c r="S377">
        <f t="shared" si="972"/>
        <v>1985.6091934778449</v>
      </c>
      <c r="T377">
        <f t="shared" si="973"/>
        <v>1.9856091934778448</v>
      </c>
    </row>
    <row r="378" spans="1:20" x14ac:dyDescent="0.25">
      <c r="A378" s="5">
        <v>44215</v>
      </c>
      <c r="B378">
        <v>3.0329999999999999</v>
      </c>
      <c r="C378">
        <v>3.2263000000000002</v>
      </c>
      <c r="D378">
        <v>2.8689</v>
      </c>
      <c r="E378">
        <v>2.8744999999999998</v>
      </c>
      <c r="F378">
        <v>13125598.74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-0.96866256295467357</v>
      </c>
      <c r="Q378">
        <f t="shared" si="970"/>
        <v>-12714276.115803035</v>
      </c>
      <c r="R378">
        <f t="shared" si="971"/>
        <v>190903566.96779755</v>
      </c>
      <c r="S378">
        <f t="shared" si="972"/>
        <v>1909.0356696779754</v>
      </c>
      <c r="T378">
        <f t="shared" si="973"/>
        <v>1.9090356696779753</v>
      </c>
    </row>
    <row r="379" spans="1:20" x14ac:dyDescent="0.25">
      <c r="A379" s="5">
        <v>44214</v>
      </c>
      <c r="B379">
        <v>2.9716</v>
      </c>
      <c r="C379">
        <v>3.1122999999999998</v>
      </c>
      <c r="D379">
        <v>2.84</v>
      </c>
      <c r="E379">
        <v>3.0331000000000001</v>
      </c>
      <c r="F379">
        <v>10498147.01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0.41828865222181622</v>
      </c>
      <c r="Q379">
        <f t="shared" si="970"/>
        <v>4391255.7636393895</v>
      </c>
      <c r="R379">
        <f t="shared" si="971"/>
        <v>203617843.08360058</v>
      </c>
      <c r="S379">
        <f t="shared" si="972"/>
        <v>2036.1784308360059</v>
      </c>
      <c r="T379">
        <f t="shared" si="973"/>
        <v>2.036178430836006</v>
      </c>
    </row>
    <row r="380" spans="1:20" x14ac:dyDescent="0.25">
      <c r="A380" s="5">
        <v>44213</v>
      </c>
      <c r="B380">
        <v>2.8506999999999998</v>
      </c>
      <c r="C380">
        <v>3.1181999999999999</v>
      </c>
      <c r="D380">
        <v>2.6833</v>
      </c>
      <c r="E380">
        <v>2.9714</v>
      </c>
      <c r="F380">
        <v>14670894.460000001</v>
      </c>
      <c r="G380">
        <v>0</v>
      </c>
      <c r="L380" t="s">
        <v>7</v>
      </c>
      <c r="M380" t="s">
        <v>8</v>
      </c>
      <c r="N380" t="s">
        <v>8</v>
      </c>
      <c r="P380">
        <f t="shared" si="969"/>
        <v>0.32490227638537655</v>
      </c>
      <c r="Q380">
        <f t="shared" si="970"/>
        <v>4766607.0066636102</v>
      </c>
      <c r="R380">
        <f t="shared" si="971"/>
        <v>199226587.31996119</v>
      </c>
      <c r="S380">
        <f t="shared" si="972"/>
        <v>1992.2658731996119</v>
      </c>
      <c r="T380">
        <f t="shared" si="973"/>
        <v>1.9922658731996119</v>
      </c>
    </row>
    <row r="381" spans="1:20" x14ac:dyDescent="0.25">
      <c r="A381" s="5">
        <v>44212</v>
      </c>
      <c r="B381">
        <v>2.7086999999999999</v>
      </c>
      <c r="C381">
        <v>3.1838000000000002</v>
      </c>
      <c r="D381">
        <v>2.6970999999999998</v>
      </c>
      <c r="E381">
        <v>2.8540000000000001</v>
      </c>
      <c r="F381">
        <v>23966753.289999999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-0.35524964043558599</v>
      </c>
      <c r="Q381">
        <f t="shared" si="970"/>
        <v>-8514180.4886808973</v>
      </c>
      <c r="R381">
        <f t="shared" si="971"/>
        <v>194459980.31329757</v>
      </c>
      <c r="S381">
        <f t="shared" si="972"/>
        <v>1944.5998031329757</v>
      </c>
      <c r="T381">
        <f t="shared" si="973"/>
        <v>1.9445998031329756</v>
      </c>
    </row>
    <row r="382" spans="1:20" x14ac:dyDescent="0.25">
      <c r="A382" s="5">
        <v>44211</v>
      </c>
      <c r="B382">
        <v>2.5535000000000001</v>
      </c>
      <c r="C382">
        <v>2.9104999999999999</v>
      </c>
      <c r="D382">
        <v>2.4557000000000002</v>
      </c>
      <c r="E382">
        <v>2.7118000000000002</v>
      </c>
      <c r="F382">
        <v>18692818.149999999</v>
      </c>
      <c r="G382">
        <v>0</v>
      </c>
      <c r="L382" t="s">
        <v>8</v>
      </c>
      <c r="M382" t="s">
        <v>8</v>
      </c>
      <c r="N382" t="s">
        <v>8</v>
      </c>
      <c r="P382">
        <f t="shared" si="969"/>
        <v>0.12620932277924446</v>
      </c>
      <c r="Q382">
        <f t="shared" si="970"/>
        <v>2359207.9195470689</v>
      </c>
      <c r="R382">
        <f t="shared" si="971"/>
        <v>202974160.80197847</v>
      </c>
      <c r="S382">
        <f t="shared" si="972"/>
        <v>2029.7416080197847</v>
      </c>
      <c r="T382">
        <f t="shared" si="973"/>
        <v>2.0297416080197848</v>
      </c>
    </row>
    <row r="383" spans="1:20" x14ac:dyDescent="0.25">
      <c r="A383" s="5">
        <v>44210</v>
      </c>
      <c r="B383">
        <v>2.5026000000000002</v>
      </c>
      <c r="C383">
        <v>2.62</v>
      </c>
      <c r="D383">
        <v>2.4051999999999998</v>
      </c>
      <c r="E383">
        <v>2.5528</v>
      </c>
      <c r="F383">
        <v>9553460.4199999999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0.37430167597765318</v>
      </c>
      <c r="Q383">
        <f t="shared" si="970"/>
        <v>3575876.2465921743</v>
      </c>
      <c r="R383">
        <f t="shared" si="971"/>
        <v>200614952.88243139</v>
      </c>
      <c r="S383">
        <f t="shared" si="972"/>
        <v>2006.1495288243138</v>
      </c>
      <c r="T383">
        <f t="shared" si="973"/>
        <v>2.0061495288243139</v>
      </c>
    </row>
    <row r="384" spans="1:20" x14ac:dyDescent="0.25">
      <c r="A384" s="5">
        <v>44209</v>
      </c>
      <c r="B384">
        <v>2.2978999999999998</v>
      </c>
      <c r="C384">
        <v>2.5047999999999999</v>
      </c>
      <c r="D384">
        <v>2.2261000000000002</v>
      </c>
      <c r="E384">
        <v>2.4998999999999998</v>
      </c>
      <c r="F384">
        <v>8458642.6099999994</v>
      </c>
      <c r="G384">
        <v>0</v>
      </c>
      <c r="L384" t="s">
        <v>8</v>
      </c>
      <c r="M384" t="s">
        <v>7</v>
      </c>
      <c r="N384" t="s">
        <v>7</v>
      </c>
      <c r="P384">
        <f t="shared" si="969"/>
        <v>0.96483674201650427</v>
      </c>
      <c r="Q384">
        <f t="shared" si="970"/>
        <v>8161209.1777143795</v>
      </c>
      <c r="R384">
        <f t="shared" si="971"/>
        <v>197039076.63583922</v>
      </c>
      <c r="S384">
        <f t="shared" si="972"/>
        <v>1970.3907663583923</v>
      </c>
      <c r="T384">
        <f t="shared" si="973"/>
        <v>1.9703907663583924</v>
      </c>
    </row>
    <row r="385" spans="1:20" x14ac:dyDescent="0.25">
      <c r="A385" s="5">
        <v>44208</v>
      </c>
      <c r="B385">
        <v>2.3296999999999999</v>
      </c>
      <c r="C385">
        <v>2.4500000000000002</v>
      </c>
      <c r="D385">
        <v>2.1909999999999998</v>
      </c>
      <c r="E385">
        <v>2.298</v>
      </c>
      <c r="F385">
        <v>10849061.619999999</v>
      </c>
      <c r="G385">
        <v>0</v>
      </c>
      <c r="L385" t="s">
        <v>8</v>
      </c>
      <c r="M385" t="s">
        <v>7</v>
      </c>
      <c r="N385" t="s">
        <v>7</v>
      </c>
      <c r="P385">
        <f t="shared" si="969"/>
        <v>-0.17374517374517323</v>
      </c>
      <c r="Q385">
        <f t="shared" si="970"/>
        <v>-1884972.0961389905</v>
      </c>
      <c r="R385">
        <f t="shared" si="971"/>
        <v>188877867.45812485</v>
      </c>
      <c r="S385">
        <f t="shared" si="972"/>
        <v>1888.7786745812484</v>
      </c>
      <c r="T385">
        <f t="shared" si="973"/>
        <v>1.8887786745812485</v>
      </c>
    </row>
    <row r="386" spans="1:20" x14ac:dyDescent="0.25">
      <c r="A386" s="5">
        <v>44207</v>
      </c>
      <c r="B386">
        <v>2.7625999999999999</v>
      </c>
      <c r="C386">
        <v>2.77</v>
      </c>
      <c r="D386">
        <v>2.101</v>
      </c>
      <c r="E386">
        <v>2.3281999999999998</v>
      </c>
      <c r="F386">
        <v>19220422.449999999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-0.32077727952167462</v>
      </c>
      <c r="Q386">
        <f t="shared" si="970"/>
        <v>-6165474.8247683197</v>
      </c>
      <c r="R386">
        <f t="shared" si="971"/>
        <v>190762839.55426383</v>
      </c>
      <c r="S386">
        <f t="shared" si="972"/>
        <v>1907.6283955426384</v>
      </c>
      <c r="T386">
        <f t="shared" si="973"/>
        <v>1.9076283955426383</v>
      </c>
    </row>
    <row r="387" spans="1:20" x14ac:dyDescent="0.25">
      <c r="A387" s="5">
        <v>44206</v>
      </c>
      <c r="B387">
        <v>2.6356999999999999</v>
      </c>
      <c r="C387">
        <v>2.9466000000000001</v>
      </c>
      <c r="D387">
        <v>2.4</v>
      </c>
      <c r="E387">
        <v>2.7621000000000002</v>
      </c>
      <c r="F387">
        <v>18051322.960000001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0.32491767288693807</v>
      </c>
      <c r="Q387">
        <f t="shared" si="970"/>
        <v>5865193.8486937545</v>
      </c>
      <c r="R387">
        <f t="shared" si="971"/>
        <v>196928314.37903214</v>
      </c>
      <c r="S387">
        <f t="shared" si="972"/>
        <v>1969.2831437903214</v>
      </c>
      <c r="T387">
        <f t="shared" si="973"/>
        <v>1.9692831437903215</v>
      </c>
    </row>
    <row r="388" spans="1:20" x14ac:dyDescent="0.25">
      <c r="A388" s="5">
        <v>44205</v>
      </c>
      <c r="B388">
        <v>2.4569999999999999</v>
      </c>
      <c r="C388">
        <v>2.6886000000000001</v>
      </c>
      <c r="D388">
        <v>2.4127000000000001</v>
      </c>
      <c r="E388">
        <v>2.6356999999999999</v>
      </c>
      <c r="F388">
        <v>9126527.9100000001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0.61652772743747619</v>
      </c>
      <c r="Q388">
        <f t="shared" si="970"/>
        <v>5626757.5117469989</v>
      </c>
      <c r="R388">
        <f t="shared" si="971"/>
        <v>191063120.53033838</v>
      </c>
      <c r="S388">
        <f t="shared" si="972"/>
        <v>1910.6312053033837</v>
      </c>
      <c r="T388">
        <f t="shared" si="973"/>
        <v>1.9106312053033836</v>
      </c>
    </row>
    <row r="389" spans="1:20" x14ac:dyDescent="0.25">
      <c r="A389" s="5">
        <v>44204</v>
      </c>
      <c r="B389">
        <v>2.5293999999999999</v>
      </c>
      <c r="C389">
        <v>2.5727000000000002</v>
      </c>
      <c r="D389">
        <v>2.2437</v>
      </c>
      <c r="E389">
        <v>2.4546999999999999</v>
      </c>
      <c r="F389">
        <v>10517100.289999999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0.28267477203647257</v>
      </c>
      <c r="Q389">
        <f t="shared" si="970"/>
        <v>2972918.9269604692</v>
      </c>
      <c r="R389">
        <f t="shared" si="971"/>
        <v>185436363.01859137</v>
      </c>
      <c r="S389">
        <f t="shared" si="972"/>
        <v>1854.3636301859137</v>
      </c>
      <c r="T389">
        <f t="shared" si="973"/>
        <v>1.8543636301859137</v>
      </c>
    </row>
    <row r="390" spans="1:20" x14ac:dyDescent="0.25">
      <c r="A390" s="5">
        <v>44203</v>
      </c>
      <c r="B390">
        <v>2.6475</v>
      </c>
      <c r="C390">
        <v>2.8</v>
      </c>
      <c r="D390">
        <v>2.4</v>
      </c>
      <c r="E390">
        <v>2.5293999999999999</v>
      </c>
      <c r="F390">
        <v>13163275.699999999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-0.35300000000000004</v>
      </c>
      <c r="Q390">
        <f t="shared" ref="Q390:Q453" si="975">F390*P390</f>
        <v>-4646636.3221000005</v>
      </c>
      <c r="R390">
        <f t="shared" ref="R390:R453" si="976">R391+Q390</f>
        <v>182463444.09163091</v>
      </c>
      <c r="S390">
        <f t="shared" ref="S390:S453" si="977">R390/100000</f>
        <v>1824.6344409163091</v>
      </c>
      <c r="T390">
        <f t="shared" ref="T390:T453" si="978">S390/1000</f>
        <v>1.8246344409163091</v>
      </c>
    </row>
    <row r="391" spans="1:20" x14ac:dyDescent="0.25">
      <c r="A391" s="5">
        <v>44202</v>
      </c>
      <c r="B391">
        <v>2.3761000000000001</v>
      </c>
      <c r="C391">
        <v>2.7368000000000001</v>
      </c>
      <c r="D391">
        <v>2.294</v>
      </c>
      <c r="E391">
        <v>2.6476000000000002</v>
      </c>
      <c r="F391">
        <v>14573954.91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0.59710930442637788</v>
      </c>
      <c r="Q391">
        <f t="shared" si="975"/>
        <v>8702244.0790514946</v>
      </c>
      <c r="R391">
        <f t="shared" si="976"/>
        <v>187110080.41373092</v>
      </c>
      <c r="S391">
        <f t="shared" si="977"/>
        <v>1871.1008041373093</v>
      </c>
      <c r="T391">
        <f t="shared" si="978"/>
        <v>1.8711008041373094</v>
      </c>
    </row>
    <row r="392" spans="1:20" x14ac:dyDescent="0.25">
      <c r="A392" s="5">
        <v>44201</v>
      </c>
      <c r="B392">
        <v>2.3290000000000002</v>
      </c>
      <c r="C392">
        <v>2.4611999999999998</v>
      </c>
      <c r="D392">
        <v>2.1265000000000001</v>
      </c>
      <c r="E392">
        <v>2.3769999999999998</v>
      </c>
      <c r="F392">
        <v>13003346.01</v>
      </c>
      <c r="G392">
        <v>0</v>
      </c>
      <c r="L392" t="s">
        <v>8</v>
      </c>
      <c r="M392" t="s">
        <v>8</v>
      </c>
      <c r="N392" t="s">
        <v>8</v>
      </c>
      <c r="P392">
        <f t="shared" si="974"/>
        <v>0.49686286226471404</v>
      </c>
      <c r="Q392">
        <f t="shared" si="975"/>
        <v>6460879.7175470488</v>
      </c>
      <c r="R392">
        <f t="shared" si="976"/>
        <v>178407836.33467942</v>
      </c>
      <c r="S392">
        <f t="shared" si="977"/>
        <v>1784.0783633467943</v>
      </c>
      <c r="T392">
        <f t="shared" si="978"/>
        <v>1.7840783633467943</v>
      </c>
    </row>
    <row r="393" spans="1:20" x14ac:dyDescent="0.25">
      <c r="A393" s="5">
        <v>44200</v>
      </c>
      <c r="B393">
        <v>2.1345999999999998</v>
      </c>
      <c r="C393">
        <v>2.3546999999999998</v>
      </c>
      <c r="D393">
        <v>2.0024000000000002</v>
      </c>
      <c r="E393">
        <v>2.3283999999999998</v>
      </c>
      <c r="F393">
        <v>15524322.15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0.85069543003122328</v>
      </c>
      <c r="Q393">
        <f t="shared" si="975"/>
        <v>13206469.907337494</v>
      </c>
      <c r="R393">
        <f t="shared" si="976"/>
        <v>171946956.61713237</v>
      </c>
      <c r="S393">
        <f t="shared" si="977"/>
        <v>1719.4695661713235</v>
      </c>
      <c r="T393">
        <f t="shared" si="978"/>
        <v>1.7194695661713235</v>
      </c>
    </row>
    <row r="394" spans="1:20" x14ac:dyDescent="0.25">
      <c r="A394" s="5">
        <v>44199</v>
      </c>
      <c r="B394">
        <v>1.9988999999999999</v>
      </c>
      <c r="C394">
        <v>2.25</v>
      </c>
      <c r="D394">
        <v>1.9504999999999999</v>
      </c>
      <c r="E394">
        <v>2.1345000000000001</v>
      </c>
      <c r="F394">
        <v>10918873.35</v>
      </c>
      <c r="G394">
        <v>0</v>
      </c>
      <c r="L394" t="s">
        <v>8</v>
      </c>
      <c r="M394" t="s">
        <v>8</v>
      </c>
      <c r="N394" t="s">
        <v>8</v>
      </c>
      <c r="P394">
        <f t="shared" si="974"/>
        <v>0.22871452420701238</v>
      </c>
      <c r="Q394">
        <f t="shared" si="975"/>
        <v>2497304.9231218775</v>
      </c>
      <c r="R394">
        <f t="shared" si="976"/>
        <v>158740486.70979488</v>
      </c>
      <c r="S394">
        <f t="shared" si="977"/>
        <v>1587.4048670979487</v>
      </c>
      <c r="T394">
        <f t="shared" si="978"/>
        <v>1.5874048670979486</v>
      </c>
    </row>
    <row r="395" spans="1:20" x14ac:dyDescent="0.25">
      <c r="A395" s="5">
        <v>44198</v>
      </c>
      <c r="B395">
        <v>2.0081000000000002</v>
      </c>
      <c r="C395">
        <v>2.0573999999999999</v>
      </c>
      <c r="D395">
        <v>1.9422999999999999</v>
      </c>
      <c r="E395">
        <v>1.9992000000000001</v>
      </c>
      <c r="F395">
        <v>6189025.2000000002</v>
      </c>
      <c r="G395">
        <v>0</v>
      </c>
      <c r="L395" t="s">
        <v>7</v>
      </c>
      <c r="M395" t="s">
        <v>8</v>
      </c>
      <c r="N395" t="s">
        <v>8</v>
      </c>
      <c r="P395">
        <f t="shared" si="974"/>
        <v>-1.1294526498693615E-2</v>
      </c>
      <c r="Q395">
        <f t="shared" si="975"/>
        <v>-69902.10912248255</v>
      </c>
      <c r="R395">
        <f t="shared" si="976"/>
        <v>156243181.78667301</v>
      </c>
      <c r="S395">
        <f t="shared" si="977"/>
        <v>1562.4318178667302</v>
      </c>
      <c r="T395">
        <f t="shared" si="978"/>
        <v>1.5624318178667302</v>
      </c>
    </row>
    <row r="396" spans="1:20" x14ac:dyDescent="0.25">
      <c r="A396" s="5">
        <v>44197</v>
      </c>
      <c r="B396">
        <v>2.0102000000000002</v>
      </c>
      <c r="C396">
        <v>2.1267</v>
      </c>
      <c r="D396">
        <v>1.97</v>
      </c>
      <c r="E396">
        <v>2.0074999999999998</v>
      </c>
      <c r="F396">
        <v>5966646.6900000004</v>
      </c>
      <c r="G396">
        <v>0</v>
      </c>
      <c r="L396" t="s">
        <v>8</v>
      </c>
      <c r="M396" t="s">
        <v>8</v>
      </c>
      <c r="N396" t="s">
        <v>8</v>
      </c>
      <c r="P396">
        <f t="shared" si="974"/>
        <v>-0.52137843012125273</v>
      </c>
      <c r="Q396">
        <f t="shared" si="975"/>
        <v>-3110880.884320369</v>
      </c>
      <c r="R396">
        <f t="shared" si="976"/>
        <v>156313083.89579549</v>
      </c>
      <c r="S396">
        <f t="shared" si="977"/>
        <v>1563.1308389579549</v>
      </c>
      <c r="T396">
        <f t="shared" si="978"/>
        <v>1.5631308389579548</v>
      </c>
    </row>
    <row r="397" spans="1:20" x14ac:dyDescent="0.25">
      <c r="A397" s="5">
        <v>44196</v>
      </c>
      <c r="B397">
        <v>1.9896</v>
      </c>
      <c r="C397">
        <v>2.0230000000000001</v>
      </c>
      <c r="D397">
        <v>1.9361999999999999</v>
      </c>
      <c r="E397">
        <v>2.0106999999999999</v>
      </c>
      <c r="F397">
        <v>3458990.6</v>
      </c>
      <c r="G397">
        <v>0</v>
      </c>
      <c r="L397" t="s">
        <v>7</v>
      </c>
      <c r="M397" t="s">
        <v>8</v>
      </c>
      <c r="N397" t="s">
        <v>8</v>
      </c>
      <c r="P397">
        <f t="shared" si="974"/>
        <v>0.71658986175114814</v>
      </c>
      <c r="Q397">
        <f t="shared" si="975"/>
        <v>2478677.5958525212</v>
      </c>
      <c r="R397">
        <f t="shared" si="976"/>
        <v>159423964.78011587</v>
      </c>
      <c r="S397">
        <f t="shared" si="977"/>
        <v>1594.2396478011588</v>
      </c>
      <c r="T397">
        <f t="shared" si="978"/>
        <v>1.5942396478011587</v>
      </c>
    </row>
    <row r="398" spans="1:20" x14ac:dyDescent="0.25">
      <c r="A398" s="5">
        <v>44195</v>
      </c>
      <c r="B398">
        <v>2.0428999999999999</v>
      </c>
      <c r="C398">
        <v>2.0775999999999999</v>
      </c>
      <c r="D398">
        <v>1.9587000000000001</v>
      </c>
      <c r="E398">
        <v>1.9890000000000001</v>
      </c>
      <c r="F398">
        <v>3751391.75</v>
      </c>
      <c r="G398">
        <v>0</v>
      </c>
      <c r="L398" t="s">
        <v>7</v>
      </c>
      <c r="M398" t="s">
        <v>8</v>
      </c>
      <c r="N398" t="s">
        <v>8</v>
      </c>
      <c r="P398">
        <f t="shared" si="974"/>
        <v>-0.49032800672834231</v>
      </c>
      <c r="Q398">
        <f t="shared" si="975"/>
        <v>-1839412.4392346479</v>
      </c>
      <c r="R398">
        <f t="shared" si="976"/>
        <v>156945287.18426335</v>
      </c>
      <c r="S398">
        <f t="shared" si="977"/>
        <v>1569.4528718426334</v>
      </c>
      <c r="T398">
        <f t="shared" si="978"/>
        <v>1.5694528718426335</v>
      </c>
    </row>
    <row r="399" spans="1:20" x14ac:dyDescent="0.25">
      <c r="A399" s="5">
        <v>44194</v>
      </c>
      <c r="B399">
        <v>2.1227999999999998</v>
      </c>
      <c r="C399">
        <v>2.1768999999999998</v>
      </c>
      <c r="D399">
        <v>1.9803999999999999</v>
      </c>
      <c r="E399">
        <v>2.0428999999999999</v>
      </c>
      <c r="F399">
        <v>6773200.0899999999</v>
      </c>
      <c r="G399">
        <v>0</v>
      </c>
      <c r="L399" t="s">
        <v>7</v>
      </c>
      <c r="M399" t="s">
        <v>8</v>
      </c>
      <c r="N399" t="s">
        <v>8</v>
      </c>
      <c r="P399">
        <f t="shared" si="974"/>
        <v>-0.36386768447837115</v>
      </c>
      <c r="Q399">
        <f t="shared" si="975"/>
        <v>-2464548.6332569951</v>
      </c>
      <c r="R399">
        <f t="shared" si="976"/>
        <v>158784699.62349799</v>
      </c>
      <c r="S399">
        <f t="shared" si="977"/>
        <v>1587.84699623498</v>
      </c>
      <c r="T399">
        <f t="shared" si="978"/>
        <v>1.5878469962349799</v>
      </c>
    </row>
    <row r="400" spans="1:20" x14ac:dyDescent="0.25">
      <c r="A400" s="5">
        <v>44193</v>
      </c>
      <c r="B400">
        <v>2.0038</v>
      </c>
      <c r="C400">
        <v>2.2391999999999999</v>
      </c>
      <c r="D400">
        <v>1.9837</v>
      </c>
      <c r="E400">
        <v>2.1213000000000002</v>
      </c>
      <c r="F400">
        <v>6540531.3899999997</v>
      </c>
      <c r="G400">
        <v>0</v>
      </c>
      <c r="L400" t="s">
        <v>8</v>
      </c>
      <c r="M400" t="s">
        <v>8</v>
      </c>
      <c r="N400" t="s">
        <v>8</v>
      </c>
      <c r="P400">
        <f t="shared" si="974"/>
        <v>7.7103718199610594E-2</v>
      </c>
      <c r="Q400">
        <f t="shared" si="975"/>
        <v>504299.28917026735</v>
      </c>
      <c r="R400">
        <f t="shared" si="976"/>
        <v>161249248.25675499</v>
      </c>
      <c r="S400">
        <f t="shared" si="977"/>
        <v>1612.49248256755</v>
      </c>
      <c r="T400">
        <f t="shared" si="978"/>
        <v>1.61249248256755</v>
      </c>
    </row>
    <row r="401" spans="1:20" x14ac:dyDescent="0.25">
      <c r="A401" s="5">
        <v>44192</v>
      </c>
      <c r="B401">
        <v>1.9794</v>
      </c>
      <c r="C401">
        <v>2.1478000000000002</v>
      </c>
      <c r="D401">
        <v>1.8785000000000001</v>
      </c>
      <c r="E401">
        <v>2.004</v>
      </c>
      <c r="F401">
        <v>7803053.6200000001</v>
      </c>
      <c r="G401">
        <v>0</v>
      </c>
      <c r="L401" t="s">
        <v>7</v>
      </c>
      <c r="M401" t="s">
        <v>8</v>
      </c>
      <c r="N401" t="s">
        <v>8</v>
      </c>
      <c r="P401">
        <f t="shared" si="974"/>
        <v>-6.7953954697364274E-2</v>
      </c>
      <c r="Q401">
        <f t="shared" si="975"/>
        <v>-530248.35219458432</v>
      </c>
      <c r="R401">
        <f t="shared" si="976"/>
        <v>160744948.96758473</v>
      </c>
      <c r="S401">
        <f t="shared" si="977"/>
        <v>1607.4494896758472</v>
      </c>
      <c r="T401">
        <f t="shared" si="978"/>
        <v>1.6074494896758471</v>
      </c>
    </row>
    <row r="402" spans="1:20" x14ac:dyDescent="0.25">
      <c r="A402" s="5">
        <v>44191</v>
      </c>
      <c r="B402">
        <v>2.0291999999999999</v>
      </c>
      <c r="C402">
        <v>2.0419999999999998</v>
      </c>
      <c r="D402">
        <v>1.9236</v>
      </c>
      <c r="E402">
        <v>1.9793000000000001</v>
      </c>
      <c r="F402">
        <v>3762276.43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-5.9121621621618943E-2</v>
      </c>
      <c r="Q402">
        <f t="shared" si="975"/>
        <v>-222431.88353039534</v>
      </c>
      <c r="R402">
        <f t="shared" si="976"/>
        <v>161275197.31977931</v>
      </c>
      <c r="S402">
        <f t="shared" si="977"/>
        <v>1612.7519731977932</v>
      </c>
      <c r="T402">
        <f t="shared" si="978"/>
        <v>1.6127519731977933</v>
      </c>
    </row>
    <row r="403" spans="1:20" x14ac:dyDescent="0.25">
      <c r="A403" s="5">
        <v>44190</v>
      </c>
      <c r="B403">
        <v>2.0592000000000001</v>
      </c>
      <c r="C403">
        <v>2.1181000000000001</v>
      </c>
      <c r="D403">
        <v>1.9772000000000001</v>
      </c>
      <c r="E403">
        <v>2.0286</v>
      </c>
      <c r="F403">
        <v>4015565.15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-0.27040454222853255</v>
      </c>
      <c r="Q403">
        <f t="shared" si="975"/>
        <v>-1085827.0561745986</v>
      </c>
      <c r="R403">
        <f t="shared" si="976"/>
        <v>161497629.20330971</v>
      </c>
      <c r="S403">
        <f t="shared" si="977"/>
        <v>1614.9762920330973</v>
      </c>
      <c r="T403">
        <f t="shared" si="978"/>
        <v>1.6149762920330972</v>
      </c>
    </row>
    <row r="404" spans="1:20" x14ac:dyDescent="0.25">
      <c r="A404" s="5">
        <v>44189</v>
      </c>
      <c r="B404">
        <v>1.8187</v>
      </c>
      <c r="C404">
        <v>2.0891999999999999</v>
      </c>
      <c r="D404">
        <v>1.78</v>
      </c>
      <c r="E404">
        <v>2.06</v>
      </c>
      <c r="F404">
        <v>6934485.8799999999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0.81112548512289839</v>
      </c>
      <c r="Q404">
        <f t="shared" si="975"/>
        <v>5624738.2234928887</v>
      </c>
      <c r="R404">
        <f t="shared" si="976"/>
        <v>162583456.25948432</v>
      </c>
      <c r="S404">
        <f t="shared" si="977"/>
        <v>1625.8345625948432</v>
      </c>
      <c r="T404">
        <f t="shared" si="978"/>
        <v>1.6258345625948432</v>
      </c>
    </row>
    <row r="405" spans="1:20" x14ac:dyDescent="0.25">
      <c r="A405" s="5">
        <v>44188</v>
      </c>
      <c r="B405">
        <v>2.1823000000000001</v>
      </c>
      <c r="C405">
        <v>2.2014999999999998</v>
      </c>
      <c r="D405">
        <v>1.5708</v>
      </c>
      <c r="E405">
        <v>1.819</v>
      </c>
      <c r="F405">
        <v>8755850.1300000008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-0.21293800539083543</v>
      </c>
      <c r="Q405">
        <f t="shared" si="975"/>
        <v>-1864453.2621832874</v>
      </c>
      <c r="R405">
        <f t="shared" si="976"/>
        <v>156958718.03599143</v>
      </c>
      <c r="S405">
        <f t="shared" si="977"/>
        <v>1569.5871803599143</v>
      </c>
      <c r="T405">
        <f t="shared" si="978"/>
        <v>1.5695871803599144</v>
      </c>
    </row>
    <row r="406" spans="1:20" x14ac:dyDescent="0.25">
      <c r="A406" s="5">
        <v>44187</v>
      </c>
      <c r="B406">
        <v>2.1796000000000002</v>
      </c>
      <c r="C406">
        <v>2.1962000000000002</v>
      </c>
      <c r="D406">
        <v>2.0752000000000002</v>
      </c>
      <c r="E406">
        <v>2.1823999999999999</v>
      </c>
      <c r="F406">
        <v>4048999.19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0.77190082644627678</v>
      </c>
      <c r="Q406">
        <f t="shared" si="975"/>
        <v>3125425.8210413051</v>
      </c>
      <c r="R406">
        <f t="shared" si="976"/>
        <v>158823171.29817471</v>
      </c>
      <c r="S406">
        <f t="shared" si="977"/>
        <v>1588.231712981747</v>
      </c>
      <c r="T406">
        <f t="shared" si="978"/>
        <v>1.5882317129817469</v>
      </c>
    </row>
    <row r="407" spans="1:20" x14ac:dyDescent="0.25">
      <c r="A407" s="5">
        <v>44186</v>
      </c>
      <c r="B407">
        <v>2.2679</v>
      </c>
      <c r="C407">
        <v>2.3134000000000001</v>
      </c>
      <c r="D407">
        <v>2.1189</v>
      </c>
      <c r="E407">
        <v>2.1800999999999999</v>
      </c>
      <c r="F407">
        <v>3537674.2</v>
      </c>
      <c r="G407">
        <v>0</v>
      </c>
      <c r="L407" t="s">
        <v>7</v>
      </c>
      <c r="M407" t="s">
        <v>8</v>
      </c>
      <c r="N407" t="s">
        <v>7</v>
      </c>
      <c r="P407">
        <f t="shared" si="974"/>
        <v>-0.37069408740360016</v>
      </c>
      <c r="Q407">
        <f t="shared" si="975"/>
        <v>-1311394.9091002613</v>
      </c>
      <c r="R407">
        <f t="shared" si="976"/>
        <v>155697745.47713339</v>
      </c>
      <c r="S407">
        <f t="shared" si="977"/>
        <v>1556.9774547713339</v>
      </c>
      <c r="T407">
        <f t="shared" si="978"/>
        <v>1.556977454771334</v>
      </c>
    </row>
    <row r="408" spans="1:20" x14ac:dyDescent="0.25">
      <c r="A408" s="5">
        <v>44185</v>
      </c>
      <c r="B408">
        <v>2.3226</v>
      </c>
      <c r="C408">
        <v>2.36</v>
      </c>
      <c r="D408">
        <v>2.2338</v>
      </c>
      <c r="E408">
        <v>2.2673999999999999</v>
      </c>
      <c r="F408">
        <v>3637377.96</v>
      </c>
      <c r="G408">
        <v>0</v>
      </c>
      <c r="L408" t="s">
        <v>7</v>
      </c>
      <c r="M408" t="s">
        <v>8</v>
      </c>
      <c r="N408" t="s">
        <v>7</v>
      </c>
      <c r="P408">
        <f t="shared" si="974"/>
        <v>-0.46751188589540593</v>
      </c>
      <c r="Q408">
        <f t="shared" si="975"/>
        <v>-1700517.4297939844</v>
      </c>
      <c r="R408">
        <f t="shared" si="976"/>
        <v>157009140.38623366</v>
      </c>
      <c r="S408">
        <f t="shared" si="977"/>
        <v>1570.0914038623366</v>
      </c>
      <c r="T408">
        <f t="shared" si="978"/>
        <v>1.5700914038623366</v>
      </c>
    </row>
    <row r="409" spans="1:20" x14ac:dyDescent="0.25">
      <c r="A409" s="5">
        <v>44184</v>
      </c>
      <c r="B409">
        <v>2.3252999999999999</v>
      </c>
      <c r="C409">
        <v>2.391</v>
      </c>
      <c r="D409">
        <v>2.3001999999999998</v>
      </c>
      <c r="E409">
        <v>2.3237000000000001</v>
      </c>
      <c r="F409">
        <v>3862728.63</v>
      </c>
      <c r="G409">
        <v>0</v>
      </c>
      <c r="L409" t="s">
        <v>8</v>
      </c>
      <c r="M409" t="s">
        <v>8</v>
      </c>
      <c r="N409" t="s">
        <v>7</v>
      </c>
      <c r="P409">
        <f t="shared" si="974"/>
        <v>-0.48237885462554531</v>
      </c>
      <c r="Q409">
        <f t="shared" si="975"/>
        <v>-1863298.6122687017</v>
      </c>
      <c r="R409">
        <f t="shared" si="976"/>
        <v>158709657.81602764</v>
      </c>
      <c r="S409">
        <f t="shared" si="977"/>
        <v>1587.0965781602765</v>
      </c>
      <c r="T409">
        <f t="shared" si="978"/>
        <v>1.5870965781602766</v>
      </c>
    </row>
    <row r="410" spans="1:20" x14ac:dyDescent="0.25">
      <c r="A410" s="5">
        <v>44183</v>
      </c>
      <c r="B410">
        <v>2.2967</v>
      </c>
      <c r="C410">
        <v>2.3490000000000002</v>
      </c>
      <c r="D410">
        <v>2.2568000000000001</v>
      </c>
      <c r="E410">
        <v>2.3250000000000002</v>
      </c>
      <c r="F410">
        <v>3252832.76</v>
      </c>
      <c r="G410">
        <v>0</v>
      </c>
      <c r="L410" t="s">
        <v>8</v>
      </c>
      <c r="M410" t="s">
        <v>8</v>
      </c>
      <c r="N410" t="s">
        <v>7</v>
      </c>
      <c r="P410">
        <f t="shared" si="974"/>
        <v>0.47939262472885019</v>
      </c>
      <c r="Q410">
        <f t="shared" si="975"/>
        <v>1559384.0346203898</v>
      </c>
      <c r="R410">
        <f t="shared" si="976"/>
        <v>160572956.42829636</v>
      </c>
      <c r="S410">
        <f t="shared" si="977"/>
        <v>1605.7295642829636</v>
      </c>
      <c r="T410">
        <f t="shared" si="978"/>
        <v>1.6057295642829637</v>
      </c>
    </row>
    <row r="411" spans="1:20" x14ac:dyDescent="0.25">
      <c r="A411" s="5">
        <v>44182</v>
      </c>
      <c r="B411">
        <v>2.367</v>
      </c>
      <c r="C411">
        <v>2.4369999999999998</v>
      </c>
      <c r="D411">
        <v>2.27</v>
      </c>
      <c r="E411">
        <v>2.2964000000000002</v>
      </c>
      <c r="F411">
        <v>7659859.8099999996</v>
      </c>
      <c r="G411">
        <v>0</v>
      </c>
      <c r="L411" t="s">
        <v>8</v>
      </c>
      <c r="M411" t="s">
        <v>8</v>
      </c>
      <c r="N411" t="s">
        <v>7</v>
      </c>
      <c r="P411">
        <f t="shared" si="974"/>
        <v>-0.68383233532933851</v>
      </c>
      <c r="Q411">
        <f t="shared" si="975"/>
        <v>-5238059.8221676433</v>
      </c>
      <c r="R411">
        <f t="shared" si="976"/>
        <v>159013572.39367595</v>
      </c>
      <c r="S411">
        <f t="shared" si="977"/>
        <v>1590.1357239367596</v>
      </c>
      <c r="T411">
        <f t="shared" si="978"/>
        <v>1.5901357239367597</v>
      </c>
    </row>
    <row r="412" spans="1:20" x14ac:dyDescent="0.25">
      <c r="A412" s="5">
        <v>44181</v>
      </c>
      <c r="B412">
        <v>2.2311000000000001</v>
      </c>
      <c r="C412">
        <v>2.42</v>
      </c>
      <c r="D412">
        <v>2.0200999999999998</v>
      </c>
      <c r="E412">
        <v>2.3668999999999998</v>
      </c>
      <c r="F412">
        <v>6131428.8099999996</v>
      </c>
      <c r="G412">
        <v>0</v>
      </c>
      <c r="L412" t="s">
        <v>8</v>
      </c>
      <c r="M412" t="s">
        <v>8</v>
      </c>
      <c r="N412" t="s">
        <v>7</v>
      </c>
      <c r="P412">
        <f t="shared" si="974"/>
        <v>0.73443360840209992</v>
      </c>
      <c r="Q412">
        <f t="shared" si="975"/>
        <v>4503127.3855888937</v>
      </c>
      <c r="R412">
        <f t="shared" si="976"/>
        <v>164251632.21584359</v>
      </c>
      <c r="S412">
        <f t="shared" si="977"/>
        <v>1642.516322158436</v>
      </c>
      <c r="T412">
        <f t="shared" si="978"/>
        <v>1.642516322158436</v>
      </c>
    </row>
    <row r="413" spans="1:20" x14ac:dyDescent="0.25">
      <c r="A413" s="5">
        <v>44180</v>
      </c>
      <c r="B413">
        <v>2.2242999999999999</v>
      </c>
      <c r="C413">
        <v>2.2597</v>
      </c>
      <c r="D413">
        <v>2.1810999999999998</v>
      </c>
      <c r="E413">
        <v>2.2307000000000001</v>
      </c>
      <c r="F413">
        <v>2391834.92</v>
      </c>
      <c r="G413">
        <v>0</v>
      </c>
      <c r="L413" t="s">
        <v>8</v>
      </c>
      <c r="M413" t="s">
        <v>7</v>
      </c>
      <c r="N413" t="s">
        <v>7</v>
      </c>
      <c r="P413">
        <f t="shared" si="974"/>
        <v>0.26208651399491523</v>
      </c>
      <c r="Q413">
        <f t="shared" si="975"/>
        <v>626867.67623410688</v>
      </c>
      <c r="R413">
        <f t="shared" si="976"/>
        <v>159748504.8302547</v>
      </c>
      <c r="S413">
        <f t="shared" si="977"/>
        <v>1597.4850483025471</v>
      </c>
      <c r="T413">
        <f t="shared" si="978"/>
        <v>1.5974850483025471</v>
      </c>
    </row>
    <row r="414" spans="1:20" x14ac:dyDescent="0.25">
      <c r="A414" s="5">
        <v>44179</v>
      </c>
      <c r="B414">
        <v>2.2320000000000002</v>
      </c>
      <c r="C414">
        <v>2.2665000000000002</v>
      </c>
      <c r="D414">
        <v>2.1751</v>
      </c>
      <c r="E414">
        <v>2.2242999999999999</v>
      </c>
      <c r="F414">
        <v>2838565.61</v>
      </c>
      <c r="G414">
        <v>0</v>
      </c>
      <c r="L414" t="s">
        <v>8</v>
      </c>
      <c r="M414" t="s">
        <v>7</v>
      </c>
      <c r="N414" t="s">
        <v>7</v>
      </c>
      <c r="P414">
        <f t="shared" si="974"/>
        <v>7.6586433260390177E-2</v>
      </c>
      <c r="Q414">
        <f t="shared" si="975"/>
        <v>217395.61564550371</v>
      </c>
      <c r="R414">
        <f t="shared" si="976"/>
        <v>159121637.15402061</v>
      </c>
      <c r="S414">
        <f t="shared" si="977"/>
        <v>1591.2163715402062</v>
      </c>
      <c r="T414">
        <f t="shared" si="978"/>
        <v>1.5912163715402061</v>
      </c>
    </row>
    <row r="415" spans="1:20" x14ac:dyDescent="0.25">
      <c r="A415" s="5">
        <v>44178</v>
      </c>
      <c r="B415">
        <v>2.1373000000000002</v>
      </c>
      <c r="C415">
        <v>2.2765</v>
      </c>
      <c r="D415">
        <v>2.1254</v>
      </c>
      <c r="E415">
        <v>2.2320000000000002</v>
      </c>
      <c r="F415">
        <v>4191794.52</v>
      </c>
      <c r="G415">
        <v>0</v>
      </c>
      <c r="L415" t="s">
        <v>8</v>
      </c>
      <c r="M415" t="s">
        <v>7</v>
      </c>
      <c r="N415" t="s">
        <v>7</v>
      </c>
      <c r="P415">
        <f t="shared" si="974"/>
        <v>0.41098610191926199</v>
      </c>
      <c r="Q415">
        <f t="shared" si="975"/>
        <v>1722769.2898213239</v>
      </c>
      <c r="R415">
        <f t="shared" si="976"/>
        <v>158904241.53837511</v>
      </c>
      <c r="S415">
        <f t="shared" si="977"/>
        <v>1589.0424153837512</v>
      </c>
      <c r="T415">
        <f t="shared" si="978"/>
        <v>1.5890424153837512</v>
      </c>
    </row>
    <row r="416" spans="1:20" x14ac:dyDescent="0.25">
      <c r="A416" s="5">
        <v>44177</v>
      </c>
      <c r="B416">
        <v>2.0798000000000001</v>
      </c>
      <c r="C416">
        <v>2.1589</v>
      </c>
      <c r="D416">
        <v>2.0710000000000002</v>
      </c>
      <c r="E416">
        <v>2.1356999999999999</v>
      </c>
      <c r="F416">
        <v>2453651.59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0.47212741751990572</v>
      </c>
      <c r="Q416">
        <f t="shared" si="975"/>
        <v>1158436.1886803105</v>
      </c>
      <c r="R416">
        <f t="shared" si="976"/>
        <v>157181472.24855378</v>
      </c>
      <c r="S416">
        <f t="shared" si="977"/>
        <v>1571.8147224855379</v>
      </c>
      <c r="T416">
        <f t="shared" si="978"/>
        <v>1.5718147224855379</v>
      </c>
    </row>
    <row r="417" spans="1:20" x14ac:dyDescent="0.25">
      <c r="A417" s="5">
        <v>44176</v>
      </c>
      <c r="B417">
        <v>2.1059000000000001</v>
      </c>
      <c r="C417">
        <v>2.1141999999999999</v>
      </c>
      <c r="D417">
        <v>2.0446</v>
      </c>
      <c r="E417">
        <v>2.0790999999999999</v>
      </c>
      <c r="F417">
        <v>2210323.41</v>
      </c>
      <c r="G417">
        <v>0</v>
      </c>
      <c r="L417" t="s">
        <v>8</v>
      </c>
      <c r="M417" t="s">
        <v>7</v>
      </c>
      <c r="N417" t="s">
        <v>7</v>
      </c>
      <c r="P417">
        <f t="shared" si="974"/>
        <v>-8.6206896551714787E-3</v>
      </c>
      <c r="Q417">
        <f t="shared" si="975"/>
        <v>-19054.512155170349</v>
      </c>
      <c r="R417">
        <f t="shared" si="976"/>
        <v>156023036.05987346</v>
      </c>
      <c r="S417">
        <f t="shared" si="977"/>
        <v>1560.2303605987347</v>
      </c>
      <c r="T417">
        <f t="shared" si="978"/>
        <v>1.5602303605987347</v>
      </c>
    </row>
    <row r="418" spans="1:20" x14ac:dyDescent="0.25">
      <c r="A418" s="5">
        <v>44175</v>
      </c>
      <c r="B418">
        <v>2.1747000000000001</v>
      </c>
      <c r="C418">
        <v>2.1836000000000002</v>
      </c>
      <c r="D418">
        <v>2.0762999999999998</v>
      </c>
      <c r="E418">
        <v>2.1055000000000001</v>
      </c>
      <c r="F418">
        <v>2086546.95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-0.45573159366262389</v>
      </c>
      <c r="Q418">
        <f t="shared" si="975"/>
        <v>-950905.3667753872</v>
      </c>
      <c r="R418">
        <f t="shared" si="976"/>
        <v>156042090.57202864</v>
      </c>
      <c r="S418">
        <f t="shared" si="977"/>
        <v>1560.4209057202863</v>
      </c>
      <c r="T418">
        <f t="shared" si="978"/>
        <v>1.5604209057202862</v>
      </c>
    </row>
    <row r="419" spans="1:20" x14ac:dyDescent="0.25">
      <c r="A419" s="5">
        <v>44174</v>
      </c>
      <c r="B419">
        <v>2.1511</v>
      </c>
      <c r="C419">
        <v>2.1999</v>
      </c>
      <c r="D419">
        <v>1.97</v>
      </c>
      <c r="E419">
        <v>2.1743000000000001</v>
      </c>
      <c r="F419">
        <v>5102779.83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0.77729447585907052</v>
      </c>
      <c r="Q419">
        <f t="shared" si="975"/>
        <v>3966362.5733840871</v>
      </c>
      <c r="R419">
        <f t="shared" si="976"/>
        <v>156992995.93880403</v>
      </c>
      <c r="S419">
        <f t="shared" si="977"/>
        <v>1569.9299593880403</v>
      </c>
      <c r="T419">
        <f t="shared" si="978"/>
        <v>1.5699299593880403</v>
      </c>
    </row>
    <row r="420" spans="1:20" x14ac:dyDescent="0.25">
      <c r="A420" s="5">
        <v>44173</v>
      </c>
      <c r="B420">
        <v>2.2759</v>
      </c>
      <c r="C420">
        <v>2.3632</v>
      </c>
      <c r="D420">
        <v>2.0975999999999999</v>
      </c>
      <c r="E420">
        <v>2.1536</v>
      </c>
      <c r="F420">
        <v>5501883.9500000002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-0.57831325301204795</v>
      </c>
      <c r="Q420">
        <f t="shared" si="975"/>
        <v>-3181812.4048192757</v>
      </c>
      <c r="R420">
        <f t="shared" si="976"/>
        <v>153026633.36541995</v>
      </c>
      <c r="S420">
        <f t="shared" si="977"/>
        <v>1530.2663336541996</v>
      </c>
      <c r="T420">
        <f t="shared" si="978"/>
        <v>1.5302663336541995</v>
      </c>
    </row>
    <row r="421" spans="1:20" x14ac:dyDescent="0.25">
      <c r="A421" s="5">
        <v>44172</v>
      </c>
      <c r="B421">
        <v>2.3252999999999999</v>
      </c>
      <c r="C421">
        <v>2.3279000000000001</v>
      </c>
      <c r="D421">
        <v>2.2262</v>
      </c>
      <c r="E421">
        <v>2.2746</v>
      </c>
      <c r="F421">
        <v>3157032.08</v>
      </c>
      <c r="G421">
        <v>0</v>
      </c>
      <c r="L421" t="s">
        <v>7</v>
      </c>
      <c r="M421" t="s">
        <v>7</v>
      </c>
      <c r="N421" t="s">
        <v>7</v>
      </c>
      <c r="P421">
        <f t="shared" si="974"/>
        <v>-4.8180924287120161E-2</v>
      </c>
      <c r="Q421">
        <f t="shared" si="975"/>
        <v>-152108.72361848949</v>
      </c>
      <c r="R421">
        <f t="shared" si="976"/>
        <v>156208445.77023923</v>
      </c>
      <c r="S421">
        <f t="shared" si="977"/>
        <v>1562.0844577023922</v>
      </c>
      <c r="T421">
        <f t="shared" si="978"/>
        <v>1.5620844577023922</v>
      </c>
    </row>
    <row r="422" spans="1:20" x14ac:dyDescent="0.25">
      <c r="A422" s="5">
        <v>44171</v>
      </c>
      <c r="B422">
        <v>2.3248000000000002</v>
      </c>
      <c r="C422">
        <v>2.3405</v>
      </c>
      <c r="D422">
        <v>2.2532999999999999</v>
      </c>
      <c r="E422">
        <v>2.3237000000000001</v>
      </c>
      <c r="F422">
        <v>2378396.19</v>
      </c>
      <c r="G422">
        <v>0</v>
      </c>
      <c r="L422" t="s">
        <v>7</v>
      </c>
      <c r="M422" t="s">
        <v>7</v>
      </c>
      <c r="N422" t="s">
        <v>7</v>
      </c>
      <c r="P422">
        <f t="shared" si="974"/>
        <v>0.61467889908257123</v>
      </c>
      <c r="Q422">
        <f t="shared" si="975"/>
        <v>1461949.9516513818</v>
      </c>
      <c r="R422">
        <f t="shared" si="976"/>
        <v>156360554.49385771</v>
      </c>
      <c r="S422">
        <f t="shared" si="977"/>
        <v>1563.6055449385772</v>
      </c>
      <c r="T422">
        <f t="shared" si="978"/>
        <v>1.5636055449385771</v>
      </c>
    </row>
    <row r="423" spans="1:20" x14ac:dyDescent="0.25">
      <c r="A423" s="5">
        <v>44170</v>
      </c>
      <c r="B423">
        <v>2.2745000000000002</v>
      </c>
      <c r="C423">
        <v>2.3323999999999998</v>
      </c>
      <c r="D423">
        <v>2.2400000000000002</v>
      </c>
      <c r="E423">
        <v>2.3237000000000001</v>
      </c>
      <c r="F423">
        <v>3059254.82</v>
      </c>
      <c r="G423">
        <v>0</v>
      </c>
      <c r="L423" t="s">
        <v>7</v>
      </c>
      <c r="M423" t="s">
        <v>7</v>
      </c>
      <c r="N423" t="s">
        <v>7</v>
      </c>
      <c r="P423">
        <f t="shared" si="974"/>
        <v>0.81168831168831723</v>
      </c>
      <c r="Q423">
        <f t="shared" si="975"/>
        <v>2483161.3798701465</v>
      </c>
      <c r="R423">
        <f t="shared" si="976"/>
        <v>154898604.54220632</v>
      </c>
      <c r="S423">
        <f t="shared" si="977"/>
        <v>1548.9860454220632</v>
      </c>
      <c r="T423">
        <f t="shared" si="978"/>
        <v>1.5489860454220632</v>
      </c>
    </row>
    <row r="424" spans="1:20" x14ac:dyDescent="0.25">
      <c r="A424" s="5">
        <v>44169</v>
      </c>
      <c r="B424">
        <v>2.4041999999999999</v>
      </c>
      <c r="C424">
        <v>2.4340999999999999</v>
      </c>
      <c r="D424">
        <v>2.2216999999999998</v>
      </c>
      <c r="E424">
        <v>2.2766999999999999</v>
      </c>
      <c r="F424">
        <v>4386394.03</v>
      </c>
      <c r="G424">
        <v>0</v>
      </c>
      <c r="L424" t="s">
        <v>7</v>
      </c>
      <c r="M424" t="s">
        <v>7</v>
      </c>
      <c r="N424" t="s">
        <v>7</v>
      </c>
      <c r="P424">
        <f t="shared" si="974"/>
        <v>-0.48210922787193861</v>
      </c>
      <c r="Q424">
        <f t="shared" si="975"/>
        <v>-2114721.0389453811</v>
      </c>
      <c r="R424">
        <f t="shared" si="976"/>
        <v>152415443.16233617</v>
      </c>
      <c r="S424">
        <f t="shared" si="977"/>
        <v>1524.1544316233617</v>
      </c>
      <c r="T424">
        <f t="shared" si="978"/>
        <v>1.5241544316233617</v>
      </c>
    </row>
    <row r="425" spans="1:20" x14ac:dyDescent="0.25">
      <c r="A425" s="5">
        <v>44168</v>
      </c>
      <c r="B425">
        <v>2.3885000000000001</v>
      </c>
      <c r="C425">
        <v>2.4498000000000002</v>
      </c>
      <c r="D425">
        <v>2.375</v>
      </c>
      <c r="E425">
        <v>2.4049999999999998</v>
      </c>
      <c r="F425">
        <v>3891420.81</v>
      </c>
      <c r="G425">
        <v>0</v>
      </c>
      <c r="L425" t="s">
        <v>8</v>
      </c>
      <c r="M425" t="s">
        <v>7</v>
      </c>
      <c r="N425" t="s">
        <v>7</v>
      </c>
      <c r="P425">
        <f t="shared" si="974"/>
        <v>-0.19786096256685229</v>
      </c>
      <c r="Q425">
        <f t="shared" si="975"/>
        <v>-769960.26721928001</v>
      </c>
      <c r="R425">
        <f t="shared" si="976"/>
        <v>154530164.20128155</v>
      </c>
      <c r="S425">
        <f t="shared" si="977"/>
        <v>1545.3016420128154</v>
      </c>
      <c r="T425">
        <f t="shared" si="978"/>
        <v>1.5453016420128154</v>
      </c>
    </row>
    <row r="426" spans="1:20" x14ac:dyDescent="0.25">
      <c r="A426" s="5">
        <v>44167</v>
      </c>
      <c r="B426">
        <v>2.3218000000000001</v>
      </c>
      <c r="C426">
        <v>2.4173</v>
      </c>
      <c r="D426">
        <v>2.2856999999999998</v>
      </c>
      <c r="E426">
        <v>2.3885000000000001</v>
      </c>
      <c r="F426">
        <v>3851914.96</v>
      </c>
      <c r="G426">
        <v>0</v>
      </c>
      <c r="L426" t="s">
        <v>8</v>
      </c>
      <c r="M426" t="s">
        <v>7</v>
      </c>
      <c r="N426" t="s">
        <v>7</v>
      </c>
      <c r="P426">
        <f t="shared" si="974"/>
        <v>0.56231003039513827</v>
      </c>
      <c r="Q426">
        <f t="shared" si="975"/>
        <v>2165970.4182370878</v>
      </c>
      <c r="R426">
        <f t="shared" si="976"/>
        <v>155300124.46850082</v>
      </c>
      <c r="S426">
        <f t="shared" si="977"/>
        <v>1553.0012446850083</v>
      </c>
      <c r="T426">
        <f t="shared" si="978"/>
        <v>1.5530012446850083</v>
      </c>
    </row>
    <row r="427" spans="1:20" x14ac:dyDescent="0.25">
      <c r="A427" s="5">
        <v>44166</v>
      </c>
      <c r="B427">
        <v>2.4921000000000002</v>
      </c>
      <c r="C427">
        <v>2.5526</v>
      </c>
      <c r="D427">
        <v>2.1711999999999998</v>
      </c>
      <c r="E427">
        <v>2.3220999999999998</v>
      </c>
      <c r="F427">
        <v>10483359.859999999</v>
      </c>
      <c r="G427">
        <v>0</v>
      </c>
      <c r="L427" t="s">
        <v>7</v>
      </c>
      <c r="M427" t="s">
        <v>7</v>
      </c>
      <c r="N427" t="s">
        <v>7</v>
      </c>
      <c r="P427">
        <f t="shared" si="974"/>
        <v>-0.20870477189302589</v>
      </c>
      <c r="Q427">
        <f t="shared" si="975"/>
        <v>-2187927.2282538037</v>
      </c>
      <c r="R427">
        <f t="shared" si="976"/>
        <v>153134154.05026373</v>
      </c>
      <c r="S427">
        <f t="shared" si="977"/>
        <v>1531.3415405026374</v>
      </c>
      <c r="T427">
        <f t="shared" si="978"/>
        <v>1.5313415405026374</v>
      </c>
    </row>
    <row r="428" spans="1:20" x14ac:dyDescent="0.25">
      <c r="A428" s="5">
        <v>44165</v>
      </c>
      <c r="B428">
        <v>2.3622000000000001</v>
      </c>
      <c r="C428">
        <v>2.5565000000000002</v>
      </c>
      <c r="D428">
        <v>2.3325999999999998</v>
      </c>
      <c r="E428">
        <v>2.4914000000000001</v>
      </c>
      <c r="F428">
        <v>7185796.8600000003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0.41849039749888312</v>
      </c>
      <c r="Q428">
        <f t="shared" si="975"/>
        <v>3007186.9842876261</v>
      </c>
      <c r="R428">
        <f t="shared" si="976"/>
        <v>155322081.27851754</v>
      </c>
      <c r="S428">
        <f t="shared" si="977"/>
        <v>1553.2208127851754</v>
      </c>
      <c r="T428">
        <f t="shared" si="978"/>
        <v>1.5532208127851754</v>
      </c>
    </row>
    <row r="429" spans="1:20" x14ac:dyDescent="0.25">
      <c r="A429" s="5">
        <v>44164</v>
      </c>
      <c r="B429">
        <v>2.3216000000000001</v>
      </c>
      <c r="C429">
        <v>2.4386000000000001</v>
      </c>
      <c r="D429">
        <v>2.2681</v>
      </c>
      <c r="E429">
        <v>2.3586</v>
      </c>
      <c r="F429">
        <v>5123015.78</v>
      </c>
      <c r="G429">
        <v>0</v>
      </c>
      <c r="L429" t="s">
        <v>8</v>
      </c>
      <c r="M429" t="s">
        <v>8</v>
      </c>
      <c r="N429" t="s">
        <v>7</v>
      </c>
      <c r="P429">
        <f t="shared" si="974"/>
        <v>6.1583577712609666E-2</v>
      </c>
      <c r="Q429">
        <f t="shared" si="975"/>
        <v>315493.64041055564</v>
      </c>
      <c r="R429">
        <f t="shared" si="976"/>
        <v>152314894.29422992</v>
      </c>
      <c r="S429">
        <f t="shared" si="977"/>
        <v>1523.1489429422993</v>
      </c>
      <c r="T429">
        <f t="shared" si="978"/>
        <v>1.5231489429422993</v>
      </c>
    </row>
    <row r="430" spans="1:20" x14ac:dyDescent="0.25">
      <c r="A430" s="5">
        <v>44163</v>
      </c>
      <c r="B430">
        <v>2.2513000000000001</v>
      </c>
      <c r="C430">
        <v>2.4335</v>
      </c>
      <c r="D430">
        <v>2.1998000000000002</v>
      </c>
      <c r="E430">
        <v>2.3199000000000001</v>
      </c>
      <c r="F430">
        <v>6071693.6100000003</v>
      </c>
      <c r="G430">
        <v>0</v>
      </c>
      <c r="L430" t="s">
        <v>8</v>
      </c>
      <c r="M430" t="s">
        <v>8</v>
      </c>
      <c r="N430" t="s">
        <v>7</v>
      </c>
      <c r="P430">
        <f t="shared" si="974"/>
        <v>2.7813436029096944E-2</v>
      </c>
      <c r="Q430">
        <f t="shared" si="975"/>
        <v>168874.66181001169</v>
      </c>
      <c r="R430">
        <f t="shared" si="976"/>
        <v>151999400.65381938</v>
      </c>
      <c r="S430">
        <f t="shared" si="977"/>
        <v>1519.9940065381938</v>
      </c>
      <c r="T430">
        <f t="shared" si="978"/>
        <v>1.5199940065381938</v>
      </c>
    </row>
    <row r="431" spans="1:20" x14ac:dyDescent="0.25">
      <c r="A431" s="5">
        <v>44162</v>
      </c>
      <c r="B431">
        <v>2.2465999999999999</v>
      </c>
      <c r="C431">
        <v>2.3382000000000001</v>
      </c>
      <c r="D431">
        <v>2.1554000000000002</v>
      </c>
      <c r="E431">
        <v>2.2521</v>
      </c>
      <c r="F431">
        <v>8527338.6899999995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5.7986870897153882E-2</v>
      </c>
      <c r="Q431">
        <f t="shared" si="975"/>
        <v>494473.68771333527</v>
      </c>
      <c r="R431">
        <f t="shared" si="976"/>
        <v>151830525.99200937</v>
      </c>
      <c r="S431">
        <f t="shared" si="977"/>
        <v>1518.3052599200937</v>
      </c>
      <c r="T431">
        <f t="shared" si="978"/>
        <v>1.5183052599200937</v>
      </c>
    </row>
    <row r="432" spans="1:20" x14ac:dyDescent="0.25">
      <c r="A432" s="5">
        <v>44161</v>
      </c>
      <c r="B432">
        <v>2.5969000000000002</v>
      </c>
      <c r="C432">
        <v>2.6617000000000002</v>
      </c>
      <c r="D432">
        <v>2.0781999999999998</v>
      </c>
      <c r="E432">
        <v>2.2456</v>
      </c>
      <c r="F432">
        <v>24180419.559999999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-0.42622107969151629</v>
      </c>
      <c r="Q432">
        <f t="shared" si="975"/>
        <v>-10306204.53225706</v>
      </c>
      <c r="R432">
        <f t="shared" si="976"/>
        <v>151336052.30429605</v>
      </c>
      <c r="S432">
        <f t="shared" si="977"/>
        <v>1513.3605230429605</v>
      </c>
      <c r="T432">
        <f t="shared" si="978"/>
        <v>1.5133605230429605</v>
      </c>
    </row>
    <row r="433" spans="1:20" x14ac:dyDescent="0.25">
      <c r="A433" s="5">
        <v>44160</v>
      </c>
      <c r="B433">
        <v>2.6707000000000001</v>
      </c>
      <c r="C433">
        <v>2.9647000000000001</v>
      </c>
      <c r="D433">
        <v>2.4820000000000002</v>
      </c>
      <c r="E433">
        <v>2.5994999999999999</v>
      </c>
      <c r="F433">
        <v>17842275.309999999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-0.51315516884193191</v>
      </c>
      <c r="Q433">
        <f t="shared" si="975"/>
        <v>-9155855.7992272824</v>
      </c>
      <c r="R433">
        <f t="shared" si="976"/>
        <v>161642256.8365531</v>
      </c>
      <c r="S433">
        <f t="shared" si="977"/>
        <v>1616.4225683655309</v>
      </c>
      <c r="T433">
        <f t="shared" si="978"/>
        <v>1.6164225683655309</v>
      </c>
    </row>
    <row r="434" spans="1:20" x14ac:dyDescent="0.25">
      <c r="A434" s="5">
        <v>44159</v>
      </c>
      <c r="B434">
        <v>2.6211000000000002</v>
      </c>
      <c r="C434">
        <v>2.83</v>
      </c>
      <c r="D434">
        <v>2.4834999999999998</v>
      </c>
      <c r="E434">
        <v>2.6726999999999999</v>
      </c>
      <c r="F434">
        <v>16076371.529999999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9.2063492063491473E-2</v>
      </c>
      <c r="Q434">
        <f t="shared" si="975"/>
        <v>1480046.9027618952</v>
      </c>
      <c r="R434">
        <f t="shared" si="976"/>
        <v>170798112.63578036</v>
      </c>
      <c r="S434">
        <f t="shared" si="977"/>
        <v>1707.9811263578035</v>
      </c>
      <c r="T434">
        <f t="shared" si="978"/>
        <v>1.7079811263578035</v>
      </c>
    </row>
    <row r="435" spans="1:20" x14ac:dyDescent="0.25">
      <c r="A435" s="5">
        <v>44158</v>
      </c>
      <c r="B435">
        <v>2.2791999999999999</v>
      </c>
      <c r="C435">
        <v>2.6612</v>
      </c>
      <c r="D435">
        <v>2.2736999999999998</v>
      </c>
      <c r="E435">
        <v>2.6211000000000002</v>
      </c>
      <c r="F435">
        <v>15941302.07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0.79303225806451727</v>
      </c>
      <c r="Q435">
        <f t="shared" si="975"/>
        <v>12641966.777060663</v>
      </c>
      <c r="R435">
        <f t="shared" si="976"/>
        <v>169318065.73301846</v>
      </c>
      <c r="S435">
        <f t="shared" si="977"/>
        <v>1693.1806573301847</v>
      </c>
      <c r="T435">
        <f t="shared" si="978"/>
        <v>1.6931806573301846</v>
      </c>
    </row>
    <row r="436" spans="1:20" x14ac:dyDescent="0.25">
      <c r="A436" s="5">
        <v>44157</v>
      </c>
      <c r="B436">
        <v>2.3944999999999999</v>
      </c>
      <c r="C436">
        <v>2.44</v>
      </c>
      <c r="D436">
        <v>2.1528999999999998</v>
      </c>
      <c r="E436">
        <v>2.2808999999999999</v>
      </c>
      <c r="F436">
        <v>13556002.16</v>
      </c>
      <c r="G436">
        <v>0</v>
      </c>
      <c r="L436" t="s">
        <v>8</v>
      </c>
      <c r="M436" t="s">
        <v>8</v>
      </c>
      <c r="N436" t="s">
        <v>7</v>
      </c>
      <c r="P436">
        <f t="shared" si="974"/>
        <v>-0.1083246255660045</v>
      </c>
      <c r="Q436">
        <f t="shared" si="975"/>
        <v>-1468448.8581539483</v>
      </c>
      <c r="R436">
        <f t="shared" si="976"/>
        <v>156676098.9559578</v>
      </c>
      <c r="S436">
        <f t="shared" si="977"/>
        <v>1566.7609895595781</v>
      </c>
      <c r="T436">
        <f t="shared" si="978"/>
        <v>1.566760989559578</v>
      </c>
    </row>
    <row r="437" spans="1:20" x14ac:dyDescent="0.25">
      <c r="A437" s="5">
        <v>44156</v>
      </c>
      <c r="B437">
        <v>2.1061999999999999</v>
      </c>
      <c r="C437">
        <v>2.4005999999999998</v>
      </c>
      <c r="D437">
        <v>2.0499999999999998</v>
      </c>
      <c r="E437">
        <v>2.3936000000000002</v>
      </c>
      <c r="F437">
        <v>22161690.190000001</v>
      </c>
      <c r="G437">
        <v>0</v>
      </c>
      <c r="L437" t="s">
        <v>8</v>
      </c>
      <c r="M437" t="s">
        <v>8</v>
      </c>
      <c r="N437" t="s">
        <v>7</v>
      </c>
      <c r="P437">
        <f t="shared" si="974"/>
        <v>0.9600684540787241</v>
      </c>
      <c r="Q437">
        <f t="shared" si="975"/>
        <v>21276739.640484925</v>
      </c>
      <c r="R437">
        <f t="shared" si="976"/>
        <v>158144547.81411174</v>
      </c>
      <c r="S437">
        <f t="shared" si="977"/>
        <v>1581.4454781411173</v>
      </c>
      <c r="T437">
        <f t="shared" si="978"/>
        <v>1.5814454781411174</v>
      </c>
    </row>
    <row r="438" spans="1:20" x14ac:dyDescent="0.25">
      <c r="A438" s="5">
        <v>44155</v>
      </c>
      <c r="B438">
        <v>2.0773000000000001</v>
      </c>
      <c r="C438">
        <v>2.1518000000000002</v>
      </c>
      <c r="D438">
        <v>2.0621999999999998</v>
      </c>
      <c r="E438">
        <v>2.1069</v>
      </c>
      <c r="F438">
        <v>8576185.5</v>
      </c>
      <c r="G438">
        <v>0</v>
      </c>
      <c r="L438" t="s">
        <v>7</v>
      </c>
      <c r="M438" t="s">
        <v>8</v>
      </c>
      <c r="N438" t="s">
        <v>7</v>
      </c>
      <c r="P438">
        <f t="shared" si="974"/>
        <v>-2.2321428571426029E-3</v>
      </c>
      <c r="Q438">
        <f t="shared" si="975"/>
        <v>-19143.271205354962</v>
      </c>
      <c r="R438">
        <f t="shared" si="976"/>
        <v>136867808.17362681</v>
      </c>
      <c r="S438">
        <f t="shared" si="977"/>
        <v>1368.678081736268</v>
      </c>
      <c r="T438">
        <f t="shared" si="978"/>
        <v>1.368678081736268</v>
      </c>
    </row>
    <row r="439" spans="1:20" x14ac:dyDescent="0.25">
      <c r="A439" s="5">
        <v>44154</v>
      </c>
      <c r="B439">
        <v>2.0863999999999998</v>
      </c>
      <c r="C439">
        <v>2.1442000000000001</v>
      </c>
      <c r="D439">
        <v>2.0196000000000001</v>
      </c>
      <c r="E439">
        <v>2.0771000000000002</v>
      </c>
      <c r="F439">
        <v>3962903.78</v>
      </c>
      <c r="G439">
        <v>0</v>
      </c>
      <c r="L439" t="s">
        <v>7</v>
      </c>
      <c r="M439" t="s">
        <v>8</v>
      </c>
      <c r="N439" t="s">
        <v>7</v>
      </c>
      <c r="P439">
        <f t="shared" si="974"/>
        <v>-7.7046548956659938E-2</v>
      </c>
      <c r="Q439">
        <f t="shared" si="975"/>
        <v>-305328.06009630271</v>
      </c>
      <c r="R439">
        <f t="shared" si="976"/>
        <v>136886951.44483218</v>
      </c>
      <c r="S439">
        <f t="shared" si="977"/>
        <v>1368.8695144483218</v>
      </c>
      <c r="T439">
        <f t="shared" si="978"/>
        <v>1.3688695144483218</v>
      </c>
    </row>
    <row r="440" spans="1:20" x14ac:dyDescent="0.25">
      <c r="A440" s="5">
        <v>44153</v>
      </c>
      <c r="B440">
        <v>2.1454</v>
      </c>
      <c r="C440">
        <v>2.1880000000000002</v>
      </c>
      <c r="D440">
        <v>1.9990000000000001</v>
      </c>
      <c r="E440">
        <v>2.0834000000000001</v>
      </c>
      <c r="F440">
        <v>6078563.8200000003</v>
      </c>
      <c r="G440">
        <v>0</v>
      </c>
      <c r="L440" t="s">
        <v>8</v>
      </c>
      <c r="M440" t="s">
        <v>8</v>
      </c>
      <c r="N440" t="s">
        <v>7</v>
      </c>
      <c r="P440">
        <f t="shared" si="974"/>
        <v>-0.10687830687830682</v>
      </c>
      <c r="Q440">
        <f t="shared" si="975"/>
        <v>-649666.60933333298</v>
      </c>
      <c r="R440">
        <f t="shared" si="976"/>
        <v>137192279.50492847</v>
      </c>
      <c r="S440">
        <f t="shared" si="977"/>
        <v>1371.9227950492848</v>
      </c>
      <c r="T440">
        <f t="shared" si="978"/>
        <v>1.3719227950492847</v>
      </c>
    </row>
    <row r="441" spans="1:20" x14ac:dyDescent="0.25">
      <c r="A441" s="5">
        <v>44152</v>
      </c>
      <c r="B441">
        <v>2.0829</v>
      </c>
      <c r="C441">
        <v>2.1549999999999998</v>
      </c>
      <c r="D441">
        <v>2.0724999999999998</v>
      </c>
      <c r="E441">
        <v>2.1435</v>
      </c>
      <c r="F441">
        <v>5583537.5</v>
      </c>
      <c r="G441">
        <v>0</v>
      </c>
      <c r="L441" t="s">
        <v>8</v>
      </c>
      <c r="M441" t="s">
        <v>7</v>
      </c>
      <c r="N441" t="s">
        <v>7</v>
      </c>
      <c r="P441">
        <f t="shared" si="974"/>
        <v>0.72121212121212508</v>
      </c>
      <c r="Q441">
        <f t="shared" si="975"/>
        <v>4026914.9242424457</v>
      </c>
      <c r="R441">
        <f t="shared" si="976"/>
        <v>137841946.11426181</v>
      </c>
      <c r="S441">
        <f t="shared" si="977"/>
        <v>1378.419461142618</v>
      </c>
      <c r="T441">
        <f t="shared" si="978"/>
        <v>1.3784194611426182</v>
      </c>
    </row>
    <row r="442" spans="1:20" x14ac:dyDescent="0.25">
      <c r="A442" s="5">
        <v>44151</v>
      </c>
      <c r="B442">
        <v>2.0150000000000001</v>
      </c>
      <c r="C442">
        <v>2.0996000000000001</v>
      </c>
      <c r="D442">
        <v>1.8266</v>
      </c>
      <c r="E442">
        <v>2.0825</v>
      </c>
      <c r="F442">
        <v>3888402.94</v>
      </c>
      <c r="G442">
        <v>0</v>
      </c>
      <c r="L442" t="s">
        <v>7</v>
      </c>
      <c r="M442" t="s">
        <v>7</v>
      </c>
      <c r="N442" t="s">
        <v>7</v>
      </c>
      <c r="P442">
        <f t="shared" si="974"/>
        <v>0.87472527472527395</v>
      </c>
      <c r="Q442">
        <f t="shared" si="975"/>
        <v>3401284.3299340629</v>
      </c>
      <c r="R442">
        <f t="shared" si="976"/>
        <v>133815031.19001937</v>
      </c>
      <c r="S442">
        <f t="shared" si="977"/>
        <v>1338.1503119001936</v>
      </c>
      <c r="T442">
        <f t="shared" si="978"/>
        <v>1.3381503119001936</v>
      </c>
    </row>
    <row r="443" spans="1:20" x14ac:dyDescent="0.25">
      <c r="A443" s="5">
        <v>44150</v>
      </c>
      <c r="B443">
        <v>2.0981000000000001</v>
      </c>
      <c r="C443">
        <v>2.1107999999999998</v>
      </c>
      <c r="D443">
        <v>1.9793000000000001</v>
      </c>
      <c r="E443">
        <v>2.0148999999999999</v>
      </c>
      <c r="F443">
        <v>4017025.31</v>
      </c>
      <c r="G443">
        <v>0</v>
      </c>
      <c r="L443" t="s">
        <v>7</v>
      </c>
      <c r="M443" t="s">
        <v>8</v>
      </c>
      <c r="N443" t="s">
        <v>7</v>
      </c>
      <c r="P443">
        <f t="shared" si="974"/>
        <v>-0.45855513307984902</v>
      </c>
      <c r="Q443">
        <f t="shared" si="975"/>
        <v>-1842027.5756121718</v>
      </c>
      <c r="R443">
        <f t="shared" si="976"/>
        <v>130413746.86008531</v>
      </c>
      <c r="S443">
        <f t="shared" si="977"/>
        <v>1304.137468600853</v>
      </c>
      <c r="T443">
        <f t="shared" si="978"/>
        <v>1.3041374686008531</v>
      </c>
    </row>
    <row r="444" spans="1:20" x14ac:dyDescent="0.25">
      <c r="A444" s="5">
        <v>44149</v>
      </c>
      <c r="B444">
        <v>2.1516999999999999</v>
      </c>
      <c r="C444">
        <v>2.1633</v>
      </c>
      <c r="D444">
        <v>2.0501</v>
      </c>
      <c r="E444">
        <v>2.0979999999999999</v>
      </c>
      <c r="F444">
        <v>3132870.73</v>
      </c>
      <c r="G444">
        <v>0</v>
      </c>
      <c r="L444" t="s">
        <v>8</v>
      </c>
      <c r="M444" t="s">
        <v>8</v>
      </c>
      <c r="N444" t="s">
        <v>7</v>
      </c>
      <c r="P444">
        <f t="shared" si="974"/>
        <v>-0.15371024734982605</v>
      </c>
      <c r="Q444">
        <f t="shared" si="975"/>
        <v>-481554.33482333011</v>
      </c>
      <c r="R444">
        <f t="shared" si="976"/>
        <v>132255774.43569748</v>
      </c>
      <c r="S444">
        <f t="shared" si="977"/>
        <v>1322.5577443569748</v>
      </c>
      <c r="T444">
        <f t="shared" si="978"/>
        <v>1.3225577443569747</v>
      </c>
    </row>
    <row r="445" spans="1:20" x14ac:dyDescent="0.25">
      <c r="A445" s="5">
        <v>44148</v>
      </c>
      <c r="B445">
        <v>2.0739000000000001</v>
      </c>
      <c r="C445">
        <v>2.1547999999999998</v>
      </c>
      <c r="D445">
        <v>2.0636999999999999</v>
      </c>
      <c r="E445">
        <v>2.1513</v>
      </c>
      <c r="F445">
        <v>3112215.09</v>
      </c>
      <c r="G445">
        <v>0</v>
      </c>
      <c r="L445" t="s">
        <v>8</v>
      </c>
      <c r="M445" t="s">
        <v>8</v>
      </c>
      <c r="N445" t="s">
        <v>7</v>
      </c>
      <c r="P445">
        <f t="shared" si="974"/>
        <v>0.92316136114160618</v>
      </c>
      <c r="Q445">
        <f t="shared" si="975"/>
        <v>2873076.718649846</v>
      </c>
      <c r="R445">
        <f t="shared" si="976"/>
        <v>132737328.77052081</v>
      </c>
      <c r="S445">
        <f t="shared" si="977"/>
        <v>1327.373287705208</v>
      </c>
      <c r="T445">
        <f t="shared" si="978"/>
        <v>1.327373287705208</v>
      </c>
    </row>
    <row r="446" spans="1:20" x14ac:dyDescent="0.25">
      <c r="A446" s="5">
        <v>44147</v>
      </c>
      <c r="B446">
        <v>2.1244000000000001</v>
      </c>
      <c r="C446">
        <v>2.1536</v>
      </c>
      <c r="D446">
        <v>2.0421</v>
      </c>
      <c r="E446">
        <v>2.0733999999999999</v>
      </c>
      <c r="F446">
        <v>3760227.71</v>
      </c>
      <c r="G446">
        <v>0</v>
      </c>
      <c r="L446" t="s">
        <v>8</v>
      </c>
      <c r="M446" t="s">
        <v>8</v>
      </c>
      <c r="N446" t="s">
        <v>7</v>
      </c>
      <c r="P446">
        <f t="shared" si="974"/>
        <v>-0.4385650224215264</v>
      </c>
      <c r="Q446">
        <f t="shared" si="975"/>
        <v>-1649104.3499461948</v>
      </c>
      <c r="R446">
        <f t="shared" si="976"/>
        <v>129864252.05187096</v>
      </c>
      <c r="S446">
        <f t="shared" si="977"/>
        <v>1298.6425205187095</v>
      </c>
      <c r="T446">
        <f t="shared" si="978"/>
        <v>1.2986425205187095</v>
      </c>
    </row>
    <row r="447" spans="1:20" x14ac:dyDescent="0.25">
      <c r="A447" s="5">
        <v>44146</v>
      </c>
      <c r="B447">
        <v>2.1516000000000002</v>
      </c>
      <c r="C447">
        <v>2.2000000000000002</v>
      </c>
      <c r="D447">
        <v>2.1086999999999998</v>
      </c>
      <c r="E447">
        <v>2.1254</v>
      </c>
      <c r="F447">
        <v>4805050.82</v>
      </c>
      <c r="G447">
        <v>0</v>
      </c>
      <c r="L447" t="s">
        <v>8</v>
      </c>
      <c r="M447" t="s">
        <v>8</v>
      </c>
      <c r="N447" t="s">
        <v>7</v>
      </c>
      <c r="P447">
        <f t="shared" si="974"/>
        <v>-0.63417305585980088</v>
      </c>
      <c r="Q447">
        <f t="shared" si="975"/>
        <v>-3047233.7620810424</v>
      </c>
      <c r="R447">
        <f t="shared" si="976"/>
        <v>131513356.40181716</v>
      </c>
      <c r="S447">
        <f t="shared" si="977"/>
        <v>1315.1335640181717</v>
      </c>
      <c r="T447">
        <f t="shared" si="978"/>
        <v>1.3151335640181716</v>
      </c>
    </row>
    <row r="448" spans="1:20" x14ac:dyDescent="0.25">
      <c r="A448" s="5">
        <v>44145</v>
      </c>
      <c r="B448">
        <v>2.1179000000000001</v>
      </c>
      <c r="C448">
        <v>2.1909000000000001</v>
      </c>
      <c r="D448">
        <v>2.0947</v>
      </c>
      <c r="E448">
        <v>2.1522000000000001</v>
      </c>
      <c r="F448">
        <v>5466761.3899999997</v>
      </c>
      <c r="G448">
        <v>0</v>
      </c>
      <c r="L448" t="s">
        <v>8</v>
      </c>
      <c r="M448" t="s">
        <v>8</v>
      </c>
      <c r="N448" t="s">
        <v>7</v>
      </c>
      <c r="P448">
        <f t="shared" si="974"/>
        <v>0.19542619542619685</v>
      </c>
      <c r="Q448">
        <f t="shared" si="975"/>
        <v>1068348.3797505274</v>
      </c>
      <c r="R448">
        <f t="shared" si="976"/>
        <v>134560590.1638982</v>
      </c>
      <c r="S448">
        <f t="shared" si="977"/>
        <v>1345.605901638982</v>
      </c>
      <c r="T448">
        <f t="shared" si="978"/>
        <v>1.3456059016389821</v>
      </c>
    </row>
    <row r="449" spans="1:20" x14ac:dyDescent="0.25">
      <c r="A449" s="5">
        <v>44144</v>
      </c>
      <c r="B449">
        <v>2.0893999999999999</v>
      </c>
      <c r="C449">
        <v>2.1570999999999998</v>
      </c>
      <c r="D449">
        <v>2.0234999999999999</v>
      </c>
      <c r="E449">
        <v>2.1160000000000001</v>
      </c>
      <c r="F449">
        <v>4119946.84</v>
      </c>
      <c r="G449">
        <v>0</v>
      </c>
      <c r="L449" t="s">
        <v>8</v>
      </c>
      <c r="M449" t="s">
        <v>8</v>
      </c>
      <c r="N449" t="s">
        <v>7</v>
      </c>
      <c r="P449">
        <f t="shared" si="974"/>
        <v>0.38473053892216003</v>
      </c>
      <c r="Q449">
        <f t="shared" si="975"/>
        <v>1585069.3680838502</v>
      </c>
      <c r="R449">
        <f t="shared" si="976"/>
        <v>133492241.78414766</v>
      </c>
      <c r="S449">
        <f t="shared" si="977"/>
        <v>1334.9224178414765</v>
      </c>
      <c r="T449">
        <f t="shared" si="978"/>
        <v>1.3349224178414765</v>
      </c>
    </row>
    <row r="450" spans="1:20" x14ac:dyDescent="0.25">
      <c r="A450" s="5">
        <v>44143</v>
      </c>
      <c r="B450">
        <v>2.0185</v>
      </c>
      <c r="C450">
        <v>2.1564999999999999</v>
      </c>
      <c r="D450">
        <v>1.9734</v>
      </c>
      <c r="E450">
        <v>2.0869</v>
      </c>
      <c r="F450">
        <v>5203622.0199999996</v>
      </c>
      <c r="G450">
        <v>0</v>
      </c>
      <c r="L450" t="s">
        <v>7</v>
      </c>
      <c r="M450" t="s">
        <v>8</v>
      </c>
      <c r="N450" t="s">
        <v>7</v>
      </c>
      <c r="P450">
        <f t="shared" si="974"/>
        <v>0.2397596941561993</v>
      </c>
      <c r="Q450">
        <f t="shared" si="975"/>
        <v>1247618.824019664</v>
      </c>
      <c r="R450">
        <f t="shared" si="976"/>
        <v>131907172.41606382</v>
      </c>
      <c r="S450">
        <f t="shared" si="977"/>
        <v>1319.071724160638</v>
      </c>
      <c r="T450">
        <f t="shared" si="978"/>
        <v>1.319071724160638</v>
      </c>
    </row>
    <row r="451" spans="1:20" x14ac:dyDescent="0.25">
      <c r="A451" s="5">
        <v>44142</v>
      </c>
      <c r="B451">
        <v>2.0907</v>
      </c>
      <c r="C451">
        <v>2.222</v>
      </c>
      <c r="D451">
        <v>1.9520999999999999</v>
      </c>
      <c r="E451">
        <v>2.0186000000000002</v>
      </c>
      <c r="F451">
        <v>14916914.01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-0.50722489811040961</v>
      </c>
      <c r="Q451">
        <f t="shared" si="975"/>
        <v>-7566230.1888439916</v>
      </c>
      <c r="R451">
        <f t="shared" si="976"/>
        <v>130659553.59204414</v>
      </c>
      <c r="S451">
        <f t="shared" si="977"/>
        <v>1306.5955359204415</v>
      </c>
      <c r="T451">
        <f t="shared" si="978"/>
        <v>1.3065955359204415</v>
      </c>
    </row>
    <row r="452" spans="1:20" x14ac:dyDescent="0.25">
      <c r="A452" s="5">
        <v>44141</v>
      </c>
      <c r="B452">
        <v>1.8834</v>
      </c>
      <c r="C452">
        <v>2.0992999999999999</v>
      </c>
      <c r="D452">
        <v>1.875</v>
      </c>
      <c r="E452">
        <v>2.0889000000000002</v>
      </c>
      <c r="F452">
        <v>12786040.109999999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0.90726705305394784</v>
      </c>
      <c r="Q452">
        <f t="shared" si="975"/>
        <v>11600352.930829275</v>
      </c>
      <c r="R452">
        <f t="shared" si="976"/>
        <v>138225783.78088814</v>
      </c>
      <c r="S452">
        <f t="shared" si="977"/>
        <v>1382.2578378088815</v>
      </c>
      <c r="T452">
        <f t="shared" si="978"/>
        <v>1.3822578378088815</v>
      </c>
    </row>
    <row r="453" spans="1:20" x14ac:dyDescent="0.25">
      <c r="A453" s="5">
        <v>44140</v>
      </c>
      <c r="B453">
        <v>1.8765000000000001</v>
      </c>
      <c r="C453">
        <v>1.9710000000000001</v>
      </c>
      <c r="D453">
        <v>1.8166</v>
      </c>
      <c r="E453">
        <v>1.883</v>
      </c>
      <c r="F453">
        <v>7703274.1699999999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-0.13989637305699515</v>
      </c>
      <c r="Q453">
        <f t="shared" si="975"/>
        <v>-1077660.1170466347</v>
      </c>
      <c r="R453">
        <f t="shared" si="976"/>
        <v>126625430.85005885</v>
      </c>
      <c r="S453">
        <f t="shared" si="977"/>
        <v>1266.2543085005886</v>
      </c>
      <c r="T453">
        <f t="shared" si="978"/>
        <v>1.2662543085005886</v>
      </c>
    </row>
    <row r="454" spans="1:20" x14ac:dyDescent="0.25">
      <c r="A454" s="5">
        <v>44139</v>
      </c>
      <c r="B454">
        <v>1.8698999999999999</v>
      </c>
      <c r="C454">
        <v>1.9068000000000001</v>
      </c>
      <c r="D454">
        <v>1.7811999999999999</v>
      </c>
      <c r="E454">
        <v>1.8758999999999999</v>
      </c>
      <c r="F454">
        <v>4057681.34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0.50796178343948872</v>
      </c>
      <c r="Q454">
        <f t="shared" ref="Q454:Q517" si="980">F454*P454</f>
        <v>2061147.0500955344</v>
      </c>
      <c r="R454">
        <f t="shared" ref="R454:R517" si="981">R455+Q454</f>
        <v>127703090.96710549</v>
      </c>
      <c r="S454">
        <f t="shared" ref="S454:S517" si="982">R454/100000</f>
        <v>1277.030909671055</v>
      </c>
      <c r="T454">
        <f t="shared" ref="T454:T517" si="983">S454/1000</f>
        <v>1.277030909671055</v>
      </c>
    </row>
    <row r="455" spans="1:20" x14ac:dyDescent="0.25">
      <c r="A455" s="5">
        <v>44138</v>
      </c>
      <c r="B455">
        <v>1.8942000000000001</v>
      </c>
      <c r="C455">
        <v>1.9141999999999999</v>
      </c>
      <c r="D455">
        <v>1.8065</v>
      </c>
      <c r="E455">
        <v>1.8697999999999999</v>
      </c>
      <c r="F455">
        <v>3972918.24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0.17548746518105787</v>
      </c>
      <c r="Q455">
        <f t="shared" si="980"/>
        <v>697197.35130918981</v>
      </c>
      <c r="R455">
        <f t="shared" si="981"/>
        <v>125641943.91700996</v>
      </c>
      <c r="S455">
        <f t="shared" si="982"/>
        <v>1256.4194391700996</v>
      </c>
      <c r="T455">
        <f t="shared" si="983"/>
        <v>1.2564194391700996</v>
      </c>
    </row>
    <row r="456" spans="1:20" x14ac:dyDescent="0.25">
      <c r="A456" s="5">
        <v>44137</v>
      </c>
      <c r="B456">
        <v>1.9943</v>
      </c>
      <c r="C456">
        <v>2.0695000000000001</v>
      </c>
      <c r="D456">
        <v>1.8758999999999999</v>
      </c>
      <c r="E456">
        <v>1.8945000000000001</v>
      </c>
      <c r="F456">
        <v>3181673.42</v>
      </c>
      <c r="G456">
        <v>0</v>
      </c>
      <c r="L456" t="s">
        <v>8</v>
      </c>
      <c r="M456" t="s">
        <v>7</v>
      </c>
      <c r="N456" t="s">
        <v>7</v>
      </c>
      <c r="P456">
        <f t="shared" si="979"/>
        <v>-0.80785123966941996</v>
      </c>
      <c r="Q456">
        <f t="shared" si="980"/>
        <v>-2570318.8165702429</v>
      </c>
      <c r="R456">
        <f t="shared" si="981"/>
        <v>124944746.56570077</v>
      </c>
      <c r="S456">
        <f t="shared" si="982"/>
        <v>1249.4474656570078</v>
      </c>
      <c r="T456">
        <f t="shared" si="983"/>
        <v>1.2494474656570078</v>
      </c>
    </row>
    <row r="457" spans="1:20" x14ac:dyDescent="0.25">
      <c r="A457" s="5">
        <v>44136</v>
      </c>
      <c r="B457">
        <v>1.9750000000000001</v>
      </c>
      <c r="C457">
        <v>2.0114999999999998</v>
      </c>
      <c r="D457">
        <v>1.9339</v>
      </c>
      <c r="E457">
        <v>1.9955000000000001</v>
      </c>
      <c r="F457">
        <v>2494803.86</v>
      </c>
      <c r="G457">
        <v>0</v>
      </c>
      <c r="L457" t="s">
        <v>8</v>
      </c>
      <c r="M457" t="s">
        <v>7</v>
      </c>
      <c r="N457" t="s">
        <v>7</v>
      </c>
      <c r="P457">
        <f t="shared" si="979"/>
        <v>0.58762886597938624</v>
      </c>
      <c r="Q457">
        <f t="shared" si="980"/>
        <v>1466018.7630927954</v>
      </c>
      <c r="R457">
        <f t="shared" si="981"/>
        <v>127515065.38227101</v>
      </c>
      <c r="S457">
        <f t="shared" si="982"/>
        <v>1275.15065382271</v>
      </c>
      <c r="T457">
        <f t="shared" si="983"/>
        <v>1.27515065382271</v>
      </c>
    </row>
    <row r="458" spans="1:20" x14ac:dyDescent="0.25">
      <c r="A458" s="5">
        <v>44135</v>
      </c>
      <c r="B458">
        <v>1.9026000000000001</v>
      </c>
      <c r="C458">
        <v>2.0213999999999999</v>
      </c>
      <c r="D458">
        <v>1.8936999999999999</v>
      </c>
      <c r="E458">
        <v>1.9770000000000001</v>
      </c>
      <c r="F458">
        <v>3330706.27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0.30462020360219577</v>
      </c>
      <c r="Q458">
        <f t="shared" si="980"/>
        <v>1014600.42210651</v>
      </c>
      <c r="R458">
        <f t="shared" si="981"/>
        <v>126049046.61917821</v>
      </c>
      <c r="S458">
        <f t="shared" si="982"/>
        <v>1260.4904661917822</v>
      </c>
      <c r="T458">
        <f t="shared" si="983"/>
        <v>1.2604904661917822</v>
      </c>
    </row>
    <row r="459" spans="1:20" x14ac:dyDescent="0.25">
      <c r="A459" s="5">
        <v>44134</v>
      </c>
      <c r="B459">
        <v>1.9327000000000001</v>
      </c>
      <c r="C459">
        <v>1.9649000000000001</v>
      </c>
      <c r="D459">
        <v>1.7941</v>
      </c>
      <c r="E459">
        <v>1.9025000000000001</v>
      </c>
      <c r="F459">
        <v>5119656.71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0.26932084309133503</v>
      </c>
      <c r="Q459">
        <f t="shared" si="980"/>
        <v>1378830.2614754105</v>
      </c>
      <c r="R459">
        <f t="shared" si="981"/>
        <v>125034446.1970717</v>
      </c>
      <c r="S459">
        <f t="shared" si="982"/>
        <v>1250.344461970717</v>
      </c>
      <c r="T459">
        <f t="shared" si="983"/>
        <v>1.2503444619707169</v>
      </c>
    </row>
    <row r="460" spans="1:20" x14ac:dyDescent="0.25">
      <c r="A460" s="5">
        <v>44133</v>
      </c>
      <c r="B460">
        <v>2.0003000000000002</v>
      </c>
      <c r="C460">
        <v>2.0518000000000001</v>
      </c>
      <c r="D460">
        <v>1.8934</v>
      </c>
      <c r="E460">
        <v>1.9340999999999999</v>
      </c>
      <c r="F460">
        <v>3715751.34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-0.48611111111111194</v>
      </c>
      <c r="Q460">
        <f t="shared" si="980"/>
        <v>-1806268.012500003</v>
      </c>
      <c r="R460">
        <f t="shared" si="981"/>
        <v>123655615.93559629</v>
      </c>
      <c r="S460">
        <f t="shared" si="982"/>
        <v>1236.5561593559628</v>
      </c>
      <c r="T460">
        <f t="shared" si="983"/>
        <v>1.2365561593559629</v>
      </c>
    </row>
    <row r="461" spans="1:20" x14ac:dyDescent="0.25">
      <c r="A461" s="5">
        <v>44132</v>
      </c>
      <c r="B461">
        <v>2.0834000000000001</v>
      </c>
      <c r="C461">
        <v>2.1185</v>
      </c>
      <c r="D461">
        <v>1.94</v>
      </c>
      <c r="E461">
        <v>1.9991000000000001</v>
      </c>
      <c r="F461">
        <v>4420990.05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-0.33781512605041886</v>
      </c>
      <c r="Q461">
        <f t="shared" si="980"/>
        <v>-1493477.3110083975</v>
      </c>
      <c r="R461">
        <f t="shared" si="981"/>
        <v>125461883.94809629</v>
      </c>
      <c r="S461">
        <f t="shared" si="982"/>
        <v>1254.6188394809628</v>
      </c>
      <c r="T461">
        <f t="shared" si="983"/>
        <v>1.2546188394809628</v>
      </c>
    </row>
    <row r="462" spans="1:20" x14ac:dyDescent="0.25">
      <c r="A462" s="5">
        <v>44131</v>
      </c>
      <c r="B462">
        <v>2.089</v>
      </c>
      <c r="C462">
        <v>2.1318000000000001</v>
      </c>
      <c r="D462">
        <v>2.0626000000000002</v>
      </c>
      <c r="E462">
        <v>2.0836000000000001</v>
      </c>
      <c r="F462">
        <v>3277508.02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-0.39306358381503093</v>
      </c>
      <c r="Q462">
        <f t="shared" si="980"/>
        <v>-1288269.048323706</v>
      </c>
      <c r="R462">
        <f t="shared" si="981"/>
        <v>126955361.25910468</v>
      </c>
      <c r="S462">
        <f t="shared" si="982"/>
        <v>1269.5536125910469</v>
      </c>
      <c r="T462">
        <f t="shared" si="983"/>
        <v>1.2695536125910469</v>
      </c>
    </row>
    <row r="463" spans="1:20" x14ac:dyDescent="0.25">
      <c r="A463" s="5">
        <v>44130</v>
      </c>
      <c r="B463">
        <v>2.1663999999999999</v>
      </c>
      <c r="C463">
        <v>2.1812999999999998</v>
      </c>
      <c r="D463">
        <v>2.0548999999999999</v>
      </c>
      <c r="E463">
        <v>2.0901999999999998</v>
      </c>
      <c r="F463">
        <v>3457049.67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-0.44145569620253278</v>
      </c>
      <c r="Q463">
        <f t="shared" si="980"/>
        <v>-1526134.2688765861</v>
      </c>
      <c r="R463">
        <f t="shared" si="981"/>
        <v>128243630.30742839</v>
      </c>
      <c r="S463">
        <f t="shared" si="982"/>
        <v>1282.4363030742838</v>
      </c>
      <c r="T463">
        <f t="shared" si="983"/>
        <v>1.2824363030742838</v>
      </c>
    </row>
    <row r="464" spans="1:20" x14ac:dyDescent="0.25">
      <c r="A464" s="5">
        <v>44129</v>
      </c>
      <c r="B464">
        <v>2.2185000000000001</v>
      </c>
      <c r="C464">
        <v>2.2511999999999999</v>
      </c>
      <c r="D464">
        <v>2.1511</v>
      </c>
      <c r="E464">
        <v>2.1648999999999998</v>
      </c>
      <c r="F464">
        <v>2893842.09</v>
      </c>
      <c r="G464">
        <v>0</v>
      </c>
      <c r="L464" t="s">
        <v>8</v>
      </c>
      <c r="M464" t="s">
        <v>7</v>
      </c>
      <c r="N464" t="s">
        <v>7</v>
      </c>
      <c r="P464">
        <f t="shared" si="979"/>
        <v>-0.72427572427572762</v>
      </c>
      <c r="Q464">
        <f t="shared" si="980"/>
        <v>-2095939.5756743352</v>
      </c>
      <c r="R464">
        <f t="shared" si="981"/>
        <v>129769764.57630497</v>
      </c>
      <c r="S464">
        <f t="shared" si="982"/>
        <v>1297.6976457630496</v>
      </c>
      <c r="T464">
        <f t="shared" si="983"/>
        <v>1.2976976457630496</v>
      </c>
    </row>
    <row r="465" spans="1:20" x14ac:dyDescent="0.25">
      <c r="A465" s="5">
        <v>44128</v>
      </c>
      <c r="B465">
        <v>2.2179000000000002</v>
      </c>
      <c r="C465">
        <v>2.2404000000000002</v>
      </c>
      <c r="D465">
        <v>2.1918000000000002</v>
      </c>
      <c r="E465">
        <v>2.2195999999999998</v>
      </c>
      <c r="F465">
        <v>1992994</v>
      </c>
      <c r="G465">
        <v>0</v>
      </c>
      <c r="L465" t="s">
        <v>8</v>
      </c>
      <c r="M465" t="s">
        <v>7</v>
      </c>
      <c r="N465" t="s">
        <v>7</v>
      </c>
      <c r="P465">
        <f t="shared" si="979"/>
        <v>0.14403292181068381</v>
      </c>
      <c r="Q465">
        <f t="shared" si="980"/>
        <v>287056.74897116196</v>
      </c>
      <c r="R465">
        <f t="shared" si="981"/>
        <v>131865704.15197931</v>
      </c>
      <c r="S465">
        <f t="shared" si="982"/>
        <v>1318.6570415197932</v>
      </c>
      <c r="T465">
        <f t="shared" si="983"/>
        <v>1.3186570415197931</v>
      </c>
    </row>
    <row r="466" spans="1:20" x14ac:dyDescent="0.25">
      <c r="A466" s="5">
        <v>44127</v>
      </c>
      <c r="B466">
        <v>2.1922000000000001</v>
      </c>
      <c r="C466">
        <v>2.2679999999999998</v>
      </c>
      <c r="D466">
        <v>2.1669999999999998</v>
      </c>
      <c r="E466">
        <v>2.2176999999999998</v>
      </c>
      <c r="F466">
        <v>3451987.67</v>
      </c>
      <c r="G466">
        <v>0</v>
      </c>
      <c r="L466" t="s">
        <v>8</v>
      </c>
      <c r="M466" t="s">
        <v>7</v>
      </c>
      <c r="N466" t="s">
        <v>7</v>
      </c>
      <c r="P466">
        <f t="shared" si="979"/>
        <v>3.960396039603525E-3</v>
      </c>
      <c r="Q466">
        <f t="shared" si="980"/>
        <v>13671.2382970282</v>
      </c>
      <c r="R466">
        <f t="shared" si="981"/>
        <v>131578647.40300815</v>
      </c>
      <c r="S466">
        <f t="shared" si="982"/>
        <v>1315.7864740300815</v>
      </c>
      <c r="T466">
        <f t="shared" si="983"/>
        <v>1.3157864740300815</v>
      </c>
    </row>
    <row r="467" spans="1:20" x14ac:dyDescent="0.25">
      <c r="A467" s="5">
        <v>44126</v>
      </c>
      <c r="B467">
        <v>2.1229</v>
      </c>
      <c r="C467">
        <v>2.2448000000000001</v>
      </c>
      <c r="D467">
        <v>2.1215000000000002</v>
      </c>
      <c r="E467">
        <v>2.1922000000000001</v>
      </c>
      <c r="F467">
        <v>4689368.88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0.14679643146796439</v>
      </c>
      <c r="Q467">
        <f t="shared" si="980"/>
        <v>688382.61742092494</v>
      </c>
      <c r="R467">
        <f t="shared" si="981"/>
        <v>131564976.16471112</v>
      </c>
      <c r="S467">
        <f t="shared" si="982"/>
        <v>1315.6497616471113</v>
      </c>
      <c r="T467">
        <f t="shared" si="983"/>
        <v>1.3156497616471112</v>
      </c>
    </row>
    <row r="468" spans="1:20" x14ac:dyDescent="0.25">
      <c r="A468" s="5">
        <v>44125</v>
      </c>
      <c r="B468">
        <v>2.0526</v>
      </c>
      <c r="C468">
        <v>2.1774</v>
      </c>
      <c r="D468">
        <v>2.0394999999999999</v>
      </c>
      <c r="E468">
        <v>2.1246</v>
      </c>
      <c r="F468">
        <v>3781174.32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0.23422770123277872</v>
      </c>
      <c r="Q468">
        <f t="shared" si="980"/>
        <v>885655.76893401518</v>
      </c>
      <c r="R468">
        <f t="shared" si="981"/>
        <v>130876593.54729019</v>
      </c>
      <c r="S468">
        <f t="shared" si="982"/>
        <v>1308.7659354729019</v>
      </c>
      <c r="T468">
        <f t="shared" si="983"/>
        <v>1.308765935472902</v>
      </c>
    </row>
    <row r="469" spans="1:20" x14ac:dyDescent="0.25">
      <c r="A469" s="5">
        <v>44124</v>
      </c>
      <c r="B469">
        <v>2.1884000000000001</v>
      </c>
      <c r="C469">
        <v>2.1911</v>
      </c>
      <c r="D469">
        <v>2.0366</v>
      </c>
      <c r="E469">
        <v>2.0531000000000001</v>
      </c>
      <c r="F469">
        <v>4087118.87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-0.78640776699028903</v>
      </c>
      <c r="Q469">
        <f t="shared" si="980"/>
        <v>-3214142.0239805733</v>
      </c>
      <c r="R469">
        <f t="shared" si="981"/>
        <v>129990937.77835618</v>
      </c>
      <c r="S469">
        <f t="shared" si="982"/>
        <v>1299.9093777835617</v>
      </c>
      <c r="T469">
        <f t="shared" si="983"/>
        <v>1.2999093777835617</v>
      </c>
    </row>
    <row r="470" spans="1:20" x14ac:dyDescent="0.25">
      <c r="A470" s="5">
        <v>44123</v>
      </c>
      <c r="B470">
        <v>2.2263999999999999</v>
      </c>
      <c r="C470">
        <v>2.27</v>
      </c>
      <c r="D470">
        <v>2.1747000000000001</v>
      </c>
      <c r="E470">
        <v>2.1880999999999999</v>
      </c>
      <c r="F470">
        <v>3441286.8</v>
      </c>
      <c r="G470">
        <v>0</v>
      </c>
      <c r="L470" t="s">
        <v>7</v>
      </c>
      <c r="M470" t="s">
        <v>8</v>
      </c>
      <c r="N470" t="s">
        <v>7</v>
      </c>
      <c r="P470">
        <f t="shared" si="979"/>
        <v>-0.71878279118573207</v>
      </c>
      <c r="Q470">
        <f t="shared" si="980"/>
        <v>-2473537.7313746158</v>
      </c>
      <c r="R470">
        <f t="shared" si="981"/>
        <v>133205079.80233675</v>
      </c>
      <c r="S470">
        <f t="shared" si="982"/>
        <v>1332.0507980233676</v>
      </c>
      <c r="T470">
        <f t="shared" si="983"/>
        <v>1.3320507980233676</v>
      </c>
    </row>
    <row r="471" spans="1:20" x14ac:dyDescent="0.25">
      <c r="A471" s="5">
        <v>44122</v>
      </c>
      <c r="B471">
        <v>2.1855000000000002</v>
      </c>
      <c r="C471">
        <v>2.2433999999999998</v>
      </c>
      <c r="D471">
        <v>2.1817000000000002</v>
      </c>
      <c r="E471">
        <v>2.2269999999999999</v>
      </c>
      <c r="F471">
        <v>1519211.37</v>
      </c>
      <c r="G471">
        <v>0</v>
      </c>
      <c r="L471" t="s">
        <v>7</v>
      </c>
      <c r="M471" t="s">
        <v>8</v>
      </c>
      <c r="N471" t="s">
        <v>7</v>
      </c>
      <c r="P471">
        <f t="shared" si="979"/>
        <v>0.46839546191247766</v>
      </c>
      <c r="Q471">
        <f t="shared" si="980"/>
        <v>711591.71139383805</v>
      </c>
      <c r="R471">
        <f t="shared" si="981"/>
        <v>135678617.53371137</v>
      </c>
      <c r="S471">
        <f t="shared" si="982"/>
        <v>1356.7861753371137</v>
      </c>
      <c r="T471">
        <f t="shared" si="983"/>
        <v>1.3567861753371138</v>
      </c>
    </row>
    <row r="472" spans="1:20" x14ac:dyDescent="0.25">
      <c r="A472" s="5">
        <v>44121</v>
      </c>
      <c r="B472">
        <v>2.1665000000000001</v>
      </c>
      <c r="C472">
        <v>2.2210000000000001</v>
      </c>
      <c r="D472">
        <v>2.1513</v>
      </c>
      <c r="E472">
        <v>2.1873</v>
      </c>
      <c r="F472">
        <v>1434801.85</v>
      </c>
      <c r="G472">
        <v>0</v>
      </c>
      <c r="L472" t="s">
        <v>7</v>
      </c>
      <c r="M472" t="s">
        <v>8</v>
      </c>
      <c r="N472" t="s">
        <v>7</v>
      </c>
      <c r="P472">
        <f t="shared" si="979"/>
        <v>3.2998565279769951E-2</v>
      </c>
      <c r="Q472">
        <f t="shared" si="980"/>
        <v>47346.402510759697</v>
      </c>
      <c r="R472">
        <f t="shared" si="981"/>
        <v>134967025.82231754</v>
      </c>
      <c r="S472">
        <f t="shared" si="982"/>
        <v>1349.6702582231753</v>
      </c>
      <c r="T472">
        <f t="shared" si="983"/>
        <v>1.3496702582231754</v>
      </c>
    </row>
    <row r="473" spans="1:20" x14ac:dyDescent="0.25">
      <c r="A473" s="5">
        <v>44120</v>
      </c>
      <c r="B473">
        <v>2.2385999999999999</v>
      </c>
      <c r="C473">
        <v>2.2770999999999999</v>
      </c>
      <c r="D473">
        <v>2.1537000000000002</v>
      </c>
      <c r="E473">
        <v>2.1659999999999999</v>
      </c>
      <c r="F473">
        <v>2601411.19</v>
      </c>
      <c r="G473">
        <v>0</v>
      </c>
      <c r="L473" t="s">
        <v>7</v>
      </c>
      <c r="M473" t="s">
        <v>8</v>
      </c>
      <c r="N473" t="s">
        <v>7</v>
      </c>
      <c r="P473">
        <f t="shared" si="979"/>
        <v>-0.80064829821718342</v>
      </c>
      <c r="Q473">
        <f t="shared" si="980"/>
        <v>-2082815.4422366379</v>
      </c>
      <c r="R473">
        <f t="shared" si="981"/>
        <v>134919679.41980678</v>
      </c>
      <c r="S473">
        <f t="shared" si="982"/>
        <v>1349.1967941980679</v>
      </c>
      <c r="T473">
        <f t="shared" si="983"/>
        <v>1.3491967941980678</v>
      </c>
    </row>
    <row r="474" spans="1:20" x14ac:dyDescent="0.25">
      <c r="A474" s="5">
        <v>44119</v>
      </c>
      <c r="B474">
        <v>2.2732999999999999</v>
      </c>
      <c r="C474">
        <v>2.3069000000000002</v>
      </c>
      <c r="D474">
        <v>2.2079</v>
      </c>
      <c r="E474">
        <v>2.2385999999999999</v>
      </c>
      <c r="F474">
        <v>2620861.29</v>
      </c>
      <c r="G474">
        <v>0</v>
      </c>
      <c r="L474" t="s">
        <v>7</v>
      </c>
      <c r="M474" t="s">
        <v>8</v>
      </c>
      <c r="N474" t="s">
        <v>7</v>
      </c>
      <c r="P474">
        <f t="shared" si="979"/>
        <v>-0.37979797979798208</v>
      </c>
      <c r="Q474">
        <f t="shared" si="980"/>
        <v>-995397.82327273325</v>
      </c>
      <c r="R474">
        <f t="shared" si="981"/>
        <v>137002494.86204341</v>
      </c>
      <c r="S474">
        <f t="shared" si="982"/>
        <v>1370.0249486204341</v>
      </c>
      <c r="T474">
        <f t="shared" si="983"/>
        <v>1.3700249486204341</v>
      </c>
    </row>
    <row r="475" spans="1:20" x14ac:dyDescent="0.25">
      <c r="A475" s="5">
        <v>44118</v>
      </c>
      <c r="B475">
        <v>2.4014000000000002</v>
      </c>
      <c r="C475">
        <v>2.4226000000000001</v>
      </c>
      <c r="D475">
        <v>2.2339000000000002</v>
      </c>
      <c r="E475">
        <v>2.2747000000000002</v>
      </c>
      <c r="F475">
        <v>4339035.17</v>
      </c>
      <c r="G475">
        <v>0</v>
      </c>
      <c r="L475" t="s">
        <v>7</v>
      </c>
      <c r="M475" t="s">
        <v>8</v>
      </c>
      <c r="N475" t="s">
        <v>7</v>
      </c>
      <c r="P475">
        <f t="shared" si="979"/>
        <v>-0.56756756756756788</v>
      </c>
      <c r="Q475">
        <f t="shared" si="980"/>
        <v>-2462695.6370270285</v>
      </c>
      <c r="R475">
        <f t="shared" si="981"/>
        <v>137997892.68531615</v>
      </c>
      <c r="S475">
        <f t="shared" si="982"/>
        <v>1379.9789268531615</v>
      </c>
      <c r="T475">
        <f t="shared" si="983"/>
        <v>1.3799789268531615</v>
      </c>
    </row>
    <row r="476" spans="1:20" x14ac:dyDescent="0.25">
      <c r="A476" s="5">
        <v>44117</v>
      </c>
      <c r="B476">
        <v>2.3435000000000001</v>
      </c>
      <c r="C476">
        <v>2.4550000000000001</v>
      </c>
      <c r="D476">
        <v>2.3147000000000002</v>
      </c>
      <c r="E476">
        <v>2.4013</v>
      </c>
      <c r="F476">
        <v>6162256.3099999996</v>
      </c>
      <c r="G476">
        <v>0</v>
      </c>
      <c r="L476" t="s">
        <v>8</v>
      </c>
      <c r="M476" t="s">
        <v>8</v>
      </c>
      <c r="N476" t="s">
        <v>7</v>
      </c>
      <c r="P476">
        <f t="shared" si="979"/>
        <v>0.23449750534568595</v>
      </c>
      <c r="Q476">
        <f t="shared" si="980"/>
        <v>1445033.7319957118</v>
      </c>
      <c r="R476">
        <f t="shared" si="981"/>
        <v>140460588.32234317</v>
      </c>
      <c r="S476">
        <f t="shared" si="982"/>
        <v>1404.6058832234316</v>
      </c>
      <c r="T476">
        <f t="shared" si="983"/>
        <v>1.4046058832234316</v>
      </c>
    </row>
    <row r="477" spans="1:20" x14ac:dyDescent="0.25">
      <c r="A477" s="5">
        <v>44116</v>
      </c>
      <c r="B477">
        <v>2.2507000000000001</v>
      </c>
      <c r="C477">
        <v>2.3906999999999998</v>
      </c>
      <c r="D477">
        <v>2.2302</v>
      </c>
      <c r="E477">
        <v>2.3424</v>
      </c>
      <c r="F477">
        <v>4821758.8600000003</v>
      </c>
      <c r="G477">
        <v>0</v>
      </c>
      <c r="L477" t="s">
        <v>8</v>
      </c>
      <c r="M477" t="s">
        <v>8</v>
      </c>
      <c r="N477" t="s">
        <v>7</v>
      </c>
      <c r="P477">
        <f t="shared" si="979"/>
        <v>0.39813084112149749</v>
      </c>
      <c r="Q477">
        <f t="shared" si="980"/>
        <v>1919690.910616833</v>
      </c>
      <c r="R477">
        <f t="shared" si="981"/>
        <v>139015554.59034747</v>
      </c>
      <c r="S477">
        <f t="shared" si="982"/>
        <v>1390.1555459034746</v>
      </c>
      <c r="T477">
        <f t="shared" si="983"/>
        <v>1.3901555459034747</v>
      </c>
    </row>
    <row r="478" spans="1:20" x14ac:dyDescent="0.25">
      <c r="A478" s="5">
        <v>44115</v>
      </c>
      <c r="B478">
        <v>2.2067999999999999</v>
      </c>
      <c r="C478">
        <v>2.3176999999999999</v>
      </c>
      <c r="D478">
        <v>2.19</v>
      </c>
      <c r="E478">
        <v>2.2511999999999999</v>
      </c>
      <c r="F478">
        <v>3578010</v>
      </c>
      <c r="G478">
        <v>0</v>
      </c>
      <c r="L478" t="s">
        <v>8</v>
      </c>
      <c r="M478" t="s">
        <v>8</v>
      </c>
      <c r="N478" t="s">
        <v>7</v>
      </c>
      <c r="P478">
        <f t="shared" si="979"/>
        <v>-4.150352388410404E-2</v>
      </c>
      <c r="Q478">
        <f t="shared" si="980"/>
        <v>-148500.02349256311</v>
      </c>
      <c r="R478">
        <f t="shared" si="981"/>
        <v>137095863.67973062</v>
      </c>
      <c r="S478">
        <f t="shared" si="982"/>
        <v>1370.9586367973063</v>
      </c>
      <c r="T478">
        <f t="shared" si="983"/>
        <v>1.3709586367973063</v>
      </c>
    </row>
    <row r="479" spans="1:20" x14ac:dyDescent="0.25">
      <c r="A479" s="5">
        <v>44114</v>
      </c>
      <c r="B479">
        <v>2.1955</v>
      </c>
      <c r="C479">
        <v>2.2854999999999999</v>
      </c>
      <c r="D479">
        <v>2.1909999999999998</v>
      </c>
      <c r="E479">
        <v>2.2084999999999999</v>
      </c>
      <c r="F479">
        <v>4038438.49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-0.62962962962962821</v>
      </c>
      <c r="Q479">
        <f t="shared" si="980"/>
        <v>-2542720.5307407351</v>
      </c>
      <c r="R479">
        <f t="shared" si="981"/>
        <v>137244363.7032232</v>
      </c>
      <c r="S479">
        <f t="shared" si="982"/>
        <v>1372.4436370322319</v>
      </c>
      <c r="T479">
        <f t="shared" si="983"/>
        <v>1.3724436370322319</v>
      </c>
    </row>
    <row r="480" spans="1:20" x14ac:dyDescent="0.25">
      <c r="A480" s="5">
        <v>44113</v>
      </c>
      <c r="B480">
        <v>2.1122999999999998</v>
      </c>
      <c r="C480">
        <v>2.2425999999999999</v>
      </c>
      <c r="D480">
        <v>2.0745</v>
      </c>
      <c r="E480">
        <v>2.1955</v>
      </c>
      <c r="F480">
        <v>4150856.65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0.43961927424152358</v>
      </c>
      <c r="Q480">
        <f t="shared" si="980"/>
        <v>1824796.5879536017</v>
      </c>
      <c r="R480">
        <f t="shared" si="981"/>
        <v>139787084.23396394</v>
      </c>
      <c r="S480">
        <f t="shared" si="982"/>
        <v>1397.8708423396395</v>
      </c>
      <c r="T480">
        <f t="shared" si="983"/>
        <v>1.3978708423396395</v>
      </c>
    </row>
    <row r="481" spans="1:20" x14ac:dyDescent="0.25">
      <c r="A481" s="5">
        <v>44112</v>
      </c>
      <c r="B481">
        <v>2.0663999999999998</v>
      </c>
      <c r="C481">
        <v>2.1520000000000001</v>
      </c>
      <c r="D481">
        <v>1.9945999999999999</v>
      </c>
      <c r="E481">
        <v>2.1120999999999999</v>
      </c>
      <c r="F481">
        <v>3743563.46</v>
      </c>
      <c r="G481">
        <v>0</v>
      </c>
      <c r="L481" t="s">
        <v>7</v>
      </c>
      <c r="M481" t="s">
        <v>8</v>
      </c>
      <c r="N481" t="s">
        <v>7</v>
      </c>
      <c r="P481">
        <f t="shared" si="979"/>
        <v>0.49301143583227169</v>
      </c>
      <c r="Q481">
        <f t="shared" si="980"/>
        <v>1845619.5965438271</v>
      </c>
      <c r="R481">
        <f t="shared" si="981"/>
        <v>137962287.64601034</v>
      </c>
      <c r="S481">
        <f t="shared" si="982"/>
        <v>1379.6228764601035</v>
      </c>
      <c r="T481">
        <f t="shared" si="983"/>
        <v>1.3796228764601035</v>
      </c>
    </row>
    <row r="482" spans="1:20" x14ac:dyDescent="0.25">
      <c r="A482" s="5">
        <v>44111</v>
      </c>
      <c r="B482">
        <v>2.0609000000000002</v>
      </c>
      <c r="C482">
        <v>2.1280000000000001</v>
      </c>
      <c r="D482">
        <v>2.0335999999999999</v>
      </c>
      <c r="E482">
        <v>2.0674000000000001</v>
      </c>
      <c r="F482">
        <v>3529872.19</v>
      </c>
      <c r="G482">
        <v>0</v>
      </c>
      <c r="L482" t="s">
        <v>7</v>
      </c>
      <c r="M482" t="s">
        <v>8</v>
      </c>
      <c r="N482" t="s">
        <v>7</v>
      </c>
      <c r="P482">
        <f t="shared" si="979"/>
        <v>-0.28389830508474195</v>
      </c>
      <c r="Q482">
        <f t="shared" si="980"/>
        <v>-1002124.7319067662</v>
      </c>
      <c r="R482">
        <f t="shared" si="981"/>
        <v>136116668.04946652</v>
      </c>
      <c r="S482">
        <f t="shared" si="982"/>
        <v>1361.1666804946651</v>
      </c>
      <c r="T482">
        <f t="shared" si="983"/>
        <v>1.3611666804946652</v>
      </c>
    </row>
    <row r="483" spans="1:20" x14ac:dyDescent="0.25">
      <c r="A483" s="5">
        <v>44110</v>
      </c>
      <c r="B483">
        <v>2.1427</v>
      </c>
      <c r="C483">
        <v>2.2467999999999999</v>
      </c>
      <c r="D483">
        <v>2.0057</v>
      </c>
      <c r="E483">
        <v>2.0611999999999999</v>
      </c>
      <c r="F483">
        <v>4939362.6900000004</v>
      </c>
      <c r="G483">
        <v>0</v>
      </c>
      <c r="L483" t="s">
        <v>8</v>
      </c>
      <c r="M483" t="s">
        <v>8</v>
      </c>
      <c r="N483" t="s">
        <v>7</v>
      </c>
      <c r="P483">
        <f t="shared" si="979"/>
        <v>-0.53961012028204136</v>
      </c>
      <c r="Q483">
        <f t="shared" si="980"/>
        <v>-2665330.0952675277</v>
      </c>
      <c r="R483">
        <f t="shared" si="981"/>
        <v>137118792.78137329</v>
      </c>
      <c r="S483">
        <f t="shared" si="982"/>
        <v>1371.1879278137328</v>
      </c>
      <c r="T483">
        <f t="shared" si="983"/>
        <v>1.3711879278137329</v>
      </c>
    </row>
    <row r="484" spans="1:20" x14ac:dyDescent="0.25">
      <c r="A484" s="5">
        <v>44109</v>
      </c>
      <c r="B484">
        <v>2.1113</v>
      </c>
      <c r="C484">
        <v>2.1669999999999998</v>
      </c>
      <c r="D484">
        <v>2.0775999999999999</v>
      </c>
      <c r="E484">
        <v>2.1429</v>
      </c>
      <c r="F484">
        <v>1882710.17</v>
      </c>
      <c r="G484">
        <v>0</v>
      </c>
      <c r="L484" t="s">
        <v>8</v>
      </c>
      <c r="M484" t="s">
        <v>8</v>
      </c>
      <c r="N484" t="s">
        <v>7</v>
      </c>
      <c r="P484">
        <f t="shared" si="979"/>
        <v>0.46085011185682756</v>
      </c>
      <c r="Q484">
        <f t="shared" si="980"/>
        <v>867647.19243848685</v>
      </c>
      <c r="R484">
        <f t="shared" si="981"/>
        <v>139784122.87664083</v>
      </c>
      <c r="S484">
        <f t="shared" si="982"/>
        <v>1397.8412287664082</v>
      </c>
      <c r="T484">
        <f t="shared" si="983"/>
        <v>1.3978412287664082</v>
      </c>
    </row>
    <row r="485" spans="1:20" x14ac:dyDescent="0.25">
      <c r="A485" s="5">
        <v>44108</v>
      </c>
      <c r="B485">
        <v>2.1124999999999998</v>
      </c>
      <c r="C485">
        <v>2.1507999999999998</v>
      </c>
      <c r="D485">
        <v>2.0855000000000001</v>
      </c>
      <c r="E485">
        <v>2.1113</v>
      </c>
      <c r="F485">
        <v>2036877.49</v>
      </c>
      <c r="G485">
        <v>0</v>
      </c>
      <c r="L485" t="s">
        <v>7</v>
      </c>
      <c r="M485" t="s">
        <v>8</v>
      </c>
      <c r="N485" t="s">
        <v>7</v>
      </c>
      <c r="P485">
        <f t="shared" si="979"/>
        <v>-0.20980091883614257</v>
      </c>
      <c r="Q485">
        <f t="shared" si="980"/>
        <v>-427338.76895865583</v>
      </c>
      <c r="R485">
        <f t="shared" si="981"/>
        <v>138916475.68420234</v>
      </c>
      <c r="S485">
        <f t="shared" si="982"/>
        <v>1389.1647568420235</v>
      </c>
      <c r="T485">
        <f t="shared" si="983"/>
        <v>1.3891647568420236</v>
      </c>
    </row>
    <row r="486" spans="1:20" x14ac:dyDescent="0.25">
      <c r="A486" s="5">
        <v>44107</v>
      </c>
      <c r="B486">
        <v>2.0872000000000002</v>
      </c>
      <c r="C486">
        <v>2.1435</v>
      </c>
      <c r="D486">
        <v>2.0695999999999999</v>
      </c>
      <c r="E486">
        <v>2.1143000000000001</v>
      </c>
      <c r="F486">
        <v>1848281.58</v>
      </c>
      <c r="G486">
        <v>0</v>
      </c>
      <c r="L486" t="s">
        <v>7</v>
      </c>
      <c r="M486" t="s">
        <v>8</v>
      </c>
      <c r="N486" t="s">
        <v>7</v>
      </c>
      <c r="P486">
        <f t="shared" si="979"/>
        <v>0.2097428958051458</v>
      </c>
      <c r="Q486">
        <f t="shared" si="980"/>
        <v>387663.93085251027</v>
      </c>
      <c r="R486">
        <f t="shared" si="981"/>
        <v>139343814.453161</v>
      </c>
      <c r="S486">
        <f t="shared" si="982"/>
        <v>1393.4381445316101</v>
      </c>
      <c r="T486">
        <f t="shared" si="983"/>
        <v>1.39343814453161</v>
      </c>
    </row>
    <row r="487" spans="1:20" x14ac:dyDescent="0.25">
      <c r="A487" s="5">
        <v>44106</v>
      </c>
      <c r="B487">
        <v>2.1922999999999999</v>
      </c>
      <c r="C487">
        <v>2.21</v>
      </c>
      <c r="D487">
        <v>2.0129000000000001</v>
      </c>
      <c r="E487">
        <v>2.0867</v>
      </c>
      <c r="F487">
        <v>4363813.0599999996</v>
      </c>
      <c r="G487">
        <v>0</v>
      </c>
      <c r="L487" t="s">
        <v>7</v>
      </c>
      <c r="M487" t="s">
        <v>8</v>
      </c>
      <c r="N487" t="s">
        <v>7</v>
      </c>
      <c r="P487">
        <f t="shared" si="979"/>
        <v>-0.25114155251141623</v>
      </c>
      <c r="Q487">
        <f t="shared" si="980"/>
        <v>-1095934.7867579937</v>
      </c>
      <c r="R487">
        <f t="shared" si="981"/>
        <v>138956150.5223085</v>
      </c>
      <c r="S487">
        <f t="shared" si="982"/>
        <v>1389.5615052230851</v>
      </c>
      <c r="T487">
        <f t="shared" si="983"/>
        <v>1.389561505223085</v>
      </c>
    </row>
    <row r="488" spans="1:20" x14ac:dyDescent="0.25">
      <c r="A488" s="5">
        <v>44105</v>
      </c>
      <c r="B488">
        <v>2.1987000000000001</v>
      </c>
      <c r="C488">
        <v>2.2986</v>
      </c>
      <c r="D488">
        <v>2.1299000000000001</v>
      </c>
      <c r="E488">
        <v>2.1922000000000001</v>
      </c>
      <c r="F488">
        <v>4010431.17</v>
      </c>
      <c r="G488">
        <v>0</v>
      </c>
      <c r="L488" t="s">
        <v>8</v>
      </c>
      <c r="M488" t="s">
        <v>8</v>
      </c>
      <c r="N488" t="s">
        <v>7</v>
      </c>
      <c r="P488">
        <f t="shared" si="979"/>
        <v>-0.26141078838174181</v>
      </c>
      <c r="Q488">
        <f t="shared" si="980"/>
        <v>-1048369.9739004112</v>
      </c>
      <c r="R488">
        <f t="shared" si="981"/>
        <v>140052085.3090665</v>
      </c>
      <c r="S488">
        <f t="shared" si="982"/>
        <v>1400.520853090665</v>
      </c>
      <c r="T488">
        <f t="shared" si="983"/>
        <v>1.400520853090665</v>
      </c>
    </row>
    <row r="489" spans="1:20" x14ac:dyDescent="0.25">
      <c r="A489" s="5">
        <v>44104</v>
      </c>
      <c r="B489">
        <v>2.2305000000000001</v>
      </c>
      <c r="C489">
        <v>2.2376999999999998</v>
      </c>
      <c r="D489">
        <v>2.1366000000000001</v>
      </c>
      <c r="E489">
        <v>2.2004000000000001</v>
      </c>
      <c r="F489">
        <v>3028649.83</v>
      </c>
      <c r="G489">
        <v>0</v>
      </c>
      <c r="L489" t="s">
        <v>7</v>
      </c>
      <c r="M489" t="s">
        <v>8</v>
      </c>
      <c r="N489" t="s">
        <v>7</v>
      </c>
      <c r="P489">
        <f t="shared" si="979"/>
        <v>0.26211671612265558</v>
      </c>
      <c r="Q489">
        <f t="shared" si="980"/>
        <v>793859.74772503914</v>
      </c>
      <c r="R489">
        <f t="shared" si="981"/>
        <v>141100455.28296691</v>
      </c>
      <c r="S489">
        <f t="shared" si="982"/>
        <v>1411.0045528296691</v>
      </c>
      <c r="T489">
        <f t="shared" si="983"/>
        <v>1.4110045528296691</v>
      </c>
    </row>
    <row r="490" spans="1:20" x14ac:dyDescent="0.25">
      <c r="A490" s="5">
        <v>44103</v>
      </c>
      <c r="B490">
        <v>2.2465000000000002</v>
      </c>
      <c r="C490">
        <v>2.2820999999999998</v>
      </c>
      <c r="D490">
        <v>2.1301999999999999</v>
      </c>
      <c r="E490">
        <v>2.2305000000000001</v>
      </c>
      <c r="F490">
        <v>3943123.92</v>
      </c>
      <c r="G490">
        <v>0</v>
      </c>
      <c r="L490" t="s">
        <v>7</v>
      </c>
      <c r="M490" t="s">
        <v>8</v>
      </c>
      <c r="N490" t="s">
        <v>7</v>
      </c>
      <c r="P490">
        <f t="shared" si="979"/>
        <v>0.32060566161949083</v>
      </c>
      <c r="Q490">
        <f t="shared" si="980"/>
        <v>1264187.8532192402</v>
      </c>
      <c r="R490">
        <f t="shared" si="981"/>
        <v>140306595.53524187</v>
      </c>
      <c r="S490">
        <f t="shared" si="982"/>
        <v>1403.0659553524188</v>
      </c>
      <c r="T490">
        <f t="shared" si="983"/>
        <v>1.4030659553524187</v>
      </c>
    </row>
    <row r="491" spans="1:20" x14ac:dyDescent="0.25">
      <c r="A491" s="5">
        <v>44102</v>
      </c>
      <c r="B491">
        <v>2.1768000000000001</v>
      </c>
      <c r="C491">
        <v>2.3654000000000002</v>
      </c>
      <c r="D491">
        <v>2.1751</v>
      </c>
      <c r="E491">
        <v>2.2448999999999999</v>
      </c>
      <c r="F491">
        <v>5232041.3899999997</v>
      </c>
      <c r="G491">
        <v>0</v>
      </c>
      <c r="L491" t="s">
        <v>8</v>
      </c>
      <c r="M491" t="s">
        <v>8</v>
      </c>
      <c r="N491" t="s">
        <v>7</v>
      </c>
      <c r="P491">
        <f t="shared" si="979"/>
        <v>-0.26642143983184641</v>
      </c>
      <c r="Q491">
        <f t="shared" si="980"/>
        <v>-1393928.000383615</v>
      </c>
      <c r="R491">
        <f t="shared" si="981"/>
        <v>139042407.68202263</v>
      </c>
      <c r="S491">
        <f t="shared" si="982"/>
        <v>1390.4240768202262</v>
      </c>
      <c r="T491">
        <f t="shared" si="983"/>
        <v>1.3904240768202263</v>
      </c>
    </row>
    <row r="492" spans="1:20" x14ac:dyDescent="0.25">
      <c r="A492" s="5">
        <v>44101</v>
      </c>
      <c r="B492">
        <v>2.1688999999999998</v>
      </c>
      <c r="C492">
        <v>2.2244999999999999</v>
      </c>
      <c r="D492">
        <v>2.0937000000000001</v>
      </c>
      <c r="E492">
        <v>2.1768999999999998</v>
      </c>
      <c r="F492">
        <v>2863177.03</v>
      </c>
      <c r="G492">
        <v>0</v>
      </c>
      <c r="L492" t="s">
        <v>7</v>
      </c>
      <c r="M492" t="s">
        <v>7</v>
      </c>
      <c r="N492" t="s">
        <v>7</v>
      </c>
      <c r="P492">
        <f t="shared" si="979"/>
        <v>0.27217125382262758</v>
      </c>
      <c r="Q492">
        <f t="shared" si="980"/>
        <v>779274.4821712469</v>
      </c>
      <c r="R492">
        <f t="shared" si="981"/>
        <v>140436335.68240625</v>
      </c>
      <c r="S492">
        <f t="shared" si="982"/>
        <v>1404.3633568240625</v>
      </c>
      <c r="T492">
        <f t="shared" si="983"/>
        <v>1.4043633568240625</v>
      </c>
    </row>
    <row r="493" spans="1:20" x14ac:dyDescent="0.25">
      <c r="A493" s="5">
        <v>44100</v>
      </c>
      <c r="B493">
        <v>2.21</v>
      </c>
      <c r="C493">
        <v>2.2408999999999999</v>
      </c>
      <c r="D493">
        <v>2.1385999999999998</v>
      </c>
      <c r="E493">
        <v>2.1701000000000001</v>
      </c>
      <c r="F493">
        <v>4201234.29</v>
      </c>
      <c r="G493">
        <v>0</v>
      </c>
      <c r="L493" t="s">
        <v>8</v>
      </c>
      <c r="M493" t="s">
        <v>7</v>
      </c>
      <c r="N493" t="s">
        <v>7</v>
      </c>
      <c r="P493">
        <f t="shared" si="979"/>
        <v>-0.38416422287389468</v>
      </c>
      <c r="Q493">
        <f t="shared" si="980"/>
        <v>-1613963.9061290086</v>
      </c>
      <c r="R493">
        <f t="shared" si="981"/>
        <v>139657061.20023501</v>
      </c>
      <c r="S493">
        <f t="shared" si="982"/>
        <v>1396.5706120023501</v>
      </c>
      <c r="T493">
        <f t="shared" si="983"/>
        <v>1.3965706120023502</v>
      </c>
    </row>
    <row r="494" spans="1:20" x14ac:dyDescent="0.25">
      <c r="A494" s="5">
        <v>44099</v>
      </c>
      <c r="B494">
        <v>2.1545000000000001</v>
      </c>
      <c r="C494">
        <v>2.2787999999999999</v>
      </c>
      <c r="D494">
        <v>2.1</v>
      </c>
      <c r="E494">
        <v>2.21</v>
      </c>
      <c r="F494">
        <v>4925274.54</v>
      </c>
      <c r="G494">
        <v>0</v>
      </c>
      <c r="L494" t="s">
        <v>8</v>
      </c>
      <c r="M494" t="s">
        <v>7</v>
      </c>
      <c r="N494" t="s">
        <v>7</v>
      </c>
      <c r="P494">
        <f t="shared" si="979"/>
        <v>0.23042505592841128</v>
      </c>
      <c r="Q494">
        <f t="shared" si="980"/>
        <v>1134906.6613422802</v>
      </c>
      <c r="R494">
        <f t="shared" si="981"/>
        <v>141271025.10636401</v>
      </c>
      <c r="S494">
        <f t="shared" si="982"/>
        <v>1412.71025106364</v>
      </c>
      <c r="T494">
        <f t="shared" si="983"/>
        <v>1.41271025106364</v>
      </c>
    </row>
    <row r="495" spans="1:20" x14ac:dyDescent="0.25">
      <c r="A495" s="5">
        <v>44098</v>
      </c>
      <c r="B495">
        <v>1.9534</v>
      </c>
      <c r="C495">
        <v>2.1816</v>
      </c>
      <c r="D495">
        <v>1.9361999999999999</v>
      </c>
      <c r="E495">
        <v>2.1551999999999998</v>
      </c>
      <c r="F495">
        <v>5270029.21</v>
      </c>
      <c r="G495">
        <v>0</v>
      </c>
      <c r="L495" t="s">
        <v>8</v>
      </c>
      <c r="M495" t="s">
        <v>7</v>
      </c>
      <c r="N495" t="s">
        <v>7</v>
      </c>
      <c r="P495">
        <f t="shared" si="979"/>
        <v>0.78484107579461948</v>
      </c>
      <c r="Q495">
        <f t="shared" si="980"/>
        <v>4136135.3946454688</v>
      </c>
      <c r="R495">
        <f t="shared" si="981"/>
        <v>140136118.44502172</v>
      </c>
      <c r="S495">
        <f t="shared" si="982"/>
        <v>1401.3611844502173</v>
      </c>
      <c r="T495">
        <f t="shared" si="983"/>
        <v>1.4013611844502172</v>
      </c>
    </row>
    <row r="496" spans="1:20" x14ac:dyDescent="0.25">
      <c r="A496" s="5">
        <v>44097</v>
      </c>
      <c r="B496">
        <v>2.1076999999999999</v>
      </c>
      <c r="C496">
        <v>2.1518999999999999</v>
      </c>
      <c r="D496">
        <v>1.9157999999999999</v>
      </c>
      <c r="E496">
        <v>1.9532</v>
      </c>
      <c r="F496">
        <v>7161995.04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-0.68318509106310799</v>
      </c>
      <c r="Q496">
        <f t="shared" si="980"/>
        <v>-4892968.2335959282</v>
      </c>
      <c r="R496">
        <f t="shared" si="981"/>
        <v>135999983.05037624</v>
      </c>
      <c r="S496">
        <f t="shared" si="982"/>
        <v>1359.9998305037623</v>
      </c>
      <c r="T496">
        <f t="shared" si="983"/>
        <v>1.3599998305037622</v>
      </c>
    </row>
    <row r="497" spans="1:20" x14ac:dyDescent="0.25">
      <c r="A497" s="5">
        <v>44096</v>
      </c>
      <c r="B497">
        <v>1.9753000000000001</v>
      </c>
      <c r="C497">
        <v>2.1846000000000001</v>
      </c>
      <c r="D497">
        <v>1.9621</v>
      </c>
      <c r="E497">
        <v>2.1072000000000002</v>
      </c>
      <c r="F497">
        <v>6914000.4199999999</v>
      </c>
      <c r="G497">
        <v>0</v>
      </c>
      <c r="L497" t="s">
        <v>8</v>
      </c>
      <c r="M497" t="s">
        <v>7</v>
      </c>
      <c r="N497" t="s">
        <v>7</v>
      </c>
      <c r="P497">
        <f t="shared" si="979"/>
        <v>0.30426966292134955</v>
      </c>
      <c r="Q497">
        <f t="shared" si="980"/>
        <v>2103720.5772314691</v>
      </c>
      <c r="R497">
        <f t="shared" si="981"/>
        <v>140892951.28397217</v>
      </c>
      <c r="S497">
        <f t="shared" si="982"/>
        <v>1408.9295128397218</v>
      </c>
      <c r="T497">
        <f t="shared" si="983"/>
        <v>1.4089295128397219</v>
      </c>
    </row>
    <row r="498" spans="1:20" x14ac:dyDescent="0.25">
      <c r="A498" s="5">
        <v>44095</v>
      </c>
      <c r="B498">
        <v>2.2187999999999999</v>
      </c>
      <c r="C498">
        <v>2.2654000000000001</v>
      </c>
      <c r="D498">
        <v>1.9117</v>
      </c>
      <c r="E498">
        <v>1.9726999999999999</v>
      </c>
      <c r="F498">
        <v>9863498.8200000003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-0.65507492225049524</v>
      </c>
      <c r="Q498">
        <f t="shared" si="980"/>
        <v>-6461330.7226293515</v>
      </c>
      <c r="R498">
        <f t="shared" si="981"/>
        <v>138789230.70674071</v>
      </c>
      <c r="S498">
        <f t="shared" si="982"/>
        <v>1387.892307067407</v>
      </c>
      <c r="T498">
        <f t="shared" si="983"/>
        <v>1.387892307067407</v>
      </c>
    </row>
    <row r="499" spans="1:20" x14ac:dyDescent="0.25">
      <c r="A499" s="5">
        <v>44094</v>
      </c>
      <c r="B499">
        <v>2.3199999999999998</v>
      </c>
      <c r="C499">
        <v>2.3895</v>
      </c>
      <c r="D499">
        <v>2.1593</v>
      </c>
      <c r="E499">
        <v>2.2195999999999998</v>
      </c>
      <c r="F499">
        <v>4326577.17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-0.47610773240660459</v>
      </c>
      <c r="Q499">
        <f t="shared" si="980"/>
        <v>-2059916.8454908845</v>
      </c>
      <c r="R499">
        <f t="shared" si="981"/>
        <v>145250561.42937005</v>
      </c>
      <c r="S499">
        <f t="shared" si="982"/>
        <v>1452.5056142937005</v>
      </c>
      <c r="T499">
        <f t="shared" si="983"/>
        <v>1.4525056142937005</v>
      </c>
    </row>
    <row r="500" spans="1:20" x14ac:dyDescent="0.25">
      <c r="A500" s="5">
        <v>44093</v>
      </c>
      <c r="B500">
        <v>2.3885999999999998</v>
      </c>
      <c r="C500">
        <v>2.3927</v>
      </c>
      <c r="D500">
        <v>2.2627999999999999</v>
      </c>
      <c r="E500">
        <v>2.319</v>
      </c>
      <c r="F500">
        <v>3573392.73</v>
      </c>
      <c r="G500">
        <v>0</v>
      </c>
      <c r="L500" t="s">
        <v>7</v>
      </c>
      <c r="M500" t="s">
        <v>7</v>
      </c>
      <c r="N500" t="s">
        <v>7</v>
      </c>
      <c r="P500">
        <f t="shared" si="979"/>
        <v>-0.1347190146266363</v>
      </c>
      <c r="Q500">
        <f t="shared" si="980"/>
        <v>-481403.94745958579</v>
      </c>
      <c r="R500">
        <f t="shared" si="981"/>
        <v>147310478.27486092</v>
      </c>
      <c r="S500">
        <f t="shared" si="982"/>
        <v>1473.1047827486093</v>
      </c>
      <c r="T500">
        <f t="shared" si="983"/>
        <v>1.4731047827486092</v>
      </c>
    </row>
    <row r="501" spans="1:20" x14ac:dyDescent="0.25">
      <c r="A501" s="5">
        <v>44092</v>
      </c>
      <c r="B501">
        <v>2.472</v>
      </c>
      <c r="C501">
        <v>2.5171999999999999</v>
      </c>
      <c r="D501">
        <v>2.3243</v>
      </c>
      <c r="E501">
        <v>2.3894000000000002</v>
      </c>
      <c r="F501">
        <v>3821314.85</v>
      </c>
      <c r="G501">
        <v>0</v>
      </c>
      <c r="L501" t="s">
        <v>7</v>
      </c>
      <c r="M501" t="s">
        <v>7</v>
      </c>
      <c r="N501" t="s">
        <v>7</v>
      </c>
      <c r="P501">
        <f t="shared" si="979"/>
        <v>-0.32503888024883143</v>
      </c>
      <c r="Q501">
        <f t="shared" si="980"/>
        <v>-1242075.8999222312</v>
      </c>
      <c r="R501">
        <f t="shared" si="981"/>
        <v>147791882.2223205</v>
      </c>
      <c r="S501">
        <f t="shared" si="982"/>
        <v>1477.9188222232049</v>
      </c>
      <c r="T501">
        <f t="shared" si="983"/>
        <v>1.4779188222232049</v>
      </c>
    </row>
    <row r="502" spans="1:20" x14ac:dyDescent="0.25">
      <c r="A502" s="5">
        <v>44091</v>
      </c>
      <c r="B502">
        <v>2.4700000000000002</v>
      </c>
      <c r="C502">
        <v>2.5605000000000002</v>
      </c>
      <c r="D502">
        <v>2.4409999999999998</v>
      </c>
      <c r="E502">
        <v>2.472</v>
      </c>
      <c r="F502">
        <v>2819343.21</v>
      </c>
      <c r="G502">
        <v>0</v>
      </c>
      <c r="L502" t="s">
        <v>7</v>
      </c>
      <c r="M502" t="s">
        <v>7</v>
      </c>
      <c r="N502" t="s">
        <v>7</v>
      </c>
      <c r="P502">
        <f t="shared" si="979"/>
        <v>-0.48117154811715418</v>
      </c>
      <c r="Q502">
        <f t="shared" si="980"/>
        <v>-1356587.7370292868</v>
      </c>
      <c r="R502">
        <f t="shared" si="981"/>
        <v>149033958.12224272</v>
      </c>
      <c r="S502">
        <f t="shared" si="982"/>
        <v>1490.3395812224271</v>
      </c>
      <c r="T502">
        <f t="shared" si="983"/>
        <v>1.4903395812224272</v>
      </c>
    </row>
    <row r="503" spans="1:20" x14ac:dyDescent="0.25">
      <c r="A503" s="5">
        <v>44090</v>
      </c>
      <c r="B503">
        <v>2.5001000000000002</v>
      </c>
      <c r="C503">
        <v>2.5367000000000002</v>
      </c>
      <c r="D503">
        <v>2.4136000000000002</v>
      </c>
      <c r="E503">
        <v>2.4710999999999999</v>
      </c>
      <c r="F503">
        <v>4496091.12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-6.5800162469542345E-2</v>
      </c>
      <c r="Q503">
        <f t="shared" si="980"/>
        <v>-295843.52617386659</v>
      </c>
      <c r="R503">
        <f t="shared" si="981"/>
        <v>150390545.859272</v>
      </c>
      <c r="S503">
        <f t="shared" si="982"/>
        <v>1503.9054585927199</v>
      </c>
      <c r="T503">
        <f t="shared" si="983"/>
        <v>1.5039054585927198</v>
      </c>
    </row>
    <row r="504" spans="1:20" x14ac:dyDescent="0.25">
      <c r="A504" s="5">
        <v>44089</v>
      </c>
      <c r="B504">
        <v>2.6143000000000001</v>
      </c>
      <c r="C504">
        <v>2.6791</v>
      </c>
      <c r="D504">
        <v>2.4967999999999999</v>
      </c>
      <c r="E504">
        <v>2.5002</v>
      </c>
      <c r="F504">
        <v>4695890.6100000003</v>
      </c>
      <c r="G504">
        <v>0</v>
      </c>
      <c r="L504" t="s">
        <v>7</v>
      </c>
      <c r="M504" t="s">
        <v>7</v>
      </c>
      <c r="N504" t="s">
        <v>7</v>
      </c>
      <c r="P504">
        <f t="shared" si="979"/>
        <v>-0.96269884805265971</v>
      </c>
      <c r="Q504">
        <f t="shared" si="980"/>
        <v>-4520728.480828302</v>
      </c>
      <c r="R504">
        <f t="shared" si="981"/>
        <v>150686389.38544586</v>
      </c>
      <c r="S504">
        <f t="shared" si="982"/>
        <v>1506.8638938544586</v>
      </c>
      <c r="T504">
        <f t="shared" si="983"/>
        <v>1.5068638938544587</v>
      </c>
    </row>
    <row r="505" spans="1:20" x14ac:dyDescent="0.25">
      <c r="A505" s="5">
        <v>44088</v>
      </c>
      <c r="B505">
        <v>2.6248</v>
      </c>
      <c r="C505">
        <v>2.6997</v>
      </c>
      <c r="D505">
        <v>2.5356999999999998</v>
      </c>
      <c r="E505">
        <v>2.6122000000000001</v>
      </c>
      <c r="F505">
        <v>3562790.86</v>
      </c>
      <c r="G505">
        <v>0</v>
      </c>
      <c r="L505" t="s">
        <v>7</v>
      </c>
      <c r="M505" t="s">
        <v>7</v>
      </c>
      <c r="N505" t="s">
        <v>7</v>
      </c>
      <c r="P505">
        <f t="shared" si="979"/>
        <v>-6.7073170731705281E-2</v>
      </c>
      <c r="Q505">
        <f t="shared" si="980"/>
        <v>-238967.67963413909</v>
      </c>
      <c r="R505">
        <f t="shared" si="981"/>
        <v>155207117.86627418</v>
      </c>
      <c r="S505">
        <f t="shared" si="982"/>
        <v>1552.0711786627419</v>
      </c>
      <c r="T505">
        <f t="shared" si="983"/>
        <v>1.5520711786627419</v>
      </c>
    </row>
    <row r="506" spans="1:20" x14ac:dyDescent="0.25">
      <c r="A506" s="5">
        <v>44087</v>
      </c>
      <c r="B506">
        <v>2.5998999999999999</v>
      </c>
      <c r="C506">
        <v>2.7433999999999998</v>
      </c>
      <c r="D506">
        <v>2.5276999999999998</v>
      </c>
      <c r="E506">
        <v>2.6248999999999998</v>
      </c>
      <c r="F506">
        <v>5765058.9900000002</v>
      </c>
      <c r="G506">
        <v>0</v>
      </c>
      <c r="L506" t="s">
        <v>8</v>
      </c>
      <c r="M506" t="s">
        <v>7</v>
      </c>
      <c r="N506" t="s">
        <v>7</v>
      </c>
      <c r="P506">
        <f t="shared" si="979"/>
        <v>-9.8748261474270266E-2</v>
      </c>
      <c r="Q506">
        <f t="shared" si="980"/>
        <v>-569289.55255911243</v>
      </c>
      <c r="R506">
        <f t="shared" si="981"/>
        <v>155446085.54590833</v>
      </c>
      <c r="S506">
        <f t="shared" si="982"/>
        <v>1554.4608554590834</v>
      </c>
      <c r="T506">
        <f t="shared" si="983"/>
        <v>1.5544608554590833</v>
      </c>
    </row>
    <row r="507" spans="1:20" x14ac:dyDescent="0.25">
      <c r="A507" s="5">
        <v>44086</v>
      </c>
      <c r="B507">
        <v>2.5720999999999998</v>
      </c>
      <c r="C507">
        <v>2.6389</v>
      </c>
      <c r="D507">
        <v>2.4700000000000002</v>
      </c>
      <c r="E507">
        <v>2.5977999999999999</v>
      </c>
      <c r="F507">
        <v>3751327.83</v>
      </c>
      <c r="G507">
        <v>0</v>
      </c>
      <c r="L507" t="s">
        <v>8</v>
      </c>
      <c r="M507" t="s">
        <v>7</v>
      </c>
      <c r="N507" t="s">
        <v>7</v>
      </c>
      <c r="P507">
        <f t="shared" si="979"/>
        <v>0.51332149200710264</v>
      </c>
      <c r="Q507">
        <f t="shared" si="980"/>
        <v>1925637.1987033668</v>
      </c>
      <c r="R507">
        <f t="shared" si="981"/>
        <v>156015375.09846744</v>
      </c>
      <c r="S507">
        <f t="shared" si="982"/>
        <v>1560.1537509846744</v>
      </c>
      <c r="T507">
        <f t="shared" si="983"/>
        <v>1.5601537509846743</v>
      </c>
    </row>
    <row r="508" spans="1:20" x14ac:dyDescent="0.25">
      <c r="A508" s="5">
        <v>44085</v>
      </c>
      <c r="B508">
        <v>2.5739999999999998</v>
      </c>
      <c r="C508">
        <v>2.6518999999999999</v>
      </c>
      <c r="D508">
        <v>2.4660000000000002</v>
      </c>
      <c r="E508">
        <v>2.5691000000000002</v>
      </c>
      <c r="F508">
        <v>3948909.85</v>
      </c>
      <c r="G508">
        <v>0</v>
      </c>
      <c r="L508" t="s">
        <v>7</v>
      </c>
      <c r="M508" t="s">
        <v>7</v>
      </c>
      <c r="N508" t="s">
        <v>7</v>
      </c>
      <c r="P508">
        <f t="shared" si="979"/>
        <v>0.10919849381387969</v>
      </c>
      <c r="Q508">
        <f t="shared" si="980"/>
        <v>431215.00782679359</v>
      </c>
      <c r="R508">
        <f t="shared" si="981"/>
        <v>154089737.89976406</v>
      </c>
      <c r="S508">
        <f t="shared" si="982"/>
        <v>1540.8973789976405</v>
      </c>
      <c r="T508">
        <f t="shared" si="983"/>
        <v>1.5408973789976406</v>
      </c>
    </row>
    <row r="509" spans="1:20" x14ac:dyDescent="0.25">
      <c r="A509" s="5">
        <v>44084</v>
      </c>
      <c r="B509">
        <v>2.5274999999999999</v>
      </c>
      <c r="C509">
        <v>2.6648000000000001</v>
      </c>
      <c r="D509">
        <v>2.5270999999999999</v>
      </c>
      <c r="E509">
        <v>2.5756999999999999</v>
      </c>
      <c r="F509">
        <v>4908956.16</v>
      </c>
      <c r="G509">
        <v>0</v>
      </c>
      <c r="L509" t="s">
        <v>8</v>
      </c>
      <c r="M509" t="s">
        <v>7</v>
      </c>
      <c r="N509" t="s">
        <v>7</v>
      </c>
      <c r="P509">
        <f t="shared" si="979"/>
        <v>-0.29411764705882465</v>
      </c>
      <c r="Q509">
        <f t="shared" si="980"/>
        <v>-1443810.6352941231</v>
      </c>
      <c r="R509">
        <f t="shared" si="981"/>
        <v>153658522.89193726</v>
      </c>
      <c r="S509">
        <f t="shared" si="982"/>
        <v>1536.5852289193726</v>
      </c>
      <c r="T509">
        <f t="shared" si="983"/>
        <v>1.5365852289193727</v>
      </c>
    </row>
    <row r="510" spans="1:20" x14ac:dyDescent="0.25">
      <c r="A510" s="5">
        <v>44083</v>
      </c>
      <c r="B510">
        <v>2.5015000000000001</v>
      </c>
      <c r="C510">
        <v>2.6</v>
      </c>
      <c r="D510">
        <v>2.4131</v>
      </c>
      <c r="E510">
        <v>2.5283000000000002</v>
      </c>
      <c r="F510">
        <v>4490038.3499999996</v>
      </c>
      <c r="G510">
        <v>0</v>
      </c>
      <c r="L510" t="s">
        <v>7</v>
      </c>
      <c r="M510" t="s">
        <v>7</v>
      </c>
      <c r="N510" t="s">
        <v>7</v>
      </c>
      <c r="P510">
        <f t="shared" si="979"/>
        <v>0.23274478330658266</v>
      </c>
      <c r="Q510">
        <f t="shared" si="980"/>
        <v>1045033.0028089959</v>
      </c>
      <c r="R510">
        <f t="shared" si="981"/>
        <v>155102333.52723137</v>
      </c>
      <c r="S510">
        <f t="shared" si="982"/>
        <v>1551.0233352723137</v>
      </c>
      <c r="T510">
        <f t="shared" si="983"/>
        <v>1.5510233352723137</v>
      </c>
    </row>
    <row r="511" spans="1:20" x14ac:dyDescent="0.25">
      <c r="A511" s="5">
        <v>44082</v>
      </c>
      <c r="B511">
        <v>2.5587</v>
      </c>
      <c r="C511">
        <v>2.6480999999999999</v>
      </c>
      <c r="D511">
        <v>2.4</v>
      </c>
      <c r="E511">
        <v>2.5015000000000001</v>
      </c>
      <c r="F511">
        <v>7254892.4800000004</v>
      </c>
      <c r="G511">
        <v>0</v>
      </c>
      <c r="L511" t="s">
        <v>8</v>
      </c>
      <c r="M511" t="s">
        <v>7</v>
      </c>
      <c r="N511" t="s">
        <v>7</v>
      </c>
      <c r="P511">
        <f t="shared" si="979"/>
        <v>-0.18178153970173194</v>
      </c>
      <c r="Q511">
        <f t="shared" si="980"/>
        <v>-1318805.5253849167</v>
      </c>
      <c r="R511">
        <f t="shared" si="981"/>
        <v>154057300.52442238</v>
      </c>
      <c r="S511">
        <f t="shared" si="982"/>
        <v>1540.5730052442239</v>
      </c>
      <c r="T511">
        <f t="shared" si="983"/>
        <v>1.5405730052442239</v>
      </c>
    </row>
    <row r="512" spans="1:20" x14ac:dyDescent="0.25">
      <c r="A512" s="5">
        <v>44081</v>
      </c>
      <c r="B512">
        <v>2.5484</v>
      </c>
      <c r="C512">
        <v>2.5929000000000002</v>
      </c>
      <c r="D512">
        <v>2.3555999999999999</v>
      </c>
      <c r="E512">
        <v>2.5581999999999998</v>
      </c>
      <c r="F512">
        <v>5838693.0199999996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0.70754319426885504</v>
      </c>
      <c r="Q512">
        <f t="shared" si="980"/>
        <v>4131127.5097260675</v>
      </c>
      <c r="R512">
        <f t="shared" si="981"/>
        <v>155376106.04980728</v>
      </c>
      <c r="S512">
        <f t="shared" si="982"/>
        <v>1553.7610604980728</v>
      </c>
      <c r="T512">
        <f t="shared" si="983"/>
        <v>1.5537610604980727</v>
      </c>
    </row>
    <row r="513" spans="1:20" x14ac:dyDescent="0.25">
      <c r="A513" s="5">
        <v>44080</v>
      </c>
      <c r="B513">
        <v>2.4817</v>
      </c>
      <c r="C513">
        <v>2.6282000000000001</v>
      </c>
      <c r="D513">
        <v>2.3342999999999998</v>
      </c>
      <c r="E513">
        <v>2.5495000000000001</v>
      </c>
      <c r="F513">
        <v>6570725.1699999999</v>
      </c>
      <c r="G513">
        <v>0</v>
      </c>
      <c r="L513" t="s">
        <v>8</v>
      </c>
      <c r="M513" t="s">
        <v>7</v>
      </c>
      <c r="N513" t="s">
        <v>7</v>
      </c>
      <c r="P513">
        <f t="shared" si="979"/>
        <v>0.46444368832936428</v>
      </c>
      <c r="Q513">
        <f t="shared" si="980"/>
        <v>3051731.8329533893</v>
      </c>
      <c r="R513">
        <f t="shared" si="981"/>
        <v>151244978.5400812</v>
      </c>
      <c r="S513">
        <f t="shared" si="982"/>
        <v>1512.4497854008121</v>
      </c>
      <c r="T513">
        <f t="shared" si="983"/>
        <v>1.5124497854008121</v>
      </c>
    </row>
    <row r="514" spans="1:20" x14ac:dyDescent="0.25">
      <c r="A514" s="5">
        <v>44079</v>
      </c>
      <c r="B514">
        <v>2.7429000000000001</v>
      </c>
      <c r="C514">
        <v>2.8290000000000002</v>
      </c>
      <c r="D514">
        <v>2.31</v>
      </c>
      <c r="E514">
        <v>2.4821</v>
      </c>
      <c r="F514">
        <v>13487614.01</v>
      </c>
      <c r="G514">
        <v>0</v>
      </c>
      <c r="L514" t="s">
        <v>7</v>
      </c>
      <c r="M514" t="s">
        <v>8</v>
      </c>
      <c r="N514" t="s">
        <v>7</v>
      </c>
      <c r="P514">
        <f t="shared" si="979"/>
        <v>-0.33680154142581936</v>
      </c>
      <c r="Q514">
        <f t="shared" si="980"/>
        <v>-4542649.1887244768</v>
      </c>
      <c r="R514">
        <f t="shared" si="981"/>
        <v>148193246.70712781</v>
      </c>
      <c r="S514">
        <f t="shared" si="982"/>
        <v>1481.9324670712781</v>
      </c>
      <c r="T514">
        <f t="shared" si="983"/>
        <v>1.4819324670712781</v>
      </c>
    </row>
    <row r="515" spans="1:20" x14ac:dyDescent="0.25">
      <c r="A515" s="5">
        <v>44078</v>
      </c>
      <c r="B515">
        <v>2.5539000000000001</v>
      </c>
      <c r="C515">
        <v>2.8523000000000001</v>
      </c>
      <c r="D515">
        <v>2.38</v>
      </c>
      <c r="E515">
        <v>2.7418</v>
      </c>
      <c r="F515">
        <v>10426533.57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0.53207706965911494</v>
      </c>
      <c r="Q515">
        <f t="shared" si="980"/>
        <v>5547719.4286279902</v>
      </c>
      <c r="R515">
        <f t="shared" si="981"/>
        <v>152735895.8958523</v>
      </c>
      <c r="S515">
        <f t="shared" si="982"/>
        <v>1527.3589589585229</v>
      </c>
      <c r="T515">
        <f t="shared" si="983"/>
        <v>1.5273589589585228</v>
      </c>
    </row>
    <row r="516" spans="1:20" x14ac:dyDescent="0.25">
      <c r="A516" s="5">
        <v>44077</v>
      </c>
      <c r="B516">
        <v>3.1391</v>
      </c>
      <c r="C516">
        <v>3.1408999999999998</v>
      </c>
      <c r="D516">
        <v>2.44</v>
      </c>
      <c r="E516">
        <v>2.5528</v>
      </c>
      <c r="F516">
        <v>13384043.300000001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-0.67812812098730191</v>
      </c>
      <c r="Q516">
        <f t="shared" si="980"/>
        <v>-9076096.1342416871</v>
      </c>
      <c r="R516">
        <f t="shared" si="981"/>
        <v>147188176.4672243</v>
      </c>
      <c r="S516">
        <f t="shared" si="982"/>
        <v>1471.881764672243</v>
      </c>
      <c r="T516">
        <f t="shared" si="983"/>
        <v>1.4718817646722431</v>
      </c>
    </row>
    <row r="517" spans="1:20" x14ac:dyDescent="0.25">
      <c r="A517" s="5">
        <v>44076</v>
      </c>
      <c r="B517">
        <v>3.4430000000000001</v>
      </c>
      <c r="C517">
        <v>3.4729999999999999</v>
      </c>
      <c r="D517">
        <v>2.89</v>
      </c>
      <c r="E517">
        <v>3.1398999999999999</v>
      </c>
      <c r="F517">
        <v>10433482.439999999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-0.14271012006861097</v>
      </c>
      <c r="Q517">
        <f t="shared" si="980"/>
        <v>-1488963.5317461442</v>
      </c>
      <c r="R517">
        <f t="shared" si="981"/>
        <v>156264272.601466</v>
      </c>
      <c r="S517">
        <f t="shared" si="982"/>
        <v>1562.64272601466</v>
      </c>
      <c r="T517">
        <f t="shared" si="983"/>
        <v>1.56264272601466</v>
      </c>
    </row>
    <row r="518" spans="1:20" x14ac:dyDescent="0.25">
      <c r="A518" s="5">
        <v>44075</v>
      </c>
      <c r="B518">
        <v>3.2431999999999999</v>
      </c>
      <c r="C518">
        <v>3.5194999999999999</v>
      </c>
      <c r="D518">
        <v>3.1806999999999999</v>
      </c>
      <c r="E518">
        <v>3.4447999999999999</v>
      </c>
      <c r="F518">
        <v>8789953.0999999996</v>
      </c>
      <c r="G518">
        <v>0</v>
      </c>
      <c r="L518" t="s">
        <v>8</v>
      </c>
      <c r="M518" t="s">
        <v>7</v>
      </c>
      <c r="N518" t="s">
        <v>7</v>
      </c>
      <c r="P518">
        <f t="shared" ref="P518:P581" si="984">IF(C518=D518,0,((E518-D518)-(C518-E518))/(C518-D518))</f>
        <v>0.55903187721369541</v>
      </c>
      <c r="Q518">
        <f t="shared" ref="Q518:Q581" si="985">F518*P518</f>
        <v>4913863.9821133409</v>
      </c>
      <c r="R518">
        <f t="shared" ref="R518:R581" si="986">R519+Q518</f>
        <v>157753236.13321215</v>
      </c>
      <c r="S518">
        <f t="shared" ref="S518:S581" si="987">R518/100000</f>
        <v>1577.5323613321216</v>
      </c>
      <c r="T518">
        <f t="shared" ref="T518:T581" si="988">S518/1000</f>
        <v>1.5775323613321215</v>
      </c>
    </row>
    <row r="519" spans="1:20" x14ac:dyDescent="0.25">
      <c r="A519" s="5">
        <v>44074</v>
      </c>
      <c r="B519">
        <v>3.3872</v>
      </c>
      <c r="C519">
        <v>3.4698000000000002</v>
      </c>
      <c r="D519">
        <v>3.2378999999999998</v>
      </c>
      <c r="E519">
        <v>3.2431999999999999</v>
      </c>
      <c r="F519">
        <v>6018602.5300000003</v>
      </c>
      <c r="G519">
        <v>0</v>
      </c>
      <c r="L519" t="s">
        <v>8</v>
      </c>
      <c r="M519" t="s">
        <v>7</v>
      </c>
      <c r="N519" t="s">
        <v>7</v>
      </c>
      <c r="P519">
        <f t="shared" si="984"/>
        <v>-0.95429064251832629</v>
      </c>
      <c r="Q519">
        <f t="shared" si="985"/>
        <v>-5743496.0754161244</v>
      </c>
      <c r="R519">
        <f t="shared" si="986"/>
        <v>152839372.15109882</v>
      </c>
      <c r="S519">
        <f t="shared" si="987"/>
        <v>1528.3937215109881</v>
      </c>
      <c r="T519">
        <f t="shared" si="988"/>
        <v>1.5283937215109882</v>
      </c>
    </row>
    <row r="520" spans="1:20" x14ac:dyDescent="0.25">
      <c r="A520" s="5">
        <v>44073</v>
      </c>
      <c r="B520">
        <v>3.35</v>
      </c>
      <c r="C520">
        <v>3.4407000000000001</v>
      </c>
      <c r="D520">
        <v>3.3264999999999998</v>
      </c>
      <c r="E520">
        <v>3.3860999999999999</v>
      </c>
      <c r="F520">
        <v>5315886.97</v>
      </c>
      <c r="G520">
        <v>0</v>
      </c>
      <c r="L520" t="s">
        <v>8</v>
      </c>
      <c r="M520" t="s">
        <v>7</v>
      </c>
      <c r="N520" t="s">
        <v>7</v>
      </c>
      <c r="P520">
        <f t="shared" si="984"/>
        <v>4.3782837127844837E-2</v>
      </c>
      <c r="Q520">
        <f t="shared" si="985"/>
        <v>232744.61339754259</v>
      </c>
      <c r="R520">
        <f t="shared" si="986"/>
        <v>158582868.22651494</v>
      </c>
      <c r="S520">
        <f t="shared" si="987"/>
        <v>1585.8286822651494</v>
      </c>
      <c r="T520">
        <f t="shared" si="988"/>
        <v>1.5858286822651493</v>
      </c>
    </row>
    <row r="521" spans="1:20" x14ac:dyDescent="0.25">
      <c r="A521" s="5">
        <v>44072</v>
      </c>
      <c r="B521">
        <v>3.2625999999999999</v>
      </c>
      <c r="C521">
        <v>3.4417</v>
      </c>
      <c r="D521">
        <v>3.2111000000000001</v>
      </c>
      <c r="E521">
        <v>3.3512</v>
      </c>
      <c r="F521">
        <v>5574300.6699999999</v>
      </c>
      <c r="G521">
        <v>0</v>
      </c>
      <c r="L521" t="s">
        <v>8</v>
      </c>
      <c r="M521" t="s">
        <v>7</v>
      </c>
      <c r="N521" t="s">
        <v>7</v>
      </c>
      <c r="P521">
        <f t="shared" si="984"/>
        <v>0.21509106678230652</v>
      </c>
      <c r="Q521">
        <f t="shared" si="985"/>
        <v>1198982.2776756259</v>
      </c>
      <c r="R521">
        <f t="shared" si="986"/>
        <v>158350123.6131174</v>
      </c>
      <c r="S521">
        <f t="shared" si="987"/>
        <v>1583.501236131174</v>
      </c>
      <c r="T521">
        <f t="shared" si="988"/>
        <v>1.583501236131174</v>
      </c>
    </row>
    <row r="522" spans="1:20" x14ac:dyDescent="0.25">
      <c r="A522" s="5">
        <v>44071</v>
      </c>
      <c r="B522">
        <v>3.2246999999999999</v>
      </c>
      <c r="C522">
        <v>3.3148</v>
      </c>
      <c r="D522">
        <v>3.1320000000000001</v>
      </c>
      <c r="E522">
        <v>3.2635000000000001</v>
      </c>
      <c r="F522">
        <v>5905245.5999999996</v>
      </c>
      <c r="G522">
        <v>0</v>
      </c>
      <c r="L522" t="s">
        <v>7</v>
      </c>
      <c r="M522" t="s">
        <v>7</v>
      </c>
      <c r="N522" t="s">
        <v>7</v>
      </c>
      <c r="P522">
        <f t="shared" si="984"/>
        <v>0.43873085339168555</v>
      </c>
      <c r="Q522">
        <f t="shared" si="985"/>
        <v>2590813.441575496</v>
      </c>
      <c r="R522">
        <f t="shared" si="986"/>
        <v>157151141.33544177</v>
      </c>
      <c r="S522">
        <f t="shared" si="987"/>
        <v>1571.5114133544178</v>
      </c>
      <c r="T522">
        <f t="shared" si="988"/>
        <v>1.5715114133544177</v>
      </c>
    </row>
    <row r="523" spans="1:20" x14ac:dyDescent="0.25">
      <c r="A523" s="5">
        <v>44070</v>
      </c>
      <c r="B523">
        <v>3.3662000000000001</v>
      </c>
      <c r="C523">
        <v>3.4184000000000001</v>
      </c>
      <c r="D523">
        <v>3.0954999999999999</v>
      </c>
      <c r="E523">
        <v>3.2235</v>
      </c>
      <c r="F523">
        <v>9782268.2200000007</v>
      </c>
      <c r="G523">
        <v>0</v>
      </c>
      <c r="L523" t="s">
        <v>7</v>
      </c>
      <c r="M523" t="s">
        <v>7</v>
      </c>
      <c r="N523" t="s">
        <v>7</v>
      </c>
      <c r="P523">
        <f t="shared" si="984"/>
        <v>-0.20718488696190746</v>
      </c>
      <c r="Q523">
        <f t="shared" si="985"/>
        <v>-2026738.1353917597</v>
      </c>
      <c r="R523">
        <f t="shared" si="986"/>
        <v>154560327.89386627</v>
      </c>
      <c r="S523">
        <f t="shared" si="987"/>
        <v>1545.6032789386627</v>
      </c>
      <c r="T523">
        <f t="shared" si="988"/>
        <v>1.5456032789386627</v>
      </c>
    </row>
    <row r="524" spans="1:20" x14ac:dyDescent="0.25">
      <c r="A524" s="5">
        <v>44069</v>
      </c>
      <c r="B524">
        <v>3.4342999999999999</v>
      </c>
      <c r="C524">
        <v>3.51</v>
      </c>
      <c r="D524">
        <v>3.2957999999999998</v>
      </c>
      <c r="E524">
        <v>3.3666</v>
      </c>
      <c r="F524">
        <v>7180634.9299999997</v>
      </c>
      <c r="G524">
        <v>0</v>
      </c>
      <c r="L524" t="s">
        <v>7</v>
      </c>
      <c r="M524" t="s">
        <v>7</v>
      </c>
      <c r="N524" t="s">
        <v>8</v>
      </c>
      <c r="P524">
        <f t="shared" si="984"/>
        <v>-0.3389355742296899</v>
      </c>
      <c r="Q524">
        <f t="shared" si="985"/>
        <v>-2433772.6233333191</v>
      </c>
      <c r="R524">
        <f t="shared" si="986"/>
        <v>156587066.02925804</v>
      </c>
      <c r="S524">
        <f t="shared" si="987"/>
        <v>1565.8706602925804</v>
      </c>
      <c r="T524">
        <f t="shared" si="988"/>
        <v>1.5658706602925805</v>
      </c>
    </row>
    <row r="525" spans="1:20" x14ac:dyDescent="0.25">
      <c r="A525" s="5">
        <v>44068</v>
      </c>
      <c r="B525">
        <v>3.6797</v>
      </c>
      <c r="C525">
        <v>3.7039</v>
      </c>
      <c r="D525">
        <v>3.2928999999999999</v>
      </c>
      <c r="E525">
        <v>3.4346999999999999</v>
      </c>
      <c r="F525">
        <v>10112911.66</v>
      </c>
      <c r="G525">
        <v>0</v>
      </c>
      <c r="L525" t="s">
        <v>7</v>
      </c>
      <c r="M525" t="s">
        <v>7</v>
      </c>
      <c r="N525" t="s">
        <v>8</v>
      </c>
      <c r="P525">
        <f t="shared" si="984"/>
        <v>-0.3099756690997571</v>
      </c>
      <c r="Q525">
        <f t="shared" si="985"/>
        <v>-3134756.5583552355</v>
      </c>
      <c r="R525">
        <f t="shared" si="986"/>
        <v>159020838.65259135</v>
      </c>
      <c r="S525">
        <f t="shared" si="987"/>
        <v>1590.2083865259135</v>
      </c>
      <c r="T525">
        <f t="shared" si="988"/>
        <v>1.5902083865259136</v>
      </c>
    </row>
    <row r="526" spans="1:20" x14ac:dyDescent="0.25">
      <c r="A526" s="5">
        <v>44067</v>
      </c>
      <c r="B526">
        <v>3.5173000000000001</v>
      </c>
      <c r="C526">
        <v>3.8050999999999999</v>
      </c>
      <c r="D526">
        <v>3.4413</v>
      </c>
      <c r="E526">
        <v>3.6791</v>
      </c>
      <c r="F526">
        <v>10548960.310000001</v>
      </c>
      <c r="G526">
        <v>0</v>
      </c>
      <c r="L526" t="s">
        <v>8</v>
      </c>
      <c r="M526" t="s">
        <v>7</v>
      </c>
      <c r="N526" t="s">
        <v>8</v>
      </c>
      <c r="P526">
        <f t="shared" si="984"/>
        <v>0.30731170973062166</v>
      </c>
      <c r="Q526">
        <f t="shared" si="985"/>
        <v>3241819.0287465691</v>
      </c>
      <c r="R526">
        <f t="shared" si="986"/>
        <v>162155595.21094659</v>
      </c>
      <c r="S526">
        <f t="shared" si="987"/>
        <v>1621.5559521094658</v>
      </c>
      <c r="T526">
        <f t="shared" si="988"/>
        <v>1.6215559521094658</v>
      </c>
    </row>
    <row r="527" spans="1:20" x14ac:dyDescent="0.25">
      <c r="A527" s="5">
        <v>44066</v>
      </c>
      <c r="B527">
        <v>3.5726</v>
      </c>
      <c r="C527">
        <v>3.6234000000000002</v>
      </c>
      <c r="D527">
        <v>3.3595999999999999</v>
      </c>
      <c r="E527">
        <v>3.5188000000000001</v>
      </c>
      <c r="F527">
        <v>7221233.96</v>
      </c>
      <c r="G527">
        <v>0</v>
      </c>
      <c r="L527" t="s">
        <v>8</v>
      </c>
      <c r="M527" t="s">
        <v>7</v>
      </c>
      <c r="N527" t="s">
        <v>8</v>
      </c>
      <c r="P527">
        <f t="shared" si="984"/>
        <v>0.20697498104624773</v>
      </c>
      <c r="Q527">
        <f t="shared" si="985"/>
        <v>1494614.7620015205</v>
      </c>
      <c r="R527">
        <f t="shared" si="986"/>
        <v>158913776.18220001</v>
      </c>
      <c r="S527">
        <f t="shared" si="987"/>
        <v>1589.1377618220001</v>
      </c>
      <c r="T527">
        <f t="shared" si="988"/>
        <v>1.5891377618220002</v>
      </c>
    </row>
    <row r="528" spans="1:20" x14ac:dyDescent="0.25">
      <c r="A528" s="5">
        <v>44065</v>
      </c>
      <c r="B528">
        <v>3.3847</v>
      </c>
      <c r="C528">
        <v>3.6229</v>
      </c>
      <c r="D528">
        <v>3.2570999999999999</v>
      </c>
      <c r="E528">
        <v>3.5758000000000001</v>
      </c>
      <c r="F528">
        <v>8825469.2899999991</v>
      </c>
      <c r="G528">
        <v>0</v>
      </c>
      <c r="L528" t="s">
        <v>7</v>
      </c>
      <c r="M528" t="s">
        <v>7</v>
      </c>
      <c r="N528" t="s">
        <v>8</v>
      </c>
      <c r="P528">
        <f t="shared" si="984"/>
        <v>0.7424822307271739</v>
      </c>
      <c r="Q528">
        <f t="shared" si="985"/>
        <v>6552754.1256533666</v>
      </c>
      <c r="R528">
        <f t="shared" si="986"/>
        <v>157419161.4201985</v>
      </c>
      <c r="S528">
        <f t="shared" si="987"/>
        <v>1574.191614201985</v>
      </c>
      <c r="T528">
        <f t="shared" si="988"/>
        <v>1.5741916142019849</v>
      </c>
    </row>
    <row r="529" spans="1:20" x14ac:dyDescent="0.25">
      <c r="A529" s="5">
        <v>44064</v>
      </c>
      <c r="B529">
        <v>3.8580000000000001</v>
      </c>
      <c r="C529">
        <v>3.9148999999999998</v>
      </c>
      <c r="D529">
        <v>3.3313999999999999</v>
      </c>
      <c r="E529">
        <v>3.3885000000000001</v>
      </c>
      <c r="F529">
        <v>13354780.789999999</v>
      </c>
      <c r="G529">
        <v>0</v>
      </c>
      <c r="L529" t="s">
        <v>7</v>
      </c>
      <c r="M529" t="s">
        <v>7</v>
      </c>
      <c r="N529" t="s">
        <v>8</v>
      </c>
      <c r="P529">
        <f t="shared" si="984"/>
        <v>-0.80428449014567216</v>
      </c>
      <c r="Q529">
        <f t="shared" si="985"/>
        <v>-10741043.058692366</v>
      </c>
      <c r="R529">
        <f t="shared" si="986"/>
        <v>150866407.29454514</v>
      </c>
      <c r="S529">
        <f t="shared" si="987"/>
        <v>1508.6640729454514</v>
      </c>
      <c r="T529">
        <f t="shared" si="988"/>
        <v>1.5086640729454515</v>
      </c>
    </row>
    <row r="530" spans="1:20" x14ac:dyDescent="0.25">
      <c r="A530" s="5">
        <v>44063</v>
      </c>
      <c r="B530">
        <v>3.6295000000000002</v>
      </c>
      <c r="C530">
        <v>3.9390000000000001</v>
      </c>
      <c r="D530">
        <v>3.5036</v>
      </c>
      <c r="E530">
        <v>3.8546</v>
      </c>
      <c r="F530">
        <v>11260884.140000001</v>
      </c>
      <c r="G530">
        <v>0</v>
      </c>
      <c r="L530" t="s">
        <v>8</v>
      </c>
      <c r="M530" t="s">
        <v>7</v>
      </c>
      <c r="N530" t="s">
        <v>8</v>
      </c>
      <c r="P530">
        <f t="shared" si="984"/>
        <v>0.61231051906293055</v>
      </c>
      <c r="Q530">
        <f t="shared" si="985"/>
        <v>6895157.8128709225</v>
      </c>
      <c r="R530">
        <f t="shared" si="986"/>
        <v>161607450.35323751</v>
      </c>
      <c r="S530">
        <f t="shared" si="987"/>
        <v>1616.074503532375</v>
      </c>
      <c r="T530">
        <f t="shared" si="988"/>
        <v>1.6160745035323751</v>
      </c>
    </row>
    <row r="531" spans="1:20" x14ac:dyDescent="0.25">
      <c r="A531" s="5">
        <v>44062</v>
      </c>
      <c r="B531">
        <v>3.8321000000000001</v>
      </c>
      <c r="C531">
        <v>3.93</v>
      </c>
      <c r="D531">
        <v>3.4178000000000002</v>
      </c>
      <c r="E531">
        <v>3.6246999999999998</v>
      </c>
      <c r="F531">
        <v>17203136.829999998</v>
      </c>
      <c r="G531">
        <v>0</v>
      </c>
      <c r="L531" t="s">
        <v>7</v>
      </c>
      <c r="M531" t="s">
        <v>7</v>
      </c>
      <c r="N531" t="s">
        <v>8</v>
      </c>
      <c r="P531">
        <f t="shared" si="984"/>
        <v>-0.19211245607184832</v>
      </c>
      <c r="Q531">
        <f t="shared" si="985"/>
        <v>-3304936.8685513707</v>
      </c>
      <c r="R531">
        <f t="shared" si="986"/>
        <v>154712292.54036659</v>
      </c>
      <c r="S531">
        <f t="shared" si="987"/>
        <v>1547.1229254036659</v>
      </c>
      <c r="T531">
        <f t="shared" si="988"/>
        <v>1.547122925403666</v>
      </c>
    </row>
    <row r="532" spans="1:20" x14ac:dyDescent="0.25">
      <c r="A532" s="5">
        <v>44061</v>
      </c>
      <c r="B532">
        <v>4.0366999999999997</v>
      </c>
      <c r="C532">
        <v>4.17</v>
      </c>
      <c r="D532">
        <v>3.69</v>
      </c>
      <c r="E532">
        <v>3.8319999999999999</v>
      </c>
      <c r="F532">
        <v>10645224.609999999</v>
      </c>
      <c r="G532">
        <v>0</v>
      </c>
      <c r="L532" t="s">
        <v>7</v>
      </c>
      <c r="M532" t="s">
        <v>7</v>
      </c>
      <c r="N532" t="s">
        <v>8</v>
      </c>
      <c r="P532">
        <f t="shared" si="984"/>
        <v>-0.40833333333333371</v>
      </c>
      <c r="Q532">
        <f t="shared" si="985"/>
        <v>-4346800.0490833372</v>
      </c>
      <c r="R532">
        <f t="shared" si="986"/>
        <v>158017229.40891796</v>
      </c>
      <c r="S532">
        <f t="shared" si="987"/>
        <v>1580.1722940891796</v>
      </c>
      <c r="T532">
        <f t="shared" si="988"/>
        <v>1.5801722940891796</v>
      </c>
    </row>
    <row r="533" spans="1:20" x14ac:dyDescent="0.25">
      <c r="A533" s="5">
        <v>44060</v>
      </c>
      <c r="B533">
        <v>4.2374000000000001</v>
      </c>
      <c r="C533">
        <v>4.2560000000000002</v>
      </c>
      <c r="D533">
        <v>4.0138999999999996</v>
      </c>
      <c r="E533">
        <v>4.0323000000000002</v>
      </c>
      <c r="F533">
        <v>8682230.9600000009</v>
      </c>
      <c r="G533">
        <v>0</v>
      </c>
      <c r="L533" t="s">
        <v>7</v>
      </c>
      <c r="M533" t="s">
        <v>8</v>
      </c>
      <c r="N533" t="s">
        <v>8</v>
      </c>
      <c r="P533">
        <f t="shared" si="984"/>
        <v>-0.84799669558033386</v>
      </c>
      <c r="Q533">
        <f t="shared" si="985"/>
        <v>-7362503.164345271</v>
      </c>
      <c r="R533">
        <f t="shared" si="986"/>
        <v>162364029.45800132</v>
      </c>
      <c r="S533">
        <f t="shared" si="987"/>
        <v>1623.6402945800132</v>
      </c>
      <c r="T533">
        <f t="shared" si="988"/>
        <v>1.6236402945800132</v>
      </c>
    </row>
    <row r="534" spans="1:20" x14ac:dyDescent="0.25">
      <c r="A534" s="5">
        <v>44059</v>
      </c>
      <c r="B534">
        <v>4.0677000000000003</v>
      </c>
      <c r="C534">
        <v>4.3849999999999998</v>
      </c>
      <c r="D534">
        <v>4.0010000000000003</v>
      </c>
      <c r="E534">
        <v>4.2401</v>
      </c>
      <c r="F534">
        <v>11022270.119999999</v>
      </c>
      <c r="G534">
        <v>0</v>
      </c>
      <c r="L534" t="s">
        <v>8</v>
      </c>
      <c r="M534" t="s">
        <v>8</v>
      </c>
      <c r="N534" t="s">
        <v>8</v>
      </c>
      <c r="P534">
        <f t="shared" si="984"/>
        <v>0.24531249999999993</v>
      </c>
      <c r="Q534">
        <f t="shared" si="985"/>
        <v>2703900.6388124991</v>
      </c>
      <c r="R534">
        <f t="shared" si="986"/>
        <v>169726532.62234658</v>
      </c>
      <c r="S534">
        <f t="shared" si="987"/>
        <v>1697.2653262234658</v>
      </c>
      <c r="T534">
        <f t="shared" si="988"/>
        <v>1.6972653262234658</v>
      </c>
    </row>
    <row r="535" spans="1:20" x14ac:dyDescent="0.25">
      <c r="A535" s="5">
        <v>44058</v>
      </c>
      <c r="B535">
        <v>4.1090999999999998</v>
      </c>
      <c r="C535">
        <v>4.32</v>
      </c>
      <c r="D535">
        <v>3.89</v>
      </c>
      <c r="E535">
        <v>4.0674999999999999</v>
      </c>
      <c r="F535">
        <v>13574782.16</v>
      </c>
      <c r="G535">
        <v>0</v>
      </c>
      <c r="L535" t="s">
        <v>7</v>
      </c>
      <c r="M535" t="s">
        <v>8</v>
      </c>
      <c r="N535" t="s">
        <v>8</v>
      </c>
      <c r="P535">
        <f t="shared" si="984"/>
        <v>-0.17441860465116418</v>
      </c>
      <c r="Q535">
        <f t="shared" si="985"/>
        <v>-2367694.5627907165</v>
      </c>
      <c r="R535">
        <f t="shared" si="986"/>
        <v>167022631.98353407</v>
      </c>
      <c r="S535">
        <f t="shared" si="987"/>
        <v>1670.2263198353407</v>
      </c>
      <c r="T535">
        <f t="shared" si="988"/>
        <v>1.6702263198353406</v>
      </c>
    </row>
    <row r="536" spans="1:20" x14ac:dyDescent="0.25">
      <c r="A536" s="5">
        <v>44057</v>
      </c>
      <c r="B536">
        <v>4.1356999999999999</v>
      </c>
      <c r="C536">
        <v>4.2348999999999997</v>
      </c>
      <c r="D536">
        <v>4.0061999999999998</v>
      </c>
      <c r="E536">
        <v>4.1093999999999999</v>
      </c>
      <c r="F536">
        <v>9444717.8100000005</v>
      </c>
      <c r="G536">
        <v>0</v>
      </c>
      <c r="L536" t="s">
        <v>7</v>
      </c>
      <c r="M536" t="s">
        <v>8</v>
      </c>
      <c r="N536" t="s">
        <v>8</v>
      </c>
      <c r="P536">
        <f t="shared" si="984"/>
        <v>-9.750765194577854E-2</v>
      </c>
      <c r="Q536">
        <f t="shared" si="985"/>
        <v>-920932.25694357581</v>
      </c>
      <c r="R536">
        <f t="shared" si="986"/>
        <v>169390326.54632479</v>
      </c>
      <c r="S536">
        <f t="shared" si="987"/>
        <v>1693.9032654632479</v>
      </c>
      <c r="T536">
        <f t="shared" si="988"/>
        <v>1.6939032654632478</v>
      </c>
    </row>
    <row r="537" spans="1:20" x14ac:dyDescent="0.25">
      <c r="A537" s="5">
        <v>44056</v>
      </c>
      <c r="B537">
        <v>4.3606999999999996</v>
      </c>
      <c r="C537">
        <v>4.4935999999999998</v>
      </c>
      <c r="D537">
        <v>3.94</v>
      </c>
      <c r="E537">
        <v>4.1356000000000002</v>
      </c>
      <c r="F537">
        <v>19346083.260000002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-0.29335260115606843</v>
      </c>
      <c r="Q537">
        <f t="shared" si="985"/>
        <v>-5675223.8465028722</v>
      </c>
      <c r="R537">
        <f t="shared" si="986"/>
        <v>170311258.80326837</v>
      </c>
      <c r="S537">
        <f t="shared" si="987"/>
        <v>1703.1125880326838</v>
      </c>
      <c r="T537">
        <f t="shared" si="988"/>
        <v>1.7031125880326838</v>
      </c>
    </row>
    <row r="538" spans="1:20" x14ac:dyDescent="0.25">
      <c r="A538" s="5">
        <v>44055</v>
      </c>
      <c r="B538">
        <v>4.0114000000000001</v>
      </c>
      <c r="C538">
        <v>4.4671000000000003</v>
      </c>
      <c r="D538">
        <v>3.6251000000000002</v>
      </c>
      <c r="E538">
        <v>4.3605</v>
      </c>
      <c r="F538">
        <v>24485813.449999999</v>
      </c>
      <c r="G538">
        <v>0</v>
      </c>
      <c r="L538" t="s">
        <v>7</v>
      </c>
      <c r="M538" t="s">
        <v>7</v>
      </c>
      <c r="N538" t="s">
        <v>8</v>
      </c>
      <c r="P538">
        <f t="shared" si="984"/>
        <v>0.74679334916864548</v>
      </c>
      <c r="Q538">
        <f t="shared" si="985"/>
        <v>18285842.633444164</v>
      </c>
      <c r="R538">
        <f t="shared" si="986"/>
        <v>175986482.64977124</v>
      </c>
      <c r="S538">
        <f t="shared" si="987"/>
        <v>1759.8648264977123</v>
      </c>
      <c r="T538">
        <f t="shared" si="988"/>
        <v>1.7598648264977124</v>
      </c>
    </row>
    <row r="539" spans="1:20" x14ac:dyDescent="0.25">
      <c r="A539" s="5">
        <v>44054</v>
      </c>
      <c r="B539">
        <v>4.2576999999999998</v>
      </c>
      <c r="C539">
        <v>4.4298999999999999</v>
      </c>
      <c r="D539">
        <v>3.75</v>
      </c>
      <c r="E539">
        <v>4.01</v>
      </c>
      <c r="F539">
        <v>26537153.370000001</v>
      </c>
      <c r="G539">
        <v>0</v>
      </c>
      <c r="L539" t="s">
        <v>8</v>
      </c>
      <c r="M539" t="s">
        <v>8</v>
      </c>
      <c r="N539" t="s">
        <v>8</v>
      </c>
      <c r="P539">
        <f t="shared" si="984"/>
        <v>-0.2351816443594652</v>
      </c>
      <c r="Q539">
        <f t="shared" si="985"/>
        <v>-6241051.3661759235</v>
      </c>
      <c r="R539">
        <f t="shared" si="986"/>
        <v>157700640.01632708</v>
      </c>
      <c r="S539">
        <f t="shared" si="987"/>
        <v>1577.0064001632709</v>
      </c>
      <c r="T539">
        <f t="shared" si="988"/>
        <v>1.5770064001632709</v>
      </c>
    </row>
    <row r="540" spans="1:20" x14ac:dyDescent="0.25">
      <c r="A540" s="5">
        <v>44053</v>
      </c>
      <c r="B540">
        <v>3.6915</v>
      </c>
      <c r="C540">
        <v>4.3183999999999996</v>
      </c>
      <c r="D540">
        <v>3.4220000000000002</v>
      </c>
      <c r="E540">
        <v>4.2557999999999998</v>
      </c>
      <c r="F540">
        <v>25577030.59</v>
      </c>
      <c r="G540">
        <v>0</v>
      </c>
      <c r="L540" t="s">
        <v>8</v>
      </c>
      <c r="M540" t="s">
        <v>8</v>
      </c>
      <c r="N540" t="s">
        <v>8</v>
      </c>
      <c r="P540">
        <f t="shared" si="984"/>
        <v>0.8603302097278005</v>
      </c>
      <c r="Q540">
        <f t="shared" si="985"/>
        <v>22004692.09170907</v>
      </c>
      <c r="R540">
        <f t="shared" si="986"/>
        <v>163941691.382503</v>
      </c>
      <c r="S540">
        <f t="shared" si="987"/>
        <v>1639.41691382503</v>
      </c>
      <c r="T540">
        <f t="shared" si="988"/>
        <v>1.6394169138250299</v>
      </c>
    </row>
    <row r="541" spans="1:20" x14ac:dyDescent="0.25">
      <c r="A541" s="5">
        <v>44052</v>
      </c>
      <c r="B541">
        <v>3.3820000000000001</v>
      </c>
      <c r="C541">
        <v>3.7829000000000002</v>
      </c>
      <c r="D541">
        <v>3.2768000000000002</v>
      </c>
      <c r="E541">
        <v>3.6924000000000001</v>
      </c>
      <c r="F541">
        <v>19986487.420000002</v>
      </c>
      <c r="G541">
        <v>0</v>
      </c>
      <c r="L541" t="s">
        <v>8</v>
      </c>
      <c r="M541" t="s">
        <v>8</v>
      </c>
      <c r="N541" t="s">
        <v>8</v>
      </c>
      <c r="P541">
        <f t="shared" si="984"/>
        <v>0.64236316933412363</v>
      </c>
      <c r="Q541">
        <f t="shared" si="985"/>
        <v>12838583.402967792</v>
      </c>
      <c r="R541">
        <f t="shared" si="986"/>
        <v>141936999.29079393</v>
      </c>
      <c r="S541">
        <f t="shared" si="987"/>
        <v>1419.3699929079391</v>
      </c>
      <c r="T541">
        <f t="shared" si="988"/>
        <v>1.4193699929079391</v>
      </c>
    </row>
    <row r="542" spans="1:20" x14ac:dyDescent="0.25">
      <c r="A542" s="5">
        <v>44051</v>
      </c>
      <c r="B542">
        <v>3.0794999999999999</v>
      </c>
      <c r="C542">
        <v>3.4925000000000002</v>
      </c>
      <c r="D542">
        <v>3.0261999999999998</v>
      </c>
      <c r="E542">
        <v>3.3820000000000001</v>
      </c>
      <c r="F542">
        <v>13808454.050000001</v>
      </c>
      <c r="G542">
        <v>0</v>
      </c>
      <c r="L542" t="s">
        <v>8</v>
      </c>
      <c r="M542" t="s">
        <v>8</v>
      </c>
      <c r="N542" t="s">
        <v>8</v>
      </c>
      <c r="P542">
        <f t="shared" si="984"/>
        <v>0.52605618700407486</v>
      </c>
      <c r="Q542">
        <f t="shared" si="985"/>
        <v>7264022.6859639753</v>
      </c>
      <c r="R542">
        <f t="shared" si="986"/>
        <v>129098415.88782613</v>
      </c>
      <c r="S542">
        <f t="shared" si="987"/>
        <v>1290.9841588782613</v>
      </c>
      <c r="T542">
        <f t="shared" si="988"/>
        <v>1.2909841588782613</v>
      </c>
    </row>
    <row r="543" spans="1:20" x14ac:dyDescent="0.25">
      <c r="A543" s="5">
        <v>44050</v>
      </c>
      <c r="B543">
        <v>3.2273000000000001</v>
      </c>
      <c r="C543">
        <v>3.2877000000000001</v>
      </c>
      <c r="D543">
        <v>2.93</v>
      </c>
      <c r="E543">
        <v>3.081</v>
      </c>
      <c r="F543">
        <v>10353305.02</v>
      </c>
      <c r="G543">
        <v>0</v>
      </c>
      <c r="L543" t="s">
        <v>7</v>
      </c>
      <c r="M543" t="s">
        <v>8</v>
      </c>
      <c r="N543" t="s">
        <v>8</v>
      </c>
      <c r="P543">
        <f t="shared" si="984"/>
        <v>-0.15571708135309006</v>
      </c>
      <c r="Q543">
        <f t="shared" si="985"/>
        <v>-1612186.4400726957</v>
      </c>
      <c r="R543">
        <f t="shared" si="986"/>
        <v>121834393.20186216</v>
      </c>
      <c r="S543">
        <f t="shared" si="987"/>
        <v>1218.3439320186217</v>
      </c>
      <c r="T543">
        <f t="shared" si="988"/>
        <v>1.2183439320186216</v>
      </c>
    </row>
    <row r="544" spans="1:20" x14ac:dyDescent="0.25">
      <c r="A544" s="5">
        <v>44049</v>
      </c>
      <c r="B544">
        <v>3.1116000000000001</v>
      </c>
      <c r="C544">
        <v>3.3831000000000002</v>
      </c>
      <c r="D544">
        <v>3.0966999999999998</v>
      </c>
      <c r="E544">
        <v>3.2286999999999999</v>
      </c>
      <c r="F544">
        <v>12759366.34</v>
      </c>
      <c r="G544">
        <v>0</v>
      </c>
      <c r="L544" t="s">
        <v>8</v>
      </c>
      <c r="M544" t="s">
        <v>8</v>
      </c>
      <c r="N544" t="s">
        <v>8</v>
      </c>
      <c r="P544">
        <f t="shared" si="984"/>
        <v>-7.8212290502793866E-2</v>
      </c>
      <c r="Q544">
        <f t="shared" si="985"/>
        <v>-997939.26681564969</v>
      </c>
      <c r="R544">
        <f t="shared" si="986"/>
        <v>123446579.64193486</v>
      </c>
      <c r="S544">
        <f t="shared" si="987"/>
        <v>1234.4657964193486</v>
      </c>
      <c r="T544">
        <f t="shared" si="988"/>
        <v>1.2344657964193486</v>
      </c>
    </row>
    <row r="545" spans="1:20" x14ac:dyDescent="0.25">
      <c r="A545" s="5">
        <v>44048</v>
      </c>
      <c r="B545">
        <v>3.2443</v>
      </c>
      <c r="C545">
        <v>3.2622</v>
      </c>
      <c r="D545">
        <v>3.0705</v>
      </c>
      <c r="E545">
        <v>3.1114999999999999</v>
      </c>
      <c r="F545">
        <v>8902129.3900000006</v>
      </c>
      <c r="G545">
        <v>0</v>
      </c>
      <c r="L545" t="s">
        <v>7</v>
      </c>
      <c r="M545" t="s">
        <v>8</v>
      </c>
      <c r="N545" t="s">
        <v>8</v>
      </c>
      <c r="P545">
        <f t="shared" si="984"/>
        <v>-0.57224830464267162</v>
      </c>
      <c r="Q545">
        <f t="shared" si="985"/>
        <v>-5094228.4511372009</v>
      </c>
      <c r="R545">
        <f t="shared" si="986"/>
        <v>124444518.9087505</v>
      </c>
      <c r="S545">
        <f t="shared" si="987"/>
        <v>1244.445189087505</v>
      </c>
      <c r="T545">
        <f t="shared" si="988"/>
        <v>1.244445189087505</v>
      </c>
    </row>
    <row r="546" spans="1:20" x14ac:dyDescent="0.25">
      <c r="A546" s="5">
        <v>44047</v>
      </c>
      <c r="B546">
        <v>3.0703999999999998</v>
      </c>
      <c r="C546">
        <v>3.3279999999999998</v>
      </c>
      <c r="D546">
        <v>3.0703999999999998</v>
      </c>
      <c r="E546">
        <v>3.2437999999999998</v>
      </c>
      <c r="F546">
        <v>17026461.5</v>
      </c>
      <c r="G546">
        <v>0</v>
      </c>
      <c r="L546" t="s">
        <v>8</v>
      </c>
      <c r="M546" t="s">
        <v>8</v>
      </c>
      <c r="N546" t="s">
        <v>8</v>
      </c>
      <c r="P546">
        <f t="shared" si="984"/>
        <v>0.34627329192546558</v>
      </c>
      <c r="Q546">
        <f t="shared" si="985"/>
        <v>5895808.8734472003</v>
      </c>
      <c r="R546">
        <f t="shared" si="986"/>
        <v>129538747.3598877</v>
      </c>
      <c r="S546">
        <f t="shared" si="987"/>
        <v>1295.387473598877</v>
      </c>
      <c r="T546">
        <f t="shared" si="988"/>
        <v>1.2953874735988771</v>
      </c>
    </row>
    <row r="547" spans="1:20" x14ac:dyDescent="0.25">
      <c r="A547" s="5">
        <v>44046</v>
      </c>
      <c r="B547">
        <v>2.8935</v>
      </c>
      <c r="C547">
        <v>3.0910000000000002</v>
      </c>
      <c r="D547">
        <v>2.84</v>
      </c>
      <c r="E547">
        <v>3.0703</v>
      </c>
      <c r="F547">
        <v>10298556.189999999</v>
      </c>
      <c r="G547">
        <v>0</v>
      </c>
      <c r="L547" t="s">
        <v>7</v>
      </c>
      <c r="M547" t="s">
        <v>8</v>
      </c>
      <c r="N547" t="s">
        <v>8</v>
      </c>
      <c r="P547">
        <f t="shared" si="984"/>
        <v>0.83505976095617418</v>
      </c>
      <c r="Q547">
        <f t="shared" si="985"/>
        <v>8599909.8702151272</v>
      </c>
      <c r="R547">
        <f t="shared" si="986"/>
        <v>123642938.48644051</v>
      </c>
      <c r="S547">
        <f t="shared" si="987"/>
        <v>1236.4293848644052</v>
      </c>
      <c r="T547">
        <f t="shared" si="988"/>
        <v>1.2364293848644052</v>
      </c>
    </row>
    <row r="548" spans="1:20" x14ac:dyDescent="0.25">
      <c r="A548" s="5">
        <v>44045</v>
      </c>
      <c r="B548">
        <v>3.0388999999999999</v>
      </c>
      <c r="C548">
        <v>3.14</v>
      </c>
      <c r="D548">
        <v>2.6444999999999999</v>
      </c>
      <c r="E548">
        <v>2.8929999999999998</v>
      </c>
      <c r="F548">
        <v>14751858.58</v>
      </c>
      <c r="G548">
        <v>0</v>
      </c>
      <c r="L548" t="s">
        <v>8</v>
      </c>
      <c r="M548" t="s">
        <v>7</v>
      </c>
      <c r="N548" t="s">
        <v>8</v>
      </c>
      <c r="P548">
        <f t="shared" si="984"/>
        <v>3.0272452068609728E-3</v>
      </c>
      <c r="Q548">
        <f t="shared" si="985"/>
        <v>44657.49317859592</v>
      </c>
      <c r="R548">
        <f t="shared" si="986"/>
        <v>115043028.61622538</v>
      </c>
      <c r="S548">
        <f t="shared" si="987"/>
        <v>1150.4302861622539</v>
      </c>
      <c r="T548">
        <f t="shared" si="988"/>
        <v>1.150430286162254</v>
      </c>
    </row>
    <row r="549" spans="1:20" x14ac:dyDescent="0.25">
      <c r="A549" s="5">
        <v>44044</v>
      </c>
      <c r="B549">
        <v>2.8420000000000001</v>
      </c>
      <c r="C549">
        <v>3.0789</v>
      </c>
      <c r="D549">
        <v>2.8210000000000002</v>
      </c>
      <c r="E549">
        <v>3.0390000000000001</v>
      </c>
      <c r="F549">
        <v>8238346.0899999999</v>
      </c>
      <c r="G549">
        <v>0</v>
      </c>
      <c r="L549" t="s">
        <v>8</v>
      </c>
      <c r="M549" t="s">
        <v>8</v>
      </c>
      <c r="N549" t="s">
        <v>8</v>
      </c>
      <c r="P549">
        <f t="shared" si="984"/>
        <v>0.69057774331136212</v>
      </c>
      <c r="Q549">
        <f t="shared" si="985"/>
        <v>5689218.451450184</v>
      </c>
      <c r="R549">
        <f t="shared" si="986"/>
        <v>114998371.12304679</v>
      </c>
      <c r="S549">
        <f t="shared" si="987"/>
        <v>1149.9837112304679</v>
      </c>
      <c r="T549">
        <f t="shared" si="988"/>
        <v>1.1499837112304678</v>
      </c>
    </row>
    <row r="550" spans="1:20" x14ac:dyDescent="0.25">
      <c r="A550" s="5">
        <v>44043</v>
      </c>
      <c r="B550">
        <v>2.8026</v>
      </c>
      <c r="C550">
        <v>2.9064000000000001</v>
      </c>
      <c r="D550">
        <v>2.7816999999999998</v>
      </c>
      <c r="E550">
        <v>2.8401000000000001</v>
      </c>
      <c r="F550">
        <v>4617333.1399999997</v>
      </c>
      <c r="G550">
        <v>0</v>
      </c>
      <c r="L550" t="s">
        <v>7</v>
      </c>
      <c r="M550" t="s">
        <v>7</v>
      </c>
      <c r="N550" t="s">
        <v>8</v>
      </c>
      <c r="P550">
        <f t="shared" si="984"/>
        <v>-6.3352044907776905E-2</v>
      </c>
      <c r="Q550">
        <f t="shared" si="985"/>
        <v>-292517.49643944652</v>
      </c>
      <c r="R550">
        <f t="shared" si="986"/>
        <v>109309152.6715966</v>
      </c>
      <c r="S550">
        <f t="shared" si="987"/>
        <v>1093.091526715966</v>
      </c>
      <c r="T550">
        <f t="shared" si="988"/>
        <v>1.093091526715966</v>
      </c>
    </row>
    <row r="551" spans="1:20" x14ac:dyDescent="0.25">
      <c r="A551" s="5">
        <v>44042</v>
      </c>
      <c r="B551">
        <v>2.7804000000000002</v>
      </c>
      <c r="C551">
        <v>2.8519000000000001</v>
      </c>
      <c r="D551">
        <v>2.7349000000000001</v>
      </c>
      <c r="E551">
        <v>2.8027000000000002</v>
      </c>
      <c r="F551">
        <v>4340840.37</v>
      </c>
      <c r="G551">
        <v>0</v>
      </c>
      <c r="L551" t="s">
        <v>7</v>
      </c>
      <c r="M551" t="s">
        <v>7</v>
      </c>
      <c r="N551" t="s">
        <v>8</v>
      </c>
      <c r="P551">
        <f t="shared" si="984"/>
        <v>0.15897435897436046</v>
      </c>
      <c r="Q551">
        <f t="shared" si="985"/>
        <v>690082.31523077574</v>
      </c>
      <c r="R551">
        <f t="shared" si="986"/>
        <v>109601670.16803604</v>
      </c>
      <c r="S551">
        <f t="shared" si="987"/>
        <v>1096.0167016803605</v>
      </c>
      <c r="T551">
        <f t="shared" si="988"/>
        <v>1.0960167016803606</v>
      </c>
    </row>
    <row r="552" spans="1:20" x14ac:dyDescent="0.25">
      <c r="A552" s="5">
        <v>44041</v>
      </c>
      <c r="B552">
        <v>2.8325999999999998</v>
      </c>
      <c r="C552">
        <v>2.9529000000000001</v>
      </c>
      <c r="D552">
        <v>2.7519999999999998</v>
      </c>
      <c r="E552">
        <v>2.7810000000000001</v>
      </c>
      <c r="F552">
        <v>5520233.25</v>
      </c>
      <c r="G552">
        <v>0</v>
      </c>
      <c r="L552" t="s">
        <v>8</v>
      </c>
      <c r="M552" t="s">
        <v>7</v>
      </c>
      <c r="N552" t="s">
        <v>8</v>
      </c>
      <c r="P552">
        <f t="shared" si="984"/>
        <v>-0.71129915380786146</v>
      </c>
      <c r="Q552">
        <f t="shared" si="985"/>
        <v>-3926537.2395470208</v>
      </c>
      <c r="R552">
        <f t="shared" si="986"/>
        <v>108911587.85280527</v>
      </c>
      <c r="S552">
        <f t="shared" si="987"/>
        <v>1089.1158785280527</v>
      </c>
      <c r="T552">
        <f t="shared" si="988"/>
        <v>1.0891158785280526</v>
      </c>
    </row>
    <row r="553" spans="1:20" x14ac:dyDescent="0.25">
      <c r="A553" s="5">
        <v>44040</v>
      </c>
      <c r="B553">
        <v>2.8262</v>
      </c>
      <c r="C553">
        <v>2.8955000000000002</v>
      </c>
      <c r="D553">
        <v>2.72</v>
      </c>
      <c r="E553">
        <v>2.8323</v>
      </c>
      <c r="F553">
        <v>7213659.5599999996</v>
      </c>
      <c r="G553">
        <v>0</v>
      </c>
      <c r="L553" t="s">
        <v>8</v>
      </c>
      <c r="M553" t="s">
        <v>7</v>
      </c>
      <c r="N553" t="s">
        <v>8</v>
      </c>
      <c r="P553">
        <f t="shared" si="984"/>
        <v>0.27977207977207807</v>
      </c>
      <c r="Q553">
        <f t="shared" si="985"/>
        <v>2018180.5378689335</v>
      </c>
      <c r="R553">
        <f t="shared" si="986"/>
        <v>112838125.09235229</v>
      </c>
      <c r="S553">
        <f t="shared" si="987"/>
        <v>1128.3812509235229</v>
      </c>
      <c r="T553">
        <f t="shared" si="988"/>
        <v>1.1283812509235229</v>
      </c>
    </row>
    <row r="554" spans="1:20" x14ac:dyDescent="0.25">
      <c r="A554" s="5">
        <v>44039</v>
      </c>
      <c r="B554">
        <v>2.9839000000000002</v>
      </c>
      <c r="C554">
        <v>2.9839000000000002</v>
      </c>
      <c r="D554">
        <v>2.6326000000000001</v>
      </c>
      <c r="E554">
        <v>2.8275000000000001</v>
      </c>
      <c r="F554">
        <v>15628272.119999999</v>
      </c>
      <c r="G554">
        <v>0</v>
      </c>
      <c r="L554" t="s">
        <v>7</v>
      </c>
      <c r="M554" t="s">
        <v>7</v>
      </c>
      <c r="N554" t="s">
        <v>8</v>
      </c>
      <c r="P554">
        <f t="shared" si="984"/>
        <v>0.10959294050668933</v>
      </c>
      <c r="Q554">
        <f t="shared" si="985"/>
        <v>1712748.2966695114</v>
      </c>
      <c r="R554">
        <f t="shared" si="986"/>
        <v>110819944.55448335</v>
      </c>
      <c r="S554">
        <f t="shared" si="987"/>
        <v>1108.1994455448335</v>
      </c>
      <c r="T554">
        <f t="shared" si="988"/>
        <v>1.1081994455448334</v>
      </c>
    </row>
    <row r="555" spans="1:20" x14ac:dyDescent="0.25">
      <c r="A555" s="5">
        <v>44038</v>
      </c>
      <c r="B555">
        <v>3.0602999999999998</v>
      </c>
      <c r="C555">
        <v>3.1113</v>
      </c>
      <c r="D555">
        <v>2.9</v>
      </c>
      <c r="E555">
        <v>2.9859</v>
      </c>
      <c r="F555">
        <v>8266180.9500000002</v>
      </c>
      <c r="G555">
        <v>0</v>
      </c>
      <c r="L555" t="s">
        <v>7</v>
      </c>
      <c r="M555" t="s">
        <v>8</v>
      </c>
      <c r="N555" t="s">
        <v>8</v>
      </c>
      <c r="P555">
        <f t="shared" si="984"/>
        <v>-0.18693800283956394</v>
      </c>
      <c r="Q555">
        <f t="shared" si="985"/>
        <v>-1545263.3579034493</v>
      </c>
      <c r="R555">
        <f t="shared" si="986"/>
        <v>109107196.25781384</v>
      </c>
      <c r="S555">
        <f t="shared" si="987"/>
        <v>1091.0719625781385</v>
      </c>
      <c r="T555">
        <f t="shared" si="988"/>
        <v>1.0910719625781384</v>
      </c>
    </row>
    <row r="556" spans="1:20" x14ac:dyDescent="0.25">
      <c r="A556" s="5">
        <v>44037</v>
      </c>
      <c r="B556">
        <v>3.0293999999999999</v>
      </c>
      <c r="C556">
        <v>3.1145999999999998</v>
      </c>
      <c r="D556">
        <v>3.0165999999999999</v>
      </c>
      <c r="E556">
        <v>3.0579000000000001</v>
      </c>
      <c r="F556">
        <v>6723244</v>
      </c>
      <c r="G556">
        <v>0</v>
      </c>
      <c r="L556" t="s">
        <v>7</v>
      </c>
      <c r="M556" t="s">
        <v>8</v>
      </c>
      <c r="N556" t="s">
        <v>8</v>
      </c>
      <c r="P556">
        <f t="shared" si="984"/>
        <v>-0.15714285714285364</v>
      </c>
      <c r="Q556">
        <f t="shared" si="985"/>
        <v>-1056509.7714285478</v>
      </c>
      <c r="R556">
        <f t="shared" si="986"/>
        <v>110652459.61571729</v>
      </c>
      <c r="S556">
        <f t="shared" si="987"/>
        <v>1106.5245961571729</v>
      </c>
      <c r="T556">
        <f t="shared" si="988"/>
        <v>1.106524596157173</v>
      </c>
    </row>
    <row r="557" spans="1:20" x14ac:dyDescent="0.25">
      <c r="A557" s="5">
        <v>44036</v>
      </c>
      <c r="B557">
        <v>3.1897000000000002</v>
      </c>
      <c r="C557">
        <v>3.1985000000000001</v>
      </c>
      <c r="D557">
        <v>2.9904000000000002</v>
      </c>
      <c r="E557">
        <v>3.0306000000000002</v>
      </c>
      <c r="F557">
        <v>8134878.8499999996</v>
      </c>
      <c r="G557">
        <v>0</v>
      </c>
      <c r="L557" t="s">
        <v>7</v>
      </c>
      <c r="M557" t="s">
        <v>8</v>
      </c>
      <c r="N557" t="s">
        <v>8</v>
      </c>
      <c r="P557">
        <f t="shared" si="984"/>
        <v>-0.61364728495915399</v>
      </c>
      <c r="Q557">
        <f t="shared" si="985"/>
        <v>-4991946.3197741443</v>
      </c>
      <c r="R557">
        <f t="shared" si="986"/>
        <v>111708969.38714585</v>
      </c>
      <c r="S557">
        <f t="shared" si="987"/>
        <v>1117.0896938714584</v>
      </c>
      <c r="T557">
        <f t="shared" si="988"/>
        <v>1.1170896938714583</v>
      </c>
    </row>
    <row r="558" spans="1:20" x14ac:dyDescent="0.25">
      <c r="A558" s="5">
        <v>44035</v>
      </c>
      <c r="B558">
        <v>3.1057000000000001</v>
      </c>
      <c r="C558">
        <v>3.2328999999999999</v>
      </c>
      <c r="D558">
        <v>3.0358999999999998</v>
      </c>
      <c r="E558">
        <v>3.1880999999999999</v>
      </c>
      <c r="F558">
        <v>8773163.7300000004</v>
      </c>
      <c r="G558">
        <v>0</v>
      </c>
      <c r="L558" t="s">
        <v>8</v>
      </c>
      <c r="M558" t="s">
        <v>8</v>
      </c>
      <c r="N558" t="s">
        <v>8</v>
      </c>
      <c r="P558">
        <f t="shared" si="984"/>
        <v>0.54517766497461995</v>
      </c>
      <c r="Q558">
        <f t="shared" si="985"/>
        <v>4782932.9167614272</v>
      </c>
      <c r="R558">
        <f t="shared" si="986"/>
        <v>116700915.70692</v>
      </c>
      <c r="S558">
        <f t="shared" si="987"/>
        <v>1167.0091570692</v>
      </c>
      <c r="T558">
        <f t="shared" si="988"/>
        <v>1.1670091570692001</v>
      </c>
    </row>
    <row r="559" spans="1:20" x14ac:dyDescent="0.25">
      <c r="A559" s="5">
        <v>44034</v>
      </c>
      <c r="B559">
        <v>3.0213000000000001</v>
      </c>
      <c r="C559">
        <v>3.1362000000000001</v>
      </c>
      <c r="D559">
        <v>2.9213</v>
      </c>
      <c r="E559">
        <v>3.1057000000000001</v>
      </c>
      <c r="F559">
        <v>6506792.7400000002</v>
      </c>
      <c r="G559">
        <v>0</v>
      </c>
      <c r="L559" t="s">
        <v>8</v>
      </c>
      <c r="M559" t="s">
        <v>8</v>
      </c>
      <c r="N559" t="s">
        <v>8</v>
      </c>
      <c r="P559">
        <f t="shared" si="984"/>
        <v>0.71614704513727356</v>
      </c>
      <c r="Q559">
        <f t="shared" si="985"/>
        <v>4659820.3940716637</v>
      </c>
      <c r="R559">
        <f t="shared" si="986"/>
        <v>111917982.79015857</v>
      </c>
      <c r="S559">
        <f t="shared" si="987"/>
        <v>1119.1798279015857</v>
      </c>
      <c r="T559">
        <f t="shared" si="988"/>
        <v>1.1191798279015857</v>
      </c>
    </row>
    <row r="560" spans="1:20" x14ac:dyDescent="0.25">
      <c r="A560" s="5">
        <v>44033</v>
      </c>
      <c r="B560">
        <v>2.7662</v>
      </c>
      <c r="C560">
        <v>3.0869</v>
      </c>
      <c r="D560">
        <v>2.7402000000000002</v>
      </c>
      <c r="E560">
        <v>3.0226999999999999</v>
      </c>
      <c r="F560">
        <v>9566379.8599999994</v>
      </c>
      <c r="G560">
        <v>0</v>
      </c>
      <c r="L560" t="s">
        <v>8</v>
      </c>
      <c r="M560" t="s">
        <v>8</v>
      </c>
      <c r="N560" t="s">
        <v>8</v>
      </c>
      <c r="P560">
        <f t="shared" si="984"/>
        <v>0.62965099509662492</v>
      </c>
      <c r="Q560">
        <f t="shared" si="985"/>
        <v>6023480.5983213112</v>
      </c>
      <c r="R560">
        <f t="shared" si="986"/>
        <v>107258162.3960869</v>
      </c>
      <c r="S560">
        <f t="shared" si="987"/>
        <v>1072.5816239608689</v>
      </c>
      <c r="T560">
        <f t="shared" si="988"/>
        <v>1.072581623960869</v>
      </c>
    </row>
    <row r="561" spans="1:104" x14ac:dyDescent="0.25">
      <c r="A561" s="5">
        <v>44032</v>
      </c>
      <c r="B561">
        <v>2.9864999999999999</v>
      </c>
      <c r="C561">
        <v>2.99</v>
      </c>
      <c r="D561">
        <v>2.65</v>
      </c>
      <c r="E561">
        <v>2.7682000000000002</v>
      </c>
      <c r="F561">
        <v>7217857.5800000001</v>
      </c>
      <c r="G561">
        <v>0</v>
      </c>
      <c r="L561" t="s">
        <v>7</v>
      </c>
      <c r="M561" t="s">
        <v>7</v>
      </c>
      <c r="N561" t="s">
        <v>8</v>
      </c>
      <c r="P561">
        <f t="shared" si="984"/>
        <v>-0.30470588235293999</v>
      </c>
      <c r="Q561">
        <f t="shared" si="985"/>
        <v>-2199323.662611756</v>
      </c>
      <c r="R561">
        <f t="shared" si="986"/>
        <v>101234681.7977656</v>
      </c>
      <c r="S561">
        <f t="shared" si="987"/>
        <v>1012.346817977656</v>
      </c>
      <c r="T561">
        <f t="shared" si="988"/>
        <v>1.012346817977656</v>
      </c>
      <c r="CZ561" t="s">
        <v>7</v>
      </c>
    </row>
    <row r="562" spans="1:104" x14ac:dyDescent="0.25">
      <c r="A562" s="5">
        <v>44031</v>
      </c>
      <c r="B562">
        <v>3.01</v>
      </c>
      <c r="C562">
        <v>3.0567000000000002</v>
      </c>
      <c r="D562">
        <v>2.8748</v>
      </c>
      <c r="E562">
        <v>2.9824999999999999</v>
      </c>
      <c r="F562">
        <v>6603205.1600000001</v>
      </c>
      <c r="G562">
        <v>0</v>
      </c>
      <c r="L562" t="s">
        <v>7</v>
      </c>
      <c r="M562" t="s">
        <v>8</v>
      </c>
      <c r="N562" t="s">
        <v>8</v>
      </c>
      <c r="P562">
        <f t="shared" si="984"/>
        <v>0.18416712479384062</v>
      </c>
      <c r="Q562">
        <f t="shared" si="985"/>
        <v>1216093.3087410524</v>
      </c>
      <c r="R562">
        <f t="shared" si="986"/>
        <v>103434005.46037735</v>
      </c>
      <c r="S562">
        <f t="shared" si="987"/>
        <v>1034.3400546037735</v>
      </c>
      <c r="T562">
        <f t="shared" si="988"/>
        <v>1.0343400546037735</v>
      </c>
      <c r="CZ562" t="s">
        <v>7</v>
      </c>
    </row>
    <row r="563" spans="1:104" x14ac:dyDescent="0.25">
      <c r="A563" s="5">
        <v>44030</v>
      </c>
      <c r="B563">
        <v>3.17</v>
      </c>
      <c r="C563">
        <v>3.1718999999999999</v>
      </c>
      <c r="D563">
        <v>2.9550000000000001</v>
      </c>
      <c r="E563">
        <v>3.0078999999999998</v>
      </c>
      <c r="F563">
        <v>8949150.2699999996</v>
      </c>
      <c r="G563">
        <v>0</v>
      </c>
      <c r="L563" t="s">
        <v>7</v>
      </c>
      <c r="M563" t="s">
        <v>8</v>
      </c>
      <c r="N563" t="s">
        <v>8</v>
      </c>
      <c r="P563">
        <f t="shared" si="984"/>
        <v>-0.51221761180267633</v>
      </c>
      <c r="Q563">
        <f t="shared" si="985"/>
        <v>-4583912.378962676</v>
      </c>
      <c r="R563">
        <f t="shared" si="986"/>
        <v>102217912.1516363</v>
      </c>
      <c r="S563">
        <f t="shared" si="987"/>
        <v>1022.179121516363</v>
      </c>
      <c r="T563">
        <f t="shared" si="988"/>
        <v>1.0221791215163629</v>
      </c>
      <c r="CZ563" t="s">
        <v>7</v>
      </c>
    </row>
    <row r="564" spans="1:104" x14ac:dyDescent="0.25">
      <c r="A564" s="5">
        <v>44029</v>
      </c>
      <c r="B564">
        <v>3.0988000000000002</v>
      </c>
      <c r="C564">
        <v>3.2282999999999999</v>
      </c>
      <c r="D564">
        <v>3.0045000000000002</v>
      </c>
      <c r="E564">
        <v>3.17</v>
      </c>
      <c r="F564">
        <v>10953166.57</v>
      </c>
      <c r="G564">
        <v>0</v>
      </c>
      <c r="L564" t="s">
        <v>7</v>
      </c>
      <c r="M564" t="s">
        <v>8</v>
      </c>
      <c r="N564" t="s">
        <v>8</v>
      </c>
      <c r="P564">
        <f t="shared" si="984"/>
        <v>0.47899910634495019</v>
      </c>
      <c r="Q564">
        <f t="shared" si="985"/>
        <v>5246556.9986773832</v>
      </c>
      <c r="R564">
        <f t="shared" si="986"/>
        <v>106801824.53059898</v>
      </c>
      <c r="S564">
        <f t="shared" si="987"/>
        <v>1068.0182453059899</v>
      </c>
      <c r="T564">
        <f t="shared" si="988"/>
        <v>1.0680182453059899</v>
      </c>
    </row>
    <row r="565" spans="1:104" x14ac:dyDescent="0.25">
      <c r="A565" s="5">
        <v>44028</v>
      </c>
      <c r="B565">
        <v>3.2158000000000002</v>
      </c>
      <c r="C565">
        <v>3.33</v>
      </c>
      <c r="D565">
        <v>2.9392999999999998</v>
      </c>
      <c r="E565">
        <v>3.101</v>
      </c>
      <c r="F565">
        <v>27940156.620000001</v>
      </c>
      <c r="G565">
        <v>0</v>
      </c>
      <c r="L565" t="s">
        <v>8</v>
      </c>
      <c r="M565" t="s">
        <v>8</v>
      </c>
      <c r="N565" t="s">
        <v>8</v>
      </c>
      <c r="P565">
        <f t="shared" si="984"/>
        <v>-0.1722549270540053</v>
      </c>
      <c r="Q565">
        <f t="shared" si="985"/>
        <v>-4812829.6404555831</v>
      </c>
      <c r="R565">
        <f t="shared" si="986"/>
        <v>101555267.5319216</v>
      </c>
      <c r="S565">
        <f t="shared" si="987"/>
        <v>1015.552675319216</v>
      </c>
      <c r="T565">
        <f t="shared" si="988"/>
        <v>1.0155526753192159</v>
      </c>
    </row>
    <row r="566" spans="1:104" x14ac:dyDescent="0.25">
      <c r="A566" s="5">
        <v>44027</v>
      </c>
      <c r="B566">
        <v>2.9575999999999998</v>
      </c>
      <c r="C566">
        <v>3.2246999999999999</v>
      </c>
      <c r="D566">
        <v>2.8544999999999998</v>
      </c>
      <c r="E566">
        <v>3.2149999999999999</v>
      </c>
      <c r="F566">
        <v>20177014.670000002</v>
      </c>
      <c r="G566">
        <v>0</v>
      </c>
      <c r="L566" t="s">
        <v>8</v>
      </c>
      <c r="M566" t="s">
        <v>8</v>
      </c>
      <c r="N566" t="s">
        <v>8</v>
      </c>
      <c r="P566">
        <f t="shared" si="984"/>
        <v>0.94759589411129097</v>
      </c>
      <c r="Q566">
        <f t="shared" si="985"/>
        <v>19119656.256715287</v>
      </c>
      <c r="R566">
        <f t="shared" si="986"/>
        <v>106368097.17237718</v>
      </c>
      <c r="S566">
        <f t="shared" si="987"/>
        <v>1063.6809717237718</v>
      </c>
      <c r="T566">
        <f t="shared" si="988"/>
        <v>1.0636809717237719</v>
      </c>
    </row>
    <row r="567" spans="1:104" x14ac:dyDescent="0.25">
      <c r="A567" s="5">
        <v>44026</v>
      </c>
      <c r="B567">
        <v>2.8999000000000001</v>
      </c>
      <c r="C567">
        <v>3.0577000000000001</v>
      </c>
      <c r="D567">
        <v>2.65</v>
      </c>
      <c r="E567">
        <v>2.9557000000000002</v>
      </c>
      <c r="F567">
        <v>17643592.77</v>
      </c>
      <c r="G567">
        <v>0</v>
      </c>
      <c r="L567" t="s">
        <v>7</v>
      </c>
      <c r="M567" t="s">
        <v>7</v>
      </c>
      <c r="N567" t="s">
        <v>8</v>
      </c>
      <c r="P567">
        <f t="shared" si="984"/>
        <v>0.49963208241354023</v>
      </c>
      <c r="Q567">
        <f t="shared" si="985"/>
        <v>8815304.9969315827</v>
      </c>
      <c r="R567">
        <f t="shared" si="986"/>
        <v>87248440.915661901</v>
      </c>
      <c r="S567">
        <f t="shared" si="987"/>
        <v>872.48440915661899</v>
      </c>
      <c r="T567">
        <f t="shared" si="988"/>
        <v>0.87248440915661896</v>
      </c>
    </row>
    <row r="568" spans="1:104" x14ac:dyDescent="0.25">
      <c r="A568" s="5">
        <v>44025</v>
      </c>
      <c r="B568">
        <v>2.8239999999999998</v>
      </c>
      <c r="C568">
        <v>3.1656</v>
      </c>
      <c r="D568">
        <v>2.7301000000000002</v>
      </c>
      <c r="E568">
        <v>2.8999000000000001</v>
      </c>
      <c r="F568">
        <v>28432184.809999999</v>
      </c>
      <c r="G568">
        <v>0</v>
      </c>
      <c r="L568" t="s">
        <v>8</v>
      </c>
      <c r="M568" t="s">
        <v>8</v>
      </c>
      <c r="N568" t="s">
        <v>8</v>
      </c>
      <c r="P568">
        <f t="shared" si="984"/>
        <v>-0.22020665901262898</v>
      </c>
      <c r="Q568">
        <f t="shared" si="985"/>
        <v>-6260956.4254397191</v>
      </c>
      <c r="R568">
        <f t="shared" si="986"/>
        <v>78433135.918730319</v>
      </c>
      <c r="S568">
        <f t="shared" si="987"/>
        <v>784.33135918730318</v>
      </c>
      <c r="T568">
        <f t="shared" si="988"/>
        <v>0.78433135918730312</v>
      </c>
    </row>
    <row r="569" spans="1:104" x14ac:dyDescent="0.25">
      <c r="A569" s="5">
        <v>44024</v>
      </c>
      <c r="B569">
        <v>2.6846000000000001</v>
      </c>
      <c r="C569">
        <v>2.8435000000000001</v>
      </c>
      <c r="D569">
        <v>2.5790000000000002</v>
      </c>
      <c r="E569">
        <v>2.8220999999999998</v>
      </c>
      <c r="F569">
        <v>8993238</v>
      </c>
      <c r="G569">
        <v>0</v>
      </c>
      <c r="L569" t="s">
        <v>8</v>
      </c>
      <c r="M569" t="s">
        <v>8</v>
      </c>
      <c r="N569" t="s">
        <v>8</v>
      </c>
      <c r="P569">
        <f t="shared" si="984"/>
        <v>0.83818525519848541</v>
      </c>
      <c r="Q569">
        <f t="shared" si="985"/>
        <v>7537999.4880907163</v>
      </c>
      <c r="R569">
        <f t="shared" si="986"/>
        <v>84694092.344170034</v>
      </c>
      <c r="S569">
        <f t="shared" si="987"/>
        <v>846.94092344170031</v>
      </c>
      <c r="T569">
        <f t="shared" si="988"/>
        <v>0.84694092344170036</v>
      </c>
    </row>
    <row r="570" spans="1:104" x14ac:dyDescent="0.25">
      <c r="A570" s="5">
        <v>44023</v>
      </c>
      <c r="B570">
        <v>2.5446</v>
      </c>
      <c r="C570">
        <v>2.7281</v>
      </c>
      <c r="D570">
        <v>2.508</v>
      </c>
      <c r="E570">
        <v>2.6819999999999999</v>
      </c>
      <c r="F570">
        <v>8129915.1799999997</v>
      </c>
      <c r="G570">
        <v>0</v>
      </c>
      <c r="L570" t="s">
        <v>8</v>
      </c>
      <c r="M570" t="s">
        <v>8</v>
      </c>
      <c r="N570" t="s">
        <v>8</v>
      </c>
      <c r="P570">
        <f t="shared" si="984"/>
        <v>0.58109950022716916</v>
      </c>
      <c r="Q570">
        <f t="shared" si="985"/>
        <v>4724289.6479872763</v>
      </c>
      <c r="R570">
        <f t="shared" si="986"/>
        <v>77156092.856079325</v>
      </c>
      <c r="S570">
        <f t="shared" si="987"/>
        <v>771.56092856079329</v>
      </c>
      <c r="T570">
        <f t="shared" si="988"/>
        <v>0.77156092856079328</v>
      </c>
    </row>
    <row r="571" spans="1:104" x14ac:dyDescent="0.25">
      <c r="A571" s="5">
        <v>44022</v>
      </c>
      <c r="B571">
        <v>2.5310000000000001</v>
      </c>
      <c r="C571">
        <v>2.5893000000000002</v>
      </c>
      <c r="D571">
        <v>2.4123000000000001</v>
      </c>
      <c r="E571">
        <v>2.5434000000000001</v>
      </c>
      <c r="F571">
        <v>4738087.57</v>
      </c>
      <c r="G571">
        <v>0</v>
      </c>
      <c r="L571" t="s">
        <v>7</v>
      </c>
      <c r="M571" t="s">
        <v>8</v>
      </c>
      <c r="N571" t="s">
        <v>8</v>
      </c>
      <c r="P571">
        <f t="shared" si="984"/>
        <v>0.4813559322033894</v>
      </c>
      <c r="Q571">
        <f t="shared" si="985"/>
        <v>2280706.559118642</v>
      </c>
      <c r="R571">
        <f t="shared" si="986"/>
        <v>72431803.208092049</v>
      </c>
      <c r="S571">
        <f t="shared" si="987"/>
        <v>724.31803208092049</v>
      </c>
      <c r="T571">
        <f t="shared" si="988"/>
        <v>0.72431803208092049</v>
      </c>
    </row>
    <row r="572" spans="1:104" x14ac:dyDescent="0.25">
      <c r="A572" s="5">
        <v>44021</v>
      </c>
      <c r="B572">
        <v>2.65</v>
      </c>
      <c r="C572">
        <v>2.6549999999999998</v>
      </c>
      <c r="D572">
        <v>2.4565999999999999</v>
      </c>
      <c r="E572">
        <v>2.5310000000000001</v>
      </c>
      <c r="F572">
        <v>6133723.3300000001</v>
      </c>
      <c r="G572">
        <v>0</v>
      </c>
      <c r="L572" t="s">
        <v>7</v>
      </c>
      <c r="M572" t="s">
        <v>8</v>
      </c>
      <c r="N572" t="s">
        <v>8</v>
      </c>
      <c r="P572">
        <f t="shared" si="984"/>
        <v>-0.2499999999999972</v>
      </c>
      <c r="Q572">
        <f t="shared" si="985"/>
        <v>-1533430.8324999828</v>
      </c>
      <c r="R572">
        <f t="shared" si="986"/>
        <v>70151096.648973405</v>
      </c>
      <c r="S572">
        <f t="shared" si="987"/>
        <v>701.51096648973407</v>
      </c>
      <c r="T572">
        <f t="shared" si="988"/>
        <v>0.7015109664897341</v>
      </c>
    </row>
    <row r="573" spans="1:104" x14ac:dyDescent="0.25">
      <c r="A573" s="5">
        <v>44020</v>
      </c>
      <c r="B573">
        <v>2.5105</v>
      </c>
      <c r="C573">
        <v>2.6949000000000001</v>
      </c>
      <c r="D573">
        <v>2.4813000000000001</v>
      </c>
      <c r="E573">
        <v>2.6520000000000001</v>
      </c>
      <c r="F573">
        <v>7137033.6399999997</v>
      </c>
      <c r="G573">
        <v>0</v>
      </c>
      <c r="L573" t="s">
        <v>8</v>
      </c>
      <c r="M573" t="s">
        <v>8</v>
      </c>
      <c r="N573" t="s">
        <v>8</v>
      </c>
      <c r="P573">
        <f t="shared" si="984"/>
        <v>0.59831460674157366</v>
      </c>
      <c r="Q573">
        <f t="shared" si="985"/>
        <v>4270191.4756179815</v>
      </c>
      <c r="R573">
        <f t="shared" si="986"/>
        <v>71684527.481473386</v>
      </c>
      <c r="S573">
        <f t="shared" si="987"/>
        <v>716.8452748147339</v>
      </c>
      <c r="T573">
        <f t="shared" si="988"/>
        <v>0.71684527481473392</v>
      </c>
    </row>
    <row r="574" spans="1:104" x14ac:dyDescent="0.25">
      <c r="A574" s="5">
        <v>44019</v>
      </c>
      <c r="B574">
        <v>2.44</v>
      </c>
      <c r="C574">
        <v>2.5884999999999998</v>
      </c>
      <c r="D574">
        <v>2.4037000000000002</v>
      </c>
      <c r="E574">
        <v>2.5105</v>
      </c>
      <c r="F574">
        <v>5995657.3799999999</v>
      </c>
      <c r="G574">
        <v>0</v>
      </c>
      <c r="L574" t="s">
        <v>8</v>
      </c>
      <c r="M574" t="s">
        <v>7</v>
      </c>
      <c r="N574" t="s">
        <v>8</v>
      </c>
      <c r="P574">
        <f t="shared" si="984"/>
        <v>0.15584415584415581</v>
      </c>
      <c r="Q574">
        <f t="shared" si="985"/>
        <v>934388.1631168829</v>
      </c>
      <c r="R574">
        <f t="shared" si="986"/>
        <v>67414336.005855411</v>
      </c>
      <c r="S574">
        <f t="shared" si="987"/>
        <v>674.14336005855409</v>
      </c>
      <c r="T574">
        <f t="shared" si="988"/>
        <v>0.67414336005855413</v>
      </c>
    </row>
    <row r="575" spans="1:104" x14ac:dyDescent="0.25">
      <c r="A575" s="5">
        <v>44018</v>
      </c>
      <c r="B575">
        <v>2.2864</v>
      </c>
      <c r="C575">
        <v>2.4643000000000002</v>
      </c>
      <c r="D575">
        <v>2.2656000000000001</v>
      </c>
      <c r="E575">
        <v>2.4388000000000001</v>
      </c>
      <c r="F575">
        <v>4277815.55</v>
      </c>
      <c r="G575">
        <v>0</v>
      </c>
      <c r="L575" t="s">
        <v>8</v>
      </c>
      <c r="M575" t="s">
        <v>7</v>
      </c>
      <c r="N575" t="s">
        <v>8</v>
      </c>
      <c r="P575">
        <f t="shared" si="984"/>
        <v>0.7433316557624553</v>
      </c>
      <c r="Q575">
        <f t="shared" si="985"/>
        <v>3179835.7158278781</v>
      </c>
      <c r="R575">
        <f t="shared" si="986"/>
        <v>66479947.842738524</v>
      </c>
      <c r="S575">
        <f t="shared" si="987"/>
        <v>664.79947842738522</v>
      </c>
      <c r="T575">
        <f t="shared" si="988"/>
        <v>0.66479947842738518</v>
      </c>
    </row>
    <row r="576" spans="1:104" x14ac:dyDescent="0.25">
      <c r="A576" s="5">
        <v>44017</v>
      </c>
      <c r="B576">
        <v>2.3283</v>
      </c>
      <c r="C576">
        <v>2.3296000000000001</v>
      </c>
      <c r="D576">
        <v>2.2080000000000002</v>
      </c>
      <c r="E576">
        <v>2.2844000000000002</v>
      </c>
      <c r="F576">
        <v>2847471.3</v>
      </c>
      <c r="G576">
        <v>0</v>
      </c>
      <c r="L576" t="s">
        <v>7</v>
      </c>
      <c r="M576" t="s">
        <v>7</v>
      </c>
      <c r="N576" t="s">
        <v>8</v>
      </c>
      <c r="P576">
        <f t="shared" si="984"/>
        <v>0.25657894736842218</v>
      </c>
      <c r="Q576">
        <f t="shared" si="985"/>
        <v>730601.18881579267</v>
      </c>
      <c r="R576">
        <f t="shared" si="986"/>
        <v>63300112.126910649</v>
      </c>
      <c r="S576">
        <f t="shared" si="987"/>
        <v>633.00112126910653</v>
      </c>
      <c r="T576">
        <f t="shared" si="988"/>
        <v>0.63300112126910657</v>
      </c>
    </row>
    <row r="577" spans="1:20" x14ac:dyDescent="0.25">
      <c r="A577" s="5">
        <v>44016</v>
      </c>
      <c r="B577">
        <v>2.2746</v>
      </c>
      <c r="C577">
        <v>2.3546</v>
      </c>
      <c r="D577">
        <v>2.27</v>
      </c>
      <c r="E577">
        <v>2.3294000000000001</v>
      </c>
      <c r="F577">
        <v>1815279.4</v>
      </c>
      <c r="G577">
        <v>0</v>
      </c>
      <c r="L577" t="s">
        <v>7</v>
      </c>
      <c r="M577" t="s">
        <v>7</v>
      </c>
      <c r="N577" t="s">
        <v>8</v>
      </c>
      <c r="P577">
        <f t="shared" si="984"/>
        <v>0.40425531914893886</v>
      </c>
      <c r="Q577">
        <f t="shared" si="985"/>
        <v>733836.35319149424</v>
      </c>
      <c r="R577">
        <f t="shared" si="986"/>
        <v>62569510.938094854</v>
      </c>
      <c r="S577">
        <f t="shared" si="987"/>
        <v>625.69510938094857</v>
      </c>
      <c r="T577">
        <f t="shared" si="988"/>
        <v>0.62569510938094852</v>
      </c>
    </row>
    <row r="578" spans="1:20" x14ac:dyDescent="0.25">
      <c r="A578" s="5">
        <v>44015</v>
      </c>
      <c r="B578">
        <v>2.3332000000000002</v>
      </c>
      <c r="C578">
        <v>2.3517000000000001</v>
      </c>
      <c r="D578">
        <v>2.2715999999999998</v>
      </c>
      <c r="E578">
        <v>2.2764000000000002</v>
      </c>
      <c r="F578">
        <v>2696463.25</v>
      </c>
      <c r="G578">
        <v>0</v>
      </c>
      <c r="L578" t="s">
        <v>7</v>
      </c>
      <c r="M578" t="s">
        <v>7</v>
      </c>
      <c r="N578" t="s">
        <v>8</v>
      </c>
      <c r="P578">
        <f t="shared" si="984"/>
        <v>-0.88014981273407389</v>
      </c>
      <c r="Q578">
        <f t="shared" si="985"/>
        <v>-2373291.624531812</v>
      </c>
      <c r="R578">
        <f t="shared" si="986"/>
        <v>61835674.584903359</v>
      </c>
      <c r="S578">
        <f t="shared" si="987"/>
        <v>618.35674584903359</v>
      </c>
      <c r="T578">
        <f t="shared" si="988"/>
        <v>0.61835674584903355</v>
      </c>
    </row>
    <row r="579" spans="1:20" x14ac:dyDescent="0.25">
      <c r="A579" s="5">
        <v>44014</v>
      </c>
      <c r="B579">
        <v>2.4001999999999999</v>
      </c>
      <c r="C579">
        <v>2.4070999999999998</v>
      </c>
      <c r="D579">
        <v>2.2711999999999999</v>
      </c>
      <c r="E579">
        <v>2.3347000000000002</v>
      </c>
      <c r="F579">
        <v>3181763.78</v>
      </c>
      <c r="G579">
        <v>0</v>
      </c>
      <c r="L579" t="s">
        <v>7</v>
      </c>
      <c r="M579" t="s">
        <v>7</v>
      </c>
      <c r="N579" t="s">
        <v>8</v>
      </c>
      <c r="P579">
        <f t="shared" si="984"/>
        <v>-6.548933038998711E-2</v>
      </c>
      <c r="Q579">
        <f t="shared" si="985"/>
        <v>-208371.57941131425</v>
      </c>
      <c r="R579">
        <f t="shared" si="986"/>
        <v>64208966.209435172</v>
      </c>
      <c r="S579">
        <f t="shared" si="987"/>
        <v>642.08966209435175</v>
      </c>
      <c r="T579">
        <f t="shared" si="988"/>
        <v>0.6420896620943517</v>
      </c>
    </row>
    <row r="580" spans="1:20" x14ac:dyDescent="0.25">
      <c r="A580" s="5">
        <v>44013</v>
      </c>
      <c r="B580">
        <v>2.3584000000000001</v>
      </c>
      <c r="C580">
        <v>2.4462999999999999</v>
      </c>
      <c r="D580">
        <v>2.335</v>
      </c>
      <c r="E580">
        <v>2.3984999999999999</v>
      </c>
      <c r="F580">
        <v>2954992.78</v>
      </c>
      <c r="G580">
        <v>0</v>
      </c>
      <c r="L580" t="s">
        <v>8</v>
      </c>
      <c r="M580" t="s">
        <v>7</v>
      </c>
      <c r="N580" t="s">
        <v>8</v>
      </c>
      <c r="P580">
        <f t="shared" si="984"/>
        <v>0.14106019766396974</v>
      </c>
      <c r="Q580">
        <f t="shared" si="985"/>
        <v>416831.86564240343</v>
      </c>
      <c r="R580">
        <f t="shared" si="986"/>
        <v>64417337.788846485</v>
      </c>
      <c r="S580">
        <f t="shared" si="987"/>
        <v>644.17337788846487</v>
      </c>
      <c r="T580">
        <f t="shared" si="988"/>
        <v>0.64417337788846485</v>
      </c>
    </row>
    <row r="581" spans="1:20" x14ac:dyDescent="0.25">
      <c r="A581" s="5">
        <v>44012</v>
      </c>
      <c r="B581">
        <v>2.4113000000000002</v>
      </c>
      <c r="C581">
        <v>2.4171</v>
      </c>
      <c r="D581">
        <v>2.3540000000000001</v>
      </c>
      <c r="E581">
        <v>2.3576000000000001</v>
      </c>
      <c r="F581">
        <v>1929727.79</v>
      </c>
      <c r="G581">
        <v>0</v>
      </c>
      <c r="L581" t="s">
        <v>8</v>
      </c>
      <c r="M581" t="s">
        <v>7</v>
      </c>
      <c r="N581" t="s">
        <v>8</v>
      </c>
      <c r="P581">
        <f t="shared" si="984"/>
        <v>-0.8858954041204421</v>
      </c>
      <c r="Q581">
        <f t="shared" si="985"/>
        <v>-1709536.9803644978</v>
      </c>
      <c r="R581">
        <f t="shared" si="986"/>
        <v>64000505.923204079</v>
      </c>
      <c r="S581">
        <f t="shared" si="987"/>
        <v>640.00505923204082</v>
      </c>
      <c r="T581">
        <f t="shared" si="988"/>
        <v>0.64000505923204087</v>
      </c>
    </row>
    <row r="582" spans="1:20" x14ac:dyDescent="0.25">
      <c r="A582" s="5">
        <v>44011</v>
      </c>
      <c r="B582">
        <v>2.3700999999999999</v>
      </c>
      <c r="C582">
        <v>2.4430999999999998</v>
      </c>
      <c r="D582">
        <v>2.3429000000000002</v>
      </c>
      <c r="E582">
        <v>2.4121999999999999</v>
      </c>
      <c r="F582">
        <v>2648944.2000000002</v>
      </c>
      <c r="G582">
        <v>0</v>
      </c>
      <c r="L582" t="s">
        <v>8</v>
      </c>
      <c r="M582" t="s">
        <v>7</v>
      </c>
      <c r="N582" t="s">
        <v>8</v>
      </c>
      <c r="P582">
        <f t="shared" ref="P582:P645" si="989">IF(C582=D582,0,((E582-D582)-(C582-E582))/(C582-D582))</f>
        <v>0.38323353293413087</v>
      </c>
      <c r="Q582">
        <f t="shared" ref="Q582:Q645" si="990">F582*P582</f>
        <v>1015164.2443113751</v>
      </c>
      <c r="R582">
        <f t="shared" ref="R582:R645" si="991">R583+Q582</f>
        <v>65710042.903568573</v>
      </c>
      <c r="S582">
        <f t="shared" ref="S582:S645" si="992">R582/100000</f>
        <v>657.10042903568569</v>
      </c>
      <c r="T582">
        <f t="shared" ref="T582:T645" si="993">S582/1000</f>
        <v>0.65710042903568566</v>
      </c>
    </row>
    <row r="583" spans="1:20" x14ac:dyDescent="0.25">
      <c r="A583" s="5">
        <v>44010</v>
      </c>
      <c r="B583">
        <v>2.3132999999999999</v>
      </c>
      <c r="C583">
        <v>2.4342999999999999</v>
      </c>
      <c r="D583">
        <v>2.2835999999999999</v>
      </c>
      <c r="E583">
        <v>2.3679000000000001</v>
      </c>
      <c r="F583">
        <v>3054341.23</v>
      </c>
      <c r="G583">
        <v>0</v>
      </c>
      <c r="L583" t="s">
        <v>8</v>
      </c>
      <c r="M583" t="s">
        <v>7</v>
      </c>
      <c r="N583" t="s">
        <v>8</v>
      </c>
      <c r="P583">
        <f t="shared" si="989"/>
        <v>0.1187790311877934</v>
      </c>
      <c r="Q583">
        <f t="shared" si="990"/>
        <v>362791.69221633323</v>
      </c>
      <c r="R583">
        <f t="shared" si="991"/>
        <v>64694878.659257196</v>
      </c>
      <c r="S583">
        <f t="shared" si="992"/>
        <v>646.94878659257199</v>
      </c>
      <c r="T583">
        <f t="shared" si="993"/>
        <v>0.64694878659257204</v>
      </c>
    </row>
    <row r="584" spans="1:20" x14ac:dyDescent="0.25">
      <c r="A584" s="5">
        <v>44009</v>
      </c>
      <c r="B584">
        <v>2.4866999999999999</v>
      </c>
      <c r="C584">
        <v>2.4952000000000001</v>
      </c>
      <c r="D584">
        <v>2.25</v>
      </c>
      <c r="E584">
        <v>2.3132000000000001</v>
      </c>
      <c r="F584">
        <v>5058239.17</v>
      </c>
      <c r="G584">
        <v>0</v>
      </c>
      <c r="L584" t="s">
        <v>7</v>
      </c>
      <c r="M584" t="s">
        <v>7</v>
      </c>
      <c r="N584" t="s">
        <v>8</v>
      </c>
      <c r="P584">
        <f t="shared" si="989"/>
        <v>-0.48450244698205447</v>
      </c>
      <c r="Q584">
        <f t="shared" si="990"/>
        <v>-2450729.2552854763</v>
      </c>
      <c r="R584">
        <f t="shared" si="991"/>
        <v>64332086.967040859</v>
      </c>
      <c r="S584">
        <f t="shared" si="992"/>
        <v>643.32086967040857</v>
      </c>
      <c r="T584">
        <f t="shared" si="993"/>
        <v>0.64332086967040858</v>
      </c>
    </row>
    <row r="585" spans="1:20" x14ac:dyDescent="0.25">
      <c r="A585" s="5">
        <v>44008</v>
      </c>
      <c r="B585">
        <v>2.5781000000000001</v>
      </c>
      <c r="C585">
        <v>2.5800999999999998</v>
      </c>
      <c r="D585">
        <v>2.4437000000000002</v>
      </c>
      <c r="E585">
        <v>2.4849000000000001</v>
      </c>
      <c r="F585">
        <v>6152130.2400000002</v>
      </c>
      <c r="G585">
        <v>0</v>
      </c>
      <c r="L585" t="s">
        <v>7</v>
      </c>
      <c r="M585" t="s">
        <v>8</v>
      </c>
      <c r="N585" t="s">
        <v>8</v>
      </c>
      <c r="P585">
        <f t="shared" si="989"/>
        <v>-0.39589442815249248</v>
      </c>
      <c r="Q585">
        <f t="shared" si="990"/>
        <v>-2435594.0832844563</v>
      </c>
      <c r="R585">
        <f t="shared" si="991"/>
        <v>66782816.222326338</v>
      </c>
      <c r="S585">
        <f t="shared" si="992"/>
        <v>667.82816222326335</v>
      </c>
      <c r="T585">
        <f t="shared" si="993"/>
        <v>0.66782816222326336</v>
      </c>
    </row>
    <row r="586" spans="1:20" x14ac:dyDescent="0.25">
      <c r="A586" s="5">
        <v>44007</v>
      </c>
      <c r="B586">
        <v>2.6259999999999999</v>
      </c>
      <c r="C586">
        <v>2.6520000000000001</v>
      </c>
      <c r="D586">
        <v>2.524</v>
      </c>
      <c r="E586">
        <v>2.5790000000000002</v>
      </c>
      <c r="F586">
        <v>3537435.94</v>
      </c>
      <c r="G586">
        <v>0</v>
      </c>
      <c r="L586" t="s">
        <v>7</v>
      </c>
      <c r="M586" t="s">
        <v>8</v>
      </c>
      <c r="N586" t="s">
        <v>8</v>
      </c>
      <c r="P586">
        <f t="shared" si="989"/>
        <v>-0.14062499999999828</v>
      </c>
      <c r="Q586">
        <f t="shared" si="990"/>
        <v>-497451.9290624939</v>
      </c>
      <c r="R586">
        <f t="shared" si="991"/>
        <v>69218410.305610791</v>
      </c>
      <c r="S586">
        <f t="shared" si="992"/>
        <v>692.18410305610792</v>
      </c>
      <c r="T586">
        <f t="shared" si="993"/>
        <v>0.69218410305610789</v>
      </c>
    </row>
    <row r="587" spans="1:20" x14ac:dyDescent="0.25">
      <c r="A587" s="5">
        <v>44006</v>
      </c>
      <c r="B587">
        <v>2.7829999999999999</v>
      </c>
      <c r="C587">
        <v>2.86</v>
      </c>
      <c r="D587">
        <v>2.5819999999999999</v>
      </c>
      <c r="E587">
        <v>2.6265000000000001</v>
      </c>
      <c r="F587">
        <v>6945210.0899999999</v>
      </c>
      <c r="G587">
        <v>0</v>
      </c>
      <c r="L587" t="s">
        <v>8</v>
      </c>
      <c r="M587" t="s">
        <v>8</v>
      </c>
      <c r="N587" t="s">
        <v>8</v>
      </c>
      <c r="P587">
        <f t="shared" si="989"/>
        <v>-0.67985611510791222</v>
      </c>
      <c r="Q587">
        <f t="shared" si="990"/>
        <v>-4721743.5503956731</v>
      </c>
      <c r="R587">
        <f t="shared" si="991"/>
        <v>69715862.234673291</v>
      </c>
      <c r="S587">
        <f t="shared" si="992"/>
        <v>697.15862234673295</v>
      </c>
      <c r="T587">
        <f t="shared" si="993"/>
        <v>0.69715862234673298</v>
      </c>
    </row>
    <row r="588" spans="1:20" x14ac:dyDescent="0.25">
      <c r="A588" s="5">
        <v>44005</v>
      </c>
      <c r="B588">
        <v>2.6816</v>
      </c>
      <c r="C588">
        <v>2.7955000000000001</v>
      </c>
      <c r="D588">
        <v>2.6354000000000002</v>
      </c>
      <c r="E588">
        <v>2.7837000000000001</v>
      </c>
      <c r="F588">
        <v>4716888.2</v>
      </c>
      <c r="G588">
        <v>0</v>
      </c>
      <c r="L588" t="s">
        <v>8</v>
      </c>
      <c r="M588" t="s">
        <v>8</v>
      </c>
      <c r="N588" t="s">
        <v>8</v>
      </c>
      <c r="P588">
        <f t="shared" si="989"/>
        <v>0.85259212991880029</v>
      </c>
      <c r="Q588">
        <f t="shared" si="990"/>
        <v>4021581.7570268563</v>
      </c>
      <c r="R588">
        <f t="shared" si="991"/>
        <v>74437605.785068959</v>
      </c>
      <c r="S588">
        <f t="shared" si="992"/>
        <v>744.37605785068956</v>
      </c>
      <c r="T588">
        <f t="shared" si="993"/>
        <v>0.74437605785068961</v>
      </c>
    </row>
    <row r="589" spans="1:20" x14ac:dyDescent="0.25">
      <c r="A589" s="5">
        <v>44004</v>
      </c>
      <c r="B589">
        <v>2.5897999999999999</v>
      </c>
      <c r="C589">
        <v>2.7059000000000002</v>
      </c>
      <c r="D589">
        <v>2.5749</v>
      </c>
      <c r="E589">
        <v>2.68</v>
      </c>
      <c r="F589">
        <v>2202920.15</v>
      </c>
      <c r="G589">
        <v>0</v>
      </c>
      <c r="L589" t="s">
        <v>8</v>
      </c>
      <c r="M589" t="s">
        <v>7</v>
      </c>
      <c r="N589" t="s">
        <v>8</v>
      </c>
      <c r="P589">
        <f t="shared" si="989"/>
        <v>0.60458015267175591</v>
      </c>
      <c r="Q589">
        <f t="shared" si="990"/>
        <v>1331841.8006106874</v>
      </c>
      <c r="R589">
        <f t="shared" si="991"/>
        <v>70416024.028042108</v>
      </c>
      <c r="S589">
        <f t="shared" si="992"/>
        <v>704.16024028042102</v>
      </c>
      <c r="T589">
        <f t="shared" si="993"/>
        <v>0.70416024028042101</v>
      </c>
    </row>
    <row r="590" spans="1:20" x14ac:dyDescent="0.25">
      <c r="A590" s="5">
        <v>44003</v>
      </c>
      <c r="B590">
        <v>2.6149</v>
      </c>
      <c r="C590">
        <v>2.6315</v>
      </c>
      <c r="D590">
        <v>2.5758000000000001</v>
      </c>
      <c r="E590">
        <v>2.5895000000000001</v>
      </c>
      <c r="F590">
        <v>1224225.08</v>
      </c>
      <c r="G590">
        <v>0</v>
      </c>
      <c r="L590" t="s">
        <v>7</v>
      </c>
      <c r="M590" t="s">
        <v>7</v>
      </c>
      <c r="N590" t="s">
        <v>8</v>
      </c>
      <c r="P590">
        <f t="shared" si="989"/>
        <v>-0.50807899461400075</v>
      </c>
      <c r="Q590">
        <f t="shared" si="990"/>
        <v>-622003.04782764462</v>
      </c>
      <c r="R590">
        <f t="shared" si="991"/>
        <v>69084182.227431417</v>
      </c>
      <c r="S590">
        <f t="shared" si="992"/>
        <v>690.84182227431415</v>
      </c>
      <c r="T590">
        <f t="shared" si="993"/>
        <v>0.69084182227431412</v>
      </c>
    </row>
    <row r="591" spans="1:20" x14ac:dyDescent="0.25">
      <c r="A591" s="5">
        <v>44002</v>
      </c>
      <c r="B591">
        <v>2.6234000000000002</v>
      </c>
      <c r="C591">
        <v>2.6560999999999999</v>
      </c>
      <c r="D591">
        <v>2.5329999999999999</v>
      </c>
      <c r="E591">
        <v>2.6162000000000001</v>
      </c>
      <c r="F591">
        <v>2117363.13</v>
      </c>
      <c r="G591">
        <v>0</v>
      </c>
      <c r="L591" t="s">
        <v>7</v>
      </c>
      <c r="M591" t="s">
        <v>7</v>
      </c>
      <c r="N591" t="s">
        <v>8</v>
      </c>
      <c r="P591">
        <f t="shared" si="989"/>
        <v>0.35174654752234236</v>
      </c>
      <c r="Q591">
        <f t="shared" si="990"/>
        <v>744775.17082860053</v>
      </c>
      <c r="R591">
        <f t="shared" si="991"/>
        <v>69706185.275259063</v>
      </c>
      <c r="S591">
        <f t="shared" si="992"/>
        <v>697.06185275259065</v>
      </c>
      <c r="T591">
        <f t="shared" si="993"/>
        <v>0.69706185275259069</v>
      </c>
    </row>
    <row r="592" spans="1:20" x14ac:dyDescent="0.25">
      <c r="A592" s="5">
        <v>44001</v>
      </c>
      <c r="B592">
        <v>2.6634000000000002</v>
      </c>
      <c r="C592">
        <v>2.7174</v>
      </c>
      <c r="D592">
        <v>2.6111</v>
      </c>
      <c r="E592">
        <v>2.6246999999999998</v>
      </c>
      <c r="F592">
        <v>3630285.65</v>
      </c>
      <c r="G592">
        <v>0</v>
      </c>
      <c r="L592" t="s">
        <v>8</v>
      </c>
      <c r="M592" t="s">
        <v>7</v>
      </c>
      <c r="N592" t="s">
        <v>8</v>
      </c>
      <c r="P592">
        <f t="shared" si="989"/>
        <v>-0.7441204139228631</v>
      </c>
      <c r="Q592">
        <f t="shared" si="990"/>
        <v>-2701369.6605362301</v>
      </c>
      <c r="R592">
        <f t="shared" si="991"/>
        <v>68961410.104430467</v>
      </c>
      <c r="S592">
        <f t="shared" si="992"/>
        <v>689.61410104430468</v>
      </c>
      <c r="T592">
        <f t="shared" si="993"/>
        <v>0.68961410104430465</v>
      </c>
    </row>
    <row r="593" spans="1:20" x14ac:dyDescent="0.25">
      <c r="A593" s="5">
        <v>44000</v>
      </c>
      <c r="B593">
        <v>2.6791</v>
      </c>
      <c r="C593">
        <v>2.7829999999999999</v>
      </c>
      <c r="D593">
        <v>2.5522</v>
      </c>
      <c r="E593">
        <v>2.6625000000000001</v>
      </c>
      <c r="F593">
        <v>6237304.8200000003</v>
      </c>
      <c r="G593">
        <v>0</v>
      </c>
      <c r="L593" t="s">
        <v>8</v>
      </c>
      <c r="M593" t="s">
        <v>7</v>
      </c>
      <c r="N593" t="s">
        <v>8</v>
      </c>
      <c r="P593">
        <f t="shared" si="989"/>
        <v>-4.4194107452338691E-2</v>
      </c>
      <c r="Q593">
        <f t="shared" si="990"/>
        <v>-275652.11942807003</v>
      </c>
      <c r="R593">
        <f t="shared" si="991"/>
        <v>71662779.764966697</v>
      </c>
      <c r="S593">
        <f t="shared" si="992"/>
        <v>716.62779764966695</v>
      </c>
      <c r="T593">
        <f t="shared" si="993"/>
        <v>0.716627797649667</v>
      </c>
    </row>
    <row r="594" spans="1:20" x14ac:dyDescent="0.25">
      <c r="A594" s="5">
        <v>43999</v>
      </c>
      <c r="B594">
        <v>2.6137999999999999</v>
      </c>
      <c r="C594">
        <v>2.6956000000000002</v>
      </c>
      <c r="D594">
        <v>2.5449999999999999</v>
      </c>
      <c r="E594">
        <v>2.6791</v>
      </c>
      <c r="F594">
        <v>2987433.74</v>
      </c>
      <c r="G594">
        <v>0</v>
      </c>
      <c r="L594" t="s">
        <v>8</v>
      </c>
      <c r="M594" t="s">
        <v>7</v>
      </c>
      <c r="N594" t="s">
        <v>8</v>
      </c>
      <c r="P594">
        <f t="shared" si="989"/>
        <v>0.78087649402390236</v>
      </c>
      <c r="Q594">
        <f t="shared" si="990"/>
        <v>2332816.7850199146</v>
      </c>
      <c r="R594">
        <f t="shared" si="991"/>
        <v>71938431.884394765</v>
      </c>
      <c r="S594">
        <f t="shared" si="992"/>
        <v>719.38431884394765</v>
      </c>
      <c r="T594">
        <f t="shared" si="993"/>
        <v>0.7193843188439476</v>
      </c>
    </row>
    <row r="595" spans="1:20" x14ac:dyDescent="0.25">
      <c r="A595" s="5">
        <v>43998</v>
      </c>
      <c r="B595">
        <v>2.6278999999999999</v>
      </c>
      <c r="C595">
        <v>2.6714000000000002</v>
      </c>
      <c r="D595">
        <v>2.5642999999999998</v>
      </c>
      <c r="E595">
        <v>2.613</v>
      </c>
      <c r="F595">
        <v>2307407.8199999998</v>
      </c>
      <c r="G595">
        <v>0</v>
      </c>
      <c r="L595" t="s">
        <v>8</v>
      </c>
      <c r="M595" t="s">
        <v>7</v>
      </c>
      <c r="N595" t="s">
        <v>8</v>
      </c>
      <c r="P595">
        <f t="shared" si="989"/>
        <v>-9.0569561157796491E-2</v>
      </c>
      <c r="Q595">
        <f t="shared" si="990"/>
        <v>-208980.91366946787</v>
      </c>
      <c r="R595">
        <f t="shared" si="991"/>
        <v>69605615.099374846</v>
      </c>
      <c r="S595">
        <f t="shared" si="992"/>
        <v>696.05615099374847</v>
      </c>
      <c r="T595">
        <f t="shared" si="993"/>
        <v>0.69605615099374851</v>
      </c>
    </row>
    <row r="596" spans="1:20" x14ac:dyDescent="0.25">
      <c r="A596" s="5">
        <v>43997</v>
      </c>
      <c r="B596">
        <v>2.5863</v>
      </c>
      <c r="C596">
        <v>2.6840999999999999</v>
      </c>
      <c r="D596">
        <v>2.3902000000000001</v>
      </c>
      <c r="E596">
        <v>2.6278999999999999</v>
      </c>
      <c r="F596">
        <v>3864361.25</v>
      </c>
      <c r="G596">
        <v>0</v>
      </c>
      <c r="L596" t="s">
        <v>7</v>
      </c>
      <c r="M596" t="s">
        <v>7</v>
      </c>
      <c r="N596" t="s">
        <v>8</v>
      </c>
      <c r="P596">
        <f t="shared" si="989"/>
        <v>0.61755699217420845</v>
      </c>
      <c r="Q596">
        <f t="shared" si="990"/>
        <v>2386463.3102245643</v>
      </c>
      <c r="R596">
        <f t="shared" si="991"/>
        <v>69814596.013044313</v>
      </c>
      <c r="S596">
        <f t="shared" si="992"/>
        <v>698.14596013044309</v>
      </c>
      <c r="T596">
        <f t="shared" si="993"/>
        <v>0.69814596013044306</v>
      </c>
    </row>
    <row r="597" spans="1:20" x14ac:dyDescent="0.25">
      <c r="A597" s="5">
        <v>43996</v>
      </c>
      <c r="B597">
        <v>2.6955</v>
      </c>
      <c r="C597">
        <v>2.6989999999999998</v>
      </c>
      <c r="D597">
        <v>2.5526</v>
      </c>
      <c r="E597">
        <v>2.5882999999999998</v>
      </c>
      <c r="F597">
        <v>1506020.99</v>
      </c>
      <c r="G597">
        <v>0</v>
      </c>
      <c r="L597" t="s">
        <v>7</v>
      </c>
      <c r="M597" t="s">
        <v>7</v>
      </c>
      <c r="N597" t="s">
        <v>8</v>
      </c>
      <c r="P597">
        <f t="shared" si="989"/>
        <v>-0.51229508196721485</v>
      </c>
      <c r="Q597">
        <f t="shared" si="990"/>
        <v>-771527.14651639608</v>
      </c>
      <c r="R597">
        <f t="shared" si="991"/>
        <v>67428132.70281975</v>
      </c>
      <c r="S597">
        <f t="shared" si="992"/>
        <v>674.28132702819755</v>
      </c>
      <c r="T597">
        <f t="shared" si="993"/>
        <v>0.67428132702819754</v>
      </c>
    </row>
    <row r="598" spans="1:20" x14ac:dyDescent="0.25">
      <c r="A598" s="5">
        <v>43995</v>
      </c>
      <c r="B598">
        <v>2.6680000000000001</v>
      </c>
      <c r="C598">
        <v>2.7238000000000002</v>
      </c>
      <c r="D598">
        <v>2.6377999999999999</v>
      </c>
      <c r="E598">
        <v>2.6953</v>
      </c>
      <c r="F598">
        <v>1585551.33</v>
      </c>
      <c r="G598">
        <v>0</v>
      </c>
      <c r="L598" t="s">
        <v>8</v>
      </c>
      <c r="M598" t="s">
        <v>7</v>
      </c>
      <c r="N598" t="s">
        <v>8</v>
      </c>
      <c r="P598">
        <f t="shared" si="989"/>
        <v>0.33720930232557922</v>
      </c>
      <c r="Q598">
        <f t="shared" si="990"/>
        <v>534662.65779069427</v>
      </c>
      <c r="R598">
        <f t="shared" si="991"/>
        <v>68199659.849336147</v>
      </c>
      <c r="S598">
        <f t="shared" si="992"/>
        <v>681.99659849336149</v>
      </c>
      <c r="T598">
        <f t="shared" si="993"/>
        <v>0.68199659849336147</v>
      </c>
    </row>
    <row r="599" spans="1:20" x14ac:dyDescent="0.25">
      <c r="A599" s="5">
        <v>43994</v>
      </c>
      <c r="B599">
        <v>2.6133000000000002</v>
      </c>
      <c r="C599">
        <v>2.7629999999999999</v>
      </c>
      <c r="D599">
        <v>2.59</v>
      </c>
      <c r="E599">
        <v>2.6655000000000002</v>
      </c>
      <c r="F599">
        <v>4186894.41</v>
      </c>
      <c r="G599">
        <v>0</v>
      </c>
      <c r="L599" t="s">
        <v>8</v>
      </c>
      <c r="M599" t="s">
        <v>7</v>
      </c>
      <c r="N599" t="s">
        <v>8</v>
      </c>
      <c r="P599">
        <f t="shared" si="989"/>
        <v>-0.12716763005779971</v>
      </c>
      <c r="Q599">
        <f t="shared" si="990"/>
        <v>-532437.43942194956</v>
      </c>
      <c r="R599">
        <f t="shared" si="991"/>
        <v>67664997.191545457</v>
      </c>
      <c r="S599">
        <f t="shared" si="992"/>
        <v>676.64997191545456</v>
      </c>
      <c r="T599">
        <f t="shared" si="993"/>
        <v>0.67664997191545451</v>
      </c>
    </row>
    <row r="600" spans="1:20" x14ac:dyDescent="0.25">
      <c r="A600" s="5">
        <v>43993</v>
      </c>
      <c r="B600">
        <v>2.8858000000000001</v>
      </c>
      <c r="C600">
        <v>2.9075000000000002</v>
      </c>
      <c r="D600">
        <v>2.5017</v>
      </c>
      <c r="E600">
        <v>2.6133000000000002</v>
      </c>
      <c r="F600">
        <v>6525662.5800000001</v>
      </c>
      <c r="G600">
        <v>0</v>
      </c>
      <c r="L600" t="s">
        <v>7</v>
      </c>
      <c r="M600" t="s">
        <v>7</v>
      </c>
      <c r="N600" t="s">
        <v>8</v>
      </c>
      <c r="P600">
        <f t="shared" si="989"/>
        <v>-0.44997535731887578</v>
      </c>
      <c r="Q600">
        <f t="shared" si="990"/>
        <v>-2936387.3511779169</v>
      </c>
      <c r="R600">
        <f t="shared" si="991"/>
        <v>68197434.630967408</v>
      </c>
      <c r="S600">
        <f t="shared" si="992"/>
        <v>681.97434630967405</v>
      </c>
      <c r="T600">
        <f t="shared" si="993"/>
        <v>0.68197434630967402</v>
      </c>
    </row>
    <row r="601" spans="1:20" x14ac:dyDescent="0.25">
      <c r="A601" s="5">
        <v>43992</v>
      </c>
      <c r="B601">
        <v>2.9028</v>
      </c>
      <c r="C601">
        <v>2.9283999999999999</v>
      </c>
      <c r="D601">
        <v>2.8536000000000001</v>
      </c>
      <c r="E601">
        <v>2.8862000000000001</v>
      </c>
      <c r="F601">
        <v>2761479.21</v>
      </c>
      <c r="G601">
        <v>0</v>
      </c>
      <c r="L601" t="s">
        <v>7</v>
      </c>
      <c r="M601" t="s">
        <v>8</v>
      </c>
      <c r="N601" t="s">
        <v>8</v>
      </c>
      <c r="P601">
        <f t="shared" si="989"/>
        <v>-0.12834224598930297</v>
      </c>
      <c r="Q601">
        <f t="shared" si="990"/>
        <v>-354414.44406416605</v>
      </c>
      <c r="R601">
        <f t="shared" si="991"/>
        <v>71133821.982145324</v>
      </c>
      <c r="S601">
        <f t="shared" si="992"/>
        <v>711.33821982145321</v>
      </c>
      <c r="T601">
        <f t="shared" si="993"/>
        <v>0.71133821982145318</v>
      </c>
    </row>
    <row r="602" spans="1:20" x14ac:dyDescent="0.25">
      <c r="A602" s="5">
        <v>43991</v>
      </c>
      <c r="B602">
        <v>2.9456000000000002</v>
      </c>
      <c r="C602">
        <v>2.9621</v>
      </c>
      <c r="D602">
        <v>2.8662000000000001</v>
      </c>
      <c r="E602">
        <v>2.9014000000000002</v>
      </c>
      <c r="F602">
        <v>2071631.11</v>
      </c>
      <c r="G602">
        <v>0</v>
      </c>
      <c r="L602" t="s">
        <v>7</v>
      </c>
      <c r="M602" t="s">
        <v>8</v>
      </c>
      <c r="N602" t="s">
        <v>8</v>
      </c>
      <c r="P602">
        <f t="shared" si="989"/>
        <v>-0.26590198123044489</v>
      </c>
      <c r="Q602">
        <f t="shared" si="990"/>
        <v>-550850.81652762578</v>
      </c>
      <c r="R602">
        <f t="shared" si="991"/>
        <v>71488236.426209494</v>
      </c>
      <c r="S602">
        <f t="shared" si="992"/>
        <v>714.88236426209494</v>
      </c>
      <c r="T602">
        <f t="shared" si="993"/>
        <v>0.71488236426209495</v>
      </c>
    </row>
    <row r="603" spans="1:20" x14ac:dyDescent="0.25">
      <c r="A603" s="5">
        <v>43990</v>
      </c>
      <c r="B603">
        <v>2.8849999999999998</v>
      </c>
      <c r="C603">
        <v>2.95</v>
      </c>
      <c r="D603">
        <v>2.8633000000000002</v>
      </c>
      <c r="E603">
        <v>2.9430999999999998</v>
      </c>
      <c r="F603">
        <v>1775700.31</v>
      </c>
      <c r="G603">
        <v>0</v>
      </c>
      <c r="L603" t="s">
        <v>7</v>
      </c>
      <c r="M603" t="s">
        <v>8</v>
      </c>
      <c r="N603" t="s">
        <v>8</v>
      </c>
      <c r="P603">
        <f t="shared" si="989"/>
        <v>0.84083044982698152</v>
      </c>
      <c r="Q603">
        <f t="shared" si="990"/>
        <v>1493062.8904152105</v>
      </c>
      <c r="R603">
        <f t="shared" si="991"/>
        <v>72039087.242737114</v>
      </c>
      <c r="S603">
        <f t="shared" si="992"/>
        <v>720.39087242737116</v>
      </c>
      <c r="T603">
        <f t="shared" si="993"/>
        <v>0.72039087242737121</v>
      </c>
    </row>
    <row r="604" spans="1:20" x14ac:dyDescent="0.25">
      <c r="A604" s="5">
        <v>43989</v>
      </c>
      <c r="B604">
        <v>2.9241000000000001</v>
      </c>
      <c r="C604">
        <v>2.9371999999999998</v>
      </c>
      <c r="D604">
        <v>2.8058999999999998</v>
      </c>
      <c r="E604">
        <v>2.8849999999999998</v>
      </c>
      <c r="F604">
        <v>3123288.19</v>
      </c>
      <c r="G604">
        <v>0</v>
      </c>
      <c r="L604" t="s">
        <v>7</v>
      </c>
      <c r="M604" t="s">
        <v>8</v>
      </c>
      <c r="N604" t="s">
        <v>8</v>
      </c>
      <c r="P604">
        <f t="shared" si="989"/>
        <v>0.20487433358720433</v>
      </c>
      <c r="Q604">
        <f t="shared" si="990"/>
        <v>639881.58652703557</v>
      </c>
      <c r="R604">
        <f t="shared" si="991"/>
        <v>70546024.352321908</v>
      </c>
      <c r="S604">
        <f t="shared" si="992"/>
        <v>705.46024352321911</v>
      </c>
      <c r="T604">
        <f t="shared" si="993"/>
        <v>0.70546024352321912</v>
      </c>
    </row>
    <row r="605" spans="1:20" x14ac:dyDescent="0.25">
      <c r="A605" s="5">
        <v>43988</v>
      </c>
      <c r="B605">
        <v>2.9325000000000001</v>
      </c>
      <c r="C605">
        <v>2.9716</v>
      </c>
      <c r="D605">
        <v>2.9035000000000002</v>
      </c>
      <c r="E605">
        <v>2.9241000000000001</v>
      </c>
      <c r="F605">
        <v>1461632.38</v>
      </c>
      <c r="G605">
        <v>0</v>
      </c>
      <c r="L605" t="s">
        <v>8</v>
      </c>
      <c r="M605" t="s">
        <v>8</v>
      </c>
      <c r="N605" t="s">
        <v>8</v>
      </c>
      <c r="P605">
        <f t="shared" si="989"/>
        <v>-0.39500734214390593</v>
      </c>
      <c r="Q605">
        <f t="shared" si="990"/>
        <v>-577355.52161527146</v>
      </c>
      <c r="R605">
        <f t="shared" si="991"/>
        <v>69906142.765794873</v>
      </c>
      <c r="S605">
        <f t="shared" si="992"/>
        <v>699.06142765794868</v>
      </c>
      <c r="T605">
        <f t="shared" si="993"/>
        <v>0.69906142765794865</v>
      </c>
    </row>
    <row r="606" spans="1:20" x14ac:dyDescent="0.25">
      <c r="A606" s="5">
        <v>43987</v>
      </c>
      <c r="B606">
        <v>2.9979</v>
      </c>
      <c r="C606">
        <v>3.0217000000000001</v>
      </c>
      <c r="D606">
        <v>2.9165999999999999</v>
      </c>
      <c r="E606">
        <v>2.9333</v>
      </c>
      <c r="F606">
        <v>2590841.09</v>
      </c>
      <c r="G606">
        <v>0</v>
      </c>
      <c r="L606" t="s">
        <v>8</v>
      </c>
      <c r="M606" t="s">
        <v>8</v>
      </c>
      <c r="N606" t="s">
        <v>8</v>
      </c>
      <c r="P606">
        <f t="shared" si="989"/>
        <v>-0.68220742150332769</v>
      </c>
      <c r="Q606">
        <f t="shared" si="990"/>
        <v>-1767491.0195337709</v>
      </c>
      <c r="R606">
        <f t="shared" si="991"/>
        <v>70483498.28741014</v>
      </c>
      <c r="S606">
        <f t="shared" si="992"/>
        <v>704.83498287410146</v>
      </c>
      <c r="T606">
        <f t="shared" si="993"/>
        <v>0.7048349828741014</v>
      </c>
    </row>
    <row r="607" spans="1:20" x14ac:dyDescent="0.25">
      <c r="A607" s="5">
        <v>43986</v>
      </c>
      <c r="B607">
        <v>3.0409999999999999</v>
      </c>
      <c r="C607">
        <v>3.0840000000000001</v>
      </c>
      <c r="D607">
        <v>2.9035000000000002</v>
      </c>
      <c r="E607">
        <v>2.9975000000000001</v>
      </c>
      <c r="F607">
        <v>4682043.84</v>
      </c>
      <c r="G607">
        <v>0</v>
      </c>
      <c r="L607" t="s">
        <v>8</v>
      </c>
      <c r="M607" t="s">
        <v>8</v>
      </c>
      <c r="N607" t="s">
        <v>8</v>
      </c>
      <c r="P607">
        <f t="shared" si="989"/>
        <v>4.155124653739526E-2</v>
      </c>
      <c r="Q607">
        <f t="shared" si="990"/>
        <v>194544.75789473281</v>
      </c>
      <c r="R607">
        <f t="shared" si="991"/>
        <v>72250989.306943908</v>
      </c>
      <c r="S607">
        <f t="shared" si="992"/>
        <v>722.50989306943904</v>
      </c>
      <c r="T607">
        <f t="shared" si="993"/>
        <v>0.72250989306943902</v>
      </c>
    </row>
    <row r="608" spans="1:20" x14ac:dyDescent="0.25">
      <c r="A608" s="5">
        <v>43985</v>
      </c>
      <c r="B608">
        <v>2.8940000000000001</v>
      </c>
      <c r="C608">
        <v>3.0762999999999998</v>
      </c>
      <c r="D608">
        <v>2.83</v>
      </c>
      <c r="E608">
        <v>3.0415000000000001</v>
      </c>
      <c r="F608">
        <v>4526783.54</v>
      </c>
      <c r="G608">
        <v>0</v>
      </c>
      <c r="L608" t="s">
        <v>7</v>
      </c>
      <c r="M608" t="s">
        <v>8</v>
      </c>
      <c r="N608" t="s">
        <v>8</v>
      </c>
      <c r="P608">
        <f t="shared" si="989"/>
        <v>0.71741778319123217</v>
      </c>
      <c r="Q608">
        <f t="shared" si="990"/>
        <v>3247595.0122533585</v>
      </c>
      <c r="R608">
        <f t="shared" si="991"/>
        <v>72056444.549049169</v>
      </c>
      <c r="S608">
        <f t="shared" si="992"/>
        <v>720.56444549049172</v>
      </c>
      <c r="T608">
        <f t="shared" si="993"/>
        <v>0.7205644454904917</v>
      </c>
    </row>
    <row r="609" spans="1:20" x14ac:dyDescent="0.25">
      <c r="A609" s="5">
        <v>43984</v>
      </c>
      <c r="B609">
        <v>2.9662000000000002</v>
      </c>
      <c r="C609">
        <v>3.1316999999999999</v>
      </c>
      <c r="D609">
        <v>2.7</v>
      </c>
      <c r="E609">
        <v>2.8961000000000001</v>
      </c>
      <c r="F609">
        <v>8912680.7599999998</v>
      </c>
      <c r="G609">
        <v>0</v>
      </c>
      <c r="L609" t="s">
        <v>8</v>
      </c>
      <c r="M609" t="s">
        <v>8</v>
      </c>
      <c r="N609" t="s">
        <v>8</v>
      </c>
      <c r="P609">
        <f t="shared" si="989"/>
        <v>-9.1498725967106537E-2</v>
      </c>
      <c r="Q609">
        <f t="shared" si="990"/>
        <v>-815498.93449154275</v>
      </c>
      <c r="R609">
        <f t="shared" si="991"/>
        <v>68808849.53679581</v>
      </c>
      <c r="S609">
        <f t="shared" si="992"/>
        <v>688.0884953679581</v>
      </c>
      <c r="T609">
        <f t="shared" si="993"/>
        <v>0.68808849536795813</v>
      </c>
    </row>
    <row r="610" spans="1:20" x14ac:dyDescent="0.25">
      <c r="A610" s="5">
        <v>43983</v>
      </c>
      <c r="B610">
        <v>2.806</v>
      </c>
      <c r="C610">
        <v>3.0042</v>
      </c>
      <c r="D610">
        <v>2.7793000000000001</v>
      </c>
      <c r="E610">
        <v>2.9664000000000001</v>
      </c>
      <c r="F610">
        <v>5916123.46</v>
      </c>
      <c r="G610">
        <v>0</v>
      </c>
      <c r="L610" t="s">
        <v>8</v>
      </c>
      <c r="M610" t="s">
        <v>8</v>
      </c>
      <c r="N610" t="s">
        <v>8</v>
      </c>
      <c r="P610">
        <f t="shared" si="989"/>
        <v>0.66385060026678655</v>
      </c>
      <c r="Q610">
        <f t="shared" si="990"/>
        <v>3927422.1101734182</v>
      </c>
      <c r="R610">
        <f t="shared" si="991"/>
        <v>69624348.471287355</v>
      </c>
      <c r="S610">
        <f t="shared" si="992"/>
        <v>696.24348471287351</v>
      </c>
      <c r="T610">
        <f t="shared" si="993"/>
        <v>0.69624348471287356</v>
      </c>
    </row>
    <row r="611" spans="1:20" x14ac:dyDescent="0.25">
      <c r="A611" s="5">
        <v>43982</v>
      </c>
      <c r="B611">
        <v>2.9220000000000002</v>
      </c>
      <c r="C611">
        <v>2.9651000000000001</v>
      </c>
      <c r="D611">
        <v>2.7722000000000002</v>
      </c>
      <c r="E611">
        <v>2.806</v>
      </c>
      <c r="F611">
        <v>4969294.24</v>
      </c>
      <c r="G611">
        <v>0</v>
      </c>
      <c r="L611" t="s">
        <v>8</v>
      </c>
      <c r="M611" t="s">
        <v>8</v>
      </c>
      <c r="N611" t="s">
        <v>8</v>
      </c>
      <c r="P611">
        <f t="shared" si="989"/>
        <v>-0.64955935717988744</v>
      </c>
      <c r="Q611">
        <f t="shared" si="990"/>
        <v>-3227851.5721721174</v>
      </c>
      <c r="R611">
        <f t="shared" si="991"/>
        <v>65696926.361113936</v>
      </c>
      <c r="S611">
        <f t="shared" si="992"/>
        <v>656.96926361113935</v>
      </c>
      <c r="T611">
        <f t="shared" si="993"/>
        <v>0.65696926361113939</v>
      </c>
    </row>
    <row r="612" spans="1:20" x14ac:dyDescent="0.25">
      <c r="A612" s="5">
        <v>43981</v>
      </c>
      <c r="B612">
        <v>2.875</v>
      </c>
      <c r="C612">
        <v>2.9689000000000001</v>
      </c>
      <c r="D612">
        <v>2.8180999999999998</v>
      </c>
      <c r="E612">
        <v>2.9241000000000001</v>
      </c>
      <c r="F612">
        <v>5577899.6699999999</v>
      </c>
      <c r="G612">
        <v>0</v>
      </c>
      <c r="L612" t="s">
        <v>8</v>
      </c>
      <c r="M612" t="s">
        <v>8</v>
      </c>
      <c r="N612" t="s">
        <v>8</v>
      </c>
      <c r="P612">
        <f t="shared" si="989"/>
        <v>0.40583554376657993</v>
      </c>
      <c r="Q612">
        <f t="shared" si="990"/>
        <v>2263709.9456498767</v>
      </c>
      <c r="R612">
        <f t="shared" si="991"/>
        <v>68924777.933286056</v>
      </c>
      <c r="S612">
        <f t="shared" si="992"/>
        <v>689.24777933286055</v>
      </c>
      <c r="T612">
        <f t="shared" si="993"/>
        <v>0.68924777933286052</v>
      </c>
    </row>
    <row r="613" spans="1:20" x14ac:dyDescent="0.25">
      <c r="A613" s="5">
        <v>43980</v>
      </c>
      <c r="B613">
        <v>2.831</v>
      </c>
      <c r="C613">
        <v>2.91</v>
      </c>
      <c r="D613">
        <v>2.7944</v>
      </c>
      <c r="E613">
        <v>2.8729</v>
      </c>
      <c r="F613">
        <v>5400893.79</v>
      </c>
      <c r="G613">
        <v>0</v>
      </c>
      <c r="L613" t="s">
        <v>8</v>
      </c>
      <c r="M613" t="s">
        <v>8</v>
      </c>
      <c r="N613" t="s">
        <v>8</v>
      </c>
      <c r="P613">
        <f t="shared" si="989"/>
        <v>0.35813148788927185</v>
      </c>
      <c r="Q613">
        <f t="shared" si="990"/>
        <v>1934230.1289446286</v>
      </c>
      <c r="R613">
        <f t="shared" si="991"/>
        <v>66661067.987636179</v>
      </c>
      <c r="S613">
        <f t="shared" si="992"/>
        <v>666.61067987636181</v>
      </c>
      <c r="T613">
        <f t="shared" si="993"/>
        <v>0.6666106798763618</v>
      </c>
    </row>
    <row r="614" spans="1:20" x14ac:dyDescent="0.25">
      <c r="A614" s="5">
        <v>43979</v>
      </c>
      <c r="B614">
        <v>2.7078000000000002</v>
      </c>
      <c r="C614">
        <v>2.85</v>
      </c>
      <c r="D614">
        <v>2.6808999999999998</v>
      </c>
      <c r="E614">
        <v>2.8319000000000001</v>
      </c>
      <c r="F614">
        <v>3217819.2</v>
      </c>
      <c r="G614">
        <v>0</v>
      </c>
      <c r="L614" t="s">
        <v>8</v>
      </c>
      <c r="M614" t="s">
        <v>8</v>
      </c>
      <c r="N614" t="s">
        <v>8</v>
      </c>
      <c r="P614">
        <f t="shared" si="989"/>
        <v>0.78592548787699612</v>
      </c>
      <c r="Q614">
        <f t="shared" si="990"/>
        <v>2528966.1246599653</v>
      </c>
      <c r="R614">
        <f t="shared" si="991"/>
        <v>64726837.858691551</v>
      </c>
      <c r="S614">
        <f t="shared" si="992"/>
        <v>647.26837858691556</v>
      </c>
      <c r="T614">
        <f t="shared" si="993"/>
        <v>0.64726837858691555</v>
      </c>
    </row>
    <row r="615" spans="1:20" x14ac:dyDescent="0.25">
      <c r="A615" s="5">
        <v>43978</v>
      </c>
      <c r="B615">
        <v>2.6960000000000002</v>
      </c>
      <c r="C615">
        <v>2.7559</v>
      </c>
      <c r="D615">
        <v>2.6753</v>
      </c>
      <c r="E615">
        <v>2.7092999999999998</v>
      </c>
      <c r="F615">
        <v>2146034.83</v>
      </c>
      <c r="G615">
        <v>0</v>
      </c>
      <c r="L615" t="s">
        <v>7</v>
      </c>
      <c r="M615" t="s">
        <v>8</v>
      </c>
      <c r="N615" t="s">
        <v>8</v>
      </c>
      <c r="P615">
        <f t="shared" si="989"/>
        <v>-0.15632754342432242</v>
      </c>
      <c r="Q615">
        <f t="shared" si="990"/>
        <v>-335484.35307693342</v>
      </c>
      <c r="R615">
        <f t="shared" si="991"/>
        <v>62197871.734031588</v>
      </c>
      <c r="S615">
        <f t="shared" si="992"/>
        <v>621.97871734031582</v>
      </c>
      <c r="T615">
        <f t="shared" si="993"/>
        <v>0.62197871734031585</v>
      </c>
    </row>
    <row r="616" spans="1:20" x14ac:dyDescent="0.25">
      <c r="A616" s="5">
        <v>43977</v>
      </c>
      <c r="B616">
        <v>2.7343999999999999</v>
      </c>
      <c r="C616">
        <v>2.7627000000000002</v>
      </c>
      <c r="D616">
        <v>2.6537999999999999</v>
      </c>
      <c r="E616">
        <v>2.6964999999999999</v>
      </c>
      <c r="F616">
        <v>2763166.91</v>
      </c>
      <c r="G616">
        <v>0</v>
      </c>
      <c r="L616" t="s">
        <v>7</v>
      </c>
      <c r="M616" t="s">
        <v>8</v>
      </c>
      <c r="N616" t="s">
        <v>8</v>
      </c>
      <c r="P616">
        <f t="shared" si="989"/>
        <v>-0.21579430670339991</v>
      </c>
      <c r="Q616">
        <f t="shared" si="990"/>
        <v>-596275.68764922582</v>
      </c>
      <c r="R616">
        <f t="shared" si="991"/>
        <v>62533356.087108523</v>
      </c>
      <c r="S616">
        <f t="shared" si="992"/>
        <v>625.33356087108518</v>
      </c>
      <c r="T616">
        <f t="shared" si="993"/>
        <v>0.62533356087108516</v>
      </c>
    </row>
    <row r="617" spans="1:20" x14ac:dyDescent="0.25">
      <c r="A617" s="5">
        <v>43976</v>
      </c>
      <c r="B617">
        <v>2.6404000000000001</v>
      </c>
      <c r="C617">
        <v>2.7439</v>
      </c>
      <c r="D617">
        <v>2.6230000000000002</v>
      </c>
      <c r="E617">
        <v>2.7360000000000002</v>
      </c>
      <c r="F617">
        <v>2936320.34</v>
      </c>
      <c r="G617">
        <v>0</v>
      </c>
      <c r="L617" t="s">
        <v>7</v>
      </c>
      <c r="M617" t="s">
        <v>8</v>
      </c>
      <c r="N617" t="s">
        <v>8</v>
      </c>
      <c r="P617">
        <f t="shared" si="989"/>
        <v>0.86931348221671112</v>
      </c>
      <c r="Q617">
        <f t="shared" si="990"/>
        <v>2552582.8596691568</v>
      </c>
      <c r="R617">
        <f t="shared" si="991"/>
        <v>63129631.77475775</v>
      </c>
      <c r="S617">
        <f t="shared" si="992"/>
        <v>631.29631774757752</v>
      </c>
      <c r="T617">
        <f t="shared" si="993"/>
        <v>0.63129631774757755</v>
      </c>
    </row>
    <row r="618" spans="1:20" x14ac:dyDescent="0.25">
      <c r="A618" s="5">
        <v>43975</v>
      </c>
      <c r="B618">
        <v>2.7597999999999998</v>
      </c>
      <c r="C618">
        <v>2.8323999999999998</v>
      </c>
      <c r="D618">
        <v>2.6402999999999999</v>
      </c>
      <c r="E618">
        <v>2.6433</v>
      </c>
      <c r="F618">
        <v>3676142.16</v>
      </c>
      <c r="G618">
        <v>0</v>
      </c>
      <c r="L618" t="s">
        <v>7</v>
      </c>
      <c r="M618" t="s">
        <v>8</v>
      </c>
      <c r="N618" t="s">
        <v>8</v>
      </c>
      <c r="P618">
        <f t="shared" si="989"/>
        <v>-0.96876626756897333</v>
      </c>
      <c r="Q618">
        <f t="shared" si="990"/>
        <v>-3561322.5193961435</v>
      </c>
      <c r="R618">
        <f t="shared" si="991"/>
        <v>60577048.915088594</v>
      </c>
      <c r="S618">
        <f t="shared" si="992"/>
        <v>605.77048915088596</v>
      </c>
      <c r="T618">
        <f t="shared" si="993"/>
        <v>0.60577048915088594</v>
      </c>
    </row>
    <row r="619" spans="1:20" x14ac:dyDescent="0.25">
      <c r="A619" s="5">
        <v>43974</v>
      </c>
      <c r="B619">
        <v>2.7995000000000001</v>
      </c>
      <c r="C619">
        <v>2.8315000000000001</v>
      </c>
      <c r="D619">
        <v>2.7259000000000002</v>
      </c>
      <c r="E619">
        <v>2.7593999999999999</v>
      </c>
      <c r="F619">
        <v>2670481.52</v>
      </c>
      <c r="G619">
        <v>0</v>
      </c>
      <c r="L619" t="s">
        <v>8</v>
      </c>
      <c r="M619" t="s">
        <v>8</v>
      </c>
      <c r="N619" t="s">
        <v>8</v>
      </c>
      <c r="P619">
        <f t="shared" si="989"/>
        <v>-0.36553030303030931</v>
      </c>
      <c r="Q619">
        <f t="shared" si="990"/>
        <v>-976141.91924244107</v>
      </c>
      <c r="R619">
        <f t="shared" si="991"/>
        <v>64138371.434484735</v>
      </c>
      <c r="S619">
        <f t="shared" si="992"/>
        <v>641.38371434484736</v>
      </c>
      <c r="T619">
        <f t="shared" si="993"/>
        <v>0.64138371434484731</v>
      </c>
    </row>
    <row r="620" spans="1:20" x14ac:dyDescent="0.25">
      <c r="A620" s="5">
        <v>43973</v>
      </c>
      <c r="B620">
        <v>2.6448999999999998</v>
      </c>
      <c r="C620">
        <v>2.8660999999999999</v>
      </c>
      <c r="D620">
        <v>2.6061000000000001</v>
      </c>
      <c r="E620">
        <v>2.7970999999999999</v>
      </c>
      <c r="F620">
        <v>4777117.79</v>
      </c>
      <c r="G620">
        <v>0</v>
      </c>
      <c r="L620" t="s">
        <v>8</v>
      </c>
      <c r="M620" t="s">
        <v>8</v>
      </c>
      <c r="N620" t="s">
        <v>8</v>
      </c>
      <c r="P620">
        <f t="shared" si="989"/>
        <v>0.46923076923076917</v>
      </c>
      <c r="Q620">
        <f t="shared" si="990"/>
        <v>2241570.655307692</v>
      </c>
      <c r="R620">
        <f t="shared" si="991"/>
        <v>65114513.353727177</v>
      </c>
      <c r="S620">
        <f t="shared" si="992"/>
        <v>651.14513353727182</v>
      </c>
      <c r="T620">
        <f t="shared" si="993"/>
        <v>0.65114513353727177</v>
      </c>
    </row>
    <row r="621" spans="1:20" x14ac:dyDescent="0.25">
      <c r="A621" s="5">
        <v>43972</v>
      </c>
      <c r="B621">
        <v>2.8220000000000001</v>
      </c>
      <c r="C621">
        <v>2.8582000000000001</v>
      </c>
      <c r="D621">
        <v>2.57</v>
      </c>
      <c r="E621">
        <v>2.6435</v>
      </c>
      <c r="F621">
        <v>5217533.1399999997</v>
      </c>
      <c r="G621">
        <v>0</v>
      </c>
      <c r="L621" t="s">
        <v>7</v>
      </c>
      <c r="M621" t="s">
        <v>8</v>
      </c>
      <c r="N621" t="s">
        <v>8</v>
      </c>
      <c r="P621">
        <f t="shared" si="989"/>
        <v>-0.48993754337265744</v>
      </c>
      <c r="Q621">
        <f t="shared" si="990"/>
        <v>-2556265.3690770273</v>
      </c>
      <c r="R621">
        <f t="shared" si="991"/>
        <v>62872942.698419482</v>
      </c>
      <c r="S621">
        <f t="shared" si="992"/>
        <v>628.72942698419479</v>
      </c>
      <c r="T621">
        <f t="shared" si="993"/>
        <v>0.62872942698419476</v>
      </c>
    </row>
    <row r="622" spans="1:20" x14ac:dyDescent="0.25">
      <c r="A622" s="5">
        <v>43971</v>
      </c>
      <c r="B622">
        <v>2.8353000000000002</v>
      </c>
      <c r="C622">
        <v>2.8975</v>
      </c>
      <c r="D622">
        <v>2.7134999999999998</v>
      </c>
      <c r="E622">
        <v>2.8239999999999998</v>
      </c>
      <c r="F622">
        <v>5277769.0599999996</v>
      </c>
      <c r="G622">
        <v>0</v>
      </c>
      <c r="L622" t="s">
        <v>8</v>
      </c>
      <c r="M622" t="s">
        <v>8</v>
      </c>
      <c r="N622" t="s">
        <v>8</v>
      </c>
      <c r="P622">
        <f t="shared" si="989"/>
        <v>0.20108695652173852</v>
      </c>
      <c r="Q622">
        <f t="shared" si="990"/>
        <v>1061290.5174999968</v>
      </c>
      <c r="R622">
        <f t="shared" si="991"/>
        <v>65429208.067496508</v>
      </c>
      <c r="S622">
        <f t="shared" si="992"/>
        <v>654.29208067496506</v>
      </c>
      <c r="T622">
        <f t="shared" si="993"/>
        <v>0.65429208067496503</v>
      </c>
    </row>
    <row r="623" spans="1:20" x14ac:dyDescent="0.25">
      <c r="A623" s="5">
        <v>43970</v>
      </c>
      <c r="B623">
        <v>2.7542</v>
      </c>
      <c r="C623">
        <v>2.8372000000000002</v>
      </c>
      <c r="D623">
        <v>2.6328999999999998</v>
      </c>
      <c r="E623">
        <v>2.8353000000000002</v>
      </c>
      <c r="F623">
        <v>4841487.3</v>
      </c>
      <c r="G623">
        <v>0</v>
      </c>
      <c r="L623" t="s">
        <v>8</v>
      </c>
      <c r="M623" t="s">
        <v>8</v>
      </c>
      <c r="N623" t="s">
        <v>8</v>
      </c>
      <c r="P623">
        <f t="shared" si="989"/>
        <v>0.98139990210474781</v>
      </c>
      <c r="Q623">
        <f t="shared" si="990"/>
        <v>4751435.1622613799</v>
      </c>
      <c r="R623">
        <f t="shared" si="991"/>
        <v>64367917.54999651</v>
      </c>
      <c r="S623">
        <f t="shared" si="992"/>
        <v>643.67917549996514</v>
      </c>
      <c r="T623">
        <f t="shared" si="993"/>
        <v>0.64367917549996512</v>
      </c>
    </row>
    <row r="624" spans="1:20" x14ac:dyDescent="0.25">
      <c r="A624" s="5">
        <v>43969</v>
      </c>
      <c r="B624">
        <v>2.6234000000000002</v>
      </c>
      <c r="C624">
        <v>2.7715000000000001</v>
      </c>
      <c r="D624">
        <v>2.6202000000000001</v>
      </c>
      <c r="E624">
        <v>2.7530000000000001</v>
      </c>
      <c r="F624">
        <v>5020715.71</v>
      </c>
      <c r="G624">
        <v>0</v>
      </c>
      <c r="L624" t="s">
        <v>8</v>
      </c>
      <c r="M624" t="s">
        <v>8</v>
      </c>
      <c r="N624" t="s">
        <v>8</v>
      </c>
      <c r="P624">
        <f t="shared" si="989"/>
        <v>0.75545274289491127</v>
      </c>
      <c r="Q624">
        <f t="shared" si="990"/>
        <v>3792913.4544150718</v>
      </c>
      <c r="R624">
        <f t="shared" si="991"/>
        <v>59616482.387735128</v>
      </c>
      <c r="S624">
        <f t="shared" si="992"/>
        <v>596.1648238773513</v>
      </c>
      <c r="T624">
        <f t="shared" si="993"/>
        <v>0.59616482387735126</v>
      </c>
    </row>
    <row r="625" spans="1:20" x14ac:dyDescent="0.25">
      <c r="A625" s="5">
        <v>43968</v>
      </c>
      <c r="B625">
        <v>2.6286</v>
      </c>
      <c r="C625">
        <v>2.6920999999999999</v>
      </c>
      <c r="D625">
        <v>2.5998999999999999</v>
      </c>
      <c r="E625">
        <v>2.6234000000000002</v>
      </c>
      <c r="F625">
        <v>3841976.22</v>
      </c>
      <c r="G625">
        <v>0</v>
      </c>
      <c r="L625" t="s">
        <v>8</v>
      </c>
      <c r="M625" t="s">
        <v>8</v>
      </c>
      <c r="N625" t="s">
        <v>8</v>
      </c>
      <c r="P625">
        <f t="shared" si="989"/>
        <v>-0.49023861171365979</v>
      </c>
      <c r="Q625">
        <f t="shared" si="990"/>
        <v>-1883485.0883296945</v>
      </c>
      <c r="R625">
        <f t="shared" si="991"/>
        <v>55823568.93332006</v>
      </c>
      <c r="S625">
        <f t="shared" si="992"/>
        <v>558.23568933320064</v>
      </c>
      <c r="T625">
        <f t="shared" si="993"/>
        <v>0.55823568933320067</v>
      </c>
    </row>
    <row r="626" spans="1:20" x14ac:dyDescent="0.25">
      <c r="A626" s="5">
        <v>43967</v>
      </c>
      <c r="B626">
        <v>2.4893000000000001</v>
      </c>
      <c r="C626">
        <v>2.6577000000000002</v>
      </c>
      <c r="D626">
        <v>2.4725000000000001</v>
      </c>
      <c r="E626">
        <v>2.6261999999999999</v>
      </c>
      <c r="F626">
        <v>4858847.09</v>
      </c>
      <c r="G626">
        <v>0</v>
      </c>
      <c r="L626" t="s">
        <v>8</v>
      </c>
      <c r="M626" t="s">
        <v>8</v>
      </c>
      <c r="N626" t="s">
        <v>8</v>
      </c>
      <c r="P626">
        <f t="shared" si="989"/>
        <v>0.65982721382289089</v>
      </c>
      <c r="Q626">
        <f t="shared" si="990"/>
        <v>3205999.5377861611</v>
      </c>
      <c r="R626">
        <f t="shared" si="991"/>
        <v>57707054.021649756</v>
      </c>
      <c r="S626">
        <f t="shared" si="992"/>
        <v>577.07054021649753</v>
      </c>
      <c r="T626">
        <f t="shared" si="993"/>
        <v>0.57707054021649751</v>
      </c>
    </row>
    <row r="627" spans="1:20" x14ac:dyDescent="0.25">
      <c r="A627" s="5">
        <v>43966</v>
      </c>
      <c r="B627">
        <v>2.5459999999999998</v>
      </c>
      <c r="C627">
        <v>2.552</v>
      </c>
      <c r="D627">
        <v>2.4415</v>
      </c>
      <c r="E627">
        <v>2.4901</v>
      </c>
      <c r="F627">
        <v>4464629.8</v>
      </c>
      <c r="G627">
        <v>0</v>
      </c>
      <c r="L627" t="s">
        <v>8</v>
      </c>
      <c r="M627" t="s">
        <v>7</v>
      </c>
      <c r="N627" t="s">
        <v>8</v>
      </c>
      <c r="P627">
        <f t="shared" si="989"/>
        <v>-0.12036199095022701</v>
      </c>
      <c r="Q627">
        <f t="shared" si="990"/>
        <v>-537371.73158371379</v>
      </c>
      <c r="R627">
        <f t="shared" si="991"/>
        <v>54501054.483863592</v>
      </c>
      <c r="S627">
        <f t="shared" si="992"/>
        <v>545.01054483863595</v>
      </c>
      <c r="T627">
        <f t="shared" si="993"/>
        <v>0.54501054483863598</v>
      </c>
    </row>
    <row r="628" spans="1:20" x14ac:dyDescent="0.25">
      <c r="A628" s="5">
        <v>43965</v>
      </c>
      <c r="B628">
        <v>2.5695999999999999</v>
      </c>
      <c r="C628">
        <v>2.6166999999999998</v>
      </c>
      <c r="D628">
        <v>2.4914999999999998</v>
      </c>
      <c r="E628">
        <v>2.5449999999999999</v>
      </c>
      <c r="F628">
        <v>5733416.9800000004</v>
      </c>
      <c r="G628">
        <v>0</v>
      </c>
      <c r="L628" t="s">
        <v>8</v>
      </c>
      <c r="M628" t="s">
        <v>7</v>
      </c>
      <c r="N628" t="s">
        <v>8</v>
      </c>
      <c r="P628">
        <f t="shared" si="989"/>
        <v>-0.14536741214057328</v>
      </c>
      <c r="Q628">
        <f t="shared" si="990"/>
        <v>-833451.989105421</v>
      </c>
      <c r="R628">
        <f t="shared" si="991"/>
        <v>55038426.215447307</v>
      </c>
      <c r="S628">
        <f t="shared" si="992"/>
        <v>550.38426215447305</v>
      </c>
      <c r="T628">
        <f t="shared" si="993"/>
        <v>0.550384262154473</v>
      </c>
    </row>
    <row r="629" spans="1:20" x14ac:dyDescent="0.25">
      <c r="A629" s="5">
        <v>43964</v>
      </c>
      <c r="B629">
        <v>2.5091000000000001</v>
      </c>
      <c r="C629">
        <v>2.5891000000000002</v>
      </c>
      <c r="D629">
        <v>2.4823</v>
      </c>
      <c r="E629">
        <v>2.5695999999999999</v>
      </c>
      <c r="F629">
        <v>4034690.25</v>
      </c>
      <c r="G629">
        <v>0</v>
      </c>
      <c r="L629" t="s">
        <v>8</v>
      </c>
      <c r="M629" t="s">
        <v>7</v>
      </c>
      <c r="N629" t="s">
        <v>8</v>
      </c>
      <c r="P629">
        <f t="shared" si="989"/>
        <v>0.63483146067415253</v>
      </c>
      <c r="Q629">
        <f t="shared" si="990"/>
        <v>2561348.3047752618</v>
      </c>
      <c r="R629">
        <f t="shared" si="991"/>
        <v>55871878.204552725</v>
      </c>
      <c r="S629">
        <f t="shared" si="992"/>
        <v>558.71878204552729</v>
      </c>
      <c r="T629">
        <f t="shared" si="993"/>
        <v>0.55871878204552727</v>
      </c>
    </row>
    <row r="630" spans="1:20" x14ac:dyDescent="0.25">
      <c r="A630" s="5">
        <v>43963</v>
      </c>
      <c r="B630">
        <v>2.4232</v>
      </c>
      <c r="C630">
        <v>2.58</v>
      </c>
      <c r="D630">
        <v>2.4049</v>
      </c>
      <c r="E630">
        <v>2.5103</v>
      </c>
      <c r="F630">
        <v>5994332.0300000003</v>
      </c>
      <c r="G630">
        <v>0</v>
      </c>
      <c r="L630" t="s">
        <v>7</v>
      </c>
      <c r="M630" t="s">
        <v>7</v>
      </c>
      <c r="N630" t="s">
        <v>8</v>
      </c>
      <c r="P630">
        <f t="shared" si="989"/>
        <v>0.20388349514563014</v>
      </c>
      <c r="Q630">
        <f t="shared" si="990"/>
        <v>1222145.3653398002</v>
      </c>
      <c r="R630">
        <f t="shared" si="991"/>
        <v>53310529.899777465</v>
      </c>
      <c r="S630">
        <f t="shared" si="992"/>
        <v>533.10529899777464</v>
      </c>
      <c r="T630">
        <f t="shared" si="993"/>
        <v>0.53310529899777459</v>
      </c>
    </row>
    <row r="631" spans="1:20" x14ac:dyDescent="0.25">
      <c r="A631" s="5">
        <v>43962</v>
      </c>
      <c r="B631">
        <v>2.5547</v>
      </c>
      <c r="C631">
        <v>2.5935999999999999</v>
      </c>
      <c r="D631">
        <v>2.2625000000000002</v>
      </c>
      <c r="E631">
        <v>2.4260000000000002</v>
      </c>
      <c r="F631">
        <v>10968322.57</v>
      </c>
      <c r="G631">
        <v>0</v>
      </c>
      <c r="L631" t="s">
        <v>8</v>
      </c>
      <c r="M631" t="s">
        <v>7</v>
      </c>
      <c r="N631" t="s">
        <v>8</v>
      </c>
      <c r="P631">
        <f t="shared" si="989"/>
        <v>-1.2382965871337281E-2</v>
      </c>
      <c r="Q631">
        <f t="shared" si="990"/>
        <v>-135820.36405012841</v>
      </c>
      <c r="R631">
        <f t="shared" si="991"/>
        <v>52088384.534437664</v>
      </c>
      <c r="S631">
        <f t="shared" si="992"/>
        <v>520.8838453443766</v>
      </c>
      <c r="T631">
        <f t="shared" si="993"/>
        <v>0.52088384534437659</v>
      </c>
    </row>
    <row r="632" spans="1:20" x14ac:dyDescent="0.25">
      <c r="A632" s="5">
        <v>43961</v>
      </c>
      <c r="B632">
        <v>2.8104</v>
      </c>
      <c r="C632">
        <v>2.8186</v>
      </c>
      <c r="D632">
        <v>2.2130999999999998</v>
      </c>
      <c r="E632">
        <v>2.5535999999999999</v>
      </c>
      <c r="F632">
        <v>13627213.35</v>
      </c>
      <c r="G632">
        <v>0</v>
      </c>
      <c r="L632" t="s">
        <v>7</v>
      </c>
      <c r="M632" t="s">
        <v>7</v>
      </c>
      <c r="N632" t="s">
        <v>8</v>
      </c>
      <c r="P632">
        <f t="shared" si="989"/>
        <v>0.12469033856317074</v>
      </c>
      <c r="Q632">
        <f t="shared" si="990"/>
        <v>1699181.84628406</v>
      </c>
      <c r="R632">
        <f t="shared" si="991"/>
        <v>52224204.898487791</v>
      </c>
      <c r="S632">
        <f t="shared" si="992"/>
        <v>522.2420489848779</v>
      </c>
      <c r="T632">
        <f t="shared" si="993"/>
        <v>0.52224204898487792</v>
      </c>
    </row>
    <row r="633" spans="1:20" x14ac:dyDescent="0.25">
      <c r="A633" s="5">
        <v>43960</v>
      </c>
      <c r="B633">
        <v>2.75</v>
      </c>
      <c r="C633">
        <v>2.9655</v>
      </c>
      <c r="D633">
        <v>2.7231999999999998</v>
      </c>
      <c r="E633">
        <v>2.8106</v>
      </c>
      <c r="F633">
        <v>7834560.4199999999</v>
      </c>
      <c r="G633">
        <v>0</v>
      </c>
      <c r="L633" t="s">
        <v>8</v>
      </c>
      <c r="M633" t="s">
        <v>8</v>
      </c>
      <c r="N633" t="s">
        <v>8</v>
      </c>
      <c r="P633">
        <f t="shared" si="989"/>
        <v>-0.27858027238959904</v>
      </c>
      <c r="Q633">
        <f t="shared" si="990"/>
        <v>-2182553.9758563712</v>
      </c>
      <c r="R633">
        <f t="shared" si="991"/>
        <v>50525023.05220373</v>
      </c>
      <c r="S633">
        <f t="shared" si="992"/>
        <v>505.25023052203727</v>
      </c>
      <c r="T633">
        <f t="shared" si="993"/>
        <v>0.50525023052203732</v>
      </c>
    </row>
    <row r="634" spans="1:20" x14ac:dyDescent="0.25">
      <c r="A634" s="5">
        <v>43959</v>
      </c>
      <c r="B634">
        <v>2.7162000000000002</v>
      </c>
      <c r="C634">
        <v>2.8210000000000002</v>
      </c>
      <c r="D634">
        <v>2.6781999999999999</v>
      </c>
      <c r="E634">
        <v>2.75</v>
      </c>
      <c r="F634">
        <v>5898482.9699999997</v>
      </c>
      <c r="G634">
        <v>0</v>
      </c>
      <c r="L634" t="s">
        <v>8</v>
      </c>
      <c r="M634" t="s">
        <v>8</v>
      </c>
      <c r="N634" t="s">
        <v>8</v>
      </c>
      <c r="P634">
        <f t="shared" si="989"/>
        <v>5.6022408963579164E-3</v>
      </c>
      <c r="Q634">
        <f t="shared" si="990"/>
        <v>33044.722521004704</v>
      </c>
      <c r="R634">
        <f t="shared" si="991"/>
        <v>52707577.028060101</v>
      </c>
      <c r="S634">
        <f t="shared" si="992"/>
        <v>527.07577028060098</v>
      </c>
      <c r="T634">
        <f t="shared" si="993"/>
        <v>0.52707577028060093</v>
      </c>
    </row>
    <row r="635" spans="1:20" x14ac:dyDescent="0.25">
      <c r="A635" s="5">
        <v>43958</v>
      </c>
      <c r="B635">
        <v>2.6574</v>
      </c>
      <c r="C635">
        <v>2.8047</v>
      </c>
      <c r="D635">
        <v>2.61</v>
      </c>
      <c r="E635">
        <v>2.718</v>
      </c>
      <c r="F635">
        <v>6503847.7599999998</v>
      </c>
      <c r="G635">
        <v>0</v>
      </c>
      <c r="L635" t="s">
        <v>7</v>
      </c>
      <c r="M635" t="s">
        <v>8</v>
      </c>
      <c r="N635" t="s">
        <v>8</v>
      </c>
      <c r="P635">
        <f t="shared" si="989"/>
        <v>0.10939907550077085</v>
      </c>
      <c r="Q635">
        <f t="shared" si="990"/>
        <v>711514.93214175932</v>
      </c>
      <c r="R635">
        <f t="shared" si="991"/>
        <v>52674532.305539094</v>
      </c>
      <c r="S635">
        <f t="shared" si="992"/>
        <v>526.74532305539094</v>
      </c>
      <c r="T635">
        <f t="shared" si="993"/>
        <v>0.5267453230553909</v>
      </c>
    </row>
    <row r="636" spans="1:20" x14ac:dyDescent="0.25">
      <c r="A636" s="5">
        <v>43957</v>
      </c>
      <c r="B636">
        <v>2.75</v>
      </c>
      <c r="C636">
        <v>2.8047</v>
      </c>
      <c r="D636">
        <v>2.64</v>
      </c>
      <c r="E636">
        <v>2.6574</v>
      </c>
      <c r="F636">
        <v>5183119.13</v>
      </c>
      <c r="G636">
        <v>0</v>
      </c>
      <c r="L636" t="s">
        <v>8</v>
      </c>
      <c r="M636" t="s">
        <v>8</v>
      </c>
      <c r="N636" t="s">
        <v>8</v>
      </c>
      <c r="P636">
        <f t="shared" si="989"/>
        <v>-0.78870673952641313</v>
      </c>
      <c r="Q636">
        <f t="shared" si="990"/>
        <v>-4087960.9895992791</v>
      </c>
      <c r="R636">
        <f t="shared" si="991"/>
        <v>51963017.373397335</v>
      </c>
      <c r="S636">
        <f t="shared" si="992"/>
        <v>519.63017373397338</v>
      </c>
      <c r="T636">
        <f t="shared" si="993"/>
        <v>0.51963017373397336</v>
      </c>
    </row>
    <row r="637" spans="1:20" x14ac:dyDescent="0.25">
      <c r="A637" s="5">
        <v>43956</v>
      </c>
      <c r="B637">
        <v>2.7765</v>
      </c>
      <c r="C637">
        <v>2.8294999999999999</v>
      </c>
      <c r="D637">
        <v>2.6938</v>
      </c>
      <c r="E637">
        <v>2.7502</v>
      </c>
      <c r="F637">
        <v>6069343.2800000003</v>
      </c>
      <c r="G637">
        <v>0</v>
      </c>
      <c r="L637" t="s">
        <v>8</v>
      </c>
      <c r="M637" t="s">
        <v>8</v>
      </c>
      <c r="N637" t="s">
        <v>8</v>
      </c>
      <c r="P637">
        <f t="shared" si="989"/>
        <v>-0.16875460574797296</v>
      </c>
      <c r="Q637">
        <f t="shared" si="990"/>
        <v>-1024229.6323655092</v>
      </c>
      <c r="R637">
        <f t="shared" si="991"/>
        <v>56050978.362996615</v>
      </c>
      <c r="S637">
        <f t="shared" si="992"/>
        <v>560.50978362996614</v>
      </c>
      <c r="T637">
        <f t="shared" si="993"/>
        <v>0.56050978362996617</v>
      </c>
    </row>
    <row r="638" spans="1:20" x14ac:dyDescent="0.25">
      <c r="A638" s="5">
        <v>43955</v>
      </c>
      <c r="B638">
        <v>2.7361</v>
      </c>
      <c r="C638">
        <v>2.8471000000000002</v>
      </c>
      <c r="D638">
        <v>2.5903</v>
      </c>
      <c r="E638">
        <v>2.7766000000000002</v>
      </c>
      <c r="F638">
        <v>10071500.6</v>
      </c>
      <c r="G638">
        <v>0</v>
      </c>
      <c r="L638" t="s">
        <v>7</v>
      </c>
      <c r="M638" t="s">
        <v>8</v>
      </c>
      <c r="N638" t="s">
        <v>8</v>
      </c>
      <c r="P638">
        <f t="shared" si="989"/>
        <v>0.45093457943925258</v>
      </c>
      <c r="Q638">
        <f t="shared" si="990"/>
        <v>4541587.8873831797</v>
      </c>
      <c r="R638">
        <f t="shared" si="991"/>
        <v>57075207.995362125</v>
      </c>
      <c r="S638">
        <f t="shared" si="992"/>
        <v>570.75207995362121</v>
      </c>
      <c r="T638">
        <f t="shared" si="993"/>
        <v>0.57075207995362121</v>
      </c>
    </row>
    <row r="639" spans="1:20" x14ac:dyDescent="0.25">
      <c r="A639" s="5">
        <v>43954</v>
      </c>
      <c r="B639">
        <v>2.8349000000000002</v>
      </c>
      <c r="C639">
        <v>2.8748999999999998</v>
      </c>
      <c r="D639">
        <v>2.6764000000000001</v>
      </c>
      <c r="E639">
        <v>2.7360000000000002</v>
      </c>
      <c r="F639">
        <v>6004512.2599999998</v>
      </c>
      <c r="G639">
        <v>0</v>
      </c>
      <c r="L639" t="s">
        <v>7</v>
      </c>
      <c r="M639" t="s">
        <v>8</v>
      </c>
      <c r="N639" t="s">
        <v>8</v>
      </c>
      <c r="P639">
        <f t="shared" si="989"/>
        <v>-0.39949622166246657</v>
      </c>
      <c r="Q639">
        <f t="shared" si="990"/>
        <v>-2398779.9607959581</v>
      </c>
      <c r="R639">
        <f t="shared" si="991"/>
        <v>52533620.107978947</v>
      </c>
      <c r="S639">
        <f t="shared" si="992"/>
        <v>525.33620107978948</v>
      </c>
      <c r="T639">
        <f t="shared" si="993"/>
        <v>0.52533620107978951</v>
      </c>
    </row>
    <row r="640" spans="1:20" x14ac:dyDescent="0.25">
      <c r="A640" s="5">
        <v>43953</v>
      </c>
      <c r="B640">
        <v>2.7970000000000002</v>
      </c>
      <c r="C640">
        <v>2.8656999999999999</v>
      </c>
      <c r="D640">
        <v>2.7728000000000002</v>
      </c>
      <c r="E640">
        <v>2.8349000000000002</v>
      </c>
      <c r="F640">
        <v>4399599.18</v>
      </c>
      <c r="G640">
        <v>0</v>
      </c>
      <c r="L640" t="s">
        <v>7</v>
      </c>
      <c r="M640" t="s">
        <v>8</v>
      </c>
      <c r="N640" t="s">
        <v>8</v>
      </c>
      <c r="P640">
        <f t="shared" si="989"/>
        <v>0.33692142088267391</v>
      </c>
      <c r="Q640">
        <f t="shared" si="990"/>
        <v>1482319.2070398468</v>
      </c>
      <c r="R640">
        <f t="shared" si="991"/>
        <v>54932400.068774909</v>
      </c>
      <c r="S640">
        <f t="shared" si="992"/>
        <v>549.32400068774905</v>
      </c>
      <c r="T640">
        <f t="shared" si="993"/>
        <v>0.549324000687749</v>
      </c>
    </row>
    <row r="641" spans="1:20" x14ac:dyDescent="0.25">
      <c r="A641" s="5">
        <v>43952</v>
      </c>
      <c r="B641">
        <v>2.7511999999999999</v>
      </c>
      <c r="C641">
        <v>2.9487999999999999</v>
      </c>
      <c r="D641">
        <v>2.7504</v>
      </c>
      <c r="E641">
        <v>2.7974999999999999</v>
      </c>
      <c r="F641">
        <v>8774472.6600000001</v>
      </c>
      <c r="G641">
        <v>0</v>
      </c>
      <c r="L641" t="s">
        <v>7</v>
      </c>
      <c r="M641" t="s">
        <v>8</v>
      </c>
      <c r="N641" t="s">
        <v>8</v>
      </c>
      <c r="P641">
        <f t="shared" si="989"/>
        <v>-0.52520161290322642</v>
      </c>
      <c r="Q641">
        <f t="shared" si="990"/>
        <v>-4608367.1934072636</v>
      </c>
      <c r="R641">
        <f t="shared" si="991"/>
        <v>53450080.861735061</v>
      </c>
      <c r="S641">
        <f t="shared" si="992"/>
        <v>534.50080861735057</v>
      </c>
      <c r="T641">
        <f t="shared" si="993"/>
        <v>0.53450080861735061</v>
      </c>
    </row>
    <row r="642" spans="1:20" x14ac:dyDescent="0.25">
      <c r="A642" s="5">
        <v>43951</v>
      </c>
      <c r="B642">
        <v>2.9365000000000001</v>
      </c>
      <c r="C642">
        <v>3.0417999999999998</v>
      </c>
      <c r="D642">
        <v>2.6623000000000001</v>
      </c>
      <c r="E642">
        <v>2.7526000000000002</v>
      </c>
      <c r="F642">
        <v>13302383.970000001</v>
      </c>
      <c r="G642">
        <v>0</v>
      </c>
      <c r="L642" t="s">
        <v>8</v>
      </c>
      <c r="M642" t="s">
        <v>8</v>
      </c>
      <c r="N642" t="s">
        <v>8</v>
      </c>
      <c r="P642">
        <f t="shared" si="989"/>
        <v>-0.52411067193675831</v>
      </c>
      <c r="Q642">
        <f t="shared" si="990"/>
        <v>-6971921.4008774627</v>
      </c>
      <c r="R642">
        <f t="shared" si="991"/>
        <v>58058448.055142321</v>
      </c>
      <c r="S642">
        <f t="shared" si="992"/>
        <v>580.58448055142321</v>
      </c>
      <c r="T642">
        <f t="shared" si="993"/>
        <v>0.5805844805514232</v>
      </c>
    </row>
    <row r="643" spans="1:20" x14ac:dyDescent="0.25">
      <c r="A643" s="5">
        <v>43950</v>
      </c>
      <c r="B643">
        <v>2.7450999999999999</v>
      </c>
      <c r="C643">
        <v>3.0253999999999999</v>
      </c>
      <c r="D643">
        <v>2.7401</v>
      </c>
      <c r="E643">
        <v>2.9352999999999998</v>
      </c>
      <c r="F643">
        <v>14620747.060000001</v>
      </c>
      <c r="G643">
        <v>0</v>
      </c>
      <c r="L643" t="s">
        <v>8</v>
      </c>
      <c r="M643" t="s">
        <v>8</v>
      </c>
      <c r="N643" t="s">
        <v>8</v>
      </c>
      <c r="P643">
        <f t="shared" si="989"/>
        <v>0.3683841570276894</v>
      </c>
      <c r="Q643">
        <f t="shared" si="990"/>
        <v>5386051.5808131685</v>
      </c>
      <c r="R643">
        <f t="shared" si="991"/>
        <v>65030369.456019782</v>
      </c>
      <c r="S643">
        <f t="shared" si="992"/>
        <v>650.30369456019787</v>
      </c>
      <c r="T643">
        <f t="shared" si="993"/>
        <v>0.65030369456019788</v>
      </c>
    </row>
    <row r="644" spans="1:20" x14ac:dyDescent="0.25">
      <c r="A644" s="5">
        <v>43949</v>
      </c>
      <c r="B644">
        <v>2.7422</v>
      </c>
      <c r="C644">
        <v>2.82</v>
      </c>
      <c r="D644">
        <v>2.6585000000000001</v>
      </c>
      <c r="E644">
        <v>2.7431999999999999</v>
      </c>
      <c r="F644">
        <v>8362810.0700000003</v>
      </c>
      <c r="G644">
        <v>0</v>
      </c>
      <c r="L644" t="s">
        <v>8</v>
      </c>
      <c r="M644" t="s">
        <v>8</v>
      </c>
      <c r="N644" t="s">
        <v>8</v>
      </c>
      <c r="P644">
        <f t="shared" si="989"/>
        <v>4.8916408668729462E-2</v>
      </c>
      <c r="Q644">
        <f t="shared" si="990"/>
        <v>409078.63500308606</v>
      </c>
      <c r="R644">
        <f t="shared" si="991"/>
        <v>59644317.875206612</v>
      </c>
      <c r="S644">
        <f t="shared" si="992"/>
        <v>596.44317875206616</v>
      </c>
      <c r="T644">
        <f t="shared" si="993"/>
        <v>0.59644317875206621</v>
      </c>
    </row>
    <row r="645" spans="1:20" x14ac:dyDescent="0.25">
      <c r="A645" s="5">
        <v>43948</v>
      </c>
      <c r="B645">
        <v>2.7684000000000002</v>
      </c>
      <c r="C645">
        <v>2.7921999999999998</v>
      </c>
      <c r="D645">
        <v>2.5499999999999998</v>
      </c>
      <c r="E645">
        <v>2.7418999999999998</v>
      </c>
      <c r="F645">
        <v>10774824.73</v>
      </c>
      <c r="G645">
        <v>0</v>
      </c>
      <c r="L645" t="s">
        <v>7</v>
      </c>
      <c r="M645" t="s">
        <v>8</v>
      </c>
      <c r="N645" t="s">
        <v>8</v>
      </c>
      <c r="P645">
        <f t="shared" si="989"/>
        <v>0.58464079273327818</v>
      </c>
      <c r="Q645">
        <f t="shared" si="990"/>
        <v>6299402.0717093302</v>
      </c>
      <c r="R645">
        <f t="shared" si="991"/>
        <v>59235239.24020353</v>
      </c>
      <c r="S645">
        <f t="shared" si="992"/>
        <v>592.35239240203532</v>
      </c>
      <c r="T645">
        <f t="shared" si="993"/>
        <v>0.5923523924020353</v>
      </c>
    </row>
    <row r="646" spans="1:20" x14ac:dyDescent="0.25">
      <c r="A646" s="5">
        <v>43947</v>
      </c>
      <c r="B646">
        <v>2.8584999999999998</v>
      </c>
      <c r="C646">
        <v>2.8593999999999999</v>
      </c>
      <c r="D646">
        <v>2.7267999999999999</v>
      </c>
      <c r="E646">
        <v>2.7637</v>
      </c>
      <c r="F646">
        <v>7458755.2300000004</v>
      </c>
      <c r="G646">
        <v>0</v>
      </c>
      <c r="L646" t="s">
        <v>8</v>
      </c>
      <c r="M646" t="s">
        <v>8</v>
      </c>
      <c r="N646" t="s">
        <v>8</v>
      </c>
      <c r="P646">
        <f t="shared" ref="P646:P709" si="994">IF(C646=D646,0,((E646-D646)-(C646-E646))/(C646-D646))</f>
        <v>-0.44343891402714719</v>
      </c>
      <c r="Q646">
        <f t="shared" ref="Q646:Q709" si="995">F646*P646</f>
        <v>-3307502.3191855047</v>
      </c>
      <c r="R646">
        <f t="shared" ref="R646:R709" si="996">R647+Q646</f>
        <v>52935837.168494202</v>
      </c>
      <c r="S646">
        <f t="shared" ref="S646:S709" si="997">R646/100000</f>
        <v>529.35837168494197</v>
      </c>
      <c r="T646">
        <f t="shared" ref="T646:T709" si="998">S646/1000</f>
        <v>0.52935837168494193</v>
      </c>
    </row>
    <row r="647" spans="1:20" x14ac:dyDescent="0.25">
      <c r="A647" s="5">
        <v>43946</v>
      </c>
      <c r="B647">
        <v>2.714</v>
      </c>
      <c r="C647">
        <v>2.8980000000000001</v>
      </c>
      <c r="D647">
        <v>2.6328</v>
      </c>
      <c r="E647">
        <v>2.8586</v>
      </c>
      <c r="F647">
        <v>9345445.6999999993</v>
      </c>
      <c r="G647">
        <v>0</v>
      </c>
      <c r="L647" t="s">
        <v>8</v>
      </c>
      <c r="M647" t="s">
        <v>8</v>
      </c>
      <c r="N647" t="s">
        <v>8</v>
      </c>
      <c r="P647">
        <f t="shared" si="994"/>
        <v>0.70286576168929049</v>
      </c>
      <c r="Q647">
        <f t="shared" si="995"/>
        <v>6568593.8102564039</v>
      </c>
      <c r="R647">
        <f t="shared" si="996"/>
        <v>56243339.487679705</v>
      </c>
      <c r="S647">
        <f t="shared" si="997"/>
        <v>562.43339487679702</v>
      </c>
      <c r="T647">
        <f t="shared" si="998"/>
        <v>0.562433394876797</v>
      </c>
    </row>
    <row r="648" spans="1:20" x14ac:dyDescent="0.25">
      <c r="A648" s="5">
        <v>43945</v>
      </c>
      <c r="B648">
        <v>2.4980000000000002</v>
      </c>
      <c r="C648">
        <v>2.7692999999999999</v>
      </c>
      <c r="D648">
        <v>2.4939</v>
      </c>
      <c r="E648">
        <v>2.7147999999999999</v>
      </c>
      <c r="F648">
        <v>15577990.630000001</v>
      </c>
      <c r="G648">
        <v>0</v>
      </c>
      <c r="L648" t="s">
        <v>8</v>
      </c>
      <c r="M648" t="s">
        <v>8</v>
      </c>
      <c r="N648" t="s">
        <v>8</v>
      </c>
      <c r="P648">
        <f t="shared" si="994"/>
        <v>0.60421205519244725</v>
      </c>
      <c r="Q648">
        <f t="shared" si="995"/>
        <v>9412409.734320987</v>
      </c>
      <c r="R648">
        <f t="shared" si="996"/>
        <v>49674745.677423298</v>
      </c>
      <c r="S648">
        <f t="shared" si="997"/>
        <v>496.747456774233</v>
      </c>
      <c r="T648">
        <f t="shared" si="998"/>
        <v>0.49674745677423299</v>
      </c>
    </row>
    <row r="649" spans="1:20" x14ac:dyDescent="0.25">
      <c r="A649" s="5">
        <v>43944</v>
      </c>
      <c r="B649">
        <v>2.3370000000000002</v>
      </c>
      <c r="C649">
        <v>2.5920000000000001</v>
      </c>
      <c r="D649">
        <v>2.3048000000000002</v>
      </c>
      <c r="E649">
        <v>2.4980000000000002</v>
      </c>
      <c r="F649">
        <v>15265008.619999999</v>
      </c>
      <c r="G649">
        <v>0</v>
      </c>
      <c r="L649" t="s">
        <v>8</v>
      </c>
      <c r="M649" t="s">
        <v>8</v>
      </c>
      <c r="N649" t="s">
        <v>8</v>
      </c>
      <c r="P649">
        <f t="shared" si="994"/>
        <v>0.34540389972144919</v>
      </c>
      <c r="Q649">
        <f t="shared" si="995"/>
        <v>5272593.5066295369</v>
      </c>
      <c r="R649">
        <f t="shared" si="996"/>
        <v>40262335.943102308</v>
      </c>
      <c r="S649">
        <f t="shared" si="997"/>
        <v>402.62335943102306</v>
      </c>
      <c r="T649">
        <f t="shared" si="998"/>
        <v>0.40262335943102306</v>
      </c>
    </row>
    <row r="650" spans="1:20" x14ac:dyDescent="0.25">
      <c r="A650" s="5">
        <v>43943</v>
      </c>
      <c r="B650">
        <v>2.1459999999999999</v>
      </c>
      <c r="C650">
        <v>2.3489</v>
      </c>
      <c r="D650">
        <v>2.1366999999999998</v>
      </c>
      <c r="E650">
        <v>2.3370000000000002</v>
      </c>
      <c r="F650">
        <v>9208382.7200000007</v>
      </c>
      <c r="G650">
        <v>0</v>
      </c>
      <c r="L650" t="s">
        <v>8</v>
      </c>
      <c r="M650" t="s">
        <v>8</v>
      </c>
      <c r="N650" t="s">
        <v>8</v>
      </c>
      <c r="P650">
        <f t="shared" si="994"/>
        <v>0.88784165881244304</v>
      </c>
      <c r="Q650">
        <f t="shared" si="995"/>
        <v>8175585.7891046368</v>
      </c>
      <c r="R650">
        <f t="shared" si="996"/>
        <v>34989742.436472774</v>
      </c>
      <c r="S650">
        <f t="shared" si="997"/>
        <v>349.89742436472773</v>
      </c>
      <c r="T650">
        <f t="shared" si="998"/>
        <v>0.3498974243647277</v>
      </c>
    </row>
    <row r="651" spans="1:20" x14ac:dyDescent="0.25">
      <c r="A651" s="5">
        <v>43942</v>
      </c>
      <c r="B651">
        <v>2.1246999999999998</v>
      </c>
      <c r="C651">
        <v>2.2067999999999999</v>
      </c>
      <c r="D651">
        <v>2.0775999999999999</v>
      </c>
      <c r="E651">
        <v>2.1467999999999998</v>
      </c>
      <c r="F651">
        <v>8808735.7699999996</v>
      </c>
      <c r="G651">
        <v>0</v>
      </c>
      <c r="L651" t="s">
        <v>7</v>
      </c>
      <c r="M651" t="s">
        <v>8</v>
      </c>
      <c r="N651" t="s">
        <v>8</v>
      </c>
      <c r="P651">
        <f t="shared" si="994"/>
        <v>7.1207430340556321E-2</v>
      </c>
      <c r="Q651">
        <f t="shared" si="995"/>
        <v>627247.43873064173</v>
      </c>
      <c r="R651">
        <f t="shared" si="996"/>
        <v>26814156.647368141</v>
      </c>
      <c r="S651">
        <f t="shared" si="997"/>
        <v>268.14156647368139</v>
      </c>
      <c r="T651">
        <f t="shared" si="998"/>
        <v>0.26814156647368137</v>
      </c>
    </row>
    <row r="652" spans="1:20" x14ac:dyDescent="0.25">
      <c r="A652" s="5">
        <v>43941</v>
      </c>
      <c r="B652">
        <v>2.2423000000000002</v>
      </c>
      <c r="C652">
        <v>2.3490000000000002</v>
      </c>
      <c r="D652">
        <v>2.0581</v>
      </c>
      <c r="E652">
        <v>2.1263000000000001</v>
      </c>
      <c r="F652">
        <v>14701024.49</v>
      </c>
      <c r="G652">
        <v>0</v>
      </c>
      <c r="L652" t="s">
        <v>7</v>
      </c>
      <c r="M652" t="s">
        <v>8</v>
      </c>
      <c r="N652" t="s">
        <v>8</v>
      </c>
      <c r="P652">
        <f t="shared" si="994"/>
        <v>-0.53111034719834993</v>
      </c>
      <c r="Q652">
        <f t="shared" si="995"/>
        <v>-7807866.2210553456</v>
      </c>
      <c r="R652">
        <f t="shared" si="996"/>
        <v>26186909.208637498</v>
      </c>
      <c r="S652">
        <f t="shared" si="997"/>
        <v>261.86909208637496</v>
      </c>
      <c r="T652">
        <f t="shared" si="998"/>
        <v>0.26186909208637499</v>
      </c>
    </row>
    <row r="653" spans="1:20" x14ac:dyDescent="0.25">
      <c r="A653" s="5">
        <v>43940</v>
      </c>
      <c r="B653">
        <v>2.3254000000000001</v>
      </c>
      <c r="C653">
        <v>2.3698000000000001</v>
      </c>
      <c r="D653">
        <v>2.2069999999999999</v>
      </c>
      <c r="E653">
        <v>2.2421000000000002</v>
      </c>
      <c r="F653">
        <v>9705060.8399999999</v>
      </c>
      <c r="G653">
        <v>0</v>
      </c>
      <c r="L653" t="s">
        <v>7</v>
      </c>
      <c r="M653" t="s">
        <v>8</v>
      </c>
      <c r="N653" t="s">
        <v>8</v>
      </c>
      <c r="P653">
        <f t="shared" si="994"/>
        <v>-0.56879606879606515</v>
      </c>
      <c r="Q653">
        <f t="shared" si="995"/>
        <v>-5520200.453218638</v>
      </c>
      <c r="R653">
        <f t="shared" si="996"/>
        <v>33994775.429692842</v>
      </c>
      <c r="S653">
        <f t="shared" si="997"/>
        <v>339.94775429692839</v>
      </c>
      <c r="T653">
        <f t="shared" si="998"/>
        <v>0.33994775429692842</v>
      </c>
    </row>
    <row r="654" spans="1:20" x14ac:dyDescent="0.25">
      <c r="A654" s="5">
        <v>43939</v>
      </c>
      <c r="B654">
        <v>2.0855000000000001</v>
      </c>
      <c r="C654">
        <v>2.3761999999999999</v>
      </c>
      <c r="D654">
        <v>2.0844</v>
      </c>
      <c r="E654">
        <v>2.3271999999999999</v>
      </c>
      <c r="F654">
        <v>10913578.92</v>
      </c>
      <c r="G654">
        <v>0</v>
      </c>
      <c r="L654" t="s">
        <v>8</v>
      </c>
      <c r="M654" t="s">
        <v>8</v>
      </c>
      <c r="N654" t="s">
        <v>8</v>
      </c>
      <c r="P654">
        <f t="shared" si="994"/>
        <v>0.66415352981494202</v>
      </c>
      <c r="Q654">
        <f t="shared" si="995"/>
        <v>7248291.9626319427</v>
      </c>
      <c r="R654">
        <f t="shared" si="996"/>
        <v>39514975.882911481</v>
      </c>
      <c r="S654">
        <f t="shared" si="997"/>
        <v>395.14975882911483</v>
      </c>
      <c r="T654">
        <f t="shared" si="998"/>
        <v>0.39514975882911485</v>
      </c>
    </row>
    <row r="655" spans="1:20" x14ac:dyDescent="0.25">
      <c r="A655" s="5">
        <v>43938</v>
      </c>
      <c r="B655">
        <v>2.1065</v>
      </c>
      <c r="C655">
        <v>2.1583999999999999</v>
      </c>
      <c r="D655">
        <v>2.06</v>
      </c>
      <c r="E655">
        <v>2.0870000000000002</v>
      </c>
      <c r="F655">
        <v>9030262.4399999995</v>
      </c>
      <c r="G655">
        <v>0</v>
      </c>
      <c r="L655" t="s">
        <v>8</v>
      </c>
      <c r="M655" t="s">
        <v>8</v>
      </c>
      <c r="N655" t="s">
        <v>8</v>
      </c>
      <c r="P655">
        <f t="shared" si="994"/>
        <v>-0.45121951219511819</v>
      </c>
      <c r="Q655">
        <f t="shared" si="995"/>
        <v>-4074630.6131706974</v>
      </c>
      <c r="R655">
        <f t="shared" si="996"/>
        <v>32266683.92027954</v>
      </c>
      <c r="S655">
        <f t="shared" si="997"/>
        <v>322.66683920279542</v>
      </c>
      <c r="T655">
        <f t="shared" si="998"/>
        <v>0.32266683920279543</v>
      </c>
    </row>
    <row r="656" spans="1:20" x14ac:dyDescent="0.25">
      <c r="A656" s="5">
        <v>43937</v>
      </c>
      <c r="B656">
        <v>1.8989</v>
      </c>
      <c r="C656">
        <v>2.1393</v>
      </c>
      <c r="D656">
        <v>1.8387</v>
      </c>
      <c r="E656">
        <v>2.1061999999999999</v>
      </c>
      <c r="F656">
        <v>11388397.949999999</v>
      </c>
      <c r="G656">
        <v>0</v>
      </c>
      <c r="L656" t="s">
        <v>8</v>
      </c>
      <c r="M656" t="s">
        <v>8</v>
      </c>
      <c r="N656" t="s">
        <v>8</v>
      </c>
      <c r="P656">
        <f t="shared" si="994"/>
        <v>0.77977378576180889</v>
      </c>
      <c r="Q656">
        <f t="shared" si="995"/>
        <v>8880374.1832335237</v>
      </c>
      <c r="R656">
        <f t="shared" si="996"/>
        <v>36341314.533450238</v>
      </c>
      <c r="S656">
        <f t="shared" si="997"/>
        <v>363.41314533450236</v>
      </c>
      <c r="T656">
        <f t="shared" si="998"/>
        <v>0.36341314533450236</v>
      </c>
    </row>
    <row r="657" spans="1:20" x14ac:dyDescent="0.25">
      <c r="A657" s="5">
        <v>43936</v>
      </c>
      <c r="B657">
        <v>1.9449000000000001</v>
      </c>
      <c r="C657">
        <v>1.9769000000000001</v>
      </c>
      <c r="D657">
        <v>1.8887</v>
      </c>
      <c r="E657">
        <v>1.8989</v>
      </c>
      <c r="F657">
        <v>5564540.5899999999</v>
      </c>
      <c r="G657">
        <v>0</v>
      </c>
      <c r="L657" t="s">
        <v>8</v>
      </c>
      <c r="M657" t="s">
        <v>8</v>
      </c>
      <c r="N657" t="s">
        <v>8</v>
      </c>
      <c r="P657">
        <f t="shared" si="994"/>
        <v>-0.76870748299319769</v>
      </c>
      <c r="Q657">
        <f t="shared" si="995"/>
        <v>-4277503.9909523828</v>
      </c>
      <c r="R657">
        <f t="shared" si="996"/>
        <v>27460940.350216713</v>
      </c>
      <c r="S657">
        <f t="shared" si="997"/>
        <v>274.60940350216714</v>
      </c>
      <c r="T657">
        <f t="shared" si="998"/>
        <v>0.27460940350216712</v>
      </c>
    </row>
    <row r="658" spans="1:20" x14ac:dyDescent="0.25">
      <c r="A658" s="5">
        <v>43935</v>
      </c>
      <c r="B658">
        <v>1.9347000000000001</v>
      </c>
      <c r="C658">
        <v>1.9955000000000001</v>
      </c>
      <c r="D658">
        <v>1.9029</v>
      </c>
      <c r="E658">
        <v>1.9455</v>
      </c>
      <c r="F658">
        <v>6244987.46</v>
      </c>
      <c r="G658">
        <v>0</v>
      </c>
      <c r="L658" t="s">
        <v>8</v>
      </c>
      <c r="M658" t="s">
        <v>8</v>
      </c>
      <c r="N658" t="s">
        <v>8</v>
      </c>
      <c r="P658">
        <f t="shared" si="994"/>
        <v>-7.991360691144786E-2</v>
      </c>
      <c r="Q658">
        <f t="shared" si="995"/>
        <v>-499059.47304536123</v>
      </c>
      <c r="R658">
        <f t="shared" si="996"/>
        <v>31738444.341169097</v>
      </c>
      <c r="S658">
        <f t="shared" si="997"/>
        <v>317.38444341169094</v>
      </c>
      <c r="T658">
        <f t="shared" si="998"/>
        <v>0.31738444341169092</v>
      </c>
    </row>
    <row r="659" spans="1:20" x14ac:dyDescent="0.25">
      <c r="A659" s="5">
        <v>43934</v>
      </c>
      <c r="B659">
        <v>2.0024000000000002</v>
      </c>
      <c r="C659">
        <v>2.0043000000000002</v>
      </c>
      <c r="D659">
        <v>1.8391999999999999</v>
      </c>
      <c r="E659">
        <v>1.9353</v>
      </c>
      <c r="F659">
        <v>9693142.9499999993</v>
      </c>
      <c r="G659">
        <v>0</v>
      </c>
      <c r="L659" t="s">
        <v>7</v>
      </c>
      <c r="M659" t="s">
        <v>8</v>
      </c>
      <c r="N659" t="s">
        <v>8</v>
      </c>
      <c r="P659">
        <f t="shared" si="994"/>
        <v>0.16414294367050189</v>
      </c>
      <c r="Q659">
        <f t="shared" si="995"/>
        <v>1591061.0172319724</v>
      </c>
      <c r="R659">
        <f t="shared" si="996"/>
        <v>32237503.814214457</v>
      </c>
      <c r="S659">
        <f t="shared" si="997"/>
        <v>322.37503814214455</v>
      </c>
      <c r="T659">
        <f t="shared" si="998"/>
        <v>0.32237503814214452</v>
      </c>
    </row>
    <row r="660" spans="1:20" x14ac:dyDescent="0.25">
      <c r="A660" s="5">
        <v>43933</v>
      </c>
      <c r="B660">
        <v>1.9753000000000001</v>
      </c>
      <c r="C660">
        <v>2.0644</v>
      </c>
      <c r="D660">
        <v>1.887</v>
      </c>
      <c r="E660">
        <v>2.0042</v>
      </c>
      <c r="F660">
        <v>11814253.57</v>
      </c>
      <c r="G660">
        <v>0</v>
      </c>
      <c r="L660" t="s">
        <v>7</v>
      </c>
      <c r="M660" t="s">
        <v>8</v>
      </c>
      <c r="N660" t="s">
        <v>8</v>
      </c>
      <c r="P660">
        <f t="shared" si="994"/>
        <v>0.32130777903043933</v>
      </c>
      <c r="Q660">
        <f t="shared" si="995"/>
        <v>3796011.5754791391</v>
      </c>
      <c r="R660">
        <f t="shared" si="996"/>
        <v>30646442.796982486</v>
      </c>
      <c r="S660">
        <f t="shared" si="997"/>
        <v>306.46442796982484</v>
      </c>
      <c r="T660">
        <f t="shared" si="998"/>
        <v>0.30646442796982482</v>
      </c>
    </row>
    <row r="661" spans="1:20" x14ac:dyDescent="0.25">
      <c r="A661" s="5">
        <v>43932</v>
      </c>
      <c r="B661">
        <v>1.9063000000000001</v>
      </c>
      <c r="C661">
        <v>2.0428999999999999</v>
      </c>
      <c r="D661">
        <v>1.8866000000000001</v>
      </c>
      <c r="E661">
        <v>1.9735</v>
      </c>
      <c r="F661">
        <v>9767767.25</v>
      </c>
      <c r="G661">
        <v>0</v>
      </c>
      <c r="L661" t="s">
        <v>8</v>
      </c>
      <c r="M661" t="s">
        <v>8</v>
      </c>
      <c r="N661" t="s">
        <v>8</v>
      </c>
      <c r="P661">
        <f t="shared" si="994"/>
        <v>0.1119641714651317</v>
      </c>
      <c r="Q661">
        <f t="shared" si="995"/>
        <v>1093639.9672104979</v>
      </c>
      <c r="R661">
        <f t="shared" si="996"/>
        <v>26850431.221503347</v>
      </c>
      <c r="S661">
        <f t="shared" si="997"/>
        <v>268.50431221503345</v>
      </c>
      <c r="T661">
        <f t="shared" si="998"/>
        <v>0.26850431221503346</v>
      </c>
    </row>
    <row r="662" spans="1:20" x14ac:dyDescent="0.25">
      <c r="A662" s="5">
        <v>43931</v>
      </c>
      <c r="B662">
        <v>2.1078000000000001</v>
      </c>
      <c r="C662">
        <v>2.1147999999999998</v>
      </c>
      <c r="D662">
        <v>1.81</v>
      </c>
      <c r="E662">
        <v>1.9077999999999999</v>
      </c>
      <c r="F662">
        <v>16843124.370000001</v>
      </c>
      <c r="G662">
        <v>0</v>
      </c>
      <c r="L662" t="s">
        <v>7</v>
      </c>
      <c r="M662" t="s">
        <v>8</v>
      </c>
      <c r="N662" t="s">
        <v>8</v>
      </c>
      <c r="P662">
        <f t="shared" si="994"/>
        <v>-0.35826771653543327</v>
      </c>
      <c r="Q662">
        <f t="shared" si="995"/>
        <v>-6034347.7073622085</v>
      </c>
      <c r="R662">
        <f t="shared" si="996"/>
        <v>25756791.254292849</v>
      </c>
      <c r="S662">
        <f t="shared" si="997"/>
        <v>257.56791254292847</v>
      </c>
      <c r="T662">
        <f t="shared" si="998"/>
        <v>0.25756791254292849</v>
      </c>
    </row>
    <row r="663" spans="1:20" x14ac:dyDescent="0.25">
      <c r="A663" s="5">
        <v>43930</v>
      </c>
      <c r="B663">
        <v>2.1452</v>
      </c>
      <c r="C663">
        <v>2.1800000000000002</v>
      </c>
      <c r="D663">
        <v>1.9850000000000001</v>
      </c>
      <c r="E663">
        <v>2.1078000000000001</v>
      </c>
      <c r="F663">
        <v>14207880.560000001</v>
      </c>
      <c r="G663">
        <v>0</v>
      </c>
      <c r="L663" t="s">
        <v>7</v>
      </c>
      <c r="M663" t="s">
        <v>8</v>
      </c>
      <c r="N663" t="s">
        <v>8</v>
      </c>
      <c r="P663">
        <f t="shared" si="994"/>
        <v>0.25948717948717931</v>
      </c>
      <c r="Q663">
        <f t="shared" si="995"/>
        <v>3686762.8530051257</v>
      </c>
      <c r="R663">
        <f t="shared" si="996"/>
        <v>31791138.961655058</v>
      </c>
      <c r="S663">
        <f t="shared" si="997"/>
        <v>317.91138961655059</v>
      </c>
      <c r="T663">
        <f t="shared" si="998"/>
        <v>0.31791138961655058</v>
      </c>
    </row>
    <row r="664" spans="1:20" x14ac:dyDescent="0.25">
      <c r="A664" s="5">
        <v>43929</v>
      </c>
      <c r="B664">
        <v>1.9583999999999999</v>
      </c>
      <c r="C664">
        <v>2.1758999999999999</v>
      </c>
      <c r="D664">
        <v>1.9233</v>
      </c>
      <c r="E664">
        <v>2.1427</v>
      </c>
      <c r="F664">
        <v>14206350.4</v>
      </c>
      <c r="G664">
        <v>0</v>
      </c>
      <c r="L664" t="s">
        <v>8</v>
      </c>
      <c r="M664" t="s">
        <v>8</v>
      </c>
      <c r="N664" t="s">
        <v>8</v>
      </c>
      <c r="P664">
        <f t="shared" si="994"/>
        <v>0.73713380839271647</v>
      </c>
      <c r="Q664">
        <f t="shared" si="995"/>
        <v>10471981.173713392</v>
      </c>
      <c r="R664">
        <f t="shared" si="996"/>
        <v>28104376.108649932</v>
      </c>
      <c r="S664">
        <f t="shared" si="997"/>
        <v>281.04376108649933</v>
      </c>
      <c r="T664">
        <f t="shared" si="998"/>
        <v>0.28104376108649931</v>
      </c>
    </row>
    <row r="665" spans="1:20" x14ac:dyDescent="0.25">
      <c r="A665" s="5">
        <v>43928</v>
      </c>
      <c r="B665">
        <v>1.9149</v>
      </c>
      <c r="C665">
        <v>2.0991</v>
      </c>
      <c r="D665">
        <v>1.8668</v>
      </c>
      <c r="E665">
        <v>1.9609000000000001</v>
      </c>
      <c r="F665">
        <v>22696228.100000001</v>
      </c>
      <c r="G665">
        <v>0</v>
      </c>
      <c r="L665" t="s">
        <v>8</v>
      </c>
      <c r="M665" t="s">
        <v>8</v>
      </c>
      <c r="N665" t="s">
        <v>8</v>
      </c>
      <c r="P665">
        <f t="shared" si="994"/>
        <v>-0.18984072320275427</v>
      </c>
      <c r="Q665">
        <f t="shared" si="995"/>
        <v>-4308668.3564786734</v>
      </c>
      <c r="R665">
        <f t="shared" si="996"/>
        <v>17632394.934936538</v>
      </c>
      <c r="S665">
        <f t="shared" si="997"/>
        <v>176.32394934936539</v>
      </c>
      <c r="T665">
        <f t="shared" si="998"/>
        <v>0.17632394934936541</v>
      </c>
    </row>
    <row r="666" spans="1:20" x14ac:dyDescent="0.25">
      <c r="A666" s="5">
        <v>43927</v>
      </c>
      <c r="B666">
        <v>1.6633</v>
      </c>
      <c r="C666">
        <v>1.9145000000000001</v>
      </c>
      <c r="D666">
        <v>1.6577999999999999</v>
      </c>
      <c r="E666">
        <v>1.9145000000000001</v>
      </c>
      <c r="F666">
        <v>11231886.76</v>
      </c>
      <c r="G666">
        <v>0</v>
      </c>
      <c r="L666" t="s">
        <v>8</v>
      </c>
      <c r="M666" t="s">
        <v>8</v>
      </c>
      <c r="N666" t="s">
        <v>8</v>
      </c>
      <c r="P666">
        <f t="shared" si="994"/>
        <v>1</v>
      </c>
      <c r="Q666">
        <f t="shared" si="995"/>
        <v>11231886.76</v>
      </c>
      <c r="R666">
        <f t="shared" si="996"/>
        <v>21941063.291415211</v>
      </c>
      <c r="S666">
        <f t="shared" si="997"/>
        <v>219.4106329141521</v>
      </c>
      <c r="T666">
        <f t="shared" si="998"/>
        <v>0.21941063291415211</v>
      </c>
    </row>
    <row r="667" spans="1:20" x14ac:dyDescent="0.25">
      <c r="A667" s="5">
        <v>43926</v>
      </c>
      <c r="B667">
        <v>1.6975</v>
      </c>
      <c r="C667">
        <v>1.7069000000000001</v>
      </c>
      <c r="D667">
        <v>1.6618999999999999</v>
      </c>
      <c r="E667">
        <v>1.665</v>
      </c>
      <c r="F667">
        <v>3187977.58</v>
      </c>
      <c r="G667">
        <v>0</v>
      </c>
      <c r="L667" t="s">
        <v>7</v>
      </c>
      <c r="M667" t="s">
        <v>8</v>
      </c>
      <c r="N667" t="s">
        <v>8</v>
      </c>
      <c r="P667">
        <f t="shared" si="994"/>
        <v>-0.86222222222221812</v>
      </c>
      <c r="Q667">
        <f t="shared" si="995"/>
        <v>-2748745.1134222094</v>
      </c>
      <c r="R667">
        <f t="shared" si="996"/>
        <v>10709176.531415211</v>
      </c>
      <c r="S667">
        <f t="shared" si="997"/>
        <v>107.09176531415211</v>
      </c>
      <c r="T667">
        <f t="shared" si="998"/>
        <v>0.10709176531415211</v>
      </c>
    </row>
    <row r="668" spans="1:20" x14ac:dyDescent="0.25">
      <c r="A668" s="5">
        <v>43925</v>
      </c>
      <c r="B668">
        <v>1.6763999999999999</v>
      </c>
      <c r="C668">
        <v>1.73</v>
      </c>
      <c r="D668">
        <v>1.6519999999999999</v>
      </c>
      <c r="E668">
        <v>1.6957</v>
      </c>
      <c r="F668">
        <v>5261212.9400000004</v>
      </c>
      <c r="G668">
        <v>0</v>
      </c>
      <c r="L668" t="s">
        <v>7</v>
      </c>
      <c r="M668" t="s">
        <v>8</v>
      </c>
      <c r="N668" t="s">
        <v>8</v>
      </c>
      <c r="P668">
        <f t="shared" si="994"/>
        <v>0.12051282051282136</v>
      </c>
      <c r="Q668">
        <f t="shared" si="995"/>
        <v>634043.61071795318</v>
      </c>
      <c r="R668">
        <f t="shared" si="996"/>
        <v>13457921.64483742</v>
      </c>
      <c r="S668">
        <f t="shared" si="997"/>
        <v>134.57921644837421</v>
      </c>
      <c r="T668">
        <f t="shared" si="998"/>
        <v>0.1345792164483742</v>
      </c>
    </row>
    <row r="669" spans="1:20" x14ac:dyDescent="0.25">
      <c r="A669" s="5">
        <v>43924</v>
      </c>
      <c r="B669">
        <v>1.6652</v>
      </c>
      <c r="C669">
        <v>1.7790999999999999</v>
      </c>
      <c r="D669">
        <v>1.6485000000000001</v>
      </c>
      <c r="E669">
        <v>1.6753</v>
      </c>
      <c r="F669">
        <v>8512027.5199999996</v>
      </c>
      <c r="G669">
        <v>0</v>
      </c>
      <c r="L669" t="s">
        <v>7</v>
      </c>
      <c r="M669" t="s">
        <v>8</v>
      </c>
      <c r="N669" t="s">
        <v>8</v>
      </c>
      <c r="P669">
        <f t="shared" si="994"/>
        <v>-0.58958652373660081</v>
      </c>
      <c r="Q669">
        <f t="shared" si="995"/>
        <v>-5018576.7154670786</v>
      </c>
      <c r="R669">
        <f t="shared" si="996"/>
        <v>12823878.034119466</v>
      </c>
      <c r="S669">
        <f t="shared" si="997"/>
        <v>128.23878034119465</v>
      </c>
      <c r="T669">
        <f t="shared" si="998"/>
        <v>0.12823878034119465</v>
      </c>
    </row>
    <row r="670" spans="1:20" x14ac:dyDescent="0.25">
      <c r="A670" s="5">
        <v>43923</v>
      </c>
      <c r="B670">
        <v>1.6071</v>
      </c>
      <c r="C670">
        <v>1.8</v>
      </c>
      <c r="D670">
        <v>1.581</v>
      </c>
      <c r="E670">
        <v>1.6671</v>
      </c>
      <c r="F670">
        <v>12746371.689999999</v>
      </c>
      <c r="G670">
        <v>0</v>
      </c>
      <c r="L670" t="s">
        <v>8</v>
      </c>
      <c r="M670" t="s">
        <v>8</v>
      </c>
      <c r="N670" t="s">
        <v>8</v>
      </c>
      <c r="P670">
        <f t="shared" si="994"/>
        <v>-0.21369863013698601</v>
      </c>
      <c r="Q670">
        <f t="shared" si="995"/>
        <v>-2723882.1693698592</v>
      </c>
      <c r="R670">
        <f t="shared" si="996"/>
        <v>17842454.749586545</v>
      </c>
      <c r="S670">
        <f t="shared" si="997"/>
        <v>178.42454749586545</v>
      </c>
      <c r="T670">
        <f t="shared" si="998"/>
        <v>0.17842454749586545</v>
      </c>
    </row>
    <row r="671" spans="1:20" x14ac:dyDescent="0.25">
      <c r="A671" s="5">
        <v>43922</v>
      </c>
      <c r="B671">
        <v>1.6085</v>
      </c>
      <c r="C671">
        <v>1.6334</v>
      </c>
      <c r="D671">
        <v>1.5204</v>
      </c>
      <c r="E671">
        <v>1.6089</v>
      </c>
      <c r="F671">
        <v>5734595.3200000003</v>
      </c>
      <c r="G671">
        <v>0</v>
      </c>
      <c r="L671" t="s">
        <v>7</v>
      </c>
      <c r="M671" t="s">
        <v>7</v>
      </c>
      <c r="N671" t="s">
        <v>8</v>
      </c>
      <c r="P671">
        <f t="shared" si="994"/>
        <v>0.56637168141592975</v>
      </c>
      <c r="Q671">
        <f t="shared" si="995"/>
        <v>3247912.3936283221</v>
      </c>
      <c r="R671">
        <f t="shared" si="996"/>
        <v>20566336.918956403</v>
      </c>
      <c r="S671">
        <f t="shared" si="997"/>
        <v>205.66336918956404</v>
      </c>
      <c r="T671">
        <f t="shared" si="998"/>
        <v>0.20566336918956404</v>
      </c>
    </row>
    <row r="672" spans="1:20" x14ac:dyDescent="0.25">
      <c r="A672" s="5">
        <v>43921</v>
      </c>
      <c r="B672">
        <v>1.6063000000000001</v>
      </c>
      <c r="C672">
        <v>1.6384000000000001</v>
      </c>
      <c r="D672">
        <v>1.5470999999999999</v>
      </c>
      <c r="E672">
        <v>1.607</v>
      </c>
      <c r="F672">
        <v>4635979.16</v>
      </c>
      <c r="G672">
        <v>0</v>
      </c>
      <c r="L672" t="s">
        <v>8</v>
      </c>
      <c r="M672" t="s">
        <v>7</v>
      </c>
      <c r="N672" t="s">
        <v>8</v>
      </c>
      <c r="P672">
        <f t="shared" si="994"/>
        <v>0.31215772179627516</v>
      </c>
      <c r="Q672">
        <f t="shared" si="995"/>
        <v>1447156.6928806095</v>
      </c>
      <c r="R672">
        <f t="shared" si="996"/>
        <v>17318424.525328081</v>
      </c>
      <c r="S672">
        <f t="shared" si="997"/>
        <v>173.18424525328081</v>
      </c>
      <c r="T672">
        <f t="shared" si="998"/>
        <v>0.1731842452532808</v>
      </c>
    </row>
    <row r="673" spans="1:20" x14ac:dyDescent="0.25">
      <c r="A673" s="5">
        <v>43920</v>
      </c>
      <c r="B673">
        <v>1.4681</v>
      </c>
      <c r="C673">
        <v>1.66</v>
      </c>
      <c r="D673">
        <v>1.4619</v>
      </c>
      <c r="E673">
        <v>1.6066</v>
      </c>
      <c r="F673">
        <v>6206175.5300000003</v>
      </c>
      <c r="G673">
        <v>0</v>
      </c>
      <c r="L673" t="s">
        <v>8</v>
      </c>
      <c r="M673" t="s">
        <v>7</v>
      </c>
      <c r="N673" t="s">
        <v>8</v>
      </c>
      <c r="P673">
        <f t="shared" si="994"/>
        <v>0.46087834427057134</v>
      </c>
      <c r="Q673">
        <f t="shared" si="995"/>
        <v>2860291.9025189355</v>
      </c>
      <c r="R673">
        <f t="shared" si="996"/>
        <v>15871267.832447473</v>
      </c>
      <c r="S673">
        <f t="shared" si="997"/>
        <v>158.71267832447472</v>
      </c>
      <c r="T673">
        <f t="shared" si="998"/>
        <v>0.15871267832447472</v>
      </c>
    </row>
    <row r="674" spans="1:20" x14ac:dyDescent="0.25">
      <c r="A674" s="5">
        <v>43919</v>
      </c>
      <c r="B674">
        <v>1.5617000000000001</v>
      </c>
      <c r="C674">
        <v>1.5794999999999999</v>
      </c>
      <c r="D674">
        <v>1.462</v>
      </c>
      <c r="E674">
        <v>1.4683999999999999</v>
      </c>
      <c r="F674">
        <v>3984238.43</v>
      </c>
      <c r="G674">
        <v>0</v>
      </c>
      <c r="L674" t="s">
        <v>7</v>
      </c>
      <c r="M674" t="s">
        <v>7</v>
      </c>
      <c r="N674" t="s">
        <v>8</v>
      </c>
      <c r="P674">
        <f t="shared" si="994"/>
        <v>-0.89106382978723464</v>
      </c>
      <c r="Q674">
        <f t="shared" si="995"/>
        <v>-3550210.7542212792</v>
      </c>
      <c r="R674">
        <f t="shared" si="996"/>
        <v>13010975.929928537</v>
      </c>
      <c r="S674">
        <f t="shared" si="997"/>
        <v>130.10975929928537</v>
      </c>
      <c r="T674">
        <f t="shared" si="998"/>
        <v>0.13010975929928537</v>
      </c>
    </row>
    <row r="675" spans="1:20" x14ac:dyDescent="0.25">
      <c r="A675" s="5">
        <v>43918</v>
      </c>
      <c r="B675">
        <v>1.5852999999999999</v>
      </c>
      <c r="C675">
        <v>1.6135999999999999</v>
      </c>
      <c r="D675">
        <v>1.5051000000000001</v>
      </c>
      <c r="E675">
        <v>1.5617000000000001</v>
      </c>
      <c r="F675">
        <v>7053279.9800000004</v>
      </c>
      <c r="G675">
        <v>0</v>
      </c>
      <c r="L675" t="s">
        <v>7</v>
      </c>
      <c r="M675" t="s">
        <v>8</v>
      </c>
      <c r="N675" t="s">
        <v>8</v>
      </c>
      <c r="P675">
        <f t="shared" si="994"/>
        <v>4.3317972350231854E-2</v>
      </c>
      <c r="Q675">
        <f t="shared" si="995"/>
        <v>305533.78715208388</v>
      </c>
      <c r="R675">
        <f t="shared" si="996"/>
        <v>16561186.684149817</v>
      </c>
      <c r="S675">
        <f t="shared" si="997"/>
        <v>165.61186684149817</v>
      </c>
      <c r="T675">
        <f t="shared" si="998"/>
        <v>0.16561186684149817</v>
      </c>
    </row>
    <row r="676" spans="1:20" x14ac:dyDescent="0.25">
      <c r="A676" s="5">
        <v>43917</v>
      </c>
      <c r="B676">
        <v>1.7553000000000001</v>
      </c>
      <c r="C676">
        <v>1.7807999999999999</v>
      </c>
      <c r="D676">
        <v>1.5649999999999999</v>
      </c>
      <c r="E676">
        <v>1.5873999999999999</v>
      </c>
      <c r="F676">
        <v>7126460.7999999998</v>
      </c>
      <c r="G676">
        <v>0</v>
      </c>
      <c r="L676" t="s">
        <v>7</v>
      </c>
      <c r="M676" t="s">
        <v>8</v>
      </c>
      <c r="N676" t="s">
        <v>8</v>
      </c>
      <c r="P676">
        <f t="shared" si="994"/>
        <v>-0.7924003707136239</v>
      </c>
      <c r="Q676">
        <f t="shared" si="995"/>
        <v>-5647010.179796109</v>
      </c>
      <c r="R676">
        <f t="shared" si="996"/>
        <v>16255652.896997733</v>
      </c>
      <c r="S676">
        <f t="shared" si="997"/>
        <v>162.55652896997734</v>
      </c>
      <c r="T676">
        <f t="shared" si="998"/>
        <v>0.16255652896997733</v>
      </c>
    </row>
    <row r="677" spans="1:20" x14ac:dyDescent="0.25">
      <c r="A677" s="5">
        <v>43916</v>
      </c>
      <c r="B677">
        <v>1.7130000000000001</v>
      </c>
      <c r="C677">
        <v>1.76</v>
      </c>
      <c r="D677">
        <v>1.7</v>
      </c>
      <c r="E677">
        <v>1.7545999999999999</v>
      </c>
      <c r="F677">
        <v>4770709.83</v>
      </c>
      <c r="G677">
        <v>0</v>
      </c>
      <c r="L677" t="s">
        <v>7</v>
      </c>
      <c r="M677" t="s">
        <v>8</v>
      </c>
      <c r="N677" t="s">
        <v>8</v>
      </c>
      <c r="P677">
        <f t="shared" si="994"/>
        <v>0.81999999999999773</v>
      </c>
      <c r="Q677">
        <f t="shared" si="995"/>
        <v>3911982.0605999893</v>
      </c>
      <c r="R677">
        <f t="shared" si="996"/>
        <v>21902663.076793842</v>
      </c>
      <c r="S677">
        <f t="shared" si="997"/>
        <v>219.02663076793843</v>
      </c>
      <c r="T677">
        <f t="shared" si="998"/>
        <v>0.21902663076793843</v>
      </c>
    </row>
    <row r="678" spans="1:20" x14ac:dyDescent="0.25">
      <c r="A678" s="5">
        <v>43915</v>
      </c>
      <c r="B678">
        <v>1.7594000000000001</v>
      </c>
      <c r="C678">
        <v>1.7917000000000001</v>
      </c>
      <c r="D678">
        <v>1.6427</v>
      </c>
      <c r="E678">
        <v>1.7110000000000001</v>
      </c>
      <c r="F678">
        <v>10075575.41</v>
      </c>
      <c r="G678">
        <v>0</v>
      </c>
      <c r="L678" t="s">
        <v>7</v>
      </c>
      <c r="M678" t="s">
        <v>8</v>
      </c>
      <c r="N678" t="s">
        <v>8</v>
      </c>
      <c r="P678">
        <f t="shared" si="994"/>
        <v>-8.322147651006688E-2</v>
      </c>
      <c r="Q678">
        <f t="shared" si="995"/>
        <v>-838504.26230872248</v>
      </c>
      <c r="R678">
        <f t="shared" si="996"/>
        <v>17990681.016193852</v>
      </c>
      <c r="S678">
        <f t="shared" si="997"/>
        <v>179.90681016193852</v>
      </c>
      <c r="T678">
        <f t="shared" si="998"/>
        <v>0.17990681016193852</v>
      </c>
    </row>
    <row r="679" spans="1:20" x14ac:dyDescent="0.25">
      <c r="A679" s="5">
        <v>43914</v>
      </c>
      <c r="B679">
        <v>1.6752</v>
      </c>
      <c r="C679">
        <v>1.7818000000000001</v>
      </c>
      <c r="D679">
        <v>1.6167</v>
      </c>
      <c r="E679">
        <v>1.7611000000000001</v>
      </c>
      <c r="F679">
        <v>12744951.4</v>
      </c>
      <c r="G679">
        <v>0</v>
      </c>
      <c r="L679" t="s">
        <v>8</v>
      </c>
      <c r="M679" t="s">
        <v>8</v>
      </c>
      <c r="N679" t="s">
        <v>8</v>
      </c>
      <c r="P679">
        <f t="shared" si="994"/>
        <v>0.74924288310115161</v>
      </c>
      <c r="Q679">
        <f t="shared" si="995"/>
        <v>9549064.1319200583</v>
      </c>
      <c r="R679">
        <f t="shared" si="996"/>
        <v>18829185.278502576</v>
      </c>
      <c r="S679">
        <f t="shared" si="997"/>
        <v>188.29185278502575</v>
      </c>
      <c r="T679">
        <f t="shared" si="998"/>
        <v>0.18829185278502575</v>
      </c>
    </row>
    <row r="680" spans="1:20" x14ac:dyDescent="0.25">
      <c r="A680" s="5">
        <v>43913</v>
      </c>
      <c r="B680">
        <v>1.4721</v>
      </c>
      <c r="C680">
        <v>1.6991000000000001</v>
      </c>
      <c r="D680">
        <v>1.4432</v>
      </c>
      <c r="E680">
        <v>1.6777</v>
      </c>
      <c r="F680">
        <v>11947435.26</v>
      </c>
      <c r="G680">
        <v>0</v>
      </c>
      <c r="L680" t="s">
        <v>8</v>
      </c>
      <c r="M680" t="s">
        <v>7</v>
      </c>
      <c r="N680" t="s">
        <v>8</v>
      </c>
      <c r="P680">
        <f t="shared" si="994"/>
        <v>0.83274716686205486</v>
      </c>
      <c r="Q680">
        <f t="shared" si="995"/>
        <v>9949192.864032818</v>
      </c>
      <c r="R680">
        <f t="shared" si="996"/>
        <v>9280121.1465825178</v>
      </c>
      <c r="S680">
        <f t="shared" si="997"/>
        <v>92.801211465825176</v>
      </c>
      <c r="T680">
        <f t="shared" si="998"/>
        <v>9.2801211465825179E-2</v>
      </c>
    </row>
    <row r="681" spans="1:20" x14ac:dyDescent="0.25">
      <c r="A681" s="5">
        <v>43912</v>
      </c>
      <c r="B681">
        <v>1.6596</v>
      </c>
      <c r="C681">
        <v>1.7176</v>
      </c>
      <c r="D681">
        <v>1.45</v>
      </c>
      <c r="E681">
        <v>1.4724999999999999</v>
      </c>
      <c r="F681">
        <v>11507395.779999999</v>
      </c>
      <c r="G681">
        <v>0</v>
      </c>
      <c r="L681" t="s">
        <v>7</v>
      </c>
      <c r="M681" t="s">
        <v>7</v>
      </c>
      <c r="N681" t="s">
        <v>8</v>
      </c>
      <c r="P681">
        <f t="shared" si="994"/>
        <v>-0.83183856502242182</v>
      </c>
      <c r="Q681">
        <f t="shared" si="995"/>
        <v>-9572295.5927802715</v>
      </c>
      <c r="R681">
        <f t="shared" si="996"/>
        <v>-669071.71745030023</v>
      </c>
      <c r="S681">
        <f t="shared" si="997"/>
        <v>-6.6907171745030025</v>
      </c>
      <c r="T681">
        <f t="shared" si="998"/>
        <v>-6.6907171745030029E-3</v>
      </c>
    </row>
    <row r="682" spans="1:20" x14ac:dyDescent="0.25">
      <c r="A682" s="5">
        <v>43911</v>
      </c>
      <c r="B682">
        <v>1.6832</v>
      </c>
      <c r="C682">
        <v>1.7668999999999999</v>
      </c>
      <c r="D682">
        <v>1.5749</v>
      </c>
      <c r="E682">
        <v>1.6618999999999999</v>
      </c>
      <c r="F682">
        <v>12582936.720000001</v>
      </c>
      <c r="G682">
        <v>0</v>
      </c>
      <c r="L682" t="s">
        <v>7</v>
      </c>
      <c r="M682" t="s">
        <v>8</v>
      </c>
      <c r="N682" t="s">
        <v>8</v>
      </c>
      <c r="P682">
        <f t="shared" si="994"/>
        <v>-9.3750000000000111E-2</v>
      </c>
      <c r="Q682">
        <f t="shared" si="995"/>
        <v>-1179650.3175000015</v>
      </c>
      <c r="R682">
        <f t="shared" si="996"/>
        <v>8903223.8753299713</v>
      </c>
      <c r="S682">
        <f t="shared" si="997"/>
        <v>89.032238753299708</v>
      </c>
      <c r="T682">
        <f t="shared" si="998"/>
        <v>8.9032238753299714E-2</v>
      </c>
    </row>
    <row r="683" spans="1:20" x14ac:dyDescent="0.25">
      <c r="A683" s="5">
        <v>43910</v>
      </c>
      <c r="B683">
        <v>1.6315999999999999</v>
      </c>
      <c r="C683">
        <v>1.8802000000000001</v>
      </c>
      <c r="D683">
        <v>1.48</v>
      </c>
      <c r="E683">
        <v>1.6825000000000001</v>
      </c>
      <c r="F683">
        <v>18832288.859999999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1.1994002998501089E-2</v>
      </c>
      <c r="Q683">
        <f t="shared" si="995"/>
        <v>225874.52905547866</v>
      </c>
      <c r="R683">
        <f t="shared" si="996"/>
        <v>10082874.192829972</v>
      </c>
      <c r="S683">
        <f t="shared" si="997"/>
        <v>100.82874192829972</v>
      </c>
      <c r="T683">
        <f t="shared" si="998"/>
        <v>0.10082874192829971</v>
      </c>
    </row>
    <row r="684" spans="1:20" x14ac:dyDescent="0.25">
      <c r="A684" s="5">
        <v>43909</v>
      </c>
      <c r="B684">
        <v>1.3986000000000001</v>
      </c>
      <c r="C684">
        <v>1.74</v>
      </c>
      <c r="D684">
        <v>1.3567</v>
      </c>
      <c r="E684">
        <v>1.6318999999999999</v>
      </c>
      <c r="F684">
        <v>19257420.399999999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0.43595095225671748</v>
      </c>
      <c r="Q684">
        <f t="shared" si="995"/>
        <v>8395290.7613879368</v>
      </c>
      <c r="R684">
        <f t="shared" si="996"/>
        <v>9856999.6637744941</v>
      </c>
      <c r="S684">
        <f t="shared" si="997"/>
        <v>98.569996637744936</v>
      </c>
      <c r="T684">
        <f t="shared" si="998"/>
        <v>9.8569996637744933E-2</v>
      </c>
    </row>
    <row r="685" spans="1:20" x14ac:dyDescent="0.25">
      <c r="A685" s="5">
        <v>43908</v>
      </c>
      <c r="B685">
        <v>1.3640000000000001</v>
      </c>
      <c r="C685">
        <v>1.4206000000000001</v>
      </c>
      <c r="D685">
        <v>1.2823</v>
      </c>
      <c r="E685">
        <v>1.3997999999999999</v>
      </c>
      <c r="F685">
        <v>12819920.869999999</v>
      </c>
      <c r="G685">
        <v>0</v>
      </c>
      <c r="L685" t="s">
        <v>7</v>
      </c>
      <c r="M685" t="s">
        <v>8</v>
      </c>
      <c r="N685" t="s">
        <v>7</v>
      </c>
      <c r="P685">
        <f t="shared" si="994"/>
        <v>0.69920462762111157</v>
      </c>
      <c r="Q685">
        <f t="shared" si="995"/>
        <v>8963747.9980404656</v>
      </c>
      <c r="R685">
        <f t="shared" si="996"/>
        <v>1461708.9023865582</v>
      </c>
      <c r="S685">
        <f t="shared" si="997"/>
        <v>14.617089023865583</v>
      </c>
      <c r="T685">
        <f t="shared" si="998"/>
        <v>1.4617089023865583E-2</v>
      </c>
    </row>
    <row r="686" spans="1:20" x14ac:dyDescent="0.25">
      <c r="A686" s="5">
        <v>43907</v>
      </c>
      <c r="B686">
        <v>1.3231999999999999</v>
      </c>
      <c r="C686">
        <v>1.48</v>
      </c>
      <c r="D686">
        <v>1.2850999999999999</v>
      </c>
      <c r="E686">
        <v>1.3645</v>
      </c>
      <c r="F686">
        <v>15960426.82</v>
      </c>
      <c r="G686">
        <v>0</v>
      </c>
      <c r="L686" t="s">
        <v>8</v>
      </c>
      <c r="M686" t="s">
        <v>8</v>
      </c>
      <c r="N686" t="s">
        <v>7</v>
      </c>
      <c r="P686">
        <f t="shared" si="994"/>
        <v>-0.18522319138019386</v>
      </c>
      <c r="Q686">
        <f t="shared" si="995"/>
        <v>-2956241.1913904389</v>
      </c>
      <c r="R686">
        <f t="shared" si="996"/>
        <v>-7502039.0956539074</v>
      </c>
      <c r="S686">
        <f t="shared" si="997"/>
        <v>-75.020390956539075</v>
      </c>
      <c r="T686">
        <f t="shared" si="998"/>
        <v>-7.5020390956539076E-2</v>
      </c>
    </row>
    <row r="687" spans="1:20" x14ac:dyDescent="0.25">
      <c r="A687" s="5">
        <v>43906</v>
      </c>
      <c r="B687">
        <v>1.5446</v>
      </c>
      <c r="C687">
        <v>1.5446</v>
      </c>
      <c r="D687">
        <v>1.1200000000000001</v>
      </c>
      <c r="E687">
        <v>1.3231999999999999</v>
      </c>
      <c r="F687">
        <v>25566454.190000001</v>
      </c>
      <c r="G687">
        <v>0</v>
      </c>
      <c r="L687" t="s">
        <v>7</v>
      </c>
      <c r="M687" t="s">
        <v>7</v>
      </c>
      <c r="N687" t="s">
        <v>7</v>
      </c>
      <c r="P687">
        <f t="shared" si="994"/>
        <v>-4.286387187941644E-2</v>
      </c>
      <c r="Q687">
        <f t="shared" si="995"/>
        <v>-1095877.2168111296</v>
      </c>
      <c r="R687">
        <f t="shared" si="996"/>
        <v>-4545797.9042634685</v>
      </c>
      <c r="S687">
        <f t="shared" si="997"/>
        <v>-45.457979042634683</v>
      </c>
      <c r="T687">
        <f t="shared" si="998"/>
        <v>-4.5457979042634683E-2</v>
      </c>
    </row>
    <row r="688" spans="1:20" x14ac:dyDescent="0.25">
      <c r="A688" s="5">
        <v>43905</v>
      </c>
      <c r="B688">
        <v>1.5809</v>
      </c>
      <c r="C688">
        <v>1.7647999999999999</v>
      </c>
      <c r="D688">
        <v>1.4249000000000001</v>
      </c>
      <c r="E688">
        <v>1.5451999999999999</v>
      </c>
      <c r="F688">
        <v>14590963.26</v>
      </c>
      <c r="G688">
        <v>0</v>
      </c>
      <c r="L688" t="s">
        <v>7</v>
      </c>
      <c r="M688" t="s">
        <v>7</v>
      </c>
      <c r="N688" t="s">
        <v>8</v>
      </c>
      <c r="P688">
        <f t="shared" si="994"/>
        <v>-0.29214474845542865</v>
      </c>
      <c r="Q688">
        <f t="shared" si="995"/>
        <v>-4262673.2913151011</v>
      </c>
      <c r="R688">
        <f t="shared" si="996"/>
        <v>-3449920.6874523386</v>
      </c>
      <c r="S688">
        <f t="shared" si="997"/>
        <v>-34.499206874523388</v>
      </c>
      <c r="T688">
        <f t="shared" si="998"/>
        <v>-3.4499206874523389E-2</v>
      </c>
    </row>
    <row r="689" spans="1:20" x14ac:dyDescent="0.25">
      <c r="A689" s="5">
        <v>43904</v>
      </c>
      <c r="B689">
        <v>1.7592000000000001</v>
      </c>
      <c r="C689">
        <v>1.84</v>
      </c>
      <c r="D689">
        <v>1.5329999999999999</v>
      </c>
      <c r="E689">
        <v>1.5859000000000001</v>
      </c>
      <c r="F689">
        <v>13656877.52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-0.65537459283387534</v>
      </c>
      <c r="Q689">
        <f t="shared" si="995"/>
        <v>-8950370.5440521054</v>
      </c>
      <c r="R689">
        <f t="shared" si="996"/>
        <v>812752.60386276245</v>
      </c>
      <c r="S689">
        <f t="shared" si="997"/>
        <v>8.1275260386276251</v>
      </c>
      <c r="T689">
        <f t="shared" si="998"/>
        <v>8.1275260386276249E-3</v>
      </c>
    </row>
    <row r="690" spans="1:20" x14ac:dyDescent="0.25">
      <c r="A690" s="5">
        <v>43903</v>
      </c>
      <c r="B690">
        <v>1.3192999999999999</v>
      </c>
      <c r="C690">
        <v>1.9498</v>
      </c>
      <c r="D690">
        <v>0.95</v>
      </c>
      <c r="E690">
        <v>1.7674000000000001</v>
      </c>
      <c r="F690">
        <v>42775465.859999999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0.63512702540508126</v>
      </c>
      <c r="Q690">
        <f t="shared" si="995"/>
        <v>27167854.391978405</v>
      </c>
      <c r="R690">
        <f t="shared" si="996"/>
        <v>9763123.1479148678</v>
      </c>
      <c r="S690">
        <f t="shared" si="997"/>
        <v>97.631231479148681</v>
      </c>
      <c r="T690">
        <f t="shared" si="998"/>
        <v>9.7631231479148678E-2</v>
      </c>
    </row>
    <row r="691" spans="1:20" x14ac:dyDescent="0.25">
      <c r="A691" s="5">
        <v>43902</v>
      </c>
      <c r="B691">
        <v>2.5101</v>
      </c>
      <c r="C691">
        <v>2.5236999999999998</v>
      </c>
      <c r="D691">
        <v>1.2816000000000001</v>
      </c>
      <c r="E691">
        <v>1.319</v>
      </c>
      <c r="F691">
        <v>34346233.079999998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-0.93977940584494024</v>
      </c>
      <c r="Q691">
        <f t="shared" si="995"/>
        <v>-32277882.516934231</v>
      </c>
      <c r="R691">
        <f t="shared" si="996"/>
        <v>-17404731.244063538</v>
      </c>
      <c r="S691">
        <f t="shared" si="997"/>
        <v>-174.04731244063538</v>
      </c>
      <c r="T691">
        <f t="shared" si="998"/>
        <v>-0.17404731244063537</v>
      </c>
    </row>
    <row r="692" spans="1:20" x14ac:dyDescent="0.25">
      <c r="A692" s="5">
        <v>43901</v>
      </c>
      <c r="B692">
        <v>2.5929000000000002</v>
      </c>
      <c r="C692">
        <v>2.6836000000000002</v>
      </c>
      <c r="D692">
        <v>2.2806999999999999</v>
      </c>
      <c r="E692">
        <v>2.5102000000000002</v>
      </c>
      <c r="F692">
        <v>10472658.93</v>
      </c>
      <c r="G692">
        <v>0</v>
      </c>
      <c r="L692" t="s">
        <v>7</v>
      </c>
      <c r="M692" t="s">
        <v>7</v>
      </c>
      <c r="N692" t="s">
        <v>7</v>
      </c>
      <c r="P692">
        <f t="shared" si="994"/>
        <v>0.13924050632911447</v>
      </c>
      <c r="Q692">
        <f t="shared" si="995"/>
        <v>1458218.3320253221</v>
      </c>
      <c r="R692">
        <f t="shared" si="996"/>
        <v>14873151.272870693</v>
      </c>
      <c r="S692">
        <f t="shared" si="997"/>
        <v>148.73151272870695</v>
      </c>
      <c r="T692">
        <f t="shared" si="998"/>
        <v>0.14873151272870694</v>
      </c>
    </row>
    <row r="693" spans="1:20" x14ac:dyDescent="0.25">
      <c r="A693" s="5">
        <v>43900</v>
      </c>
      <c r="B693">
        <v>2.5404</v>
      </c>
      <c r="C693">
        <v>2.75</v>
      </c>
      <c r="D693">
        <v>2.4756</v>
      </c>
      <c r="E693">
        <v>2.5943000000000001</v>
      </c>
      <c r="F693">
        <v>12816586.16</v>
      </c>
      <c r="G693">
        <v>0</v>
      </c>
      <c r="L693" t="s">
        <v>8</v>
      </c>
      <c r="M693" t="s">
        <v>8</v>
      </c>
      <c r="N693" t="s">
        <v>7</v>
      </c>
      <c r="P693">
        <f t="shared" si="994"/>
        <v>-0.13483965014577232</v>
      </c>
      <c r="Q693">
        <f t="shared" si="995"/>
        <v>-1728183.9938775476</v>
      </c>
      <c r="R693">
        <f t="shared" si="996"/>
        <v>13414932.94084537</v>
      </c>
      <c r="S693">
        <f t="shared" si="997"/>
        <v>134.1493294084537</v>
      </c>
      <c r="T693">
        <f t="shared" si="998"/>
        <v>0.1341493294084537</v>
      </c>
    </row>
    <row r="694" spans="1:20" x14ac:dyDescent="0.25">
      <c r="A694" s="5">
        <v>43899</v>
      </c>
      <c r="B694">
        <v>2.5897000000000001</v>
      </c>
      <c r="C694">
        <v>2.6697000000000002</v>
      </c>
      <c r="D694">
        <v>2.2599999999999998</v>
      </c>
      <c r="E694">
        <v>2.5396000000000001</v>
      </c>
      <c r="F694">
        <v>14436618.289999999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0.36490114718086414</v>
      </c>
      <c r="Q694">
        <f t="shared" si="995"/>
        <v>5267938.5754332449</v>
      </c>
      <c r="R694">
        <f t="shared" si="996"/>
        <v>15143116.934722917</v>
      </c>
      <c r="S694">
        <f t="shared" si="997"/>
        <v>151.43116934722917</v>
      </c>
      <c r="T694">
        <f t="shared" si="998"/>
        <v>0.15143116934722917</v>
      </c>
    </row>
    <row r="695" spans="1:20" x14ac:dyDescent="0.25">
      <c r="A695" s="5">
        <v>43898</v>
      </c>
      <c r="B695">
        <v>2.9857</v>
      </c>
      <c r="C695">
        <v>2.9876999999999998</v>
      </c>
      <c r="D695">
        <v>2.5569999999999999</v>
      </c>
      <c r="E695">
        <v>2.5893999999999999</v>
      </c>
      <c r="F695">
        <v>12501897.25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-0.84954724866496401</v>
      </c>
      <c r="Q695">
        <f t="shared" si="995"/>
        <v>-10620952.41182958</v>
      </c>
      <c r="R695">
        <f t="shared" si="996"/>
        <v>9875178.3592896722</v>
      </c>
      <c r="S695">
        <f t="shared" si="997"/>
        <v>98.751783592896729</v>
      </c>
      <c r="T695">
        <f t="shared" si="998"/>
        <v>9.8751783592896727E-2</v>
      </c>
    </row>
    <row r="696" spans="1:20" x14ac:dyDescent="0.25">
      <c r="A696" s="5">
        <v>43897</v>
      </c>
      <c r="B696">
        <v>3.1739000000000002</v>
      </c>
      <c r="C696">
        <v>3.2658</v>
      </c>
      <c r="D696">
        <v>2.9712999999999998</v>
      </c>
      <c r="E696">
        <v>2.9857</v>
      </c>
      <c r="F696">
        <v>7757181.1600000001</v>
      </c>
      <c r="G696">
        <v>0</v>
      </c>
      <c r="L696" t="s">
        <v>7</v>
      </c>
      <c r="M696" t="s">
        <v>8</v>
      </c>
      <c r="N696" t="s">
        <v>7</v>
      </c>
      <c r="P696">
        <f t="shared" si="994"/>
        <v>-0.90220713073004966</v>
      </c>
      <c r="Q696">
        <f t="shared" si="995"/>
        <v>-6998584.1569167981</v>
      </c>
      <c r="R696">
        <f t="shared" si="996"/>
        <v>20496130.771119252</v>
      </c>
      <c r="S696">
        <f t="shared" si="997"/>
        <v>204.96130771119252</v>
      </c>
      <c r="T696">
        <f t="shared" si="998"/>
        <v>0.20496130771119253</v>
      </c>
    </row>
    <row r="697" spans="1:20" x14ac:dyDescent="0.25">
      <c r="A697" s="5">
        <v>43896</v>
      </c>
      <c r="B697">
        <v>3.0882999999999998</v>
      </c>
      <c r="C697">
        <v>3.2326000000000001</v>
      </c>
      <c r="D697">
        <v>3</v>
      </c>
      <c r="E697">
        <v>3.1747999999999998</v>
      </c>
      <c r="F697">
        <v>7638999.1699999999</v>
      </c>
      <c r="G697">
        <v>0</v>
      </c>
      <c r="L697" t="s">
        <v>7</v>
      </c>
      <c r="M697" t="s">
        <v>8</v>
      </c>
      <c r="N697" t="s">
        <v>7</v>
      </c>
      <c r="P697">
        <f t="shared" si="994"/>
        <v>0.50300945829750421</v>
      </c>
      <c r="Q697">
        <f t="shared" si="995"/>
        <v>3842488.834436784</v>
      </c>
      <c r="R697">
        <f t="shared" si="996"/>
        <v>27494714.928036049</v>
      </c>
      <c r="S697">
        <f t="shared" si="997"/>
        <v>274.94714928036046</v>
      </c>
      <c r="T697">
        <f t="shared" si="998"/>
        <v>0.27494714928036046</v>
      </c>
    </row>
    <row r="698" spans="1:20" x14ac:dyDescent="0.25">
      <c r="A698" s="5">
        <v>43895</v>
      </c>
      <c r="B698">
        <v>3.1</v>
      </c>
      <c r="C698">
        <v>3.3269000000000002</v>
      </c>
      <c r="D698">
        <v>2.9763999999999999</v>
      </c>
      <c r="E698">
        <v>3.0895000000000001</v>
      </c>
      <c r="F698">
        <v>14837727.49</v>
      </c>
      <c r="G698">
        <v>0</v>
      </c>
      <c r="L698" t="s">
        <v>8</v>
      </c>
      <c r="M698" t="s">
        <v>8</v>
      </c>
      <c r="N698" t="s">
        <v>7</v>
      </c>
      <c r="P698">
        <f t="shared" si="994"/>
        <v>-0.35463623395149718</v>
      </c>
      <c r="Q698">
        <f t="shared" si="995"/>
        <v>-5261995.7974522011</v>
      </c>
      <c r="R698">
        <f t="shared" si="996"/>
        <v>23652226.093599264</v>
      </c>
      <c r="S698">
        <f t="shared" si="997"/>
        <v>236.52226093599265</v>
      </c>
      <c r="T698">
        <f t="shared" si="998"/>
        <v>0.23652226093599266</v>
      </c>
    </row>
    <row r="699" spans="1:20" x14ac:dyDescent="0.25">
      <c r="A699" s="5">
        <v>43894</v>
      </c>
      <c r="B699">
        <v>2.7608999999999999</v>
      </c>
      <c r="C699">
        <v>3.1</v>
      </c>
      <c r="D699">
        <v>2.7309999999999999</v>
      </c>
      <c r="E699">
        <v>3.1</v>
      </c>
      <c r="F699">
        <v>12333130.390000001</v>
      </c>
      <c r="G699">
        <v>0</v>
      </c>
      <c r="L699" t="s">
        <v>8</v>
      </c>
      <c r="M699" t="s">
        <v>8</v>
      </c>
      <c r="N699" t="s">
        <v>7</v>
      </c>
      <c r="P699">
        <f t="shared" si="994"/>
        <v>1</v>
      </c>
      <c r="Q699">
        <f t="shared" si="995"/>
        <v>12333130.390000001</v>
      </c>
      <c r="R699">
        <f t="shared" si="996"/>
        <v>28914221.891051464</v>
      </c>
      <c r="S699">
        <f t="shared" si="997"/>
        <v>289.14221891051466</v>
      </c>
      <c r="T699">
        <f t="shared" si="998"/>
        <v>0.28914221891051467</v>
      </c>
    </row>
    <row r="700" spans="1:20" x14ac:dyDescent="0.25">
      <c r="A700" s="5">
        <v>43893</v>
      </c>
      <c r="B700">
        <v>2.8020999999999998</v>
      </c>
      <c r="C700">
        <v>2.8237999999999999</v>
      </c>
      <c r="D700">
        <v>2.6387999999999998</v>
      </c>
      <c r="E700">
        <v>2.7595000000000001</v>
      </c>
      <c r="F700">
        <v>7966389.2800000003</v>
      </c>
      <c r="G700">
        <v>0</v>
      </c>
      <c r="L700" t="s">
        <v>7</v>
      </c>
      <c r="M700" t="s">
        <v>8</v>
      </c>
      <c r="N700" t="s">
        <v>7</v>
      </c>
      <c r="P700">
        <f t="shared" si="994"/>
        <v>0.30486486486486719</v>
      </c>
      <c r="Q700">
        <f t="shared" si="995"/>
        <v>2428672.1913081268</v>
      </c>
      <c r="R700">
        <f t="shared" si="996"/>
        <v>16581091.501051463</v>
      </c>
      <c r="S700">
        <f t="shared" si="997"/>
        <v>165.81091501051463</v>
      </c>
      <c r="T700">
        <f t="shared" si="998"/>
        <v>0.16581091501051465</v>
      </c>
    </row>
    <row r="701" spans="1:20" x14ac:dyDescent="0.25">
      <c r="A701" s="5">
        <v>43892</v>
      </c>
      <c r="B701">
        <v>2.6137000000000001</v>
      </c>
      <c r="C701">
        <v>2.8910999999999998</v>
      </c>
      <c r="D701">
        <v>2.5505</v>
      </c>
      <c r="E701">
        <v>2.8001</v>
      </c>
      <c r="F701">
        <v>8623136.3499999996</v>
      </c>
      <c r="G701">
        <v>0</v>
      </c>
      <c r="L701" t="s">
        <v>8</v>
      </c>
      <c r="M701" t="s">
        <v>8</v>
      </c>
      <c r="N701" t="s">
        <v>7</v>
      </c>
      <c r="P701">
        <f t="shared" si="994"/>
        <v>0.46564885496183323</v>
      </c>
      <c r="Q701">
        <f t="shared" si="995"/>
        <v>4015353.5675572618</v>
      </c>
      <c r="R701">
        <f t="shared" si="996"/>
        <v>14152419.309743335</v>
      </c>
      <c r="S701">
        <f t="shared" si="997"/>
        <v>141.52419309743337</v>
      </c>
      <c r="T701">
        <f t="shared" si="998"/>
        <v>0.14152419309743336</v>
      </c>
    </row>
    <row r="702" spans="1:20" x14ac:dyDescent="0.25">
      <c r="A702" s="5">
        <v>43891</v>
      </c>
      <c r="B702">
        <v>2.7330999999999999</v>
      </c>
      <c r="C702">
        <v>2.8498000000000001</v>
      </c>
      <c r="D702">
        <v>2.57</v>
      </c>
      <c r="E702">
        <v>2.6135000000000002</v>
      </c>
      <c r="F702">
        <v>7555141.54</v>
      </c>
      <c r="G702">
        <v>0</v>
      </c>
      <c r="L702" t="s">
        <v>7</v>
      </c>
      <c r="M702" t="s">
        <v>8</v>
      </c>
      <c r="N702" t="s">
        <v>7</v>
      </c>
      <c r="P702">
        <f t="shared" si="994"/>
        <v>-0.68906361686919038</v>
      </c>
      <c r="Q702">
        <f t="shared" si="995"/>
        <v>-5205973.1555110654</v>
      </c>
      <c r="R702">
        <f t="shared" si="996"/>
        <v>10137065.742186073</v>
      </c>
      <c r="S702">
        <f t="shared" si="997"/>
        <v>101.37065742186073</v>
      </c>
      <c r="T702">
        <f t="shared" si="998"/>
        <v>0.10137065742186073</v>
      </c>
    </row>
    <row r="703" spans="1:20" x14ac:dyDescent="0.25">
      <c r="A703" s="5">
        <v>43890</v>
      </c>
      <c r="B703">
        <v>2.7848000000000002</v>
      </c>
      <c r="C703">
        <v>2.9990000000000001</v>
      </c>
      <c r="D703">
        <v>2.7273000000000001</v>
      </c>
      <c r="E703">
        <v>2.7328999999999999</v>
      </c>
      <c r="F703">
        <v>8293419.5499999998</v>
      </c>
      <c r="G703">
        <v>0</v>
      </c>
      <c r="L703" t="s">
        <v>8</v>
      </c>
      <c r="M703" t="s">
        <v>8</v>
      </c>
      <c r="N703" t="s">
        <v>7</v>
      </c>
      <c r="P703">
        <f t="shared" si="994"/>
        <v>-0.95877806404122323</v>
      </c>
      <c r="Q703">
        <f t="shared" si="995"/>
        <v>-7951548.7404306326</v>
      </c>
      <c r="R703">
        <f t="shared" si="996"/>
        <v>15343038.897697138</v>
      </c>
      <c r="S703">
        <f t="shared" si="997"/>
        <v>153.43038897697139</v>
      </c>
      <c r="T703">
        <f t="shared" si="998"/>
        <v>0.15343038897697139</v>
      </c>
    </row>
    <row r="704" spans="1:20" x14ac:dyDescent="0.25">
      <c r="A704" s="5">
        <v>43889</v>
      </c>
      <c r="B704">
        <v>2.8</v>
      </c>
      <c r="C704">
        <v>2.91</v>
      </c>
      <c r="D704">
        <v>2.6204999999999998</v>
      </c>
      <c r="E704">
        <v>2.7845</v>
      </c>
      <c r="F704">
        <v>9905823.2899999991</v>
      </c>
      <c r="G704">
        <v>0</v>
      </c>
      <c r="L704" t="s">
        <v>8</v>
      </c>
      <c r="M704" t="s">
        <v>8</v>
      </c>
      <c r="N704" t="s">
        <v>7</v>
      </c>
      <c r="P704">
        <f t="shared" si="994"/>
        <v>0.13298791018998252</v>
      </c>
      <c r="Q704">
        <f t="shared" si="995"/>
        <v>1317354.738048357</v>
      </c>
      <c r="R704">
        <f t="shared" si="996"/>
        <v>23294587.63812777</v>
      </c>
      <c r="S704">
        <f t="shared" si="997"/>
        <v>232.94587638127771</v>
      </c>
      <c r="T704">
        <f t="shared" si="998"/>
        <v>0.2329458763812777</v>
      </c>
    </row>
    <row r="705" spans="1:20" x14ac:dyDescent="0.25">
      <c r="A705" s="5">
        <v>43888</v>
      </c>
      <c r="B705">
        <v>2.7538999999999998</v>
      </c>
      <c r="C705">
        <v>2.9954000000000001</v>
      </c>
      <c r="D705">
        <v>2.4700000000000002</v>
      </c>
      <c r="E705">
        <v>2.8</v>
      </c>
      <c r="F705">
        <v>17400746.579999998</v>
      </c>
      <c r="G705">
        <v>0</v>
      </c>
      <c r="L705" t="s">
        <v>7</v>
      </c>
      <c r="M705" t="s">
        <v>8</v>
      </c>
      <c r="N705" t="s">
        <v>7</v>
      </c>
      <c r="P705">
        <f t="shared" si="994"/>
        <v>0.25618576322801567</v>
      </c>
      <c r="Q705">
        <f t="shared" si="995"/>
        <v>4457823.5433345828</v>
      </c>
      <c r="R705">
        <f t="shared" si="996"/>
        <v>21977232.900079414</v>
      </c>
      <c r="S705">
        <f t="shared" si="997"/>
        <v>219.77232900079414</v>
      </c>
      <c r="T705">
        <f t="shared" si="998"/>
        <v>0.21977232900079413</v>
      </c>
    </row>
    <row r="706" spans="1:20" x14ac:dyDescent="0.25">
      <c r="A706" s="5">
        <v>43887</v>
      </c>
      <c r="B706">
        <v>2.8069999999999999</v>
      </c>
      <c r="C706">
        <v>2.99</v>
      </c>
      <c r="D706">
        <v>2.5259999999999998</v>
      </c>
      <c r="E706">
        <v>2.7538999999999998</v>
      </c>
      <c r="F706">
        <v>20893275.640000001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-1.7672413793104358E-2</v>
      </c>
      <c r="Q706">
        <f t="shared" si="995"/>
        <v>-369234.61260346731</v>
      </c>
      <c r="R706">
        <f t="shared" si="996"/>
        <v>17519409.356744833</v>
      </c>
      <c r="S706">
        <f t="shared" si="997"/>
        <v>175.19409356744833</v>
      </c>
      <c r="T706">
        <f t="shared" si="998"/>
        <v>0.17519409356744833</v>
      </c>
    </row>
    <row r="707" spans="1:20" x14ac:dyDescent="0.25">
      <c r="A707" s="5">
        <v>43886</v>
      </c>
      <c r="B707">
        <v>3.1831999999999998</v>
      </c>
      <c r="C707">
        <v>3.1993</v>
      </c>
      <c r="D707">
        <v>2.7111000000000001</v>
      </c>
      <c r="E707">
        <v>2.8117999999999999</v>
      </c>
      <c r="F707">
        <v>11997006.369999999</v>
      </c>
      <c r="G707">
        <v>0</v>
      </c>
      <c r="L707" t="s">
        <v>7</v>
      </c>
      <c r="M707" t="s">
        <v>7</v>
      </c>
      <c r="N707" t="s">
        <v>7</v>
      </c>
      <c r="P707">
        <f t="shared" si="994"/>
        <v>-0.58746415403523233</v>
      </c>
      <c r="Q707">
        <f t="shared" si="995"/>
        <v>-7047811.1981073432</v>
      </c>
      <c r="R707">
        <f t="shared" si="996"/>
        <v>17888643.9693483</v>
      </c>
      <c r="S707">
        <f t="shared" si="997"/>
        <v>178.886439693483</v>
      </c>
      <c r="T707">
        <f t="shared" si="998"/>
        <v>0.178886439693483</v>
      </c>
    </row>
    <row r="708" spans="1:20" x14ac:dyDescent="0.25">
      <c r="A708" s="5">
        <v>43885</v>
      </c>
      <c r="B708">
        <v>3.5200999999999998</v>
      </c>
      <c r="C708">
        <v>3.5289999999999999</v>
      </c>
      <c r="D708">
        <v>2.94</v>
      </c>
      <c r="E708">
        <v>3.1850000000000001</v>
      </c>
      <c r="F708">
        <v>10892663.75</v>
      </c>
      <c r="G708">
        <v>0</v>
      </c>
      <c r="L708" t="s">
        <v>7</v>
      </c>
      <c r="M708" t="s">
        <v>7</v>
      </c>
      <c r="N708" t="s">
        <v>8</v>
      </c>
      <c r="P708">
        <f t="shared" si="994"/>
        <v>-0.16808149405772455</v>
      </c>
      <c r="Q708">
        <f t="shared" si="995"/>
        <v>-1830855.1973684165</v>
      </c>
      <c r="R708">
        <f t="shared" si="996"/>
        <v>24936455.167455643</v>
      </c>
      <c r="S708">
        <f t="shared" si="997"/>
        <v>249.36455167455642</v>
      </c>
      <c r="T708">
        <f t="shared" si="998"/>
        <v>0.24936455167455643</v>
      </c>
    </row>
    <row r="709" spans="1:20" x14ac:dyDescent="0.25">
      <c r="A709" s="5">
        <v>43884</v>
      </c>
      <c r="B709">
        <v>3.3048000000000002</v>
      </c>
      <c r="C709">
        <v>3.59</v>
      </c>
      <c r="D709">
        <v>3.2991999999999999</v>
      </c>
      <c r="E709">
        <v>3.52</v>
      </c>
      <c r="F709">
        <v>5561240.5499999998</v>
      </c>
      <c r="G709">
        <v>0</v>
      </c>
      <c r="L709" t="s">
        <v>8</v>
      </c>
      <c r="M709" t="s">
        <v>7</v>
      </c>
      <c r="N709" t="s">
        <v>8</v>
      </c>
      <c r="P709">
        <f t="shared" si="994"/>
        <v>0.51856946354883182</v>
      </c>
      <c r="Q709">
        <f t="shared" si="995"/>
        <v>2883889.5286795101</v>
      </c>
      <c r="R709">
        <f t="shared" si="996"/>
        <v>26767310.36482406</v>
      </c>
      <c r="S709">
        <f t="shared" si="997"/>
        <v>267.67310364824061</v>
      </c>
      <c r="T709">
        <f t="shared" si="998"/>
        <v>0.2676731036482406</v>
      </c>
    </row>
    <row r="710" spans="1:20" x14ac:dyDescent="0.25">
      <c r="A710" s="5">
        <v>43883</v>
      </c>
      <c r="B710">
        <v>3.48</v>
      </c>
      <c r="C710">
        <v>3.5350000000000001</v>
      </c>
      <c r="D710">
        <v>3.2414999999999998</v>
      </c>
      <c r="E710">
        <v>3.2997999999999998</v>
      </c>
      <c r="F710">
        <v>7279612.8899999997</v>
      </c>
      <c r="G710">
        <v>0</v>
      </c>
      <c r="L710" t="s">
        <v>7</v>
      </c>
      <c r="M710" t="s">
        <v>7</v>
      </c>
      <c r="N710" t="s">
        <v>8</v>
      </c>
      <c r="P710">
        <f t="shared" ref="P710:P766" si="999">IF(C710=D710,0,((E710-D710)-(C710-E710))/(C710-D710))</f>
        <v>-0.60272572402044322</v>
      </c>
      <c r="Q710">
        <f t="shared" ref="Q710:Q766" si="1000">F710*P710</f>
        <v>-4387609.949713801</v>
      </c>
      <c r="R710">
        <f t="shared" ref="R710:R766" si="1001">R711+Q710</f>
        <v>23883420.836144552</v>
      </c>
      <c r="S710">
        <f t="shared" ref="S710:S766" si="1002">R710/100000</f>
        <v>238.83420836144552</v>
      </c>
      <c r="T710">
        <f t="shared" ref="T710:T766" si="1003">S710/1000</f>
        <v>0.23883420836144553</v>
      </c>
    </row>
    <row r="711" spans="1:20" x14ac:dyDescent="0.25">
      <c r="A711" s="5">
        <v>43882</v>
      </c>
      <c r="B711">
        <v>3.6101999999999999</v>
      </c>
      <c r="C711">
        <v>3.76</v>
      </c>
      <c r="D711">
        <v>3.3792</v>
      </c>
      <c r="E711">
        <v>3.4817999999999998</v>
      </c>
      <c r="F711">
        <v>7796198.54</v>
      </c>
      <c r="G711">
        <v>0</v>
      </c>
      <c r="L711" t="s">
        <v>7</v>
      </c>
      <c r="M711" t="s">
        <v>7</v>
      </c>
      <c r="N711" t="s">
        <v>8</v>
      </c>
      <c r="P711">
        <f t="shared" si="999"/>
        <v>-0.46113445378151335</v>
      </c>
      <c r="Q711">
        <f t="shared" si="1000"/>
        <v>-3595095.755315132</v>
      </c>
      <c r="R711">
        <f t="shared" si="1001"/>
        <v>28271030.785858352</v>
      </c>
      <c r="S711">
        <f t="shared" si="1002"/>
        <v>282.71030785858352</v>
      </c>
      <c r="T711">
        <f t="shared" si="1003"/>
        <v>0.28271030785858353</v>
      </c>
    </row>
    <row r="712" spans="1:20" x14ac:dyDescent="0.25">
      <c r="A712" s="5">
        <v>43881</v>
      </c>
      <c r="B712">
        <v>3.5442999999999998</v>
      </c>
      <c r="C712">
        <v>3.8999000000000001</v>
      </c>
      <c r="D712">
        <v>3.4380999999999999</v>
      </c>
      <c r="E712">
        <v>3.6124000000000001</v>
      </c>
      <c r="F712">
        <v>12186974.5</v>
      </c>
      <c r="G712">
        <v>0</v>
      </c>
      <c r="L712" t="s">
        <v>7</v>
      </c>
      <c r="M712" t="s">
        <v>8</v>
      </c>
      <c r="N712" t="s">
        <v>8</v>
      </c>
      <c r="P712">
        <f t="shared" si="999"/>
        <v>-0.24512776093546973</v>
      </c>
      <c r="Q712">
        <f t="shared" si="1000"/>
        <v>-2987365.7717626658</v>
      </c>
      <c r="R712">
        <f t="shared" si="1001"/>
        <v>31866126.541173484</v>
      </c>
      <c r="S712">
        <f t="shared" si="1002"/>
        <v>318.66126541173486</v>
      </c>
      <c r="T712">
        <f t="shared" si="1003"/>
        <v>0.31866126541173484</v>
      </c>
    </row>
    <row r="713" spans="1:20" x14ac:dyDescent="0.25">
      <c r="A713" s="5">
        <v>43880</v>
      </c>
      <c r="B713">
        <v>3.4369000000000001</v>
      </c>
      <c r="C713">
        <v>3.96</v>
      </c>
      <c r="D713">
        <v>3.3393999999999999</v>
      </c>
      <c r="E713">
        <v>3.5539000000000001</v>
      </c>
      <c r="F713">
        <v>10763239.27</v>
      </c>
      <c r="G713">
        <v>0</v>
      </c>
      <c r="L713" t="s">
        <v>8</v>
      </c>
      <c r="M713" t="s">
        <v>8</v>
      </c>
      <c r="N713" t="s">
        <v>8</v>
      </c>
      <c r="P713">
        <f t="shared" si="999"/>
        <v>-0.30873348372542664</v>
      </c>
      <c r="Q713">
        <f t="shared" si="1000"/>
        <v>-3322972.3559974176</v>
      </c>
      <c r="R713">
        <f t="shared" si="1001"/>
        <v>34853492.31293615</v>
      </c>
      <c r="S713">
        <f t="shared" si="1002"/>
        <v>348.53492312936152</v>
      </c>
      <c r="T713">
        <f t="shared" si="1003"/>
        <v>0.34853492312936152</v>
      </c>
    </row>
    <row r="714" spans="1:20" x14ac:dyDescent="0.25">
      <c r="A714" s="5">
        <v>43879</v>
      </c>
      <c r="B714">
        <v>3.161</v>
      </c>
      <c r="C714">
        <v>3.5566</v>
      </c>
      <c r="D714">
        <v>3.0891999999999999</v>
      </c>
      <c r="E714">
        <v>3.4327999999999999</v>
      </c>
      <c r="F714">
        <v>8915736.6400000006</v>
      </c>
      <c r="G714">
        <v>0</v>
      </c>
      <c r="L714" t="s">
        <v>8</v>
      </c>
      <c r="M714" t="s">
        <v>8</v>
      </c>
      <c r="N714" t="s">
        <v>8</v>
      </c>
      <c r="P714">
        <f t="shared" si="999"/>
        <v>0.47026101839965717</v>
      </c>
      <c r="Q714">
        <f t="shared" si="1000"/>
        <v>4192723.392109538</v>
      </c>
      <c r="R714">
        <f t="shared" si="1001"/>
        <v>38176464.66893357</v>
      </c>
      <c r="S714">
        <f t="shared" si="1002"/>
        <v>381.76464668933568</v>
      </c>
      <c r="T714">
        <f t="shared" si="1003"/>
        <v>0.38176464668933568</v>
      </c>
    </row>
    <row r="715" spans="1:20" x14ac:dyDescent="0.25">
      <c r="A715" s="5">
        <v>43878</v>
      </c>
      <c r="B715">
        <v>3.25</v>
      </c>
      <c r="C715">
        <v>3.25</v>
      </c>
      <c r="D715">
        <v>2.7528000000000001</v>
      </c>
      <c r="E715">
        <v>3.1608999999999998</v>
      </c>
      <c r="F715">
        <v>8414339.7400000002</v>
      </c>
      <c r="G715">
        <v>0</v>
      </c>
      <c r="L715" t="s">
        <v>8</v>
      </c>
      <c r="M715" t="s">
        <v>8</v>
      </c>
      <c r="N715" t="s">
        <v>8</v>
      </c>
      <c r="P715">
        <f t="shared" si="999"/>
        <v>0.64159292035398152</v>
      </c>
      <c r="Q715">
        <f t="shared" si="1000"/>
        <v>5398580.8066371614</v>
      </c>
      <c r="R715">
        <f t="shared" si="1001"/>
        <v>33983741.276824035</v>
      </c>
      <c r="S715">
        <f t="shared" si="1002"/>
        <v>339.83741276824037</v>
      </c>
      <c r="T715">
        <f t="shared" si="1003"/>
        <v>0.33983741276824037</v>
      </c>
    </row>
    <row r="716" spans="1:20" x14ac:dyDescent="0.25">
      <c r="A716" s="5">
        <v>43877</v>
      </c>
      <c r="B716">
        <v>3.2048000000000001</v>
      </c>
      <c r="C716">
        <v>3.3</v>
      </c>
      <c r="D716">
        <v>2.7480000000000002</v>
      </c>
      <c r="E716">
        <v>3.2498999999999998</v>
      </c>
      <c r="F716">
        <v>7678599.8399999999</v>
      </c>
      <c r="G716">
        <v>0</v>
      </c>
      <c r="L716" t="s">
        <v>7</v>
      </c>
      <c r="M716" t="s">
        <v>7</v>
      </c>
      <c r="N716" t="s">
        <v>8</v>
      </c>
      <c r="P716">
        <f t="shared" si="999"/>
        <v>0.81847826086956499</v>
      </c>
      <c r="Q716">
        <f t="shared" si="1000"/>
        <v>6284767.0429565199</v>
      </c>
      <c r="R716">
        <f t="shared" si="1001"/>
        <v>28585160.470186871</v>
      </c>
      <c r="S716">
        <f t="shared" si="1002"/>
        <v>285.85160470186872</v>
      </c>
      <c r="T716">
        <f t="shared" si="1003"/>
        <v>0.28585160470186871</v>
      </c>
    </row>
    <row r="717" spans="1:20" x14ac:dyDescent="0.25">
      <c r="A717" s="5">
        <v>43876</v>
      </c>
      <c r="B717">
        <v>3.4786000000000001</v>
      </c>
      <c r="C717">
        <v>3.5499000000000001</v>
      </c>
      <c r="D717">
        <v>2.9689000000000001</v>
      </c>
      <c r="E717">
        <v>3.2048000000000001</v>
      </c>
      <c r="F717">
        <v>7005501.8899999997</v>
      </c>
      <c r="G717">
        <v>0</v>
      </c>
      <c r="L717" t="s">
        <v>7</v>
      </c>
      <c r="M717" t="s">
        <v>7</v>
      </c>
      <c r="N717" t="s">
        <v>8</v>
      </c>
      <c r="P717">
        <f t="shared" si="999"/>
        <v>-0.18795180722891561</v>
      </c>
      <c r="Q717">
        <f t="shared" si="1000"/>
        <v>-1316696.7407710839</v>
      </c>
      <c r="R717">
        <f t="shared" si="1001"/>
        <v>22300393.427230351</v>
      </c>
      <c r="S717">
        <f t="shared" si="1002"/>
        <v>223.0039342723035</v>
      </c>
      <c r="T717">
        <f t="shared" si="1003"/>
        <v>0.2230039342723035</v>
      </c>
    </row>
    <row r="718" spans="1:20" x14ac:dyDescent="0.25">
      <c r="A718" s="5">
        <v>43875</v>
      </c>
      <c r="B718">
        <v>3.1160000000000001</v>
      </c>
      <c r="C718">
        <v>3.5575999999999999</v>
      </c>
      <c r="D718">
        <v>3.0354000000000001</v>
      </c>
      <c r="E718">
        <v>3.4796999999999998</v>
      </c>
      <c r="F718">
        <v>6986498.8099999996</v>
      </c>
      <c r="G718">
        <v>0</v>
      </c>
      <c r="L718" t="s">
        <v>8</v>
      </c>
      <c r="M718" t="s">
        <v>8</v>
      </c>
      <c r="N718" t="s">
        <v>8</v>
      </c>
      <c r="P718">
        <f t="shared" si="999"/>
        <v>0.70164687859057784</v>
      </c>
      <c r="Q718">
        <f t="shared" si="1000"/>
        <v>4902055.0823132861</v>
      </c>
      <c r="R718">
        <f t="shared" si="1001"/>
        <v>23617090.168001436</v>
      </c>
      <c r="S718">
        <f t="shared" si="1002"/>
        <v>236.17090168001437</v>
      </c>
      <c r="T718">
        <f t="shared" si="1003"/>
        <v>0.23617090168001437</v>
      </c>
    </row>
    <row r="719" spans="1:20" x14ac:dyDescent="0.25">
      <c r="A719" s="5">
        <v>43874</v>
      </c>
      <c r="B719">
        <v>3.3001</v>
      </c>
      <c r="C719">
        <v>3.3919999999999999</v>
      </c>
      <c r="D719">
        <v>2.9115000000000002</v>
      </c>
      <c r="E719">
        <v>3.1238999999999999</v>
      </c>
      <c r="F719">
        <v>8453920.8499999996</v>
      </c>
      <c r="G719">
        <v>0</v>
      </c>
      <c r="L719" t="s">
        <v>7</v>
      </c>
      <c r="M719" t="s">
        <v>7</v>
      </c>
      <c r="N719" t="s">
        <v>8</v>
      </c>
      <c r="P719">
        <f t="shared" si="999"/>
        <v>-0.11592091571279987</v>
      </c>
      <c r="Q719">
        <f t="shared" si="1000"/>
        <v>-979986.2462955314</v>
      </c>
      <c r="R719">
        <f t="shared" si="1001"/>
        <v>18715035.085688148</v>
      </c>
      <c r="S719">
        <f t="shared" si="1002"/>
        <v>187.15035085688149</v>
      </c>
      <c r="T719">
        <f t="shared" si="1003"/>
        <v>0.18715035085688148</v>
      </c>
    </row>
    <row r="720" spans="1:20" x14ac:dyDescent="0.25">
      <c r="A720" s="5">
        <v>43873</v>
      </c>
      <c r="B720">
        <v>2.9114</v>
      </c>
      <c r="C720">
        <v>3.6089000000000002</v>
      </c>
      <c r="D720">
        <v>2.9060999999999999</v>
      </c>
      <c r="E720">
        <v>3.3001</v>
      </c>
      <c r="F720">
        <v>12377803.6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0.1212293682413203</v>
      </c>
      <c r="Q720">
        <f t="shared" si="1000"/>
        <v>1500553.31064314</v>
      </c>
      <c r="R720">
        <f t="shared" si="1001"/>
        <v>19695021.331983678</v>
      </c>
      <c r="S720">
        <f t="shared" si="1002"/>
        <v>196.95021331983679</v>
      </c>
      <c r="T720">
        <f t="shared" si="1003"/>
        <v>0.19695021331983678</v>
      </c>
    </row>
    <row r="721" spans="1:20" x14ac:dyDescent="0.25">
      <c r="A721" s="5">
        <v>43872</v>
      </c>
      <c r="B721">
        <v>2.6219000000000001</v>
      </c>
      <c r="C721">
        <v>2.9586999999999999</v>
      </c>
      <c r="D721">
        <v>2.5451999999999999</v>
      </c>
      <c r="E721">
        <v>2.9114</v>
      </c>
      <c r="F721">
        <v>5927393.9000000004</v>
      </c>
      <c r="G721">
        <v>0</v>
      </c>
      <c r="L721" t="s">
        <v>8</v>
      </c>
      <c r="M721" t="s">
        <v>8</v>
      </c>
      <c r="N721" t="s">
        <v>8</v>
      </c>
      <c r="P721">
        <f t="shared" si="999"/>
        <v>0.77122128174123383</v>
      </c>
      <c r="Q721">
        <f t="shared" si="1000"/>
        <v>4571332.3209431712</v>
      </c>
      <c r="R721">
        <f t="shared" si="1001"/>
        <v>18194468.021340538</v>
      </c>
      <c r="S721">
        <f t="shared" si="1002"/>
        <v>181.94468021340538</v>
      </c>
      <c r="T721">
        <f t="shared" si="1003"/>
        <v>0.18194468021340537</v>
      </c>
    </row>
    <row r="722" spans="1:20" x14ac:dyDescent="0.25">
      <c r="A722" s="5">
        <v>43871</v>
      </c>
      <c r="B722">
        <v>2.6421000000000001</v>
      </c>
      <c r="C722">
        <v>2.7383999999999999</v>
      </c>
      <c r="D722">
        <v>2.4613999999999998</v>
      </c>
      <c r="E722">
        <v>2.6219999999999999</v>
      </c>
      <c r="F722">
        <v>7522374.6399999997</v>
      </c>
      <c r="G722">
        <v>0</v>
      </c>
      <c r="L722" t="s">
        <v>7</v>
      </c>
      <c r="M722" t="s">
        <v>8</v>
      </c>
      <c r="N722" t="s">
        <v>8</v>
      </c>
      <c r="P722">
        <f t="shared" si="999"/>
        <v>0.1595667870036101</v>
      </c>
      <c r="Q722">
        <f t="shared" si="1000"/>
        <v>1200321.1519422382</v>
      </c>
      <c r="R722">
        <f t="shared" si="1001"/>
        <v>13623135.700397367</v>
      </c>
      <c r="S722">
        <f t="shared" si="1002"/>
        <v>136.23135700397367</v>
      </c>
      <c r="T722">
        <f t="shared" si="1003"/>
        <v>0.13623135700397368</v>
      </c>
    </row>
    <row r="723" spans="1:20" x14ac:dyDescent="0.25">
      <c r="A723" s="5">
        <v>43870</v>
      </c>
      <c r="B723">
        <v>2.2947000000000002</v>
      </c>
      <c r="C723">
        <v>2.7490000000000001</v>
      </c>
      <c r="D723">
        <v>2.282</v>
      </c>
      <c r="E723">
        <v>2.6423000000000001</v>
      </c>
      <c r="F723">
        <v>8144445.7000000002</v>
      </c>
      <c r="G723">
        <v>0</v>
      </c>
      <c r="L723" t="s">
        <v>8</v>
      </c>
      <c r="M723" t="s">
        <v>8</v>
      </c>
      <c r="N723" t="s">
        <v>8</v>
      </c>
      <c r="P723">
        <f t="shared" si="999"/>
        <v>0.54304068522483939</v>
      </c>
      <c r="Q723">
        <f t="shared" si="1000"/>
        <v>4422765.3737044968</v>
      </c>
      <c r="R723">
        <f t="shared" si="1001"/>
        <v>12422814.548455128</v>
      </c>
      <c r="S723">
        <f t="shared" si="1002"/>
        <v>124.22814548455129</v>
      </c>
      <c r="T723">
        <f t="shared" si="1003"/>
        <v>0.12422814548455129</v>
      </c>
    </row>
    <row r="724" spans="1:20" x14ac:dyDescent="0.25">
      <c r="A724" s="5">
        <v>43869</v>
      </c>
      <c r="B724">
        <v>2.1899000000000002</v>
      </c>
      <c r="C724">
        <v>2.3197000000000001</v>
      </c>
      <c r="D724">
        <v>2.0099999999999998</v>
      </c>
      <c r="E724">
        <v>2.2947000000000002</v>
      </c>
      <c r="F724">
        <v>3120608.05</v>
      </c>
      <c r="G724">
        <v>0</v>
      </c>
      <c r="L724" t="s">
        <v>8</v>
      </c>
      <c r="M724" t="s">
        <v>8</v>
      </c>
      <c r="N724" t="s">
        <v>8</v>
      </c>
      <c r="P724">
        <f t="shared" si="999"/>
        <v>0.83855343881175404</v>
      </c>
      <c r="Q724">
        <f t="shared" si="1000"/>
        <v>2616796.611511142</v>
      </c>
      <c r="R724">
        <f t="shared" si="1001"/>
        <v>8000049.1747506317</v>
      </c>
      <c r="S724">
        <f t="shared" si="1002"/>
        <v>80.000491747506317</v>
      </c>
      <c r="T724">
        <f t="shared" si="1003"/>
        <v>8.0000491747506314E-2</v>
      </c>
    </row>
    <row r="725" spans="1:20" x14ac:dyDescent="0.25">
      <c r="A725" s="5">
        <v>43868</v>
      </c>
      <c r="B725">
        <v>2.1692</v>
      </c>
      <c r="C725">
        <v>2.2639999999999998</v>
      </c>
      <c r="D725">
        <v>2.1577000000000002</v>
      </c>
      <c r="E725">
        <v>2.19</v>
      </c>
      <c r="F725">
        <v>2557921.12</v>
      </c>
      <c r="G725">
        <v>0</v>
      </c>
      <c r="L725" t="s">
        <v>8</v>
      </c>
      <c r="M725" t="s">
        <v>8</v>
      </c>
      <c r="N725" t="s">
        <v>8</v>
      </c>
      <c r="P725">
        <f t="shared" si="999"/>
        <v>-0.39228598306679419</v>
      </c>
      <c r="Q725">
        <f t="shared" si="1000"/>
        <v>-1003436.6011665153</v>
      </c>
      <c r="R725">
        <f t="shared" si="1001"/>
        <v>5383252.5632394897</v>
      </c>
      <c r="S725">
        <f t="shared" si="1002"/>
        <v>53.832525632394898</v>
      </c>
      <c r="T725">
        <f t="shared" si="1003"/>
        <v>5.3832525632394899E-2</v>
      </c>
    </row>
    <row r="726" spans="1:20" x14ac:dyDescent="0.25">
      <c r="A726" s="5">
        <v>43867</v>
      </c>
      <c r="B726">
        <v>2.1440999999999999</v>
      </c>
      <c r="C726">
        <v>2.25</v>
      </c>
      <c r="D726">
        <v>2.1173000000000002</v>
      </c>
      <c r="E726">
        <v>2.1690999999999998</v>
      </c>
      <c r="F726">
        <v>3974903.51</v>
      </c>
      <c r="G726">
        <v>0</v>
      </c>
      <c r="L726" t="s">
        <v>8</v>
      </c>
      <c r="M726" t="s">
        <v>8</v>
      </c>
      <c r="N726" t="s">
        <v>8</v>
      </c>
      <c r="P726">
        <f t="shared" si="999"/>
        <v>-0.21929163526752532</v>
      </c>
      <c r="Q726">
        <f t="shared" si="1000"/>
        <v>-871663.09073852608</v>
      </c>
      <c r="R726">
        <f t="shared" si="1001"/>
        <v>6386689.1644060053</v>
      </c>
      <c r="S726">
        <f t="shared" si="1002"/>
        <v>63.866891644060054</v>
      </c>
      <c r="T726">
        <f t="shared" si="1003"/>
        <v>6.386689164406005E-2</v>
      </c>
    </row>
    <row r="727" spans="1:20" x14ac:dyDescent="0.25">
      <c r="A727" s="5">
        <v>43866</v>
      </c>
      <c r="B727">
        <v>1.9232</v>
      </c>
      <c r="C727">
        <v>2.2328999999999999</v>
      </c>
      <c r="D727">
        <v>1.9109</v>
      </c>
      <c r="E727">
        <v>2.1440999999999999</v>
      </c>
      <c r="F727">
        <v>5400381.7599999998</v>
      </c>
      <c r="G727">
        <v>0</v>
      </c>
      <c r="L727" t="s">
        <v>8</v>
      </c>
      <c r="M727" t="s">
        <v>8</v>
      </c>
      <c r="N727" t="s">
        <v>8</v>
      </c>
      <c r="P727">
        <f t="shared" si="999"/>
        <v>0.44844720496894391</v>
      </c>
      <c r="Q727">
        <f t="shared" si="1000"/>
        <v>2421786.1060372661</v>
      </c>
      <c r="R727">
        <f t="shared" si="1001"/>
        <v>7258352.2551445309</v>
      </c>
      <c r="S727">
        <f t="shared" si="1002"/>
        <v>72.583522551445313</v>
      </c>
      <c r="T727">
        <f t="shared" si="1003"/>
        <v>7.2583522551445318E-2</v>
      </c>
    </row>
    <row r="728" spans="1:20" x14ac:dyDescent="0.25">
      <c r="A728" s="5">
        <v>43865</v>
      </c>
      <c r="B728">
        <v>1.9965999999999999</v>
      </c>
      <c r="C728">
        <v>2.04</v>
      </c>
      <c r="D728">
        <v>1.8865000000000001</v>
      </c>
      <c r="E728">
        <v>1.923</v>
      </c>
      <c r="F728">
        <v>3626126.37</v>
      </c>
      <c r="G728">
        <v>0</v>
      </c>
      <c r="L728" t="s">
        <v>7</v>
      </c>
      <c r="M728" t="s">
        <v>8</v>
      </c>
      <c r="N728" t="s">
        <v>8</v>
      </c>
      <c r="P728">
        <f t="shared" si="999"/>
        <v>-0.52442996742671033</v>
      </c>
      <c r="Q728">
        <f t="shared" si="1000"/>
        <v>-1901649.3341042355</v>
      </c>
      <c r="R728">
        <f t="shared" si="1001"/>
        <v>4836566.1491072653</v>
      </c>
      <c r="S728">
        <f t="shared" si="1002"/>
        <v>48.36566149107265</v>
      </c>
      <c r="T728">
        <f t="shared" si="1003"/>
        <v>4.8365661491072652E-2</v>
      </c>
    </row>
    <row r="729" spans="1:20" x14ac:dyDescent="0.25">
      <c r="A729" s="5">
        <v>43864</v>
      </c>
      <c r="B729">
        <v>1.9260999999999999</v>
      </c>
      <c r="C729">
        <v>2.1099000000000001</v>
      </c>
      <c r="D729">
        <v>1.87</v>
      </c>
      <c r="E729">
        <v>1.9967999999999999</v>
      </c>
      <c r="F729">
        <v>5610211.9199999999</v>
      </c>
      <c r="G729">
        <v>0</v>
      </c>
      <c r="L729" t="s">
        <v>8</v>
      </c>
      <c r="M729" t="s">
        <v>8</v>
      </c>
      <c r="N729" t="s">
        <v>8</v>
      </c>
      <c r="P729">
        <f t="shared" si="999"/>
        <v>5.7107127969985835E-2</v>
      </c>
      <c r="Q729">
        <f t="shared" si="1000"/>
        <v>320383.09005417995</v>
      </c>
      <c r="R729">
        <f t="shared" si="1001"/>
        <v>6738215.4832115006</v>
      </c>
      <c r="S729">
        <f t="shared" si="1002"/>
        <v>67.382154832115006</v>
      </c>
      <c r="T729">
        <f t="shared" si="1003"/>
        <v>6.7382154832115002E-2</v>
      </c>
    </row>
    <row r="730" spans="1:20" x14ac:dyDescent="0.25">
      <c r="A730" s="5">
        <v>43863</v>
      </c>
      <c r="B730">
        <v>1.7483</v>
      </c>
      <c r="C730">
        <v>2.0093999999999999</v>
      </c>
      <c r="D730">
        <v>1.6920999999999999</v>
      </c>
      <c r="E730">
        <v>1.929</v>
      </c>
      <c r="F730">
        <v>4545752.51</v>
      </c>
      <c r="G730">
        <v>0</v>
      </c>
      <c r="L730" t="s">
        <v>8</v>
      </c>
      <c r="M730" t="s">
        <v>8</v>
      </c>
      <c r="N730" t="s">
        <v>8</v>
      </c>
      <c r="P730">
        <f t="shared" si="999"/>
        <v>0.49322407815947161</v>
      </c>
      <c r="Q730">
        <f t="shared" si="1000"/>
        <v>2242074.5912858541</v>
      </c>
      <c r="R730">
        <f t="shared" si="1001"/>
        <v>6417832.393157321</v>
      </c>
      <c r="S730">
        <f t="shared" si="1002"/>
        <v>64.178323931573203</v>
      </c>
      <c r="T730">
        <f t="shared" si="1003"/>
        <v>6.4178323931573203E-2</v>
      </c>
    </row>
    <row r="731" spans="1:20" x14ac:dyDescent="0.25">
      <c r="A731" s="5">
        <v>43862</v>
      </c>
      <c r="B731">
        <v>1.6586000000000001</v>
      </c>
      <c r="C731">
        <v>1.7490000000000001</v>
      </c>
      <c r="D731">
        <v>1.6549</v>
      </c>
      <c r="E731">
        <v>1.7490000000000001</v>
      </c>
      <c r="F731">
        <v>1001361.56</v>
      </c>
      <c r="G731">
        <v>0</v>
      </c>
      <c r="L731" t="s">
        <v>8</v>
      </c>
      <c r="M731" t="s">
        <v>8</v>
      </c>
      <c r="N731" t="s">
        <v>7</v>
      </c>
      <c r="P731">
        <f t="shared" si="999"/>
        <v>1</v>
      </c>
      <c r="Q731">
        <f t="shared" si="1000"/>
        <v>1001361.56</v>
      </c>
      <c r="R731">
        <f t="shared" si="1001"/>
        <v>4175757.8018714669</v>
      </c>
      <c r="S731">
        <f t="shared" si="1002"/>
        <v>41.757578018714668</v>
      </c>
      <c r="T731">
        <f t="shared" si="1003"/>
        <v>4.1757578018714665E-2</v>
      </c>
    </row>
    <row r="732" spans="1:20" x14ac:dyDescent="0.25">
      <c r="A732" s="5">
        <v>43861</v>
      </c>
      <c r="B732">
        <v>1.6820999999999999</v>
      </c>
      <c r="C732">
        <v>1.724</v>
      </c>
      <c r="D732">
        <v>1.6455</v>
      </c>
      <c r="E732">
        <v>1.6564000000000001</v>
      </c>
      <c r="F732">
        <v>1693086.42</v>
      </c>
      <c r="G732">
        <v>0</v>
      </c>
      <c r="L732" t="s">
        <v>8</v>
      </c>
      <c r="M732" t="s">
        <v>8</v>
      </c>
      <c r="N732" t="s">
        <v>7</v>
      </c>
      <c r="P732">
        <f t="shared" si="999"/>
        <v>-0.72229299363056998</v>
      </c>
      <c r="Q732">
        <f t="shared" si="1000"/>
        <v>-1222904.4587770645</v>
      </c>
      <c r="R732">
        <f t="shared" si="1001"/>
        <v>3174396.2418714669</v>
      </c>
      <c r="S732">
        <f t="shared" si="1002"/>
        <v>31.74396241871467</v>
      </c>
      <c r="T732">
        <f t="shared" si="1003"/>
        <v>3.1743962418714668E-2</v>
      </c>
    </row>
    <row r="733" spans="1:20" x14ac:dyDescent="0.25">
      <c r="A733" s="5">
        <v>43860</v>
      </c>
      <c r="B733">
        <v>1.57</v>
      </c>
      <c r="C733">
        <v>1.71</v>
      </c>
      <c r="D733">
        <v>1.5573999999999999</v>
      </c>
      <c r="E733">
        <v>1.6773</v>
      </c>
      <c r="F733">
        <v>3231067.18</v>
      </c>
      <c r="G733">
        <v>0</v>
      </c>
      <c r="L733" t="s">
        <v>8</v>
      </c>
      <c r="M733" t="s">
        <v>8</v>
      </c>
      <c r="N733" t="s">
        <v>7</v>
      </c>
      <c r="P733">
        <f t="shared" si="999"/>
        <v>0.57142857142857229</v>
      </c>
      <c r="Q733">
        <f t="shared" si="1000"/>
        <v>1846324.1028571457</v>
      </c>
      <c r="R733">
        <f t="shared" si="1001"/>
        <v>4397300.7006485313</v>
      </c>
      <c r="S733">
        <f t="shared" si="1002"/>
        <v>43.973007006485311</v>
      </c>
      <c r="T733">
        <f t="shared" si="1003"/>
        <v>4.3973007006485314E-2</v>
      </c>
    </row>
    <row r="734" spans="1:20" x14ac:dyDescent="0.25">
      <c r="A734" s="5">
        <v>43859</v>
      </c>
      <c r="B734">
        <v>1.5509999999999999</v>
      </c>
      <c r="C734">
        <v>1.6880999999999999</v>
      </c>
      <c r="D734">
        <v>1.5387999999999999</v>
      </c>
      <c r="E734">
        <v>1.5698000000000001</v>
      </c>
      <c r="F734">
        <v>3148389.67</v>
      </c>
      <c r="G734">
        <v>0</v>
      </c>
      <c r="L734" t="s">
        <v>8</v>
      </c>
      <c r="M734" t="s">
        <v>8</v>
      </c>
      <c r="N734" t="s">
        <v>7</v>
      </c>
      <c r="P734">
        <f t="shared" si="999"/>
        <v>-0.58472873409242943</v>
      </c>
      <c r="Q734">
        <f t="shared" si="1000"/>
        <v>-1840953.9061687817</v>
      </c>
      <c r="R734">
        <f t="shared" si="1001"/>
        <v>2550976.5977913854</v>
      </c>
      <c r="S734">
        <f t="shared" si="1002"/>
        <v>25.509765977913855</v>
      </c>
      <c r="T734">
        <f t="shared" si="1003"/>
        <v>2.5509765977913854E-2</v>
      </c>
    </row>
    <row r="735" spans="1:20" x14ac:dyDescent="0.25">
      <c r="A735" s="5">
        <v>43858</v>
      </c>
      <c r="B735">
        <v>1.5204</v>
      </c>
      <c r="C735">
        <v>1.58</v>
      </c>
      <c r="D735">
        <v>1.508</v>
      </c>
      <c r="E735">
        <v>1.5508</v>
      </c>
      <c r="F735">
        <v>2120790.08</v>
      </c>
      <c r="G735">
        <v>0</v>
      </c>
      <c r="L735" t="s">
        <v>8</v>
      </c>
      <c r="M735" t="s">
        <v>8</v>
      </c>
      <c r="N735" t="s">
        <v>7</v>
      </c>
      <c r="P735">
        <f t="shared" si="999"/>
        <v>0.18888888888888641</v>
      </c>
      <c r="Q735">
        <f t="shared" si="1000"/>
        <v>400593.68177777255</v>
      </c>
      <c r="R735">
        <f t="shared" si="1001"/>
        <v>4391930.5039601671</v>
      </c>
      <c r="S735">
        <f t="shared" si="1002"/>
        <v>43.919305039601667</v>
      </c>
      <c r="T735">
        <f t="shared" si="1003"/>
        <v>4.3919305039601668E-2</v>
      </c>
    </row>
    <row r="736" spans="1:20" x14ac:dyDescent="0.25">
      <c r="A736" s="5">
        <v>43857</v>
      </c>
      <c r="B736">
        <v>1.5256000000000001</v>
      </c>
      <c r="C736">
        <v>1.548</v>
      </c>
      <c r="D736">
        <v>1.4854000000000001</v>
      </c>
      <c r="E736">
        <v>1.5206999999999999</v>
      </c>
      <c r="F736">
        <v>1516861.22</v>
      </c>
      <c r="G736">
        <v>0</v>
      </c>
      <c r="L736" t="s">
        <v>8</v>
      </c>
      <c r="M736" t="s">
        <v>8</v>
      </c>
      <c r="N736" t="s">
        <v>7</v>
      </c>
      <c r="P736">
        <f t="shared" si="999"/>
        <v>0.1277955271565461</v>
      </c>
      <c r="Q736">
        <f t="shared" si="1000"/>
        <v>193848.07923322165</v>
      </c>
      <c r="R736">
        <f t="shared" si="1001"/>
        <v>3991336.8221823946</v>
      </c>
      <c r="S736">
        <f t="shared" si="1002"/>
        <v>39.913368221823944</v>
      </c>
      <c r="T736">
        <f t="shared" si="1003"/>
        <v>3.9913368221823946E-2</v>
      </c>
    </row>
    <row r="737" spans="1:20" x14ac:dyDescent="0.25">
      <c r="A737" s="5">
        <v>43856</v>
      </c>
      <c r="B737">
        <v>1.4918</v>
      </c>
      <c r="C737">
        <v>1.53</v>
      </c>
      <c r="D737">
        <v>1.4689000000000001</v>
      </c>
      <c r="E737">
        <v>1.5256000000000001</v>
      </c>
      <c r="F737">
        <v>905281.83</v>
      </c>
      <c r="G737">
        <v>0</v>
      </c>
      <c r="L737" t="s">
        <v>7</v>
      </c>
      <c r="M737" t="s">
        <v>8</v>
      </c>
      <c r="N737" t="s">
        <v>7</v>
      </c>
      <c r="P737">
        <f t="shared" si="999"/>
        <v>0.85597381342062306</v>
      </c>
      <c r="Q737">
        <f t="shared" si="1000"/>
        <v>774897.54024550016</v>
      </c>
      <c r="R737">
        <f t="shared" si="1001"/>
        <v>3797488.7429491729</v>
      </c>
      <c r="S737">
        <f t="shared" si="1002"/>
        <v>37.97488742949173</v>
      </c>
      <c r="T737">
        <f t="shared" si="1003"/>
        <v>3.7974887429491733E-2</v>
      </c>
    </row>
    <row r="738" spans="1:20" x14ac:dyDescent="0.25">
      <c r="A738" s="5">
        <v>43855</v>
      </c>
      <c r="B738">
        <v>1.5123</v>
      </c>
      <c r="C738">
        <v>1.5449999999999999</v>
      </c>
      <c r="D738">
        <v>1.4561999999999999</v>
      </c>
      <c r="E738">
        <v>1.4946999999999999</v>
      </c>
      <c r="F738">
        <v>1236040.6499999999</v>
      </c>
      <c r="G738">
        <v>0</v>
      </c>
      <c r="L738" t="s">
        <v>7</v>
      </c>
      <c r="M738" t="s">
        <v>8</v>
      </c>
      <c r="N738" t="s">
        <v>7</v>
      </c>
      <c r="P738">
        <f t="shared" si="999"/>
        <v>-0.13288288288288327</v>
      </c>
      <c r="Q738">
        <f t="shared" si="1000"/>
        <v>-164248.64493243292</v>
      </c>
      <c r="R738">
        <f t="shared" si="1001"/>
        <v>3022591.2027036729</v>
      </c>
      <c r="S738">
        <f t="shared" si="1002"/>
        <v>30.225912027036728</v>
      </c>
      <c r="T738">
        <f t="shared" si="1003"/>
        <v>3.0225912027036728E-2</v>
      </c>
    </row>
    <row r="739" spans="1:20" x14ac:dyDescent="0.25">
      <c r="A739" s="5">
        <v>43854</v>
      </c>
      <c r="B739">
        <v>1.56</v>
      </c>
      <c r="C739">
        <v>1.5709</v>
      </c>
      <c r="D739">
        <v>1.4955000000000001</v>
      </c>
      <c r="E739">
        <v>1.5144</v>
      </c>
      <c r="F739">
        <v>1561561.46</v>
      </c>
      <c r="G739">
        <v>0</v>
      </c>
      <c r="L739" t="s">
        <v>7</v>
      </c>
      <c r="M739" t="s">
        <v>8</v>
      </c>
      <c r="N739" t="s">
        <v>7</v>
      </c>
      <c r="P739">
        <f t="shared" si="999"/>
        <v>-0.49867374005305204</v>
      </c>
      <c r="Q739">
        <f t="shared" si="1000"/>
        <v>-778709.69358090439</v>
      </c>
      <c r="R739">
        <f t="shared" si="1001"/>
        <v>3186839.847636106</v>
      </c>
      <c r="S739">
        <f t="shared" si="1002"/>
        <v>31.868398476361058</v>
      </c>
      <c r="T739">
        <f t="shared" si="1003"/>
        <v>3.1868398476361061E-2</v>
      </c>
    </row>
    <row r="740" spans="1:20" x14ac:dyDescent="0.25">
      <c r="A740" s="5">
        <v>43853</v>
      </c>
      <c r="B740">
        <v>1.5949</v>
      </c>
      <c r="C740">
        <v>1.6263000000000001</v>
      </c>
      <c r="D740">
        <v>1.4955000000000001</v>
      </c>
      <c r="E740">
        <v>1.5590999999999999</v>
      </c>
      <c r="F740">
        <v>3095923.93</v>
      </c>
      <c r="G740">
        <v>0</v>
      </c>
      <c r="L740" t="s">
        <v>7</v>
      </c>
      <c r="M740" t="s">
        <v>8</v>
      </c>
      <c r="N740" t="s">
        <v>7</v>
      </c>
      <c r="P740">
        <f t="shared" si="999"/>
        <v>-2.7522935779818569E-2</v>
      </c>
      <c r="Q740">
        <f t="shared" si="1000"/>
        <v>-85208.915504593519</v>
      </c>
      <c r="R740">
        <f t="shared" si="1001"/>
        <v>3965549.5412170105</v>
      </c>
      <c r="S740">
        <f t="shared" si="1002"/>
        <v>39.655495412170104</v>
      </c>
      <c r="T740">
        <f t="shared" si="1003"/>
        <v>3.9655495412170103E-2</v>
      </c>
    </row>
    <row r="741" spans="1:20" x14ac:dyDescent="0.25">
      <c r="A741" s="5">
        <v>43852</v>
      </c>
      <c r="B741">
        <v>1.5337000000000001</v>
      </c>
      <c r="C741">
        <v>1.6444000000000001</v>
      </c>
      <c r="D741">
        <v>1.5278</v>
      </c>
      <c r="E741">
        <v>1.5936999999999999</v>
      </c>
      <c r="F741">
        <v>2156529.4700000002</v>
      </c>
      <c r="G741">
        <v>0</v>
      </c>
      <c r="L741" t="s">
        <v>8</v>
      </c>
      <c r="M741" t="s">
        <v>8</v>
      </c>
      <c r="N741" t="s">
        <v>7</v>
      </c>
      <c r="P741">
        <f t="shared" si="999"/>
        <v>0.13036020583190097</v>
      </c>
      <c r="Q741">
        <f t="shared" si="1000"/>
        <v>281125.62559176033</v>
      </c>
      <c r="R741">
        <f t="shared" si="1001"/>
        <v>4050758.4567216039</v>
      </c>
      <c r="S741">
        <f t="shared" si="1002"/>
        <v>40.507584567216036</v>
      </c>
      <c r="T741">
        <f t="shared" si="1003"/>
        <v>4.0507584567216037E-2</v>
      </c>
    </row>
    <row r="742" spans="1:20" x14ac:dyDescent="0.25">
      <c r="A742" s="5">
        <v>43851</v>
      </c>
      <c r="B742">
        <v>1.5929</v>
      </c>
      <c r="C742">
        <v>1.6194999999999999</v>
      </c>
      <c r="D742">
        <v>1.498</v>
      </c>
      <c r="E742">
        <v>1.536</v>
      </c>
      <c r="F742">
        <v>2510293.13</v>
      </c>
      <c r="G742">
        <v>0</v>
      </c>
      <c r="L742" t="s">
        <v>8</v>
      </c>
      <c r="M742" t="s">
        <v>8</v>
      </c>
      <c r="N742" t="s">
        <v>7</v>
      </c>
      <c r="P742">
        <f t="shared" si="999"/>
        <v>-0.37448559670781806</v>
      </c>
      <c r="Q742">
        <f t="shared" si="1000"/>
        <v>-940068.62069958623</v>
      </c>
      <c r="R742">
        <f t="shared" si="1001"/>
        <v>3769632.8311298434</v>
      </c>
      <c r="S742">
        <f t="shared" si="1002"/>
        <v>37.696328311298437</v>
      </c>
      <c r="T742">
        <f t="shared" si="1003"/>
        <v>3.769632831129844E-2</v>
      </c>
    </row>
    <row r="743" spans="1:20" x14ac:dyDescent="0.25">
      <c r="A743" s="5">
        <v>43850</v>
      </c>
      <c r="B743">
        <v>1.423</v>
      </c>
      <c r="C743">
        <v>1.593</v>
      </c>
      <c r="D743">
        <v>1.4068000000000001</v>
      </c>
      <c r="E743">
        <v>1.5929</v>
      </c>
      <c r="F743">
        <v>3214303.24</v>
      </c>
      <c r="G743">
        <v>0</v>
      </c>
      <c r="L743" t="s">
        <v>8</v>
      </c>
      <c r="M743" t="s">
        <v>8</v>
      </c>
      <c r="N743" t="s">
        <v>7</v>
      </c>
      <c r="P743">
        <f t="shared" si="999"/>
        <v>0.99892588614393141</v>
      </c>
      <c r="Q743">
        <f t="shared" si="1000"/>
        <v>3210850.7123523098</v>
      </c>
      <c r="R743">
        <f t="shared" si="1001"/>
        <v>4709701.4518294297</v>
      </c>
      <c r="S743">
        <f t="shared" si="1002"/>
        <v>47.097014518294294</v>
      </c>
      <c r="T743">
        <f t="shared" si="1003"/>
        <v>4.7097014518294296E-2</v>
      </c>
    </row>
    <row r="744" spans="1:20" x14ac:dyDescent="0.25">
      <c r="A744" s="5">
        <v>43849</v>
      </c>
      <c r="B744">
        <v>1.4796</v>
      </c>
      <c r="C744">
        <v>1.528</v>
      </c>
      <c r="D744">
        <v>1.36</v>
      </c>
      <c r="E744">
        <v>1.4267000000000001</v>
      </c>
      <c r="F744">
        <v>2150794.6</v>
      </c>
      <c r="G744">
        <v>0</v>
      </c>
      <c r="L744" t="s">
        <v>7</v>
      </c>
      <c r="M744" t="s">
        <v>8</v>
      </c>
      <c r="N744" t="s">
        <v>7</v>
      </c>
      <c r="P744">
        <f t="shared" si="999"/>
        <v>-0.20595238095238083</v>
      </c>
      <c r="Q744">
        <f t="shared" si="1000"/>
        <v>-442961.26880952355</v>
      </c>
      <c r="R744">
        <f t="shared" si="1001"/>
        <v>1498850.7394771199</v>
      </c>
      <c r="S744">
        <f t="shared" si="1002"/>
        <v>14.988507394771199</v>
      </c>
      <c r="T744">
        <f t="shared" si="1003"/>
        <v>1.4988507394771198E-2</v>
      </c>
    </row>
    <row r="745" spans="1:20" x14ac:dyDescent="0.25">
      <c r="A745" s="5">
        <v>43848</v>
      </c>
      <c r="B745">
        <v>1.4729000000000001</v>
      </c>
      <c r="C745">
        <v>1.55</v>
      </c>
      <c r="D745">
        <v>1.4172</v>
      </c>
      <c r="E745">
        <v>1.4805999999999999</v>
      </c>
      <c r="F745">
        <v>1742968.44</v>
      </c>
      <c r="G745">
        <v>0</v>
      </c>
      <c r="L745" t="s">
        <v>8</v>
      </c>
      <c r="M745" t="s">
        <v>8</v>
      </c>
      <c r="N745" t="s">
        <v>7</v>
      </c>
      <c r="P745">
        <f t="shared" si="999"/>
        <v>-4.5180722891567965E-2</v>
      </c>
      <c r="Q745">
        <f t="shared" si="1000"/>
        <v>-78748.574096388504</v>
      </c>
      <c r="R745">
        <f t="shared" si="1001"/>
        <v>1941812.0082866435</v>
      </c>
      <c r="S745">
        <f t="shared" si="1002"/>
        <v>19.418120082866434</v>
      </c>
      <c r="T745">
        <f t="shared" si="1003"/>
        <v>1.9418120082866433E-2</v>
      </c>
    </row>
    <row r="746" spans="1:20" x14ac:dyDescent="0.25">
      <c r="A746" s="5">
        <v>43847</v>
      </c>
      <c r="B746">
        <v>1.4957</v>
      </c>
      <c r="C746">
        <v>1.54</v>
      </c>
      <c r="D746">
        <v>1.4198</v>
      </c>
      <c r="E746">
        <v>1.4770000000000001</v>
      </c>
      <c r="F746">
        <v>3747032.54</v>
      </c>
      <c r="G746">
        <v>0</v>
      </c>
      <c r="L746" t="s">
        <v>7</v>
      </c>
      <c r="M746" t="s">
        <v>8</v>
      </c>
      <c r="N746" t="s">
        <v>7</v>
      </c>
      <c r="P746">
        <f t="shared" si="999"/>
        <v>-4.8252911813642274E-2</v>
      </c>
      <c r="Q746">
        <f t="shared" si="1000"/>
        <v>-180805.23071546803</v>
      </c>
      <c r="R746">
        <f t="shared" si="1001"/>
        <v>2020560.582383032</v>
      </c>
      <c r="S746">
        <f t="shared" si="1002"/>
        <v>20.205605823830318</v>
      </c>
      <c r="T746">
        <f t="shared" si="1003"/>
        <v>2.0205605823830318E-2</v>
      </c>
    </row>
    <row r="747" spans="1:20" x14ac:dyDescent="0.25">
      <c r="A747" s="5">
        <v>43846</v>
      </c>
      <c r="B747">
        <v>1.3452999999999999</v>
      </c>
      <c r="C747">
        <v>1.54</v>
      </c>
      <c r="D747">
        <v>1.3005</v>
      </c>
      <c r="E747">
        <v>1.4936</v>
      </c>
      <c r="F747">
        <v>3471285.45</v>
      </c>
      <c r="G747">
        <v>0</v>
      </c>
      <c r="L747" t="s">
        <v>8</v>
      </c>
      <c r="M747" t="s">
        <v>8</v>
      </c>
      <c r="N747" t="s">
        <v>7</v>
      </c>
      <c r="P747">
        <f t="shared" si="999"/>
        <v>0.61252609603340302</v>
      </c>
      <c r="Q747">
        <f t="shared" si="1000"/>
        <v>2126252.9249060545</v>
      </c>
      <c r="R747">
        <f t="shared" si="1001"/>
        <v>2201365.8130985</v>
      </c>
      <c r="S747">
        <f t="shared" si="1002"/>
        <v>22.013658130985</v>
      </c>
      <c r="T747">
        <f t="shared" si="1003"/>
        <v>2.2013658130984999E-2</v>
      </c>
    </row>
    <row r="748" spans="1:20" x14ac:dyDescent="0.25">
      <c r="A748" s="5">
        <v>43845</v>
      </c>
      <c r="B748">
        <v>1.3253999999999999</v>
      </c>
      <c r="C748">
        <v>1.4076</v>
      </c>
      <c r="D748">
        <v>1.2837000000000001</v>
      </c>
      <c r="E748">
        <v>1.3452999999999999</v>
      </c>
      <c r="F748">
        <v>3425836.51</v>
      </c>
      <c r="G748">
        <v>0</v>
      </c>
      <c r="L748" t="s">
        <v>8</v>
      </c>
      <c r="M748" t="s">
        <v>7</v>
      </c>
      <c r="N748" t="s">
        <v>7</v>
      </c>
      <c r="P748">
        <f t="shared" si="999"/>
        <v>-5.6497175141254682E-3</v>
      </c>
      <c r="Q748">
        <f t="shared" si="1000"/>
        <v>-19355.008531077467</v>
      </c>
      <c r="R748">
        <f t="shared" si="1001"/>
        <v>75112.888192445564</v>
      </c>
      <c r="S748">
        <f t="shared" si="1002"/>
        <v>0.75112888192445559</v>
      </c>
      <c r="T748">
        <f t="shared" si="1003"/>
        <v>7.5112888192445555E-4</v>
      </c>
    </row>
    <row r="749" spans="1:20" x14ac:dyDescent="0.25">
      <c r="A749" s="5">
        <v>43844</v>
      </c>
      <c r="B749">
        <v>1.2743</v>
      </c>
      <c r="C749">
        <v>1.3471</v>
      </c>
      <c r="D749">
        <v>1.2717000000000001</v>
      </c>
      <c r="E749">
        <v>1.3248</v>
      </c>
      <c r="F749">
        <v>3118476.85</v>
      </c>
      <c r="G749">
        <v>0</v>
      </c>
      <c r="L749" t="s">
        <v>8</v>
      </c>
      <c r="M749" t="s">
        <v>7</v>
      </c>
      <c r="N749" t="s">
        <v>7</v>
      </c>
      <c r="P749">
        <f t="shared" si="999"/>
        <v>0.40848806366047713</v>
      </c>
      <c r="Q749">
        <f t="shared" si="1000"/>
        <v>1273860.5700265241</v>
      </c>
      <c r="R749">
        <f t="shared" si="1001"/>
        <v>94467.896723523038</v>
      </c>
      <c r="S749">
        <f t="shared" si="1002"/>
        <v>0.94467896723523037</v>
      </c>
      <c r="T749">
        <f t="shared" si="1003"/>
        <v>9.446789672352304E-4</v>
      </c>
    </row>
    <row r="750" spans="1:20" x14ac:dyDescent="0.25">
      <c r="A750" s="5">
        <v>43843</v>
      </c>
      <c r="B750">
        <v>1.3070999999999999</v>
      </c>
      <c r="C750">
        <v>1.3070999999999999</v>
      </c>
      <c r="D750">
        <v>1.256</v>
      </c>
      <c r="E750">
        <v>1.2743</v>
      </c>
      <c r="F750">
        <v>1277806.3500000001</v>
      </c>
      <c r="G750">
        <v>0</v>
      </c>
      <c r="L750" t="s">
        <v>7</v>
      </c>
      <c r="M750" t="s">
        <v>7</v>
      </c>
      <c r="N750" t="s">
        <v>7</v>
      </c>
      <c r="P750">
        <f t="shared" si="999"/>
        <v>-0.2837573385518587</v>
      </c>
      <c r="Q750">
        <f t="shared" si="1000"/>
        <v>-362586.92906066484</v>
      </c>
      <c r="R750">
        <f t="shared" si="1001"/>
        <v>-1179392.6733030011</v>
      </c>
      <c r="S750">
        <f t="shared" si="1002"/>
        <v>-11.793926733030011</v>
      </c>
      <c r="T750">
        <f t="shared" si="1003"/>
        <v>-1.1793926733030011E-2</v>
      </c>
    </row>
    <row r="751" spans="1:20" x14ac:dyDescent="0.25">
      <c r="A751" s="5">
        <v>43842</v>
      </c>
      <c r="B751">
        <v>1.304</v>
      </c>
      <c r="C751">
        <v>1.3194999999999999</v>
      </c>
      <c r="D751">
        <v>1.2949999999999999</v>
      </c>
      <c r="E751">
        <v>1.3071999999999999</v>
      </c>
      <c r="F751">
        <v>552038.21</v>
      </c>
      <c r="G751">
        <v>0</v>
      </c>
      <c r="L751" t="s">
        <v>8</v>
      </c>
      <c r="M751" t="s">
        <v>7</v>
      </c>
      <c r="N751" t="s">
        <v>7</v>
      </c>
      <c r="P751">
        <f t="shared" si="999"/>
        <v>-4.0816326530607808E-3</v>
      </c>
      <c r="Q751">
        <f t="shared" si="1000"/>
        <v>-2253.2171836732241</v>
      </c>
      <c r="R751">
        <f t="shared" si="1001"/>
        <v>-816805.74424233625</v>
      </c>
      <c r="S751">
        <f t="shared" si="1002"/>
        <v>-8.168057442423363</v>
      </c>
      <c r="T751">
        <f t="shared" si="1003"/>
        <v>-8.168057442423363E-3</v>
      </c>
    </row>
    <row r="752" spans="1:20" x14ac:dyDescent="0.25">
      <c r="A752" s="5">
        <v>43841</v>
      </c>
      <c r="B752">
        <v>1.3065</v>
      </c>
      <c r="C752">
        <v>1.35</v>
      </c>
      <c r="D752">
        <v>1.2955000000000001</v>
      </c>
      <c r="E752">
        <v>1.3041</v>
      </c>
      <c r="F752">
        <v>1506803.8</v>
      </c>
      <c r="G752">
        <v>0</v>
      </c>
      <c r="L752" t="s">
        <v>8</v>
      </c>
      <c r="M752" t="s">
        <v>7</v>
      </c>
      <c r="N752" t="s">
        <v>7</v>
      </c>
      <c r="P752">
        <f t="shared" si="999"/>
        <v>-0.68440366972477273</v>
      </c>
      <c r="Q752">
        <f t="shared" si="1000"/>
        <v>-1031262.0502752325</v>
      </c>
      <c r="R752">
        <f t="shared" si="1001"/>
        <v>-814552.52705866308</v>
      </c>
      <c r="S752">
        <f t="shared" si="1002"/>
        <v>-8.1455252705866314</v>
      </c>
      <c r="T752">
        <f t="shared" si="1003"/>
        <v>-8.1455252705866319E-3</v>
      </c>
    </row>
    <row r="753" spans="1:20" x14ac:dyDescent="0.25">
      <c r="A753" s="5">
        <v>43840</v>
      </c>
      <c r="B753">
        <v>1.2797000000000001</v>
      </c>
      <c r="C753">
        <v>1.3488</v>
      </c>
      <c r="D753">
        <v>1.2549999999999999</v>
      </c>
      <c r="E753">
        <v>1.3064</v>
      </c>
      <c r="F753">
        <v>1942752.52</v>
      </c>
      <c r="G753">
        <v>0</v>
      </c>
      <c r="L753" t="s">
        <v>8</v>
      </c>
      <c r="M753" t="s">
        <v>7</v>
      </c>
      <c r="N753" t="s">
        <v>7</v>
      </c>
      <c r="P753">
        <f t="shared" si="999"/>
        <v>9.5948827292112029E-2</v>
      </c>
      <c r="Q753">
        <f t="shared" si="1000"/>
        <v>186404.82601279541</v>
      </c>
      <c r="R753">
        <f t="shared" si="1001"/>
        <v>216709.52321656942</v>
      </c>
      <c r="S753">
        <f t="shared" si="1002"/>
        <v>2.167095232165694</v>
      </c>
      <c r="T753">
        <f t="shared" si="1003"/>
        <v>2.1670952321656942E-3</v>
      </c>
    </row>
    <row r="754" spans="1:20" x14ac:dyDescent="0.25">
      <c r="A754" s="5">
        <v>43839</v>
      </c>
      <c r="B754">
        <v>1.3314999999999999</v>
      </c>
      <c r="C754">
        <v>1.3663000000000001</v>
      </c>
      <c r="D754">
        <v>1.2633000000000001</v>
      </c>
      <c r="E754">
        <v>1.2810999999999999</v>
      </c>
      <c r="F754">
        <v>2319186.71</v>
      </c>
      <c r="G754">
        <v>0</v>
      </c>
      <c r="L754" t="s">
        <v>7</v>
      </c>
      <c r="M754" t="s">
        <v>7</v>
      </c>
      <c r="N754" t="s">
        <v>7</v>
      </c>
      <c r="P754">
        <f t="shared" si="999"/>
        <v>-0.6543689320388385</v>
      </c>
      <c r="Q754">
        <f t="shared" si="1000"/>
        <v>-1517603.7306213675</v>
      </c>
      <c r="R754">
        <f t="shared" si="1001"/>
        <v>30304.697203774005</v>
      </c>
      <c r="S754">
        <f t="shared" si="1002"/>
        <v>0.30304697203774006</v>
      </c>
      <c r="T754">
        <f t="shared" si="1003"/>
        <v>3.0304697203774008E-4</v>
      </c>
    </row>
    <row r="755" spans="1:20" x14ac:dyDescent="0.25">
      <c r="A755" s="5">
        <v>43838</v>
      </c>
      <c r="B755">
        <v>1.2968999999999999</v>
      </c>
      <c r="C755">
        <v>1.395</v>
      </c>
      <c r="D755">
        <v>1.2765</v>
      </c>
      <c r="E755">
        <v>1.3307</v>
      </c>
      <c r="F755">
        <v>3138359.5</v>
      </c>
      <c r="G755">
        <v>0</v>
      </c>
      <c r="L755" t="s">
        <v>8</v>
      </c>
      <c r="M755" t="s">
        <v>7</v>
      </c>
      <c r="N755" t="s">
        <v>7</v>
      </c>
      <c r="P755">
        <f t="shared" si="999"/>
        <v>-8.5232067510548473E-2</v>
      </c>
      <c r="Q755">
        <f t="shared" si="1000"/>
        <v>-267488.86877637118</v>
      </c>
      <c r="R755">
        <f t="shared" si="1001"/>
        <v>1547908.4278251415</v>
      </c>
      <c r="S755">
        <f t="shared" si="1002"/>
        <v>15.479084278251415</v>
      </c>
      <c r="T755">
        <f t="shared" si="1003"/>
        <v>1.5479084278251416E-2</v>
      </c>
    </row>
    <row r="756" spans="1:20" x14ac:dyDescent="0.25">
      <c r="A756" s="5">
        <v>43837</v>
      </c>
      <c r="B756">
        <v>1.3030999999999999</v>
      </c>
      <c r="C756">
        <v>1.3323</v>
      </c>
      <c r="D756">
        <v>1.2517</v>
      </c>
      <c r="E756">
        <v>1.2928999999999999</v>
      </c>
      <c r="F756">
        <v>2943258.42</v>
      </c>
      <c r="G756">
        <v>0</v>
      </c>
      <c r="L756" t="s">
        <v>8</v>
      </c>
      <c r="M756" t="s">
        <v>7</v>
      </c>
      <c r="N756" t="s">
        <v>7</v>
      </c>
      <c r="P756">
        <f t="shared" si="999"/>
        <v>2.2332506203471485E-2</v>
      </c>
      <c r="Q756">
        <f t="shared" si="1000"/>
        <v>65730.336923069684</v>
      </c>
      <c r="R756">
        <f t="shared" si="1001"/>
        <v>1815397.2966015127</v>
      </c>
      <c r="S756">
        <f t="shared" si="1002"/>
        <v>18.153972966015129</v>
      </c>
      <c r="T756">
        <f t="shared" si="1003"/>
        <v>1.815397296601513E-2</v>
      </c>
    </row>
    <row r="757" spans="1:20" x14ac:dyDescent="0.25">
      <c r="A757" s="5">
        <v>43836</v>
      </c>
      <c r="B757">
        <v>1.2546999999999999</v>
      </c>
      <c r="C757">
        <v>1.34</v>
      </c>
      <c r="D757">
        <v>1.2525999999999999</v>
      </c>
      <c r="E757">
        <v>1.3047</v>
      </c>
      <c r="F757">
        <v>2339692.4500000002</v>
      </c>
      <c r="G757">
        <v>0</v>
      </c>
      <c r="L757" t="s">
        <v>8</v>
      </c>
      <c r="M757" t="s">
        <v>7</v>
      </c>
      <c r="N757" t="s">
        <v>7</v>
      </c>
      <c r="P757">
        <f t="shared" si="999"/>
        <v>0.1922196796338661</v>
      </c>
      <c r="Q757">
        <f t="shared" si="1000"/>
        <v>449734.93318077532</v>
      </c>
      <c r="R757">
        <f t="shared" si="1001"/>
        <v>1749666.9596784429</v>
      </c>
      <c r="S757">
        <f t="shared" si="1002"/>
        <v>17.496669596784429</v>
      </c>
      <c r="T757">
        <f t="shared" si="1003"/>
        <v>1.749666959678443E-2</v>
      </c>
    </row>
    <row r="758" spans="1:20" x14ac:dyDescent="0.25">
      <c r="A758" s="5">
        <v>43835</v>
      </c>
      <c r="B758">
        <v>1.2563</v>
      </c>
      <c r="C758">
        <v>1.2807999999999999</v>
      </c>
      <c r="D758">
        <v>1.2344999999999999</v>
      </c>
      <c r="E758">
        <v>1.2544999999999999</v>
      </c>
      <c r="F758">
        <v>1634808.71</v>
      </c>
      <c r="G758">
        <v>0</v>
      </c>
      <c r="L758" t="s">
        <v>7</v>
      </c>
      <c r="M758" t="s">
        <v>7</v>
      </c>
      <c r="N758" t="s">
        <v>7</v>
      </c>
      <c r="P758">
        <f t="shared" si="999"/>
        <v>-0.13606911447084172</v>
      </c>
      <c r="Q758">
        <f t="shared" si="1000"/>
        <v>-222446.97349891908</v>
      </c>
      <c r="R758">
        <f t="shared" si="1001"/>
        <v>1299932.0264976677</v>
      </c>
      <c r="S758">
        <f t="shared" si="1002"/>
        <v>12.999320264976676</v>
      </c>
      <c r="T758">
        <f t="shared" si="1003"/>
        <v>1.2999320264976676E-2</v>
      </c>
    </row>
    <row r="759" spans="1:20" x14ac:dyDescent="0.25">
      <c r="A759" s="5">
        <v>43834</v>
      </c>
      <c r="B759">
        <v>1.2798</v>
      </c>
      <c r="C759">
        <v>1.2899</v>
      </c>
      <c r="D759">
        <v>1.2216</v>
      </c>
      <c r="E759">
        <v>1.2557</v>
      </c>
      <c r="F759">
        <v>2072266.71</v>
      </c>
      <c r="G759">
        <v>0</v>
      </c>
      <c r="L759" t="s">
        <v>7</v>
      </c>
      <c r="M759" t="s">
        <v>7</v>
      </c>
      <c r="N759" t="s">
        <v>7</v>
      </c>
      <c r="P759">
        <f t="shared" si="999"/>
        <v>-1.4641288433380518E-3</v>
      </c>
      <c r="Q759">
        <f t="shared" si="1000"/>
        <v>-3034.06546120025</v>
      </c>
      <c r="R759">
        <f t="shared" si="1001"/>
        <v>1522378.9999965867</v>
      </c>
      <c r="S759">
        <f t="shared" si="1002"/>
        <v>15.223789999965867</v>
      </c>
      <c r="T759">
        <f t="shared" si="1003"/>
        <v>1.5223789999965867E-2</v>
      </c>
    </row>
    <row r="760" spans="1:20" x14ac:dyDescent="0.25">
      <c r="A760" s="5">
        <v>43833</v>
      </c>
      <c r="B760">
        <v>1.2419</v>
      </c>
      <c r="C760">
        <v>1.3071999999999999</v>
      </c>
      <c r="D760">
        <v>1.2330000000000001</v>
      </c>
      <c r="E760">
        <v>1.2785</v>
      </c>
      <c r="F760">
        <v>2231454.5699999998</v>
      </c>
      <c r="G760">
        <v>0</v>
      </c>
      <c r="L760" t="s">
        <v>7</v>
      </c>
      <c r="M760" t="s">
        <v>7</v>
      </c>
      <c r="N760" t="s">
        <v>7</v>
      </c>
      <c r="P760">
        <f t="shared" si="999"/>
        <v>0.2264150943396222</v>
      </c>
      <c r="Q760">
        <f t="shared" si="1000"/>
        <v>505234.99698113103</v>
      </c>
      <c r="R760">
        <f t="shared" si="1001"/>
        <v>1525413.0654577869</v>
      </c>
      <c r="S760">
        <f t="shared" si="1002"/>
        <v>15.254130654577869</v>
      </c>
      <c r="T760">
        <f t="shared" si="1003"/>
        <v>1.5254130654577869E-2</v>
      </c>
    </row>
    <row r="761" spans="1:20" x14ac:dyDescent="0.25">
      <c r="A761" s="5">
        <v>43832</v>
      </c>
      <c r="B761">
        <v>1.37</v>
      </c>
      <c r="C761">
        <v>1.3783000000000001</v>
      </c>
      <c r="D761">
        <v>1.23</v>
      </c>
      <c r="E761">
        <v>1.2427999999999999</v>
      </c>
      <c r="F761">
        <v>2104119.58</v>
      </c>
      <c r="G761">
        <v>0</v>
      </c>
      <c r="L761" t="s">
        <v>7</v>
      </c>
      <c r="M761" t="s">
        <v>7</v>
      </c>
      <c r="N761" t="s">
        <v>7</v>
      </c>
      <c r="P761">
        <f t="shared" si="999"/>
        <v>-0.8273769386378973</v>
      </c>
      <c r="Q761">
        <f t="shared" si="1000"/>
        <v>-1740900.0166284584</v>
      </c>
      <c r="R761">
        <f t="shared" si="1001"/>
        <v>1020178.0684766558</v>
      </c>
      <c r="S761">
        <f t="shared" si="1002"/>
        <v>10.201780684766558</v>
      </c>
      <c r="T761">
        <f t="shared" si="1003"/>
        <v>1.0201780684766558E-2</v>
      </c>
    </row>
    <row r="762" spans="1:20" x14ac:dyDescent="0.25">
      <c r="A762" s="5">
        <v>43831</v>
      </c>
      <c r="B762">
        <v>1.3532</v>
      </c>
      <c r="C762">
        <v>1.3745000000000001</v>
      </c>
      <c r="D762">
        <v>1.3217000000000001</v>
      </c>
      <c r="E762">
        <v>1.37</v>
      </c>
      <c r="F762">
        <v>1197263.77</v>
      </c>
      <c r="G762">
        <v>0</v>
      </c>
      <c r="L762" t="s">
        <v>8</v>
      </c>
      <c r="M762" t="s">
        <v>7</v>
      </c>
      <c r="N762" t="s">
        <v>7</v>
      </c>
      <c r="P762">
        <f t="shared" si="999"/>
        <v>0.82954545454545636</v>
      </c>
      <c r="Q762">
        <f t="shared" si="1000"/>
        <v>993184.71829545673</v>
      </c>
      <c r="R762">
        <f t="shared" si="1001"/>
        <v>2761078.0851051142</v>
      </c>
      <c r="S762">
        <f t="shared" si="1002"/>
        <v>27.610780851051143</v>
      </c>
      <c r="T762">
        <f t="shared" si="1003"/>
        <v>2.7610780851051144E-2</v>
      </c>
    </row>
    <row r="763" spans="1:20" x14ac:dyDescent="0.25">
      <c r="A763" s="5">
        <v>43830</v>
      </c>
      <c r="B763">
        <v>1.3295999999999999</v>
      </c>
      <c r="C763">
        <v>1.3964000000000001</v>
      </c>
      <c r="D763">
        <v>1.3027</v>
      </c>
      <c r="E763">
        <v>1.3532999999999999</v>
      </c>
      <c r="F763">
        <v>2378897.34</v>
      </c>
      <c r="G763">
        <v>0</v>
      </c>
      <c r="L763" t="s">
        <v>8</v>
      </c>
      <c r="M763" t="s">
        <v>7</v>
      </c>
      <c r="N763" t="s">
        <v>7</v>
      </c>
      <c r="P763">
        <f t="shared" si="999"/>
        <v>8.0042689434363185E-2</v>
      </c>
      <c r="Q763">
        <f t="shared" si="1000"/>
        <v>190413.34098185267</v>
      </c>
      <c r="R763">
        <f t="shared" si="1001"/>
        <v>1767893.3668096575</v>
      </c>
      <c r="S763">
        <f t="shared" si="1002"/>
        <v>17.678933668096576</v>
      </c>
      <c r="T763">
        <f t="shared" si="1003"/>
        <v>1.7678933668096575E-2</v>
      </c>
    </row>
    <row r="764" spans="1:20" x14ac:dyDescent="0.25">
      <c r="A764" s="5">
        <v>43829</v>
      </c>
      <c r="B764">
        <v>1.3090999999999999</v>
      </c>
      <c r="C764">
        <v>1.3562000000000001</v>
      </c>
      <c r="D764">
        <v>1.2891999999999999</v>
      </c>
      <c r="E764">
        <v>1.3297000000000001</v>
      </c>
      <c r="F764">
        <v>2149965.09</v>
      </c>
      <c r="G764">
        <v>0</v>
      </c>
      <c r="L764" t="s">
        <v>7</v>
      </c>
      <c r="M764" t="s">
        <v>7</v>
      </c>
      <c r="N764" t="s">
        <v>7</v>
      </c>
      <c r="P764">
        <f t="shared" si="999"/>
        <v>0.20895522388059998</v>
      </c>
      <c r="Q764">
        <f t="shared" si="1000"/>
        <v>449246.43671642424</v>
      </c>
      <c r="R764">
        <f t="shared" si="1001"/>
        <v>1577480.0258278048</v>
      </c>
      <c r="S764">
        <f t="shared" si="1002"/>
        <v>15.774800258278049</v>
      </c>
      <c r="T764">
        <f t="shared" si="1003"/>
        <v>1.577480025827805E-2</v>
      </c>
    </row>
    <row r="765" spans="1:20" x14ac:dyDescent="0.25">
      <c r="A765" s="5">
        <v>43828</v>
      </c>
      <c r="B765">
        <v>1.3279000000000001</v>
      </c>
      <c r="C765">
        <v>1.3399000000000001</v>
      </c>
      <c r="D765">
        <v>1.2798</v>
      </c>
      <c r="E765">
        <v>1.3113999999999999</v>
      </c>
      <c r="F765">
        <v>2620148.63</v>
      </c>
      <c r="G765">
        <v>0</v>
      </c>
      <c r="L765" t="s">
        <v>7</v>
      </c>
      <c r="M765" t="s">
        <v>7</v>
      </c>
      <c r="N765" t="s">
        <v>7</v>
      </c>
      <c r="P765">
        <f t="shared" si="999"/>
        <v>5.1580698835268828E-2</v>
      </c>
      <c r="Q765">
        <f t="shared" si="1000"/>
        <v>135149.0973876722</v>
      </c>
      <c r="R765">
        <f t="shared" si="1001"/>
        <v>1128233.5891113805</v>
      </c>
      <c r="S765">
        <f t="shared" si="1002"/>
        <v>11.282335891113805</v>
      </c>
      <c r="T765">
        <f t="shared" si="1003"/>
        <v>1.1282335891113805E-2</v>
      </c>
    </row>
    <row r="766" spans="1:20" x14ac:dyDescent="0.25">
      <c r="A766" s="5">
        <v>43827</v>
      </c>
      <c r="B766">
        <v>1.3819999999999999</v>
      </c>
      <c r="C766">
        <v>1.3868</v>
      </c>
      <c r="D766">
        <v>1.32</v>
      </c>
      <c r="E766">
        <v>1.3281000000000001</v>
      </c>
      <c r="F766">
        <v>2077450.37</v>
      </c>
      <c r="G766">
        <v>0</v>
      </c>
      <c r="L766" t="s">
        <v>7</v>
      </c>
      <c r="M766" t="s">
        <v>7</v>
      </c>
      <c r="N766" t="s">
        <v>7</v>
      </c>
      <c r="P766">
        <f t="shared" si="999"/>
        <v>-0.75748502994011979</v>
      </c>
      <c r="Q766">
        <f t="shared" si="1000"/>
        <v>-1573637.555718563</v>
      </c>
      <c r="R766">
        <f t="shared" si="1001"/>
        <v>993084.49172370834</v>
      </c>
      <c r="S766">
        <f t="shared" si="1002"/>
        <v>9.9308449172370832</v>
      </c>
      <c r="T766">
        <f t="shared" si="1003"/>
        <v>9.9308449172370826E-3</v>
      </c>
    </row>
    <row r="767" spans="1:20" x14ac:dyDescent="0.25">
      <c r="A767" s="5">
        <v>43826</v>
      </c>
      <c r="B767">
        <v>1.3682000000000001</v>
      </c>
      <c r="C767">
        <v>1.41</v>
      </c>
      <c r="D767">
        <v>1.3535999999999999</v>
      </c>
      <c r="E767">
        <v>1.38</v>
      </c>
      <c r="F767">
        <v>1058000.9099999999</v>
      </c>
      <c r="G767">
        <v>0</v>
      </c>
      <c r="L767" t="s">
        <v>7</v>
      </c>
      <c r="M767" t="s">
        <v>7</v>
      </c>
      <c r="N767" t="s">
        <v>8</v>
      </c>
      <c r="P767">
        <f t="shared" ref="P767:P830" si="1004">IF(C767=D767,0,((E767-D767)-(C767-E767))/(C767-D767))</f>
        <v>-6.3829787234043395E-2</v>
      </c>
      <c r="Q767">
        <f t="shared" ref="Q767:Q830" si="1005">F767*P767</f>
        <v>-67531.972978724283</v>
      </c>
      <c r="R767">
        <f t="shared" ref="R767:R830" si="1006">R768+Q767</f>
        <v>2566722.0474422714</v>
      </c>
      <c r="S767">
        <f t="shared" ref="S767:S830" si="1007">R767/100000</f>
        <v>25.667220474422713</v>
      </c>
      <c r="T767">
        <f t="shared" ref="T767:T830" si="1008">S767/1000</f>
        <v>2.5667220474422714E-2</v>
      </c>
    </row>
    <row r="768" spans="1:20" x14ac:dyDescent="0.25">
      <c r="A768" s="5">
        <v>43825</v>
      </c>
      <c r="B768">
        <v>1.4017999999999999</v>
      </c>
      <c r="C768">
        <v>1.4550000000000001</v>
      </c>
      <c r="D768">
        <v>1.3310999999999999</v>
      </c>
      <c r="E768">
        <v>1.3684000000000001</v>
      </c>
      <c r="F768">
        <v>2520180.04</v>
      </c>
      <c r="G768">
        <v>0</v>
      </c>
      <c r="L768" t="s">
        <v>7</v>
      </c>
      <c r="M768" t="s">
        <v>7</v>
      </c>
      <c r="N768" t="s">
        <v>8</v>
      </c>
      <c r="P768">
        <f t="shared" si="1004"/>
        <v>-0.39790153349475266</v>
      </c>
      <c r="Q768">
        <f t="shared" si="1005"/>
        <v>-1002783.5025988671</v>
      </c>
      <c r="R768">
        <f t="shared" si="1006"/>
        <v>2634254.0204209955</v>
      </c>
      <c r="S768">
        <f t="shared" si="1007"/>
        <v>26.342540204209957</v>
      </c>
      <c r="T768">
        <f t="shared" si="1008"/>
        <v>2.6342540204209956E-2</v>
      </c>
    </row>
    <row r="769" spans="1:20" x14ac:dyDescent="0.25">
      <c r="A769" s="5">
        <v>43824</v>
      </c>
      <c r="B769">
        <v>1.4836</v>
      </c>
      <c r="C769">
        <v>1.4883</v>
      </c>
      <c r="D769">
        <v>1.3912</v>
      </c>
      <c r="E769">
        <v>1.4016</v>
      </c>
      <c r="F769">
        <v>2034781.38</v>
      </c>
      <c r="G769">
        <v>0</v>
      </c>
      <c r="L769" t="s">
        <v>7</v>
      </c>
      <c r="M769" t="s">
        <v>7</v>
      </c>
      <c r="N769" t="s">
        <v>8</v>
      </c>
      <c r="P769">
        <f t="shared" si="1004"/>
        <v>-0.78578784757981524</v>
      </c>
      <c r="Q769">
        <f t="shared" si="1005"/>
        <v>-1598906.4808856861</v>
      </c>
      <c r="R769">
        <f t="shared" si="1006"/>
        <v>3637037.5230198624</v>
      </c>
      <c r="S769">
        <f t="shared" si="1007"/>
        <v>36.370375230198626</v>
      </c>
      <c r="T769">
        <f t="shared" si="1008"/>
        <v>3.6370375230198627E-2</v>
      </c>
    </row>
    <row r="770" spans="1:20" x14ac:dyDescent="0.25">
      <c r="A770" s="5">
        <v>43823</v>
      </c>
      <c r="B770">
        <v>1.5169999999999999</v>
      </c>
      <c r="C770">
        <v>1.5195000000000001</v>
      </c>
      <c r="D770">
        <v>1.4728000000000001</v>
      </c>
      <c r="E770">
        <v>1.4824999999999999</v>
      </c>
      <c r="F770">
        <v>1009172.77</v>
      </c>
      <c r="G770">
        <v>0</v>
      </c>
      <c r="L770" t="s">
        <v>7</v>
      </c>
      <c r="M770" t="s">
        <v>7</v>
      </c>
      <c r="N770" t="s">
        <v>8</v>
      </c>
      <c r="P770">
        <f t="shared" si="1004"/>
        <v>-0.58458244111349777</v>
      </c>
      <c r="Q770">
        <f t="shared" si="1005"/>
        <v>-589944.68139187049</v>
      </c>
      <c r="R770">
        <f t="shared" si="1006"/>
        <v>5235944.0039055487</v>
      </c>
      <c r="S770">
        <f t="shared" si="1007"/>
        <v>52.359440039055485</v>
      </c>
      <c r="T770">
        <f t="shared" si="1008"/>
        <v>5.2359440039055488E-2</v>
      </c>
    </row>
    <row r="771" spans="1:20" x14ac:dyDescent="0.25">
      <c r="A771" s="5">
        <v>43822</v>
      </c>
      <c r="B771">
        <v>1.464</v>
      </c>
      <c r="C771">
        <v>1.58</v>
      </c>
      <c r="D771">
        <v>1.4575</v>
      </c>
      <c r="E771">
        <v>1.5155000000000001</v>
      </c>
      <c r="F771">
        <v>2815570.36</v>
      </c>
      <c r="G771">
        <v>0</v>
      </c>
      <c r="L771" t="s">
        <v>8</v>
      </c>
      <c r="M771" t="s">
        <v>7</v>
      </c>
      <c r="N771" t="s">
        <v>8</v>
      </c>
      <c r="P771">
        <f t="shared" si="1004"/>
        <v>-5.3061224489795486E-2</v>
      </c>
      <c r="Q771">
        <f t="shared" si="1005"/>
        <v>-149397.61093877428</v>
      </c>
      <c r="R771">
        <f t="shared" si="1006"/>
        <v>5825888.6852974193</v>
      </c>
      <c r="S771">
        <f t="shared" si="1007"/>
        <v>58.258886852974193</v>
      </c>
      <c r="T771">
        <f t="shared" si="1008"/>
        <v>5.8258886852974194E-2</v>
      </c>
    </row>
    <row r="772" spans="1:20" x14ac:dyDescent="0.25">
      <c r="A772" s="5">
        <v>43821</v>
      </c>
      <c r="B772">
        <v>1.4722</v>
      </c>
      <c r="C772">
        <v>1.5223</v>
      </c>
      <c r="D772">
        <v>1.4410000000000001</v>
      </c>
      <c r="E772">
        <v>1.464</v>
      </c>
      <c r="F772">
        <v>2301036.88</v>
      </c>
      <c r="G772">
        <v>0</v>
      </c>
      <c r="L772" t="s">
        <v>7</v>
      </c>
      <c r="M772" t="s">
        <v>7</v>
      </c>
      <c r="N772" t="s">
        <v>8</v>
      </c>
      <c r="P772">
        <f t="shared" si="1004"/>
        <v>-0.43419434194342116</v>
      </c>
      <c r="Q772">
        <f t="shared" si="1005"/>
        <v>-999097.19389914291</v>
      </c>
      <c r="R772">
        <f t="shared" si="1006"/>
        <v>5975286.2962361937</v>
      </c>
      <c r="S772">
        <f t="shared" si="1007"/>
        <v>59.752862962361938</v>
      </c>
      <c r="T772">
        <f t="shared" si="1008"/>
        <v>5.9752862962361937E-2</v>
      </c>
    </row>
    <row r="773" spans="1:20" x14ac:dyDescent="0.25">
      <c r="A773" s="5">
        <v>43820</v>
      </c>
      <c r="B773">
        <v>1.603</v>
      </c>
      <c r="C773">
        <v>1.6073</v>
      </c>
      <c r="D773">
        <v>1.4618</v>
      </c>
      <c r="E773">
        <v>1.4709000000000001</v>
      </c>
      <c r="F773">
        <v>2287584.85</v>
      </c>
      <c r="G773">
        <v>0</v>
      </c>
      <c r="L773" t="s">
        <v>8</v>
      </c>
      <c r="M773" t="s">
        <v>7</v>
      </c>
      <c r="N773" t="s">
        <v>8</v>
      </c>
      <c r="P773">
        <f t="shared" si="1004"/>
        <v>-0.87491408934707748</v>
      </c>
      <c r="Q773">
        <f t="shared" si="1005"/>
        <v>-2001440.2158419208</v>
      </c>
      <c r="R773">
        <f t="shared" si="1006"/>
        <v>6974383.4901353363</v>
      </c>
      <c r="S773">
        <f t="shared" si="1007"/>
        <v>69.743834901353367</v>
      </c>
      <c r="T773">
        <f t="shared" si="1008"/>
        <v>6.9743834901353371E-2</v>
      </c>
    </row>
    <row r="774" spans="1:20" x14ac:dyDescent="0.25">
      <c r="A774" s="5">
        <v>43819</v>
      </c>
      <c r="B774">
        <v>1.5007999999999999</v>
      </c>
      <c r="C774">
        <v>1.6045</v>
      </c>
      <c r="D774">
        <v>1.4751000000000001</v>
      </c>
      <c r="E774">
        <v>1.6045</v>
      </c>
      <c r="F774">
        <v>2723089.7</v>
      </c>
      <c r="G774">
        <v>0</v>
      </c>
      <c r="L774" t="s">
        <v>7</v>
      </c>
      <c r="M774" t="s">
        <v>7</v>
      </c>
      <c r="N774" t="s">
        <v>8</v>
      </c>
      <c r="P774">
        <f t="shared" si="1004"/>
        <v>1</v>
      </c>
      <c r="Q774">
        <f t="shared" si="1005"/>
        <v>2723089.7</v>
      </c>
      <c r="R774">
        <f t="shared" si="1006"/>
        <v>8975823.7059772573</v>
      </c>
      <c r="S774">
        <f t="shared" si="1007"/>
        <v>89.758237059772569</v>
      </c>
      <c r="T774">
        <f t="shared" si="1008"/>
        <v>8.9758237059772567E-2</v>
      </c>
    </row>
    <row r="775" spans="1:20" x14ac:dyDescent="0.25">
      <c r="A775" s="5">
        <v>43818</v>
      </c>
      <c r="B775">
        <v>1.5840000000000001</v>
      </c>
      <c r="C775">
        <v>1.6163000000000001</v>
      </c>
      <c r="D775">
        <v>1.4616</v>
      </c>
      <c r="E775">
        <v>1.5007999999999999</v>
      </c>
      <c r="F775">
        <v>3678307.2</v>
      </c>
      <c r="G775">
        <v>0</v>
      </c>
      <c r="L775" t="s">
        <v>8</v>
      </c>
      <c r="M775" t="s">
        <v>7</v>
      </c>
      <c r="N775" t="s">
        <v>8</v>
      </c>
      <c r="P775">
        <f t="shared" si="1004"/>
        <v>-0.49321266968325939</v>
      </c>
      <c r="Q775">
        <f t="shared" si="1005"/>
        <v>-1814187.7140271547</v>
      </c>
      <c r="R775">
        <f t="shared" si="1006"/>
        <v>6252734.0059772562</v>
      </c>
      <c r="S775">
        <f t="shared" si="1007"/>
        <v>62.527340059772563</v>
      </c>
      <c r="T775">
        <f t="shared" si="1008"/>
        <v>6.2527340059772563E-2</v>
      </c>
    </row>
    <row r="776" spans="1:20" x14ac:dyDescent="0.25">
      <c r="A776" s="5">
        <v>43817</v>
      </c>
      <c r="B776">
        <v>1.5434000000000001</v>
      </c>
      <c r="C776">
        <v>1.645</v>
      </c>
      <c r="D776">
        <v>1.4272</v>
      </c>
      <c r="E776">
        <v>1.5839000000000001</v>
      </c>
      <c r="F776">
        <v>5955944.8099999996</v>
      </c>
      <c r="G776">
        <v>0</v>
      </c>
      <c r="L776" t="s">
        <v>7</v>
      </c>
      <c r="M776" t="s">
        <v>7</v>
      </c>
      <c r="N776" t="s">
        <v>8</v>
      </c>
      <c r="P776">
        <f t="shared" si="1004"/>
        <v>0.43893480257116679</v>
      </c>
      <c r="Q776">
        <f t="shared" si="1005"/>
        <v>2614271.4593021153</v>
      </c>
      <c r="R776">
        <f t="shared" si="1006"/>
        <v>8066921.7200044114</v>
      </c>
      <c r="S776">
        <f t="shared" si="1007"/>
        <v>80.669217200044116</v>
      </c>
      <c r="T776">
        <f t="shared" si="1008"/>
        <v>8.0669217200044122E-2</v>
      </c>
    </row>
    <row r="777" spans="1:20" x14ac:dyDescent="0.25">
      <c r="A777" s="5">
        <v>43816</v>
      </c>
      <c r="B777">
        <v>1.6642999999999999</v>
      </c>
      <c r="C777">
        <v>1.7673000000000001</v>
      </c>
      <c r="D777">
        <v>1.5169999999999999</v>
      </c>
      <c r="E777">
        <v>1.5429999999999999</v>
      </c>
      <c r="F777">
        <v>7226466.5</v>
      </c>
      <c r="G777">
        <v>0</v>
      </c>
      <c r="L777" t="s">
        <v>8</v>
      </c>
      <c r="M777" t="s">
        <v>7</v>
      </c>
      <c r="N777" t="s">
        <v>8</v>
      </c>
      <c r="P777">
        <f t="shared" si="1004"/>
        <v>-0.79224930083899314</v>
      </c>
      <c r="Q777">
        <f t="shared" si="1005"/>
        <v>-5725163.0321614062</v>
      </c>
      <c r="R777">
        <f t="shared" si="1006"/>
        <v>5452650.2607022962</v>
      </c>
      <c r="S777">
        <f t="shared" si="1007"/>
        <v>54.526502607022962</v>
      </c>
      <c r="T777">
        <f t="shared" si="1008"/>
        <v>5.4526502607022964E-2</v>
      </c>
    </row>
    <row r="778" spans="1:20" x14ac:dyDescent="0.25">
      <c r="A778" s="5">
        <v>43815</v>
      </c>
      <c r="B778">
        <v>1.6708000000000001</v>
      </c>
      <c r="C778">
        <v>1.7130000000000001</v>
      </c>
      <c r="D778">
        <v>1.5972</v>
      </c>
      <c r="E778">
        <v>1.6657</v>
      </c>
      <c r="F778">
        <v>3352279.82</v>
      </c>
      <c r="G778">
        <v>0</v>
      </c>
      <c r="L778" t="s">
        <v>8</v>
      </c>
      <c r="M778" t="s">
        <v>8</v>
      </c>
      <c r="N778" t="s">
        <v>8</v>
      </c>
      <c r="P778">
        <f t="shared" si="1004"/>
        <v>0.18307426597581919</v>
      </c>
      <c r="Q778">
        <f t="shared" si="1005"/>
        <v>613716.1673920512</v>
      </c>
      <c r="R778">
        <f t="shared" si="1006"/>
        <v>11177813.292863702</v>
      </c>
      <c r="S778">
        <f t="shared" si="1007"/>
        <v>111.77813292863702</v>
      </c>
      <c r="T778">
        <f t="shared" si="1008"/>
        <v>0.11177813292863702</v>
      </c>
    </row>
    <row r="779" spans="1:20" x14ac:dyDescent="0.25">
      <c r="A779" s="5">
        <v>43814</v>
      </c>
      <c r="B779">
        <v>1.6767000000000001</v>
      </c>
      <c r="C779">
        <v>1.7450000000000001</v>
      </c>
      <c r="D779">
        <v>1.5967</v>
      </c>
      <c r="E779">
        <v>1.6715</v>
      </c>
      <c r="F779">
        <v>3304282.88</v>
      </c>
      <c r="G779">
        <v>0</v>
      </c>
      <c r="L779" t="s">
        <v>7</v>
      </c>
      <c r="M779" t="s">
        <v>8</v>
      </c>
      <c r="N779" t="s">
        <v>8</v>
      </c>
      <c r="P779">
        <f t="shared" si="1004"/>
        <v>8.7660148347933637E-3</v>
      </c>
      <c r="Q779">
        <f t="shared" si="1005"/>
        <v>28965.392744433739</v>
      </c>
      <c r="R779">
        <f t="shared" si="1006"/>
        <v>10564097.125471652</v>
      </c>
      <c r="S779">
        <f t="shared" si="1007"/>
        <v>105.64097125471652</v>
      </c>
      <c r="T779">
        <f t="shared" si="1008"/>
        <v>0.10564097125471651</v>
      </c>
    </row>
    <row r="780" spans="1:20" x14ac:dyDescent="0.25">
      <c r="A780" s="5">
        <v>43813</v>
      </c>
      <c r="B780">
        <v>1.7723</v>
      </c>
      <c r="C780">
        <v>1.7817000000000001</v>
      </c>
      <c r="D780">
        <v>1.62</v>
      </c>
      <c r="E780">
        <v>1.6768000000000001</v>
      </c>
      <c r="F780">
        <v>4539967.76</v>
      </c>
      <c r="G780">
        <v>0</v>
      </c>
      <c r="L780" t="s">
        <v>7</v>
      </c>
      <c r="M780" t="s">
        <v>8</v>
      </c>
      <c r="N780" t="s">
        <v>8</v>
      </c>
      <c r="P780">
        <f t="shared" si="1004"/>
        <v>-0.29746444032158348</v>
      </c>
      <c r="Q780">
        <f t="shared" si="1005"/>
        <v>-1350478.968806433</v>
      </c>
      <c r="R780">
        <f t="shared" si="1006"/>
        <v>10535131.732727218</v>
      </c>
      <c r="S780">
        <f t="shared" si="1007"/>
        <v>105.35131732727218</v>
      </c>
      <c r="T780">
        <f t="shared" si="1008"/>
        <v>0.10535131732727218</v>
      </c>
    </row>
    <row r="781" spans="1:20" x14ac:dyDescent="0.25">
      <c r="A781" s="5">
        <v>43812</v>
      </c>
      <c r="B781">
        <v>1.7632000000000001</v>
      </c>
      <c r="C781">
        <v>1.8432999999999999</v>
      </c>
      <c r="D781">
        <v>1.6621999999999999</v>
      </c>
      <c r="E781">
        <v>1.7685</v>
      </c>
      <c r="F781">
        <v>6534035.1500000004</v>
      </c>
      <c r="G781">
        <v>0</v>
      </c>
      <c r="L781" t="s">
        <v>8</v>
      </c>
      <c r="M781" t="s">
        <v>8</v>
      </c>
      <c r="N781" t="s">
        <v>8</v>
      </c>
      <c r="P781">
        <f t="shared" si="1004"/>
        <v>0.17393705135284415</v>
      </c>
      <c r="Q781">
        <f t="shared" si="1005"/>
        <v>1136510.8074268389</v>
      </c>
      <c r="R781">
        <f t="shared" si="1006"/>
        <v>11885610.701533651</v>
      </c>
      <c r="S781">
        <f t="shared" si="1007"/>
        <v>118.85610701533651</v>
      </c>
      <c r="T781">
        <f t="shared" si="1008"/>
        <v>0.1188561070153365</v>
      </c>
    </row>
    <row r="782" spans="1:20" x14ac:dyDescent="0.25">
      <c r="A782" s="5">
        <v>43811</v>
      </c>
      <c r="B782">
        <v>1.5745</v>
      </c>
      <c r="C782">
        <v>1.7804</v>
      </c>
      <c r="D782">
        <v>1.5107999999999999</v>
      </c>
      <c r="E782">
        <v>1.7583</v>
      </c>
      <c r="F782">
        <v>6552820.8300000001</v>
      </c>
      <c r="G782">
        <v>0</v>
      </c>
      <c r="L782" t="s">
        <v>8</v>
      </c>
      <c r="M782" t="s">
        <v>8</v>
      </c>
      <c r="N782" t="s">
        <v>8</v>
      </c>
      <c r="P782">
        <f t="shared" si="1004"/>
        <v>0.83605341246290799</v>
      </c>
      <c r="Q782">
        <f t="shared" si="1005"/>
        <v>5478508.2161795255</v>
      </c>
      <c r="R782">
        <f t="shared" si="1006"/>
        <v>10749099.894106813</v>
      </c>
      <c r="S782">
        <f t="shared" si="1007"/>
        <v>107.49099894106813</v>
      </c>
      <c r="T782">
        <f t="shared" si="1008"/>
        <v>0.10749099894106813</v>
      </c>
    </row>
    <row r="783" spans="1:20" x14ac:dyDescent="0.25">
      <c r="A783" s="5">
        <v>43810</v>
      </c>
      <c r="B783">
        <v>1.4769000000000001</v>
      </c>
      <c r="C783">
        <v>1.5953999999999999</v>
      </c>
      <c r="D783">
        <v>1.4657</v>
      </c>
      <c r="E783">
        <v>1.5725</v>
      </c>
      <c r="F783">
        <v>2982142.96</v>
      </c>
      <c r="G783">
        <v>0</v>
      </c>
      <c r="L783" t="s">
        <v>8</v>
      </c>
      <c r="M783" t="s">
        <v>7</v>
      </c>
      <c r="N783" t="s">
        <v>8</v>
      </c>
      <c r="P783">
        <f t="shared" si="1004"/>
        <v>0.64687740940632332</v>
      </c>
      <c r="Q783">
        <f t="shared" si="1005"/>
        <v>1929080.9124441049</v>
      </c>
      <c r="R783">
        <f t="shared" si="1006"/>
        <v>5270591.6779272873</v>
      </c>
      <c r="S783">
        <f t="shared" si="1007"/>
        <v>52.705916779272876</v>
      </c>
      <c r="T783">
        <f t="shared" si="1008"/>
        <v>5.2705916779272874E-2</v>
      </c>
    </row>
    <row r="784" spans="1:20" x14ac:dyDescent="0.25">
      <c r="A784" s="5">
        <v>43809</v>
      </c>
      <c r="B784">
        <v>1.5532999999999999</v>
      </c>
      <c r="C784">
        <v>1.5532999999999999</v>
      </c>
      <c r="D784">
        <v>1.3914</v>
      </c>
      <c r="E784">
        <v>1.4754</v>
      </c>
      <c r="F784">
        <v>4162475.34</v>
      </c>
      <c r="G784">
        <v>0</v>
      </c>
      <c r="L784" t="s">
        <v>7</v>
      </c>
      <c r="M784" t="s">
        <v>7</v>
      </c>
      <c r="N784" t="s">
        <v>8</v>
      </c>
      <c r="P784">
        <f t="shared" si="1004"/>
        <v>3.7677578752317593E-2</v>
      </c>
      <c r="Q784">
        <f t="shared" si="1005"/>
        <v>156831.99242742994</v>
      </c>
      <c r="R784">
        <f t="shared" si="1006"/>
        <v>3341510.7654831824</v>
      </c>
      <c r="S784">
        <f t="shared" si="1007"/>
        <v>33.415107654831822</v>
      </c>
      <c r="T784">
        <f t="shared" si="1008"/>
        <v>3.341510765483182E-2</v>
      </c>
    </row>
    <row r="785" spans="1:20" x14ac:dyDescent="0.25">
      <c r="A785" s="5">
        <v>43808</v>
      </c>
      <c r="B785">
        <v>1.6</v>
      </c>
      <c r="C785">
        <v>1.65</v>
      </c>
      <c r="D785">
        <v>1.5261</v>
      </c>
      <c r="E785">
        <v>1.5497000000000001</v>
      </c>
      <c r="F785">
        <v>3472505.23</v>
      </c>
      <c r="G785">
        <v>0</v>
      </c>
      <c r="L785" t="s">
        <v>8</v>
      </c>
      <c r="M785" t="s">
        <v>8</v>
      </c>
      <c r="N785" t="s">
        <v>8</v>
      </c>
      <c r="P785">
        <f t="shared" si="1004"/>
        <v>-0.61904761904761774</v>
      </c>
      <c r="Q785">
        <f t="shared" si="1005"/>
        <v>-2149646.0947619001</v>
      </c>
      <c r="R785">
        <f t="shared" si="1006"/>
        <v>3184678.7730557523</v>
      </c>
      <c r="S785">
        <f t="shared" si="1007"/>
        <v>31.846787730557523</v>
      </c>
      <c r="T785">
        <f t="shared" si="1008"/>
        <v>3.1846787730557526E-2</v>
      </c>
    </row>
    <row r="786" spans="1:20" x14ac:dyDescent="0.25">
      <c r="A786" s="5">
        <v>43807</v>
      </c>
      <c r="B786">
        <v>1.4379999999999999</v>
      </c>
      <c r="C786">
        <v>1.6161000000000001</v>
      </c>
      <c r="D786">
        <v>1.4379999999999999</v>
      </c>
      <c r="E786">
        <v>1.5998000000000001</v>
      </c>
      <c r="F786">
        <v>4331468.21</v>
      </c>
      <c r="G786">
        <v>0</v>
      </c>
      <c r="L786" t="s">
        <v>8</v>
      </c>
      <c r="M786" t="s">
        <v>8</v>
      </c>
      <c r="N786" t="s">
        <v>8</v>
      </c>
      <c r="P786">
        <f t="shared" si="1004"/>
        <v>0.81695676586187571</v>
      </c>
      <c r="Q786">
        <f t="shared" si="1005"/>
        <v>3538622.2602751278</v>
      </c>
      <c r="R786">
        <f t="shared" si="1006"/>
        <v>5334324.8678176524</v>
      </c>
      <c r="S786">
        <f t="shared" si="1007"/>
        <v>53.343248678176522</v>
      </c>
      <c r="T786">
        <f t="shared" si="1008"/>
        <v>5.3343248678176525E-2</v>
      </c>
    </row>
    <row r="787" spans="1:20" x14ac:dyDescent="0.25">
      <c r="A787" s="5">
        <v>43806</v>
      </c>
      <c r="B787">
        <v>1.377</v>
      </c>
      <c r="C787">
        <v>1.4779</v>
      </c>
      <c r="D787">
        <v>1.363</v>
      </c>
      <c r="E787">
        <v>1.4379999999999999</v>
      </c>
      <c r="F787">
        <v>2942267.03</v>
      </c>
      <c r="G787">
        <v>0</v>
      </c>
      <c r="L787" t="s">
        <v>8</v>
      </c>
      <c r="M787" t="s">
        <v>8</v>
      </c>
      <c r="N787" t="s">
        <v>8</v>
      </c>
      <c r="P787">
        <f t="shared" si="1004"/>
        <v>0.30548302872062583</v>
      </c>
      <c r="Q787">
        <f t="shared" si="1005"/>
        <v>898812.64362924034</v>
      </c>
      <c r="R787">
        <f t="shared" si="1006"/>
        <v>1795702.6075425246</v>
      </c>
      <c r="S787">
        <f t="shared" si="1007"/>
        <v>17.957026075425247</v>
      </c>
      <c r="T787">
        <f t="shared" si="1008"/>
        <v>1.7957026075425247E-2</v>
      </c>
    </row>
    <row r="788" spans="1:20" x14ac:dyDescent="0.25">
      <c r="A788" s="5">
        <v>43805</v>
      </c>
      <c r="B788">
        <v>1.2874000000000001</v>
      </c>
      <c r="C788">
        <v>1.4294</v>
      </c>
      <c r="D788">
        <v>1.2716000000000001</v>
      </c>
      <c r="E788">
        <v>1.3774</v>
      </c>
      <c r="F788">
        <v>1852558.93</v>
      </c>
      <c r="G788">
        <v>0</v>
      </c>
      <c r="L788" t="s">
        <v>8</v>
      </c>
      <c r="M788" t="s">
        <v>8</v>
      </c>
      <c r="N788" t="s">
        <v>8</v>
      </c>
      <c r="P788">
        <f t="shared" si="1004"/>
        <v>0.34093789607097508</v>
      </c>
      <c r="Q788">
        <f t="shared" si="1005"/>
        <v>631607.54394169676</v>
      </c>
      <c r="R788">
        <f t="shared" si="1006"/>
        <v>896889.96391328424</v>
      </c>
      <c r="S788">
        <f t="shared" si="1007"/>
        <v>8.968899639132843</v>
      </c>
      <c r="T788">
        <f t="shared" si="1008"/>
        <v>8.9688996391328428E-3</v>
      </c>
    </row>
    <row r="789" spans="1:20" x14ac:dyDescent="0.25">
      <c r="A789" s="5">
        <v>43804</v>
      </c>
      <c r="B789">
        <v>1.2406999999999999</v>
      </c>
      <c r="C789">
        <v>1.2956000000000001</v>
      </c>
      <c r="D789">
        <v>1.2289000000000001</v>
      </c>
      <c r="E789">
        <v>1.2887</v>
      </c>
      <c r="F789">
        <v>801924.93</v>
      </c>
      <c r="G789">
        <v>0</v>
      </c>
      <c r="L789" t="s">
        <v>7</v>
      </c>
      <c r="M789" t="s">
        <v>8</v>
      </c>
      <c r="N789" t="s">
        <v>8</v>
      </c>
      <c r="P789">
        <f t="shared" si="1004"/>
        <v>0.79310344827585821</v>
      </c>
      <c r="Q789">
        <f t="shared" si="1005"/>
        <v>636009.42724137625</v>
      </c>
      <c r="R789">
        <f t="shared" si="1006"/>
        <v>265282.41997158749</v>
      </c>
      <c r="S789">
        <f t="shared" si="1007"/>
        <v>2.6528241997158748</v>
      </c>
      <c r="T789">
        <f t="shared" si="1008"/>
        <v>2.6528241997158747E-3</v>
      </c>
    </row>
    <row r="790" spans="1:20" x14ac:dyDescent="0.25">
      <c r="A790" s="5">
        <v>43803</v>
      </c>
      <c r="B790">
        <v>1.2898000000000001</v>
      </c>
      <c r="C790">
        <v>1.3287</v>
      </c>
      <c r="D790">
        <v>1.2337</v>
      </c>
      <c r="E790">
        <v>1.2411000000000001</v>
      </c>
      <c r="F790">
        <v>1935645.7</v>
      </c>
      <c r="G790">
        <v>0</v>
      </c>
      <c r="L790" t="s">
        <v>8</v>
      </c>
      <c r="M790" t="s">
        <v>8</v>
      </c>
      <c r="N790" t="s">
        <v>8</v>
      </c>
      <c r="P790">
        <f t="shared" si="1004"/>
        <v>-0.84421052631578786</v>
      </c>
      <c r="Q790">
        <f t="shared" si="1005"/>
        <v>-1634092.4751578916</v>
      </c>
      <c r="R790">
        <f t="shared" si="1006"/>
        <v>-370727.00726978877</v>
      </c>
      <c r="S790">
        <f t="shared" si="1007"/>
        <v>-3.7072700726978876</v>
      </c>
      <c r="T790">
        <f t="shared" si="1008"/>
        <v>-3.7072700726978876E-3</v>
      </c>
    </row>
    <row r="791" spans="1:20" x14ac:dyDescent="0.25">
      <c r="A791" s="5">
        <v>43802</v>
      </c>
      <c r="B791">
        <v>1.2393000000000001</v>
      </c>
      <c r="C791">
        <v>1.3066</v>
      </c>
      <c r="D791">
        <v>1.2047000000000001</v>
      </c>
      <c r="E791">
        <v>1.2904</v>
      </c>
      <c r="F791">
        <v>1879547.73</v>
      </c>
      <c r="G791">
        <v>0</v>
      </c>
      <c r="L791" t="s">
        <v>8</v>
      </c>
      <c r="M791" t="s">
        <v>8</v>
      </c>
      <c r="N791" t="s">
        <v>8</v>
      </c>
      <c r="P791">
        <f t="shared" si="1004"/>
        <v>0.6820412168792932</v>
      </c>
      <c r="Q791">
        <f t="shared" si="1005"/>
        <v>1281929.0209519132</v>
      </c>
      <c r="R791">
        <f t="shared" si="1006"/>
        <v>1263365.4678881029</v>
      </c>
      <c r="S791">
        <f t="shared" si="1007"/>
        <v>12.63365467888103</v>
      </c>
      <c r="T791">
        <f t="shared" si="1008"/>
        <v>1.2633654678881029E-2</v>
      </c>
    </row>
    <row r="792" spans="1:20" x14ac:dyDescent="0.25">
      <c r="A792" s="5">
        <v>43801</v>
      </c>
      <c r="B792">
        <v>1.2514000000000001</v>
      </c>
      <c r="C792">
        <v>1.2551000000000001</v>
      </c>
      <c r="D792">
        <v>1.2</v>
      </c>
      <c r="E792">
        <v>1.2394000000000001</v>
      </c>
      <c r="F792">
        <v>1391941.74</v>
      </c>
      <c r="G792">
        <v>0</v>
      </c>
      <c r="L792" t="s">
        <v>7</v>
      </c>
      <c r="M792" t="s">
        <v>8</v>
      </c>
      <c r="N792" t="s">
        <v>8</v>
      </c>
      <c r="P792">
        <f t="shared" si="1004"/>
        <v>0.43012704174228655</v>
      </c>
      <c r="Q792">
        <f t="shared" si="1005"/>
        <v>598711.78290381096</v>
      </c>
      <c r="R792">
        <f t="shared" si="1006"/>
        <v>-18563.553063810337</v>
      </c>
      <c r="S792">
        <f t="shared" si="1007"/>
        <v>-0.18563553063810337</v>
      </c>
      <c r="T792">
        <f t="shared" si="1008"/>
        <v>-1.8563553063810336E-4</v>
      </c>
    </row>
    <row r="793" spans="1:20" x14ac:dyDescent="0.25">
      <c r="A793" s="5">
        <v>43800</v>
      </c>
      <c r="B793">
        <v>1.3357000000000001</v>
      </c>
      <c r="C793">
        <v>1.3358000000000001</v>
      </c>
      <c r="D793">
        <v>1.2423999999999999</v>
      </c>
      <c r="E793">
        <v>1.2526999999999999</v>
      </c>
      <c r="F793">
        <v>1181355.6200000001</v>
      </c>
      <c r="G793">
        <v>0</v>
      </c>
      <c r="L793" t="s">
        <v>7</v>
      </c>
      <c r="M793" t="s">
        <v>8</v>
      </c>
      <c r="N793" t="s">
        <v>8</v>
      </c>
      <c r="P793">
        <f t="shared" si="1004"/>
        <v>-0.77944325481798804</v>
      </c>
      <c r="Q793">
        <f t="shared" si="1005"/>
        <v>-920799.66955032235</v>
      </c>
      <c r="R793">
        <f t="shared" si="1006"/>
        <v>-617275.3359676213</v>
      </c>
      <c r="S793">
        <f t="shared" si="1007"/>
        <v>-6.1727533596762134</v>
      </c>
      <c r="T793">
        <f t="shared" si="1008"/>
        <v>-6.1727533596762137E-3</v>
      </c>
    </row>
    <row r="794" spans="1:20" x14ac:dyDescent="0.25">
      <c r="A794" s="5">
        <v>43799</v>
      </c>
      <c r="B794">
        <v>1.3066</v>
      </c>
      <c r="C794">
        <v>1.3597999999999999</v>
      </c>
      <c r="D794">
        <v>1.3043</v>
      </c>
      <c r="E794">
        <v>1.3335999999999999</v>
      </c>
      <c r="F794">
        <v>1249095.6100000001</v>
      </c>
      <c r="G794">
        <v>0</v>
      </c>
      <c r="L794" t="s">
        <v>8</v>
      </c>
      <c r="M794" t="s">
        <v>8</v>
      </c>
      <c r="N794" t="s">
        <v>8</v>
      </c>
      <c r="P794">
        <f t="shared" si="1004"/>
        <v>5.5855855855853821E-2</v>
      </c>
      <c r="Q794">
        <f t="shared" si="1005"/>
        <v>69769.304342339805</v>
      </c>
      <c r="R794">
        <f t="shared" si="1006"/>
        <v>303524.33358270105</v>
      </c>
      <c r="S794">
        <f t="shared" si="1007"/>
        <v>3.0352433358270106</v>
      </c>
      <c r="T794">
        <f t="shared" si="1008"/>
        <v>3.0352433358270107E-3</v>
      </c>
    </row>
    <row r="795" spans="1:20" x14ac:dyDescent="0.25">
      <c r="A795" s="5">
        <v>43798</v>
      </c>
      <c r="B795">
        <v>1.2765</v>
      </c>
      <c r="C795">
        <v>1.3446</v>
      </c>
      <c r="D795">
        <v>1.2694000000000001</v>
      </c>
      <c r="E795">
        <v>1.3068</v>
      </c>
      <c r="F795">
        <v>1420957.95</v>
      </c>
      <c r="G795">
        <v>0</v>
      </c>
      <c r="L795" t="s">
        <v>8</v>
      </c>
      <c r="M795" t="s">
        <v>8</v>
      </c>
      <c r="N795" t="s">
        <v>8</v>
      </c>
      <c r="P795">
        <f t="shared" si="1004"/>
        <v>-5.319148936172584E-3</v>
      </c>
      <c r="Q795">
        <f t="shared" si="1005"/>
        <v>-7558.286968088476</v>
      </c>
      <c r="R795">
        <f t="shared" si="1006"/>
        <v>233755.02924036127</v>
      </c>
      <c r="S795">
        <f t="shared" si="1007"/>
        <v>2.3375502924036127</v>
      </c>
      <c r="T795">
        <f t="shared" si="1008"/>
        <v>2.3375502924036125E-3</v>
      </c>
    </row>
    <row r="796" spans="1:20" x14ac:dyDescent="0.25">
      <c r="A796" s="5">
        <v>43797</v>
      </c>
      <c r="B796">
        <v>1.256</v>
      </c>
      <c r="C796">
        <v>1.3488</v>
      </c>
      <c r="D796">
        <v>1.2083999999999999</v>
      </c>
      <c r="E796">
        <v>1.2725</v>
      </c>
      <c r="F796">
        <v>1835735.01</v>
      </c>
      <c r="G796">
        <v>0</v>
      </c>
      <c r="L796" t="s">
        <v>8</v>
      </c>
      <c r="M796" t="s">
        <v>8</v>
      </c>
      <c r="N796" t="s">
        <v>8</v>
      </c>
      <c r="P796">
        <f t="shared" si="1004"/>
        <v>-8.6894586894586762E-2</v>
      </c>
      <c r="Q796">
        <f t="shared" si="1005"/>
        <v>-159515.4353418801</v>
      </c>
      <c r="R796">
        <f t="shared" si="1006"/>
        <v>241313.31620844975</v>
      </c>
      <c r="S796">
        <f t="shared" si="1007"/>
        <v>2.4131331620844976</v>
      </c>
      <c r="T796">
        <f t="shared" si="1008"/>
        <v>2.4131331620844978E-3</v>
      </c>
    </row>
    <row r="797" spans="1:20" x14ac:dyDescent="0.25">
      <c r="A797" s="5">
        <v>43796</v>
      </c>
      <c r="B797">
        <v>1.2390000000000001</v>
      </c>
      <c r="C797">
        <v>1.2783</v>
      </c>
      <c r="D797">
        <v>1.1440999999999999</v>
      </c>
      <c r="E797">
        <v>1.2542</v>
      </c>
      <c r="F797">
        <v>2122016.11</v>
      </c>
      <c r="G797">
        <v>0</v>
      </c>
      <c r="L797" t="s">
        <v>7</v>
      </c>
      <c r="M797" t="s">
        <v>7</v>
      </c>
      <c r="N797" t="s">
        <v>8</v>
      </c>
      <c r="P797">
        <f t="shared" si="1004"/>
        <v>0.6408345752608049</v>
      </c>
      <c r="Q797">
        <f t="shared" si="1005"/>
        <v>1359861.2925484353</v>
      </c>
      <c r="R797">
        <f t="shared" si="1006"/>
        <v>400828.75155032985</v>
      </c>
      <c r="S797">
        <f t="shared" si="1007"/>
        <v>4.0082875155032989</v>
      </c>
      <c r="T797">
        <f t="shared" si="1008"/>
        <v>4.008287515503299E-3</v>
      </c>
    </row>
    <row r="798" spans="1:20" x14ac:dyDescent="0.25">
      <c r="A798" s="5">
        <v>43795</v>
      </c>
      <c r="B798">
        <v>1.2275</v>
      </c>
      <c r="C798">
        <v>1.2825</v>
      </c>
      <c r="D798">
        <v>1.2175</v>
      </c>
      <c r="E798">
        <v>1.2383999999999999</v>
      </c>
      <c r="F798">
        <v>1748310.02</v>
      </c>
      <c r="G798">
        <v>0</v>
      </c>
      <c r="L798" t="s">
        <v>7</v>
      </c>
      <c r="M798" t="s">
        <v>7</v>
      </c>
      <c r="N798" t="s">
        <v>8</v>
      </c>
      <c r="P798">
        <f t="shared" si="1004"/>
        <v>-0.3569230769230789</v>
      </c>
      <c r="Q798">
        <f t="shared" si="1005"/>
        <v>-624012.19175384962</v>
      </c>
      <c r="R798">
        <f t="shared" si="1006"/>
        <v>-959032.54099810543</v>
      </c>
      <c r="S798">
        <f t="shared" si="1007"/>
        <v>-9.5903254099810535</v>
      </c>
      <c r="T798">
        <f t="shared" si="1008"/>
        <v>-9.5903254099810528E-3</v>
      </c>
    </row>
    <row r="799" spans="1:20" x14ac:dyDescent="0.25">
      <c r="A799" s="5">
        <v>43794</v>
      </c>
      <c r="B799">
        <v>1.31</v>
      </c>
      <c r="C799">
        <v>1.3191999999999999</v>
      </c>
      <c r="D799">
        <v>1.1998</v>
      </c>
      <c r="E799">
        <v>1.228</v>
      </c>
      <c r="F799">
        <v>2695715.17</v>
      </c>
      <c r="G799">
        <v>0</v>
      </c>
      <c r="L799" t="s">
        <v>7</v>
      </c>
      <c r="M799" t="s">
        <v>7</v>
      </c>
      <c r="N799" t="s">
        <v>8</v>
      </c>
      <c r="P799">
        <f t="shared" si="1004"/>
        <v>-0.5276381909547736</v>
      </c>
      <c r="Q799">
        <f t="shared" si="1005"/>
        <v>-1422362.27562814</v>
      </c>
      <c r="R799">
        <f t="shared" si="1006"/>
        <v>-335020.34924425581</v>
      </c>
      <c r="S799">
        <f t="shared" si="1007"/>
        <v>-3.3502034924425579</v>
      </c>
      <c r="T799">
        <f t="shared" si="1008"/>
        <v>-3.350203492442558E-3</v>
      </c>
    </row>
    <row r="800" spans="1:20" x14ac:dyDescent="0.25">
      <c r="A800" s="5">
        <v>43793</v>
      </c>
      <c r="B800">
        <v>1.3835</v>
      </c>
      <c r="C800">
        <v>1.4044000000000001</v>
      </c>
      <c r="D800">
        <v>1.2841</v>
      </c>
      <c r="E800">
        <v>1.3099000000000001</v>
      </c>
      <c r="F800">
        <v>1900705.22</v>
      </c>
      <c r="G800">
        <v>0</v>
      </c>
      <c r="L800" t="s">
        <v>7</v>
      </c>
      <c r="M800" t="s">
        <v>8</v>
      </c>
      <c r="N800" t="s">
        <v>8</v>
      </c>
      <c r="P800">
        <f t="shared" si="1004"/>
        <v>-0.57107231920199453</v>
      </c>
      <c r="Q800">
        <f t="shared" si="1005"/>
        <v>-1085440.1381047373</v>
      </c>
      <c r="R800">
        <f t="shared" si="1006"/>
        <v>1087341.9263838842</v>
      </c>
      <c r="S800">
        <f t="shared" si="1007"/>
        <v>10.873419263838841</v>
      </c>
      <c r="T800">
        <f t="shared" si="1008"/>
        <v>1.087341926383884E-2</v>
      </c>
    </row>
    <row r="801" spans="1:20" x14ac:dyDescent="0.25">
      <c r="A801" s="5">
        <v>43792</v>
      </c>
      <c r="B801">
        <v>1.2199</v>
      </c>
      <c r="C801">
        <v>1.4291</v>
      </c>
      <c r="D801">
        <v>1.2199</v>
      </c>
      <c r="E801">
        <v>1.3802000000000001</v>
      </c>
      <c r="F801">
        <v>4063181.11</v>
      </c>
      <c r="G801">
        <v>0</v>
      </c>
      <c r="L801" t="s">
        <v>8</v>
      </c>
      <c r="M801" t="s">
        <v>8</v>
      </c>
      <c r="N801" t="s">
        <v>8</v>
      </c>
      <c r="P801">
        <f t="shared" si="1004"/>
        <v>0.53250478011472346</v>
      </c>
      <c r="Q801">
        <f t="shared" si="1005"/>
        <v>2163663.3635468478</v>
      </c>
      <c r="R801">
        <f t="shared" si="1006"/>
        <v>2172782.0644886214</v>
      </c>
      <c r="S801">
        <f t="shared" si="1007"/>
        <v>21.727820644886215</v>
      </c>
      <c r="T801">
        <f t="shared" si="1008"/>
        <v>2.1727820644886216E-2</v>
      </c>
    </row>
    <row r="802" spans="1:20" x14ac:dyDescent="0.25">
      <c r="A802" s="5">
        <v>43791</v>
      </c>
      <c r="B802">
        <v>1.2130000000000001</v>
      </c>
      <c r="C802">
        <v>1.2779</v>
      </c>
      <c r="D802">
        <v>1.07</v>
      </c>
      <c r="E802">
        <v>1.2199</v>
      </c>
      <c r="F802">
        <v>2542579.9500000002</v>
      </c>
      <c r="G802">
        <v>0</v>
      </c>
      <c r="L802" t="s">
        <v>7</v>
      </c>
      <c r="M802" t="s">
        <v>7</v>
      </c>
      <c r="N802" t="s">
        <v>8</v>
      </c>
      <c r="P802">
        <f t="shared" si="1004"/>
        <v>0.44203944203944145</v>
      </c>
      <c r="Q802">
        <f t="shared" si="1005"/>
        <v>1123920.6224386711</v>
      </c>
      <c r="R802">
        <f t="shared" si="1006"/>
        <v>9118.7009417735972</v>
      </c>
      <c r="S802">
        <f t="shared" si="1007"/>
        <v>9.118700941773597E-2</v>
      </c>
      <c r="T802">
        <f t="shared" si="1008"/>
        <v>9.1187009417735966E-5</v>
      </c>
    </row>
    <row r="803" spans="1:20" x14ac:dyDescent="0.25">
      <c r="A803" s="5">
        <v>43790</v>
      </c>
      <c r="B803">
        <v>1.2161</v>
      </c>
      <c r="C803">
        <v>1.3</v>
      </c>
      <c r="D803">
        <v>1.1707000000000001</v>
      </c>
      <c r="E803">
        <v>1.2158</v>
      </c>
      <c r="F803">
        <v>2398916.0299999998</v>
      </c>
      <c r="G803">
        <v>0</v>
      </c>
      <c r="L803" t="s">
        <v>8</v>
      </c>
      <c r="M803" t="s">
        <v>8</v>
      </c>
      <c r="N803" t="s">
        <v>8</v>
      </c>
      <c r="P803">
        <f t="shared" si="1004"/>
        <v>-0.30239752513534529</v>
      </c>
      <c r="Q803">
        <f t="shared" si="1005"/>
        <v>-725426.27047950763</v>
      </c>
      <c r="R803">
        <f t="shared" si="1006"/>
        <v>-1114801.9214968975</v>
      </c>
      <c r="S803">
        <f t="shared" si="1007"/>
        <v>-11.148019214968974</v>
      </c>
      <c r="T803">
        <f t="shared" si="1008"/>
        <v>-1.1148019214968974E-2</v>
      </c>
    </row>
    <row r="804" spans="1:20" x14ac:dyDescent="0.25">
      <c r="A804" s="5">
        <v>43789</v>
      </c>
      <c r="B804">
        <v>1.2036</v>
      </c>
      <c r="C804">
        <v>1.2444</v>
      </c>
      <c r="D804">
        <v>1.1599999999999999</v>
      </c>
      <c r="E804">
        <v>1.2144999999999999</v>
      </c>
      <c r="F804">
        <v>905851.18</v>
      </c>
      <c r="G804">
        <v>0</v>
      </c>
      <c r="L804" t="s">
        <v>8</v>
      </c>
      <c r="M804" t="s">
        <v>7</v>
      </c>
      <c r="N804" t="s">
        <v>8</v>
      </c>
      <c r="P804">
        <f t="shared" si="1004"/>
        <v>0.29146919431279555</v>
      </c>
      <c r="Q804">
        <f t="shared" si="1005"/>
        <v>264027.71360189514</v>
      </c>
      <c r="R804">
        <f t="shared" si="1006"/>
        <v>-389375.65101738984</v>
      </c>
      <c r="S804">
        <f t="shared" si="1007"/>
        <v>-3.8937565101738985</v>
      </c>
      <c r="T804">
        <f t="shared" si="1008"/>
        <v>-3.8937565101738983E-3</v>
      </c>
    </row>
    <row r="805" spans="1:20" x14ac:dyDescent="0.25">
      <c r="A805" s="5">
        <v>43788</v>
      </c>
      <c r="B805">
        <v>1.216</v>
      </c>
      <c r="C805">
        <v>1.24</v>
      </c>
      <c r="D805">
        <v>1.1353</v>
      </c>
      <c r="E805">
        <v>1.2036</v>
      </c>
      <c r="F805">
        <v>975672.12</v>
      </c>
      <c r="G805">
        <v>0</v>
      </c>
      <c r="L805" t="s">
        <v>7</v>
      </c>
      <c r="M805" t="s">
        <v>7</v>
      </c>
      <c r="N805" t="s">
        <v>8</v>
      </c>
      <c r="P805">
        <f t="shared" si="1004"/>
        <v>0.30468003820439382</v>
      </c>
      <c r="Q805">
        <f t="shared" si="1005"/>
        <v>297267.81879656191</v>
      </c>
      <c r="R805">
        <f t="shared" si="1006"/>
        <v>-653403.36461928498</v>
      </c>
      <c r="S805">
        <f t="shared" si="1007"/>
        <v>-6.5340336461928494</v>
      </c>
      <c r="T805">
        <f t="shared" si="1008"/>
        <v>-6.5340336461928491E-3</v>
      </c>
    </row>
    <row r="806" spans="1:20" x14ac:dyDescent="0.25">
      <c r="A806" s="5">
        <v>43787</v>
      </c>
      <c r="B806">
        <v>1.1557999999999999</v>
      </c>
      <c r="C806">
        <v>1.2589999999999999</v>
      </c>
      <c r="D806">
        <v>1.1528</v>
      </c>
      <c r="E806">
        <v>1.2121999999999999</v>
      </c>
      <c r="F806">
        <v>1253135.8999999999</v>
      </c>
      <c r="G806">
        <v>0</v>
      </c>
      <c r="L806" t="s">
        <v>8</v>
      </c>
      <c r="M806" t="s">
        <v>7</v>
      </c>
      <c r="N806" t="s">
        <v>8</v>
      </c>
      <c r="P806">
        <f t="shared" si="1004"/>
        <v>0.11864406779660981</v>
      </c>
      <c r="Q806">
        <f t="shared" si="1005"/>
        <v>148677.14067796565</v>
      </c>
      <c r="R806">
        <f t="shared" si="1006"/>
        <v>-950671.1834158469</v>
      </c>
      <c r="S806">
        <f t="shared" si="1007"/>
        <v>-9.5067118341584695</v>
      </c>
      <c r="T806">
        <f t="shared" si="1008"/>
        <v>-9.506711834158469E-3</v>
      </c>
    </row>
    <row r="807" spans="1:20" x14ac:dyDescent="0.25">
      <c r="A807" s="5">
        <v>43786</v>
      </c>
      <c r="B807">
        <v>1.157</v>
      </c>
      <c r="C807">
        <v>1.1720999999999999</v>
      </c>
      <c r="D807">
        <v>1.1438999999999999</v>
      </c>
      <c r="E807">
        <v>1.1552</v>
      </c>
      <c r="F807">
        <v>401454.08000000002</v>
      </c>
      <c r="G807">
        <v>0</v>
      </c>
      <c r="L807" t="s">
        <v>7</v>
      </c>
      <c r="M807" t="s">
        <v>7</v>
      </c>
      <c r="N807" t="s">
        <v>8</v>
      </c>
      <c r="P807">
        <f t="shared" si="1004"/>
        <v>-0.19858156028368179</v>
      </c>
      <c r="Q807">
        <f t="shared" si="1005"/>
        <v>-79721.377588650023</v>
      </c>
      <c r="R807">
        <f t="shared" si="1006"/>
        <v>-1099348.3240938126</v>
      </c>
      <c r="S807">
        <f t="shared" si="1007"/>
        <v>-10.993483240938126</v>
      </c>
      <c r="T807">
        <f t="shared" si="1008"/>
        <v>-1.0993483240938125E-2</v>
      </c>
    </row>
    <row r="808" spans="1:20" x14ac:dyDescent="0.25">
      <c r="A808" s="5">
        <v>43785</v>
      </c>
      <c r="B808">
        <v>1.17</v>
      </c>
      <c r="C808">
        <v>1.1758999999999999</v>
      </c>
      <c r="D808">
        <v>1.1452</v>
      </c>
      <c r="E808">
        <v>1.1546000000000001</v>
      </c>
      <c r="F808">
        <v>495792.26</v>
      </c>
      <c r="G808">
        <v>0</v>
      </c>
      <c r="L808" t="s">
        <v>7</v>
      </c>
      <c r="M808" t="s">
        <v>7</v>
      </c>
      <c r="N808" t="s">
        <v>8</v>
      </c>
      <c r="P808">
        <f t="shared" si="1004"/>
        <v>-0.38762214983712767</v>
      </c>
      <c r="Q808">
        <f t="shared" si="1005"/>
        <v>-192180.06169380815</v>
      </c>
      <c r="R808">
        <f t="shared" si="1006"/>
        <v>-1019626.9465051625</v>
      </c>
      <c r="S808">
        <f t="shared" si="1007"/>
        <v>-10.196269465051625</v>
      </c>
      <c r="T808">
        <f t="shared" si="1008"/>
        <v>-1.0196269465051625E-2</v>
      </c>
    </row>
    <row r="809" spans="1:20" x14ac:dyDescent="0.25">
      <c r="A809" s="5">
        <v>43784</v>
      </c>
      <c r="B809">
        <v>1.2161</v>
      </c>
      <c r="C809">
        <v>1.2591000000000001</v>
      </c>
      <c r="D809">
        <v>1.1264000000000001</v>
      </c>
      <c r="E809">
        <v>1.17</v>
      </c>
      <c r="F809">
        <v>1267783.1599999999</v>
      </c>
      <c r="G809">
        <v>0</v>
      </c>
      <c r="L809" t="s">
        <v>8</v>
      </c>
      <c r="M809" t="s">
        <v>7</v>
      </c>
      <c r="N809" t="s">
        <v>8</v>
      </c>
      <c r="P809">
        <f t="shared" si="1004"/>
        <v>-0.34287867370007763</v>
      </c>
      <c r="Q809">
        <f t="shared" si="1005"/>
        <v>-434695.8084400933</v>
      </c>
      <c r="R809">
        <f t="shared" si="1006"/>
        <v>-827446.88481135434</v>
      </c>
      <c r="S809">
        <f t="shared" si="1007"/>
        <v>-8.2744688481135427</v>
      </c>
      <c r="T809">
        <f t="shared" si="1008"/>
        <v>-8.274468848113543E-3</v>
      </c>
    </row>
    <row r="810" spans="1:20" x14ac:dyDescent="0.25">
      <c r="A810" s="5">
        <v>43783</v>
      </c>
      <c r="B810">
        <v>1.1279999999999999</v>
      </c>
      <c r="C810">
        <v>1.2912999999999999</v>
      </c>
      <c r="D810">
        <v>1.0960000000000001</v>
      </c>
      <c r="E810">
        <v>1.2161999999999999</v>
      </c>
      <c r="F810">
        <v>2493395.2599999998</v>
      </c>
      <c r="G810">
        <v>0</v>
      </c>
      <c r="L810" t="s">
        <v>7</v>
      </c>
      <c r="M810" t="s">
        <v>7</v>
      </c>
      <c r="N810" t="s">
        <v>8</v>
      </c>
      <c r="P810">
        <f t="shared" si="1004"/>
        <v>0.2309267793138759</v>
      </c>
      <c r="Q810">
        <f t="shared" si="1005"/>
        <v>575791.7369482842</v>
      </c>
      <c r="R810">
        <f t="shared" si="1006"/>
        <v>-392751.07637126104</v>
      </c>
      <c r="S810">
        <f t="shared" si="1007"/>
        <v>-3.9275107637126103</v>
      </c>
      <c r="T810">
        <f t="shared" si="1008"/>
        <v>-3.92751076371261E-3</v>
      </c>
    </row>
    <row r="811" spans="1:20" x14ac:dyDescent="0.25">
      <c r="A811" s="5">
        <v>43782</v>
      </c>
      <c r="B811">
        <v>1.1668000000000001</v>
      </c>
      <c r="C811">
        <v>1.1682999999999999</v>
      </c>
      <c r="D811">
        <v>1.1106</v>
      </c>
      <c r="E811">
        <v>1.1314</v>
      </c>
      <c r="F811">
        <v>537021.4</v>
      </c>
      <c r="G811">
        <v>0</v>
      </c>
      <c r="L811" t="s">
        <v>7</v>
      </c>
      <c r="M811" t="s">
        <v>7</v>
      </c>
      <c r="N811" t="s">
        <v>8</v>
      </c>
      <c r="P811">
        <f t="shared" si="1004"/>
        <v>-0.27902946273830226</v>
      </c>
      <c r="Q811">
        <f t="shared" si="1005"/>
        <v>-149844.79272097093</v>
      </c>
      <c r="R811">
        <f t="shared" si="1006"/>
        <v>-968542.81331954524</v>
      </c>
      <c r="S811">
        <f t="shared" si="1007"/>
        <v>-9.6854281331954528</v>
      </c>
      <c r="T811">
        <f t="shared" si="1008"/>
        <v>-9.6854281331954523E-3</v>
      </c>
    </row>
    <row r="812" spans="1:20" x14ac:dyDescent="0.25">
      <c r="A812" s="5">
        <v>43781</v>
      </c>
      <c r="B812">
        <v>1.1722999999999999</v>
      </c>
      <c r="C812">
        <v>1.2</v>
      </c>
      <c r="D812">
        <v>1.1469</v>
      </c>
      <c r="E812">
        <v>1.1655</v>
      </c>
      <c r="F812">
        <v>412917.29</v>
      </c>
      <c r="G812">
        <v>0</v>
      </c>
      <c r="L812" t="s">
        <v>7</v>
      </c>
      <c r="M812" t="s">
        <v>7</v>
      </c>
      <c r="N812" t="s">
        <v>8</v>
      </c>
      <c r="P812">
        <f t="shared" si="1004"/>
        <v>-0.29943502824858848</v>
      </c>
      <c r="Q812">
        <f t="shared" si="1005"/>
        <v>-123641.9003954806</v>
      </c>
      <c r="R812">
        <f t="shared" si="1006"/>
        <v>-818698.02059857431</v>
      </c>
      <c r="S812">
        <f t="shared" si="1007"/>
        <v>-8.1869802059857424</v>
      </c>
      <c r="T812">
        <f t="shared" si="1008"/>
        <v>-8.1869802059857423E-3</v>
      </c>
    </row>
    <row r="813" spans="1:20" x14ac:dyDescent="0.25">
      <c r="A813" s="5">
        <v>43780</v>
      </c>
      <c r="B813">
        <v>1.2248000000000001</v>
      </c>
      <c r="C813">
        <v>1.2465999999999999</v>
      </c>
      <c r="D813">
        <v>1.1649</v>
      </c>
      <c r="E813">
        <v>1.1706000000000001</v>
      </c>
      <c r="F813">
        <v>527861.36</v>
      </c>
      <c r="G813">
        <v>0</v>
      </c>
      <c r="L813" t="s">
        <v>7</v>
      </c>
      <c r="M813" t="s">
        <v>7</v>
      </c>
      <c r="N813" t="s">
        <v>8</v>
      </c>
      <c r="P813">
        <f t="shared" si="1004"/>
        <v>-0.86046511627906863</v>
      </c>
      <c r="Q813">
        <f t="shared" si="1005"/>
        <v>-454206.28651162732</v>
      </c>
      <c r="R813">
        <f t="shared" si="1006"/>
        <v>-695056.12020309374</v>
      </c>
      <c r="S813">
        <f t="shared" si="1007"/>
        <v>-6.9505612020309373</v>
      </c>
      <c r="T813">
        <f t="shared" si="1008"/>
        <v>-6.9505612020309372E-3</v>
      </c>
    </row>
    <row r="814" spans="1:20" x14ac:dyDescent="0.25">
      <c r="A814" s="5">
        <v>43779</v>
      </c>
      <c r="B814">
        <v>1.2623</v>
      </c>
      <c r="C814">
        <v>1.2647999999999999</v>
      </c>
      <c r="D814">
        <v>1.1838</v>
      </c>
      <c r="E814">
        <v>1.2237</v>
      </c>
      <c r="F814">
        <v>866060.71</v>
      </c>
      <c r="G814">
        <v>0</v>
      </c>
      <c r="L814" t="s">
        <v>7</v>
      </c>
      <c r="M814" t="s">
        <v>7</v>
      </c>
      <c r="N814" t="s">
        <v>8</v>
      </c>
      <c r="P814">
        <f t="shared" si="1004"/>
        <v>-1.481481481481319E-2</v>
      </c>
      <c r="Q814">
        <f t="shared" si="1005"/>
        <v>-12830.529037035629</v>
      </c>
      <c r="R814">
        <f t="shared" si="1006"/>
        <v>-240849.83369146645</v>
      </c>
      <c r="S814">
        <f t="shared" si="1007"/>
        <v>-2.4084983369146644</v>
      </c>
      <c r="T814">
        <f t="shared" si="1008"/>
        <v>-2.4084983369146644E-3</v>
      </c>
    </row>
    <row r="815" spans="1:20" x14ac:dyDescent="0.25">
      <c r="A815" s="5">
        <v>43778</v>
      </c>
      <c r="B815">
        <v>1.1659999999999999</v>
      </c>
      <c r="C815">
        <v>1.2749999999999999</v>
      </c>
      <c r="D815">
        <v>1.147</v>
      </c>
      <c r="E815">
        <v>1.2658</v>
      </c>
      <c r="F815">
        <v>1137098.44</v>
      </c>
      <c r="G815">
        <v>0</v>
      </c>
      <c r="L815" t="s">
        <v>8</v>
      </c>
      <c r="M815" t="s">
        <v>7</v>
      </c>
      <c r="N815" t="s">
        <v>8</v>
      </c>
      <c r="P815">
        <f t="shared" si="1004"/>
        <v>0.85625000000000184</v>
      </c>
      <c r="Q815">
        <f t="shared" si="1005"/>
        <v>973640.53925000201</v>
      </c>
      <c r="R815">
        <f t="shared" si="1006"/>
        <v>-228019.30465443083</v>
      </c>
      <c r="S815">
        <f t="shared" si="1007"/>
        <v>-2.2801930465443081</v>
      </c>
      <c r="T815">
        <f t="shared" si="1008"/>
        <v>-2.2801930465443081E-3</v>
      </c>
    </row>
    <row r="816" spans="1:20" x14ac:dyDescent="0.25">
      <c r="A816" s="5">
        <v>43777</v>
      </c>
      <c r="B816">
        <v>1.2089000000000001</v>
      </c>
      <c r="C816">
        <v>1.2999000000000001</v>
      </c>
      <c r="D816">
        <v>1.1166</v>
      </c>
      <c r="E816">
        <v>1.1658999999999999</v>
      </c>
      <c r="F816">
        <v>2029353.23</v>
      </c>
      <c r="G816">
        <v>0</v>
      </c>
      <c r="L816" t="s">
        <v>7</v>
      </c>
      <c r="M816" t="s">
        <v>7</v>
      </c>
      <c r="N816" t="s">
        <v>8</v>
      </c>
      <c r="P816">
        <f t="shared" si="1004"/>
        <v>-0.4620840152755058</v>
      </c>
      <c r="Q816">
        <f t="shared" si="1005"/>
        <v>-937731.68893071706</v>
      </c>
      <c r="R816">
        <f t="shared" si="1006"/>
        <v>-1201659.8439044328</v>
      </c>
      <c r="S816">
        <f t="shared" si="1007"/>
        <v>-12.016598439044328</v>
      </c>
      <c r="T816">
        <f t="shared" si="1008"/>
        <v>-1.2016598439044329E-2</v>
      </c>
    </row>
    <row r="817" spans="1:20" x14ac:dyDescent="0.25">
      <c r="A817" s="5">
        <v>43776</v>
      </c>
      <c r="B817">
        <v>1.0153000000000001</v>
      </c>
      <c r="C817">
        <v>1.4306000000000001</v>
      </c>
      <c r="D817">
        <v>1.0153000000000001</v>
      </c>
      <c r="E817">
        <v>1.2079</v>
      </c>
      <c r="F817">
        <v>6496093.5899999999</v>
      </c>
      <c r="G817">
        <v>0</v>
      </c>
      <c r="L817" t="s">
        <v>8</v>
      </c>
      <c r="M817" t="s">
        <v>8</v>
      </c>
      <c r="N817" t="s">
        <v>8</v>
      </c>
      <c r="P817">
        <f t="shared" si="1004"/>
        <v>-7.2477726944378124E-2</v>
      </c>
      <c r="Q817">
        <f t="shared" si="1005"/>
        <v>-470822.09742114501</v>
      </c>
      <c r="R817">
        <f t="shared" si="1006"/>
        <v>-263928.15497371572</v>
      </c>
      <c r="S817">
        <f t="shared" si="1007"/>
        <v>-2.6392815497371571</v>
      </c>
      <c r="T817">
        <f t="shared" si="1008"/>
        <v>-2.6392815497371571E-3</v>
      </c>
    </row>
    <row r="818" spans="1:20" x14ac:dyDescent="0.25">
      <c r="A818" s="5">
        <v>43775</v>
      </c>
      <c r="B818">
        <v>0.92369999999999997</v>
      </c>
      <c r="C818">
        <v>1.05</v>
      </c>
      <c r="D818">
        <v>0.90100000000000002</v>
      </c>
      <c r="E818">
        <v>1.0156000000000001</v>
      </c>
      <c r="F818">
        <v>1517698.65</v>
      </c>
      <c r="G818">
        <v>0</v>
      </c>
      <c r="L818" t="s">
        <v>8</v>
      </c>
      <c r="M818" t="s">
        <v>8</v>
      </c>
      <c r="N818" t="s">
        <v>8</v>
      </c>
      <c r="P818">
        <f t="shared" si="1004"/>
        <v>0.53825503355704718</v>
      </c>
      <c r="Q818">
        <f t="shared" si="1005"/>
        <v>816908.93778523512</v>
      </c>
      <c r="R818">
        <f t="shared" si="1006"/>
        <v>206893.94244742929</v>
      </c>
      <c r="S818">
        <f t="shared" si="1007"/>
        <v>2.0689394244742929</v>
      </c>
      <c r="T818">
        <f t="shared" si="1008"/>
        <v>2.0689394244742931E-3</v>
      </c>
    </row>
    <row r="819" spans="1:20" x14ac:dyDescent="0.25">
      <c r="A819" s="5">
        <v>43774</v>
      </c>
      <c r="B819">
        <v>0.88570000000000004</v>
      </c>
      <c r="C819">
        <v>0.92869999999999997</v>
      </c>
      <c r="D819">
        <v>0.87629999999999997</v>
      </c>
      <c r="E819">
        <v>0.92430000000000001</v>
      </c>
      <c r="F819">
        <v>372594.52</v>
      </c>
      <c r="G819">
        <v>0</v>
      </c>
      <c r="L819" t="s">
        <v>8</v>
      </c>
      <c r="M819" t="s">
        <v>8</v>
      </c>
      <c r="N819" t="s">
        <v>7</v>
      </c>
      <c r="P819">
        <f t="shared" si="1004"/>
        <v>0.83206106870229168</v>
      </c>
      <c r="Q819">
        <f t="shared" si="1005"/>
        <v>310021.39450381743</v>
      </c>
      <c r="R819">
        <f t="shared" si="1006"/>
        <v>-610014.99533780583</v>
      </c>
      <c r="S819">
        <f t="shared" si="1007"/>
        <v>-6.1001499533780583</v>
      </c>
      <c r="T819">
        <f t="shared" si="1008"/>
        <v>-6.1001499533780579E-3</v>
      </c>
    </row>
    <row r="820" spans="1:20" x14ac:dyDescent="0.25">
      <c r="A820" s="5">
        <v>43773</v>
      </c>
      <c r="B820">
        <v>0.86580000000000001</v>
      </c>
      <c r="C820">
        <v>0.90500000000000003</v>
      </c>
      <c r="D820">
        <v>0.86170000000000002</v>
      </c>
      <c r="E820">
        <v>0.88590000000000002</v>
      </c>
      <c r="F820">
        <v>360867.44</v>
      </c>
      <c r="G820">
        <v>0</v>
      </c>
      <c r="L820" t="s">
        <v>7</v>
      </c>
      <c r="M820" t="s">
        <v>8</v>
      </c>
      <c r="N820" t="s">
        <v>7</v>
      </c>
      <c r="P820">
        <f t="shared" si="1004"/>
        <v>0.11778290993071577</v>
      </c>
      <c r="Q820">
        <f t="shared" si="1005"/>
        <v>42504.017182447977</v>
      </c>
      <c r="R820">
        <f t="shared" si="1006"/>
        <v>-920036.38984162326</v>
      </c>
      <c r="S820">
        <f t="shared" si="1007"/>
        <v>-9.2003638984162333</v>
      </c>
      <c r="T820">
        <f t="shared" si="1008"/>
        <v>-9.2003638984162334E-3</v>
      </c>
    </row>
    <row r="821" spans="1:20" x14ac:dyDescent="0.25">
      <c r="A821" s="5">
        <v>43772</v>
      </c>
      <c r="B821">
        <v>0.86209999999999998</v>
      </c>
      <c r="C821">
        <v>0.8669</v>
      </c>
      <c r="D821">
        <v>0.84619999999999995</v>
      </c>
      <c r="E821">
        <v>0.86660000000000004</v>
      </c>
      <c r="F821">
        <v>102598.99</v>
      </c>
      <c r="G821">
        <v>0</v>
      </c>
      <c r="L821" t="s">
        <v>7</v>
      </c>
      <c r="M821" t="s">
        <v>8</v>
      </c>
      <c r="N821" t="s">
        <v>7</v>
      </c>
      <c r="P821">
        <f t="shared" si="1004"/>
        <v>0.9710144927536265</v>
      </c>
      <c r="Q821">
        <f t="shared" si="1005"/>
        <v>99625.106231884405</v>
      </c>
      <c r="R821">
        <f t="shared" si="1006"/>
        <v>-962540.4070240712</v>
      </c>
      <c r="S821">
        <f t="shared" si="1007"/>
        <v>-9.6254040702407124</v>
      </c>
      <c r="T821">
        <f t="shared" si="1008"/>
        <v>-9.6254040702407132E-3</v>
      </c>
    </row>
    <row r="822" spans="1:20" x14ac:dyDescent="0.25">
      <c r="A822" s="5">
        <v>43771</v>
      </c>
      <c r="B822">
        <v>0.87890000000000001</v>
      </c>
      <c r="C822">
        <v>0.87980000000000003</v>
      </c>
      <c r="D822">
        <v>0.8548</v>
      </c>
      <c r="E822">
        <v>0.8619</v>
      </c>
      <c r="F822">
        <v>150251.18</v>
      </c>
      <c r="G822">
        <v>0</v>
      </c>
      <c r="L822" t="s">
        <v>7</v>
      </c>
      <c r="M822" t="s">
        <v>8</v>
      </c>
      <c r="N822" t="s">
        <v>7</v>
      </c>
      <c r="P822">
        <f t="shared" si="1004"/>
        <v>-0.43200000000000088</v>
      </c>
      <c r="Q822">
        <f t="shared" si="1005"/>
        <v>-64908.509760000132</v>
      </c>
      <c r="R822">
        <f t="shared" si="1006"/>
        <v>-1062165.5132559557</v>
      </c>
      <c r="S822">
        <f t="shared" si="1007"/>
        <v>-10.621655132559557</v>
      </c>
      <c r="T822">
        <f t="shared" si="1008"/>
        <v>-1.0621655132559556E-2</v>
      </c>
    </row>
    <row r="823" spans="1:20" x14ac:dyDescent="0.25">
      <c r="A823" s="5">
        <v>43770</v>
      </c>
      <c r="B823">
        <v>0.88270000000000004</v>
      </c>
      <c r="C823">
        <v>0.88970000000000005</v>
      </c>
      <c r="D823">
        <v>0.85880000000000001</v>
      </c>
      <c r="E823">
        <v>0.87280000000000002</v>
      </c>
      <c r="F823">
        <v>177185.03</v>
      </c>
      <c r="G823">
        <v>0</v>
      </c>
      <c r="L823" t="s">
        <v>7</v>
      </c>
      <c r="M823" t="s">
        <v>8</v>
      </c>
      <c r="N823" t="s">
        <v>7</v>
      </c>
      <c r="P823">
        <f t="shared" si="1004"/>
        <v>-9.3851132686084471E-2</v>
      </c>
      <c r="Q823">
        <f t="shared" si="1005"/>
        <v>-16629.015760517857</v>
      </c>
      <c r="R823">
        <f t="shared" si="1006"/>
        <v>-997257.00349595561</v>
      </c>
      <c r="S823">
        <f t="shared" si="1007"/>
        <v>-9.9725700349595563</v>
      </c>
      <c r="T823">
        <f t="shared" si="1008"/>
        <v>-9.9725700349595561E-3</v>
      </c>
    </row>
    <row r="824" spans="1:20" x14ac:dyDescent="0.25">
      <c r="A824" s="5">
        <v>43769</v>
      </c>
      <c r="B824">
        <v>0.87829999999999997</v>
      </c>
      <c r="C824">
        <v>0.92479999999999996</v>
      </c>
      <c r="D824">
        <v>0.86560000000000004</v>
      </c>
      <c r="E824">
        <v>0.88319999999999999</v>
      </c>
      <c r="F824">
        <v>517813.94</v>
      </c>
      <c r="G824">
        <v>0</v>
      </c>
      <c r="L824" t="s">
        <v>7</v>
      </c>
      <c r="M824" t="s">
        <v>8</v>
      </c>
      <c r="N824" t="s">
        <v>7</v>
      </c>
      <c r="P824">
        <f t="shared" si="1004"/>
        <v>-0.40540540540540632</v>
      </c>
      <c r="Q824">
        <f t="shared" si="1005"/>
        <v>-209924.57027027075</v>
      </c>
      <c r="R824">
        <f t="shared" si="1006"/>
        <v>-980627.98773543769</v>
      </c>
      <c r="S824">
        <f t="shared" si="1007"/>
        <v>-9.8062798773543776</v>
      </c>
      <c r="T824">
        <f t="shared" si="1008"/>
        <v>-9.8062798773543777E-3</v>
      </c>
    </row>
    <row r="825" spans="1:20" x14ac:dyDescent="0.25">
      <c r="A825" s="5">
        <v>43768</v>
      </c>
      <c r="B825">
        <v>0.84209999999999996</v>
      </c>
      <c r="C825">
        <v>0.92449999999999999</v>
      </c>
      <c r="D825">
        <v>0.82250000000000001</v>
      </c>
      <c r="E825">
        <v>0.87549999999999994</v>
      </c>
      <c r="F825">
        <v>684841.22</v>
      </c>
      <c r="G825">
        <v>0</v>
      </c>
      <c r="L825" t="s">
        <v>8</v>
      </c>
      <c r="M825" t="s">
        <v>8</v>
      </c>
      <c r="N825" t="s">
        <v>7</v>
      </c>
      <c r="P825">
        <f t="shared" si="1004"/>
        <v>3.9215686274508756E-2</v>
      </c>
      <c r="Q825">
        <f t="shared" si="1005"/>
        <v>26856.518431371831</v>
      </c>
      <c r="R825">
        <f t="shared" si="1006"/>
        <v>-770703.41746516689</v>
      </c>
      <c r="S825">
        <f t="shared" si="1007"/>
        <v>-7.7070341746516693</v>
      </c>
      <c r="T825">
        <f t="shared" si="1008"/>
        <v>-7.7070341746516696E-3</v>
      </c>
    </row>
    <row r="826" spans="1:20" x14ac:dyDescent="0.25">
      <c r="A826" s="5">
        <v>43767</v>
      </c>
      <c r="B826">
        <v>0.84850000000000003</v>
      </c>
      <c r="C826">
        <v>0.86729999999999996</v>
      </c>
      <c r="D826">
        <v>0.8276</v>
      </c>
      <c r="E826">
        <v>0.84189999999999998</v>
      </c>
      <c r="F826">
        <v>205439.83</v>
      </c>
      <c r="G826">
        <v>0</v>
      </c>
      <c r="L826" t="s">
        <v>7</v>
      </c>
      <c r="M826" t="s">
        <v>8</v>
      </c>
      <c r="N826" t="s">
        <v>7</v>
      </c>
      <c r="P826">
        <f t="shared" si="1004"/>
        <v>-0.27959697732997507</v>
      </c>
      <c r="Q826">
        <f t="shared" si="1005"/>
        <v>-57440.355491183931</v>
      </c>
      <c r="R826">
        <f t="shared" si="1006"/>
        <v>-797559.93589653866</v>
      </c>
      <c r="S826">
        <f t="shared" si="1007"/>
        <v>-7.9755993589653871</v>
      </c>
      <c r="T826">
        <f t="shared" si="1008"/>
        <v>-7.9755993589653868E-3</v>
      </c>
    </row>
    <row r="827" spans="1:20" x14ac:dyDescent="0.25">
      <c r="A827" s="5">
        <v>43766</v>
      </c>
      <c r="B827">
        <v>0.86219999999999997</v>
      </c>
      <c r="C827">
        <v>0.93</v>
      </c>
      <c r="D827">
        <v>0.84799999999999998</v>
      </c>
      <c r="E827">
        <v>0.85</v>
      </c>
      <c r="F827">
        <v>356872.75</v>
      </c>
      <c r="G827">
        <v>0</v>
      </c>
      <c r="L827" t="s">
        <v>8</v>
      </c>
      <c r="M827" t="s">
        <v>8</v>
      </c>
      <c r="N827" t="s">
        <v>7</v>
      </c>
      <c r="P827">
        <f t="shared" si="1004"/>
        <v>-0.95121951219512191</v>
      </c>
      <c r="Q827">
        <f t="shared" si="1005"/>
        <v>-339464.32317073172</v>
      </c>
      <c r="R827">
        <f t="shared" si="1006"/>
        <v>-740119.58040535473</v>
      </c>
      <c r="S827">
        <f t="shared" si="1007"/>
        <v>-7.4011958040535477</v>
      </c>
      <c r="T827">
        <f t="shared" si="1008"/>
        <v>-7.4011958040535479E-3</v>
      </c>
    </row>
    <row r="828" spans="1:20" x14ac:dyDescent="0.25">
      <c r="A828" s="5">
        <v>43765</v>
      </c>
      <c r="B828">
        <v>0.83730000000000004</v>
      </c>
      <c r="C828">
        <v>0.89</v>
      </c>
      <c r="D828">
        <v>0.80520000000000003</v>
      </c>
      <c r="E828">
        <v>0.86029999999999995</v>
      </c>
      <c r="F828">
        <v>325240.96000000002</v>
      </c>
      <c r="G828">
        <v>0</v>
      </c>
      <c r="L828" t="s">
        <v>7</v>
      </c>
      <c r="M828" t="s">
        <v>8</v>
      </c>
      <c r="N828" t="s">
        <v>7</v>
      </c>
      <c r="P828">
        <f t="shared" si="1004"/>
        <v>0.29952830188679092</v>
      </c>
      <c r="Q828">
        <f t="shared" si="1005"/>
        <v>97418.872452829688</v>
      </c>
      <c r="R828">
        <f t="shared" si="1006"/>
        <v>-400655.25723462302</v>
      </c>
      <c r="S828">
        <f t="shared" si="1007"/>
        <v>-4.0065525723462301</v>
      </c>
      <c r="T828">
        <f t="shared" si="1008"/>
        <v>-4.0065525723462303E-3</v>
      </c>
    </row>
    <row r="829" spans="1:20" x14ac:dyDescent="0.25">
      <c r="A829" s="5">
        <v>43764</v>
      </c>
      <c r="B829">
        <v>0.83460000000000001</v>
      </c>
      <c r="C829">
        <v>0.92</v>
      </c>
      <c r="D829">
        <v>0.80079999999999996</v>
      </c>
      <c r="E829">
        <v>0.83460000000000001</v>
      </c>
      <c r="F829">
        <v>344511.04</v>
      </c>
      <c r="G829">
        <v>0</v>
      </c>
      <c r="L829" t="s">
        <v>8</v>
      </c>
      <c r="M829" t="s">
        <v>8</v>
      </c>
      <c r="N829" t="s">
        <v>7</v>
      </c>
      <c r="P829">
        <f t="shared" si="1004"/>
        <v>-0.432885906040268</v>
      </c>
      <c r="Q829">
        <f t="shared" si="1005"/>
        <v>-149133.97369127499</v>
      </c>
      <c r="R829">
        <f t="shared" si="1006"/>
        <v>-498074.12968745269</v>
      </c>
      <c r="S829">
        <f t="shared" si="1007"/>
        <v>-4.9807412968745268</v>
      </c>
      <c r="T829">
        <f t="shared" si="1008"/>
        <v>-4.980741296874527E-3</v>
      </c>
    </row>
    <row r="830" spans="1:20" x14ac:dyDescent="0.25">
      <c r="A830" s="5">
        <v>43763</v>
      </c>
      <c r="B830">
        <v>0.76160000000000005</v>
      </c>
      <c r="C830">
        <v>0.83989999999999998</v>
      </c>
      <c r="D830">
        <v>0.75949999999999995</v>
      </c>
      <c r="E830">
        <v>0.83479999999999999</v>
      </c>
      <c r="F830">
        <v>304385.52</v>
      </c>
      <c r="G830">
        <v>0</v>
      </c>
      <c r="L830" t="s">
        <v>8</v>
      </c>
      <c r="M830" t="s">
        <v>7</v>
      </c>
      <c r="N830" t="s">
        <v>7</v>
      </c>
      <c r="P830">
        <f t="shared" si="1004"/>
        <v>0.87313432835820914</v>
      </c>
      <c r="Q830">
        <f t="shared" si="1005"/>
        <v>265769.44656716427</v>
      </c>
      <c r="R830">
        <f t="shared" si="1006"/>
        <v>-348940.15599617769</v>
      </c>
      <c r="S830">
        <f t="shared" si="1007"/>
        <v>-3.4894015599617769</v>
      </c>
      <c r="T830">
        <f t="shared" si="1008"/>
        <v>-3.4894015599617771E-3</v>
      </c>
    </row>
    <row r="831" spans="1:20" x14ac:dyDescent="0.25">
      <c r="A831" s="5">
        <v>43762</v>
      </c>
      <c r="B831">
        <v>0.75949999999999995</v>
      </c>
      <c r="C831">
        <v>0.77249999999999996</v>
      </c>
      <c r="D831">
        <v>0.74990000000000001</v>
      </c>
      <c r="E831">
        <v>0.75900000000000001</v>
      </c>
      <c r="F831">
        <v>221814.24</v>
      </c>
      <c r="G831">
        <v>0</v>
      </c>
      <c r="L831" t="s">
        <v>7</v>
      </c>
      <c r="M831" t="s">
        <v>7</v>
      </c>
      <c r="N831" t="s">
        <v>7</v>
      </c>
      <c r="P831">
        <f t="shared" ref="P831:P861" si="1009">IF(C831=D831,0,((E831-D831)-(C831-E831))/(C831-D831))</f>
        <v>-0.19469026548672427</v>
      </c>
      <c r="Q831">
        <f t="shared" ref="Q831:Q861" si="1010">F831*P831</f>
        <v>-43185.073274335969</v>
      </c>
      <c r="R831">
        <f t="shared" ref="R831:R861" si="1011">R832+Q831</f>
        <v>-614709.60256334196</v>
      </c>
      <c r="S831">
        <f t="shared" ref="S831:S861" si="1012">R831/100000</f>
        <v>-6.1470960256334193</v>
      </c>
      <c r="T831">
        <f t="shared" ref="T831:T861" si="1013">S831/1000</f>
        <v>-6.1470960256334193E-3</v>
      </c>
    </row>
    <row r="832" spans="1:20" x14ac:dyDescent="0.25">
      <c r="A832" s="5">
        <v>43761</v>
      </c>
      <c r="B832">
        <v>0.83</v>
      </c>
      <c r="C832">
        <v>0.83450000000000002</v>
      </c>
      <c r="D832">
        <v>0.74990000000000001</v>
      </c>
      <c r="E832">
        <v>0.75849999999999995</v>
      </c>
      <c r="F832">
        <v>357749.81</v>
      </c>
      <c r="G832">
        <v>0</v>
      </c>
      <c r="L832" t="s">
        <v>7</v>
      </c>
      <c r="M832" t="s">
        <v>7</v>
      </c>
      <c r="N832" t="s">
        <v>7</v>
      </c>
      <c r="P832">
        <f t="shared" si="1009"/>
        <v>-0.79669030732860657</v>
      </c>
      <c r="Q832">
        <f t="shared" si="1010"/>
        <v>-285015.80607565062</v>
      </c>
      <c r="R832">
        <f t="shared" si="1011"/>
        <v>-571524.52928900602</v>
      </c>
      <c r="S832">
        <f t="shared" si="1012"/>
        <v>-5.7152452928900601</v>
      </c>
      <c r="T832">
        <f t="shared" si="1013"/>
        <v>-5.7152452928900602E-3</v>
      </c>
    </row>
    <row r="833" spans="1:20" x14ac:dyDescent="0.25">
      <c r="A833" s="5">
        <v>43760</v>
      </c>
      <c r="B833">
        <v>0.86919999999999997</v>
      </c>
      <c r="C833">
        <v>0.87919999999999998</v>
      </c>
      <c r="D833">
        <v>0.82</v>
      </c>
      <c r="E833">
        <v>0.83350000000000002</v>
      </c>
      <c r="F833">
        <v>235556.75</v>
      </c>
      <c r="G833">
        <v>0</v>
      </c>
      <c r="L833" t="s">
        <v>7</v>
      </c>
      <c r="M833" t="s">
        <v>7</v>
      </c>
      <c r="N833" t="s">
        <v>8</v>
      </c>
      <c r="P833">
        <f t="shared" si="1009"/>
        <v>-0.54391891891891686</v>
      </c>
      <c r="Q833">
        <f t="shared" si="1010"/>
        <v>-128123.77280405357</v>
      </c>
      <c r="R833">
        <f t="shared" si="1011"/>
        <v>-286508.72321335546</v>
      </c>
      <c r="S833">
        <f t="shared" si="1012"/>
        <v>-2.8650872321335545</v>
      </c>
      <c r="T833">
        <f t="shared" si="1013"/>
        <v>-2.8650872321335547E-3</v>
      </c>
    </row>
    <row r="834" spans="1:20" x14ac:dyDescent="0.25">
      <c r="A834" s="5">
        <v>43759</v>
      </c>
      <c r="B834">
        <v>0.87960000000000005</v>
      </c>
      <c r="C834">
        <v>0.88970000000000005</v>
      </c>
      <c r="D834">
        <v>0.86080000000000001</v>
      </c>
      <c r="E834">
        <v>0.86439999999999995</v>
      </c>
      <c r="F834">
        <v>48259.34</v>
      </c>
      <c r="G834">
        <v>0</v>
      </c>
      <c r="L834" t="s">
        <v>7</v>
      </c>
      <c r="M834" t="s">
        <v>8</v>
      </c>
      <c r="N834" t="s">
        <v>8</v>
      </c>
      <c r="P834">
        <f t="shared" si="1009"/>
        <v>-0.75086505190311892</v>
      </c>
      <c r="Q834">
        <f t="shared" si="1010"/>
        <v>-36236.251833910261</v>
      </c>
      <c r="R834">
        <f t="shared" si="1011"/>
        <v>-158384.95040930191</v>
      </c>
      <c r="S834">
        <f t="shared" si="1012"/>
        <v>-1.5838495040930192</v>
      </c>
      <c r="T834">
        <f t="shared" si="1013"/>
        <v>-1.5838495040930191E-3</v>
      </c>
    </row>
    <row r="835" spans="1:20" x14ac:dyDescent="0.25">
      <c r="A835" s="5">
        <v>43758</v>
      </c>
      <c r="B835">
        <v>0.85929999999999995</v>
      </c>
      <c r="C835">
        <v>0.88670000000000004</v>
      </c>
      <c r="D835">
        <v>0.85329999999999995</v>
      </c>
      <c r="E835">
        <v>0.87929999999999997</v>
      </c>
      <c r="F835">
        <v>43130.94</v>
      </c>
      <c r="G835">
        <v>0</v>
      </c>
      <c r="L835" t="s">
        <v>7</v>
      </c>
      <c r="M835" t="s">
        <v>8</v>
      </c>
      <c r="N835" t="s">
        <v>8</v>
      </c>
      <c r="P835">
        <f t="shared" si="1009"/>
        <v>0.55688622754490702</v>
      </c>
      <c r="Q835">
        <f t="shared" si="1010"/>
        <v>24019.026467065734</v>
      </c>
      <c r="R835">
        <f t="shared" si="1011"/>
        <v>-122148.69857539164</v>
      </c>
      <c r="S835">
        <f t="shared" si="1012"/>
        <v>-1.2214869857539163</v>
      </c>
      <c r="T835">
        <f t="shared" si="1013"/>
        <v>-1.2214869857539164E-3</v>
      </c>
    </row>
    <row r="836" spans="1:20" x14ac:dyDescent="0.25">
      <c r="A836" s="5">
        <v>43757</v>
      </c>
      <c r="B836">
        <v>0.875</v>
      </c>
      <c r="C836">
        <v>0.89190000000000003</v>
      </c>
      <c r="D836">
        <v>0.85329999999999995</v>
      </c>
      <c r="E836">
        <v>0.86180000000000001</v>
      </c>
      <c r="F836">
        <v>65336.800000000003</v>
      </c>
      <c r="G836">
        <v>0</v>
      </c>
      <c r="L836" t="s">
        <v>7</v>
      </c>
      <c r="M836" t="s">
        <v>8</v>
      </c>
      <c r="N836" t="s">
        <v>8</v>
      </c>
      <c r="P836">
        <f t="shared" si="1009"/>
        <v>-0.55958549222797693</v>
      </c>
      <c r="Q836">
        <f t="shared" si="1010"/>
        <v>-36561.525388600887</v>
      </c>
      <c r="R836">
        <f t="shared" si="1011"/>
        <v>-146167.72504245737</v>
      </c>
      <c r="S836">
        <f t="shared" si="1012"/>
        <v>-1.4616772504245736</v>
      </c>
      <c r="T836">
        <f t="shared" si="1013"/>
        <v>-1.4616772504245736E-3</v>
      </c>
    </row>
    <row r="837" spans="1:20" x14ac:dyDescent="0.25">
      <c r="A837" s="5">
        <v>43756</v>
      </c>
      <c r="B837">
        <v>0.88870000000000005</v>
      </c>
      <c r="C837">
        <v>0.89500000000000002</v>
      </c>
      <c r="D837">
        <v>0.86499999999999999</v>
      </c>
      <c r="E837">
        <v>0.87919999999999998</v>
      </c>
      <c r="F837">
        <v>60247</v>
      </c>
      <c r="G837">
        <v>0</v>
      </c>
      <c r="L837" t="s">
        <v>7</v>
      </c>
      <c r="M837" t="s">
        <v>8</v>
      </c>
      <c r="N837" t="s">
        <v>8</v>
      </c>
      <c r="P837">
        <f t="shared" si="1009"/>
        <v>-5.3333333333334815E-2</v>
      </c>
      <c r="Q837">
        <f t="shared" si="1010"/>
        <v>-3213.1733333334228</v>
      </c>
      <c r="R837">
        <f t="shared" si="1011"/>
        <v>-109606.19965385649</v>
      </c>
      <c r="S837">
        <f t="shared" si="1012"/>
        <v>-1.096061996538565</v>
      </c>
      <c r="T837">
        <f t="shared" si="1013"/>
        <v>-1.0960619965385649E-3</v>
      </c>
    </row>
    <row r="838" spans="1:20" x14ac:dyDescent="0.25">
      <c r="A838" s="5">
        <v>43755</v>
      </c>
      <c r="B838">
        <v>0.87329999999999997</v>
      </c>
      <c r="C838">
        <v>0.89610000000000001</v>
      </c>
      <c r="D838">
        <v>0.86729999999999996</v>
      </c>
      <c r="E838">
        <v>0.89229999999999998</v>
      </c>
      <c r="F838">
        <v>83266.39</v>
      </c>
      <c r="G838">
        <v>0</v>
      </c>
      <c r="L838" t="s">
        <v>7</v>
      </c>
      <c r="M838" t="s">
        <v>8</v>
      </c>
      <c r="N838" t="s">
        <v>8</v>
      </c>
      <c r="P838">
        <f t="shared" si="1009"/>
        <v>0.73611111111110972</v>
      </c>
      <c r="Q838">
        <f t="shared" si="1010"/>
        <v>61293.314861110994</v>
      </c>
      <c r="R838">
        <f t="shared" si="1011"/>
        <v>-106393.02632052306</v>
      </c>
      <c r="S838">
        <f t="shared" si="1012"/>
        <v>-1.0639302632052305</v>
      </c>
      <c r="T838">
        <f t="shared" si="1013"/>
        <v>-1.0639302632052304E-3</v>
      </c>
    </row>
    <row r="839" spans="1:20" x14ac:dyDescent="0.25">
      <c r="A839" s="5">
        <v>43754</v>
      </c>
      <c r="B839">
        <v>0.90110000000000001</v>
      </c>
      <c r="C839">
        <v>0.90869999999999995</v>
      </c>
      <c r="D839">
        <v>0.85609999999999997</v>
      </c>
      <c r="E839">
        <v>0.87309999999999999</v>
      </c>
      <c r="F839">
        <v>162680.29</v>
      </c>
      <c r="G839">
        <v>0</v>
      </c>
      <c r="L839" t="s">
        <v>7</v>
      </c>
      <c r="M839" t="s">
        <v>8</v>
      </c>
      <c r="N839" t="s">
        <v>8</v>
      </c>
      <c r="P839">
        <f t="shared" si="1009"/>
        <v>-0.35361216730037942</v>
      </c>
      <c r="Q839">
        <f t="shared" si="1010"/>
        <v>-57525.729923954241</v>
      </c>
      <c r="R839">
        <f t="shared" si="1011"/>
        <v>-167686.34118163405</v>
      </c>
      <c r="S839">
        <f t="shared" si="1012"/>
        <v>-1.6768634118163406</v>
      </c>
      <c r="T839">
        <f t="shared" si="1013"/>
        <v>-1.6768634118163406E-3</v>
      </c>
    </row>
    <row r="840" spans="1:20" x14ac:dyDescent="0.25">
      <c r="A840" s="5">
        <v>43753</v>
      </c>
      <c r="B840">
        <v>0.93630000000000002</v>
      </c>
      <c r="C840">
        <v>0.93840000000000001</v>
      </c>
      <c r="D840">
        <v>0.90169999999999995</v>
      </c>
      <c r="E840">
        <v>0.90559999999999996</v>
      </c>
      <c r="F840">
        <v>99930.95</v>
      </c>
      <c r="G840">
        <v>0</v>
      </c>
      <c r="L840" t="s">
        <v>7</v>
      </c>
      <c r="M840" t="s">
        <v>8</v>
      </c>
      <c r="N840" t="s">
        <v>8</v>
      </c>
      <c r="P840">
        <f t="shared" si="1009"/>
        <v>-0.78746594005449555</v>
      </c>
      <c r="Q840">
        <f t="shared" si="1010"/>
        <v>-78692.219482288783</v>
      </c>
      <c r="R840">
        <f t="shared" si="1011"/>
        <v>-110160.61125767982</v>
      </c>
      <c r="S840">
        <f t="shared" si="1012"/>
        <v>-1.1016061125767982</v>
      </c>
      <c r="T840">
        <f t="shared" si="1013"/>
        <v>-1.1016061125767981E-3</v>
      </c>
    </row>
    <row r="841" spans="1:20" x14ac:dyDescent="0.25">
      <c r="A841" s="5">
        <v>43752</v>
      </c>
      <c r="B841">
        <v>0.89929999999999999</v>
      </c>
      <c r="C841">
        <v>0.93730000000000002</v>
      </c>
      <c r="D841">
        <v>0.89539999999999997</v>
      </c>
      <c r="E841">
        <v>0.93630000000000002</v>
      </c>
      <c r="F841">
        <v>209153.8</v>
      </c>
      <c r="G841">
        <v>0</v>
      </c>
      <c r="L841" t="s">
        <v>7</v>
      </c>
      <c r="M841" t="s">
        <v>8</v>
      </c>
      <c r="N841" t="s">
        <v>8</v>
      </c>
      <c r="P841">
        <f t="shared" si="1009"/>
        <v>0.95226730310262531</v>
      </c>
      <c r="Q841">
        <f t="shared" si="1010"/>
        <v>199170.32505966586</v>
      </c>
      <c r="R841">
        <f t="shared" si="1011"/>
        <v>-31468.391775391035</v>
      </c>
      <c r="S841">
        <f t="shared" si="1012"/>
        <v>-0.31468391775391036</v>
      </c>
      <c r="T841">
        <f t="shared" si="1013"/>
        <v>-3.1468391775391037E-4</v>
      </c>
    </row>
    <row r="842" spans="1:20" x14ac:dyDescent="0.25">
      <c r="A842" s="5">
        <v>43751</v>
      </c>
      <c r="B842">
        <v>0.89039999999999997</v>
      </c>
      <c r="C842">
        <v>0.93620000000000003</v>
      </c>
      <c r="D842">
        <v>0.88360000000000005</v>
      </c>
      <c r="E842">
        <v>0.90310000000000001</v>
      </c>
      <c r="F842">
        <v>179872.49</v>
      </c>
      <c r="G842">
        <v>0</v>
      </c>
      <c r="L842" t="s">
        <v>7</v>
      </c>
      <c r="M842" t="s">
        <v>8</v>
      </c>
      <c r="N842" t="s">
        <v>8</v>
      </c>
      <c r="P842">
        <f t="shared" si="1009"/>
        <v>-0.25855513307984906</v>
      </c>
      <c r="Q842">
        <f t="shared" si="1010"/>
        <v>-46506.95558935382</v>
      </c>
      <c r="R842">
        <f t="shared" si="1011"/>
        <v>-230638.7168350569</v>
      </c>
      <c r="S842">
        <f t="shared" si="1012"/>
        <v>-2.306387168350569</v>
      </c>
      <c r="T842">
        <f t="shared" si="1013"/>
        <v>-2.3063871683505692E-3</v>
      </c>
    </row>
    <row r="843" spans="1:20" x14ac:dyDescent="0.25">
      <c r="A843" s="5">
        <v>43750</v>
      </c>
      <c r="B843">
        <v>0.90820000000000001</v>
      </c>
      <c r="C843">
        <v>0.91210000000000002</v>
      </c>
      <c r="D843">
        <v>0.89</v>
      </c>
      <c r="E843">
        <v>0.89</v>
      </c>
      <c r="F843">
        <v>72844.97</v>
      </c>
      <c r="G843">
        <v>0</v>
      </c>
      <c r="L843" t="s">
        <v>7</v>
      </c>
      <c r="M843" t="s">
        <v>8</v>
      </c>
      <c r="N843" t="s">
        <v>8</v>
      </c>
      <c r="P843">
        <f t="shared" si="1009"/>
        <v>-1</v>
      </c>
      <c r="Q843">
        <f t="shared" si="1010"/>
        <v>-72844.97</v>
      </c>
      <c r="R843">
        <f t="shared" si="1011"/>
        <v>-184131.76124570309</v>
      </c>
      <c r="S843">
        <f t="shared" si="1012"/>
        <v>-1.841317612457031</v>
      </c>
      <c r="T843">
        <f t="shared" si="1013"/>
        <v>-1.8413176124570309E-3</v>
      </c>
    </row>
    <row r="844" spans="1:20" x14ac:dyDescent="0.25">
      <c r="A844" s="5">
        <v>43749</v>
      </c>
      <c r="B844">
        <v>0.91459999999999997</v>
      </c>
      <c r="C844">
        <v>0.91959999999999997</v>
      </c>
      <c r="D844">
        <v>0.876</v>
      </c>
      <c r="E844">
        <v>0.9052</v>
      </c>
      <c r="F844">
        <v>258983.29</v>
      </c>
      <c r="G844">
        <v>0</v>
      </c>
      <c r="L844" t="s">
        <v>7</v>
      </c>
      <c r="M844" t="s">
        <v>8</v>
      </c>
      <c r="N844" t="s">
        <v>8</v>
      </c>
      <c r="P844">
        <f t="shared" si="1009"/>
        <v>0.33944954128440469</v>
      </c>
      <c r="Q844">
        <f t="shared" si="1010"/>
        <v>87911.758990825954</v>
      </c>
      <c r="R844">
        <f t="shared" si="1011"/>
        <v>-111286.79124570308</v>
      </c>
      <c r="S844">
        <f t="shared" si="1012"/>
        <v>-1.1128679124570309</v>
      </c>
      <c r="T844">
        <f t="shared" si="1013"/>
        <v>-1.112867912457031E-3</v>
      </c>
    </row>
    <row r="845" spans="1:20" x14ac:dyDescent="0.25">
      <c r="A845" s="5">
        <v>43748</v>
      </c>
      <c r="B845">
        <v>0.93540000000000001</v>
      </c>
      <c r="C845">
        <v>0.94779999999999998</v>
      </c>
      <c r="D845">
        <v>0.91110000000000002</v>
      </c>
      <c r="E845">
        <v>0.91400000000000003</v>
      </c>
      <c r="F845">
        <v>191529.09</v>
      </c>
      <c r="G845">
        <v>0</v>
      </c>
      <c r="L845" t="s">
        <v>8</v>
      </c>
      <c r="M845" t="s">
        <v>8</v>
      </c>
      <c r="N845" t="s">
        <v>8</v>
      </c>
      <c r="P845">
        <f t="shared" si="1009"/>
        <v>-0.84196185286103453</v>
      </c>
      <c r="Q845">
        <f t="shared" si="1010"/>
        <v>-161260.18749318784</v>
      </c>
      <c r="R845">
        <f t="shared" si="1011"/>
        <v>-199198.55023652903</v>
      </c>
      <c r="S845">
        <f t="shared" si="1012"/>
        <v>-1.9919855023652904</v>
      </c>
      <c r="T845">
        <f t="shared" si="1013"/>
        <v>-1.9919855023652904E-3</v>
      </c>
    </row>
    <row r="846" spans="1:20" x14ac:dyDescent="0.25">
      <c r="A846" s="5">
        <v>43747</v>
      </c>
      <c r="B846">
        <v>0.8972</v>
      </c>
      <c r="C846">
        <v>0.95909999999999995</v>
      </c>
      <c r="D846">
        <v>0.89</v>
      </c>
      <c r="E846">
        <v>0.93320000000000003</v>
      </c>
      <c r="F846">
        <v>375400.73</v>
      </c>
      <c r="G846">
        <v>0</v>
      </c>
      <c r="L846" t="s">
        <v>8</v>
      </c>
      <c r="M846" t="s">
        <v>8</v>
      </c>
      <c r="N846" t="s">
        <v>8</v>
      </c>
      <c r="P846">
        <f t="shared" si="1009"/>
        <v>0.25036179450072515</v>
      </c>
      <c r="Q846">
        <f t="shared" si="1010"/>
        <v>93986.000419682197</v>
      </c>
      <c r="R846">
        <f t="shared" si="1011"/>
        <v>-37938.362743341175</v>
      </c>
      <c r="S846">
        <f t="shared" si="1012"/>
        <v>-0.37938362743341175</v>
      </c>
      <c r="T846">
        <f t="shared" si="1013"/>
        <v>-3.7938362743341177E-4</v>
      </c>
    </row>
    <row r="847" spans="1:20" x14ac:dyDescent="0.25">
      <c r="A847" s="5">
        <v>43746</v>
      </c>
      <c r="B847">
        <v>0.89829999999999999</v>
      </c>
      <c r="C847">
        <v>0.91300000000000003</v>
      </c>
      <c r="D847">
        <v>0.88929999999999998</v>
      </c>
      <c r="E847">
        <v>0.8982</v>
      </c>
      <c r="F847">
        <v>162029.51999999999</v>
      </c>
      <c r="G847">
        <v>0</v>
      </c>
      <c r="L847" t="s">
        <v>8</v>
      </c>
      <c r="M847" t="s">
        <v>8</v>
      </c>
      <c r="N847" t="s">
        <v>8</v>
      </c>
      <c r="P847">
        <f t="shared" si="1009"/>
        <v>-0.24894514767932502</v>
      </c>
      <c r="Q847">
        <f t="shared" si="1010"/>
        <v>-40336.462784810145</v>
      </c>
      <c r="R847">
        <f t="shared" si="1011"/>
        <v>-131924.36316302337</v>
      </c>
      <c r="S847">
        <f t="shared" si="1012"/>
        <v>-1.3192436316302336</v>
      </c>
      <c r="T847">
        <f t="shared" si="1013"/>
        <v>-1.3192436316302337E-3</v>
      </c>
    </row>
    <row r="848" spans="1:20" x14ac:dyDescent="0.25">
      <c r="A848" s="5">
        <v>43745</v>
      </c>
      <c r="B848">
        <v>0.86299999999999999</v>
      </c>
      <c r="C848">
        <v>0.92379999999999995</v>
      </c>
      <c r="D848">
        <v>0.85029999999999994</v>
      </c>
      <c r="E848">
        <v>0.89829999999999999</v>
      </c>
      <c r="F848">
        <v>334799.55</v>
      </c>
      <c r="G848">
        <v>0</v>
      </c>
      <c r="L848" t="s">
        <v>7</v>
      </c>
      <c r="M848" t="s">
        <v>8</v>
      </c>
      <c r="N848" t="s">
        <v>8</v>
      </c>
      <c r="P848">
        <f t="shared" si="1009"/>
        <v>0.30612244897959284</v>
      </c>
      <c r="Q848">
        <f t="shared" si="1010"/>
        <v>102489.65816326565</v>
      </c>
      <c r="R848">
        <f t="shared" si="1011"/>
        <v>-91587.900378213235</v>
      </c>
      <c r="S848">
        <f t="shared" si="1012"/>
        <v>-0.91587900378213238</v>
      </c>
      <c r="T848">
        <f t="shared" si="1013"/>
        <v>-9.1587900378213235E-4</v>
      </c>
    </row>
    <row r="849" spans="1:20" x14ac:dyDescent="0.25">
      <c r="A849" s="5">
        <v>43744</v>
      </c>
      <c r="B849">
        <v>0.91139999999999999</v>
      </c>
      <c r="C849">
        <v>0.9133</v>
      </c>
      <c r="D849">
        <v>0.86</v>
      </c>
      <c r="E849">
        <v>0.86409999999999998</v>
      </c>
      <c r="F849">
        <v>237566.39</v>
      </c>
      <c r="G849">
        <v>0</v>
      </c>
      <c r="L849" t="s">
        <v>7</v>
      </c>
      <c r="M849" t="s">
        <v>8</v>
      </c>
      <c r="N849" t="s">
        <v>8</v>
      </c>
      <c r="P849">
        <f t="shared" si="1009"/>
        <v>-0.84615384615384648</v>
      </c>
      <c r="Q849">
        <f t="shared" si="1010"/>
        <v>-201017.7146153847</v>
      </c>
      <c r="R849">
        <f t="shared" si="1011"/>
        <v>-194077.55854147888</v>
      </c>
      <c r="S849">
        <f t="shared" si="1012"/>
        <v>-1.9407755854147888</v>
      </c>
      <c r="T849">
        <f t="shared" si="1013"/>
        <v>-1.9407755854147887E-3</v>
      </c>
    </row>
    <row r="850" spans="1:20" x14ac:dyDescent="0.25">
      <c r="A850" s="5">
        <v>43743</v>
      </c>
      <c r="B850">
        <v>0.91549999999999998</v>
      </c>
      <c r="C850">
        <v>0.91920000000000002</v>
      </c>
      <c r="D850">
        <v>0.89829999999999999</v>
      </c>
      <c r="E850">
        <v>0.90939999999999999</v>
      </c>
      <c r="F850">
        <v>93787.32</v>
      </c>
      <c r="G850">
        <v>0</v>
      </c>
      <c r="L850" t="s">
        <v>7</v>
      </c>
      <c r="M850" t="s">
        <v>8</v>
      </c>
      <c r="N850" t="s">
        <v>8</v>
      </c>
      <c r="P850">
        <f t="shared" si="1009"/>
        <v>6.2200956937797418E-2</v>
      </c>
      <c r="Q850">
        <f t="shared" si="1010"/>
        <v>5833.6610526314271</v>
      </c>
      <c r="R850">
        <f t="shared" si="1011"/>
        <v>6940.1560739058204</v>
      </c>
      <c r="S850">
        <f t="shared" si="1012"/>
        <v>6.9401560739058205E-2</v>
      </c>
      <c r="T850">
        <f t="shared" si="1013"/>
        <v>6.9401560739058209E-5</v>
      </c>
    </row>
    <row r="851" spans="1:20" x14ac:dyDescent="0.25">
      <c r="A851" s="5">
        <v>43742</v>
      </c>
      <c r="B851">
        <v>0.93059999999999998</v>
      </c>
      <c r="C851">
        <v>0.93059999999999998</v>
      </c>
      <c r="D851">
        <v>0.89670000000000005</v>
      </c>
      <c r="E851">
        <v>0.9194</v>
      </c>
      <c r="F851">
        <v>122336.97</v>
      </c>
      <c r="G851">
        <v>0</v>
      </c>
      <c r="L851" t="s">
        <v>7</v>
      </c>
      <c r="M851" t="s">
        <v>8</v>
      </c>
      <c r="N851" t="s">
        <v>8</v>
      </c>
      <c r="P851">
        <f t="shared" si="1009"/>
        <v>0.33923303834808194</v>
      </c>
      <c r="Q851">
        <f t="shared" si="1010"/>
        <v>41500.742035398151</v>
      </c>
      <c r="R851">
        <f t="shared" si="1011"/>
        <v>1106.4950212743934</v>
      </c>
      <c r="S851">
        <f t="shared" si="1012"/>
        <v>1.1064950212743934E-2</v>
      </c>
      <c r="T851">
        <f t="shared" si="1013"/>
        <v>1.1064950212743934E-5</v>
      </c>
    </row>
    <row r="852" spans="1:20" x14ac:dyDescent="0.25">
      <c r="A852" s="5">
        <v>43741</v>
      </c>
      <c r="B852">
        <v>0.94269999999999998</v>
      </c>
      <c r="C852">
        <v>0.9627</v>
      </c>
      <c r="D852">
        <v>0.90710000000000002</v>
      </c>
      <c r="E852">
        <v>0.92989999999999995</v>
      </c>
      <c r="F852">
        <v>218314.72</v>
      </c>
      <c r="G852">
        <v>0</v>
      </c>
      <c r="L852" t="s">
        <v>8</v>
      </c>
      <c r="M852" t="s">
        <v>8</v>
      </c>
      <c r="N852" t="s">
        <v>8</v>
      </c>
      <c r="P852">
        <f t="shared" si="1009"/>
        <v>-0.17985611510791588</v>
      </c>
      <c r="Q852">
        <f t="shared" si="1010"/>
        <v>-39265.237410072426</v>
      </c>
      <c r="R852">
        <f t="shared" si="1011"/>
        <v>-40394.247014123757</v>
      </c>
      <c r="S852">
        <f t="shared" si="1012"/>
        <v>-0.40394247014123758</v>
      </c>
      <c r="T852">
        <f t="shared" si="1013"/>
        <v>-4.0394247014123759E-4</v>
      </c>
    </row>
    <row r="853" spans="1:20" x14ac:dyDescent="0.25">
      <c r="A853" s="5">
        <v>43740</v>
      </c>
      <c r="B853">
        <v>0.94820000000000004</v>
      </c>
      <c r="C853">
        <v>0.94820000000000004</v>
      </c>
      <c r="D853">
        <v>0.88539999999999996</v>
      </c>
      <c r="E853">
        <v>0.94279999999999997</v>
      </c>
      <c r="F853">
        <v>244306.65</v>
      </c>
      <c r="G853">
        <v>0</v>
      </c>
      <c r="L853" t="s">
        <v>7</v>
      </c>
      <c r="M853" t="s">
        <v>8</v>
      </c>
      <c r="N853" t="s">
        <v>8</v>
      </c>
      <c r="P853">
        <f t="shared" si="1009"/>
        <v>0.8280254777070043</v>
      </c>
      <c r="Q853">
        <f t="shared" si="1010"/>
        <v>202292.13057324791</v>
      </c>
      <c r="R853">
        <f t="shared" si="1011"/>
        <v>-1129.0096040513308</v>
      </c>
      <c r="S853">
        <f t="shared" si="1012"/>
        <v>-1.1290096040513307E-2</v>
      </c>
      <c r="T853">
        <f t="shared" si="1013"/>
        <v>-1.1290096040513308E-5</v>
      </c>
    </row>
    <row r="854" spans="1:20" x14ac:dyDescent="0.25">
      <c r="A854" s="5">
        <v>43739</v>
      </c>
      <c r="B854">
        <v>0.90159999999999996</v>
      </c>
      <c r="C854">
        <v>0.99199999999999999</v>
      </c>
      <c r="D854">
        <v>0.89500000000000002</v>
      </c>
      <c r="E854">
        <v>0.95020000000000004</v>
      </c>
      <c r="F854">
        <v>279353.2</v>
      </c>
      <c r="G854">
        <v>0</v>
      </c>
      <c r="L854" t="s">
        <v>8</v>
      </c>
      <c r="M854" t="s">
        <v>8</v>
      </c>
      <c r="N854" t="s">
        <v>8</v>
      </c>
      <c r="P854">
        <f t="shared" si="1009"/>
        <v>0.13814432989690806</v>
      </c>
      <c r="Q854">
        <f t="shared" si="1010"/>
        <v>38591.060618556941</v>
      </c>
      <c r="R854">
        <f t="shared" si="1011"/>
        <v>-203421.14017729924</v>
      </c>
      <c r="S854">
        <f t="shared" si="1012"/>
        <v>-2.0342114017729922</v>
      </c>
      <c r="T854">
        <f t="shared" si="1013"/>
        <v>-2.0342114017729922E-3</v>
      </c>
    </row>
    <row r="855" spans="1:20" x14ac:dyDescent="0.25">
      <c r="A855" s="5">
        <v>43738</v>
      </c>
      <c r="B855">
        <v>0.87429999999999997</v>
      </c>
      <c r="C855">
        <v>0.91690000000000005</v>
      </c>
      <c r="D855">
        <v>0.84050000000000002</v>
      </c>
      <c r="E855">
        <v>0.90180000000000005</v>
      </c>
      <c r="F855">
        <v>295749.36</v>
      </c>
      <c r="G855">
        <v>0</v>
      </c>
      <c r="L855" t="s">
        <v>7</v>
      </c>
      <c r="M855" t="s">
        <v>7</v>
      </c>
      <c r="N855" t="s">
        <v>8</v>
      </c>
      <c r="P855">
        <f t="shared" si="1009"/>
        <v>0.60471204188481686</v>
      </c>
      <c r="Q855">
        <f t="shared" si="1010"/>
        <v>178843.19937172777</v>
      </c>
      <c r="R855">
        <f t="shared" si="1011"/>
        <v>-242012.20079585619</v>
      </c>
      <c r="S855">
        <f t="shared" si="1012"/>
        <v>-2.4201220079585619</v>
      </c>
      <c r="T855">
        <f t="shared" si="1013"/>
        <v>-2.420122007958562E-3</v>
      </c>
    </row>
    <row r="856" spans="1:20" x14ac:dyDescent="0.25">
      <c r="A856" s="5">
        <v>43737</v>
      </c>
      <c r="B856">
        <v>0.89659999999999995</v>
      </c>
      <c r="C856">
        <v>0.90580000000000005</v>
      </c>
      <c r="D856">
        <v>0.85650000000000004</v>
      </c>
      <c r="E856">
        <v>0.88170000000000004</v>
      </c>
      <c r="F856">
        <v>153810.51999999999</v>
      </c>
      <c r="G856">
        <v>0</v>
      </c>
      <c r="L856" t="s">
        <v>7</v>
      </c>
      <c r="M856" t="s">
        <v>7</v>
      </c>
      <c r="N856" t="s">
        <v>8</v>
      </c>
      <c r="P856">
        <f t="shared" si="1009"/>
        <v>2.2312373225151921E-2</v>
      </c>
      <c r="Q856">
        <f t="shared" si="1010"/>
        <v>3431.8777281946936</v>
      </c>
      <c r="R856">
        <f t="shared" si="1011"/>
        <v>-420855.40016758395</v>
      </c>
      <c r="S856">
        <f t="shared" si="1012"/>
        <v>-4.2085540016758394</v>
      </c>
      <c r="T856">
        <f t="shared" si="1013"/>
        <v>-4.2085540016758398E-3</v>
      </c>
    </row>
    <row r="857" spans="1:20" x14ac:dyDescent="0.25">
      <c r="A857" s="5">
        <v>43736</v>
      </c>
      <c r="B857">
        <v>0.88660000000000005</v>
      </c>
      <c r="C857">
        <v>0.94</v>
      </c>
      <c r="D857">
        <v>0.86050000000000004</v>
      </c>
      <c r="E857">
        <v>0.89019999999999999</v>
      </c>
      <c r="F857">
        <v>251804.6</v>
      </c>
      <c r="G857">
        <v>0</v>
      </c>
      <c r="L857" t="s">
        <v>8</v>
      </c>
      <c r="M857" t="s">
        <v>7</v>
      </c>
      <c r="N857" t="s">
        <v>8</v>
      </c>
      <c r="P857">
        <f t="shared" si="1009"/>
        <v>-0.25283018867924567</v>
      </c>
      <c r="Q857">
        <f t="shared" si="1010"/>
        <v>-63663.804528301989</v>
      </c>
      <c r="R857">
        <f t="shared" si="1011"/>
        <v>-424287.27789577865</v>
      </c>
      <c r="S857">
        <f t="shared" si="1012"/>
        <v>-4.2428727789577865</v>
      </c>
      <c r="T857">
        <f t="shared" si="1013"/>
        <v>-4.2428727789577863E-3</v>
      </c>
    </row>
    <row r="858" spans="1:20" x14ac:dyDescent="0.25">
      <c r="A858" s="5">
        <v>43735</v>
      </c>
      <c r="B858">
        <v>0.84509999999999996</v>
      </c>
      <c r="C858">
        <v>0.89790000000000003</v>
      </c>
      <c r="D858">
        <v>0.81</v>
      </c>
      <c r="E858">
        <v>0.88449999999999995</v>
      </c>
      <c r="F858">
        <v>257134.2</v>
      </c>
      <c r="G858">
        <v>0</v>
      </c>
      <c r="L858" t="s">
        <v>7</v>
      </c>
      <c r="M858" t="s">
        <v>7</v>
      </c>
      <c r="N858" t="s">
        <v>8</v>
      </c>
      <c r="P858">
        <f t="shared" si="1009"/>
        <v>0.69510807736063518</v>
      </c>
      <c r="Q858">
        <f t="shared" si="1010"/>
        <v>178736.05938566505</v>
      </c>
      <c r="R858">
        <f t="shared" si="1011"/>
        <v>-360623.47336747666</v>
      </c>
      <c r="S858">
        <f t="shared" si="1012"/>
        <v>-3.6062347336747664</v>
      </c>
      <c r="T858">
        <f t="shared" si="1013"/>
        <v>-3.6062347336747666E-3</v>
      </c>
    </row>
    <row r="859" spans="1:20" x14ac:dyDescent="0.25">
      <c r="A859" s="5">
        <v>43734</v>
      </c>
      <c r="B859">
        <v>0.85209999999999997</v>
      </c>
      <c r="C859">
        <v>0.90859999999999996</v>
      </c>
      <c r="D859">
        <v>0.81</v>
      </c>
      <c r="E859">
        <v>0.85029999999999994</v>
      </c>
      <c r="F859">
        <v>406060.51</v>
      </c>
      <c r="G859">
        <v>0</v>
      </c>
      <c r="L859" t="s">
        <v>8</v>
      </c>
      <c r="M859" t="s">
        <v>7</v>
      </c>
      <c r="N859" t="s">
        <v>8</v>
      </c>
      <c r="P859">
        <f t="shared" si="1009"/>
        <v>-0.18255578093306435</v>
      </c>
      <c r="Q859">
        <f t="shared" si="1010"/>
        <v>-74128.693509128381</v>
      </c>
      <c r="R859">
        <f t="shared" si="1011"/>
        <v>-539359.53275314171</v>
      </c>
      <c r="S859">
        <f t="shared" si="1012"/>
        <v>-5.3935953275314175</v>
      </c>
      <c r="T859">
        <f t="shared" si="1013"/>
        <v>-5.3935953275314171E-3</v>
      </c>
    </row>
    <row r="860" spans="1:20" x14ac:dyDescent="0.25">
      <c r="A860" s="5">
        <v>43733</v>
      </c>
      <c r="B860">
        <v>0.87109999999999999</v>
      </c>
      <c r="C860">
        <v>0.91220000000000001</v>
      </c>
      <c r="D860">
        <v>0.81010000000000004</v>
      </c>
      <c r="E860">
        <v>0.85170000000000001</v>
      </c>
      <c r="F860">
        <v>342967.31</v>
      </c>
      <c r="G860">
        <v>0</v>
      </c>
      <c r="L860" t="s">
        <v>7</v>
      </c>
      <c r="M860" t="s">
        <v>7</v>
      </c>
      <c r="N860" t="s">
        <v>8</v>
      </c>
      <c r="P860">
        <f t="shared" si="1009"/>
        <v>-0.18511263467189062</v>
      </c>
      <c r="Q860">
        <f t="shared" si="1010"/>
        <v>-63487.582360431057</v>
      </c>
      <c r="R860">
        <f t="shared" si="1011"/>
        <v>-465230.8392440133</v>
      </c>
      <c r="S860">
        <f t="shared" si="1012"/>
        <v>-4.6523083924401334</v>
      </c>
      <c r="T860">
        <f t="shared" si="1013"/>
        <v>-4.6523083924401333E-3</v>
      </c>
    </row>
    <row r="861" spans="1:20" x14ac:dyDescent="0.25">
      <c r="A861" s="5">
        <v>43732</v>
      </c>
      <c r="B861">
        <v>1.0149999999999999</v>
      </c>
      <c r="C861">
        <v>1.1100000000000001</v>
      </c>
      <c r="D861">
        <v>0.77500000000000002</v>
      </c>
      <c r="E861">
        <v>0.85970000000000002</v>
      </c>
      <c r="F861">
        <v>812705.26</v>
      </c>
      <c r="G861">
        <v>0</v>
      </c>
      <c r="P861">
        <f t="shared" si="1009"/>
        <v>-0.49432835820895538</v>
      </c>
      <c r="Q861">
        <f t="shared" si="1010"/>
        <v>-401743.25688358222</v>
      </c>
      <c r="R861">
        <f t="shared" si="1011"/>
        <v>-401743.25688358222</v>
      </c>
      <c r="S861">
        <f t="shared" si="1012"/>
        <v>-4.0174325688358223</v>
      </c>
      <c r="T861">
        <f t="shared" si="1013"/>
        <v>-4.0174325688358227E-3</v>
      </c>
    </row>
    <row r="862" spans="1:20" x14ac:dyDescent="0.25">
      <c r="A862" s="5"/>
      <c r="C862" s="4"/>
      <c r="D862" s="4"/>
    </row>
    <row r="863" spans="1:20" x14ac:dyDescent="0.25">
      <c r="A863" s="5"/>
      <c r="C863" s="4"/>
      <c r="D863" s="4"/>
    </row>
    <row r="864" spans="1:20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NR533" sqref="NR533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$A$532</v>
      </c>
      <c r="D111" s="1" t="str">
        <f>ADDRESS(C121-1,D121,1,1)</f>
        <v>$NR$532</v>
      </c>
      <c r="E111"/>
    </row>
    <row r="112" spans="1:5" x14ac:dyDescent="0.25">
      <c r="A112" s="7">
        <v>12164.144957890772</v>
      </c>
      <c r="C112" s="1" t="str">
        <f>ADDRESS(C121,1,1,1)</f>
        <v>$A$533</v>
      </c>
      <c r="D112" s="1" t="str">
        <f>ADDRESS(C121,D121-1,1,1)</f>
        <v>$NQ$533</v>
      </c>
      <c r="E112"/>
    </row>
    <row r="113" spans="1:5" x14ac:dyDescent="0.25">
      <c r="A113" s="7">
        <v>11925.63231165762</v>
      </c>
      <c r="C113" s="1" t="str">
        <f>ADDRESS(C121+1,1,1,1)</f>
        <v>$A$534</v>
      </c>
      <c r="D113" s="1" t="str">
        <f>ADDRESS(C121-1,D121+1,1,1)</f>
        <v>$NS$532</v>
      </c>
    </row>
    <row r="114" spans="1:5" x14ac:dyDescent="0.25">
      <c r="A114" s="7">
        <v>11691.796383978059</v>
      </c>
      <c r="C114" s="1" t="str">
        <f>ADDRESS(C121,D121,1,1)</f>
        <v>$NR$533</v>
      </c>
      <c r="D114" s="1" t="str">
        <f>ADDRESS(C121+1,D121+1,1,1)</f>
        <v>$NS$534</v>
      </c>
    </row>
    <row r="115" spans="1:5" x14ac:dyDescent="0.25">
      <c r="A115" s="7">
        <v>11462.545474488292</v>
      </c>
      <c r="C115" s="1" t="str">
        <f>ADDRESS(C121+1,D121,1,1)</f>
        <v>$NR$534</v>
      </c>
    </row>
    <row r="116" spans="1:5" x14ac:dyDescent="0.25">
      <c r="A116" s="7">
        <v>11237.789680870874</v>
      </c>
      <c r="C116" s="1">
        <f>C117-1</f>
        <v>532</v>
      </c>
    </row>
    <row r="117" spans="1:5" x14ac:dyDescent="0.25">
      <c r="A117" s="7">
        <v>11017.440863598895</v>
      </c>
      <c r="C117" s="1">
        <f>C121</f>
        <v>533</v>
      </c>
      <c r="D117" s="1">
        <f>D121</f>
        <v>382</v>
      </c>
    </row>
    <row r="118" spans="1:5" x14ac:dyDescent="0.25">
      <c r="A118" s="7">
        <v>10801.412611371465</v>
      </c>
      <c r="C118" s="1">
        <f>C117+1</f>
        <v>534</v>
      </c>
      <c r="D118" s="1">
        <f>D117+1</f>
        <v>383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533</v>
      </c>
      <c r="D121" s="19">
        <v>382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R533</v>
      </c>
      <c r="D123" s="1" t="str">
        <f>"C"&amp;D121</f>
        <v>C382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2.9134614441402875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330" x14ac:dyDescent="0.25">
      <c r="A465" s="7">
        <v>11.200075620783522</v>
      </c>
      <c r="B465"/>
      <c r="C465"/>
      <c r="D465"/>
      <c r="E465"/>
    </row>
    <row r="466" spans="1:330" x14ac:dyDescent="0.25">
      <c r="A466" s="7">
        <v>10.980466294885806</v>
      </c>
      <c r="B466"/>
      <c r="C466"/>
      <c r="D466"/>
      <c r="E466"/>
    </row>
    <row r="467" spans="1:330" x14ac:dyDescent="0.25">
      <c r="A467" s="7">
        <v>10.765163034201771</v>
      </c>
      <c r="B467"/>
      <c r="C467"/>
      <c r="D467"/>
      <c r="E467"/>
    </row>
    <row r="468" spans="1:330" x14ac:dyDescent="0.25">
      <c r="A468" s="7">
        <v>10.554081406080169</v>
      </c>
      <c r="B468"/>
      <c r="C468"/>
      <c r="D468"/>
      <c r="E468"/>
    </row>
    <row r="469" spans="1:330" x14ac:dyDescent="0.25">
      <c r="A469" s="7">
        <v>10.34713863341193</v>
      </c>
      <c r="B469"/>
      <c r="C469"/>
      <c r="D469"/>
      <c r="E469"/>
    </row>
    <row r="470" spans="1:330" x14ac:dyDescent="0.25">
      <c r="A470" s="7">
        <v>10.14425356216856</v>
      </c>
      <c r="B470"/>
      <c r="C470"/>
      <c r="D470"/>
      <c r="E470"/>
    </row>
    <row r="471" spans="1:330" x14ac:dyDescent="0.25">
      <c r="A471" s="7">
        <v>9.9453466295770188</v>
      </c>
      <c r="B471"/>
      <c r="C471"/>
      <c r="D471"/>
      <c r="E471"/>
    </row>
    <row r="472" spans="1:330" x14ac:dyDescent="0.25">
      <c r="A472" s="7">
        <v>9.7503398329186464</v>
      </c>
      <c r="B472"/>
      <c r="C472"/>
      <c r="D472"/>
      <c r="E472"/>
    </row>
    <row r="473" spans="1:330" x14ac:dyDescent="0.25">
      <c r="A473" s="7">
        <v>9.5591566989398498</v>
      </c>
      <c r="B473"/>
      <c r="C473"/>
      <c r="D473"/>
      <c r="E473"/>
    </row>
    <row r="474" spans="1:330" x14ac:dyDescent="0.25">
      <c r="A474" s="7">
        <v>9.3717222538625968</v>
      </c>
      <c r="B474"/>
      <c r="C474"/>
      <c r="D474"/>
      <c r="E474"/>
    </row>
    <row r="475" spans="1:330" x14ac:dyDescent="0.25">
      <c r="A475" s="7">
        <v>9.1879629939829375</v>
      </c>
      <c r="B475"/>
      <c r="C475"/>
      <c r="D475"/>
      <c r="E475"/>
    </row>
    <row r="476" spans="1:330" x14ac:dyDescent="0.25">
      <c r="A476" s="7">
        <v>9.0078068568460168</v>
      </c>
      <c r="B476"/>
      <c r="C476"/>
      <c r="D476"/>
      <c r="E476"/>
      <c r="LQ476" s="27" t="s">
        <v>8</v>
      </c>
    </row>
    <row r="477" spans="1:330" x14ac:dyDescent="0.25">
      <c r="A477" s="7">
        <v>8.8311831929862912</v>
      </c>
      <c r="B477"/>
      <c r="C477"/>
      <c r="D477"/>
      <c r="E477"/>
      <c r="LQ477" s="27" t="s">
        <v>8</v>
      </c>
      <c r="LR477" s="27" t="s">
        <v>7</v>
      </c>
    </row>
    <row r="478" spans="1:330" x14ac:dyDescent="0.25">
      <c r="A478" s="7">
        <v>8.6580227382218542</v>
      </c>
      <c r="B478"/>
      <c r="C478"/>
      <c r="D478"/>
      <c r="E478"/>
      <c r="LQ478" s="27" t="s">
        <v>8</v>
      </c>
      <c r="LR478" s="27" t="s">
        <v>7</v>
      </c>
    </row>
    <row r="479" spans="1:330" x14ac:dyDescent="0.25">
      <c r="A479" s="7">
        <v>8.4882575864920131</v>
      </c>
      <c r="B479"/>
      <c r="C479"/>
      <c r="D479"/>
      <c r="E479"/>
      <c r="LQ479" s="27" t="s">
        <v>8</v>
      </c>
      <c r="LR479" s="27" t="s">
        <v>7</v>
      </c>
    </row>
    <row r="480" spans="1:330" x14ac:dyDescent="0.25">
      <c r="A480" s="7">
        <v>8.3218211632274635</v>
      </c>
      <c r="B480"/>
      <c r="C480"/>
      <c r="D480"/>
      <c r="E480"/>
      <c r="JG480" s="27" t="s">
        <v>8</v>
      </c>
      <c r="LQ480" s="27" t="s">
        <v>8</v>
      </c>
      <c r="LR480" s="27" t="s">
        <v>7</v>
      </c>
    </row>
    <row r="481" spans="1:356" x14ac:dyDescent="0.25">
      <c r="A481" s="7">
        <v>8.1586481992426112</v>
      </c>
      <c r="B481"/>
      <c r="C481"/>
      <c r="D481"/>
      <c r="E481"/>
      <c r="JG481" s="27" t="s">
        <v>8</v>
      </c>
      <c r="JH481" s="27" t="s">
        <v>7</v>
      </c>
      <c r="LQ481" s="27" t="s">
        <v>8</v>
      </c>
      <c r="LR481" s="27" t="s">
        <v>7</v>
      </c>
    </row>
    <row r="482" spans="1:356" x14ac:dyDescent="0.25">
      <c r="A482" s="7">
        <v>7.9986747051398144</v>
      </c>
      <c r="B482"/>
      <c r="C482"/>
      <c r="D482"/>
      <c r="E482"/>
      <c r="JG482" s="27" t="s">
        <v>8</v>
      </c>
      <c r="JH482" s="27" t="s">
        <v>7</v>
      </c>
      <c r="LK482" s="27" t="s">
        <v>8</v>
      </c>
      <c r="LQ482" s="27" t="s">
        <v>8</v>
      </c>
      <c r="LR482" s="27" t="s">
        <v>7</v>
      </c>
      <c r="LS482" s="27" t="s">
        <v>8</v>
      </c>
    </row>
    <row r="483" spans="1:356" x14ac:dyDescent="0.25">
      <c r="A483" s="7">
        <v>7.8418379462155041</v>
      </c>
      <c r="B483"/>
      <c r="C483"/>
      <c r="D483"/>
      <c r="E483"/>
      <c r="JG483" s="27" t="s">
        <v>8</v>
      </c>
      <c r="JH483" s="27" t="s">
        <v>7</v>
      </c>
      <c r="LK483" s="27" t="s">
        <v>8</v>
      </c>
      <c r="LL483" s="27" t="s">
        <v>7</v>
      </c>
      <c r="LQ483" s="27" t="s">
        <v>8</v>
      </c>
      <c r="LR483" s="27" t="s">
        <v>7</v>
      </c>
      <c r="LS483" s="27" t="s">
        <v>8</v>
      </c>
      <c r="LT483" s="27" t="s">
        <v>7</v>
      </c>
    </row>
    <row r="484" spans="1:356" x14ac:dyDescent="0.25">
      <c r="A484" s="7">
        <v>7.688076417858337</v>
      </c>
      <c r="B484"/>
      <c r="C484"/>
      <c r="D484"/>
      <c r="E484"/>
      <c r="JG484" s="27" t="s">
        <v>8</v>
      </c>
      <c r="JH484" s="27" t="s">
        <v>7</v>
      </c>
      <c r="LK484" s="27" t="s">
        <v>8</v>
      </c>
      <c r="LL484" s="27" t="s">
        <v>7</v>
      </c>
      <c r="LQ484" s="27" t="s">
        <v>8</v>
      </c>
      <c r="LR484" s="27" t="s">
        <v>7</v>
      </c>
      <c r="LS484" s="27" t="s">
        <v>8</v>
      </c>
      <c r="LT484" s="27" t="s">
        <v>7</v>
      </c>
    </row>
    <row r="485" spans="1:356" x14ac:dyDescent="0.25">
      <c r="A485" s="7">
        <v>7.5373298214297417</v>
      </c>
      <c r="B485"/>
      <c r="C485"/>
      <c r="D485"/>
      <c r="E485"/>
      <c r="IS485" s="27" t="s">
        <v>8</v>
      </c>
      <c r="JG485" s="27" t="s">
        <v>8</v>
      </c>
      <c r="JH485" s="27" t="s">
        <v>7</v>
      </c>
      <c r="LK485" s="27" t="s">
        <v>8</v>
      </c>
      <c r="LL485" s="27" t="s">
        <v>7</v>
      </c>
      <c r="LQ485" s="27" t="s">
        <v>8</v>
      </c>
      <c r="LR485" s="27" t="s">
        <v>7</v>
      </c>
      <c r="LS485" s="27" t="s">
        <v>8</v>
      </c>
      <c r="LT485" s="27" t="s">
        <v>7</v>
      </c>
    </row>
    <row r="486" spans="1:356" x14ac:dyDescent="0.25">
      <c r="A486" s="7">
        <v>7.389539040617394</v>
      </c>
      <c r="B486"/>
      <c r="C486"/>
      <c r="D486"/>
      <c r="E486"/>
      <c r="IS486" s="27" t="s">
        <v>8</v>
      </c>
      <c r="IT486" s="27" t="s">
        <v>7</v>
      </c>
      <c r="JG486" s="27" t="s">
        <v>8</v>
      </c>
      <c r="JH486" s="27" t="s">
        <v>7</v>
      </c>
      <c r="LK486" s="27" t="s">
        <v>8</v>
      </c>
      <c r="LL486" s="27" t="s">
        <v>7</v>
      </c>
      <c r="LO486" s="27" t="s">
        <v>8</v>
      </c>
      <c r="LQ486" s="27" t="s">
        <v>8</v>
      </c>
      <c r="LR486" s="27" t="s">
        <v>7</v>
      </c>
      <c r="LS486" s="27" t="s">
        <v>8</v>
      </c>
      <c r="LT486" s="27" t="s">
        <v>7</v>
      </c>
      <c r="LU486" s="27" t="s">
        <v>8</v>
      </c>
    </row>
    <row r="487" spans="1:356" x14ac:dyDescent="0.25">
      <c r="A487" s="7">
        <v>7.2446461182523469</v>
      </c>
      <c r="B487"/>
      <c r="C487"/>
      <c r="D487"/>
      <c r="E487"/>
      <c r="IS487" s="27" t="s">
        <v>8</v>
      </c>
      <c r="IT487" s="27" t="s">
        <v>7</v>
      </c>
      <c r="JG487" s="27" t="s">
        <v>8</v>
      </c>
      <c r="JH487" s="27" t="s">
        <v>7</v>
      </c>
      <c r="JI487" s="27" t="s">
        <v>8</v>
      </c>
      <c r="LK487" s="27" t="s">
        <v>8</v>
      </c>
      <c r="LL487" s="27" t="s">
        <v>7</v>
      </c>
      <c r="LO487" s="27" t="s">
        <v>8</v>
      </c>
      <c r="LP487" s="27" t="s">
        <v>7</v>
      </c>
      <c r="LQ487" s="27" t="s">
        <v>8</v>
      </c>
      <c r="LR487" s="27" t="s">
        <v>7</v>
      </c>
      <c r="LT487" s="27" t="s">
        <v>7</v>
      </c>
      <c r="LU487" s="27" t="s">
        <v>8</v>
      </c>
      <c r="LV487" s="27" t="s">
        <v>7</v>
      </c>
    </row>
    <row r="488" spans="1:356" x14ac:dyDescent="0.25">
      <c r="A488" s="7">
        <v>7.1025942335807324</v>
      </c>
      <c r="B488"/>
      <c r="C488"/>
      <c r="D488"/>
      <c r="E488"/>
      <c r="IQ488" s="27" t="s">
        <v>8</v>
      </c>
      <c r="IS488" s="27" t="s">
        <v>8</v>
      </c>
      <c r="IT488" s="27" t="s">
        <v>7</v>
      </c>
      <c r="JG488" s="27" t="s">
        <v>8</v>
      </c>
      <c r="JH488" s="27" t="s">
        <v>7</v>
      </c>
      <c r="JI488" s="27" t="s">
        <v>8</v>
      </c>
      <c r="JJ488" s="27" t="s">
        <v>7</v>
      </c>
      <c r="LK488" s="27" t="s">
        <v>8</v>
      </c>
      <c r="LL488" s="27" t="s">
        <v>7</v>
      </c>
      <c r="LO488" s="27" t="s">
        <v>8</v>
      </c>
      <c r="LP488" s="27" t="s">
        <v>7</v>
      </c>
      <c r="LQ488" s="27" t="s">
        <v>8</v>
      </c>
      <c r="LT488" s="27" t="s">
        <v>7</v>
      </c>
      <c r="LU488" s="27" t="s">
        <v>8</v>
      </c>
      <c r="LV488" s="27" t="s">
        <v>7</v>
      </c>
      <c r="LW488" s="27" t="s">
        <v>8</v>
      </c>
      <c r="LY488" s="27" t="s">
        <v>8</v>
      </c>
    </row>
    <row r="489" spans="1:356" x14ac:dyDescent="0.25">
      <c r="A489" s="7">
        <v>6.9633276799811101</v>
      </c>
      <c r="B489"/>
      <c r="C489"/>
      <c r="D489"/>
      <c r="E489"/>
      <c r="IQ489" s="27" t="s">
        <v>8</v>
      </c>
      <c r="IR489" s="27" t="s">
        <v>7</v>
      </c>
      <c r="IS489" s="27" t="s">
        <v>8</v>
      </c>
      <c r="IT489" s="27" t="s">
        <v>7</v>
      </c>
      <c r="JG489" s="27" t="s">
        <v>8</v>
      </c>
      <c r="JH489" s="27" t="s">
        <v>7</v>
      </c>
      <c r="JI489" s="27" t="s">
        <v>8</v>
      </c>
      <c r="JJ489" s="27" t="s">
        <v>7</v>
      </c>
      <c r="LK489" s="27" t="s">
        <v>8</v>
      </c>
      <c r="LL489" s="27" t="s">
        <v>7</v>
      </c>
      <c r="LO489" s="27" t="s">
        <v>8</v>
      </c>
      <c r="LP489" s="27" t="s">
        <v>7</v>
      </c>
      <c r="LQ489" s="27" t="s">
        <v>8</v>
      </c>
      <c r="LT489" s="27" t="s">
        <v>7</v>
      </c>
      <c r="LU489" s="27" t="s">
        <v>8</v>
      </c>
      <c r="LV489" s="27" t="s">
        <v>7</v>
      </c>
      <c r="LW489" s="27" t="s">
        <v>8</v>
      </c>
      <c r="LX489" s="27" t="s">
        <v>7</v>
      </c>
      <c r="LY489" s="27" t="s">
        <v>8</v>
      </c>
      <c r="LZ489" s="27" t="s">
        <v>7</v>
      </c>
    </row>
    <row r="490" spans="1:356" x14ac:dyDescent="0.25">
      <c r="A490" s="7">
        <v>6.8267918431187349</v>
      </c>
      <c r="B490"/>
      <c r="C490"/>
      <c r="D490"/>
      <c r="E490"/>
      <c r="IQ490" s="27" t="s">
        <v>8</v>
      </c>
      <c r="IR490" s="27" t="s">
        <v>7</v>
      </c>
      <c r="IS490" s="27" t="s">
        <v>8</v>
      </c>
      <c r="IT490" s="27" t="s">
        <v>7</v>
      </c>
      <c r="JG490" s="27" t="s">
        <v>8</v>
      </c>
      <c r="JH490" s="27" t="s">
        <v>7</v>
      </c>
      <c r="JI490" s="27" t="s">
        <v>8</v>
      </c>
      <c r="JJ490" s="27" t="s">
        <v>7</v>
      </c>
      <c r="LI490" s="27" t="s">
        <v>8</v>
      </c>
      <c r="LK490" s="27" t="s">
        <v>8</v>
      </c>
      <c r="LL490" s="27" t="s">
        <v>7</v>
      </c>
      <c r="LM490" s="27" t="s">
        <v>8</v>
      </c>
      <c r="LO490" s="27" t="s">
        <v>8</v>
      </c>
      <c r="LP490" s="27" t="s">
        <v>7</v>
      </c>
      <c r="LQ490" s="27" t="s">
        <v>8</v>
      </c>
      <c r="LT490" s="27" t="s">
        <v>7</v>
      </c>
      <c r="LU490" s="27" t="s">
        <v>8</v>
      </c>
      <c r="LV490" s="27" t="s">
        <v>7</v>
      </c>
      <c r="LW490" s="27" t="s">
        <v>8</v>
      </c>
      <c r="LX490" s="27" t="s">
        <v>7</v>
      </c>
      <c r="LY490" s="27" t="s">
        <v>8</v>
      </c>
      <c r="LZ490" s="27" t="s">
        <v>7</v>
      </c>
      <c r="MC490" s="27" t="s">
        <v>8</v>
      </c>
    </row>
    <row r="491" spans="1:356" x14ac:dyDescent="0.25">
      <c r="A491" s="7">
        <v>6.692933179528171</v>
      </c>
      <c r="B491"/>
      <c r="C491"/>
      <c r="D491"/>
      <c r="E491"/>
      <c r="IO491" s="27" t="s">
        <v>8</v>
      </c>
      <c r="IQ491" s="27" t="s">
        <v>8</v>
      </c>
      <c r="IR491" s="27" t="s">
        <v>7</v>
      </c>
      <c r="IS491" s="27" t="s">
        <v>8</v>
      </c>
      <c r="IT491" s="27" t="s">
        <v>7</v>
      </c>
      <c r="JG491" s="27" t="s">
        <v>8</v>
      </c>
      <c r="JH491" s="27" t="s">
        <v>7</v>
      </c>
      <c r="JI491" s="27" t="s">
        <v>8</v>
      </c>
      <c r="JJ491" s="27" t="s">
        <v>7</v>
      </c>
      <c r="LI491" s="27" t="s">
        <v>8</v>
      </c>
      <c r="LJ491" s="27" t="s">
        <v>7</v>
      </c>
      <c r="LK491" s="27" t="s">
        <v>8</v>
      </c>
      <c r="LL491" s="27" t="s">
        <v>7</v>
      </c>
      <c r="LM491" s="27" t="s">
        <v>8</v>
      </c>
      <c r="LN491" s="27" t="s">
        <v>7</v>
      </c>
      <c r="LO491" s="27" t="s">
        <v>8</v>
      </c>
      <c r="LP491" s="27" t="s">
        <v>7</v>
      </c>
      <c r="LQ491" s="27" t="s">
        <v>8</v>
      </c>
      <c r="LT491" s="27" t="s">
        <v>7</v>
      </c>
      <c r="LV491" s="27" t="s">
        <v>7</v>
      </c>
      <c r="LW491" s="27" t="s">
        <v>8</v>
      </c>
      <c r="LX491" s="27" t="s">
        <v>7</v>
      </c>
      <c r="LY491" s="27" t="s">
        <v>8</v>
      </c>
      <c r="LZ491" s="27" t="s">
        <v>7</v>
      </c>
      <c r="MA491" s="27" t="s">
        <v>8</v>
      </c>
      <c r="MC491" s="27" t="s">
        <v>8</v>
      </c>
      <c r="MD491" s="27" t="s">
        <v>7</v>
      </c>
    </row>
    <row r="492" spans="1:356" x14ac:dyDescent="0.25">
      <c r="A492" s="7">
        <v>6.5616991956158541</v>
      </c>
      <c r="B492"/>
      <c r="C492"/>
      <c r="D492"/>
      <c r="E492"/>
      <c r="IO492" s="27" t="s">
        <v>8</v>
      </c>
      <c r="IP492" s="27" t="s">
        <v>7</v>
      </c>
      <c r="IQ492" s="27" t="s">
        <v>8</v>
      </c>
      <c r="IR492" s="27" t="s">
        <v>7</v>
      </c>
      <c r="IS492" s="27" t="s">
        <v>8</v>
      </c>
      <c r="IT492" s="27" t="s">
        <v>7</v>
      </c>
      <c r="JG492" s="27" t="s">
        <v>8</v>
      </c>
      <c r="JH492" s="27" t="s">
        <v>7</v>
      </c>
      <c r="JI492" s="27" t="s">
        <v>8</v>
      </c>
      <c r="JJ492" s="27" t="s">
        <v>7</v>
      </c>
      <c r="LI492" s="27" t="s">
        <v>8</v>
      </c>
      <c r="LJ492" s="27" t="s">
        <v>7</v>
      </c>
      <c r="LK492" s="27" t="s">
        <v>8</v>
      </c>
      <c r="LL492" s="27" t="s">
        <v>7</v>
      </c>
      <c r="LM492" s="27" t="s">
        <v>8</v>
      </c>
      <c r="LN492" s="27" t="s">
        <v>7</v>
      </c>
      <c r="LO492" s="27" t="s">
        <v>8</v>
      </c>
      <c r="LP492" s="27" t="s">
        <v>7</v>
      </c>
      <c r="LQ492" s="27" t="s">
        <v>8</v>
      </c>
      <c r="LV492" s="27" t="s">
        <v>7</v>
      </c>
      <c r="LW492" s="27" t="s">
        <v>8</v>
      </c>
      <c r="LX492" s="27" t="s">
        <v>7</v>
      </c>
      <c r="LY492" s="27" t="s">
        <v>8</v>
      </c>
      <c r="LZ492" s="27" t="s">
        <v>7</v>
      </c>
      <c r="MA492" s="27" t="s">
        <v>8</v>
      </c>
      <c r="MB492" s="27" t="s">
        <v>7</v>
      </c>
      <c r="MC492" s="27" t="s">
        <v>8</v>
      </c>
      <c r="MD492" s="27" t="s">
        <v>7</v>
      </c>
    </row>
    <row r="493" spans="1:356" x14ac:dyDescent="0.25">
      <c r="A493" s="7">
        <v>6.4330384270743668</v>
      </c>
      <c r="B493"/>
      <c r="C493"/>
      <c r="D493"/>
      <c r="E493"/>
      <c r="IO493" s="27" t="s">
        <v>8</v>
      </c>
      <c r="IP493" s="27" t="s">
        <v>7</v>
      </c>
      <c r="IQ493" s="27" t="s">
        <v>8</v>
      </c>
      <c r="IR493" s="27" t="s">
        <v>7</v>
      </c>
      <c r="IS493" s="27" t="s">
        <v>8</v>
      </c>
      <c r="IT493" s="27" t="s">
        <v>7</v>
      </c>
      <c r="JG493" s="27" t="s">
        <v>8</v>
      </c>
      <c r="JH493" s="27" t="s">
        <v>7</v>
      </c>
      <c r="JI493" s="27" t="s">
        <v>8</v>
      </c>
      <c r="JJ493" s="27" t="s">
        <v>7</v>
      </c>
      <c r="JK493" s="27" t="s">
        <v>8</v>
      </c>
      <c r="LI493" s="27" t="s">
        <v>8</v>
      </c>
      <c r="LJ493" s="27" t="s">
        <v>7</v>
      </c>
      <c r="LK493" s="27" t="s">
        <v>8</v>
      </c>
      <c r="LL493" s="27" t="s">
        <v>7</v>
      </c>
      <c r="LM493" s="27" t="s">
        <v>8</v>
      </c>
      <c r="LN493" s="27" t="s">
        <v>7</v>
      </c>
      <c r="LO493" s="27" t="s">
        <v>8</v>
      </c>
      <c r="LP493" s="27" t="s">
        <v>7</v>
      </c>
      <c r="LQ493" s="27" t="s">
        <v>8</v>
      </c>
      <c r="LV493" s="27" t="s">
        <v>7</v>
      </c>
      <c r="LX493" s="27" t="s">
        <v>7</v>
      </c>
      <c r="LY493" s="27" t="s">
        <v>8</v>
      </c>
      <c r="LZ493" s="27" t="s">
        <v>7</v>
      </c>
      <c r="MA493" s="27" t="s">
        <v>8</v>
      </c>
      <c r="MB493" s="27" t="s">
        <v>7</v>
      </c>
      <c r="MC493" s="27" t="s">
        <v>8</v>
      </c>
      <c r="MD493" s="27" t="s">
        <v>7</v>
      </c>
    </row>
    <row r="494" spans="1:356" x14ac:dyDescent="0.25">
      <c r="A494" s="7">
        <v>6.3069004187003594</v>
      </c>
      <c r="B494"/>
      <c r="C494"/>
      <c r="D494"/>
      <c r="E494"/>
      <c r="IO494" s="27" t="s">
        <v>8</v>
      </c>
      <c r="IP494" s="27" t="s">
        <v>7</v>
      </c>
      <c r="IQ494" s="27" t="s">
        <v>8</v>
      </c>
      <c r="IR494" s="27" t="s">
        <v>7</v>
      </c>
      <c r="IS494" s="27" t="s">
        <v>8</v>
      </c>
      <c r="IT494" s="27" t="s">
        <v>7</v>
      </c>
      <c r="IU494" s="27" t="s">
        <v>8</v>
      </c>
      <c r="JG494" s="27" t="s">
        <v>8</v>
      </c>
      <c r="JH494" s="27" t="s">
        <v>7</v>
      </c>
      <c r="JI494" s="27" t="s">
        <v>8</v>
      </c>
      <c r="JJ494" s="27" t="s">
        <v>7</v>
      </c>
      <c r="JK494" s="27" t="s">
        <v>8</v>
      </c>
      <c r="JL494" s="27" t="s">
        <v>7</v>
      </c>
      <c r="LI494" s="27" t="s">
        <v>8</v>
      </c>
      <c r="LJ494" s="27" t="s">
        <v>7</v>
      </c>
      <c r="LK494" s="27" t="s">
        <v>8</v>
      </c>
      <c r="LL494" s="27" t="s">
        <v>7</v>
      </c>
      <c r="LM494" s="27" t="s">
        <v>8</v>
      </c>
      <c r="LN494" s="27" t="s">
        <v>7</v>
      </c>
      <c r="LO494" s="27" t="s">
        <v>8</v>
      </c>
      <c r="LP494" s="27" t="s">
        <v>7</v>
      </c>
      <c r="LQ494" s="27" t="s">
        <v>8</v>
      </c>
      <c r="LX494" s="27" t="s">
        <v>7</v>
      </c>
      <c r="LZ494" s="27" t="s">
        <v>7</v>
      </c>
      <c r="MA494" s="27" t="s">
        <v>8</v>
      </c>
      <c r="MB494" s="27" t="s">
        <v>7</v>
      </c>
      <c r="MC494" s="27" t="s">
        <v>8</v>
      </c>
      <c r="MD494" s="27" t="s">
        <v>7</v>
      </c>
    </row>
    <row r="495" spans="1:356" x14ac:dyDescent="0.25">
      <c r="A495" s="7">
        <v>6.1832357046081956</v>
      </c>
      <c r="B495"/>
      <c r="C495"/>
      <c r="D495"/>
      <c r="E495"/>
      <c r="IO495" s="27" t="s">
        <v>8</v>
      </c>
      <c r="IP495" s="27" t="s">
        <v>7</v>
      </c>
      <c r="IQ495" s="27" t="s">
        <v>8</v>
      </c>
      <c r="IR495" s="27" t="s">
        <v>7</v>
      </c>
      <c r="IT495" s="27" t="s">
        <v>7</v>
      </c>
      <c r="IU495" s="27" t="s">
        <v>8</v>
      </c>
      <c r="IV495" s="27" t="s">
        <v>7</v>
      </c>
      <c r="JG495" s="27" t="s">
        <v>8</v>
      </c>
      <c r="JH495" s="27" t="s">
        <v>7</v>
      </c>
      <c r="JI495" s="27" t="s">
        <v>8</v>
      </c>
      <c r="JJ495" s="27" t="s">
        <v>7</v>
      </c>
      <c r="JK495" s="27" t="s">
        <v>8</v>
      </c>
      <c r="JL495" s="27" t="s">
        <v>7</v>
      </c>
      <c r="LI495" s="27" t="s">
        <v>8</v>
      </c>
      <c r="LJ495" s="27" t="s">
        <v>7</v>
      </c>
      <c r="LK495" s="27" t="s">
        <v>8</v>
      </c>
      <c r="LL495" s="27" t="s">
        <v>7</v>
      </c>
      <c r="LM495" s="27" t="s">
        <v>8</v>
      </c>
      <c r="LN495" s="27" t="s">
        <v>7</v>
      </c>
      <c r="LO495" s="27" t="s">
        <v>8</v>
      </c>
      <c r="LP495" s="27" t="s">
        <v>7</v>
      </c>
      <c r="LQ495" s="27" t="s">
        <v>8</v>
      </c>
      <c r="LZ495" s="27" t="s">
        <v>7</v>
      </c>
      <c r="MA495" s="27" t="s">
        <v>8</v>
      </c>
      <c r="MB495" s="27" t="s">
        <v>7</v>
      </c>
      <c r="MC495" s="27" t="s">
        <v>8</v>
      </c>
      <c r="MD495" s="27" t="s">
        <v>7</v>
      </c>
      <c r="MQ495" s="27" t="s">
        <v>8</v>
      </c>
    </row>
    <row r="496" spans="1:356" x14ac:dyDescent="0.25">
      <c r="A496" s="7">
        <v>6.0619957888315641</v>
      </c>
      <c r="B496"/>
      <c r="C496"/>
      <c r="D496"/>
      <c r="E496"/>
      <c r="IO496" s="27" t="s">
        <v>8</v>
      </c>
      <c r="IP496" s="27" t="s">
        <v>7</v>
      </c>
      <c r="IQ496" s="27" t="s">
        <v>8</v>
      </c>
      <c r="IT496" s="27" t="s">
        <v>7</v>
      </c>
      <c r="IU496" s="27" t="s">
        <v>8</v>
      </c>
      <c r="IV496" s="27" t="s">
        <v>7</v>
      </c>
      <c r="JE496" s="27" t="s">
        <v>8</v>
      </c>
      <c r="JG496" s="27" t="s">
        <v>8</v>
      </c>
      <c r="JH496" s="27" t="s">
        <v>7</v>
      </c>
      <c r="JI496" s="27" t="s">
        <v>8</v>
      </c>
      <c r="JJ496" s="27" t="s">
        <v>7</v>
      </c>
      <c r="JK496" s="27" t="s">
        <v>8</v>
      </c>
      <c r="JL496" s="27" t="s">
        <v>7</v>
      </c>
      <c r="LC496" s="27" t="s">
        <v>8</v>
      </c>
      <c r="LI496" s="27" t="s">
        <v>8</v>
      </c>
      <c r="LJ496" s="27" t="s">
        <v>7</v>
      </c>
      <c r="LK496" s="27" t="s">
        <v>8</v>
      </c>
      <c r="LL496" s="27" t="s">
        <v>7</v>
      </c>
      <c r="LM496" s="27" t="s">
        <v>8</v>
      </c>
      <c r="LN496" s="27" t="s">
        <v>7</v>
      </c>
      <c r="LO496" s="27" t="s">
        <v>8</v>
      </c>
      <c r="LP496" s="27" t="s">
        <v>7</v>
      </c>
      <c r="LQ496" s="27" t="s">
        <v>8</v>
      </c>
      <c r="LZ496" s="27" t="s">
        <v>7</v>
      </c>
      <c r="MA496" s="27" t="s">
        <v>8</v>
      </c>
      <c r="MB496" s="27" t="s">
        <v>7</v>
      </c>
      <c r="MC496" s="27" t="s">
        <v>8</v>
      </c>
      <c r="MD496" s="27" t="s">
        <v>7</v>
      </c>
      <c r="MG496" s="27" t="s">
        <v>8</v>
      </c>
      <c r="MQ496" s="27" t="s">
        <v>8</v>
      </c>
      <c r="MR496" s="27" t="s">
        <v>7</v>
      </c>
    </row>
    <row r="497" spans="1:375" x14ac:dyDescent="0.25">
      <c r="A497" s="7">
        <v>5.9431331263054545</v>
      </c>
      <c r="B497"/>
      <c r="C497"/>
      <c r="D497"/>
      <c r="E497"/>
      <c r="IO497" s="27" t="s">
        <v>8</v>
      </c>
      <c r="IP497" s="27" t="s">
        <v>7</v>
      </c>
      <c r="IQ497" s="27" t="s">
        <v>8</v>
      </c>
      <c r="IT497" s="27" t="s">
        <v>7</v>
      </c>
      <c r="IU497" s="27" t="s">
        <v>8</v>
      </c>
      <c r="IV497" s="27" t="s">
        <v>7</v>
      </c>
      <c r="JE497" s="27" t="s">
        <v>8</v>
      </c>
      <c r="JF497" s="27" t="s">
        <v>7</v>
      </c>
      <c r="JG497" s="27" t="s">
        <v>8</v>
      </c>
      <c r="JH497" s="27" t="s">
        <v>7</v>
      </c>
      <c r="JJ497" s="27" t="s">
        <v>7</v>
      </c>
      <c r="JK497" s="27" t="s">
        <v>8</v>
      </c>
      <c r="JL497" s="27" t="s">
        <v>7</v>
      </c>
      <c r="JM497" s="27" t="s">
        <v>8</v>
      </c>
      <c r="LC497" s="27" t="s">
        <v>8</v>
      </c>
      <c r="LD497" s="27" t="s">
        <v>7</v>
      </c>
      <c r="LI497" s="27" t="s">
        <v>8</v>
      </c>
      <c r="LJ497" s="27" t="s">
        <v>7</v>
      </c>
      <c r="LL497" s="27" t="s">
        <v>7</v>
      </c>
      <c r="LN497" s="27" t="s">
        <v>7</v>
      </c>
      <c r="LO497" s="27" t="s">
        <v>8</v>
      </c>
      <c r="LP497" s="27" t="s">
        <v>7</v>
      </c>
      <c r="LQ497" s="27" t="s">
        <v>8</v>
      </c>
      <c r="LZ497" s="27" t="s">
        <v>7</v>
      </c>
      <c r="MA497" s="27" t="s">
        <v>8</v>
      </c>
      <c r="MB497" s="27" t="s">
        <v>7</v>
      </c>
      <c r="MC497" s="27" t="s">
        <v>8</v>
      </c>
      <c r="MD497" s="27" t="s">
        <v>7</v>
      </c>
      <c r="ME497" s="27" t="s">
        <v>8</v>
      </c>
      <c r="MG497" s="27" t="s">
        <v>8</v>
      </c>
      <c r="MH497" s="27" t="s">
        <v>7</v>
      </c>
      <c r="MQ497" s="27" t="s">
        <v>8</v>
      </c>
      <c r="MR497" s="27" t="s">
        <v>7</v>
      </c>
    </row>
    <row r="498" spans="1:375" x14ac:dyDescent="0.25">
      <c r="A498" s="7">
        <v>5.8266011042210337</v>
      </c>
      <c r="B498"/>
      <c r="C498"/>
      <c r="D498"/>
      <c r="E498"/>
      <c r="IO498" s="27" t="s">
        <v>8</v>
      </c>
      <c r="IP498" s="27" t="s">
        <v>7</v>
      </c>
      <c r="IQ498" s="27" t="s">
        <v>8</v>
      </c>
      <c r="IT498" s="27" t="s">
        <v>7</v>
      </c>
      <c r="IU498" s="27" t="s">
        <v>8</v>
      </c>
      <c r="IV498" s="27" t="s">
        <v>7</v>
      </c>
      <c r="IW498" s="27" t="s">
        <v>8</v>
      </c>
      <c r="JC498" s="27" t="s">
        <v>8</v>
      </c>
      <c r="JE498" s="27" t="s">
        <v>8</v>
      </c>
      <c r="JF498" s="27" t="s">
        <v>7</v>
      </c>
      <c r="JG498" s="27" t="s">
        <v>8</v>
      </c>
      <c r="JJ498" s="27" t="s">
        <v>7</v>
      </c>
      <c r="JK498" s="27" t="s">
        <v>8</v>
      </c>
      <c r="JL498" s="27" t="s">
        <v>7</v>
      </c>
      <c r="JM498" s="27" t="s">
        <v>8</v>
      </c>
      <c r="JN498" s="27" t="s">
        <v>7</v>
      </c>
      <c r="LC498" s="27" t="s">
        <v>8</v>
      </c>
      <c r="LD498" s="27" t="s">
        <v>7</v>
      </c>
      <c r="LI498" s="27" t="s">
        <v>8</v>
      </c>
      <c r="LN498" s="27" t="s">
        <v>7</v>
      </c>
      <c r="LO498" s="27" t="s">
        <v>8</v>
      </c>
      <c r="LP498" s="27" t="s">
        <v>7</v>
      </c>
      <c r="LQ498" s="27" t="s">
        <v>8</v>
      </c>
      <c r="LZ498" s="27" t="s">
        <v>7</v>
      </c>
      <c r="MA498" s="27" t="s">
        <v>8</v>
      </c>
      <c r="MB498" s="27" t="s">
        <v>7</v>
      </c>
      <c r="MC498" s="27" t="s">
        <v>8</v>
      </c>
      <c r="MD498" s="27" t="s">
        <v>7</v>
      </c>
      <c r="ME498" s="27" t="s">
        <v>8</v>
      </c>
      <c r="MF498" s="27" t="s">
        <v>7</v>
      </c>
      <c r="MG498" s="27" t="s">
        <v>8</v>
      </c>
      <c r="MH498" s="27" t="s">
        <v>7</v>
      </c>
      <c r="MM498" s="27" t="s">
        <v>8</v>
      </c>
      <c r="MQ498" s="27" t="s">
        <v>8</v>
      </c>
      <c r="MR498" s="27" t="s">
        <v>7</v>
      </c>
    </row>
    <row r="499" spans="1:375" x14ac:dyDescent="0.25">
      <c r="A499" s="7">
        <v>5.7123540237461112</v>
      </c>
      <c r="B499"/>
      <c r="C499"/>
      <c r="D499"/>
      <c r="E499"/>
      <c r="IO499" s="27" t="s">
        <v>8</v>
      </c>
      <c r="IP499" s="27" t="s">
        <v>7</v>
      </c>
      <c r="IQ499" s="27" t="s">
        <v>8</v>
      </c>
      <c r="IT499" s="27" t="s">
        <v>7</v>
      </c>
      <c r="IU499" s="27" t="s">
        <v>8</v>
      </c>
      <c r="IV499" s="27" t="s">
        <v>7</v>
      </c>
      <c r="IW499" s="27" t="s">
        <v>8</v>
      </c>
      <c r="IX499" s="27" t="s">
        <v>7</v>
      </c>
      <c r="JC499" s="27" t="s">
        <v>8</v>
      </c>
      <c r="JD499" s="27" t="s">
        <v>7</v>
      </c>
      <c r="JE499" s="27" t="s">
        <v>8</v>
      </c>
      <c r="JF499" s="27" t="s">
        <v>7</v>
      </c>
      <c r="JG499" s="27" t="s">
        <v>8</v>
      </c>
      <c r="JJ499" s="27" t="s">
        <v>7</v>
      </c>
      <c r="JL499" s="27" t="s">
        <v>7</v>
      </c>
      <c r="JM499" s="27" t="s">
        <v>8</v>
      </c>
      <c r="JN499" s="27" t="s">
        <v>7</v>
      </c>
      <c r="LC499" s="27" t="s">
        <v>8</v>
      </c>
      <c r="LD499" s="27" t="s">
        <v>7</v>
      </c>
      <c r="LG499" s="27" t="s">
        <v>8</v>
      </c>
      <c r="LI499" s="27" t="s">
        <v>8</v>
      </c>
      <c r="LN499" s="27" t="s">
        <v>7</v>
      </c>
      <c r="LO499" s="27" t="s">
        <v>8</v>
      </c>
      <c r="LP499" s="27" t="s">
        <v>7</v>
      </c>
      <c r="LQ499" s="27" t="s">
        <v>8</v>
      </c>
      <c r="LZ499" s="27" t="s">
        <v>7</v>
      </c>
      <c r="MA499" s="27" t="s">
        <v>8</v>
      </c>
      <c r="MB499" s="27" t="s">
        <v>7</v>
      </c>
      <c r="MD499" s="27" t="s">
        <v>7</v>
      </c>
      <c r="ME499" s="27" t="s">
        <v>8</v>
      </c>
      <c r="MF499" s="27" t="s">
        <v>7</v>
      </c>
      <c r="MG499" s="27" t="s">
        <v>8</v>
      </c>
      <c r="MH499" s="27" t="s">
        <v>7</v>
      </c>
      <c r="MM499" s="27" t="s">
        <v>8</v>
      </c>
      <c r="MN499" s="27" t="s">
        <v>7</v>
      </c>
      <c r="MQ499" s="27" t="s">
        <v>8</v>
      </c>
      <c r="MR499" s="27" t="s">
        <v>7</v>
      </c>
    </row>
    <row r="500" spans="1:375" x14ac:dyDescent="0.25">
      <c r="A500" s="7">
        <v>5.6003470821040304</v>
      </c>
      <c r="B500"/>
      <c r="C500"/>
      <c r="D500"/>
      <c r="E500"/>
      <c r="HO500" s="27" t="s">
        <v>8</v>
      </c>
      <c r="IO500" s="27" t="s">
        <v>8</v>
      </c>
      <c r="IP500" s="27" t="s">
        <v>7</v>
      </c>
      <c r="IQ500" s="27" t="s">
        <v>8</v>
      </c>
      <c r="IT500" s="27" t="s">
        <v>7</v>
      </c>
      <c r="IU500" s="27" t="s">
        <v>8</v>
      </c>
      <c r="IV500" s="27" t="s">
        <v>7</v>
      </c>
      <c r="IW500" s="27" t="s">
        <v>8</v>
      </c>
      <c r="IX500" s="27" t="s">
        <v>7</v>
      </c>
      <c r="JC500" s="27" t="s">
        <v>8</v>
      </c>
      <c r="JD500" s="27" t="s">
        <v>7</v>
      </c>
      <c r="JE500" s="27" t="s">
        <v>8</v>
      </c>
      <c r="JF500" s="27" t="s">
        <v>7</v>
      </c>
      <c r="JG500" s="27" t="s">
        <v>8</v>
      </c>
      <c r="JL500" s="27" t="s">
        <v>7</v>
      </c>
      <c r="JM500" s="27" t="s">
        <v>8</v>
      </c>
      <c r="JN500" s="27" t="s">
        <v>7</v>
      </c>
      <c r="LC500" s="27" t="s">
        <v>8</v>
      </c>
      <c r="LD500" s="27" t="s">
        <v>7</v>
      </c>
      <c r="LG500" s="27" t="s">
        <v>8</v>
      </c>
      <c r="LH500" s="27" t="s">
        <v>7</v>
      </c>
      <c r="LI500" s="27" t="s">
        <v>8</v>
      </c>
      <c r="LN500" s="27" t="s">
        <v>7</v>
      </c>
      <c r="LO500" s="27" t="s">
        <v>8</v>
      </c>
      <c r="LP500" s="27" t="s">
        <v>7</v>
      </c>
      <c r="LQ500" s="27" t="s">
        <v>8</v>
      </c>
      <c r="LZ500" s="27" t="s">
        <v>7</v>
      </c>
      <c r="MD500" s="27" t="s">
        <v>7</v>
      </c>
      <c r="ME500" s="27" t="s">
        <v>8</v>
      </c>
      <c r="MF500" s="27" t="s">
        <v>7</v>
      </c>
      <c r="MH500" s="27" t="s">
        <v>7</v>
      </c>
      <c r="MK500" s="27" t="s">
        <v>8</v>
      </c>
      <c r="MM500" s="27" t="s">
        <v>8</v>
      </c>
      <c r="MN500" s="27" t="s">
        <v>7</v>
      </c>
      <c r="MQ500" s="27" t="s">
        <v>8</v>
      </c>
      <c r="MR500" s="27" t="s">
        <v>7</v>
      </c>
    </row>
    <row r="501" spans="1:375" x14ac:dyDescent="0.25">
      <c r="A501" s="7">
        <v>5.4905363550039512</v>
      </c>
      <c r="B501"/>
      <c r="C501"/>
      <c r="D501"/>
      <c r="E501"/>
      <c r="HO501" s="27" t="s">
        <v>8</v>
      </c>
      <c r="HP501" s="27" t="s">
        <v>7</v>
      </c>
      <c r="IO501" s="27" t="s">
        <v>8</v>
      </c>
      <c r="IP501" s="27" t="s">
        <v>7</v>
      </c>
      <c r="IQ501" s="27" t="s">
        <v>8</v>
      </c>
      <c r="IT501" s="27" t="s">
        <v>7</v>
      </c>
      <c r="IU501" s="27" t="s">
        <v>8</v>
      </c>
      <c r="IV501" s="27" t="s">
        <v>7</v>
      </c>
      <c r="IW501" s="27" t="s">
        <v>8</v>
      </c>
      <c r="IX501" s="27" t="s">
        <v>7</v>
      </c>
      <c r="JA501" s="27" t="s">
        <v>8</v>
      </c>
      <c r="JC501" s="27" t="s">
        <v>8</v>
      </c>
      <c r="JD501" s="27" t="s">
        <v>7</v>
      </c>
      <c r="JF501" s="27" t="s">
        <v>7</v>
      </c>
      <c r="JL501" s="27" t="s">
        <v>7</v>
      </c>
      <c r="JM501" s="27" t="s">
        <v>8</v>
      </c>
      <c r="JN501" s="27" t="s">
        <v>7</v>
      </c>
      <c r="LC501" s="27" t="s">
        <v>8</v>
      </c>
      <c r="LD501" s="27" t="s">
        <v>7</v>
      </c>
      <c r="LE501" s="27" t="s">
        <v>8</v>
      </c>
      <c r="LG501" s="27" t="s">
        <v>8</v>
      </c>
      <c r="LH501" s="27" t="s">
        <v>7</v>
      </c>
      <c r="LI501" s="27" t="s">
        <v>8</v>
      </c>
      <c r="LN501" s="27" t="s">
        <v>7</v>
      </c>
      <c r="LO501" s="27" t="s">
        <v>8</v>
      </c>
      <c r="LP501" s="27" t="s">
        <v>7</v>
      </c>
      <c r="LQ501" s="27" t="s">
        <v>8</v>
      </c>
      <c r="MD501" s="27" t="s">
        <v>7</v>
      </c>
      <c r="ME501" s="27" t="s">
        <v>8</v>
      </c>
      <c r="MH501" s="27" t="s">
        <v>7</v>
      </c>
      <c r="MK501" s="27" t="s">
        <v>8</v>
      </c>
      <c r="ML501" s="27" t="s">
        <v>7</v>
      </c>
      <c r="MM501" s="27" t="s">
        <v>8</v>
      </c>
      <c r="MN501" s="27" t="s">
        <v>7</v>
      </c>
      <c r="MQ501" s="27" t="s">
        <v>8</v>
      </c>
      <c r="MR501" s="27" t="s">
        <v>7</v>
      </c>
    </row>
    <row r="502" spans="1:375" x14ac:dyDescent="0.25">
      <c r="A502" s="7">
        <v>5.3828787794156385</v>
      </c>
      <c r="B502"/>
      <c r="C502"/>
      <c r="D502"/>
      <c r="E502"/>
      <c r="HM502" s="27" t="s">
        <v>8</v>
      </c>
      <c r="HO502" s="27" t="s">
        <v>8</v>
      </c>
      <c r="HP502" s="27" t="s">
        <v>7</v>
      </c>
      <c r="IO502" s="27" t="s">
        <v>8</v>
      </c>
      <c r="IP502" s="27" t="s">
        <v>7</v>
      </c>
      <c r="IT502" s="27" t="s">
        <v>7</v>
      </c>
      <c r="IU502" s="27" t="s">
        <v>8</v>
      </c>
      <c r="IV502" s="27" t="s">
        <v>7</v>
      </c>
      <c r="IW502" s="27" t="s">
        <v>8</v>
      </c>
      <c r="IX502" s="27" t="s">
        <v>7</v>
      </c>
      <c r="JA502" s="27" t="s">
        <v>8</v>
      </c>
      <c r="JB502" s="27" t="s">
        <v>7</v>
      </c>
      <c r="JC502" s="27" t="s">
        <v>8</v>
      </c>
      <c r="JL502" s="27" t="s">
        <v>7</v>
      </c>
      <c r="JM502" s="27" t="s">
        <v>8</v>
      </c>
      <c r="JN502" s="27" t="s">
        <v>7</v>
      </c>
      <c r="LA502" s="27" t="s">
        <v>8</v>
      </c>
      <c r="LC502" s="27" t="s">
        <v>8</v>
      </c>
      <c r="LD502" s="27" t="s">
        <v>7</v>
      </c>
      <c r="LE502" s="27" t="s">
        <v>8</v>
      </c>
      <c r="LF502" s="27" t="s">
        <v>7</v>
      </c>
      <c r="LG502" s="27" t="s">
        <v>8</v>
      </c>
      <c r="LH502" s="27" t="s">
        <v>7</v>
      </c>
      <c r="LI502" s="27" t="s">
        <v>8</v>
      </c>
      <c r="LN502" s="27" t="s">
        <v>7</v>
      </c>
      <c r="LO502" s="27" t="s">
        <v>8</v>
      </c>
      <c r="LP502" s="27" t="s">
        <v>7</v>
      </c>
      <c r="MD502" s="27" t="s">
        <v>7</v>
      </c>
      <c r="ME502" s="27" t="s">
        <v>8</v>
      </c>
      <c r="MH502" s="27" t="s">
        <v>7</v>
      </c>
      <c r="MK502" s="27" t="s">
        <v>8</v>
      </c>
      <c r="ML502" s="27" t="s">
        <v>7</v>
      </c>
      <c r="MM502" s="27" t="s">
        <v>8</v>
      </c>
      <c r="MN502" s="27" t="s">
        <v>7</v>
      </c>
      <c r="MQ502" s="27" t="s">
        <v>8</v>
      </c>
      <c r="MR502" s="27" t="s">
        <v>7</v>
      </c>
    </row>
    <row r="503" spans="1:375" x14ac:dyDescent="0.25">
      <c r="A503" s="7">
        <v>5.2773321366819985</v>
      </c>
      <c r="B503"/>
      <c r="C503"/>
      <c r="D503"/>
      <c r="E503"/>
      <c r="HM503" s="27" t="s">
        <v>8</v>
      </c>
      <c r="HN503" s="27" t="s">
        <v>7</v>
      </c>
      <c r="HO503" s="27" t="s">
        <v>8</v>
      </c>
      <c r="HP503" s="27" t="s">
        <v>7</v>
      </c>
      <c r="IM503" s="27" t="s">
        <v>8</v>
      </c>
      <c r="IO503" s="27" t="s">
        <v>8</v>
      </c>
      <c r="IT503" s="27" t="s">
        <v>7</v>
      </c>
      <c r="IU503" s="27" t="s">
        <v>8</v>
      </c>
      <c r="IV503" s="27" t="s">
        <v>7</v>
      </c>
      <c r="IW503" s="27" t="s">
        <v>8</v>
      </c>
      <c r="IX503" s="27" t="s">
        <v>7</v>
      </c>
      <c r="JA503" s="27" t="s">
        <v>8</v>
      </c>
      <c r="JB503" s="27" t="s">
        <v>7</v>
      </c>
      <c r="JC503" s="27" t="s">
        <v>8</v>
      </c>
      <c r="JL503" s="27" t="s">
        <v>7</v>
      </c>
      <c r="JM503" s="27" t="s">
        <v>8</v>
      </c>
      <c r="JN503" s="27" t="s">
        <v>7</v>
      </c>
      <c r="LA503" s="27" t="s">
        <v>8</v>
      </c>
      <c r="LB503" s="27" t="s">
        <v>7</v>
      </c>
      <c r="LC503" s="27" t="s">
        <v>8</v>
      </c>
      <c r="LD503" s="27" t="s">
        <v>7</v>
      </c>
      <c r="LE503" s="27" t="s">
        <v>8</v>
      </c>
      <c r="LF503" s="27" t="s">
        <v>7</v>
      </c>
      <c r="LG503" s="27" t="s">
        <v>8</v>
      </c>
      <c r="LH503" s="27" t="s">
        <v>7</v>
      </c>
      <c r="LI503" s="27" t="s">
        <v>8</v>
      </c>
      <c r="LN503" s="27" t="s">
        <v>7</v>
      </c>
      <c r="LO503" s="27" t="s">
        <v>8</v>
      </c>
      <c r="MD503" s="27" t="s">
        <v>7</v>
      </c>
      <c r="MH503" s="27" t="s">
        <v>7</v>
      </c>
      <c r="MI503" s="27" t="s">
        <v>8</v>
      </c>
      <c r="MK503" s="27" t="s">
        <v>8</v>
      </c>
      <c r="ML503" s="27" t="s">
        <v>7</v>
      </c>
      <c r="MM503" s="27" t="s">
        <v>8</v>
      </c>
      <c r="MN503" s="27" t="s">
        <v>7</v>
      </c>
      <c r="MQ503" s="27" t="s">
        <v>8</v>
      </c>
      <c r="MR503" s="27" t="s">
        <v>7</v>
      </c>
      <c r="NG503" s="27" t="s">
        <v>8</v>
      </c>
    </row>
    <row r="504" spans="1:375" x14ac:dyDescent="0.25">
      <c r="A504" s="7">
        <v>5.1738550359627435</v>
      </c>
      <c r="B504"/>
      <c r="C504"/>
      <c r="D504"/>
      <c r="E504"/>
      <c r="HM504" s="27" t="s">
        <v>8</v>
      </c>
      <c r="HN504" s="27" t="s">
        <v>7</v>
      </c>
      <c r="HO504" s="27" t="s">
        <v>8</v>
      </c>
      <c r="HP504" s="27" t="s">
        <v>7</v>
      </c>
      <c r="IM504" s="27" t="s">
        <v>8</v>
      </c>
      <c r="IN504" s="27" t="s">
        <v>7</v>
      </c>
      <c r="IO504" s="27" t="s">
        <v>8</v>
      </c>
      <c r="IT504" s="27" t="s">
        <v>7</v>
      </c>
      <c r="IV504" s="27" t="s">
        <v>7</v>
      </c>
      <c r="IW504" s="27" t="s">
        <v>8</v>
      </c>
      <c r="IX504" s="27" t="s">
        <v>7</v>
      </c>
      <c r="JA504" s="27" t="s">
        <v>8</v>
      </c>
      <c r="JB504" s="27" t="s">
        <v>7</v>
      </c>
      <c r="JL504" s="27" t="s">
        <v>7</v>
      </c>
      <c r="JM504" s="27" t="s">
        <v>8</v>
      </c>
      <c r="JN504" s="27" t="s">
        <v>7</v>
      </c>
      <c r="LA504" s="27" t="s">
        <v>8</v>
      </c>
      <c r="LB504" s="27" t="s">
        <v>7</v>
      </c>
      <c r="LC504" s="27" t="s">
        <v>8</v>
      </c>
      <c r="LD504" s="27" t="s">
        <v>7</v>
      </c>
      <c r="LE504" s="27" t="s">
        <v>8</v>
      </c>
      <c r="LF504" s="27" t="s">
        <v>7</v>
      </c>
      <c r="LH504" s="27" t="s">
        <v>7</v>
      </c>
      <c r="LI504" s="27" t="s">
        <v>8</v>
      </c>
      <c r="LN504" s="27" t="s">
        <v>7</v>
      </c>
      <c r="LO504" s="27" t="s">
        <v>8</v>
      </c>
      <c r="MH504" s="27" t="s">
        <v>7</v>
      </c>
      <c r="MI504" s="27" t="s">
        <v>8</v>
      </c>
      <c r="MJ504" s="27" t="s">
        <v>7</v>
      </c>
      <c r="MK504" s="27" t="s">
        <v>8</v>
      </c>
      <c r="ML504" s="27" t="s">
        <v>7</v>
      </c>
      <c r="MM504" s="27" t="s">
        <v>8</v>
      </c>
      <c r="MN504" s="27" t="s">
        <v>7</v>
      </c>
      <c r="MQ504" s="27" t="s">
        <v>8</v>
      </c>
      <c r="MR504" s="27" t="s">
        <v>7</v>
      </c>
      <c r="NG504" s="27" t="s">
        <v>8</v>
      </c>
      <c r="NH504" s="27" t="s">
        <v>7</v>
      </c>
    </row>
    <row r="505" spans="1:375" x14ac:dyDescent="0.25">
      <c r="A505" s="7">
        <v>5.07240689800269</v>
      </c>
      <c r="B505"/>
      <c r="C505"/>
      <c r="D505"/>
      <c r="E505"/>
      <c r="HM505" s="27" t="s">
        <v>8</v>
      </c>
      <c r="HN505" s="27" t="s">
        <v>7</v>
      </c>
      <c r="HO505" s="27" t="s">
        <v>8</v>
      </c>
      <c r="HP505" s="27" t="s">
        <v>7</v>
      </c>
      <c r="HS505" s="27" t="s">
        <v>8</v>
      </c>
      <c r="IM505" s="27" t="s">
        <v>8</v>
      </c>
      <c r="IN505" s="27" t="s">
        <v>7</v>
      </c>
      <c r="IO505" s="27" t="s">
        <v>8</v>
      </c>
      <c r="IV505" s="27" t="s">
        <v>7</v>
      </c>
      <c r="IW505" s="27" t="s">
        <v>8</v>
      </c>
      <c r="IX505" s="27" t="s">
        <v>7</v>
      </c>
      <c r="JA505" s="27" t="s">
        <v>8</v>
      </c>
      <c r="JL505" s="27" t="s">
        <v>7</v>
      </c>
      <c r="JN505" s="27" t="s">
        <v>7</v>
      </c>
      <c r="LA505" s="27" t="s">
        <v>8</v>
      </c>
      <c r="LB505" s="27" t="s">
        <v>7</v>
      </c>
      <c r="LC505" s="27" t="s">
        <v>8</v>
      </c>
      <c r="LD505" s="27" t="s">
        <v>7</v>
      </c>
      <c r="LH505" s="27" t="s">
        <v>7</v>
      </c>
      <c r="LI505" s="27" t="s">
        <v>8</v>
      </c>
      <c r="LN505" s="27" t="s">
        <v>7</v>
      </c>
      <c r="LO505" s="27" t="s">
        <v>8</v>
      </c>
      <c r="MH505" s="27" t="s">
        <v>7</v>
      </c>
      <c r="MI505" s="27" t="s">
        <v>8</v>
      </c>
      <c r="MJ505" s="27" t="s">
        <v>7</v>
      </c>
      <c r="MK505" s="27" t="s">
        <v>8</v>
      </c>
      <c r="ML505" s="27" t="s">
        <v>7</v>
      </c>
      <c r="MM505" s="27" t="s">
        <v>8</v>
      </c>
      <c r="MN505" s="27" t="s">
        <v>7</v>
      </c>
      <c r="MQ505" s="27" t="s">
        <v>8</v>
      </c>
      <c r="MR505" s="27" t="s">
        <v>7</v>
      </c>
      <c r="NC505" s="27" t="s">
        <v>8</v>
      </c>
      <c r="NG505" s="27" t="s">
        <v>8</v>
      </c>
      <c r="NH505" s="27" t="s">
        <v>7</v>
      </c>
    </row>
    <row r="506" spans="1:375" x14ac:dyDescent="0.25">
      <c r="A506" s="7">
        <v>4.9729479392183231</v>
      </c>
      <c r="B506"/>
      <c r="C506"/>
      <c r="D506"/>
      <c r="E506"/>
      <c r="HM506" s="27" t="s">
        <v>8</v>
      </c>
      <c r="HN506" s="27" t="s">
        <v>7</v>
      </c>
      <c r="HO506" s="27" t="s">
        <v>8</v>
      </c>
      <c r="HP506" s="27" t="s">
        <v>7</v>
      </c>
      <c r="HS506" s="27" t="s">
        <v>8</v>
      </c>
      <c r="HT506" s="27" t="s">
        <v>7</v>
      </c>
      <c r="IM506" s="27" t="s">
        <v>8</v>
      </c>
      <c r="IN506" s="27" t="s">
        <v>7</v>
      </c>
      <c r="IO506" s="27" t="s">
        <v>8</v>
      </c>
      <c r="IV506" s="27" t="s">
        <v>7</v>
      </c>
      <c r="IX506" s="27" t="s">
        <v>7</v>
      </c>
      <c r="JA506" s="27" t="s">
        <v>8</v>
      </c>
      <c r="JN506" s="27" t="s">
        <v>7</v>
      </c>
      <c r="LA506" s="27" t="s">
        <v>8</v>
      </c>
      <c r="LB506" s="27" t="s">
        <v>7</v>
      </c>
      <c r="LC506" s="27" t="s">
        <v>8</v>
      </c>
      <c r="LH506" s="27" t="s">
        <v>7</v>
      </c>
      <c r="LI506" s="27" t="s">
        <v>8</v>
      </c>
      <c r="LN506" s="27" t="s">
        <v>7</v>
      </c>
      <c r="LO506" s="27" t="s">
        <v>8</v>
      </c>
      <c r="MH506" s="27" t="s">
        <v>7</v>
      </c>
      <c r="MJ506" s="27" t="s">
        <v>7</v>
      </c>
      <c r="MK506" s="27" t="s">
        <v>8</v>
      </c>
      <c r="ML506" s="27" t="s">
        <v>7</v>
      </c>
      <c r="MM506" s="27" t="s">
        <v>8</v>
      </c>
      <c r="MN506" s="27" t="s">
        <v>7</v>
      </c>
      <c r="MQ506" s="27" t="s">
        <v>8</v>
      </c>
      <c r="MR506" s="27" t="s">
        <v>7</v>
      </c>
      <c r="NC506" s="27" t="s">
        <v>8</v>
      </c>
      <c r="ND506" s="27" t="s">
        <v>7</v>
      </c>
      <c r="NG506" s="27" t="s">
        <v>8</v>
      </c>
      <c r="NH506" s="27" t="s">
        <v>7</v>
      </c>
    </row>
    <row r="507" spans="1:375" x14ac:dyDescent="0.25">
      <c r="A507" s="7">
        <v>4.8754391560963954</v>
      </c>
      <c r="B507"/>
      <c r="C507"/>
      <c r="D507"/>
      <c r="E507"/>
      <c r="HM507" s="27" t="s">
        <v>8</v>
      </c>
      <c r="HN507" s="27" t="s">
        <v>7</v>
      </c>
      <c r="HO507" s="27" t="s">
        <v>8</v>
      </c>
      <c r="HP507" s="27" t="s">
        <v>7</v>
      </c>
      <c r="HQ507" s="27" t="s">
        <v>8</v>
      </c>
      <c r="HS507" s="27" t="s">
        <v>8</v>
      </c>
      <c r="HT507" s="27" t="s">
        <v>7</v>
      </c>
      <c r="IM507" s="27" t="s">
        <v>8</v>
      </c>
      <c r="IN507" s="27" t="s">
        <v>7</v>
      </c>
      <c r="IO507" s="27" t="s">
        <v>8</v>
      </c>
      <c r="IX507" s="27" t="s">
        <v>7</v>
      </c>
      <c r="JA507" s="27" t="s">
        <v>8</v>
      </c>
      <c r="JN507" s="27" t="s">
        <v>7</v>
      </c>
      <c r="LA507" s="27" t="s">
        <v>8</v>
      </c>
      <c r="LB507" s="27" t="s">
        <v>7</v>
      </c>
      <c r="LC507" s="27" t="s">
        <v>8</v>
      </c>
      <c r="LH507" s="27" t="s">
        <v>7</v>
      </c>
      <c r="LI507" s="27" t="s">
        <v>8</v>
      </c>
      <c r="LN507" s="27" t="s">
        <v>7</v>
      </c>
      <c r="LO507" s="27" t="s">
        <v>8</v>
      </c>
      <c r="MJ507" s="27" t="s">
        <v>7</v>
      </c>
      <c r="MK507" s="27" t="s">
        <v>8</v>
      </c>
      <c r="ML507" s="27" t="s">
        <v>7</v>
      </c>
      <c r="MM507" s="27" t="s">
        <v>8</v>
      </c>
      <c r="MN507" s="27" t="s">
        <v>7</v>
      </c>
      <c r="MQ507" s="27" t="s">
        <v>8</v>
      </c>
      <c r="MR507" s="27" t="s">
        <v>7</v>
      </c>
      <c r="NC507" s="27" t="s">
        <v>8</v>
      </c>
      <c r="ND507" s="27" t="s">
        <v>7</v>
      </c>
      <c r="NG507" s="27" t="s">
        <v>8</v>
      </c>
      <c r="NH507" s="27" t="s">
        <v>7</v>
      </c>
    </row>
    <row r="508" spans="1:375" x14ac:dyDescent="0.25">
      <c r="A508" s="7">
        <v>4.7798423098984264</v>
      </c>
      <c r="B508"/>
      <c r="C508"/>
      <c r="D508"/>
      <c r="E508"/>
      <c r="HM508" s="27" t="s">
        <v>8</v>
      </c>
      <c r="HN508" s="27" t="s">
        <v>7</v>
      </c>
      <c r="HO508" s="27" t="s">
        <v>8</v>
      </c>
      <c r="HP508" s="27" t="s">
        <v>7</v>
      </c>
      <c r="HQ508" s="27" t="s">
        <v>8</v>
      </c>
      <c r="HR508" s="27" t="s">
        <v>7</v>
      </c>
      <c r="HS508" s="27" t="s">
        <v>8</v>
      </c>
      <c r="HT508" s="27" t="s">
        <v>7</v>
      </c>
      <c r="HU508" s="27" t="s">
        <v>8</v>
      </c>
      <c r="IM508" s="27" t="s">
        <v>8</v>
      </c>
      <c r="IN508" s="27" t="s">
        <v>7</v>
      </c>
      <c r="IO508" s="27" t="s">
        <v>8</v>
      </c>
      <c r="IX508" s="27" t="s">
        <v>7</v>
      </c>
      <c r="IY508" s="27" t="s">
        <v>8</v>
      </c>
      <c r="JA508" s="27" t="s">
        <v>8</v>
      </c>
      <c r="JN508" s="27" t="s">
        <v>7</v>
      </c>
      <c r="LA508" s="27" t="s">
        <v>8</v>
      </c>
      <c r="LB508" s="27" t="s">
        <v>7</v>
      </c>
      <c r="LC508" s="27" t="s">
        <v>8</v>
      </c>
      <c r="LH508" s="27" t="s">
        <v>7</v>
      </c>
      <c r="LI508" s="27" t="s">
        <v>8</v>
      </c>
      <c r="LN508" s="27" t="s">
        <v>7</v>
      </c>
      <c r="LO508" s="27" t="s">
        <v>8</v>
      </c>
      <c r="MJ508" s="27" t="s">
        <v>7</v>
      </c>
      <c r="MK508" s="27" t="s">
        <v>8</v>
      </c>
      <c r="ML508" s="27" t="s">
        <v>7</v>
      </c>
      <c r="MM508" s="27" t="s">
        <v>8</v>
      </c>
      <c r="MN508" s="27" t="s">
        <v>7</v>
      </c>
      <c r="MQ508" s="27" t="s">
        <v>8</v>
      </c>
      <c r="MR508" s="27" t="s">
        <v>7</v>
      </c>
      <c r="NA508" s="27" t="s">
        <v>8</v>
      </c>
      <c r="NC508" s="27" t="s">
        <v>8</v>
      </c>
      <c r="ND508" s="27" t="s">
        <v>7</v>
      </c>
      <c r="NG508" s="27" t="s">
        <v>8</v>
      </c>
      <c r="NH508" s="27" t="s">
        <v>7</v>
      </c>
    </row>
    <row r="509" spans="1:375" x14ac:dyDescent="0.25">
      <c r="A509" s="7">
        <v>4.6861199116651235</v>
      </c>
      <c r="B509"/>
      <c r="C509"/>
      <c r="D509"/>
      <c r="E509"/>
      <c r="HM509" s="27" t="s">
        <v>8</v>
      </c>
      <c r="HN509" s="27" t="s">
        <v>7</v>
      </c>
      <c r="HO509" s="27" t="s">
        <v>8</v>
      </c>
      <c r="HP509" s="27" t="s">
        <v>7</v>
      </c>
      <c r="HQ509" s="27" t="s">
        <v>8</v>
      </c>
      <c r="HR509" s="27" t="s">
        <v>7</v>
      </c>
      <c r="HS509" s="27" t="s">
        <v>8</v>
      </c>
      <c r="HT509" s="27" t="s">
        <v>7</v>
      </c>
      <c r="HU509" s="27" t="s">
        <v>8</v>
      </c>
      <c r="HV509" s="27" t="s">
        <v>7</v>
      </c>
      <c r="IM509" s="27" t="s">
        <v>8</v>
      </c>
      <c r="IN509" s="27" t="s">
        <v>7</v>
      </c>
      <c r="IX509" s="27" t="s">
        <v>7</v>
      </c>
      <c r="IY509" s="27" t="s">
        <v>8</v>
      </c>
      <c r="IZ509" s="27" t="s">
        <v>7</v>
      </c>
      <c r="JA509" s="27" t="s">
        <v>8</v>
      </c>
      <c r="JN509" s="27" t="s">
        <v>7</v>
      </c>
      <c r="LA509" s="27" t="s">
        <v>8</v>
      </c>
      <c r="LB509" s="27" t="s">
        <v>7</v>
      </c>
      <c r="LC509" s="27" t="s">
        <v>8</v>
      </c>
      <c r="LH509" s="27" t="s">
        <v>7</v>
      </c>
      <c r="LI509" s="27" t="s">
        <v>8</v>
      </c>
      <c r="LN509" s="27" t="s">
        <v>7</v>
      </c>
      <c r="LO509" s="27" t="s">
        <v>8</v>
      </c>
      <c r="MJ509" s="27" t="s">
        <v>7</v>
      </c>
      <c r="ML509" s="27" t="s">
        <v>7</v>
      </c>
      <c r="MM509" s="27" t="s">
        <v>8</v>
      </c>
      <c r="MN509" s="27" t="s">
        <v>7</v>
      </c>
      <c r="MQ509" s="27" t="s">
        <v>8</v>
      </c>
      <c r="MR509" s="27" t="s">
        <v>7</v>
      </c>
      <c r="MW509" s="27" t="s">
        <v>8</v>
      </c>
      <c r="NA509" s="27" t="s">
        <v>8</v>
      </c>
      <c r="NB509" s="27" t="s">
        <v>7</v>
      </c>
      <c r="NC509" s="27" t="s">
        <v>8</v>
      </c>
      <c r="ND509" s="27" t="s">
        <v>7</v>
      </c>
      <c r="NG509" s="27" t="s">
        <v>8</v>
      </c>
      <c r="NH509" s="27" t="s">
        <v>7</v>
      </c>
    </row>
    <row r="510" spans="1:375" x14ac:dyDescent="0.25">
      <c r="A510" s="7">
        <v>4.5942352075148269</v>
      </c>
      <c r="B510"/>
      <c r="C510"/>
      <c r="D510"/>
      <c r="E510"/>
      <c r="HM510" s="27" t="s">
        <v>8</v>
      </c>
      <c r="HN510" s="27" t="s">
        <v>7</v>
      </c>
      <c r="HP510" s="27" t="s">
        <v>7</v>
      </c>
      <c r="HQ510" s="27" t="s">
        <v>8</v>
      </c>
      <c r="HR510" s="27" t="s">
        <v>7</v>
      </c>
      <c r="HS510" s="27" t="s">
        <v>8</v>
      </c>
      <c r="HT510" s="27" t="s">
        <v>7</v>
      </c>
      <c r="HU510" s="27" t="s">
        <v>8</v>
      </c>
      <c r="HV510" s="27" t="s">
        <v>7</v>
      </c>
      <c r="II510" s="27" t="s">
        <v>8</v>
      </c>
      <c r="IM510" s="27" t="s">
        <v>8</v>
      </c>
      <c r="IX510" s="27" t="s">
        <v>7</v>
      </c>
      <c r="IY510" s="27" t="s">
        <v>8</v>
      </c>
      <c r="IZ510" s="27" t="s">
        <v>7</v>
      </c>
      <c r="JA510" s="27" t="s">
        <v>8</v>
      </c>
      <c r="JN510" s="27" t="s">
        <v>7</v>
      </c>
      <c r="LA510" s="27" t="s">
        <v>8</v>
      </c>
      <c r="LB510" s="27" t="s">
        <v>7</v>
      </c>
      <c r="LC510" s="27" t="s">
        <v>8</v>
      </c>
      <c r="LH510" s="27" t="s">
        <v>7</v>
      </c>
      <c r="LI510" s="27" t="s">
        <v>8</v>
      </c>
      <c r="LN510" s="27" t="s">
        <v>7</v>
      </c>
      <c r="LO510" s="27" t="s">
        <v>8</v>
      </c>
      <c r="ML510" s="27" t="s">
        <v>7</v>
      </c>
      <c r="MM510" s="27" t="s">
        <v>8</v>
      </c>
      <c r="MN510" s="27" t="s">
        <v>7</v>
      </c>
      <c r="MQ510" s="27" t="s">
        <v>8</v>
      </c>
      <c r="MR510" s="27" t="s">
        <v>7</v>
      </c>
      <c r="MS510" s="27" t="s">
        <v>8</v>
      </c>
      <c r="MU510" s="27" t="s">
        <v>8</v>
      </c>
      <c r="MW510" s="27" t="s">
        <v>8</v>
      </c>
      <c r="MX510" s="27" t="s">
        <v>7</v>
      </c>
      <c r="NA510" s="27" t="s">
        <v>8</v>
      </c>
      <c r="NB510" s="27" t="s">
        <v>7</v>
      </c>
      <c r="NC510" s="27" t="s">
        <v>8</v>
      </c>
      <c r="ND510" s="27" t="s">
        <v>7</v>
      </c>
      <c r="NG510" s="27" t="s">
        <v>8</v>
      </c>
      <c r="NH510" s="27" t="s">
        <v>7</v>
      </c>
    </row>
    <row r="511" spans="1:375" x14ac:dyDescent="0.25">
      <c r="A511" s="7">
        <v>4.5041521642302227</v>
      </c>
      <c r="B511"/>
      <c r="C511"/>
      <c r="D511"/>
      <c r="E511"/>
      <c r="HM511" s="27" t="s">
        <v>8</v>
      </c>
      <c r="HP511" s="27" t="s">
        <v>7</v>
      </c>
      <c r="HQ511" s="27" t="s">
        <v>8</v>
      </c>
      <c r="HR511" s="27" t="s">
        <v>7</v>
      </c>
      <c r="HS511" s="27" t="s">
        <v>8</v>
      </c>
      <c r="HT511" s="27" t="s">
        <v>7</v>
      </c>
      <c r="HU511" s="27" t="s">
        <v>8</v>
      </c>
      <c r="HV511" s="27" t="s">
        <v>7</v>
      </c>
      <c r="IC511" s="27" t="s">
        <v>8</v>
      </c>
      <c r="IG511" s="27" t="s">
        <v>8</v>
      </c>
      <c r="II511" s="27" t="s">
        <v>8</v>
      </c>
      <c r="IJ511" s="27" t="s">
        <v>7</v>
      </c>
      <c r="IM511" s="27" t="s">
        <v>8</v>
      </c>
      <c r="IX511" s="27" t="s">
        <v>7</v>
      </c>
      <c r="IY511" s="27" t="s">
        <v>8</v>
      </c>
      <c r="IZ511" s="27" t="s">
        <v>7</v>
      </c>
      <c r="JA511" s="27" t="s">
        <v>8</v>
      </c>
      <c r="JN511" s="27" t="s">
        <v>7</v>
      </c>
      <c r="LA511" s="27" t="s">
        <v>8</v>
      </c>
      <c r="LB511" s="27" t="s">
        <v>7</v>
      </c>
      <c r="LC511" s="27" t="s">
        <v>8</v>
      </c>
      <c r="LH511" s="27" t="s">
        <v>7</v>
      </c>
      <c r="LI511" s="27" t="s">
        <v>8</v>
      </c>
      <c r="LN511" s="27" t="s">
        <v>7</v>
      </c>
      <c r="ML511" s="27" t="s">
        <v>7</v>
      </c>
      <c r="MM511" s="27" t="s">
        <v>8</v>
      </c>
      <c r="MN511" s="27" t="s">
        <v>7</v>
      </c>
      <c r="MQ511" s="27" t="s">
        <v>8</v>
      </c>
      <c r="MR511" s="27" t="s">
        <v>7</v>
      </c>
      <c r="MS511" s="27" t="s">
        <v>8</v>
      </c>
      <c r="MT511" s="27" t="s">
        <v>7</v>
      </c>
      <c r="MU511" s="27" t="s">
        <v>8</v>
      </c>
      <c r="MV511" s="27" t="s">
        <v>7</v>
      </c>
      <c r="MW511" s="27" t="s">
        <v>8</v>
      </c>
      <c r="MX511" s="27" t="s">
        <v>7</v>
      </c>
      <c r="NA511" s="27" t="s">
        <v>8</v>
      </c>
      <c r="NB511" s="27" t="s">
        <v>7</v>
      </c>
      <c r="ND511" s="27" t="s">
        <v>7</v>
      </c>
      <c r="NE511" s="27" t="s">
        <v>8</v>
      </c>
      <c r="NG511" s="27" t="s">
        <v>8</v>
      </c>
      <c r="NH511" s="27" t="s">
        <v>7</v>
      </c>
    </row>
    <row r="512" spans="1:375" x14ac:dyDescent="0.25">
      <c r="A512" s="7">
        <v>4.4158354551276693</v>
      </c>
      <c r="B512"/>
      <c r="C512"/>
      <c r="D512"/>
      <c r="E512"/>
      <c r="EM512" s="27" t="s">
        <v>8</v>
      </c>
      <c r="EO512" s="27" t="s">
        <v>8</v>
      </c>
      <c r="HM512" s="27" t="s">
        <v>8</v>
      </c>
      <c r="HP512" s="27" t="s">
        <v>7</v>
      </c>
      <c r="HQ512" s="27" t="s">
        <v>8</v>
      </c>
      <c r="HR512" s="27" t="s">
        <v>7</v>
      </c>
      <c r="HS512" s="27" t="s">
        <v>8</v>
      </c>
      <c r="HT512" s="27" t="s">
        <v>7</v>
      </c>
      <c r="HU512" s="27" t="s">
        <v>8</v>
      </c>
      <c r="HV512" s="27" t="s">
        <v>7</v>
      </c>
      <c r="IC512" s="27" t="s">
        <v>8</v>
      </c>
      <c r="ID512" s="27" t="s">
        <v>7</v>
      </c>
      <c r="IG512" s="27" t="s">
        <v>8</v>
      </c>
      <c r="IH512" s="27" t="s">
        <v>7</v>
      </c>
      <c r="II512" s="27" t="s">
        <v>8</v>
      </c>
      <c r="IJ512" s="27" t="s">
        <v>7</v>
      </c>
      <c r="IK512" s="27" t="s">
        <v>8</v>
      </c>
      <c r="IM512" s="27" t="s">
        <v>8</v>
      </c>
      <c r="IX512" s="27" t="s">
        <v>7</v>
      </c>
      <c r="IY512" s="27" t="s">
        <v>8</v>
      </c>
      <c r="IZ512" s="27" t="s">
        <v>7</v>
      </c>
      <c r="JA512" s="27" t="s">
        <v>8</v>
      </c>
      <c r="JN512" s="27" t="s">
        <v>7</v>
      </c>
      <c r="JO512" s="27" t="s">
        <v>8</v>
      </c>
      <c r="LA512" s="27" t="s">
        <v>8</v>
      </c>
      <c r="LB512" s="27" t="s">
        <v>7</v>
      </c>
      <c r="LC512" s="27" t="s">
        <v>8</v>
      </c>
      <c r="LH512" s="27" t="s">
        <v>7</v>
      </c>
      <c r="LI512" s="27" t="s">
        <v>8</v>
      </c>
      <c r="ML512" s="27" t="s">
        <v>7</v>
      </c>
      <c r="MM512" s="27" t="s">
        <v>8</v>
      </c>
      <c r="MN512" s="27" t="s">
        <v>7</v>
      </c>
      <c r="MQ512" s="27" t="s">
        <v>8</v>
      </c>
      <c r="MR512" s="27" t="s">
        <v>7</v>
      </c>
      <c r="MS512" s="27" t="s">
        <v>8</v>
      </c>
      <c r="MT512" s="27" t="s">
        <v>7</v>
      </c>
      <c r="MU512" s="27" t="s">
        <v>8</v>
      </c>
      <c r="MV512" s="27" t="s">
        <v>7</v>
      </c>
      <c r="MW512" s="27" t="s">
        <v>8</v>
      </c>
      <c r="MX512" s="27" t="s">
        <v>7</v>
      </c>
      <c r="NA512" s="27" t="s">
        <v>8</v>
      </c>
      <c r="ND512" s="27" t="s">
        <v>7</v>
      </c>
      <c r="NE512" s="27" t="s">
        <v>8</v>
      </c>
      <c r="NF512" s="27" t="s">
        <v>7</v>
      </c>
      <c r="NG512" s="27" t="s">
        <v>8</v>
      </c>
      <c r="NH512" s="27" t="s">
        <v>7</v>
      </c>
      <c r="NK512" s="27" t="s">
        <v>8</v>
      </c>
    </row>
    <row r="513" spans="1:381" x14ac:dyDescent="0.25">
      <c r="A513" s="7">
        <v>4.3292504462035977</v>
      </c>
      <c r="B513"/>
      <c r="C513"/>
      <c r="D513"/>
      <c r="E513"/>
      <c r="EM513" s="27" t="s">
        <v>8</v>
      </c>
      <c r="EN513" s="27" t="s">
        <v>7</v>
      </c>
      <c r="EO513" s="27" t="s">
        <v>8</v>
      </c>
      <c r="EP513" s="27" t="s">
        <v>7</v>
      </c>
      <c r="EQ513" s="27" t="s">
        <v>8</v>
      </c>
      <c r="HM513" s="27" t="s">
        <v>8</v>
      </c>
      <c r="HP513" s="27" t="s">
        <v>7</v>
      </c>
      <c r="HQ513" s="27" t="s">
        <v>8</v>
      </c>
      <c r="HR513" s="27" t="s">
        <v>7</v>
      </c>
      <c r="HS513" s="27" t="s">
        <v>8</v>
      </c>
      <c r="HT513" s="27" t="s">
        <v>7</v>
      </c>
      <c r="HV513" s="27" t="s">
        <v>7</v>
      </c>
      <c r="IC513" s="27" t="s">
        <v>8</v>
      </c>
      <c r="ID513" s="27" t="s">
        <v>7</v>
      </c>
      <c r="IG513" s="27" t="s">
        <v>8</v>
      </c>
      <c r="IH513" s="27" t="s">
        <v>7</v>
      </c>
      <c r="II513" s="27" t="s">
        <v>8</v>
      </c>
      <c r="IJ513" s="27" t="s">
        <v>7</v>
      </c>
      <c r="IK513" s="27" t="s">
        <v>8</v>
      </c>
      <c r="IL513" s="27" t="s">
        <v>7</v>
      </c>
      <c r="IM513" s="27" t="s">
        <v>8</v>
      </c>
      <c r="IX513" s="27" t="s">
        <v>7</v>
      </c>
      <c r="IY513" s="27" t="s">
        <v>8</v>
      </c>
      <c r="IZ513" s="27" t="s">
        <v>7</v>
      </c>
      <c r="JA513" s="27" t="s">
        <v>8</v>
      </c>
      <c r="JN513" s="27" t="s">
        <v>7</v>
      </c>
      <c r="JO513" s="27" t="s">
        <v>8</v>
      </c>
      <c r="JP513" s="27" t="s">
        <v>7</v>
      </c>
      <c r="LA513" s="27" t="s">
        <v>8</v>
      </c>
      <c r="LB513" s="27" t="s">
        <v>7</v>
      </c>
      <c r="LC513" s="27" t="s">
        <v>8</v>
      </c>
      <c r="LH513" s="27" t="s">
        <v>7</v>
      </c>
      <c r="LI513" s="27" t="s">
        <v>8</v>
      </c>
      <c r="ML513" s="27" t="s">
        <v>7</v>
      </c>
      <c r="MN513" s="27" t="s">
        <v>7</v>
      </c>
      <c r="MQ513" s="27" t="s">
        <v>8</v>
      </c>
      <c r="MR513" s="27" t="s">
        <v>7</v>
      </c>
      <c r="MT513" s="27" t="s">
        <v>7</v>
      </c>
      <c r="MU513" s="27" t="s">
        <v>8</v>
      </c>
      <c r="MV513" s="27" t="s">
        <v>7</v>
      </c>
      <c r="MW513" s="27" t="s">
        <v>8</v>
      </c>
      <c r="MX513" s="27" t="s">
        <v>7</v>
      </c>
      <c r="MY513" s="27" t="s">
        <v>8</v>
      </c>
      <c r="NA513" s="27" t="s">
        <v>8</v>
      </c>
      <c r="ND513" s="27" t="s">
        <v>7</v>
      </c>
      <c r="NE513" s="27" t="s">
        <v>8</v>
      </c>
      <c r="NF513" s="27" t="s">
        <v>7</v>
      </c>
      <c r="NG513" s="27" t="s">
        <v>8</v>
      </c>
      <c r="NH513" s="27" t="s">
        <v>7</v>
      </c>
      <c r="NI513" s="27" t="s">
        <v>8</v>
      </c>
      <c r="NK513" s="27" t="s">
        <v>8</v>
      </c>
      <c r="NL513" s="27" t="s">
        <v>7</v>
      </c>
      <c r="NM513" s="27" t="s">
        <v>8</v>
      </c>
    </row>
    <row r="514" spans="1:381" x14ac:dyDescent="0.25">
      <c r="A514" s="7">
        <v>4.2443631825525463</v>
      </c>
      <c r="B514"/>
      <c r="C514"/>
      <c r="D514"/>
      <c r="E514"/>
      <c r="EM514" s="27" t="s">
        <v>8</v>
      </c>
      <c r="EN514" s="27" t="s">
        <v>7</v>
      </c>
      <c r="EO514" s="27" t="s">
        <v>8</v>
      </c>
      <c r="EP514" s="27" t="s">
        <v>7</v>
      </c>
      <c r="EQ514" s="27" t="s">
        <v>8</v>
      </c>
      <c r="ER514" s="27" t="s">
        <v>7</v>
      </c>
      <c r="HM514" s="27" t="s">
        <v>8</v>
      </c>
      <c r="HP514" s="27" t="s">
        <v>7</v>
      </c>
      <c r="HQ514" s="27" t="s">
        <v>8</v>
      </c>
      <c r="HR514" s="27" t="s">
        <v>7</v>
      </c>
      <c r="HV514" s="27" t="s">
        <v>7</v>
      </c>
      <c r="IC514" s="27" t="s">
        <v>8</v>
      </c>
      <c r="ID514" s="27" t="s">
        <v>7</v>
      </c>
      <c r="IG514" s="27" t="s">
        <v>8</v>
      </c>
      <c r="IH514" s="27" t="s">
        <v>7</v>
      </c>
      <c r="II514" s="27" t="s">
        <v>8</v>
      </c>
      <c r="IJ514" s="27" t="s">
        <v>7</v>
      </c>
      <c r="IK514" s="27" t="s">
        <v>8</v>
      </c>
      <c r="IL514" s="27" t="s">
        <v>7</v>
      </c>
      <c r="IM514" s="27" t="s">
        <v>8</v>
      </c>
      <c r="IX514" s="27" t="s">
        <v>7</v>
      </c>
      <c r="IY514" s="27" t="s">
        <v>8</v>
      </c>
      <c r="IZ514" s="27" t="s">
        <v>7</v>
      </c>
      <c r="JN514" s="27" t="s">
        <v>7</v>
      </c>
      <c r="JO514" s="27" t="s">
        <v>8</v>
      </c>
      <c r="JP514" s="27" t="s">
        <v>7</v>
      </c>
      <c r="LA514" s="27" t="s">
        <v>8</v>
      </c>
      <c r="LB514" s="27" t="s">
        <v>7</v>
      </c>
      <c r="LH514" s="27" t="s">
        <v>7</v>
      </c>
      <c r="LI514" s="27" t="s">
        <v>8</v>
      </c>
      <c r="MN514" s="27" t="s">
        <v>7</v>
      </c>
      <c r="MQ514" s="27" t="s">
        <v>8</v>
      </c>
      <c r="MT514" s="27" t="s">
        <v>7</v>
      </c>
      <c r="MU514" s="27" t="s">
        <v>8</v>
      </c>
      <c r="MV514" s="27" t="s">
        <v>7</v>
      </c>
      <c r="MW514" s="27" t="s">
        <v>8</v>
      </c>
      <c r="MX514" s="27" t="s">
        <v>7</v>
      </c>
      <c r="MY514" s="27" t="s">
        <v>8</v>
      </c>
      <c r="MZ514" s="27" t="s">
        <v>7</v>
      </c>
      <c r="NA514" s="27" t="s">
        <v>8</v>
      </c>
      <c r="ND514" s="27" t="s">
        <v>7</v>
      </c>
      <c r="NF514" s="27" t="s">
        <v>7</v>
      </c>
      <c r="NH514" s="27" t="s">
        <v>7</v>
      </c>
      <c r="NI514" s="27" t="s">
        <v>8</v>
      </c>
      <c r="NJ514" s="27" t="s">
        <v>7</v>
      </c>
      <c r="NK514" s="27" t="s">
        <v>8</v>
      </c>
      <c r="NL514" s="27" t="s">
        <v>7</v>
      </c>
      <c r="NM514" s="27" t="s">
        <v>8</v>
      </c>
      <c r="NN514" s="27" t="s">
        <v>7</v>
      </c>
    </row>
    <row r="515" spans="1:381" x14ac:dyDescent="0.25">
      <c r="A515" s="7">
        <v>4.1611403750515157</v>
      </c>
      <c r="B515"/>
      <c r="C515"/>
      <c r="D515"/>
      <c r="E515"/>
      <c r="EM515" s="27" t="s">
        <v>8</v>
      </c>
      <c r="EN515" s="27" t="s">
        <v>7</v>
      </c>
      <c r="EO515" s="27" t="s">
        <v>8</v>
      </c>
      <c r="EP515" s="27" t="s">
        <v>7</v>
      </c>
      <c r="EQ515" s="27" t="s">
        <v>8</v>
      </c>
      <c r="ER515" s="27" t="s">
        <v>7</v>
      </c>
      <c r="HM515" s="27" t="s">
        <v>8</v>
      </c>
      <c r="HP515" s="27" t="s">
        <v>7</v>
      </c>
      <c r="HQ515" s="27" t="s">
        <v>8</v>
      </c>
      <c r="HV515" s="27" t="s">
        <v>7</v>
      </c>
      <c r="IC515" s="27" t="s">
        <v>8</v>
      </c>
      <c r="ID515" s="27" t="s">
        <v>7</v>
      </c>
      <c r="IE515" s="27" t="s">
        <v>8</v>
      </c>
      <c r="IG515" s="27" t="s">
        <v>8</v>
      </c>
      <c r="IH515" s="27" t="s">
        <v>7</v>
      </c>
      <c r="IJ515" s="27" t="s">
        <v>7</v>
      </c>
      <c r="IK515" s="27" t="s">
        <v>8</v>
      </c>
      <c r="IL515" s="27" t="s">
        <v>7</v>
      </c>
      <c r="IM515" s="27" t="s">
        <v>8</v>
      </c>
      <c r="IX515" s="27" t="s">
        <v>7</v>
      </c>
      <c r="IY515" s="27" t="s">
        <v>8</v>
      </c>
      <c r="JN515" s="27" t="s">
        <v>7</v>
      </c>
      <c r="JO515" s="27" t="s">
        <v>8</v>
      </c>
      <c r="JP515" s="27" t="s">
        <v>7</v>
      </c>
      <c r="JS515" s="27" t="s">
        <v>8</v>
      </c>
      <c r="LA515" s="27" t="s">
        <v>8</v>
      </c>
      <c r="LH515" s="27" t="s">
        <v>7</v>
      </c>
      <c r="LI515" s="27" t="s">
        <v>8</v>
      </c>
      <c r="MN515" s="27" t="s">
        <v>7</v>
      </c>
      <c r="MO515" s="27" t="s">
        <v>8</v>
      </c>
      <c r="MQ515" s="27" t="s">
        <v>8</v>
      </c>
      <c r="MT515" s="27" t="s">
        <v>7</v>
      </c>
      <c r="MU515" s="27" t="s">
        <v>8</v>
      </c>
      <c r="MV515" s="27" t="s">
        <v>7</v>
      </c>
      <c r="MW515" s="27" t="s">
        <v>8</v>
      </c>
      <c r="MX515" s="27" t="s">
        <v>7</v>
      </c>
      <c r="MY515" s="27" t="s">
        <v>8</v>
      </c>
      <c r="MZ515" s="27" t="s">
        <v>7</v>
      </c>
      <c r="NA515" s="27" t="s">
        <v>8</v>
      </c>
      <c r="NH515" s="27" t="s">
        <v>7</v>
      </c>
      <c r="NI515" s="27" t="s">
        <v>8</v>
      </c>
      <c r="NJ515" s="27" t="s">
        <v>7</v>
      </c>
      <c r="NK515" s="27" t="s">
        <v>8</v>
      </c>
      <c r="NL515" s="27" t="s">
        <v>7</v>
      </c>
      <c r="NM515" s="27" t="s">
        <v>8</v>
      </c>
      <c r="NN515" s="27" t="s">
        <v>7</v>
      </c>
    </row>
    <row r="516" spans="1:381" x14ac:dyDescent="0.25">
      <c r="A516" s="7">
        <v>4.0795493873054074</v>
      </c>
      <c r="B516"/>
      <c r="C516"/>
      <c r="D516"/>
      <c r="E516"/>
      <c r="EM516" s="27" t="s">
        <v>8</v>
      </c>
      <c r="EN516" s="27" t="s">
        <v>7</v>
      </c>
      <c r="EO516" s="27" t="s">
        <v>8</v>
      </c>
      <c r="EP516" s="27" t="s">
        <v>7</v>
      </c>
      <c r="EQ516" s="27" t="s">
        <v>8</v>
      </c>
      <c r="ER516" s="27" t="s">
        <v>7</v>
      </c>
      <c r="HM516" s="27" t="s">
        <v>8</v>
      </c>
      <c r="HP516" s="27" t="s">
        <v>7</v>
      </c>
      <c r="HQ516" s="27" t="s">
        <v>8</v>
      </c>
      <c r="HV516" s="27" t="s">
        <v>7</v>
      </c>
      <c r="IC516" s="27" t="s">
        <v>8</v>
      </c>
      <c r="ID516" s="27" t="s">
        <v>7</v>
      </c>
      <c r="IE516" s="27" t="s">
        <v>8</v>
      </c>
      <c r="IF516" s="27" t="s">
        <v>7</v>
      </c>
      <c r="IG516" s="27" t="s">
        <v>8</v>
      </c>
      <c r="IJ516" s="27" t="s">
        <v>7</v>
      </c>
      <c r="IL516" s="27" t="s">
        <v>7</v>
      </c>
      <c r="IM516" s="27" t="s">
        <v>8</v>
      </c>
      <c r="IX516" s="27" t="s">
        <v>7</v>
      </c>
      <c r="JN516" s="27" t="s">
        <v>7</v>
      </c>
      <c r="JO516" s="27" t="s">
        <v>8</v>
      </c>
      <c r="JP516" s="27" t="s">
        <v>7</v>
      </c>
      <c r="JS516" s="27" t="s">
        <v>8</v>
      </c>
      <c r="JT516" s="27" t="s">
        <v>7</v>
      </c>
      <c r="JW516" s="27" t="s">
        <v>8</v>
      </c>
      <c r="LA516" s="27" t="s">
        <v>8</v>
      </c>
      <c r="LH516" s="27" t="s">
        <v>7</v>
      </c>
      <c r="LI516" s="27" t="s">
        <v>8</v>
      </c>
      <c r="MN516" s="27" t="s">
        <v>7</v>
      </c>
      <c r="MO516" s="27" t="s">
        <v>8</v>
      </c>
      <c r="MP516" s="27" t="s">
        <v>7</v>
      </c>
      <c r="MQ516" s="27" t="s">
        <v>8</v>
      </c>
      <c r="MT516" s="27" t="s">
        <v>7</v>
      </c>
      <c r="MU516" s="27" t="s">
        <v>8</v>
      </c>
      <c r="MV516" s="27" t="s">
        <v>7</v>
      </c>
      <c r="MX516" s="27" t="s">
        <v>7</v>
      </c>
      <c r="MZ516" s="27" t="s">
        <v>7</v>
      </c>
      <c r="NA516" s="27" t="s">
        <v>8</v>
      </c>
      <c r="NH516" s="27" t="s">
        <v>7</v>
      </c>
      <c r="NI516" s="27" t="s">
        <v>8</v>
      </c>
      <c r="NJ516" s="27" t="s">
        <v>7</v>
      </c>
      <c r="NK516" s="27" t="s">
        <v>8</v>
      </c>
      <c r="NL516" s="27" t="s">
        <v>7</v>
      </c>
      <c r="NN516" s="27" t="s">
        <v>7</v>
      </c>
    </row>
    <row r="517" spans="1:381" x14ac:dyDescent="0.25">
      <c r="A517" s="7">
        <v>3.9995582228484383</v>
      </c>
      <c r="B517"/>
      <c r="C517"/>
      <c r="D517"/>
      <c r="E517"/>
      <c r="EM517" s="27" t="s">
        <v>8</v>
      </c>
      <c r="EN517" s="27" t="s">
        <v>7</v>
      </c>
      <c r="EO517" s="27" t="s">
        <v>8</v>
      </c>
      <c r="EP517" s="27" t="s">
        <v>7</v>
      </c>
      <c r="EQ517" s="27" t="s">
        <v>8</v>
      </c>
      <c r="ER517" s="27" t="s">
        <v>7</v>
      </c>
      <c r="HM517" s="27" t="s">
        <v>8</v>
      </c>
      <c r="HP517" s="27" t="s">
        <v>7</v>
      </c>
      <c r="HQ517" s="27" t="s">
        <v>8</v>
      </c>
      <c r="HV517" s="27" t="s">
        <v>7</v>
      </c>
      <c r="IA517" s="27" t="s">
        <v>8</v>
      </c>
      <c r="IC517" s="27" t="s">
        <v>8</v>
      </c>
      <c r="ID517" s="27" t="s">
        <v>7</v>
      </c>
      <c r="IE517" s="27" t="s">
        <v>8</v>
      </c>
      <c r="IF517" s="27" t="s">
        <v>7</v>
      </c>
      <c r="IG517" s="27" t="s">
        <v>8</v>
      </c>
      <c r="IL517" s="27" t="s">
        <v>7</v>
      </c>
      <c r="IM517" s="27" t="s">
        <v>8</v>
      </c>
      <c r="JN517" s="27" t="s">
        <v>7</v>
      </c>
      <c r="JO517" s="27" t="s">
        <v>8</v>
      </c>
      <c r="JP517" s="27" t="s">
        <v>7</v>
      </c>
      <c r="JS517" s="27" t="s">
        <v>8</v>
      </c>
      <c r="JT517" s="27" t="s">
        <v>7</v>
      </c>
      <c r="JW517" s="27" t="s">
        <v>8</v>
      </c>
      <c r="JX517" s="27" t="s">
        <v>7</v>
      </c>
      <c r="LA517" s="27" t="s">
        <v>8</v>
      </c>
      <c r="LH517" s="27" t="s">
        <v>7</v>
      </c>
      <c r="LI517" s="27" t="s">
        <v>8</v>
      </c>
      <c r="MN517" s="27" t="s">
        <v>7</v>
      </c>
      <c r="MO517" s="27" t="s">
        <v>8</v>
      </c>
      <c r="MP517" s="27" t="s">
        <v>7</v>
      </c>
      <c r="MQ517" s="27" t="s">
        <v>8</v>
      </c>
      <c r="MT517" s="27" t="s">
        <v>7</v>
      </c>
      <c r="MU517" s="27" t="s">
        <v>8</v>
      </c>
      <c r="MZ517" s="27" t="s">
        <v>7</v>
      </c>
      <c r="NA517" s="27" t="s">
        <v>8</v>
      </c>
      <c r="NH517" s="27" t="s">
        <v>7</v>
      </c>
      <c r="NI517" s="27" t="s">
        <v>8</v>
      </c>
      <c r="NJ517" s="27" t="s">
        <v>7</v>
      </c>
      <c r="NK517" s="27" t="s">
        <v>8</v>
      </c>
      <c r="NN517" s="27" t="s">
        <v>7</v>
      </c>
    </row>
    <row r="518" spans="1:381" x14ac:dyDescent="0.25">
      <c r="A518" s="7">
        <v>3.9211355125965079</v>
      </c>
      <c r="B518"/>
      <c r="C518"/>
      <c r="D518"/>
      <c r="E518"/>
      <c r="BS518" s="27" t="s">
        <v>8</v>
      </c>
      <c r="EM518" s="27" t="s">
        <v>8</v>
      </c>
      <c r="EN518" s="27" t="s">
        <v>7</v>
      </c>
      <c r="EO518" s="27" t="s">
        <v>8</v>
      </c>
      <c r="EP518" s="27" t="s">
        <v>7</v>
      </c>
      <c r="ER518" s="27" t="s">
        <v>7</v>
      </c>
      <c r="ES518" s="27" t="s">
        <v>8</v>
      </c>
      <c r="HM518" s="27" t="s">
        <v>8</v>
      </c>
      <c r="HP518" s="27" t="s">
        <v>7</v>
      </c>
      <c r="HQ518" s="27" t="s">
        <v>8</v>
      </c>
      <c r="HV518" s="27" t="s">
        <v>7</v>
      </c>
      <c r="IA518" s="27" t="s">
        <v>8</v>
      </c>
      <c r="IB518" s="27" t="s">
        <v>7</v>
      </c>
      <c r="IC518" s="27" t="s">
        <v>8</v>
      </c>
      <c r="ID518" s="27" t="s">
        <v>7</v>
      </c>
      <c r="IE518" s="27" t="s">
        <v>8</v>
      </c>
      <c r="IF518" s="27" t="s">
        <v>7</v>
      </c>
      <c r="IG518" s="27" t="s">
        <v>8</v>
      </c>
      <c r="IL518" s="27" t="s">
        <v>7</v>
      </c>
      <c r="IM518" s="27" t="s">
        <v>8</v>
      </c>
      <c r="JN518" s="27" t="s">
        <v>7</v>
      </c>
      <c r="JO518" s="27" t="s">
        <v>8</v>
      </c>
      <c r="JP518" s="27" t="s">
        <v>7</v>
      </c>
      <c r="JS518" s="27" t="s">
        <v>8</v>
      </c>
      <c r="JT518" s="27" t="s">
        <v>7</v>
      </c>
      <c r="JU518" s="27" t="s">
        <v>8</v>
      </c>
      <c r="JW518" s="27" t="s">
        <v>8</v>
      </c>
      <c r="JX518" s="27" t="s">
        <v>7</v>
      </c>
      <c r="LA518" s="27" t="s">
        <v>8</v>
      </c>
      <c r="LH518" s="27" t="s">
        <v>7</v>
      </c>
      <c r="MN518" s="27" t="s">
        <v>7</v>
      </c>
      <c r="MO518" s="27" t="s">
        <v>8</v>
      </c>
      <c r="MP518" s="27" t="s">
        <v>7</v>
      </c>
      <c r="MQ518" s="27" t="s">
        <v>8</v>
      </c>
      <c r="MT518" s="27" t="s">
        <v>7</v>
      </c>
      <c r="MZ518" s="27" t="s">
        <v>7</v>
      </c>
      <c r="NH518" s="27" t="s">
        <v>7</v>
      </c>
      <c r="NJ518" s="27" t="s">
        <v>7</v>
      </c>
      <c r="NK518" s="27" t="s">
        <v>8</v>
      </c>
      <c r="NN518" s="27" t="s">
        <v>7</v>
      </c>
    </row>
    <row r="519" spans="1:381" x14ac:dyDescent="0.25">
      <c r="A519" s="7">
        <v>3.844250502545596</v>
      </c>
      <c r="B519"/>
      <c r="C519"/>
      <c r="D519"/>
      <c r="E519"/>
      <c r="BS519" s="27" t="s">
        <v>8</v>
      </c>
      <c r="BT519" s="27" t="s">
        <v>7</v>
      </c>
      <c r="EM519" s="27" t="s">
        <v>8</v>
      </c>
      <c r="EN519" s="27" t="s">
        <v>7</v>
      </c>
      <c r="EO519" s="27" t="s">
        <v>8</v>
      </c>
      <c r="ER519" s="27" t="s">
        <v>7</v>
      </c>
      <c r="ES519" s="27" t="s">
        <v>8</v>
      </c>
      <c r="ET519" s="27" t="s">
        <v>7</v>
      </c>
      <c r="HK519" s="27" t="s">
        <v>8</v>
      </c>
      <c r="HM519" s="27" t="s">
        <v>8</v>
      </c>
      <c r="HP519" s="27" t="s">
        <v>7</v>
      </c>
      <c r="HV519" s="27" t="s">
        <v>7</v>
      </c>
      <c r="HW519" s="27" t="s">
        <v>8</v>
      </c>
      <c r="HY519" s="27" t="s">
        <v>8</v>
      </c>
      <c r="IA519" s="27" t="s">
        <v>8</v>
      </c>
      <c r="IB519" s="27" t="s">
        <v>7</v>
      </c>
      <c r="IC519" s="27" t="s">
        <v>8</v>
      </c>
      <c r="ID519" s="27" t="s">
        <v>7</v>
      </c>
      <c r="IF519" s="27" t="s">
        <v>7</v>
      </c>
      <c r="IG519" s="27" t="s">
        <v>8</v>
      </c>
      <c r="IL519" s="27" t="s">
        <v>7</v>
      </c>
      <c r="IM519" s="27" t="s">
        <v>8</v>
      </c>
      <c r="JN519" s="27" t="s">
        <v>7</v>
      </c>
      <c r="JO519" s="27" t="s">
        <v>8</v>
      </c>
      <c r="JP519" s="27" t="s">
        <v>7</v>
      </c>
      <c r="JS519" s="27" t="s">
        <v>8</v>
      </c>
      <c r="JT519" s="27" t="s">
        <v>7</v>
      </c>
      <c r="JU519" s="27" t="s">
        <v>8</v>
      </c>
      <c r="JV519" s="27" t="s">
        <v>7</v>
      </c>
      <c r="JW519" s="27" t="s">
        <v>8</v>
      </c>
      <c r="JX519" s="27" t="s">
        <v>7</v>
      </c>
      <c r="KY519" s="27" t="s">
        <v>8</v>
      </c>
      <c r="LA519" s="27" t="s">
        <v>8</v>
      </c>
      <c r="MN519" s="27" t="s">
        <v>7</v>
      </c>
      <c r="MO519" s="27" t="s">
        <v>8</v>
      </c>
      <c r="MP519" s="27" t="s">
        <v>7</v>
      </c>
      <c r="MQ519" s="27" t="s">
        <v>8</v>
      </c>
      <c r="NJ519" s="27" t="s">
        <v>7</v>
      </c>
      <c r="NN519" s="27" t="s">
        <v>7</v>
      </c>
    </row>
    <row r="520" spans="1:381" x14ac:dyDescent="0.25">
      <c r="A520" s="7">
        <v>3.7688730417113687</v>
      </c>
      <c r="B520"/>
      <c r="C520"/>
      <c r="D520"/>
      <c r="E520"/>
      <c r="BS520" s="27" t="s">
        <v>8</v>
      </c>
      <c r="BT520" s="27" t="s">
        <v>7</v>
      </c>
      <c r="EM520" s="27" t="s">
        <v>8</v>
      </c>
      <c r="EN520" s="27" t="s">
        <v>7</v>
      </c>
      <c r="EO520" s="27" t="s">
        <v>8</v>
      </c>
      <c r="ER520" s="27" t="s">
        <v>7</v>
      </c>
      <c r="ES520" s="27" t="s">
        <v>8</v>
      </c>
      <c r="ET520" s="27" t="s">
        <v>7</v>
      </c>
      <c r="EU520" s="27" t="s">
        <v>8</v>
      </c>
      <c r="HK520" s="27" t="s">
        <v>8</v>
      </c>
      <c r="HL520" s="27" t="s">
        <v>7</v>
      </c>
      <c r="HM520" s="27" t="s">
        <v>8</v>
      </c>
      <c r="HV520" s="27" t="s">
        <v>7</v>
      </c>
      <c r="HW520" s="27" t="s">
        <v>8</v>
      </c>
      <c r="HX520" s="27" t="s">
        <v>7</v>
      </c>
      <c r="HY520" s="27" t="s">
        <v>8</v>
      </c>
      <c r="HZ520" s="27" t="s">
        <v>7</v>
      </c>
      <c r="IA520" s="27" t="s">
        <v>8</v>
      </c>
      <c r="IB520" s="27" t="s">
        <v>7</v>
      </c>
      <c r="IC520" s="27" t="s">
        <v>8</v>
      </c>
      <c r="IF520" s="27" t="s">
        <v>7</v>
      </c>
      <c r="IG520" s="27" t="s">
        <v>8</v>
      </c>
      <c r="IL520" s="27" t="s">
        <v>7</v>
      </c>
      <c r="JN520" s="27" t="s">
        <v>7</v>
      </c>
      <c r="JO520" s="27" t="s">
        <v>8</v>
      </c>
      <c r="JP520" s="27" t="s">
        <v>7</v>
      </c>
      <c r="JS520" s="27" t="s">
        <v>8</v>
      </c>
      <c r="JT520" s="27" t="s">
        <v>7</v>
      </c>
      <c r="JU520" s="27" t="s">
        <v>8</v>
      </c>
      <c r="JV520" s="27" t="s">
        <v>7</v>
      </c>
      <c r="JW520" s="27" t="s">
        <v>8</v>
      </c>
      <c r="JX520" s="27" t="s">
        <v>7</v>
      </c>
      <c r="KY520" s="27" t="s">
        <v>8</v>
      </c>
      <c r="KZ520" s="27" t="s">
        <v>7</v>
      </c>
      <c r="LA520" s="27" t="s">
        <v>8</v>
      </c>
      <c r="MN520" s="27" t="s">
        <v>7</v>
      </c>
      <c r="MO520" s="27" t="s">
        <v>8</v>
      </c>
      <c r="MP520" s="27" t="s">
        <v>7</v>
      </c>
      <c r="MQ520" s="27" t="s">
        <v>8</v>
      </c>
      <c r="NN520" s="27" t="s">
        <v>7</v>
      </c>
    </row>
    <row r="521" spans="1:381" x14ac:dyDescent="0.25">
      <c r="A521" s="7">
        <v>3.6949735703052635</v>
      </c>
      <c r="B521"/>
      <c r="C521"/>
      <c r="D521"/>
      <c r="E521"/>
      <c r="BS521" s="27" t="s">
        <v>8</v>
      </c>
      <c r="BT521" s="27" t="s">
        <v>7</v>
      </c>
      <c r="EM521" s="27" t="s">
        <v>8</v>
      </c>
      <c r="EN521" s="27" t="s">
        <v>7</v>
      </c>
      <c r="ER521" s="27" t="s">
        <v>7</v>
      </c>
      <c r="ES521" s="27" t="s">
        <v>8</v>
      </c>
      <c r="ET521" s="27" t="s">
        <v>7</v>
      </c>
      <c r="EU521" s="27" t="s">
        <v>8</v>
      </c>
      <c r="EV521" s="27" t="s">
        <v>7</v>
      </c>
      <c r="HK521" s="27" t="s">
        <v>8</v>
      </c>
      <c r="HL521" s="27" t="s">
        <v>7</v>
      </c>
      <c r="HM521" s="27" t="s">
        <v>8</v>
      </c>
      <c r="HV521" s="27" t="s">
        <v>7</v>
      </c>
      <c r="HW521" s="27" t="s">
        <v>8</v>
      </c>
      <c r="HX521" s="27" t="s">
        <v>7</v>
      </c>
      <c r="HY521" s="27" t="s">
        <v>8</v>
      </c>
      <c r="HZ521" s="27" t="s">
        <v>7</v>
      </c>
      <c r="IA521" s="27" t="s">
        <v>8</v>
      </c>
      <c r="IB521" s="27" t="s">
        <v>7</v>
      </c>
      <c r="IC521" s="27" t="s">
        <v>8</v>
      </c>
      <c r="IF521" s="27" t="s">
        <v>7</v>
      </c>
      <c r="JN521" s="27" t="s">
        <v>7</v>
      </c>
      <c r="JO521" s="27" t="s">
        <v>8</v>
      </c>
      <c r="JP521" s="27" t="s">
        <v>7</v>
      </c>
      <c r="JQ521" s="27" t="s">
        <v>8</v>
      </c>
      <c r="JS521" s="27" t="s">
        <v>8</v>
      </c>
      <c r="JT521" s="27" t="s">
        <v>7</v>
      </c>
      <c r="JU521" s="27" t="s">
        <v>8</v>
      </c>
      <c r="JV521" s="27" t="s">
        <v>7</v>
      </c>
      <c r="JW521" s="27" t="s">
        <v>8</v>
      </c>
      <c r="JX521" s="27" t="s">
        <v>7</v>
      </c>
      <c r="KY521" s="27" t="s">
        <v>8</v>
      </c>
      <c r="KZ521" s="27" t="s">
        <v>7</v>
      </c>
      <c r="LA521" s="27" t="s">
        <v>8</v>
      </c>
      <c r="MN521" s="27" t="s">
        <v>7</v>
      </c>
      <c r="MO521" s="27" t="s">
        <v>8</v>
      </c>
      <c r="MP521" s="27" t="s">
        <v>7</v>
      </c>
      <c r="NN521" s="27" t="s">
        <v>7</v>
      </c>
    </row>
    <row r="522" spans="1:381" x14ac:dyDescent="0.25">
      <c r="A522" s="7">
        <v>3.6225231081424152</v>
      </c>
      <c r="B522"/>
      <c r="C522"/>
      <c r="D522"/>
      <c r="E522"/>
      <c r="BS522" s="27" t="s">
        <v>8</v>
      </c>
      <c r="BT522" s="27" t="s">
        <v>7</v>
      </c>
      <c r="EM522" s="27" t="s">
        <v>8</v>
      </c>
      <c r="ER522" s="27" t="s">
        <v>7</v>
      </c>
      <c r="ES522" s="27" t="s">
        <v>8</v>
      </c>
      <c r="ET522" s="27" t="s">
        <v>7</v>
      </c>
      <c r="EU522" s="27" t="s">
        <v>8</v>
      </c>
      <c r="EV522" s="27" t="s">
        <v>7</v>
      </c>
      <c r="HK522" s="27" t="s">
        <v>8</v>
      </c>
      <c r="HL522" s="27" t="s">
        <v>7</v>
      </c>
      <c r="HM522" s="27" t="s">
        <v>8</v>
      </c>
      <c r="HV522" s="27" t="s">
        <v>7</v>
      </c>
      <c r="HW522" s="27" t="s">
        <v>8</v>
      </c>
      <c r="HX522" s="27" t="s">
        <v>7</v>
      </c>
      <c r="HY522" s="27" t="s">
        <v>8</v>
      </c>
      <c r="HZ522" s="27" t="s">
        <v>7</v>
      </c>
      <c r="IA522" s="27" t="s">
        <v>8</v>
      </c>
      <c r="IB522" s="27" t="s">
        <v>7</v>
      </c>
      <c r="IC522" s="27" t="s">
        <v>8</v>
      </c>
      <c r="JN522" s="27" t="s">
        <v>7</v>
      </c>
      <c r="JO522" s="27" t="s">
        <v>8</v>
      </c>
      <c r="JP522" s="27" t="s">
        <v>7</v>
      </c>
      <c r="JQ522" s="27" t="s">
        <v>8</v>
      </c>
      <c r="JR522" s="27" t="s">
        <v>7</v>
      </c>
      <c r="JS522" s="27" t="s">
        <v>8</v>
      </c>
      <c r="JT522" s="27" t="s">
        <v>7</v>
      </c>
      <c r="JU522" s="27" t="s">
        <v>8</v>
      </c>
      <c r="JV522" s="27" t="s">
        <v>7</v>
      </c>
      <c r="JW522" s="27" t="s">
        <v>8</v>
      </c>
      <c r="JX522" s="27" t="s">
        <v>7</v>
      </c>
      <c r="KY522" s="27" t="s">
        <v>8</v>
      </c>
      <c r="KZ522" s="27" t="s">
        <v>7</v>
      </c>
      <c r="LA522" s="27" t="s">
        <v>8</v>
      </c>
      <c r="MN522" s="27" t="s">
        <v>7</v>
      </c>
      <c r="MO522" s="27" t="s">
        <v>8</v>
      </c>
      <c r="NN522" s="27" t="s">
        <v>7</v>
      </c>
    </row>
    <row r="523" spans="1:381" x14ac:dyDescent="0.25">
      <c r="A523" s="7">
        <v>3.5514932432768775</v>
      </c>
      <c r="B523"/>
      <c r="C523"/>
      <c r="D523"/>
      <c r="E523"/>
      <c r="BO523" s="27" t="s">
        <v>8</v>
      </c>
      <c r="BQ523" s="27" t="s">
        <v>8</v>
      </c>
      <c r="BS523" s="27" t="s">
        <v>8</v>
      </c>
      <c r="BT523" s="27" t="s">
        <v>7</v>
      </c>
      <c r="BU523" s="27" t="s">
        <v>8</v>
      </c>
      <c r="EM523" s="27" t="s">
        <v>8</v>
      </c>
      <c r="ER523" s="27" t="s">
        <v>7</v>
      </c>
      <c r="ES523" s="27" t="s">
        <v>8</v>
      </c>
      <c r="ET523" s="27" t="s">
        <v>7</v>
      </c>
      <c r="EU523" s="27" t="s">
        <v>8</v>
      </c>
      <c r="EV523" s="27" t="s">
        <v>7</v>
      </c>
      <c r="HK523" s="27" t="s">
        <v>8</v>
      </c>
      <c r="HL523" s="27" t="s">
        <v>7</v>
      </c>
      <c r="HM523" s="27" t="s">
        <v>8</v>
      </c>
      <c r="HV523" s="27" t="s">
        <v>7</v>
      </c>
      <c r="HW523" s="27" t="s">
        <v>8</v>
      </c>
      <c r="HX523" s="27" t="s">
        <v>7</v>
      </c>
      <c r="HY523" s="27" t="s">
        <v>8</v>
      </c>
      <c r="HZ523" s="27" t="s">
        <v>7</v>
      </c>
      <c r="IA523" s="27" t="s">
        <v>8</v>
      </c>
      <c r="IB523" s="27" t="s">
        <v>7</v>
      </c>
      <c r="IC523" s="27" t="s">
        <v>8</v>
      </c>
      <c r="JN523" s="27" t="s">
        <v>7</v>
      </c>
      <c r="JO523" s="27" t="s">
        <v>8</v>
      </c>
      <c r="JP523" s="27" t="s">
        <v>7</v>
      </c>
      <c r="JQ523" s="27" t="s">
        <v>8</v>
      </c>
      <c r="JR523" s="27" t="s">
        <v>7</v>
      </c>
      <c r="JS523" s="27" t="s">
        <v>8</v>
      </c>
      <c r="JT523" s="27" t="s">
        <v>7</v>
      </c>
      <c r="JU523" s="27" t="s">
        <v>8</v>
      </c>
      <c r="JV523" s="27" t="s">
        <v>7</v>
      </c>
      <c r="JW523" s="27" t="s">
        <v>8</v>
      </c>
      <c r="JX523" s="27" t="s">
        <v>7</v>
      </c>
      <c r="KW523" s="27" t="s">
        <v>8</v>
      </c>
      <c r="KY523" s="27" t="s">
        <v>8</v>
      </c>
      <c r="KZ523" s="27" t="s">
        <v>7</v>
      </c>
      <c r="LA523" s="27" t="s">
        <v>8</v>
      </c>
      <c r="MN523" s="27" t="s">
        <v>7</v>
      </c>
      <c r="MO523" s="27" t="s">
        <v>8</v>
      </c>
      <c r="NN523" s="27" t="s">
        <v>7</v>
      </c>
    </row>
    <row r="524" spans="1:381" x14ac:dyDescent="0.25">
      <c r="A524" s="7">
        <v>3.4818561208596837</v>
      </c>
      <c r="B524"/>
      <c r="C524"/>
      <c r="D524"/>
      <c r="E524"/>
      <c r="BO524" s="27" t="s">
        <v>8</v>
      </c>
      <c r="BP524" s="27" t="s">
        <v>7</v>
      </c>
      <c r="BQ524" s="27" t="s">
        <v>8</v>
      </c>
      <c r="BR524" s="27" t="s">
        <v>7</v>
      </c>
      <c r="BS524" s="27" t="s">
        <v>8</v>
      </c>
      <c r="BT524" s="27" t="s">
        <v>7</v>
      </c>
      <c r="BU524" s="27" t="s">
        <v>8</v>
      </c>
      <c r="BV524" s="27" t="s">
        <v>7</v>
      </c>
      <c r="EM524" s="27" t="s">
        <v>8</v>
      </c>
      <c r="ER524" s="27" t="s">
        <v>7</v>
      </c>
      <c r="ET524" s="27" t="s">
        <v>7</v>
      </c>
      <c r="EU524" s="27" t="s">
        <v>8</v>
      </c>
      <c r="EV524" s="27" t="s">
        <v>7</v>
      </c>
      <c r="EW524" s="27" t="s">
        <v>8</v>
      </c>
      <c r="HI524" s="27" t="s">
        <v>8</v>
      </c>
      <c r="HK524" s="27" t="s">
        <v>8</v>
      </c>
      <c r="HL524" s="27" t="s">
        <v>7</v>
      </c>
      <c r="HV524" s="27" t="s">
        <v>7</v>
      </c>
      <c r="HW524" s="27" t="s">
        <v>8</v>
      </c>
      <c r="HX524" s="27" t="s">
        <v>7</v>
      </c>
      <c r="HY524" s="27" t="s">
        <v>8</v>
      </c>
      <c r="HZ524" s="27" t="s">
        <v>7</v>
      </c>
      <c r="IA524" s="27" t="s">
        <v>8</v>
      </c>
      <c r="IB524" s="27" t="s">
        <v>7</v>
      </c>
      <c r="JN524" s="27" t="s">
        <v>7</v>
      </c>
      <c r="JO524" s="27" t="s">
        <v>8</v>
      </c>
      <c r="JP524" s="27" t="s">
        <v>7</v>
      </c>
      <c r="JQ524" s="27" t="s">
        <v>8</v>
      </c>
      <c r="JR524" s="27" t="s">
        <v>7</v>
      </c>
      <c r="JS524" s="27" t="s">
        <v>8</v>
      </c>
      <c r="JT524" s="27" t="s">
        <v>7</v>
      </c>
      <c r="JU524" s="27" t="s">
        <v>8</v>
      </c>
      <c r="JV524" s="27" t="s">
        <v>7</v>
      </c>
      <c r="JW524" s="27" t="s">
        <v>8</v>
      </c>
      <c r="JX524" s="27" t="s">
        <v>7</v>
      </c>
      <c r="JY524" s="27" t="s">
        <v>8</v>
      </c>
      <c r="KU524" s="27" t="s">
        <v>8</v>
      </c>
      <c r="KW524" s="27" t="s">
        <v>8</v>
      </c>
      <c r="KX524" s="27" t="s">
        <v>7</v>
      </c>
      <c r="KY524" s="27" t="s">
        <v>8</v>
      </c>
      <c r="KZ524" s="27" t="s">
        <v>7</v>
      </c>
      <c r="LA524" s="27" t="s">
        <v>8</v>
      </c>
      <c r="MN524" s="27" t="s">
        <v>7</v>
      </c>
      <c r="MO524" s="27" t="s">
        <v>8</v>
      </c>
      <c r="NN524" s="27" t="s">
        <v>7</v>
      </c>
    </row>
    <row r="525" spans="1:381" x14ac:dyDescent="0.25">
      <c r="A525" s="7">
        <v>3.4135844322153761</v>
      </c>
      <c r="B525"/>
      <c r="C525"/>
      <c r="D525"/>
      <c r="E525"/>
      <c r="BO525" s="27" t="s">
        <v>8</v>
      </c>
      <c r="BP525" s="27" t="s">
        <v>7</v>
      </c>
      <c r="BQ525" s="27" t="s">
        <v>8</v>
      </c>
      <c r="BR525" s="27" t="s">
        <v>7</v>
      </c>
      <c r="BS525" s="27" t="s">
        <v>8</v>
      </c>
      <c r="BT525" s="27" t="s">
        <v>7</v>
      </c>
      <c r="BU525" s="27" t="s">
        <v>8</v>
      </c>
      <c r="BV525" s="27" t="s">
        <v>7</v>
      </c>
      <c r="EM525" s="27" t="s">
        <v>8</v>
      </c>
      <c r="ET525" s="27" t="s">
        <v>7</v>
      </c>
      <c r="EU525" s="27" t="s">
        <v>8</v>
      </c>
      <c r="EV525" s="27" t="s">
        <v>7</v>
      </c>
      <c r="EW525" s="27" t="s">
        <v>8</v>
      </c>
      <c r="EX525" s="27" t="s">
        <v>7</v>
      </c>
      <c r="HI525" s="27" t="s">
        <v>8</v>
      </c>
      <c r="HJ525" s="27" t="s">
        <v>7</v>
      </c>
      <c r="HK525" s="27" t="s">
        <v>8</v>
      </c>
      <c r="HV525" s="27" t="s">
        <v>7</v>
      </c>
      <c r="HW525" s="27" t="s">
        <v>8</v>
      </c>
      <c r="HX525" s="27" t="s">
        <v>7</v>
      </c>
      <c r="HY525" s="27" t="s">
        <v>8</v>
      </c>
      <c r="HZ525" s="27" t="s">
        <v>7</v>
      </c>
      <c r="IA525" s="27" t="s">
        <v>8</v>
      </c>
      <c r="JN525" s="27" t="s">
        <v>7</v>
      </c>
      <c r="JO525" s="27" t="s">
        <v>8</v>
      </c>
      <c r="JP525" s="27" t="s">
        <v>7</v>
      </c>
      <c r="JQ525" s="27" t="s">
        <v>8</v>
      </c>
      <c r="JR525" s="27" t="s">
        <v>7</v>
      </c>
      <c r="JS525" s="27" t="s">
        <v>8</v>
      </c>
      <c r="JT525" s="27" t="s">
        <v>7</v>
      </c>
      <c r="JU525" s="27" t="s">
        <v>8</v>
      </c>
      <c r="JV525" s="27" t="s">
        <v>7</v>
      </c>
      <c r="JW525" s="27" t="s">
        <v>8</v>
      </c>
      <c r="JX525" s="27" t="s">
        <v>7</v>
      </c>
      <c r="JY525" s="27" t="s">
        <v>8</v>
      </c>
      <c r="JZ525" s="27" t="s">
        <v>7</v>
      </c>
      <c r="KC525" s="27" t="s">
        <v>8</v>
      </c>
      <c r="KU525" s="27" t="s">
        <v>8</v>
      </c>
      <c r="KV525" s="27" t="s">
        <v>7</v>
      </c>
      <c r="KW525" s="27" t="s">
        <v>8</v>
      </c>
      <c r="KX525" s="27" t="s">
        <v>7</v>
      </c>
      <c r="KY525" s="27" t="s">
        <v>8</v>
      </c>
      <c r="KZ525" s="27" t="s">
        <v>7</v>
      </c>
      <c r="LA525" s="27" t="s">
        <v>8</v>
      </c>
      <c r="MN525" s="27" t="s">
        <v>7</v>
      </c>
      <c r="MO525" s="27" t="s">
        <v>8</v>
      </c>
      <c r="NN525" s="27" t="s">
        <v>7</v>
      </c>
    </row>
    <row r="526" spans="1:381" x14ac:dyDescent="0.25">
      <c r="A526" s="7">
        <v>3.3466514041327216</v>
      </c>
      <c r="B526"/>
      <c r="C526"/>
      <c r="D526"/>
      <c r="E526"/>
      <c r="BO526" s="27" t="s">
        <v>8</v>
      </c>
      <c r="BP526" s="27" t="s">
        <v>7</v>
      </c>
      <c r="BQ526" s="27" t="s">
        <v>8</v>
      </c>
      <c r="BR526" s="27" t="s">
        <v>7</v>
      </c>
      <c r="BS526" s="27" t="s">
        <v>8</v>
      </c>
      <c r="BT526" s="27" t="s">
        <v>7</v>
      </c>
      <c r="BU526" s="27" t="s">
        <v>8</v>
      </c>
      <c r="BV526" s="27" t="s">
        <v>7</v>
      </c>
      <c r="EK526" s="27" t="s">
        <v>8</v>
      </c>
      <c r="EM526" s="27" t="s">
        <v>8</v>
      </c>
      <c r="ET526" s="27" t="s">
        <v>7</v>
      </c>
      <c r="EU526" s="27" t="s">
        <v>8</v>
      </c>
      <c r="EV526" s="27" t="s">
        <v>7</v>
      </c>
      <c r="EW526" s="27" t="s">
        <v>8</v>
      </c>
      <c r="EX526" s="27" t="s">
        <v>7</v>
      </c>
      <c r="GY526" s="27" t="s">
        <v>8</v>
      </c>
      <c r="HI526" s="27" t="s">
        <v>8</v>
      </c>
      <c r="HJ526" s="27" t="s">
        <v>7</v>
      </c>
      <c r="HK526" s="27" t="s">
        <v>8</v>
      </c>
      <c r="HV526" s="27" t="s">
        <v>7</v>
      </c>
      <c r="HW526" s="27" t="s">
        <v>8</v>
      </c>
      <c r="HX526" s="27" t="s">
        <v>7</v>
      </c>
      <c r="HY526" s="27" t="s">
        <v>8</v>
      </c>
      <c r="HZ526" s="27" t="s">
        <v>7</v>
      </c>
      <c r="IA526" s="27" t="s">
        <v>8</v>
      </c>
      <c r="JN526" s="27" t="s">
        <v>7</v>
      </c>
      <c r="JO526" s="27" t="s">
        <v>8</v>
      </c>
      <c r="JP526" s="27" t="s">
        <v>7</v>
      </c>
      <c r="JQ526" s="27" t="s">
        <v>8</v>
      </c>
      <c r="JR526" s="27" t="s">
        <v>7</v>
      </c>
      <c r="JS526" s="27" t="s">
        <v>8</v>
      </c>
      <c r="JT526" s="27" t="s">
        <v>7</v>
      </c>
      <c r="JU526" s="27" t="s">
        <v>8</v>
      </c>
      <c r="JV526" s="27" t="s">
        <v>7</v>
      </c>
      <c r="JW526" s="27" t="s">
        <v>8</v>
      </c>
      <c r="JX526" s="27" t="s">
        <v>7</v>
      </c>
      <c r="JY526" s="27" t="s">
        <v>8</v>
      </c>
      <c r="JZ526" s="27" t="s">
        <v>7</v>
      </c>
      <c r="KA526" s="27" t="s">
        <v>8</v>
      </c>
      <c r="KC526" s="27" t="s">
        <v>8</v>
      </c>
      <c r="KD526" s="27" t="s">
        <v>7</v>
      </c>
      <c r="KU526" s="27" t="s">
        <v>8</v>
      </c>
      <c r="KV526" s="27" t="s">
        <v>7</v>
      </c>
      <c r="KW526" s="27" t="s">
        <v>8</v>
      </c>
      <c r="KX526" s="27" t="s">
        <v>7</v>
      </c>
      <c r="KY526" s="27" t="s">
        <v>8</v>
      </c>
      <c r="KZ526" s="27" t="s">
        <v>7</v>
      </c>
      <c r="LA526" s="27" t="s">
        <v>8</v>
      </c>
      <c r="MN526" s="27" t="s">
        <v>7</v>
      </c>
      <c r="MO526" s="27" t="s">
        <v>8</v>
      </c>
      <c r="NN526" s="27" t="s">
        <v>7</v>
      </c>
    </row>
    <row r="527" spans="1:381" x14ac:dyDescent="0.25">
      <c r="A527" s="7">
        <v>3.2810307883654133</v>
      </c>
      <c r="B527"/>
      <c r="C527"/>
      <c r="D527"/>
      <c r="E527"/>
      <c r="BO527" s="27" t="s">
        <v>8</v>
      </c>
      <c r="BP527" s="27" t="s">
        <v>7</v>
      </c>
      <c r="BQ527" s="27" t="s">
        <v>8</v>
      </c>
      <c r="BR527" s="27" t="s">
        <v>7</v>
      </c>
      <c r="BS527" s="27" t="s">
        <v>8</v>
      </c>
      <c r="BT527" s="27" t="s">
        <v>7</v>
      </c>
      <c r="BV527" s="27" t="s">
        <v>7</v>
      </c>
      <c r="CA527" s="27" t="s">
        <v>8</v>
      </c>
      <c r="EA527" s="27" t="s">
        <v>8</v>
      </c>
      <c r="EI527" s="27" t="s">
        <v>8</v>
      </c>
      <c r="EK527" s="27" t="s">
        <v>8</v>
      </c>
      <c r="EL527" s="27" t="s">
        <v>7</v>
      </c>
      <c r="EM527" s="27" t="s">
        <v>8</v>
      </c>
      <c r="ET527" s="27" t="s">
        <v>7</v>
      </c>
      <c r="EV527" s="27" t="s">
        <v>7</v>
      </c>
      <c r="EW527" s="27" t="s">
        <v>8</v>
      </c>
      <c r="EX527" s="27" t="s">
        <v>7</v>
      </c>
      <c r="GY527" s="27" t="s">
        <v>8</v>
      </c>
      <c r="GZ527" s="27" t="s">
        <v>7</v>
      </c>
      <c r="HI527" s="27" t="s">
        <v>8</v>
      </c>
      <c r="HJ527" s="27" t="s">
        <v>7</v>
      </c>
      <c r="HK527" s="27" t="s">
        <v>8</v>
      </c>
      <c r="HV527" s="27" t="s">
        <v>7</v>
      </c>
      <c r="HW527" s="27" t="s">
        <v>8</v>
      </c>
      <c r="HX527" s="27" t="s">
        <v>7</v>
      </c>
      <c r="HY527" s="27" t="s">
        <v>8</v>
      </c>
      <c r="HZ527" s="27" t="s">
        <v>7</v>
      </c>
      <c r="IA527" s="27" t="s">
        <v>8</v>
      </c>
      <c r="JN527" s="27" t="s">
        <v>7</v>
      </c>
      <c r="JO527" s="27" t="s">
        <v>8</v>
      </c>
      <c r="JP527" s="27" t="s">
        <v>7</v>
      </c>
      <c r="JQ527" s="27" t="s">
        <v>8</v>
      </c>
      <c r="JR527" s="27" t="s">
        <v>7</v>
      </c>
      <c r="JS527" s="27" t="s">
        <v>8</v>
      </c>
      <c r="JT527" s="27" t="s">
        <v>7</v>
      </c>
      <c r="JU527" s="27" t="s">
        <v>8</v>
      </c>
      <c r="JV527" s="27" t="s">
        <v>7</v>
      </c>
      <c r="JX527" s="27" t="s">
        <v>7</v>
      </c>
      <c r="JY527" s="27" t="s">
        <v>8</v>
      </c>
      <c r="JZ527" s="27" t="s">
        <v>7</v>
      </c>
      <c r="KA527" s="27" t="s">
        <v>8</v>
      </c>
      <c r="KB527" s="27" t="s">
        <v>7</v>
      </c>
      <c r="KC527" s="27" t="s">
        <v>8</v>
      </c>
      <c r="KD527" s="27" t="s">
        <v>7</v>
      </c>
      <c r="KS527" s="27" t="s">
        <v>8</v>
      </c>
      <c r="KU527" s="27" t="s">
        <v>8</v>
      </c>
      <c r="KV527" s="27" t="s">
        <v>7</v>
      </c>
      <c r="KW527" s="27" t="s">
        <v>8</v>
      </c>
      <c r="KX527" s="27" t="s">
        <v>7</v>
      </c>
      <c r="KZ527" s="27" t="s">
        <v>7</v>
      </c>
      <c r="MN527" s="27" t="s">
        <v>7</v>
      </c>
      <c r="NN527" s="27" t="s">
        <v>7</v>
      </c>
    </row>
    <row r="528" spans="1:381" x14ac:dyDescent="0.25">
      <c r="A528" s="7">
        <v>3.2166968513386403</v>
      </c>
      <c r="B528"/>
      <c r="C528"/>
      <c r="D528"/>
      <c r="E528"/>
      <c r="BO528" s="27" t="s">
        <v>8</v>
      </c>
      <c r="BP528" s="27" t="s">
        <v>7</v>
      </c>
      <c r="BQ528" s="27" t="s">
        <v>8</v>
      </c>
      <c r="BR528" s="27" t="s">
        <v>7</v>
      </c>
      <c r="BS528" s="27" t="s">
        <v>8</v>
      </c>
      <c r="BV528" s="27" t="s">
        <v>7</v>
      </c>
      <c r="CA528" s="27" t="s">
        <v>8</v>
      </c>
      <c r="CB528" s="27" t="s">
        <v>7</v>
      </c>
      <c r="EA528" s="27" t="s">
        <v>8</v>
      </c>
      <c r="EB528" s="27" t="s">
        <v>7</v>
      </c>
      <c r="EC528" s="27" t="s">
        <v>8</v>
      </c>
      <c r="EI528" s="27" t="s">
        <v>8</v>
      </c>
      <c r="EJ528" s="27" t="s">
        <v>7</v>
      </c>
      <c r="EK528" s="27" t="s">
        <v>8</v>
      </c>
      <c r="EL528" s="27" t="s">
        <v>7</v>
      </c>
      <c r="EM528" s="27" t="s">
        <v>8</v>
      </c>
      <c r="EV528" s="27" t="s">
        <v>7</v>
      </c>
      <c r="EW528" s="27" t="s">
        <v>8</v>
      </c>
      <c r="EX528" s="27" t="s">
        <v>7</v>
      </c>
      <c r="GW528" s="27" t="s">
        <v>8</v>
      </c>
      <c r="GY528" s="27" t="s">
        <v>8</v>
      </c>
      <c r="GZ528" s="27" t="s">
        <v>7</v>
      </c>
      <c r="HI528" s="27" t="s">
        <v>8</v>
      </c>
      <c r="HJ528" s="27" t="s">
        <v>7</v>
      </c>
      <c r="HK528" s="27" t="s">
        <v>8</v>
      </c>
      <c r="HV528" s="27" t="s">
        <v>7</v>
      </c>
      <c r="HW528" s="27" t="s">
        <v>8</v>
      </c>
      <c r="HX528" s="27" t="s">
        <v>7</v>
      </c>
      <c r="HZ528" s="27" t="s">
        <v>7</v>
      </c>
      <c r="JN528" s="27" t="s">
        <v>7</v>
      </c>
      <c r="JO528" s="27" t="s">
        <v>8</v>
      </c>
      <c r="JP528" s="27" t="s">
        <v>7</v>
      </c>
      <c r="JQ528" s="27" t="s">
        <v>8</v>
      </c>
      <c r="JR528" s="27" t="s">
        <v>7</v>
      </c>
      <c r="JS528" s="27" t="s">
        <v>8</v>
      </c>
      <c r="JT528" s="27" t="s">
        <v>7</v>
      </c>
      <c r="JU528" s="27" t="s">
        <v>8</v>
      </c>
      <c r="JX528" s="27" t="s">
        <v>7</v>
      </c>
      <c r="JY528" s="27" t="s">
        <v>8</v>
      </c>
      <c r="JZ528" s="27" t="s">
        <v>7</v>
      </c>
      <c r="KA528" s="27" t="s">
        <v>8</v>
      </c>
      <c r="KB528" s="27" t="s">
        <v>7</v>
      </c>
      <c r="KC528" s="27" t="s">
        <v>8</v>
      </c>
      <c r="KD528" s="27" t="s">
        <v>7</v>
      </c>
      <c r="KS528" s="27" t="s">
        <v>8</v>
      </c>
      <c r="KT528" s="27" t="s">
        <v>7</v>
      </c>
      <c r="KU528" s="27" t="s">
        <v>8</v>
      </c>
      <c r="KV528" s="27" t="s">
        <v>7</v>
      </c>
      <c r="KW528" s="27" t="s">
        <v>8</v>
      </c>
      <c r="NN528" s="27" t="s">
        <v>7</v>
      </c>
      <c r="NQ528" s="27" t="s">
        <v>8</v>
      </c>
    </row>
    <row r="529" spans="1:382" x14ac:dyDescent="0.25">
      <c r="A529" s="7">
        <v>3.1536243640574906</v>
      </c>
      <c r="B529"/>
      <c r="C529"/>
      <c r="D529"/>
      <c r="E529"/>
      <c r="BO529" s="27" t="s">
        <v>8</v>
      </c>
      <c r="BP529" s="27" t="s">
        <v>7</v>
      </c>
      <c r="BQ529" s="27" t="s">
        <v>8</v>
      </c>
      <c r="BR529" s="27" t="s">
        <v>7</v>
      </c>
      <c r="BS529" s="27" t="s">
        <v>8</v>
      </c>
      <c r="BV529" s="27" t="s">
        <v>7</v>
      </c>
      <c r="CA529" s="27" t="s">
        <v>8</v>
      </c>
      <c r="CB529" s="27" t="s">
        <v>7</v>
      </c>
      <c r="DY529" s="27" t="s">
        <v>8</v>
      </c>
      <c r="EA529" s="27" t="s">
        <v>8</v>
      </c>
      <c r="EB529" s="27" t="s">
        <v>7</v>
      </c>
      <c r="EC529" s="27" t="s">
        <v>8</v>
      </c>
      <c r="ED529" s="27" t="s">
        <v>7</v>
      </c>
      <c r="EI529" s="27" t="s">
        <v>8</v>
      </c>
      <c r="EJ529" s="27" t="s">
        <v>7</v>
      </c>
      <c r="EK529" s="27" t="s">
        <v>8</v>
      </c>
      <c r="EL529" s="27" t="s">
        <v>7</v>
      </c>
      <c r="EM529" s="27" t="s">
        <v>8</v>
      </c>
      <c r="EV529" s="27" t="s">
        <v>7</v>
      </c>
      <c r="EX529" s="27" t="s">
        <v>7</v>
      </c>
      <c r="GU529" s="27" t="s">
        <v>8</v>
      </c>
      <c r="GW529" s="27" t="s">
        <v>8</v>
      </c>
      <c r="GX529" s="27" t="s">
        <v>7</v>
      </c>
      <c r="GY529" s="27" t="s">
        <v>8</v>
      </c>
      <c r="GZ529" s="27" t="s">
        <v>7</v>
      </c>
      <c r="HA529" s="27" t="s">
        <v>8</v>
      </c>
      <c r="HG529" s="27" t="s">
        <v>8</v>
      </c>
      <c r="HI529" s="27" t="s">
        <v>8</v>
      </c>
      <c r="HJ529" s="27" t="s">
        <v>7</v>
      </c>
      <c r="HK529" s="27" t="s">
        <v>8</v>
      </c>
      <c r="HV529" s="27" t="s">
        <v>7</v>
      </c>
      <c r="HW529" s="27" t="s">
        <v>8</v>
      </c>
      <c r="JN529" s="27" t="s">
        <v>7</v>
      </c>
      <c r="JO529" s="27" t="s">
        <v>8</v>
      </c>
      <c r="JP529" s="27" t="s">
        <v>7</v>
      </c>
      <c r="JR529" s="27" t="s">
        <v>7</v>
      </c>
      <c r="JS529" s="27" t="s">
        <v>8</v>
      </c>
      <c r="JT529" s="27" t="s">
        <v>7</v>
      </c>
      <c r="JU529" s="27" t="s">
        <v>8</v>
      </c>
      <c r="JX529" s="27" t="s">
        <v>7</v>
      </c>
      <c r="JY529" s="27" t="s">
        <v>8</v>
      </c>
      <c r="JZ529" s="27" t="s">
        <v>7</v>
      </c>
      <c r="KA529" s="27" t="s">
        <v>8</v>
      </c>
      <c r="KB529" s="27" t="s">
        <v>7</v>
      </c>
      <c r="KC529" s="27" t="s">
        <v>8</v>
      </c>
      <c r="KD529" s="27" t="s">
        <v>7</v>
      </c>
      <c r="KS529" s="27" t="s">
        <v>8</v>
      </c>
      <c r="KT529" s="27" t="s">
        <v>7</v>
      </c>
      <c r="KU529" s="27" t="s">
        <v>8</v>
      </c>
      <c r="KV529" s="27" t="s">
        <v>7</v>
      </c>
      <c r="NN529" s="27" t="s">
        <v>7</v>
      </c>
      <c r="NO529" s="27" t="s">
        <v>8</v>
      </c>
      <c r="NQ529" s="27" t="s">
        <v>8</v>
      </c>
      <c r="NR529" s="27" t="s">
        <v>7</v>
      </c>
    </row>
    <row r="530" spans="1:382" x14ac:dyDescent="0.25">
      <c r="A530" s="7">
        <v>3.0917885922132262</v>
      </c>
      <c r="B530"/>
      <c r="C530"/>
      <c r="D530"/>
      <c r="E530"/>
      <c r="BO530" s="27" t="s">
        <v>8</v>
      </c>
      <c r="BP530" s="27" t="s">
        <v>7</v>
      </c>
      <c r="BQ530" s="27" t="s">
        <v>8</v>
      </c>
      <c r="BR530" s="27" t="s">
        <v>7</v>
      </c>
      <c r="BS530" s="27" t="s">
        <v>8</v>
      </c>
      <c r="BV530" s="27" t="s">
        <v>7</v>
      </c>
      <c r="CA530" s="27" t="s">
        <v>8</v>
      </c>
      <c r="CB530" s="27" t="s">
        <v>7</v>
      </c>
      <c r="DK530" s="27" t="s">
        <v>8</v>
      </c>
      <c r="DY530" s="27" t="s">
        <v>8</v>
      </c>
      <c r="DZ530" s="27" t="s">
        <v>7</v>
      </c>
      <c r="EA530" s="27" t="s">
        <v>8</v>
      </c>
      <c r="EB530" s="27" t="s">
        <v>7</v>
      </c>
      <c r="EC530" s="27" t="s">
        <v>8</v>
      </c>
      <c r="ED530" s="27" t="s">
        <v>7</v>
      </c>
      <c r="EG530" s="27" t="s">
        <v>8</v>
      </c>
      <c r="EI530" s="27" t="s">
        <v>8</v>
      </c>
      <c r="EJ530" s="27" t="s">
        <v>7</v>
      </c>
      <c r="EL530" s="27" t="s">
        <v>7</v>
      </c>
      <c r="EM530" s="27" t="s">
        <v>8</v>
      </c>
      <c r="EX530" s="27" t="s">
        <v>7</v>
      </c>
      <c r="GU530" s="27" t="s">
        <v>8</v>
      </c>
      <c r="GV530" s="27" t="s">
        <v>7</v>
      </c>
      <c r="GW530" s="27" t="s">
        <v>8</v>
      </c>
      <c r="GX530" s="27" t="s">
        <v>7</v>
      </c>
      <c r="GY530" s="27" t="s">
        <v>8</v>
      </c>
      <c r="GZ530" s="27" t="s">
        <v>7</v>
      </c>
      <c r="HA530" s="27" t="s">
        <v>8</v>
      </c>
      <c r="HB530" s="27" t="s">
        <v>7</v>
      </c>
      <c r="HG530" s="27" t="s">
        <v>8</v>
      </c>
      <c r="HH530" s="27" t="s">
        <v>7</v>
      </c>
      <c r="HI530" s="27" t="s">
        <v>8</v>
      </c>
      <c r="HJ530" s="27" t="s">
        <v>7</v>
      </c>
      <c r="HV530" s="27" t="s">
        <v>7</v>
      </c>
      <c r="HW530" s="27" t="s">
        <v>8</v>
      </c>
      <c r="JN530" s="27" t="s">
        <v>7</v>
      </c>
      <c r="JO530" s="27" t="s">
        <v>8</v>
      </c>
      <c r="JR530" s="27" t="s">
        <v>7</v>
      </c>
      <c r="JS530" s="27" t="s">
        <v>8</v>
      </c>
      <c r="JT530" s="27" t="s">
        <v>7</v>
      </c>
      <c r="JU530" s="27" t="s">
        <v>8</v>
      </c>
      <c r="JX530" s="27" t="s">
        <v>7</v>
      </c>
      <c r="JZ530" s="27" t="s">
        <v>7</v>
      </c>
      <c r="KA530" s="27" t="s">
        <v>8</v>
      </c>
      <c r="KB530" s="27" t="s">
        <v>7</v>
      </c>
      <c r="KD530" s="27" t="s">
        <v>7</v>
      </c>
      <c r="KI530" s="27" t="s">
        <v>8</v>
      </c>
      <c r="KQ530" s="27" t="s">
        <v>8</v>
      </c>
      <c r="KS530" s="27" t="s">
        <v>8</v>
      </c>
      <c r="KT530" s="27" t="s">
        <v>7</v>
      </c>
      <c r="KU530" s="27" t="s">
        <v>8</v>
      </c>
      <c r="NN530" s="27" t="s">
        <v>7</v>
      </c>
      <c r="NO530" s="27" t="s">
        <v>8</v>
      </c>
      <c r="NP530" s="27" t="s">
        <v>7</v>
      </c>
      <c r="NQ530" s="27" t="s">
        <v>8</v>
      </c>
      <c r="NR530" s="27" t="s">
        <v>7</v>
      </c>
    </row>
    <row r="531" spans="1:382" x14ac:dyDescent="0.25">
      <c r="A531" s="7">
        <v>3.0311652864835552</v>
      </c>
      <c r="B531"/>
      <c r="C531"/>
      <c r="D531"/>
      <c r="E531"/>
      <c r="BO531" s="27" t="s">
        <v>8</v>
      </c>
      <c r="BP531" s="27" t="s">
        <v>7</v>
      </c>
      <c r="BQ531" s="27" t="s">
        <v>8</v>
      </c>
      <c r="BR531" s="27" t="s">
        <v>7</v>
      </c>
      <c r="BS531" s="27" t="s">
        <v>8</v>
      </c>
      <c r="BV531" s="27" t="s">
        <v>7</v>
      </c>
      <c r="CA531" s="27" t="s">
        <v>8</v>
      </c>
      <c r="CB531" s="27" t="s">
        <v>7</v>
      </c>
      <c r="CY531" s="27" t="s">
        <v>8</v>
      </c>
      <c r="DK531" s="27" t="s">
        <v>8</v>
      </c>
      <c r="DL531" s="27" t="s">
        <v>7</v>
      </c>
      <c r="DM531" s="27" t="s">
        <v>8</v>
      </c>
      <c r="DY531" s="27" t="s">
        <v>8</v>
      </c>
      <c r="DZ531" s="27" t="s">
        <v>7</v>
      </c>
      <c r="EA531" s="27" t="s">
        <v>8</v>
      </c>
      <c r="EB531" s="27" t="s">
        <v>7</v>
      </c>
      <c r="EC531" s="27" t="s">
        <v>8</v>
      </c>
      <c r="ED531" s="27" t="s">
        <v>7</v>
      </c>
      <c r="EG531" s="27" t="s">
        <v>8</v>
      </c>
      <c r="EH531" s="27" t="s">
        <v>7</v>
      </c>
      <c r="EI531" s="27" t="s">
        <v>8</v>
      </c>
      <c r="EL531" s="27" t="s">
        <v>7</v>
      </c>
      <c r="EM531" s="27" t="s">
        <v>8</v>
      </c>
      <c r="EX531" s="27" t="s">
        <v>7</v>
      </c>
      <c r="GU531" s="27" t="s">
        <v>8</v>
      </c>
      <c r="GV531" s="27" t="s">
        <v>7</v>
      </c>
      <c r="GW531" s="27" t="s">
        <v>8</v>
      </c>
      <c r="GX531" s="27" t="s">
        <v>7</v>
      </c>
      <c r="GY531" s="27" t="s">
        <v>8</v>
      </c>
      <c r="GZ531" s="27" t="s">
        <v>7</v>
      </c>
      <c r="HA531" s="27" t="s">
        <v>8</v>
      </c>
      <c r="HB531" s="27" t="s">
        <v>7</v>
      </c>
      <c r="HC531" s="27" t="s">
        <v>8</v>
      </c>
      <c r="HG531" s="27" t="s">
        <v>8</v>
      </c>
      <c r="HH531" s="27" t="s">
        <v>7</v>
      </c>
      <c r="HI531" s="27" t="s">
        <v>8</v>
      </c>
      <c r="HV531" s="27" t="s">
        <v>7</v>
      </c>
      <c r="HW531" s="27" t="s">
        <v>8</v>
      </c>
      <c r="JN531" s="27" t="s">
        <v>7</v>
      </c>
      <c r="JO531" s="27" t="s">
        <v>8</v>
      </c>
      <c r="JR531" s="27" t="s">
        <v>7</v>
      </c>
      <c r="JS531" s="27" t="s">
        <v>8</v>
      </c>
      <c r="JT531" s="27" t="s">
        <v>7</v>
      </c>
      <c r="JZ531" s="27" t="s">
        <v>7</v>
      </c>
      <c r="KA531" s="27" t="s">
        <v>8</v>
      </c>
      <c r="KD531" s="27" t="s">
        <v>7</v>
      </c>
      <c r="KG531" s="27" t="s">
        <v>8</v>
      </c>
      <c r="KI531" s="27" t="s">
        <v>8</v>
      </c>
      <c r="KJ531" s="27" t="s">
        <v>7</v>
      </c>
      <c r="KQ531" s="27" t="s">
        <v>8</v>
      </c>
      <c r="KR531" s="27" t="s">
        <v>7</v>
      </c>
      <c r="KS531" s="27" t="s">
        <v>8</v>
      </c>
      <c r="KT531" s="27" t="s">
        <v>7</v>
      </c>
      <c r="NN531" s="27" t="s">
        <v>7</v>
      </c>
      <c r="NO531" s="27" t="s">
        <v>8</v>
      </c>
      <c r="NP531" s="27" t="s">
        <v>7</v>
      </c>
      <c r="NQ531" s="27" t="s">
        <v>8</v>
      </c>
      <c r="NR531" s="27" t="s">
        <v>7</v>
      </c>
    </row>
    <row r="532" spans="1:382" x14ac:dyDescent="0.25">
      <c r="A532" s="7">
        <v>2.9717306730230932</v>
      </c>
      <c r="B532"/>
      <c r="C532"/>
      <c r="D532"/>
      <c r="E532"/>
      <c r="BO532" s="27" t="s">
        <v>8</v>
      </c>
      <c r="BP532" s="27" t="s">
        <v>7</v>
      </c>
      <c r="BQ532" s="27" t="s">
        <v>8</v>
      </c>
      <c r="BR532" s="27" t="s">
        <v>7</v>
      </c>
      <c r="BS532" s="27" t="s">
        <v>8</v>
      </c>
      <c r="BV532" s="27" t="s">
        <v>7</v>
      </c>
      <c r="BW532" s="27" t="s">
        <v>8</v>
      </c>
      <c r="CA532" s="27" t="s">
        <v>8</v>
      </c>
      <c r="CB532" s="27" t="s">
        <v>7</v>
      </c>
      <c r="CY532" s="27" t="s">
        <v>8</v>
      </c>
      <c r="CZ532" s="27" t="s">
        <v>7</v>
      </c>
      <c r="DK532" s="27" t="s">
        <v>8</v>
      </c>
      <c r="DL532" s="27" t="s">
        <v>7</v>
      </c>
      <c r="DM532" s="27" t="s">
        <v>8</v>
      </c>
      <c r="DN532" s="27" t="s">
        <v>7</v>
      </c>
      <c r="DY532" s="27" t="s">
        <v>8</v>
      </c>
      <c r="DZ532" s="27" t="s">
        <v>7</v>
      </c>
      <c r="EA532" s="27" t="s">
        <v>8</v>
      </c>
      <c r="EB532" s="27" t="s">
        <v>7</v>
      </c>
      <c r="EC532" s="27" t="s">
        <v>8</v>
      </c>
      <c r="ED532" s="27" t="s">
        <v>7</v>
      </c>
      <c r="EG532" s="27" t="s">
        <v>8</v>
      </c>
      <c r="EH532" s="27" t="s">
        <v>7</v>
      </c>
      <c r="EI532" s="27" t="s">
        <v>8</v>
      </c>
      <c r="EL532" s="27" t="s">
        <v>7</v>
      </c>
      <c r="EX532" s="27" t="s">
        <v>7</v>
      </c>
      <c r="GU532" s="27" t="s">
        <v>8</v>
      </c>
      <c r="GV532" s="27" t="s">
        <v>7</v>
      </c>
      <c r="GW532" s="27" t="s">
        <v>8</v>
      </c>
      <c r="GX532" s="27" t="s">
        <v>7</v>
      </c>
      <c r="GY532" s="27" t="s">
        <v>8</v>
      </c>
      <c r="GZ532" s="27" t="s">
        <v>7</v>
      </c>
      <c r="HA532" s="27" t="s">
        <v>8</v>
      </c>
      <c r="HB532" s="27" t="s">
        <v>7</v>
      </c>
      <c r="HC532" s="27" t="s">
        <v>8</v>
      </c>
      <c r="HD532" s="27" t="s">
        <v>7</v>
      </c>
      <c r="HE532" s="27" t="s">
        <v>8</v>
      </c>
      <c r="HG532" s="27" t="s">
        <v>8</v>
      </c>
      <c r="HH532" s="27" t="s">
        <v>7</v>
      </c>
      <c r="HI532" s="27" t="s">
        <v>8</v>
      </c>
      <c r="HV532" s="27" t="s">
        <v>7</v>
      </c>
      <c r="HW532" s="27" t="s">
        <v>8</v>
      </c>
      <c r="JN532" s="27" t="s">
        <v>7</v>
      </c>
      <c r="JO532" s="27" t="s">
        <v>8</v>
      </c>
      <c r="JR532" s="27" t="s">
        <v>7</v>
      </c>
      <c r="JS532" s="27" t="s">
        <v>8</v>
      </c>
      <c r="JZ532" s="27" t="s">
        <v>7</v>
      </c>
      <c r="KD532" s="27" t="s">
        <v>7</v>
      </c>
      <c r="KG532" s="27" t="s">
        <v>8</v>
      </c>
      <c r="KH532" s="27" t="s">
        <v>7</v>
      </c>
      <c r="KI532" s="27" t="s">
        <v>8</v>
      </c>
      <c r="KJ532" s="27" t="s">
        <v>7</v>
      </c>
      <c r="KK532" s="27" t="s">
        <v>8</v>
      </c>
      <c r="KQ532" s="27" t="s">
        <v>8</v>
      </c>
      <c r="KR532" s="27" t="s">
        <v>7</v>
      </c>
      <c r="KS532" s="27" t="s">
        <v>8</v>
      </c>
      <c r="NN532" s="27" t="s">
        <v>7</v>
      </c>
      <c r="NO532" s="27" t="s">
        <v>8</v>
      </c>
      <c r="NP532" s="27" t="s">
        <v>7</v>
      </c>
      <c r="NQ532" s="27" t="s">
        <v>8</v>
      </c>
      <c r="NR532" s="27" t="s">
        <v>7</v>
      </c>
    </row>
    <row r="533" spans="1:382" x14ac:dyDescent="0.25">
      <c r="A533" s="7">
        <v>2.9134614441402875</v>
      </c>
      <c r="B533"/>
      <c r="C533"/>
      <c r="D533"/>
      <c r="E533"/>
      <c r="BO533" s="27" t="s">
        <v>8</v>
      </c>
      <c r="BP533" s="27" t="s">
        <v>7</v>
      </c>
      <c r="BR533" s="27" t="s">
        <v>7</v>
      </c>
      <c r="BS533" s="27" t="s">
        <v>8</v>
      </c>
      <c r="BV533" s="27" t="s">
        <v>7</v>
      </c>
      <c r="BW533" s="27" t="s">
        <v>8</v>
      </c>
      <c r="BX533" s="27" t="s">
        <v>7</v>
      </c>
      <c r="CA533" s="27" t="s">
        <v>8</v>
      </c>
      <c r="CB533" s="27" t="s">
        <v>7</v>
      </c>
      <c r="CY533" s="27" t="s">
        <v>8</v>
      </c>
      <c r="CZ533" s="27" t="s">
        <v>7</v>
      </c>
      <c r="DC533" s="27" t="s">
        <v>8</v>
      </c>
      <c r="DK533" s="27" t="s">
        <v>8</v>
      </c>
      <c r="DL533" s="27" t="s">
        <v>7</v>
      </c>
      <c r="DM533" s="27" t="s">
        <v>8</v>
      </c>
      <c r="DN533" s="27" t="s">
        <v>7</v>
      </c>
      <c r="DY533" s="27" t="s">
        <v>8</v>
      </c>
      <c r="DZ533" s="27" t="s">
        <v>7</v>
      </c>
      <c r="EA533" s="27" t="s">
        <v>8</v>
      </c>
      <c r="EB533" s="27" t="s">
        <v>7</v>
      </c>
      <c r="EC533" s="27" t="s">
        <v>8</v>
      </c>
      <c r="ED533" s="27" t="s">
        <v>7</v>
      </c>
      <c r="EE533" s="27" t="s">
        <v>8</v>
      </c>
      <c r="EG533" s="27" t="s">
        <v>8</v>
      </c>
      <c r="EH533" s="27" t="s">
        <v>7</v>
      </c>
      <c r="EI533" s="27" t="s">
        <v>8</v>
      </c>
      <c r="EX533" s="27" t="s">
        <v>7</v>
      </c>
      <c r="GC533" s="27" t="s">
        <v>8</v>
      </c>
      <c r="GS533" s="27" t="s">
        <v>8</v>
      </c>
      <c r="GU533" s="27" t="s">
        <v>8</v>
      </c>
      <c r="GV533" s="27" t="s">
        <v>7</v>
      </c>
      <c r="GW533" s="27" t="s">
        <v>8</v>
      </c>
      <c r="GX533" s="27" t="s">
        <v>7</v>
      </c>
      <c r="GY533" s="27" t="s">
        <v>8</v>
      </c>
      <c r="GZ533" s="27" t="s">
        <v>7</v>
      </c>
      <c r="HB533" s="27" t="s">
        <v>7</v>
      </c>
      <c r="HC533" s="27" t="s">
        <v>8</v>
      </c>
      <c r="HD533" s="27" t="s">
        <v>7</v>
      </c>
      <c r="HE533" s="27" t="s">
        <v>8</v>
      </c>
      <c r="HF533" s="27" t="s">
        <v>7</v>
      </c>
      <c r="HG533" s="27" t="s">
        <v>8</v>
      </c>
      <c r="HH533" s="27" t="s">
        <v>7</v>
      </c>
      <c r="HI533" s="27" t="s">
        <v>8</v>
      </c>
      <c r="HV533" s="27" t="s">
        <v>7</v>
      </c>
      <c r="JN533" s="27" t="s">
        <v>7</v>
      </c>
      <c r="JO533" s="27" t="s">
        <v>8</v>
      </c>
      <c r="JR533" s="27" t="s">
        <v>7</v>
      </c>
      <c r="JS533" s="27" t="s">
        <v>8</v>
      </c>
      <c r="KD533" s="27" t="s">
        <v>7</v>
      </c>
      <c r="KG533" s="27" t="s">
        <v>8</v>
      </c>
      <c r="KH533" s="27" t="s">
        <v>7</v>
      </c>
      <c r="KI533" s="27" t="s">
        <v>8</v>
      </c>
      <c r="KJ533" s="27" t="s">
        <v>7</v>
      </c>
      <c r="KK533" s="27" t="s">
        <v>8</v>
      </c>
      <c r="KL533" s="27" t="s">
        <v>7</v>
      </c>
      <c r="KM533" s="27" t="s">
        <v>8</v>
      </c>
      <c r="KQ533" s="27" t="s">
        <v>8</v>
      </c>
      <c r="KR533" s="27" t="s">
        <v>7</v>
      </c>
      <c r="KS533" s="27" t="s">
        <v>8</v>
      </c>
      <c r="NN533" s="27" t="s">
        <v>7</v>
      </c>
      <c r="NO533" s="27" t="s">
        <v>8</v>
      </c>
      <c r="NP533" s="27" t="s">
        <v>7</v>
      </c>
      <c r="NQ533" s="27" t="s">
        <v>8</v>
      </c>
      <c r="NR533" s="27" t="s">
        <v>7</v>
      </c>
    </row>
    <row r="534" spans="1:382" x14ac:dyDescent="0.25">
      <c r="A534" s="7">
        <v>2.8563347491571447</v>
      </c>
      <c r="B534"/>
      <c r="C534"/>
      <c r="D534"/>
      <c r="E534"/>
      <c r="BO534" s="27" t="s">
        <v>8</v>
      </c>
      <c r="BR534" s="27" t="s">
        <v>7</v>
      </c>
      <c r="BS534" s="27" t="s">
        <v>8</v>
      </c>
      <c r="BV534" s="27" t="s">
        <v>7</v>
      </c>
      <c r="BW534" s="27" t="s">
        <v>8</v>
      </c>
      <c r="BX534" s="27" t="s">
        <v>7</v>
      </c>
      <c r="BY534" s="27" t="s">
        <v>8</v>
      </c>
      <c r="CA534" s="27" t="s">
        <v>8</v>
      </c>
      <c r="CB534" s="27" t="s">
        <v>7</v>
      </c>
      <c r="CW534" s="27" t="s">
        <v>8</v>
      </c>
      <c r="CY534" s="27" t="s">
        <v>8</v>
      </c>
      <c r="CZ534" s="27" t="s">
        <v>7</v>
      </c>
      <c r="DC534" s="27" t="s">
        <v>8</v>
      </c>
      <c r="DD534" s="27" t="s">
        <v>7</v>
      </c>
      <c r="DG534" s="27" t="s">
        <v>8</v>
      </c>
      <c r="DI534" s="27" t="s">
        <v>8</v>
      </c>
      <c r="DK534" s="27" t="s">
        <v>8</v>
      </c>
      <c r="DL534" s="27" t="s">
        <v>7</v>
      </c>
      <c r="DN534" s="27" t="s">
        <v>7</v>
      </c>
      <c r="DS534" s="27" t="s">
        <v>8</v>
      </c>
      <c r="DY534" s="27" t="s">
        <v>8</v>
      </c>
      <c r="DZ534" s="27" t="s">
        <v>7</v>
      </c>
      <c r="EA534" s="27" t="s">
        <v>8</v>
      </c>
      <c r="EB534" s="27" t="s">
        <v>7</v>
      </c>
      <c r="EC534" s="27" t="s">
        <v>8</v>
      </c>
      <c r="ED534" s="27" t="s">
        <v>7</v>
      </c>
      <c r="EE534" s="27" t="s">
        <v>8</v>
      </c>
      <c r="EF534" s="27" t="s">
        <v>7</v>
      </c>
      <c r="EG534" s="27" t="s">
        <v>8</v>
      </c>
      <c r="EH534" s="27" t="s">
        <v>7</v>
      </c>
      <c r="EX534" s="27" t="s">
        <v>7</v>
      </c>
      <c r="GC534" s="27" t="s">
        <v>8</v>
      </c>
      <c r="GD534" s="27" t="s">
        <v>7</v>
      </c>
      <c r="GS534" s="27" t="s">
        <v>8</v>
      </c>
      <c r="GT534" s="27" t="s">
        <v>7</v>
      </c>
      <c r="GU534" s="27" t="s">
        <v>8</v>
      </c>
      <c r="GV534" s="27" t="s">
        <v>7</v>
      </c>
      <c r="GW534" s="27" t="s">
        <v>8</v>
      </c>
      <c r="GX534" s="27" t="s">
        <v>7</v>
      </c>
      <c r="GY534" s="27" t="s">
        <v>8</v>
      </c>
      <c r="HB534" s="27" t="s">
        <v>7</v>
      </c>
      <c r="HC534" s="27" t="s">
        <v>8</v>
      </c>
      <c r="HD534" s="27" t="s">
        <v>7</v>
      </c>
      <c r="HE534" s="27" t="s">
        <v>8</v>
      </c>
      <c r="HF534" s="27" t="s">
        <v>7</v>
      </c>
      <c r="HG534" s="27" t="s">
        <v>8</v>
      </c>
      <c r="HH534" s="27" t="s">
        <v>7</v>
      </c>
      <c r="JN534" s="27" t="s">
        <v>7</v>
      </c>
      <c r="JO534" s="27" t="s">
        <v>8</v>
      </c>
      <c r="JR534" s="27" t="s">
        <v>7</v>
      </c>
      <c r="JS534" s="27" t="s">
        <v>8</v>
      </c>
      <c r="KD534" s="27" t="s">
        <v>7</v>
      </c>
      <c r="KE534" s="27" t="s">
        <v>8</v>
      </c>
      <c r="KG534" s="27" t="s">
        <v>8</v>
      </c>
      <c r="KH534" s="27" t="s">
        <v>7</v>
      </c>
      <c r="KI534" s="27" t="s">
        <v>8</v>
      </c>
      <c r="KJ534" s="27" t="s">
        <v>7</v>
      </c>
      <c r="KK534" s="27" t="s">
        <v>8</v>
      </c>
      <c r="KL534" s="27" t="s">
        <v>7</v>
      </c>
      <c r="KM534" s="27" t="s">
        <v>8</v>
      </c>
      <c r="KN534" s="27" t="s">
        <v>7</v>
      </c>
      <c r="KQ534" s="27" t="s">
        <v>8</v>
      </c>
      <c r="KR534" s="27" t="s">
        <v>7</v>
      </c>
      <c r="KS534" s="27" t="s">
        <v>8</v>
      </c>
      <c r="NN534" s="27" t="s">
        <v>7</v>
      </c>
      <c r="NO534" s="27" t="s">
        <v>8</v>
      </c>
      <c r="NP534" s="27" t="s">
        <v>7</v>
      </c>
      <c r="NQ534" s="27" t="s">
        <v>8</v>
      </c>
    </row>
    <row r="535" spans="1:382" x14ac:dyDescent="0.25">
      <c r="A535" s="7">
        <v>2.8003281854481812</v>
      </c>
      <c r="B535"/>
      <c r="C535"/>
      <c r="D535"/>
      <c r="E535"/>
      <c r="BO535" s="27" t="s">
        <v>8</v>
      </c>
      <c r="BR535" s="27" t="s">
        <v>7</v>
      </c>
      <c r="BV535" s="27" t="s">
        <v>7</v>
      </c>
      <c r="BW535" s="27" t="s">
        <v>8</v>
      </c>
      <c r="BX535" s="27" t="s">
        <v>7</v>
      </c>
      <c r="BY535" s="27" t="s">
        <v>8</v>
      </c>
      <c r="BZ535" s="27" t="s">
        <v>7</v>
      </c>
      <c r="CA535" s="27" t="s">
        <v>8</v>
      </c>
      <c r="CB535" s="27" t="s">
        <v>7</v>
      </c>
      <c r="CW535" s="27" t="s">
        <v>8</v>
      </c>
      <c r="CX535" s="27" t="s">
        <v>7</v>
      </c>
      <c r="CY535" s="27" t="s">
        <v>8</v>
      </c>
      <c r="CZ535" s="27" t="s">
        <v>7</v>
      </c>
      <c r="DA535" s="27" t="s">
        <v>8</v>
      </c>
      <c r="DC535" s="27" t="s">
        <v>8</v>
      </c>
      <c r="DD535" s="27" t="s">
        <v>7</v>
      </c>
      <c r="DG535" s="27" t="s">
        <v>8</v>
      </c>
      <c r="DH535" s="27" t="s">
        <v>7</v>
      </c>
      <c r="DI535" s="27" t="s">
        <v>8</v>
      </c>
      <c r="DJ535" s="27" t="s">
        <v>7</v>
      </c>
      <c r="DK535" s="27" t="s">
        <v>8</v>
      </c>
      <c r="DN535" s="27" t="s">
        <v>7</v>
      </c>
      <c r="DS535" s="27" t="s">
        <v>8</v>
      </c>
      <c r="DT535" s="27" t="s">
        <v>7</v>
      </c>
      <c r="DY535" s="27" t="s">
        <v>8</v>
      </c>
      <c r="DZ535" s="27" t="s">
        <v>7</v>
      </c>
      <c r="EA535" s="27" t="s">
        <v>8</v>
      </c>
      <c r="EB535" s="27" t="s">
        <v>7</v>
      </c>
      <c r="EC535" s="27" t="s">
        <v>8</v>
      </c>
      <c r="ED535" s="27" t="s">
        <v>7</v>
      </c>
      <c r="EE535" s="27" t="s">
        <v>8</v>
      </c>
      <c r="EF535" s="27" t="s">
        <v>7</v>
      </c>
      <c r="EG535" s="27" t="s">
        <v>8</v>
      </c>
      <c r="EX535" s="27" t="s">
        <v>7</v>
      </c>
      <c r="GC535" s="27" t="s">
        <v>8</v>
      </c>
      <c r="GD535" s="27" t="s">
        <v>7</v>
      </c>
      <c r="GS535" s="27" t="s">
        <v>8</v>
      </c>
      <c r="GT535" s="27" t="s">
        <v>7</v>
      </c>
      <c r="GU535" s="27" t="s">
        <v>8</v>
      </c>
      <c r="GV535" s="27" t="s">
        <v>7</v>
      </c>
      <c r="GW535" s="27" t="s">
        <v>8</v>
      </c>
      <c r="GX535" s="27" t="s">
        <v>7</v>
      </c>
      <c r="GY535" s="27" t="s">
        <v>8</v>
      </c>
      <c r="HB535" s="27" t="s">
        <v>7</v>
      </c>
      <c r="HC535" s="27" t="s">
        <v>8</v>
      </c>
      <c r="HD535" s="27" t="s">
        <v>7</v>
      </c>
      <c r="HF535" s="27" t="s">
        <v>7</v>
      </c>
      <c r="HG535" s="27" t="s">
        <v>8</v>
      </c>
      <c r="JN535" s="27" t="s">
        <v>7</v>
      </c>
      <c r="JO535" s="27" t="s">
        <v>8</v>
      </c>
      <c r="JR535" s="27" t="s">
        <v>7</v>
      </c>
      <c r="JS535" s="27" t="s">
        <v>8</v>
      </c>
      <c r="KD535" s="27" t="s">
        <v>7</v>
      </c>
      <c r="KE535" s="27" t="s">
        <v>8</v>
      </c>
      <c r="KF535" s="27" t="s">
        <v>7</v>
      </c>
      <c r="KG535" s="27" t="s">
        <v>8</v>
      </c>
      <c r="KH535" s="27" t="s">
        <v>7</v>
      </c>
      <c r="KJ535" s="27" t="s">
        <v>7</v>
      </c>
      <c r="KL535" s="27" t="s">
        <v>7</v>
      </c>
      <c r="KM535" s="27" t="s">
        <v>8</v>
      </c>
      <c r="KN535" s="27" t="s">
        <v>7</v>
      </c>
      <c r="KQ535" s="27" t="s">
        <v>8</v>
      </c>
      <c r="KR535" s="27" t="s">
        <v>7</v>
      </c>
      <c r="KS535" s="27" t="s">
        <v>8</v>
      </c>
      <c r="NN535" s="27" t="s">
        <v>7</v>
      </c>
      <c r="NO535" s="27" t="s">
        <v>8</v>
      </c>
      <c r="NP535" s="27" t="s">
        <v>7</v>
      </c>
      <c r="NQ535" s="27" t="s">
        <v>8</v>
      </c>
    </row>
    <row r="536" spans="1:382" x14ac:dyDescent="0.25">
      <c r="A536" s="7">
        <v>2.7454197896550796</v>
      </c>
      <c r="B536"/>
      <c r="C536"/>
      <c r="D536"/>
      <c r="E536"/>
      <c r="BM536" s="27" t="s">
        <v>8</v>
      </c>
      <c r="BO536" s="27" t="s">
        <v>8</v>
      </c>
      <c r="BV536" s="27" t="s">
        <v>7</v>
      </c>
      <c r="BW536" s="27" t="s">
        <v>8</v>
      </c>
      <c r="BX536" s="27" t="s">
        <v>7</v>
      </c>
      <c r="BY536" s="27" t="s">
        <v>8</v>
      </c>
      <c r="BZ536" s="27" t="s">
        <v>7</v>
      </c>
      <c r="CA536" s="27" t="s">
        <v>8</v>
      </c>
      <c r="CB536" s="27" t="s">
        <v>7</v>
      </c>
      <c r="CC536" s="27" t="s">
        <v>8</v>
      </c>
      <c r="CW536" s="27" t="s">
        <v>8</v>
      </c>
      <c r="CX536" s="27" t="s">
        <v>7</v>
      </c>
      <c r="CY536" s="27" t="s">
        <v>8</v>
      </c>
      <c r="CZ536" s="27" t="s">
        <v>7</v>
      </c>
      <c r="DA536" s="27" t="s">
        <v>8</v>
      </c>
      <c r="DB536" s="27" t="s">
        <v>7</v>
      </c>
      <c r="DC536" s="27" t="s">
        <v>8</v>
      </c>
      <c r="DD536" s="27" t="s">
        <v>7</v>
      </c>
      <c r="DG536" s="27" t="s">
        <v>8</v>
      </c>
      <c r="DH536" s="27" t="s">
        <v>7</v>
      </c>
      <c r="DI536" s="27" t="s">
        <v>8</v>
      </c>
      <c r="DJ536" s="27" t="s">
        <v>7</v>
      </c>
      <c r="DK536" s="27" t="s">
        <v>8</v>
      </c>
      <c r="DN536" s="27" t="s">
        <v>7</v>
      </c>
      <c r="DO536" s="27" t="s">
        <v>8</v>
      </c>
      <c r="DQ536" s="27" t="s">
        <v>8</v>
      </c>
      <c r="DS536" s="27" t="s">
        <v>8</v>
      </c>
      <c r="DT536" s="27" t="s">
        <v>7</v>
      </c>
      <c r="DY536" s="27" t="s">
        <v>8</v>
      </c>
      <c r="DZ536" s="27" t="s">
        <v>7</v>
      </c>
      <c r="EA536" s="27" t="s">
        <v>8</v>
      </c>
      <c r="EB536" s="27" t="s">
        <v>7</v>
      </c>
      <c r="EC536" s="27" t="s">
        <v>8</v>
      </c>
      <c r="ED536" s="27" t="s">
        <v>7</v>
      </c>
      <c r="EE536" s="27" t="s">
        <v>8</v>
      </c>
      <c r="EF536" s="27" t="s">
        <v>7</v>
      </c>
      <c r="EX536" s="27" t="s">
        <v>7</v>
      </c>
      <c r="GC536" s="27" t="s">
        <v>8</v>
      </c>
      <c r="GD536" s="27" t="s">
        <v>7</v>
      </c>
      <c r="GQ536" s="27" t="s">
        <v>8</v>
      </c>
      <c r="GS536" s="27" t="s">
        <v>8</v>
      </c>
      <c r="GT536" s="27" t="s">
        <v>7</v>
      </c>
      <c r="GU536" s="27" t="s">
        <v>8</v>
      </c>
      <c r="GV536" s="27" t="s">
        <v>7</v>
      </c>
      <c r="GW536" s="27" t="s">
        <v>8</v>
      </c>
      <c r="GX536" s="27" t="s">
        <v>7</v>
      </c>
      <c r="GY536" s="27" t="s">
        <v>8</v>
      </c>
      <c r="HB536" s="27" t="s">
        <v>7</v>
      </c>
      <c r="HC536" s="27" t="s">
        <v>8</v>
      </c>
      <c r="HF536" s="27" t="s">
        <v>7</v>
      </c>
      <c r="JN536" s="27" t="s">
        <v>7</v>
      </c>
      <c r="JO536" s="27" t="s">
        <v>8</v>
      </c>
      <c r="JR536" s="27" t="s">
        <v>7</v>
      </c>
      <c r="JS536" s="27" t="s">
        <v>8</v>
      </c>
      <c r="KD536" s="27" t="s">
        <v>7</v>
      </c>
      <c r="KE536" s="27" t="s">
        <v>8</v>
      </c>
      <c r="KF536" s="27" t="s">
        <v>7</v>
      </c>
      <c r="KG536" s="27" t="s">
        <v>8</v>
      </c>
      <c r="KL536" s="27" t="s">
        <v>7</v>
      </c>
      <c r="KM536" s="27" t="s">
        <v>8</v>
      </c>
      <c r="KN536" s="27" t="s">
        <v>7</v>
      </c>
      <c r="KO536" s="27" t="s">
        <v>8</v>
      </c>
      <c r="KQ536" s="27" t="s">
        <v>8</v>
      </c>
      <c r="KR536" s="27" t="s">
        <v>7</v>
      </c>
      <c r="NN536" s="27" t="s">
        <v>7</v>
      </c>
      <c r="NP536" s="27" t="s">
        <v>7</v>
      </c>
      <c r="NQ536" s="27" t="s">
        <v>8</v>
      </c>
    </row>
    <row r="537" spans="1:382" x14ac:dyDescent="0.25">
      <c r="A537" s="7">
        <v>2.6915880290736074</v>
      </c>
      <c r="B537"/>
      <c r="C537"/>
      <c r="D537"/>
      <c r="E537"/>
      <c r="BM537" s="27" t="s">
        <v>8</v>
      </c>
      <c r="BN537" s="27" t="s">
        <v>7</v>
      </c>
      <c r="BO537" s="27" t="s">
        <v>8</v>
      </c>
      <c r="BV537" s="27" t="s">
        <v>7</v>
      </c>
      <c r="BW537" s="27" t="s">
        <v>8</v>
      </c>
      <c r="BX537" s="27" t="s">
        <v>7</v>
      </c>
      <c r="BY537" s="27" t="s">
        <v>8</v>
      </c>
      <c r="BZ537" s="27" t="s">
        <v>7</v>
      </c>
      <c r="CA537" s="27" t="s">
        <v>8</v>
      </c>
      <c r="CB537" s="27" t="s">
        <v>7</v>
      </c>
      <c r="CC537" s="27" t="s">
        <v>8</v>
      </c>
      <c r="CD537" s="27" t="s">
        <v>7</v>
      </c>
      <c r="CW537" s="27" t="s">
        <v>8</v>
      </c>
      <c r="CX537" s="27" t="s">
        <v>7</v>
      </c>
      <c r="CY537" s="27" t="s">
        <v>8</v>
      </c>
      <c r="CZ537" s="27" t="s">
        <v>7</v>
      </c>
      <c r="DA537" s="27" t="s">
        <v>8</v>
      </c>
      <c r="DB537" s="27" t="s">
        <v>7</v>
      </c>
      <c r="DC537" s="27" t="s">
        <v>8</v>
      </c>
      <c r="DD537" s="27" t="s">
        <v>7</v>
      </c>
      <c r="DG537" s="27" t="s">
        <v>8</v>
      </c>
      <c r="DH537" s="27" t="s">
        <v>7</v>
      </c>
      <c r="DI537" s="27" t="s">
        <v>8</v>
      </c>
      <c r="DJ537" s="27" t="s">
        <v>7</v>
      </c>
      <c r="DK537" s="27" t="s">
        <v>8</v>
      </c>
      <c r="DN537" s="27" t="s">
        <v>7</v>
      </c>
      <c r="DO537" s="27" t="s">
        <v>8</v>
      </c>
      <c r="DP537" s="27" t="s">
        <v>7</v>
      </c>
      <c r="DQ537" s="27" t="s">
        <v>8</v>
      </c>
      <c r="DR537" s="27" t="s">
        <v>7</v>
      </c>
      <c r="DS537" s="27" t="s">
        <v>8</v>
      </c>
      <c r="DT537" s="27" t="s">
        <v>7</v>
      </c>
      <c r="DW537" s="27" t="s">
        <v>8</v>
      </c>
      <c r="DY537" s="27" t="s">
        <v>8</v>
      </c>
      <c r="DZ537" s="27" t="s">
        <v>7</v>
      </c>
      <c r="EB537" s="27" t="s">
        <v>7</v>
      </c>
      <c r="ED537" s="27" t="s">
        <v>7</v>
      </c>
      <c r="EE537" s="27" t="s">
        <v>8</v>
      </c>
      <c r="EX537" s="27" t="s">
        <v>7</v>
      </c>
      <c r="FE537" s="27" t="s">
        <v>8</v>
      </c>
      <c r="GC537" s="27" t="s">
        <v>8</v>
      </c>
      <c r="GD537" s="27" t="s">
        <v>7</v>
      </c>
      <c r="GQ537" s="27" t="s">
        <v>8</v>
      </c>
      <c r="GR537" s="27" t="s">
        <v>7</v>
      </c>
      <c r="GS537" s="27" t="s">
        <v>8</v>
      </c>
      <c r="GT537" s="27" t="s">
        <v>7</v>
      </c>
      <c r="GU537" s="27" t="s">
        <v>8</v>
      </c>
      <c r="GV537" s="27" t="s">
        <v>7</v>
      </c>
      <c r="GX537" s="27" t="s">
        <v>7</v>
      </c>
      <c r="GY537" s="27" t="s">
        <v>8</v>
      </c>
      <c r="HB537" s="27" t="s">
        <v>7</v>
      </c>
      <c r="HC537" s="27" t="s">
        <v>8</v>
      </c>
      <c r="JN537" s="27" t="s">
        <v>7</v>
      </c>
      <c r="JR537" s="27" t="s">
        <v>7</v>
      </c>
      <c r="JS537" s="27" t="s">
        <v>8</v>
      </c>
      <c r="KD537" s="27" t="s">
        <v>7</v>
      </c>
      <c r="KE537" s="27" t="s">
        <v>8</v>
      </c>
      <c r="KF537" s="27" t="s">
        <v>7</v>
      </c>
      <c r="KG537" s="27" t="s">
        <v>8</v>
      </c>
      <c r="KL537" s="27" t="s">
        <v>7</v>
      </c>
      <c r="KM537" s="27" t="s">
        <v>8</v>
      </c>
      <c r="KN537" s="27" t="s">
        <v>7</v>
      </c>
      <c r="KO537" s="27" t="s">
        <v>8</v>
      </c>
      <c r="KP537" s="27" t="s">
        <v>7</v>
      </c>
      <c r="KQ537" s="27" t="s">
        <v>8</v>
      </c>
      <c r="NP537" s="27" t="s">
        <v>7</v>
      </c>
      <c r="NQ537" s="27" t="s">
        <v>8</v>
      </c>
    </row>
    <row r="538" spans="1:382" x14ac:dyDescent="0.25">
      <c r="A538" s="7">
        <v>2.6388117932094191</v>
      </c>
      <c r="B538"/>
      <c r="C538"/>
      <c r="D538"/>
      <c r="E538"/>
      <c r="BM538" s="27" t="s">
        <v>8</v>
      </c>
      <c r="BN538" s="27" t="s">
        <v>7</v>
      </c>
      <c r="BO538" s="27" t="s">
        <v>8</v>
      </c>
      <c r="BV538" s="27" t="s">
        <v>7</v>
      </c>
      <c r="BW538" s="27" t="s">
        <v>8</v>
      </c>
      <c r="BX538" s="27" t="s">
        <v>7</v>
      </c>
      <c r="BY538" s="27" t="s">
        <v>8</v>
      </c>
      <c r="BZ538" s="27" t="s">
        <v>7</v>
      </c>
      <c r="CB538" s="27" t="s">
        <v>7</v>
      </c>
      <c r="CC538" s="27" t="s">
        <v>8</v>
      </c>
      <c r="CD538" s="27" t="s">
        <v>7</v>
      </c>
      <c r="CW538" s="27" t="s">
        <v>8</v>
      </c>
      <c r="CX538" s="27" t="s">
        <v>7</v>
      </c>
      <c r="CY538" s="27" t="s">
        <v>8</v>
      </c>
      <c r="CZ538" s="27" t="s">
        <v>7</v>
      </c>
      <c r="DB538" s="27" t="s">
        <v>7</v>
      </c>
      <c r="DD538" s="27" t="s">
        <v>7</v>
      </c>
      <c r="DG538" s="27" t="s">
        <v>8</v>
      </c>
      <c r="DH538" s="27" t="s">
        <v>7</v>
      </c>
      <c r="DI538" s="27" t="s">
        <v>8</v>
      </c>
      <c r="DJ538" s="27" t="s">
        <v>7</v>
      </c>
      <c r="DN538" s="27" t="s">
        <v>7</v>
      </c>
      <c r="DO538" s="27" t="s">
        <v>8</v>
      </c>
      <c r="DP538" s="27" t="s">
        <v>7</v>
      </c>
      <c r="DQ538" s="27" t="s">
        <v>8</v>
      </c>
      <c r="DR538" s="27" t="s">
        <v>7</v>
      </c>
      <c r="DS538" s="27" t="s">
        <v>8</v>
      </c>
      <c r="DT538" s="27" t="s">
        <v>7</v>
      </c>
      <c r="DW538" s="27" t="s">
        <v>8</v>
      </c>
      <c r="DX538" s="27" t="s">
        <v>7</v>
      </c>
      <c r="DY538" s="27" t="s">
        <v>8</v>
      </c>
      <c r="ED538" s="27" t="s">
        <v>7</v>
      </c>
      <c r="EX538" s="27" t="s">
        <v>7</v>
      </c>
      <c r="FA538" s="27" t="s">
        <v>8</v>
      </c>
      <c r="FC538" s="27" t="s">
        <v>8</v>
      </c>
      <c r="FE538" s="27" t="s">
        <v>8</v>
      </c>
      <c r="FF538" s="27" t="s">
        <v>7</v>
      </c>
      <c r="GC538" s="27" t="s">
        <v>8</v>
      </c>
      <c r="GD538" s="27" t="s">
        <v>7</v>
      </c>
      <c r="GQ538" s="27" t="s">
        <v>8</v>
      </c>
      <c r="GR538" s="27" t="s">
        <v>7</v>
      </c>
      <c r="GS538" s="27" t="s">
        <v>8</v>
      </c>
      <c r="GT538" s="27" t="s">
        <v>7</v>
      </c>
      <c r="GU538" s="27" t="s">
        <v>8</v>
      </c>
      <c r="GX538" s="27" t="s">
        <v>7</v>
      </c>
      <c r="GY538" s="27" t="s">
        <v>8</v>
      </c>
      <c r="HB538" s="27" t="s">
        <v>7</v>
      </c>
      <c r="JR538" s="27" t="s">
        <v>7</v>
      </c>
      <c r="JS538" s="27" t="s">
        <v>8</v>
      </c>
      <c r="KD538" s="27" t="s">
        <v>7</v>
      </c>
      <c r="KE538" s="27" t="s">
        <v>8</v>
      </c>
      <c r="KF538" s="27" t="s">
        <v>7</v>
      </c>
      <c r="KG538" s="27" t="s">
        <v>8</v>
      </c>
      <c r="KL538" s="27" t="s">
        <v>7</v>
      </c>
      <c r="KM538" s="27" t="s">
        <v>8</v>
      </c>
      <c r="KN538" s="27" t="s">
        <v>7</v>
      </c>
      <c r="KO538" s="27" t="s">
        <v>8</v>
      </c>
      <c r="KP538" s="27" t="s">
        <v>7</v>
      </c>
      <c r="KQ538" s="27" t="s">
        <v>8</v>
      </c>
      <c r="NP538" s="27" t="s">
        <v>7</v>
      </c>
      <c r="NQ538" s="27" t="s">
        <v>8</v>
      </c>
    </row>
    <row r="539" spans="1:382" x14ac:dyDescent="0.25">
      <c r="A539" s="7">
        <v>2.5870703854994304</v>
      </c>
      <c r="B539"/>
      <c r="C539"/>
      <c r="D539"/>
      <c r="E539"/>
      <c r="BM539" s="27" t="s">
        <v>8</v>
      </c>
      <c r="BN539" s="27" t="s">
        <v>7</v>
      </c>
      <c r="BO539" s="27" t="s">
        <v>8</v>
      </c>
      <c r="BV539" s="27" t="s">
        <v>7</v>
      </c>
      <c r="BW539" s="27" t="s">
        <v>8</v>
      </c>
      <c r="BX539" s="27" t="s">
        <v>7</v>
      </c>
      <c r="CB539" s="27" t="s">
        <v>7</v>
      </c>
      <c r="CC539" s="27" t="s">
        <v>8</v>
      </c>
      <c r="CD539" s="27" t="s">
        <v>7</v>
      </c>
      <c r="CW539" s="27" t="s">
        <v>8</v>
      </c>
      <c r="CX539" s="27" t="s">
        <v>7</v>
      </c>
      <c r="DD539" s="27" t="s">
        <v>7</v>
      </c>
      <c r="DE539" s="27" t="s">
        <v>8</v>
      </c>
      <c r="DG539" s="27" t="s">
        <v>8</v>
      </c>
      <c r="DH539" s="27" t="s">
        <v>7</v>
      </c>
      <c r="DN539" s="27" t="s">
        <v>7</v>
      </c>
      <c r="DO539" s="27" t="s">
        <v>8</v>
      </c>
      <c r="DP539" s="27" t="s">
        <v>7</v>
      </c>
      <c r="DQ539" s="27" t="s">
        <v>8</v>
      </c>
      <c r="DR539" s="27" t="s">
        <v>7</v>
      </c>
      <c r="DS539" s="27" t="s">
        <v>8</v>
      </c>
      <c r="DT539" s="27" t="s">
        <v>7</v>
      </c>
      <c r="DW539" s="27" t="s">
        <v>8</v>
      </c>
      <c r="DX539" s="27" t="s">
        <v>7</v>
      </c>
      <c r="DY539" s="27" t="s">
        <v>8</v>
      </c>
      <c r="EX539" s="27" t="s">
        <v>7</v>
      </c>
      <c r="EY539" s="27" t="s">
        <v>8</v>
      </c>
      <c r="FA539" s="27" t="s">
        <v>8</v>
      </c>
      <c r="FB539" s="27" t="s">
        <v>7</v>
      </c>
      <c r="FC539" s="27" t="s">
        <v>8</v>
      </c>
      <c r="FD539" s="27" t="s">
        <v>7</v>
      </c>
      <c r="FE539" s="27" t="s">
        <v>8</v>
      </c>
      <c r="FF539" s="27" t="s">
        <v>7</v>
      </c>
      <c r="GC539" s="27" t="s">
        <v>8</v>
      </c>
      <c r="GD539" s="27" t="s">
        <v>7</v>
      </c>
      <c r="GQ539" s="27" t="s">
        <v>8</v>
      </c>
      <c r="GR539" s="27" t="s">
        <v>7</v>
      </c>
      <c r="GS539" s="27" t="s">
        <v>8</v>
      </c>
      <c r="GT539" s="27" t="s">
        <v>7</v>
      </c>
      <c r="GU539" s="27" t="s">
        <v>8</v>
      </c>
      <c r="GX539" s="27" t="s">
        <v>7</v>
      </c>
      <c r="GY539" s="27" t="s">
        <v>8</v>
      </c>
      <c r="JR539" s="27" t="s">
        <v>7</v>
      </c>
      <c r="JS539" s="27" t="s">
        <v>8</v>
      </c>
      <c r="KD539" s="27" t="s">
        <v>7</v>
      </c>
      <c r="KE539" s="27" t="s">
        <v>8</v>
      </c>
      <c r="KF539" s="27" t="s">
        <v>7</v>
      </c>
      <c r="KG539" s="27" t="s">
        <v>8</v>
      </c>
      <c r="KL539" s="27" t="s">
        <v>7</v>
      </c>
      <c r="KN539" s="27" t="s">
        <v>7</v>
      </c>
      <c r="KO539" s="27" t="s">
        <v>8</v>
      </c>
      <c r="KP539" s="27" t="s">
        <v>7</v>
      </c>
      <c r="KQ539" s="27" t="s">
        <v>8</v>
      </c>
      <c r="NP539" s="27" t="s">
        <v>7</v>
      </c>
    </row>
    <row r="540" spans="1:382" x14ac:dyDescent="0.25">
      <c r="A540" s="7">
        <v>2.53634351519552</v>
      </c>
      <c r="B540"/>
      <c r="C540"/>
      <c r="D540"/>
      <c r="E540"/>
      <c r="BM540" s="27" t="s">
        <v>8</v>
      </c>
      <c r="BN540" s="27" t="s">
        <v>7</v>
      </c>
      <c r="BO540" s="27" t="s">
        <v>8</v>
      </c>
      <c r="BV540" s="27" t="s">
        <v>7</v>
      </c>
      <c r="BW540" s="27" t="s">
        <v>8</v>
      </c>
      <c r="CB540" s="27" t="s">
        <v>7</v>
      </c>
      <c r="CC540" s="27" t="s">
        <v>8</v>
      </c>
      <c r="CD540" s="27" t="s">
        <v>7</v>
      </c>
      <c r="CW540" s="27" t="s">
        <v>8</v>
      </c>
      <c r="DD540" s="27" t="s">
        <v>7</v>
      </c>
      <c r="DE540" s="27" t="s">
        <v>8</v>
      </c>
      <c r="DF540" s="27" t="s">
        <v>7</v>
      </c>
      <c r="DG540" s="27" t="s">
        <v>8</v>
      </c>
      <c r="DN540" s="27" t="s">
        <v>7</v>
      </c>
      <c r="DP540" s="27" t="s">
        <v>7</v>
      </c>
      <c r="DQ540" s="27" t="s">
        <v>8</v>
      </c>
      <c r="DR540" s="27" t="s">
        <v>7</v>
      </c>
      <c r="DT540" s="27" t="s">
        <v>7</v>
      </c>
      <c r="DW540" s="27" t="s">
        <v>8</v>
      </c>
      <c r="DX540" s="27" t="s">
        <v>7</v>
      </c>
      <c r="DY540" s="27" t="s">
        <v>8</v>
      </c>
      <c r="EX540" s="27" t="s">
        <v>7</v>
      </c>
      <c r="EY540" s="27" t="s">
        <v>8</v>
      </c>
      <c r="EZ540" s="27" t="s">
        <v>7</v>
      </c>
      <c r="FA540" s="27" t="s">
        <v>8</v>
      </c>
      <c r="FB540" s="27" t="s">
        <v>7</v>
      </c>
      <c r="FC540" s="27" t="s">
        <v>8</v>
      </c>
      <c r="FD540" s="27" t="s">
        <v>7</v>
      </c>
      <c r="FE540" s="27" t="s">
        <v>8</v>
      </c>
      <c r="FF540" s="27" t="s">
        <v>7</v>
      </c>
      <c r="GC540" s="27" t="s">
        <v>8</v>
      </c>
      <c r="GD540" s="27" t="s">
        <v>7</v>
      </c>
      <c r="GE540" s="27" t="s">
        <v>8</v>
      </c>
      <c r="GQ540" s="27" t="s">
        <v>8</v>
      </c>
      <c r="GR540" s="27" t="s">
        <v>7</v>
      </c>
      <c r="GS540" s="27" t="s">
        <v>8</v>
      </c>
      <c r="GT540" s="27" t="s">
        <v>7</v>
      </c>
      <c r="GU540" s="27" t="s">
        <v>8</v>
      </c>
      <c r="GX540" s="27" t="s">
        <v>7</v>
      </c>
      <c r="GY540" s="27" t="s">
        <v>8</v>
      </c>
      <c r="JR540" s="27" t="s">
        <v>7</v>
      </c>
      <c r="JS540" s="27" t="s">
        <v>8</v>
      </c>
      <c r="KD540" s="27" t="s">
        <v>7</v>
      </c>
      <c r="KE540" s="27" t="s">
        <v>8</v>
      </c>
      <c r="KF540" s="27" t="s">
        <v>7</v>
      </c>
      <c r="KG540" s="27" t="s">
        <v>8</v>
      </c>
      <c r="KN540" s="27" t="s">
        <v>7</v>
      </c>
      <c r="KP540" s="27" t="s">
        <v>7</v>
      </c>
      <c r="KQ540" s="27" t="s">
        <v>8</v>
      </c>
    </row>
    <row r="541" spans="1:382" x14ac:dyDescent="0.25">
      <c r="A541" s="7">
        <v>2.4866112894073726</v>
      </c>
      <c r="B541"/>
      <c r="C541"/>
      <c r="D541"/>
      <c r="E541"/>
      <c r="BM541" s="27" t="s">
        <v>8</v>
      </c>
      <c r="BN541" s="27" t="s">
        <v>7</v>
      </c>
      <c r="BV541" s="27" t="s">
        <v>7</v>
      </c>
      <c r="CB541" s="27" t="s">
        <v>7</v>
      </c>
      <c r="CC541" s="27" t="s">
        <v>8</v>
      </c>
      <c r="CD541" s="27" t="s">
        <v>7</v>
      </c>
      <c r="CW541" s="27" t="s">
        <v>8</v>
      </c>
      <c r="DD541" s="27" t="s">
        <v>7</v>
      </c>
      <c r="DE541" s="27" t="s">
        <v>8</v>
      </c>
      <c r="DF541" s="27" t="s">
        <v>7</v>
      </c>
      <c r="DG541" s="27" t="s">
        <v>8</v>
      </c>
      <c r="DP541" s="27" t="s">
        <v>7</v>
      </c>
      <c r="DQ541" s="27" t="s">
        <v>8</v>
      </c>
      <c r="DT541" s="27" t="s">
        <v>7</v>
      </c>
      <c r="DW541" s="27" t="s">
        <v>8</v>
      </c>
      <c r="DX541" s="27" t="s">
        <v>7</v>
      </c>
      <c r="DY541" s="27" t="s">
        <v>8</v>
      </c>
      <c r="EX541" s="27" t="s">
        <v>7</v>
      </c>
      <c r="EY541" s="27" t="s">
        <v>8</v>
      </c>
      <c r="EZ541" s="27" t="s">
        <v>7</v>
      </c>
      <c r="FA541" s="27" t="s">
        <v>8</v>
      </c>
      <c r="FB541" s="27" t="s">
        <v>7</v>
      </c>
      <c r="FC541" s="27" t="s">
        <v>8</v>
      </c>
      <c r="FD541" s="27" t="s">
        <v>7</v>
      </c>
      <c r="FF541" s="27" t="s">
        <v>7</v>
      </c>
      <c r="GC541" s="27" t="s">
        <v>8</v>
      </c>
      <c r="GD541" s="27" t="s">
        <v>7</v>
      </c>
      <c r="GE541" s="27" t="s">
        <v>8</v>
      </c>
      <c r="GF541" s="27" t="s">
        <v>7</v>
      </c>
      <c r="GQ541" s="27" t="s">
        <v>8</v>
      </c>
      <c r="GR541" s="27" t="s">
        <v>7</v>
      </c>
      <c r="GS541" s="27" t="s">
        <v>8</v>
      </c>
      <c r="GT541" s="27" t="s">
        <v>7</v>
      </c>
      <c r="GU541" s="27" t="s">
        <v>8</v>
      </c>
      <c r="GX541" s="27" t="s">
        <v>7</v>
      </c>
      <c r="GY541" s="27" t="s">
        <v>8</v>
      </c>
      <c r="JR541" s="27" t="s">
        <v>7</v>
      </c>
      <c r="JS541" s="27" t="s">
        <v>8</v>
      </c>
      <c r="KD541" s="27" t="s">
        <v>7</v>
      </c>
      <c r="KE541" s="27" t="s">
        <v>8</v>
      </c>
      <c r="KF541" s="27" t="s">
        <v>7</v>
      </c>
      <c r="KG541" s="27" t="s">
        <v>8</v>
      </c>
      <c r="KP541" s="27" t="s">
        <v>7</v>
      </c>
      <c r="KQ541" s="27" t="s">
        <v>8</v>
      </c>
    </row>
    <row r="542" spans="1:382" x14ac:dyDescent="0.25">
      <c r="A542" s="7">
        <v>2.4378542053013459</v>
      </c>
      <c r="B542"/>
      <c r="C542"/>
      <c r="D542"/>
      <c r="E542"/>
      <c r="BM542" s="27" t="s">
        <v>8</v>
      </c>
      <c r="CB542" s="27" t="s">
        <v>7</v>
      </c>
      <c r="CC542" s="27" t="s">
        <v>8</v>
      </c>
      <c r="CD542" s="27" t="s">
        <v>7</v>
      </c>
      <c r="CW542" s="27" t="s">
        <v>8</v>
      </c>
      <c r="DD542" s="27" t="s">
        <v>7</v>
      </c>
      <c r="DE542" s="27" t="s">
        <v>8</v>
      </c>
      <c r="DF542" s="27" t="s">
        <v>7</v>
      </c>
      <c r="DP542" s="27" t="s">
        <v>7</v>
      </c>
      <c r="DT542" s="27" t="s">
        <v>7</v>
      </c>
      <c r="DU542" s="27" t="s">
        <v>8</v>
      </c>
      <c r="DW542" s="27" t="s">
        <v>8</v>
      </c>
      <c r="DX542" s="27" t="s">
        <v>7</v>
      </c>
      <c r="EX542" s="27" t="s">
        <v>7</v>
      </c>
      <c r="EY542" s="27" t="s">
        <v>8</v>
      </c>
      <c r="EZ542" s="27" t="s">
        <v>7</v>
      </c>
      <c r="FA542" s="27" t="s">
        <v>8</v>
      </c>
      <c r="FB542" s="27" t="s">
        <v>7</v>
      </c>
      <c r="FF542" s="27" t="s">
        <v>7</v>
      </c>
      <c r="FQ542" s="27" t="s">
        <v>8</v>
      </c>
      <c r="GC542" s="27" t="s">
        <v>8</v>
      </c>
      <c r="GD542" s="27" t="s">
        <v>7</v>
      </c>
      <c r="GE542" s="27" t="s">
        <v>8</v>
      </c>
      <c r="GF542" s="27" t="s">
        <v>7</v>
      </c>
      <c r="GG542" s="27" t="s">
        <v>8</v>
      </c>
      <c r="GQ542" s="27" t="s">
        <v>8</v>
      </c>
      <c r="GR542" s="27" t="s">
        <v>7</v>
      </c>
      <c r="GS542" s="27" t="s">
        <v>8</v>
      </c>
      <c r="GT542" s="27" t="s">
        <v>7</v>
      </c>
      <c r="GU542" s="27" t="s">
        <v>8</v>
      </c>
      <c r="GX542" s="27" t="s">
        <v>7</v>
      </c>
      <c r="GY542" s="27" t="s">
        <v>8</v>
      </c>
      <c r="JR542" s="27" t="s">
        <v>7</v>
      </c>
      <c r="KD542" s="27" t="s">
        <v>7</v>
      </c>
      <c r="KE542" s="27" t="s">
        <v>8</v>
      </c>
      <c r="KF542" s="27" t="s">
        <v>7</v>
      </c>
      <c r="KG542" s="27" t="s">
        <v>8</v>
      </c>
      <c r="KP542" s="27" t="s">
        <v>7</v>
      </c>
      <c r="KQ542" s="27" t="s">
        <v>8</v>
      </c>
    </row>
    <row r="543" spans="1:382" x14ac:dyDescent="0.25">
      <c r="A543" s="7">
        <v>2.3900531424522997</v>
      </c>
      <c r="B543"/>
      <c r="C543"/>
      <c r="D543"/>
      <c r="E543"/>
      <c r="BM543" s="27" t="s">
        <v>8</v>
      </c>
      <c r="CB543" s="27" t="s">
        <v>7</v>
      </c>
      <c r="CC543" s="27" t="s">
        <v>8</v>
      </c>
      <c r="CD543" s="27" t="s">
        <v>7</v>
      </c>
      <c r="CW543" s="27" t="s">
        <v>8</v>
      </c>
      <c r="DD543" s="27" t="s">
        <v>7</v>
      </c>
      <c r="DE543" s="27" t="s">
        <v>8</v>
      </c>
      <c r="DT543" s="27" t="s">
        <v>7</v>
      </c>
      <c r="DU543" s="27" t="s">
        <v>8</v>
      </c>
      <c r="DV543" s="27" t="s">
        <v>7</v>
      </c>
      <c r="DW543" s="27" t="s">
        <v>8</v>
      </c>
      <c r="EX543" s="27" t="s">
        <v>7</v>
      </c>
      <c r="EY543" s="27" t="s">
        <v>8</v>
      </c>
      <c r="EZ543" s="27" t="s">
        <v>7</v>
      </c>
      <c r="FF543" s="27" t="s">
        <v>7</v>
      </c>
      <c r="FQ543" s="27" t="s">
        <v>8</v>
      </c>
      <c r="FR543" s="27" t="s">
        <v>7</v>
      </c>
      <c r="GC543" s="27" t="s">
        <v>8</v>
      </c>
      <c r="GD543" s="27" t="s">
        <v>7</v>
      </c>
      <c r="GE543" s="27" t="s">
        <v>8</v>
      </c>
      <c r="GF543" s="27" t="s">
        <v>7</v>
      </c>
      <c r="GG543" s="27" t="s">
        <v>8</v>
      </c>
      <c r="GH543" s="27" t="s">
        <v>7</v>
      </c>
      <c r="GI543" s="27" t="s">
        <v>8</v>
      </c>
      <c r="GQ543" s="27" t="s">
        <v>8</v>
      </c>
      <c r="GR543" s="27" t="s">
        <v>7</v>
      </c>
      <c r="GS543" s="27" t="s">
        <v>8</v>
      </c>
      <c r="GT543" s="27" t="s">
        <v>7</v>
      </c>
      <c r="GU543" s="27" t="s">
        <v>8</v>
      </c>
      <c r="GX543" s="27" t="s">
        <v>7</v>
      </c>
      <c r="GY543" s="27" t="s">
        <v>8</v>
      </c>
      <c r="KD543" s="27" t="s">
        <v>7</v>
      </c>
      <c r="KE543" s="27" t="s">
        <v>8</v>
      </c>
      <c r="KF543" s="27" t="s">
        <v>7</v>
      </c>
      <c r="KP543" s="27" t="s">
        <v>7</v>
      </c>
      <c r="KQ543" s="27" t="s">
        <v>8</v>
      </c>
    </row>
    <row r="544" spans="1:382" x14ac:dyDescent="0.25">
      <c r="A544" s="7">
        <v>2.343189355345392</v>
      </c>
      <c r="B544"/>
      <c r="C544"/>
      <c r="D544"/>
      <c r="E544"/>
      <c r="BM544" s="27" t="s">
        <v>8</v>
      </c>
      <c r="CB544" s="27" t="s">
        <v>7</v>
      </c>
      <c r="CC544" s="27" t="s">
        <v>8</v>
      </c>
      <c r="CD544" s="27" t="s">
        <v>7</v>
      </c>
      <c r="CU544" s="27" t="s">
        <v>8</v>
      </c>
      <c r="CW544" s="27" t="s">
        <v>8</v>
      </c>
      <c r="DD544" s="27" t="s">
        <v>7</v>
      </c>
      <c r="DE544" s="27" t="s">
        <v>8</v>
      </c>
      <c r="DT544" s="27" t="s">
        <v>7</v>
      </c>
      <c r="DU544" s="27" t="s">
        <v>8</v>
      </c>
      <c r="DV544" s="27" t="s">
        <v>7</v>
      </c>
      <c r="DW544" s="27" t="s">
        <v>8</v>
      </c>
      <c r="EX544" s="27" t="s">
        <v>7</v>
      </c>
      <c r="FF544" s="27" t="s">
        <v>7</v>
      </c>
      <c r="FK544" s="27" t="s">
        <v>8</v>
      </c>
      <c r="FQ544" s="27" t="s">
        <v>8</v>
      </c>
      <c r="FR544" s="27" t="s">
        <v>7</v>
      </c>
      <c r="GC544" s="27" t="s">
        <v>8</v>
      </c>
      <c r="GD544" s="27" t="s">
        <v>7</v>
      </c>
      <c r="GE544" s="27" t="s">
        <v>8</v>
      </c>
      <c r="GF544" s="27" t="s">
        <v>7</v>
      </c>
      <c r="GG544" s="27" t="s">
        <v>8</v>
      </c>
      <c r="GH544" s="27" t="s">
        <v>7</v>
      </c>
      <c r="GI544" s="27" t="s">
        <v>8</v>
      </c>
      <c r="GJ544" s="27" t="s">
        <v>7</v>
      </c>
      <c r="GQ544" s="27" t="s">
        <v>8</v>
      </c>
      <c r="GR544" s="27" t="s">
        <v>7</v>
      </c>
      <c r="GS544" s="27" t="s">
        <v>8</v>
      </c>
      <c r="GT544" s="27" t="s">
        <v>7</v>
      </c>
      <c r="GU544" s="27" t="s">
        <v>8</v>
      </c>
      <c r="GX544" s="27" t="s">
        <v>7</v>
      </c>
      <c r="KD544" s="27" t="s">
        <v>7</v>
      </c>
      <c r="KE544" s="27" t="s">
        <v>8</v>
      </c>
      <c r="KP544" s="27" t="s">
        <v>7</v>
      </c>
      <c r="KQ544" s="27" t="s">
        <v>8</v>
      </c>
    </row>
    <row r="545" spans="1:303" x14ac:dyDescent="0.25">
      <c r="A545" s="7">
        <v>2.2972444660248938</v>
      </c>
      <c r="B545"/>
      <c r="C545"/>
      <c r="D545"/>
      <c r="E545"/>
      <c r="BM545" s="27" t="s">
        <v>8</v>
      </c>
      <c r="CB545" s="27" t="s">
        <v>7</v>
      </c>
      <c r="CD545" s="27" t="s">
        <v>7</v>
      </c>
      <c r="CU545" s="27" t="s">
        <v>8</v>
      </c>
      <c r="CV545" s="27" t="s">
        <v>7</v>
      </c>
      <c r="CW545" s="27" t="s">
        <v>8</v>
      </c>
      <c r="DD545" s="27" t="s">
        <v>7</v>
      </c>
      <c r="DE545" s="27" t="s">
        <v>8</v>
      </c>
      <c r="DT545" s="27" t="s">
        <v>7</v>
      </c>
      <c r="DU545" s="27" t="s">
        <v>8</v>
      </c>
      <c r="DV545" s="27" t="s">
        <v>7</v>
      </c>
      <c r="DW545" s="27" t="s">
        <v>8</v>
      </c>
      <c r="FF545" s="27" t="s">
        <v>7</v>
      </c>
      <c r="FK545" s="27" t="s">
        <v>8</v>
      </c>
      <c r="FL545" s="27" t="s">
        <v>7</v>
      </c>
      <c r="FM545" s="27" t="s">
        <v>8</v>
      </c>
      <c r="FQ545" s="27" t="s">
        <v>8</v>
      </c>
      <c r="FR545" s="27" t="s">
        <v>7</v>
      </c>
      <c r="GC545" s="27" t="s">
        <v>8</v>
      </c>
      <c r="GD545" s="27" t="s">
        <v>7</v>
      </c>
      <c r="GE545" s="27" t="s">
        <v>8</v>
      </c>
      <c r="GF545" s="27" t="s">
        <v>7</v>
      </c>
      <c r="GG545" s="27" t="s">
        <v>8</v>
      </c>
      <c r="GH545" s="27" t="s">
        <v>7</v>
      </c>
      <c r="GI545" s="27" t="s">
        <v>8</v>
      </c>
      <c r="GJ545" s="27" t="s">
        <v>7</v>
      </c>
      <c r="GQ545" s="27" t="s">
        <v>8</v>
      </c>
      <c r="GR545" s="27" t="s">
        <v>7</v>
      </c>
      <c r="GS545" s="27" t="s">
        <v>8</v>
      </c>
      <c r="GT545" s="27" t="s">
        <v>7</v>
      </c>
      <c r="GU545" s="27" t="s">
        <v>8</v>
      </c>
      <c r="KD545" s="27" t="s">
        <v>7</v>
      </c>
      <c r="KE545" s="27" t="s">
        <v>8</v>
      </c>
      <c r="KP545" s="18" t="s">
        <v>7</v>
      </c>
      <c r="KQ545" s="27" t="s">
        <v>8</v>
      </c>
    </row>
    <row r="546" spans="1:303" x14ac:dyDescent="0.25">
      <c r="A546" s="7">
        <v>2.252200456887151</v>
      </c>
      <c r="B546"/>
      <c r="C546"/>
      <c r="D546"/>
      <c r="E546"/>
      <c r="BM546" s="27" t="s">
        <v>8</v>
      </c>
      <c r="CD546" s="27" t="s">
        <v>7</v>
      </c>
      <c r="CU546" s="27" t="s">
        <v>8</v>
      </c>
      <c r="CV546" s="27" t="s">
        <v>7</v>
      </c>
      <c r="CW546" s="27" t="s">
        <v>8</v>
      </c>
      <c r="DD546" s="27" t="s">
        <v>7</v>
      </c>
      <c r="DT546" s="27" t="s">
        <v>7</v>
      </c>
      <c r="DV546" s="27" t="s">
        <v>7</v>
      </c>
      <c r="DW546" s="27" t="s">
        <v>8</v>
      </c>
      <c r="FF546" s="27" t="s">
        <v>7</v>
      </c>
      <c r="FI546" s="27" t="s">
        <v>8</v>
      </c>
      <c r="FK546" s="27" t="s">
        <v>8</v>
      </c>
      <c r="FL546" s="27" t="s">
        <v>7</v>
      </c>
      <c r="FM546" s="27" t="s">
        <v>8</v>
      </c>
      <c r="FN546" s="27" t="s">
        <v>7</v>
      </c>
      <c r="FQ546" s="27" t="s">
        <v>8</v>
      </c>
      <c r="FR546" s="27" t="s">
        <v>7</v>
      </c>
      <c r="FS546" s="27" t="s">
        <v>8</v>
      </c>
      <c r="GC546" s="27" t="s">
        <v>8</v>
      </c>
      <c r="GD546" s="27" t="s">
        <v>7</v>
      </c>
      <c r="GE546" s="27" t="s">
        <v>8</v>
      </c>
      <c r="GF546" s="27" t="s">
        <v>7</v>
      </c>
      <c r="GG546" s="27" t="s">
        <v>8</v>
      </c>
      <c r="GH546" s="27" t="s">
        <v>7</v>
      </c>
      <c r="GI546" s="27" t="s">
        <v>8</v>
      </c>
      <c r="GJ546" s="27" t="s">
        <v>7</v>
      </c>
      <c r="GQ546" s="27" t="s">
        <v>8</v>
      </c>
      <c r="GR546" s="27" t="s">
        <v>7</v>
      </c>
      <c r="GT546" s="27" t="s">
        <v>7</v>
      </c>
      <c r="GU546" s="27" t="s">
        <v>8</v>
      </c>
      <c r="KD546" s="27" t="s">
        <v>7</v>
      </c>
      <c r="KE546" s="27" t="s">
        <v>8</v>
      </c>
      <c r="KP546" s="27" t="s">
        <v>7</v>
      </c>
      <c r="KQ546" s="27" t="s">
        <v>8</v>
      </c>
    </row>
    <row r="547" spans="1:303" x14ac:dyDescent="0.25">
      <c r="A547" s="7">
        <v>2.208039663614854</v>
      </c>
      <c r="B547"/>
      <c r="C547"/>
      <c r="D547"/>
      <c r="E547"/>
      <c r="BM547" s="27" t="s">
        <v>8</v>
      </c>
      <c r="CD547" s="27" t="s">
        <v>7</v>
      </c>
      <c r="CU547" s="27" t="s">
        <v>8</v>
      </c>
      <c r="CV547" s="27" t="s">
        <v>7</v>
      </c>
      <c r="CW547" s="27" t="s">
        <v>8</v>
      </c>
      <c r="DV547" s="27" t="s">
        <v>7</v>
      </c>
      <c r="FF547" s="27" t="s">
        <v>7</v>
      </c>
      <c r="FI547" s="27" t="s">
        <v>8</v>
      </c>
      <c r="FJ547" s="27" t="s">
        <v>7</v>
      </c>
      <c r="FK547" s="27" t="s">
        <v>8</v>
      </c>
      <c r="FL547" s="27" t="s">
        <v>7</v>
      </c>
      <c r="FM547" s="27" t="s">
        <v>8</v>
      </c>
      <c r="FN547" s="27" t="s">
        <v>7</v>
      </c>
      <c r="FO547" s="27" t="s">
        <v>8</v>
      </c>
      <c r="FQ547" s="27" t="s">
        <v>8</v>
      </c>
      <c r="FR547" s="27" t="s">
        <v>7</v>
      </c>
      <c r="FS547" s="27" t="s">
        <v>8</v>
      </c>
      <c r="FT547" s="27" t="s">
        <v>7</v>
      </c>
      <c r="FW547" s="27" t="s">
        <v>8</v>
      </c>
      <c r="GC547" s="27" t="s">
        <v>8</v>
      </c>
      <c r="GD547" s="27" t="s">
        <v>7</v>
      </c>
      <c r="GE547" s="27" t="s">
        <v>8</v>
      </c>
      <c r="GF547" s="27" t="s">
        <v>7</v>
      </c>
      <c r="GH547" s="27" t="s">
        <v>7</v>
      </c>
      <c r="GI547" s="27" t="s">
        <v>8</v>
      </c>
      <c r="GJ547" s="27" t="s">
        <v>7</v>
      </c>
      <c r="GM547" s="27" t="s">
        <v>8</v>
      </c>
      <c r="GQ547" s="27" t="s">
        <v>8</v>
      </c>
      <c r="GT547" s="27" t="s">
        <v>7</v>
      </c>
      <c r="GU547" s="27" t="s">
        <v>8</v>
      </c>
      <c r="KD547" s="27" t="s">
        <v>7</v>
      </c>
      <c r="KE547" s="27" t="s">
        <v>8</v>
      </c>
      <c r="KP547" s="27" t="s">
        <v>7</v>
      </c>
      <c r="KQ547" s="27" t="s">
        <v>8</v>
      </c>
    </row>
    <row r="548" spans="1:303" x14ac:dyDescent="0.25">
      <c r="A548" s="7">
        <v>2.1647447682498568</v>
      </c>
      <c r="B548"/>
      <c r="C548"/>
      <c r="D548"/>
      <c r="E548"/>
      <c r="BM548" s="27" t="s">
        <v>8</v>
      </c>
      <c r="CD548" s="27" t="s">
        <v>7</v>
      </c>
      <c r="CQ548" s="27" t="s">
        <v>8</v>
      </c>
      <c r="CU548" s="27" t="s">
        <v>8</v>
      </c>
      <c r="CV548" s="27" t="s">
        <v>7</v>
      </c>
      <c r="CW548" s="27" t="s">
        <v>8</v>
      </c>
      <c r="FF548" s="27" t="s">
        <v>7</v>
      </c>
      <c r="FG548" s="27" t="s">
        <v>8</v>
      </c>
      <c r="FI548" s="27" t="s">
        <v>8</v>
      </c>
      <c r="FJ548" s="27" t="s">
        <v>7</v>
      </c>
      <c r="FK548" s="27" t="s">
        <v>8</v>
      </c>
      <c r="FL548" s="27" t="s">
        <v>7</v>
      </c>
      <c r="FN548" s="27" t="s">
        <v>7</v>
      </c>
      <c r="FO548" s="27" t="s">
        <v>8</v>
      </c>
      <c r="FP548" s="27" t="s">
        <v>7</v>
      </c>
      <c r="FQ548" s="27" t="s">
        <v>8</v>
      </c>
      <c r="FR548" s="27" t="s">
        <v>7</v>
      </c>
      <c r="FS548" s="27" t="s">
        <v>8</v>
      </c>
      <c r="FT548" s="27" t="s">
        <v>7</v>
      </c>
      <c r="FW548" s="27" t="s">
        <v>8</v>
      </c>
      <c r="FX548" s="27" t="s">
        <v>7</v>
      </c>
      <c r="FY548" s="27" t="s">
        <v>8</v>
      </c>
      <c r="GA548" s="27" t="s">
        <v>8</v>
      </c>
      <c r="GC548" s="27" t="s">
        <v>8</v>
      </c>
      <c r="GD548" s="27" t="s">
        <v>7</v>
      </c>
      <c r="GE548" s="27" t="s">
        <v>8</v>
      </c>
      <c r="GH548" s="27" t="s">
        <v>7</v>
      </c>
      <c r="GI548" s="27" t="s">
        <v>8</v>
      </c>
      <c r="GJ548" s="27" t="s">
        <v>7</v>
      </c>
      <c r="GM548" s="27" t="s">
        <v>8</v>
      </c>
      <c r="GN548" s="27" t="s">
        <v>7</v>
      </c>
      <c r="GQ548" s="27" t="s">
        <v>8</v>
      </c>
      <c r="GT548" s="27" t="s">
        <v>7</v>
      </c>
      <c r="GU548" s="27" t="s">
        <v>8</v>
      </c>
      <c r="KD548" s="27" t="s">
        <v>7</v>
      </c>
      <c r="KE548" s="27" t="s">
        <v>8</v>
      </c>
      <c r="KP548" s="27" t="s">
        <v>7</v>
      </c>
      <c r="KQ548" s="27" t="s">
        <v>8</v>
      </c>
    </row>
    <row r="549" spans="1:303" x14ac:dyDescent="0.25">
      <c r="A549" s="7">
        <v>2.1222987924018204</v>
      </c>
      <c r="B549"/>
      <c r="C549"/>
      <c r="D549"/>
      <c r="E549"/>
      <c r="BM549" s="27" t="s">
        <v>8</v>
      </c>
      <c r="CD549" s="27" t="s">
        <v>7</v>
      </c>
      <c r="CQ549" s="27" t="s">
        <v>8</v>
      </c>
      <c r="CR549" s="27" t="s">
        <v>7</v>
      </c>
      <c r="CU549" s="27" t="s">
        <v>8</v>
      </c>
      <c r="CV549" s="27" t="s">
        <v>7</v>
      </c>
      <c r="CW549" s="27" t="s">
        <v>8</v>
      </c>
      <c r="FF549" s="27" t="s">
        <v>7</v>
      </c>
      <c r="FG549" s="27" t="s">
        <v>8</v>
      </c>
      <c r="FH549" s="27" t="s">
        <v>7</v>
      </c>
      <c r="FI549" s="27" t="s">
        <v>8</v>
      </c>
      <c r="FJ549" s="27" t="s">
        <v>7</v>
      </c>
      <c r="FN549" s="27" t="s">
        <v>7</v>
      </c>
      <c r="FO549" s="27" t="s">
        <v>8</v>
      </c>
      <c r="FP549" s="27" t="s">
        <v>7</v>
      </c>
      <c r="FQ549" s="27" t="s">
        <v>8</v>
      </c>
      <c r="FR549" s="27" t="s">
        <v>7</v>
      </c>
      <c r="FS549" s="27" t="s">
        <v>8</v>
      </c>
      <c r="FT549" s="27" t="s">
        <v>7</v>
      </c>
      <c r="FW549" s="27" t="s">
        <v>8</v>
      </c>
      <c r="FX549" s="27" t="s">
        <v>7</v>
      </c>
      <c r="FY549" s="27" t="s">
        <v>8</v>
      </c>
      <c r="FZ549" s="27" t="s">
        <v>7</v>
      </c>
      <c r="GA549" s="27" t="s">
        <v>8</v>
      </c>
      <c r="GB549" s="27" t="s">
        <v>7</v>
      </c>
      <c r="GC549" s="27" t="s">
        <v>8</v>
      </c>
      <c r="GD549" s="27" t="s">
        <v>7</v>
      </c>
      <c r="GE549" s="27" t="s">
        <v>8</v>
      </c>
      <c r="GH549" s="27" t="s">
        <v>7</v>
      </c>
      <c r="GI549" s="27" t="s">
        <v>8</v>
      </c>
      <c r="GJ549" s="27" t="s">
        <v>7</v>
      </c>
      <c r="GM549" s="27" t="s">
        <v>8</v>
      </c>
      <c r="GN549" s="27" t="s">
        <v>7</v>
      </c>
      <c r="GO549" s="27" t="s">
        <v>8</v>
      </c>
      <c r="GQ549" s="27" t="s">
        <v>8</v>
      </c>
      <c r="GT549" s="27" t="s">
        <v>7</v>
      </c>
      <c r="KD549" s="27" t="s">
        <v>7</v>
      </c>
      <c r="KP549" s="27" t="s">
        <v>7</v>
      </c>
    </row>
    <row r="550" spans="1:303" x14ac:dyDescent="0.25">
      <c r="A550" s="7">
        <v>2.0806850905900198</v>
      </c>
      <c r="B550"/>
      <c r="C550"/>
      <c r="D550"/>
      <c r="E550"/>
      <c r="BK550" s="27" t="s">
        <v>8</v>
      </c>
      <c r="BM550" s="27" t="s">
        <v>8</v>
      </c>
      <c r="CD550" s="27" t="s">
        <v>7</v>
      </c>
      <c r="CQ550" s="27" t="s">
        <v>8</v>
      </c>
      <c r="CR550" s="27" t="s">
        <v>7</v>
      </c>
      <c r="CU550" s="27" t="s">
        <v>8</v>
      </c>
      <c r="CV550" s="27" t="s">
        <v>7</v>
      </c>
      <c r="FF550" s="27" t="s">
        <v>7</v>
      </c>
      <c r="FG550" s="27" t="s">
        <v>8</v>
      </c>
      <c r="FH550" s="27" t="s">
        <v>7</v>
      </c>
      <c r="FI550" s="27" t="s">
        <v>8</v>
      </c>
      <c r="FN550" s="27" t="s">
        <v>7</v>
      </c>
      <c r="FO550" s="27" t="s">
        <v>8</v>
      </c>
      <c r="FP550" s="27" t="s">
        <v>7</v>
      </c>
      <c r="FQ550" s="27" t="s">
        <v>8</v>
      </c>
      <c r="FR550" s="27" t="s">
        <v>7</v>
      </c>
      <c r="FS550" s="27" t="s">
        <v>8</v>
      </c>
      <c r="FT550" s="27" t="s">
        <v>7</v>
      </c>
      <c r="FW550" s="27" t="s">
        <v>8</v>
      </c>
      <c r="FX550" s="27" t="s">
        <v>7</v>
      </c>
      <c r="FY550" s="27" t="s">
        <v>8</v>
      </c>
      <c r="FZ550" s="27" t="s">
        <v>7</v>
      </c>
      <c r="GA550" s="27" t="s">
        <v>8</v>
      </c>
      <c r="GB550" s="27" t="s">
        <v>7</v>
      </c>
      <c r="GC550" s="27" t="s">
        <v>8</v>
      </c>
      <c r="GD550" s="27" t="s">
        <v>7</v>
      </c>
      <c r="GH550" s="27" t="s">
        <v>7</v>
      </c>
      <c r="GI550" s="27" t="s">
        <v>8</v>
      </c>
      <c r="GJ550" s="27" t="s">
        <v>7</v>
      </c>
      <c r="GK550" s="27" t="s">
        <v>8</v>
      </c>
      <c r="GM550" s="27" t="s">
        <v>8</v>
      </c>
      <c r="GN550" s="27" t="s">
        <v>7</v>
      </c>
      <c r="GO550" s="27" t="s">
        <v>8</v>
      </c>
      <c r="GP550" s="27" t="s">
        <v>7</v>
      </c>
      <c r="GQ550" s="27" t="s">
        <v>8</v>
      </c>
    </row>
    <row r="551" spans="1:303" x14ac:dyDescent="0.25">
      <c r="A551" s="7">
        <v>2.0398873437157055</v>
      </c>
      <c r="B551"/>
      <c r="C551"/>
      <c r="D551"/>
      <c r="E551"/>
      <c r="BK551" s="27" t="s">
        <v>8</v>
      </c>
      <c r="BL551" s="27" t="s">
        <v>7</v>
      </c>
      <c r="BM551" s="27" t="s">
        <v>8</v>
      </c>
      <c r="CD551" s="27" t="s">
        <v>7</v>
      </c>
      <c r="CQ551" s="27" t="s">
        <v>8</v>
      </c>
      <c r="CR551" s="27" t="s">
        <v>7</v>
      </c>
      <c r="CS551" s="27" t="s">
        <v>8</v>
      </c>
      <c r="CU551" s="27" t="s">
        <v>8</v>
      </c>
      <c r="FF551" s="27" t="s">
        <v>7</v>
      </c>
      <c r="FG551" s="27" t="s">
        <v>8</v>
      </c>
      <c r="FH551" s="27" t="s">
        <v>7</v>
      </c>
      <c r="FI551" s="27" t="s">
        <v>8</v>
      </c>
      <c r="FN551" s="27" t="s">
        <v>7</v>
      </c>
      <c r="FP551" s="27" t="s">
        <v>7</v>
      </c>
      <c r="FQ551" s="27" t="s">
        <v>8</v>
      </c>
      <c r="FR551" s="27" t="s">
        <v>7</v>
      </c>
      <c r="FT551" s="27" t="s">
        <v>7</v>
      </c>
      <c r="FU551" s="27" t="s">
        <v>8</v>
      </c>
      <c r="FW551" s="27" t="s">
        <v>8</v>
      </c>
      <c r="FX551" s="27" t="s">
        <v>7</v>
      </c>
      <c r="FY551" s="27" t="s">
        <v>8</v>
      </c>
      <c r="FZ551" s="27" t="s">
        <v>7</v>
      </c>
      <c r="GA551" s="27" t="s">
        <v>8</v>
      </c>
      <c r="GB551" s="27" t="s">
        <v>7</v>
      </c>
      <c r="GH551" s="27" t="s">
        <v>7</v>
      </c>
      <c r="GI551" s="27" t="s">
        <v>8</v>
      </c>
      <c r="GJ551" s="27" t="s">
        <v>7</v>
      </c>
      <c r="GK551" s="27" t="s">
        <v>8</v>
      </c>
      <c r="GL551" s="27" t="s">
        <v>7</v>
      </c>
      <c r="GM551" s="27" t="s">
        <v>8</v>
      </c>
      <c r="GN551" s="27" t="s">
        <v>7</v>
      </c>
      <c r="GO551" s="27" t="s">
        <v>8</v>
      </c>
      <c r="GP551" s="27" t="s">
        <v>7</v>
      </c>
      <c r="GQ551" s="27" t="s">
        <v>8</v>
      </c>
    </row>
    <row r="552" spans="1:303" x14ac:dyDescent="0.25">
      <c r="A552" s="7">
        <v>1.9998895526624565</v>
      </c>
      <c r="B552"/>
      <c r="C552"/>
      <c r="D552"/>
      <c r="E552"/>
      <c r="BK552" s="27" t="s">
        <v>8</v>
      </c>
      <c r="BL552" s="27" t="s">
        <v>7</v>
      </c>
      <c r="BM552" s="27" t="s">
        <v>8</v>
      </c>
      <c r="CD552" s="27" t="s">
        <v>7</v>
      </c>
      <c r="CQ552" s="27" t="s">
        <v>8</v>
      </c>
      <c r="CR552" s="27" t="s">
        <v>7</v>
      </c>
      <c r="CS552" s="27" t="s">
        <v>8</v>
      </c>
      <c r="CT552" s="27" t="s">
        <v>7</v>
      </c>
      <c r="CU552" s="27" t="s">
        <v>8</v>
      </c>
      <c r="FF552" s="27" t="s">
        <v>7</v>
      </c>
      <c r="FG552" s="27" t="s">
        <v>8</v>
      </c>
      <c r="FH552" s="27" t="s">
        <v>7</v>
      </c>
      <c r="FI552" s="27" t="s">
        <v>8</v>
      </c>
      <c r="FP552" s="27" t="s">
        <v>7</v>
      </c>
      <c r="FT552" s="27" t="s">
        <v>7</v>
      </c>
      <c r="FU552" s="27" t="s">
        <v>8</v>
      </c>
      <c r="FV552" s="27" t="s">
        <v>7</v>
      </c>
      <c r="FW552" s="27" t="s">
        <v>8</v>
      </c>
      <c r="FX552" s="27" t="s">
        <v>7</v>
      </c>
      <c r="FZ552" s="27" t="s">
        <v>7</v>
      </c>
      <c r="GA552" s="27" t="s">
        <v>8</v>
      </c>
      <c r="GH552" s="27" t="s">
        <v>7</v>
      </c>
      <c r="GJ552" s="27" t="s">
        <v>7</v>
      </c>
      <c r="GK552" s="27" t="s">
        <v>8</v>
      </c>
      <c r="GL552" s="27" t="s">
        <v>7</v>
      </c>
      <c r="GM552" s="27" t="s">
        <v>8</v>
      </c>
      <c r="GN552" s="27" t="s">
        <v>7</v>
      </c>
      <c r="GO552" s="27" t="s">
        <v>8</v>
      </c>
      <c r="GP552" s="27" t="s">
        <v>7</v>
      </c>
      <c r="GQ552" s="27" t="s">
        <v>8</v>
      </c>
    </row>
    <row r="553" spans="1:303" x14ac:dyDescent="0.25">
      <c r="A553" s="7">
        <v>1.9606760320220162</v>
      </c>
      <c r="B553"/>
      <c r="C553"/>
      <c r="D553"/>
      <c r="E553"/>
      <c r="BK553" s="27" t="s">
        <v>8</v>
      </c>
      <c r="BL553" s="27" t="s">
        <v>7</v>
      </c>
      <c r="BM553" s="27" t="s">
        <v>8</v>
      </c>
      <c r="CD553" s="27" t="s">
        <v>7</v>
      </c>
      <c r="CQ553" s="27" t="s">
        <v>8</v>
      </c>
      <c r="CR553" s="27" t="s">
        <v>7</v>
      </c>
      <c r="CS553" s="27" t="s">
        <v>8</v>
      </c>
      <c r="CT553" s="27" t="s">
        <v>7</v>
      </c>
      <c r="CU553" s="27" t="s">
        <v>8</v>
      </c>
      <c r="FF553" s="27" t="s">
        <v>7</v>
      </c>
      <c r="FG553" s="27" t="s">
        <v>8</v>
      </c>
      <c r="FH553" s="27" t="s">
        <v>7</v>
      </c>
      <c r="FI553" s="27" t="s">
        <v>8</v>
      </c>
      <c r="FT553" s="27" t="s">
        <v>7</v>
      </c>
      <c r="FU553" s="27" t="s">
        <v>8</v>
      </c>
      <c r="FV553" s="27" t="s">
        <v>7</v>
      </c>
      <c r="FW553" s="27" t="s">
        <v>8</v>
      </c>
      <c r="FZ553" s="27" t="s">
        <v>7</v>
      </c>
      <c r="GA553" s="27" t="s">
        <v>8</v>
      </c>
      <c r="GJ553" s="27" t="s">
        <v>7</v>
      </c>
      <c r="GK553" s="27" t="s">
        <v>8</v>
      </c>
      <c r="GL553" s="27" t="s">
        <v>7</v>
      </c>
      <c r="GM553" s="27" t="s">
        <v>8</v>
      </c>
      <c r="GN553" s="27" t="s">
        <v>7</v>
      </c>
      <c r="GP553" s="27" t="s">
        <v>7</v>
      </c>
    </row>
    <row r="554" spans="1:303" x14ac:dyDescent="0.25">
      <c r="A554" s="7">
        <v>1.9222314039431532</v>
      </c>
      <c r="B554"/>
      <c r="C554"/>
      <c r="D554"/>
      <c r="E554"/>
      <c r="BK554" s="27" t="s">
        <v>8</v>
      </c>
      <c r="BL554" s="27" t="s">
        <v>7</v>
      </c>
      <c r="CD554" s="27" t="s">
        <v>7</v>
      </c>
      <c r="CQ554" s="27" t="s">
        <v>8</v>
      </c>
      <c r="CR554" s="27" t="s">
        <v>7</v>
      </c>
      <c r="CS554" s="27" t="s">
        <v>8</v>
      </c>
      <c r="CT554" s="27" t="s">
        <v>7</v>
      </c>
      <c r="CU554" s="27" t="s">
        <v>8</v>
      </c>
      <c r="FF554" s="27" t="s">
        <v>7</v>
      </c>
      <c r="FH554" s="27" t="s">
        <v>7</v>
      </c>
      <c r="FT554" s="27" t="s">
        <v>7</v>
      </c>
      <c r="FU554" s="27" t="s">
        <v>8</v>
      </c>
      <c r="FV554" s="27" t="s">
        <v>7</v>
      </c>
      <c r="FW554" s="27" t="s">
        <v>8</v>
      </c>
      <c r="FZ554" s="27" t="s">
        <v>7</v>
      </c>
      <c r="GA554" s="27" t="s">
        <v>8</v>
      </c>
      <c r="GJ554" s="27" t="s">
        <v>7</v>
      </c>
      <c r="GK554" s="27" t="s">
        <v>8</v>
      </c>
      <c r="GL554" s="27" t="s">
        <v>7</v>
      </c>
      <c r="GM554" s="27" t="s">
        <v>8</v>
      </c>
    </row>
    <row r="555" spans="1:303" x14ac:dyDescent="0.25">
      <c r="A555" s="7">
        <v>1.8845405921011305</v>
      </c>
      <c r="B555"/>
      <c r="C555"/>
      <c r="D555"/>
      <c r="E555"/>
      <c r="BK555" s="27" t="s">
        <v>8</v>
      </c>
      <c r="CD555" s="27" t="s">
        <v>7</v>
      </c>
      <c r="CQ555" s="27" t="s">
        <v>8</v>
      </c>
      <c r="CR555" s="27" t="s">
        <v>7</v>
      </c>
      <c r="CS555" s="27" t="s">
        <v>8</v>
      </c>
      <c r="CT555" s="27" t="s">
        <v>7</v>
      </c>
      <c r="CU555" s="27" t="s">
        <v>8</v>
      </c>
      <c r="FT555" s="27" t="s">
        <v>7</v>
      </c>
      <c r="FU555" s="27" t="s">
        <v>8</v>
      </c>
      <c r="FV555" s="27" t="s">
        <v>7</v>
      </c>
      <c r="FW555" s="27" t="s">
        <v>8</v>
      </c>
      <c r="FZ555" s="27" t="s">
        <v>7</v>
      </c>
      <c r="GA555" s="27" t="s">
        <v>8</v>
      </c>
      <c r="GJ555" s="27" t="s">
        <v>7</v>
      </c>
      <c r="GK555" s="27" t="s">
        <v>8</v>
      </c>
      <c r="GL555" s="27" t="s">
        <v>7</v>
      </c>
    </row>
    <row r="556" spans="1:303" x14ac:dyDescent="0.25">
      <c r="A556" s="7">
        <v>1.8475888157854219</v>
      </c>
      <c r="B556"/>
      <c r="C556"/>
      <c r="D556"/>
      <c r="E556"/>
      <c r="BK556" s="27" t="s">
        <v>8</v>
      </c>
      <c r="CD556" s="27" t="s">
        <v>7</v>
      </c>
      <c r="CI556" s="27" t="s">
        <v>8</v>
      </c>
      <c r="CQ556" s="27" t="s">
        <v>8</v>
      </c>
      <c r="CR556" s="27" t="s">
        <v>7</v>
      </c>
      <c r="CS556" s="27" t="s">
        <v>8</v>
      </c>
      <c r="CT556" s="27" t="s">
        <v>7</v>
      </c>
      <c r="FT556" s="27" t="s">
        <v>7</v>
      </c>
      <c r="FU556" s="27" t="s">
        <v>8</v>
      </c>
      <c r="FV556" s="27" t="s">
        <v>7</v>
      </c>
      <c r="FW556" s="27" t="s">
        <v>8</v>
      </c>
      <c r="FZ556" s="27" t="s">
        <v>7</v>
      </c>
      <c r="GJ556" s="27" t="s">
        <v>7</v>
      </c>
      <c r="GK556" s="27" t="s">
        <v>8</v>
      </c>
    </row>
    <row r="557" spans="1:303" x14ac:dyDescent="0.25">
      <c r="A557" s="7">
        <v>1.8113615841033548</v>
      </c>
      <c r="B557"/>
      <c r="C557"/>
      <c r="D557"/>
      <c r="E557"/>
      <c r="AO557" s="27" t="s">
        <v>8</v>
      </c>
      <c r="BK557" s="27" t="s">
        <v>8</v>
      </c>
      <c r="CD557" s="27" t="s">
        <v>7</v>
      </c>
      <c r="CE557" s="27" t="s">
        <v>8</v>
      </c>
      <c r="CI557" s="27" t="s">
        <v>8</v>
      </c>
      <c r="CJ557" s="27" t="s">
        <v>7</v>
      </c>
      <c r="CQ557" s="27" t="s">
        <v>8</v>
      </c>
      <c r="CR557" s="27" t="s">
        <v>7</v>
      </c>
      <c r="FT557" s="27" t="s">
        <v>7</v>
      </c>
      <c r="FV557" s="27" t="s">
        <v>7</v>
      </c>
      <c r="GJ557" s="27" t="s">
        <v>7</v>
      </c>
      <c r="GK557" s="27" t="s">
        <v>8</v>
      </c>
    </row>
    <row r="558" spans="1:303" x14ac:dyDescent="0.25">
      <c r="A558" s="7">
        <v>1.7758446902974065</v>
      </c>
      <c r="B558"/>
      <c r="C558"/>
      <c r="D558"/>
      <c r="E558"/>
      <c r="AO558" s="27" t="s">
        <v>8</v>
      </c>
      <c r="AP558" s="27" t="s">
        <v>7</v>
      </c>
      <c r="BK558" s="27" t="s">
        <v>8</v>
      </c>
      <c r="CD558" s="27" t="s">
        <v>7</v>
      </c>
      <c r="CE558" s="27" t="s">
        <v>8</v>
      </c>
      <c r="CF558" s="27" t="s">
        <v>7</v>
      </c>
      <c r="CI558" s="27" t="s">
        <v>8</v>
      </c>
      <c r="CJ558" s="27" t="s">
        <v>7</v>
      </c>
      <c r="CK558" s="27" t="s">
        <v>8</v>
      </c>
      <c r="CO558" s="27" t="s">
        <v>8</v>
      </c>
      <c r="CQ558" s="27" t="s">
        <v>8</v>
      </c>
      <c r="GJ558" s="27" t="s">
        <v>7</v>
      </c>
      <c r="GK558" s="27" t="s">
        <v>8</v>
      </c>
    </row>
    <row r="559" spans="1:303" x14ac:dyDescent="0.25">
      <c r="A559" s="7">
        <v>1.7410242061739281</v>
      </c>
      <c r="B559"/>
      <c r="C559"/>
      <c r="D559"/>
      <c r="E559"/>
      <c r="AO559" s="27" t="s">
        <v>8</v>
      </c>
      <c r="AP559" s="27" t="s">
        <v>7</v>
      </c>
      <c r="AQ559" s="27" t="s">
        <v>8</v>
      </c>
      <c r="BK559" s="27" t="s">
        <v>8</v>
      </c>
      <c r="CD559" s="27" t="s">
        <v>7</v>
      </c>
      <c r="CE559" s="27" t="s">
        <v>8</v>
      </c>
      <c r="CF559" s="27" t="s">
        <v>7</v>
      </c>
      <c r="CI559" s="27" t="s">
        <v>8</v>
      </c>
      <c r="CJ559" s="27" t="s">
        <v>7</v>
      </c>
      <c r="CK559" s="27" t="s">
        <v>8</v>
      </c>
      <c r="CL559" s="27" t="s">
        <v>7</v>
      </c>
      <c r="CO559" s="27" t="s">
        <v>8</v>
      </c>
      <c r="CP559" s="27" t="s">
        <v>7</v>
      </c>
      <c r="CQ559" s="27" t="s">
        <v>8</v>
      </c>
      <c r="GJ559" s="27" t="s">
        <v>7</v>
      </c>
      <c r="GK559" s="27" t="s">
        <v>8</v>
      </c>
    </row>
    <row r="560" spans="1:303" x14ac:dyDescent="0.25">
      <c r="A560" s="7">
        <v>1.7068864766411058</v>
      </c>
      <c r="B560"/>
      <c r="C560"/>
      <c r="D560"/>
      <c r="E560"/>
      <c r="AO560" s="27" t="s">
        <v>8</v>
      </c>
      <c r="AP560" s="27" t="s">
        <v>7</v>
      </c>
      <c r="AQ560" s="27" t="s">
        <v>8</v>
      </c>
      <c r="AR560" s="27" t="s">
        <v>7</v>
      </c>
      <c r="BK560" s="27" t="s">
        <v>8</v>
      </c>
      <c r="CD560" s="27" t="s">
        <v>7</v>
      </c>
      <c r="CE560" s="27" t="s">
        <v>8</v>
      </c>
      <c r="CF560" s="27" t="s">
        <v>7</v>
      </c>
      <c r="CI560" s="27" t="s">
        <v>8</v>
      </c>
      <c r="CJ560" s="27" t="s">
        <v>7</v>
      </c>
      <c r="CK560" s="27" t="s">
        <v>8</v>
      </c>
      <c r="CL560" s="27" t="s">
        <v>7</v>
      </c>
      <c r="CO560" s="27" t="s">
        <v>8</v>
      </c>
      <c r="CP560" s="27" t="s">
        <v>7</v>
      </c>
      <c r="CQ560" s="27" t="s">
        <v>8</v>
      </c>
      <c r="GJ560" s="27" t="s">
        <v>7</v>
      </c>
      <c r="GK560" s="27" t="s">
        <v>8</v>
      </c>
    </row>
    <row r="561" spans="1:193" x14ac:dyDescent="0.25">
      <c r="A561" s="7">
        <v>1.6734181143540252</v>
      </c>
      <c r="B561"/>
      <c r="C561"/>
      <c r="D561"/>
      <c r="E561"/>
      <c r="AO561" s="27" t="s">
        <v>8</v>
      </c>
      <c r="AP561" s="27" t="s">
        <v>7</v>
      </c>
      <c r="AQ561" s="27" t="s">
        <v>8</v>
      </c>
      <c r="AR561" s="27" t="s">
        <v>7</v>
      </c>
      <c r="BK561" s="27" t="s">
        <v>8</v>
      </c>
      <c r="CD561" s="27" t="s">
        <v>7</v>
      </c>
      <c r="CE561" s="27" t="s">
        <v>8</v>
      </c>
      <c r="CF561" s="27" t="s">
        <v>7</v>
      </c>
      <c r="CI561" s="27" t="s">
        <v>8</v>
      </c>
      <c r="CJ561" s="27" t="s">
        <v>7</v>
      </c>
      <c r="CK561" s="27" t="s">
        <v>8</v>
      </c>
      <c r="CL561" s="27" t="s">
        <v>7</v>
      </c>
      <c r="CO561" s="27" t="s">
        <v>8</v>
      </c>
      <c r="CP561" s="27" t="s">
        <v>7</v>
      </c>
      <c r="GJ561" s="27" t="s">
        <v>7</v>
      </c>
      <c r="GK561" s="27" t="s">
        <v>8</v>
      </c>
    </row>
    <row r="562" spans="1:193" x14ac:dyDescent="0.25">
      <c r="A562" s="7">
        <v>1.6406059944647307</v>
      </c>
      <c r="B562"/>
      <c r="C562"/>
      <c r="D562"/>
      <c r="E562"/>
      <c r="AM562" s="27" t="s">
        <v>8</v>
      </c>
      <c r="AO562" s="27" t="s">
        <v>8</v>
      </c>
      <c r="AP562" s="27" t="s">
        <v>7</v>
      </c>
      <c r="AQ562" s="27" t="s">
        <v>8</v>
      </c>
      <c r="AR562" s="27" t="s">
        <v>7</v>
      </c>
      <c r="BI562" s="27" t="s">
        <v>8</v>
      </c>
      <c r="BK562" s="27" t="s">
        <v>8</v>
      </c>
      <c r="CD562" s="27" t="s">
        <v>7</v>
      </c>
      <c r="CE562" s="27" t="s">
        <v>8</v>
      </c>
      <c r="CF562" s="27" t="s">
        <v>7</v>
      </c>
      <c r="CI562" s="27" t="s">
        <v>8</v>
      </c>
      <c r="CJ562" s="27" t="s">
        <v>7</v>
      </c>
      <c r="CK562" s="27" t="s">
        <v>8</v>
      </c>
      <c r="CL562" s="27" t="s">
        <v>7</v>
      </c>
      <c r="CM562" s="27" t="s">
        <v>8</v>
      </c>
      <c r="CO562" s="27" t="s">
        <v>8</v>
      </c>
      <c r="GJ562" s="27" t="s">
        <v>7</v>
      </c>
      <c r="GK562" s="27" t="s">
        <v>8</v>
      </c>
    </row>
    <row r="563" spans="1:193" x14ac:dyDescent="0.25">
      <c r="A563" s="7">
        <v>1.6084372494752261</v>
      </c>
      <c r="B563"/>
      <c r="C563"/>
      <c r="D563"/>
      <c r="E563"/>
      <c r="AM563" s="27" t="s">
        <v>8</v>
      </c>
      <c r="AN563" s="27" t="s">
        <v>7</v>
      </c>
      <c r="AO563" s="27" t="s">
        <v>8</v>
      </c>
      <c r="AP563" s="27" t="s">
        <v>7</v>
      </c>
      <c r="AR563" s="27" t="s">
        <v>7</v>
      </c>
      <c r="AS563" s="27" t="s">
        <v>8</v>
      </c>
      <c r="BI563" s="27" t="s">
        <v>8</v>
      </c>
      <c r="BJ563" s="27" t="s">
        <v>7</v>
      </c>
      <c r="BK563" s="27" t="s">
        <v>8</v>
      </c>
      <c r="CD563" s="27" t="s">
        <v>7</v>
      </c>
      <c r="CE563" s="27" t="s">
        <v>8</v>
      </c>
      <c r="CF563" s="27" t="s">
        <v>7</v>
      </c>
      <c r="CI563" s="27" t="s">
        <v>8</v>
      </c>
      <c r="CJ563" s="27" t="s">
        <v>7</v>
      </c>
      <c r="CK563" s="27" t="s">
        <v>8</v>
      </c>
      <c r="CL563" s="27" t="s">
        <v>7</v>
      </c>
      <c r="CM563" s="27" t="s">
        <v>8</v>
      </c>
      <c r="CN563" s="27" t="s">
        <v>7</v>
      </c>
      <c r="CO563" s="27" t="s">
        <v>8</v>
      </c>
      <c r="GJ563" s="27" t="s">
        <v>7</v>
      </c>
      <c r="GK563" s="27" t="s">
        <v>8</v>
      </c>
    </row>
    <row r="564" spans="1:193" x14ac:dyDescent="0.25">
      <c r="A564" s="7">
        <v>1.5768992641913981</v>
      </c>
      <c r="B564"/>
      <c r="C564"/>
      <c r="D564"/>
      <c r="E564"/>
      <c r="AM564" s="27" t="s">
        <v>8</v>
      </c>
      <c r="AN564" s="27" t="s">
        <v>7</v>
      </c>
      <c r="AO564" s="27" t="s">
        <v>8</v>
      </c>
      <c r="AR564" s="27" t="s">
        <v>7</v>
      </c>
      <c r="AS564" s="27" t="s">
        <v>8</v>
      </c>
      <c r="AT564" s="27" t="s">
        <v>7</v>
      </c>
      <c r="AU564" s="27" t="s">
        <v>8</v>
      </c>
      <c r="AW564" s="27" t="s">
        <v>8</v>
      </c>
      <c r="BI564" s="27" t="s">
        <v>8</v>
      </c>
      <c r="BJ564" s="27" t="s">
        <v>7</v>
      </c>
      <c r="BK564" s="27" t="s">
        <v>8</v>
      </c>
      <c r="CD564" s="27" t="s">
        <v>7</v>
      </c>
      <c r="CE564" s="27" t="s">
        <v>8</v>
      </c>
      <c r="CF564" s="27" t="s">
        <v>7</v>
      </c>
      <c r="CI564" s="27" t="s">
        <v>8</v>
      </c>
      <c r="CJ564" s="27" t="s">
        <v>7</v>
      </c>
      <c r="CK564" s="27" t="s">
        <v>8</v>
      </c>
      <c r="CL564" s="27" t="s">
        <v>7</v>
      </c>
      <c r="CM564" s="27" t="s">
        <v>8</v>
      </c>
      <c r="CN564" s="27" t="s">
        <v>7</v>
      </c>
      <c r="CO564" s="27" t="s">
        <v>8</v>
      </c>
      <c r="GJ564" s="27" t="s">
        <v>7</v>
      </c>
    </row>
    <row r="565" spans="1:193" x14ac:dyDescent="0.25">
      <c r="A565" s="7">
        <v>1.5459796707758806</v>
      </c>
      <c r="B565"/>
      <c r="C565"/>
      <c r="D565"/>
      <c r="E565"/>
      <c r="AM565" s="27" t="s">
        <v>8</v>
      </c>
      <c r="AN565" s="27" t="s">
        <v>7</v>
      </c>
      <c r="AO565" s="27" t="s">
        <v>8</v>
      </c>
      <c r="AR565" s="27" t="s">
        <v>7</v>
      </c>
      <c r="AS565" s="27" t="s">
        <v>8</v>
      </c>
      <c r="AT565" s="27" t="s">
        <v>7</v>
      </c>
      <c r="AU565" s="27" t="s">
        <v>8</v>
      </c>
      <c r="AV565" s="27" t="s">
        <v>7</v>
      </c>
      <c r="AW565" s="27" t="s">
        <v>8</v>
      </c>
      <c r="AX565" s="27" t="s">
        <v>7</v>
      </c>
      <c r="BG565" s="27" t="s">
        <v>8</v>
      </c>
      <c r="BI565" s="27" t="s">
        <v>8</v>
      </c>
      <c r="BJ565" s="27" t="s">
        <v>7</v>
      </c>
      <c r="BK565" s="27" t="s">
        <v>8</v>
      </c>
      <c r="CD565" s="27" t="s">
        <v>7</v>
      </c>
      <c r="CE565" s="27" t="s">
        <v>8</v>
      </c>
      <c r="CF565" s="27" t="s">
        <v>7</v>
      </c>
      <c r="CI565" s="27" t="s">
        <v>8</v>
      </c>
      <c r="CJ565" s="27" t="s">
        <v>7</v>
      </c>
      <c r="CK565" s="27" t="s">
        <v>8</v>
      </c>
      <c r="CL565" s="27" t="s">
        <v>7</v>
      </c>
      <c r="CM565" s="27" t="s">
        <v>8</v>
      </c>
      <c r="CN565" s="27" t="s">
        <v>7</v>
      </c>
    </row>
    <row r="566" spans="1:193" x14ac:dyDescent="0.25">
      <c r="A566" s="7">
        <v>1.5156663438979221</v>
      </c>
      <c r="B566"/>
      <c r="C566"/>
      <c r="D566"/>
      <c r="E566"/>
      <c r="AM566" s="27" t="s">
        <v>8</v>
      </c>
      <c r="AN566" s="27" t="s">
        <v>7</v>
      </c>
      <c r="AO566" s="27" t="s">
        <v>8</v>
      </c>
      <c r="AR566" s="27" t="s">
        <v>7</v>
      </c>
      <c r="AS566" s="27" t="s">
        <v>8</v>
      </c>
      <c r="AT566" s="27" t="s">
        <v>7</v>
      </c>
      <c r="AU566" s="27" t="s">
        <v>8</v>
      </c>
      <c r="AV566" s="27" t="s">
        <v>7</v>
      </c>
      <c r="AW566" s="27" t="s">
        <v>8</v>
      </c>
      <c r="AX566" s="27" t="s">
        <v>7</v>
      </c>
      <c r="BE566" s="27" t="s">
        <v>8</v>
      </c>
      <c r="BG566" s="27" t="s">
        <v>8</v>
      </c>
      <c r="BH566" s="27" t="s">
        <v>7</v>
      </c>
      <c r="BI566" s="27" t="s">
        <v>8</v>
      </c>
      <c r="BJ566" s="27" t="s">
        <v>7</v>
      </c>
      <c r="BK566" s="27" t="s">
        <v>8</v>
      </c>
      <c r="CD566" s="27" t="s">
        <v>7</v>
      </c>
      <c r="CE566" s="27" t="s">
        <v>8</v>
      </c>
      <c r="CF566" s="27" t="s">
        <v>7</v>
      </c>
      <c r="CI566" s="27" t="s">
        <v>8</v>
      </c>
      <c r="CJ566" s="27" t="s">
        <v>7</v>
      </c>
      <c r="CK566" s="27" t="s">
        <v>8</v>
      </c>
      <c r="CL566" s="27" t="s">
        <v>7</v>
      </c>
      <c r="CM566" s="27" t="s">
        <v>8</v>
      </c>
    </row>
    <row r="567" spans="1:193" x14ac:dyDescent="0.25">
      <c r="A567" s="7">
        <v>1.4859473959783549</v>
      </c>
      <c r="B567"/>
      <c r="C567"/>
      <c r="D567"/>
      <c r="E567"/>
      <c r="AM567" s="27" t="s">
        <v>8</v>
      </c>
      <c r="AN567" s="27" t="s">
        <v>7</v>
      </c>
      <c r="AO567" s="27" t="s">
        <v>8</v>
      </c>
      <c r="AR567" s="27" t="s">
        <v>7</v>
      </c>
      <c r="AS567" s="27" t="s">
        <v>8</v>
      </c>
      <c r="AT567" s="27" t="s">
        <v>7</v>
      </c>
      <c r="AV567" s="27" t="s">
        <v>7</v>
      </c>
      <c r="AW567" s="27" t="s">
        <v>8</v>
      </c>
      <c r="AX567" s="27" t="s">
        <v>7</v>
      </c>
      <c r="BE567" s="27" t="s">
        <v>8</v>
      </c>
      <c r="BF567" s="27" t="s">
        <v>7</v>
      </c>
      <c r="BG567" s="27" t="s">
        <v>8</v>
      </c>
      <c r="BH567" s="27" t="s">
        <v>7</v>
      </c>
      <c r="BI567" s="27" t="s">
        <v>8</v>
      </c>
      <c r="BJ567" s="27" t="s">
        <v>7</v>
      </c>
      <c r="BK567" s="27" t="s">
        <v>8</v>
      </c>
      <c r="CD567" s="27" t="s">
        <v>7</v>
      </c>
      <c r="CE567" s="27" t="s">
        <v>8</v>
      </c>
      <c r="CF567" s="27" t="s">
        <v>7</v>
      </c>
      <c r="CI567" s="27" t="s">
        <v>8</v>
      </c>
      <c r="CJ567" s="27" t="s">
        <v>7</v>
      </c>
      <c r="CK567" s="27" t="s">
        <v>8</v>
      </c>
      <c r="CL567" s="27" t="s">
        <v>7</v>
      </c>
    </row>
    <row r="568" spans="1:193" x14ac:dyDescent="0.25">
      <c r="A568" s="7">
        <v>1.4568111725277988</v>
      </c>
      <c r="B568"/>
      <c r="C568"/>
      <c r="D568"/>
      <c r="E568"/>
      <c r="AM568" s="27" t="s">
        <v>8</v>
      </c>
      <c r="AN568" s="27" t="s">
        <v>7</v>
      </c>
      <c r="AO568" s="27" t="s">
        <v>8</v>
      </c>
      <c r="AR568" s="27" t="s">
        <v>7</v>
      </c>
      <c r="AS568" s="27" t="s">
        <v>8</v>
      </c>
      <c r="AV568" s="27" t="s">
        <v>7</v>
      </c>
      <c r="AX568" s="27" t="s">
        <v>7</v>
      </c>
      <c r="BE568" s="27" t="s">
        <v>8</v>
      </c>
      <c r="BF568" s="27" t="s">
        <v>7</v>
      </c>
      <c r="BG568" s="27" t="s">
        <v>8</v>
      </c>
      <c r="BH568" s="27" t="s">
        <v>7</v>
      </c>
      <c r="BI568" s="27" t="s">
        <v>8</v>
      </c>
      <c r="BJ568" s="27" t="s">
        <v>7</v>
      </c>
      <c r="CD568" s="27" t="s">
        <v>7</v>
      </c>
      <c r="CE568" s="27" t="s">
        <v>8</v>
      </c>
      <c r="CF568" s="27" t="s">
        <v>7</v>
      </c>
      <c r="CG568" s="27" t="s">
        <v>8</v>
      </c>
      <c r="CI568" s="27" t="s">
        <v>8</v>
      </c>
      <c r="CJ568" s="27" t="s">
        <v>7</v>
      </c>
    </row>
    <row r="569" spans="1:193" x14ac:dyDescent="0.25">
      <c r="A569" s="7">
        <v>1.4282462475762734</v>
      </c>
      <c r="B569"/>
      <c r="C569"/>
      <c r="D569"/>
      <c r="E569"/>
      <c r="W569" s="27" t="s">
        <v>8</v>
      </c>
      <c r="AG569" s="27" t="s">
        <v>8</v>
      </c>
      <c r="AM569" s="27" t="s">
        <v>8</v>
      </c>
      <c r="AN569" s="27" t="s">
        <v>7</v>
      </c>
      <c r="AO569" s="27" t="s">
        <v>8</v>
      </c>
      <c r="AR569" s="27" t="s">
        <v>7</v>
      </c>
      <c r="AX569" s="27" t="s">
        <v>7</v>
      </c>
      <c r="BE569" s="27" t="s">
        <v>8</v>
      </c>
      <c r="BF569" s="27" t="s">
        <v>7</v>
      </c>
      <c r="BH569" s="27" t="s">
        <v>7</v>
      </c>
      <c r="BI569" s="27" t="s">
        <v>8</v>
      </c>
      <c r="CD569" s="27" t="s">
        <v>7</v>
      </c>
      <c r="CE569" s="27" t="s">
        <v>8</v>
      </c>
      <c r="CF569" s="27" t="s">
        <v>7</v>
      </c>
      <c r="CG569" s="27" t="s">
        <v>8</v>
      </c>
      <c r="CH569" s="27" t="s">
        <v>7</v>
      </c>
      <c r="CI569" s="27" t="s">
        <v>8</v>
      </c>
    </row>
    <row r="570" spans="1:193" x14ac:dyDescent="0.25">
      <c r="A570" s="7">
        <v>1.4002414191924248</v>
      </c>
      <c r="B570"/>
      <c r="C570"/>
      <c r="D570"/>
      <c r="E570"/>
      <c r="W570" s="27" t="s">
        <v>8</v>
      </c>
      <c r="X570" s="27" t="s">
        <v>7</v>
      </c>
      <c r="AG570" s="27" t="s">
        <v>8</v>
      </c>
      <c r="AH570" s="27" t="s">
        <v>7</v>
      </c>
      <c r="AM570" s="27" t="s">
        <v>8</v>
      </c>
      <c r="AN570" s="27" t="s">
        <v>7</v>
      </c>
      <c r="AX570" s="27" t="s">
        <v>7</v>
      </c>
      <c r="BE570" s="27" t="s">
        <v>8</v>
      </c>
      <c r="BH570" s="27" t="s">
        <v>7</v>
      </c>
      <c r="BI570" s="27" t="s">
        <v>8</v>
      </c>
      <c r="CD570" s="27" t="s">
        <v>7</v>
      </c>
      <c r="CE570" s="27" t="s">
        <v>8</v>
      </c>
      <c r="CF570" s="27" t="s">
        <v>7</v>
      </c>
      <c r="CG570" s="27" t="s">
        <v>8</v>
      </c>
      <c r="CH570" s="27" t="s">
        <v>7</v>
      </c>
      <c r="CI570" s="27" t="s">
        <v>8</v>
      </c>
    </row>
    <row r="571" spans="1:193" x14ac:dyDescent="0.25">
      <c r="A571" s="7">
        <v>1.3727857050906125</v>
      </c>
      <c r="B571"/>
      <c r="C571"/>
      <c r="D571"/>
      <c r="E571"/>
      <c r="W571" s="27" t="s">
        <v>8</v>
      </c>
      <c r="X571" s="27" t="s">
        <v>7</v>
      </c>
      <c r="AG571" s="27" t="s">
        <v>8</v>
      </c>
      <c r="AH571" s="27" t="s">
        <v>7</v>
      </c>
      <c r="AM571" s="27" t="s">
        <v>8</v>
      </c>
      <c r="AX571" s="27" t="s">
        <v>7</v>
      </c>
      <c r="AY571" s="27" t="s">
        <v>8</v>
      </c>
      <c r="BA571" s="27" t="s">
        <v>8</v>
      </c>
      <c r="BE571" s="27" t="s">
        <v>8</v>
      </c>
      <c r="BH571" s="27" t="s">
        <v>7</v>
      </c>
      <c r="CD571" s="27" t="s">
        <v>7</v>
      </c>
      <c r="CE571" s="27" t="s">
        <v>8</v>
      </c>
      <c r="CF571" s="27" t="s">
        <v>7</v>
      </c>
      <c r="CG571" s="27" t="s">
        <v>8</v>
      </c>
      <c r="CH571" s="27" t="s">
        <v>7</v>
      </c>
      <c r="CI571" s="27" t="s">
        <v>8</v>
      </c>
    </row>
    <row r="572" spans="1:193" x14ac:dyDescent="0.25">
      <c r="A572" s="7">
        <v>1.3458683383241299</v>
      </c>
      <c r="B572"/>
      <c r="C572"/>
      <c r="D572"/>
      <c r="E572"/>
      <c r="W572" s="27" t="s">
        <v>8</v>
      </c>
      <c r="X572" s="27" t="s">
        <v>7</v>
      </c>
      <c r="AG572" s="27" t="s">
        <v>8</v>
      </c>
      <c r="AH572" s="27" t="s">
        <v>7</v>
      </c>
      <c r="AI572" s="27" t="s">
        <v>8</v>
      </c>
      <c r="AM572" s="27" t="s">
        <v>8</v>
      </c>
      <c r="AX572" s="27" t="s">
        <v>7</v>
      </c>
      <c r="AY572" s="27" t="s">
        <v>8</v>
      </c>
      <c r="AZ572" s="27" t="s">
        <v>7</v>
      </c>
      <c r="BA572" s="27" t="s">
        <v>8</v>
      </c>
      <c r="BB572" s="27" t="s">
        <v>7</v>
      </c>
      <c r="BC572" s="27" t="s">
        <v>8</v>
      </c>
      <c r="BE572" s="27" t="s">
        <v>8</v>
      </c>
      <c r="CD572" s="27" t="s">
        <v>7</v>
      </c>
      <c r="CE572" s="27" t="s">
        <v>8</v>
      </c>
      <c r="CF572" s="27" t="s">
        <v>7</v>
      </c>
      <c r="CG572" s="27" t="s">
        <v>8</v>
      </c>
      <c r="CH572" s="27" t="s">
        <v>7</v>
      </c>
      <c r="CI572" s="27" t="s">
        <v>8</v>
      </c>
    </row>
    <row r="573" spans="1:193" x14ac:dyDescent="0.25">
      <c r="A573" s="7">
        <v>1.3194787630628724</v>
      </c>
      <c r="B573"/>
      <c r="C573"/>
      <c r="D573"/>
      <c r="E573"/>
      <c r="W573" s="27" t="s">
        <v>8</v>
      </c>
      <c r="X573" s="27" t="s">
        <v>7</v>
      </c>
      <c r="AG573" s="27" t="s">
        <v>8</v>
      </c>
      <c r="AH573" s="27" t="s">
        <v>7</v>
      </c>
      <c r="AI573" s="27" t="s">
        <v>8</v>
      </c>
      <c r="AJ573" s="27" t="s">
        <v>7</v>
      </c>
      <c r="AK573" s="27" t="s">
        <v>8</v>
      </c>
      <c r="AM573" s="27" t="s">
        <v>8</v>
      </c>
      <c r="AX573" s="27" t="s">
        <v>7</v>
      </c>
      <c r="AY573" s="27" t="s">
        <v>8</v>
      </c>
      <c r="AZ573" s="27" t="s">
        <v>7</v>
      </c>
      <c r="BA573" s="27" t="s">
        <v>8</v>
      </c>
      <c r="BB573" s="27" t="s">
        <v>7</v>
      </c>
      <c r="BC573" s="27" t="s">
        <v>8</v>
      </c>
      <c r="BD573" s="27" t="s">
        <v>7</v>
      </c>
      <c r="BE573" s="27" t="s">
        <v>8</v>
      </c>
      <c r="CD573" s="27" t="s">
        <v>7</v>
      </c>
      <c r="CE573" s="27" t="s">
        <v>8</v>
      </c>
      <c r="CF573" s="27" t="s">
        <v>7</v>
      </c>
      <c r="CG573" s="27" t="s">
        <v>8</v>
      </c>
      <c r="CH573" s="27" t="s">
        <v>7</v>
      </c>
      <c r="CI573" s="27" t="s">
        <v>8</v>
      </c>
    </row>
    <row r="574" spans="1:193" x14ac:dyDescent="0.25">
      <c r="A574" s="7">
        <v>1.2936066304537963</v>
      </c>
      <c r="B574"/>
      <c r="C574"/>
      <c r="D574"/>
      <c r="E574"/>
      <c r="W574" s="27" t="s">
        <v>8</v>
      </c>
      <c r="X574" s="27" t="s">
        <v>7</v>
      </c>
      <c r="AE574" s="27" t="s">
        <v>8</v>
      </c>
      <c r="AG574" s="27" t="s">
        <v>8</v>
      </c>
      <c r="AH574" s="27" t="s">
        <v>7</v>
      </c>
      <c r="AI574" s="27" t="s">
        <v>8</v>
      </c>
      <c r="AJ574" s="27" t="s">
        <v>7</v>
      </c>
      <c r="AK574" s="27" t="s">
        <v>8</v>
      </c>
      <c r="AL574" s="27" t="s">
        <v>7</v>
      </c>
      <c r="AM574" s="27" t="s">
        <v>8</v>
      </c>
      <c r="AX574" s="27" t="s">
        <v>7</v>
      </c>
      <c r="AZ574" s="27" t="s">
        <v>7</v>
      </c>
      <c r="BA574" s="27" t="s">
        <v>8</v>
      </c>
      <c r="BB574" s="27" t="s">
        <v>7</v>
      </c>
      <c r="BC574" s="27" t="s">
        <v>8</v>
      </c>
      <c r="BD574" s="27" t="s">
        <v>7</v>
      </c>
      <c r="BE574" s="27" t="s">
        <v>8</v>
      </c>
      <c r="CD574" s="27" t="s">
        <v>7</v>
      </c>
      <c r="CE574" s="27" t="s">
        <v>8</v>
      </c>
      <c r="CF574" s="27" t="s">
        <v>7</v>
      </c>
      <c r="CG574" s="27" t="s">
        <v>8</v>
      </c>
      <c r="CH574" s="27" t="s">
        <v>7</v>
      </c>
    </row>
    <row r="575" spans="1:193" x14ac:dyDescent="0.25">
      <c r="A575" s="7">
        <v>1.2682417945625455</v>
      </c>
      <c r="B575"/>
      <c r="C575"/>
      <c r="D575"/>
      <c r="E575"/>
      <c r="W575" s="27" t="s">
        <v>8</v>
      </c>
      <c r="X575" s="27" t="s">
        <v>7</v>
      </c>
      <c r="Y575" s="27" t="s">
        <v>8</v>
      </c>
      <c r="AE575" s="27" t="s">
        <v>8</v>
      </c>
      <c r="AF575" s="27" t="s">
        <v>7</v>
      </c>
      <c r="AG575" s="27" t="s">
        <v>8</v>
      </c>
      <c r="AH575" s="27" t="s">
        <v>7</v>
      </c>
      <c r="AI575" s="27" t="s">
        <v>8</v>
      </c>
      <c r="AJ575" s="27" t="s">
        <v>7</v>
      </c>
      <c r="AK575" s="27" t="s">
        <v>8</v>
      </c>
      <c r="AL575" s="27" t="s">
        <v>7</v>
      </c>
      <c r="AM575" s="27" t="s">
        <v>8</v>
      </c>
      <c r="AZ575" s="27" t="s">
        <v>7</v>
      </c>
      <c r="BA575" s="27" t="s">
        <v>8</v>
      </c>
      <c r="BB575" s="27" t="s">
        <v>7</v>
      </c>
      <c r="BD575" s="27" t="s">
        <v>7</v>
      </c>
      <c r="CD575" s="27" t="s">
        <v>7</v>
      </c>
      <c r="CE575" s="27" t="s">
        <v>8</v>
      </c>
      <c r="CF575" s="27" t="s">
        <v>7</v>
      </c>
      <c r="CG575" s="27" t="s">
        <v>8</v>
      </c>
    </row>
    <row r="576" spans="1:193" x14ac:dyDescent="0.25">
      <c r="A576" s="7">
        <v>1.2433743083946525</v>
      </c>
      <c r="B576"/>
      <c r="C576"/>
      <c r="D576"/>
      <c r="E576"/>
      <c r="W576" s="27" t="s">
        <v>8</v>
      </c>
      <c r="X576" s="27" t="s">
        <v>7</v>
      </c>
      <c r="Y576" s="27" t="s">
        <v>8</v>
      </c>
      <c r="Z576" s="27" t="s">
        <v>7</v>
      </c>
      <c r="AA576" s="27" t="s">
        <v>8</v>
      </c>
      <c r="AC576" s="27" t="s">
        <v>8</v>
      </c>
      <c r="AE576" s="27" t="s">
        <v>8</v>
      </c>
      <c r="AF576" s="27" t="s">
        <v>7</v>
      </c>
      <c r="AG576" s="27" t="s">
        <v>8</v>
      </c>
      <c r="AH576" s="27" t="s">
        <v>7</v>
      </c>
      <c r="AI576" s="27" t="s">
        <v>8</v>
      </c>
      <c r="AJ576" s="27" t="s">
        <v>7</v>
      </c>
      <c r="AK576" s="27" t="s">
        <v>8</v>
      </c>
      <c r="AL576" s="27" t="s">
        <v>7</v>
      </c>
      <c r="AZ576" s="27" t="s">
        <v>7</v>
      </c>
      <c r="CD576" s="27" t="s">
        <v>7</v>
      </c>
      <c r="CE576" s="27" t="s">
        <v>8</v>
      </c>
      <c r="CF576" s="27" t="s">
        <v>7</v>
      </c>
      <c r="CG576" s="27" t="s">
        <v>8</v>
      </c>
    </row>
    <row r="577" spans="1:85" x14ac:dyDescent="0.25">
      <c r="A577" s="7">
        <v>1.2189944199947573</v>
      </c>
      <c r="B577"/>
      <c r="C577"/>
      <c r="D577"/>
      <c r="E577"/>
      <c r="W577" s="27" t="s">
        <v>8</v>
      </c>
      <c r="X577" s="27" t="s">
        <v>7</v>
      </c>
      <c r="Y577" s="27" t="s">
        <v>8</v>
      </c>
      <c r="Z577" s="27" t="s">
        <v>7</v>
      </c>
      <c r="AA577" s="27" t="s">
        <v>8</v>
      </c>
      <c r="AB577" s="27" t="s">
        <v>7</v>
      </c>
      <c r="AC577" s="27" t="s">
        <v>8</v>
      </c>
      <c r="AD577" s="27" t="s">
        <v>7</v>
      </c>
      <c r="AE577" s="27" t="s">
        <v>8</v>
      </c>
      <c r="AF577" s="27" t="s">
        <v>7</v>
      </c>
      <c r="AG577" s="27" t="s">
        <v>8</v>
      </c>
      <c r="AH577" s="27" t="s">
        <v>7</v>
      </c>
      <c r="AI577" s="27" t="s">
        <v>8</v>
      </c>
      <c r="AJ577" s="27" t="s">
        <v>7</v>
      </c>
      <c r="CD577" s="27" t="s">
        <v>7</v>
      </c>
      <c r="CE577" s="27" t="s">
        <v>8</v>
      </c>
      <c r="CF577" s="27" t="s">
        <v>7</v>
      </c>
      <c r="CG577" s="27" t="s">
        <v>8</v>
      </c>
    </row>
    <row r="578" spans="1:85" x14ac:dyDescent="0.25">
      <c r="A578" s="7">
        <v>1.1950925686223111</v>
      </c>
      <c r="B578"/>
      <c r="C578"/>
      <c r="D578"/>
      <c r="E578"/>
      <c r="W578" s="27" t="s">
        <v>8</v>
      </c>
      <c r="X578" s="27" t="s">
        <v>7</v>
      </c>
      <c r="Y578" s="27" t="s">
        <v>8</v>
      </c>
      <c r="Z578" s="27" t="s">
        <v>7</v>
      </c>
      <c r="AA578" s="27" t="s">
        <v>8</v>
      </c>
      <c r="AB578" s="27" t="s">
        <v>7</v>
      </c>
      <c r="AC578" s="27" t="s">
        <v>8</v>
      </c>
      <c r="AD578" s="27" t="s">
        <v>7</v>
      </c>
      <c r="AE578" s="27" t="s">
        <v>8</v>
      </c>
      <c r="AF578" s="27" t="s">
        <v>7</v>
      </c>
      <c r="AG578" s="27" t="s">
        <v>8</v>
      </c>
      <c r="AH578" s="27" t="s">
        <v>7</v>
      </c>
      <c r="AI578" s="27" t="s">
        <v>8</v>
      </c>
      <c r="CD578" s="27" t="s">
        <v>7</v>
      </c>
      <c r="CE578" s="27" t="s">
        <v>8</v>
      </c>
      <c r="CF578" s="27" t="s">
        <v>7</v>
      </c>
      <c r="CG578" s="27" t="s">
        <v>8</v>
      </c>
    </row>
    <row r="579" spans="1:85" x14ac:dyDescent="0.25">
      <c r="A579" s="7">
        <v>1.1716593810022657</v>
      </c>
      <c r="B579"/>
      <c r="C579"/>
      <c r="D579"/>
      <c r="E579"/>
      <c r="W579" s="27" t="s">
        <v>8</v>
      </c>
      <c r="X579" s="27" t="s">
        <v>7</v>
      </c>
      <c r="Y579" s="27" t="s">
        <v>8</v>
      </c>
      <c r="Z579" s="27" t="s">
        <v>7</v>
      </c>
      <c r="AA579" s="27" t="s">
        <v>8</v>
      </c>
      <c r="AB579" s="27" t="s">
        <v>7</v>
      </c>
      <c r="AC579" s="27" t="s">
        <v>8</v>
      </c>
      <c r="AD579" s="27" t="s">
        <v>7</v>
      </c>
      <c r="AE579" s="27" t="s">
        <v>8</v>
      </c>
      <c r="AF579" s="27" t="s">
        <v>7</v>
      </c>
      <c r="AG579" s="27" t="s">
        <v>8</v>
      </c>
      <c r="AH579" s="27" t="s">
        <v>7</v>
      </c>
      <c r="AI579" s="27" t="s">
        <v>8</v>
      </c>
      <c r="CD579" s="27" t="s">
        <v>7</v>
      </c>
      <c r="CE579" s="27" t="s">
        <v>8</v>
      </c>
      <c r="CF579" s="27" t="s">
        <v>7</v>
      </c>
      <c r="CG579" s="27" t="s">
        <v>8</v>
      </c>
    </row>
    <row r="580" spans="1:85" x14ac:dyDescent="0.25">
      <c r="A580" s="7">
        <v>1.14868566764928</v>
      </c>
      <c r="B580"/>
      <c r="C580"/>
      <c r="D580"/>
      <c r="E580"/>
      <c r="W580" s="27" t="s">
        <v>8</v>
      </c>
      <c r="X580" s="27" t="s">
        <v>7</v>
      </c>
      <c r="Y580" s="27" t="s">
        <v>8</v>
      </c>
      <c r="Z580" s="27" t="s">
        <v>7</v>
      </c>
      <c r="AA580" s="27" t="s">
        <v>8</v>
      </c>
      <c r="AB580" s="27" t="s">
        <v>7</v>
      </c>
      <c r="AD580" s="27" t="s">
        <v>7</v>
      </c>
      <c r="AF580" s="27" t="s">
        <v>7</v>
      </c>
      <c r="AG580" s="27" t="s">
        <v>8</v>
      </c>
      <c r="AH580" s="27" t="s">
        <v>7</v>
      </c>
      <c r="CD580" s="27" t="s">
        <v>7</v>
      </c>
      <c r="CE580" s="27" t="s">
        <v>8</v>
      </c>
      <c r="CF580" s="27" t="s">
        <v>7</v>
      </c>
      <c r="CG580" s="27" t="s">
        <v>8</v>
      </c>
    </row>
    <row r="581" spans="1:85" x14ac:dyDescent="0.25">
      <c r="A581" s="7">
        <v>1.1261624192640001</v>
      </c>
      <c r="B581"/>
      <c r="C581"/>
      <c r="D581"/>
      <c r="E581"/>
      <c r="W581" s="27" t="s">
        <v>8</v>
      </c>
      <c r="X581" s="27" t="s">
        <v>7</v>
      </c>
      <c r="Z581" s="27" t="s">
        <v>7</v>
      </c>
      <c r="AA581" s="27" t="s">
        <v>8</v>
      </c>
      <c r="AF581" s="27" t="s">
        <v>7</v>
      </c>
      <c r="AG581" s="27" t="s">
        <v>8</v>
      </c>
      <c r="CD581" s="27" t="s">
        <v>7</v>
      </c>
      <c r="CE581" s="27" t="s">
        <v>8</v>
      </c>
      <c r="CF581" s="27" t="s">
        <v>7</v>
      </c>
    </row>
    <row r="582" spans="1:85" x14ac:dyDescent="0.25">
      <c r="A582" s="7">
        <v>1.1040808032</v>
      </c>
      <c r="B582"/>
      <c r="C582"/>
      <c r="D582"/>
      <c r="E582"/>
      <c r="W582" s="27" t="s">
        <v>8</v>
      </c>
      <c r="Z582" s="27" t="s">
        <v>7</v>
      </c>
      <c r="AF582" s="27" t="s">
        <v>7</v>
      </c>
      <c r="AG582" s="27" t="s">
        <v>8</v>
      </c>
      <c r="CD582" s="27" t="s">
        <v>7</v>
      </c>
      <c r="CE582" s="27" t="s">
        <v>8</v>
      </c>
    </row>
    <row r="583" spans="1:85" x14ac:dyDescent="0.25">
      <c r="A583" s="7">
        <v>1.08243216</v>
      </c>
      <c r="B583"/>
      <c r="C583"/>
      <c r="D583"/>
      <c r="E583"/>
      <c r="W583" s="27" t="s">
        <v>8</v>
      </c>
      <c r="AF583" s="27" t="s">
        <v>7</v>
      </c>
      <c r="CD583" s="27" t="s">
        <v>7</v>
      </c>
      <c r="CE583" s="27" t="s">
        <v>8</v>
      </c>
    </row>
    <row r="584" spans="1:85" x14ac:dyDescent="0.25">
      <c r="A584" s="7">
        <v>1.0612079999999999</v>
      </c>
      <c r="B584"/>
      <c r="C584"/>
      <c r="D584"/>
      <c r="E584"/>
      <c r="W584" s="27" t="s">
        <v>8</v>
      </c>
      <c r="CD584" s="27" t="s">
        <v>7</v>
      </c>
      <c r="CE584" s="27" t="s">
        <v>8</v>
      </c>
    </row>
    <row r="585" spans="1:85" x14ac:dyDescent="0.25">
      <c r="A585" s="7">
        <v>1.0404</v>
      </c>
      <c r="B585"/>
      <c r="C585"/>
      <c r="D585"/>
      <c r="E585"/>
      <c r="W585" s="27" t="s">
        <v>8</v>
      </c>
      <c r="CD585" s="27" t="s">
        <v>7</v>
      </c>
      <c r="CE585" s="27" t="s">
        <v>8</v>
      </c>
    </row>
    <row r="586" spans="1:85" x14ac:dyDescent="0.25">
      <c r="A586" s="7">
        <v>1.02</v>
      </c>
      <c r="B586"/>
      <c r="C586"/>
      <c r="D586"/>
      <c r="E586"/>
      <c r="W586" s="27" t="s">
        <v>8</v>
      </c>
      <c r="CD586" s="27" t="s">
        <v>7</v>
      </c>
      <c r="CE586" s="27" t="s">
        <v>8</v>
      </c>
    </row>
    <row r="587" spans="1:85" x14ac:dyDescent="0.25">
      <c r="A587" s="7">
        <v>1</v>
      </c>
      <c r="B587"/>
      <c r="C587"/>
      <c r="D587"/>
      <c r="E587" s="29" t="s">
        <v>8</v>
      </c>
      <c r="W587" s="27" t="s">
        <v>8</v>
      </c>
      <c r="CD587" s="27" t="s">
        <v>7</v>
      </c>
      <c r="CE587" s="27" t="s">
        <v>8</v>
      </c>
    </row>
    <row r="588" spans="1:85" x14ac:dyDescent="0.25">
      <c r="A588" s="7">
        <v>0.98039215686274506</v>
      </c>
      <c r="B588"/>
      <c r="C588"/>
      <c r="D588"/>
      <c r="E588"/>
      <c r="F588" s="27" t="s">
        <v>7</v>
      </c>
      <c r="K588" s="27" t="s">
        <v>8</v>
      </c>
      <c r="W588" s="27" t="s">
        <v>8</v>
      </c>
      <c r="CD588" s="27" t="s">
        <v>7</v>
      </c>
      <c r="CE588" s="27" t="s">
        <v>8</v>
      </c>
    </row>
    <row r="589" spans="1:85" x14ac:dyDescent="0.25">
      <c r="A589" s="7">
        <v>0.96116878123798544</v>
      </c>
      <c r="B589"/>
      <c r="C589"/>
      <c r="D589"/>
      <c r="E589"/>
      <c r="F589" s="27" t="s">
        <v>7</v>
      </c>
      <c r="K589" s="27" t="s">
        <v>8</v>
      </c>
      <c r="L589" s="27" t="s">
        <v>7</v>
      </c>
      <c r="M589" s="27" t="s">
        <v>8</v>
      </c>
      <c r="W589" s="27" t="s">
        <v>8</v>
      </c>
      <c r="CD589" s="27" t="s">
        <v>7</v>
      </c>
    </row>
    <row r="590" spans="1:85" x14ac:dyDescent="0.25">
      <c r="A590" s="7">
        <v>0.94232233454704462</v>
      </c>
      <c r="B590"/>
      <c r="C590"/>
      <c r="D590"/>
      <c r="E590"/>
      <c r="F590" s="27" t="s">
        <v>7</v>
      </c>
      <c r="K590" s="27" t="s">
        <v>8</v>
      </c>
      <c r="L590" s="27" t="s">
        <v>7</v>
      </c>
      <c r="M590" s="27" t="s">
        <v>8</v>
      </c>
      <c r="N590" s="27" t="s">
        <v>7</v>
      </c>
      <c r="O590" s="27" t="s">
        <v>8</v>
      </c>
      <c r="W590" s="27" t="s">
        <v>8</v>
      </c>
    </row>
    <row r="591" spans="1:85" x14ac:dyDescent="0.25">
      <c r="A591" s="7">
        <v>0.92384542602651432</v>
      </c>
      <c r="B591"/>
      <c r="C591"/>
      <c r="D591"/>
      <c r="E591"/>
      <c r="F591" s="27" t="s">
        <v>7</v>
      </c>
      <c r="I591" s="27" t="s">
        <v>8</v>
      </c>
      <c r="K591" s="27" t="s">
        <v>8</v>
      </c>
      <c r="L591" s="27" t="s">
        <v>7</v>
      </c>
      <c r="M591" s="27" t="s">
        <v>8</v>
      </c>
      <c r="N591" s="27" t="s">
        <v>7</v>
      </c>
      <c r="O591" s="27" t="s">
        <v>8</v>
      </c>
      <c r="P591" s="27" t="s">
        <v>7</v>
      </c>
      <c r="S591" s="27" t="s">
        <v>8</v>
      </c>
      <c r="U591" s="27" t="s">
        <v>8</v>
      </c>
      <c r="W591" s="27" t="s">
        <v>8</v>
      </c>
    </row>
    <row r="592" spans="1:85" x14ac:dyDescent="0.25">
      <c r="A592" s="7">
        <v>0.90573080982991594</v>
      </c>
      <c r="B592"/>
      <c r="C592"/>
      <c r="D592"/>
      <c r="E592"/>
      <c r="F592" s="27" t="s">
        <v>7</v>
      </c>
      <c r="G592" s="27" t="s">
        <v>8</v>
      </c>
      <c r="I592" s="27" t="s">
        <v>8</v>
      </c>
      <c r="J592" s="27" t="s">
        <v>7</v>
      </c>
      <c r="K592" s="27" t="s">
        <v>8</v>
      </c>
      <c r="L592" s="27" t="s">
        <v>7</v>
      </c>
      <c r="M592" s="27" t="s">
        <v>8</v>
      </c>
      <c r="N592" s="27" t="s">
        <v>7</v>
      </c>
      <c r="O592" s="27" t="s">
        <v>8</v>
      </c>
      <c r="P592" s="27" t="s">
        <v>7</v>
      </c>
      <c r="Q592" s="27" t="s">
        <v>8</v>
      </c>
      <c r="S592" s="27" t="s">
        <v>8</v>
      </c>
      <c r="T592" s="27" t="s">
        <v>7</v>
      </c>
      <c r="U592" s="27" t="s">
        <v>8</v>
      </c>
      <c r="V592" s="27" t="s">
        <v>7</v>
      </c>
      <c r="W592" s="27" t="s">
        <v>8</v>
      </c>
    </row>
    <row r="593" spans="1:23" x14ac:dyDescent="0.25">
      <c r="A593" s="7">
        <v>0.8879713821861922</v>
      </c>
      <c r="B593"/>
      <c r="C593"/>
      <c r="D593"/>
      <c r="E593"/>
      <c r="F593" s="27" t="s">
        <v>7</v>
      </c>
      <c r="G593" s="27" t="s">
        <v>8</v>
      </c>
      <c r="H593" s="27" t="s">
        <v>7</v>
      </c>
      <c r="I593" s="27" t="s">
        <v>8</v>
      </c>
      <c r="J593" s="27" t="s">
        <v>7</v>
      </c>
      <c r="K593" s="27" t="s">
        <v>8</v>
      </c>
      <c r="L593" s="27" t="s">
        <v>7</v>
      </c>
      <c r="N593" s="27" t="s">
        <v>7</v>
      </c>
      <c r="O593" s="27" t="s">
        <v>8</v>
      </c>
      <c r="P593" s="27" t="s">
        <v>7</v>
      </c>
      <c r="Q593" s="27" t="s">
        <v>8</v>
      </c>
      <c r="R593" s="27" t="s">
        <v>7</v>
      </c>
      <c r="S593" s="27" t="s">
        <v>8</v>
      </c>
      <c r="T593" s="27" t="s">
        <v>7</v>
      </c>
      <c r="U593" s="27" t="s">
        <v>8</v>
      </c>
      <c r="V593" s="27" t="s">
        <v>7</v>
      </c>
      <c r="W593" s="27" t="s">
        <v>8</v>
      </c>
    </row>
    <row r="594" spans="1:23" x14ac:dyDescent="0.25">
      <c r="A594" s="7">
        <v>0.87056017861391399</v>
      </c>
      <c r="B594"/>
      <c r="C594"/>
      <c r="D594"/>
      <c r="E594"/>
      <c r="F594" s="27" t="s">
        <v>7</v>
      </c>
      <c r="G594" s="27" t="s">
        <v>8</v>
      </c>
      <c r="H594" s="27" t="s">
        <v>7</v>
      </c>
      <c r="I594" s="27" t="s">
        <v>8</v>
      </c>
      <c r="J594" s="27" t="s">
        <v>7</v>
      </c>
      <c r="K594" s="27" t="s">
        <v>8</v>
      </c>
      <c r="N594" s="27" t="s">
        <v>7</v>
      </c>
      <c r="O594" s="27" t="s">
        <v>8</v>
      </c>
      <c r="P594" s="27" t="s">
        <v>7</v>
      </c>
      <c r="Q594" s="27" t="s">
        <v>8</v>
      </c>
      <c r="R594" s="27" t="s">
        <v>7</v>
      </c>
      <c r="S594" s="27" t="s">
        <v>8</v>
      </c>
      <c r="T594" s="27" t="s">
        <v>7</v>
      </c>
      <c r="U594" s="27" t="s">
        <v>8</v>
      </c>
      <c r="V594" s="27" t="s">
        <v>7</v>
      </c>
      <c r="W594" s="27" t="s">
        <v>8</v>
      </c>
    </row>
    <row r="595" spans="1:23" x14ac:dyDescent="0.25">
      <c r="A595" s="7">
        <v>0.85349037119011173</v>
      </c>
      <c r="B595"/>
      <c r="C595"/>
      <c r="D595"/>
      <c r="E595"/>
      <c r="F595" s="27" t="s">
        <v>7</v>
      </c>
      <c r="G595" s="27" t="s">
        <v>8</v>
      </c>
      <c r="H595" s="27" t="s">
        <v>7</v>
      </c>
      <c r="I595" s="27" t="s">
        <v>8</v>
      </c>
      <c r="J595" s="27" t="s">
        <v>7</v>
      </c>
      <c r="N595" s="27" t="s">
        <v>7</v>
      </c>
      <c r="P595" s="27" t="s">
        <v>7</v>
      </c>
      <c r="Q595" s="27" t="s">
        <v>8</v>
      </c>
      <c r="R595" s="27" t="s">
        <v>7</v>
      </c>
      <c r="S595" s="27" t="s">
        <v>8</v>
      </c>
      <c r="T595" s="27" t="s">
        <v>7</v>
      </c>
      <c r="U595" s="27" t="s">
        <v>8</v>
      </c>
      <c r="V595" s="27" t="s">
        <v>7</v>
      </c>
    </row>
    <row r="596" spans="1:23" x14ac:dyDescent="0.25">
      <c r="A596" s="7">
        <v>0.83675526587265858</v>
      </c>
      <c r="B596"/>
      <c r="C596"/>
      <c r="D596"/>
      <c r="E596"/>
      <c r="F596" s="27" t="s">
        <v>7</v>
      </c>
      <c r="G596" s="27" t="s">
        <v>8</v>
      </c>
      <c r="H596" s="27" t="s">
        <v>7</v>
      </c>
      <c r="I596" s="27" t="s">
        <v>8</v>
      </c>
      <c r="P596" s="27" t="s">
        <v>7</v>
      </c>
      <c r="Q596" s="27" t="s">
        <v>8</v>
      </c>
      <c r="R596" s="27" t="s">
        <v>7</v>
      </c>
      <c r="S596" s="27" t="s">
        <v>8</v>
      </c>
      <c r="T596" s="27" t="s">
        <v>7</v>
      </c>
    </row>
    <row r="597" spans="1:23" x14ac:dyDescent="0.25">
      <c r="A597" s="7">
        <v>0.82034829987515545</v>
      </c>
      <c r="B597"/>
      <c r="C597"/>
      <c r="D597"/>
      <c r="E597"/>
      <c r="F597" s="27" t="s">
        <v>7</v>
      </c>
      <c r="H597" s="27" t="s">
        <v>7</v>
      </c>
      <c r="P597" s="27" t="s">
        <v>7</v>
      </c>
      <c r="Q597" s="27" t="s">
        <v>8</v>
      </c>
      <c r="R597" s="27" t="s">
        <v>7</v>
      </c>
    </row>
    <row r="598" spans="1:23" x14ac:dyDescent="0.25">
      <c r="A598" s="7">
        <v>0.80426303909328967</v>
      </c>
      <c r="B598"/>
      <c r="C598"/>
      <c r="D598"/>
      <c r="E598"/>
      <c r="P598" s="27" t="s">
        <v>7</v>
      </c>
      <c r="Q598" s="27" t="s">
        <v>8</v>
      </c>
    </row>
    <row r="599" spans="1:23" x14ac:dyDescent="0.25">
      <c r="A599" s="7">
        <v>0.78849317558165644</v>
      </c>
      <c r="B599"/>
      <c r="C599"/>
      <c r="D599"/>
      <c r="E599"/>
      <c r="P599" s="27" t="s">
        <v>7</v>
      </c>
      <c r="Q599" s="27" t="s">
        <v>8</v>
      </c>
    </row>
    <row r="600" spans="1:23" x14ac:dyDescent="0.25">
      <c r="A600" s="7">
        <v>0.77303252508005538</v>
      </c>
      <c r="B600"/>
      <c r="C600"/>
      <c r="D600"/>
      <c r="E600"/>
      <c r="P600" s="27" t="s">
        <v>7</v>
      </c>
      <c r="Q600" s="27" t="s">
        <v>8</v>
      </c>
    </row>
    <row r="601" spans="1:23" x14ac:dyDescent="0.25">
      <c r="A601" s="7">
        <v>0.75787502458828959</v>
      </c>
      <c r="B601"/>
      <c r="C601"/>
      <c r="D601"/>
      <c r="E601"/>
      <c r="P601" s="27" t="s">
        <v>7</v>
      </c>
    </row>
    <row r="602" spans="1:23" x14ac:dyDescent="0.25">
      <c r="A602" s="7">
        <v>0.74301472998851925</v>
      </c>
      <c r="B602"/>
      <c r="C602"/>
      <c r="D602"/>
      <c r="E602"/>
    </row>
    <row r="603" spans="1:23" x14ac:dyDescent="0.25">
      <c r="A603" s="7">
        <v>0.72844581371423456</v>
      </c>
      <c r="B603"/>
      <c r="C603"/>
      <c r="D603"/>
      <c r="E603"/>
    </row>
    <row r="604" spans="1:23" x14ac:dyDescent="0.25">
      <c r="A604" s="7">
        <v>0.71416256246493581</v>
      </c>
      <c r="B604"/>
      <c r="C604"/>
      <c r="D604"/>
      <c r="E604"/>
    </row>
    <row r="605" spans="1:23" x14ac:dyDescent="0.25">
      <c r="A605" s="7">
        <v>0.7001593749656233</v>
      </c>
      <c r="B605"/>
      <c r="C605"/>
      <c r="D605"/>
      <c r="E605"/>
    </row>
    <row r="606" spans="1:23" x14ac:dyDescent="0.25">
      <c r="A606" s="7">
        <v>0.68643075977021883</v>
      </c>
      <c r="B606"/>
      <c r="C606"/>
      <c r="D606"/>
      <c r="E606"/>
    </row>
    <row r="607" spans="1:23" x14ac:dyDescent="0.25">
      <c r="A607" s="7">
        <v>0.67297133310805768</v>
      </c>
      <c r="B607"/>
      <c r="C607"/>
      <c r="D607"/>
      <c r="E607"/>
    </row>
    <row r="608" spans="1:23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262" operator="equal">
      <formula>$U$1</formula>
    </cfRule>
    <cfRule type="cellIs" dxfId="89" priority="1263" operator="equal">
      <formula>$S$1</formula>
    </cfRule>
  </conditionalFormatting>
  <conditionalFormatting sqref="D27">
    <cfRule type="cellIs" dxfId="88" priority="1260" operator="equal">
      <formula>$S$1</formula>
    </cfRule>
    <cfRule type="cellIs" dxfId="87" priority="1261" operator="equal">
      <formula>$U$1</formula>
    </cfRule>
  </conditionalFormatting>
  <conditionalFormatting sqref="C164">
    <cfRule type="cellIs" dxfId="86" priority="1258" operator="equal">
      <formula>$U$1</formula>
    </cfRule>
    <cfRule type="cellIs" dxfId="85" priority="1259" operator="equal">
      <formula>$S$1</formula>
    </cfRule>
  </conditionalFormatting>
  <conditionalFormatting sqref="D164">
    <cfRule type="cellIs" dxfId="84" priority="1256" operator="equal">
      <formula>$S$1</formula>
    </cfRule>
    <cfRule type="cellIs" dxfId="83" priority="1257" operator="equal">
      <formula>$U$1</formula>
    </cfRule>
  </conditionalFormatting>
  <conditionalFormatting sqref="C55">
    <cfRule type="cellIs" dxfId="82" priority="1254" operator="equal">
      <formula>$U$1</formula>
    </cfRule>
    <cfRule type="cellIs" dxfId="81" priority="1255" operator="equal">
      <formula>$S$1</formula>
    </cfRule>
  </conditionalFormatting>
  <conditionalFormatting sqref="D55">
    <cfRule type="cellIs" dxfId="80" priority="1252" operator="equal">
      <formula>$S$1</formula>
    </cfRule>
    <cfRule type="cellIs" dxfId="79" priority="1253" operator="equal">
      <formula>$U$1</formula>
    </cfRule>
  </conditionalFormatting>
  <conditionalFormatting sqref="C89">
    <cfRule type="cellIs" dxfId="78" priority="1250" operator="equal">
      <formula>$U$1</formula>
    </cfRule>
    <cfRule type="cellIs" dxfId="77" priority="1251" operator="equal">
      <formula>$S$1</formula>
    </cfRule>
  </conditionalFormatting>
  <conditionalFormatting sqref="D89">
    <cfRule type="cellIs" dxfId="76" priority="1248" operator="equal">
      <formula>$S$1</formula>
    </cfRule>
    <cfRule type="cellIs" dxfId="75" priority="1249" operator="equal">
      <formula>$U$1</formula>
    </cfRule>
  </conditionalFormatting>
  <conditionalFormatting sqref="C136">
    <cfRule type="cellIs" dxfId="74" priority="1246" operator="equal">
      <formula>$U$1</formula>
    </cfRule>
    <cfRule type="cellIs" dxfId="73" priority="1247" operator="equal">
      <formula>$S$1</formula>
    </cfRule>
  </conditionalFormatting>
  <conditionalFormatting sqref="D136">
    <cfRule type="cellIs" dxfId="72" priority="1244" operator="equal">
      <formula>$S$1</formula>
    </cfRule>
    <cfRule type="cellIs" dxfId="71" priority="1245" operator="equal">
      <formula>$U$1</formula>
    </cfRule>
  </conditionalFormatting>
  <conditionalFormatting sqref="C1">
    <cfRule type="cellIs" dxfId="70" priority="1243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90" zoomScale="90" zoomScaleNormal="90" workbookViewId="0">
      <pane xSplit="4" topLeftCell="CC1" activePane="topRight" state="frozen"/>
      <selection activeCell="A109" sqref="A109"/>
      <selection pane="topRight" activeCell="EI216" sqref="EI216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$A$215</v>
      </c>
      <c r="D111" s="1" t="str">
        <f>ADDRESS(C121-1,D121,1,1)</f>
        <v>$EI$215</v>
      </c>
      <c r="E111"/>
    </row>
    <row r="112" spans="1:5" x14ac:dyDescent="0.25">
      <c r="A112" s="30">
        <v>515.50191262726139</v>
      </c>
      <c r="C112" s="1" t="str">
        <f>ADDRESS(C121,1,1,1)</f>
        <v>$A$216</v>
      </c>
      <c r="D112" s="1" t="str">
        <f>ADDRESS(C121,D121-1,1,1)</f>
        <v>$EH$216</v>
      </c>
      <c r="E112"/>
    </row>
    <row r="113" spans="1:5" x14ac:dyDescent="0.25">
      <c r="A113" s="30">
        <v>490.95420250215363</v>
      </c>
      <c r="C113" s="1" t="str">
        <f>ADDRESS(C121+1,1,1,1)</f>
        <v>$A$217</v>
      </c>
      <c r="D113" s="1" t="str">
        <f>ADDRESS(C121-1,D121+1,1,1)</f>
        <v>$EJ$215</v>
      </c>
    </row>
    <row r="114" spans="1:5" x14ac:dyDescent="0.25">
      <c r="A114" s="30">
        <v>467.57543095443202</v>
      </c>
      <c r="C114" s="1" t="str">
        <f>ADDRESS(C121,D121,1,1)</f>
        <v>$EI$216</v>
      </c>
      <c r="D114" s="1" t="str">
        <f>ADDRESS(C121+1,D121+1,1,1)</f>
        <v>$EJ$217</v>
      </c>
    </row>
    <row r="115" spans="1:5" x14ac:dyDescent="0.25">
      <c r="A115" s="30">
        <v>445.30993424231622</v>
      </c>
      <c r="C115" s="1" t="str">
        <f>ADDRESS(C121+1,D121,1,1)</f>
        <v>$EI$217</v>
      </c>
    </row>
    <row r="116" spans="1:5" x14ac:dyDescent="0.25">
      <c r="A116" s="30">
        <v>424.10469927839637</v>
      </c>
      <c r="C116" s="1">
        <f>C117-1</f>
        <v>215</v>
      </c>
    </row>
    <row r="117" spans="1:5" x14ac:dyDescent="0.25">
      <c r="A117" s="30">
        <v>403.9092374079965</v>
      </c>
      <c r="C117" s="1">
        <f>C121</f>
        <v>216</v>
      </c>
      <c r="D117" s="1">
        <f>D121</f>
        <v>139</v>
      </c>
    </row>
    <row r="118" spans="1:5" x14ac:dyDescent="0.25">
      <c r="A118" s="30">
        <v>384.6754641980919</v>
      </c>
      <c r="C118" s="1">
        <f>C117+1</f>
        <v>217</v>
      </c>
      <c r="D118" s="1">
        <f>D117+1</f>
        <v>140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216</v>
      </c>
      <c r="D121" s="19">
        <v>139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R216</v>
      </c>
      <c r="D123" s="1" t="str">
        <f>"C"&amp;D121</f>
        <v>C139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3.2250999437137038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138" x14ac:dyDescent="0.25">
      <c r="A193" s="30">
        <v>9.9059710923258422</v>
      </c>
      <c r="E193"/>
    </row>
    <row r="194" spans="1:138" x14ac:dyDescent="0.25">
      <c r="A194" s="30">
        <v>9.4342581831674686</v>
      </c>
      <c r="E194"/>
    </row>
    <row r="195" spans="1:138" x14ac:dyDescent="0.25">
      <c r="A195" s="30">
        <v>8.9850077934928265</v>
      </c>
      <c r="E195"/>
      <c r="DQ195" s="27" t="s">
        <v>8</v>
      </c>
    </row>
    <row r="196" spans="1:138" x14ac:dyDescent="0.25">
      <c r="A196" s="30">
        <v>8.5571502795169767</v>
      </c>
      <c r="E196"/>
      <c r="DQ196" s="27" t="s">
        <v>8</v>
      </c>
      <c r="DR196" s="27" t="s">
        <v>7</v>
      </c>
    </row>
    <row r="197" spans="1:138" x14ac:dyDescent="0.25">
      <c r="A197" s="30">
        <v>8.1496669328733109</v>
      </c>
      <c r="E197"/>
      <c r="CO197" s="31" t="s">
        <v>8</v>
      </c>
      <c r="DQ197" s="27" t="s">
        <v>8</v>
      </c>
      <c r="DR197" s="27" t="s">
        <v>7</v>
      </c>
    </row>
    <row r="198" spans="1:138" x14ac:dyDescent="0.25">
      <c r="A198" s="30">
        <v>7.7615875551174378</v>
      </c>
      <c r="E198"/>
      <c r="CO198" s="27" t="s">
        <v>8</v>
      </c>
      <c r="CP198" s="31" t="s">
        <v>7</v>
      </c>
      <c r="DM198" s="27" t="s">
        <v>8</v>
      </c>
      <c r="DQ198" s="27" t="s">
        <v>8</v>
      </c>
      <c r="DR198" s="27" t="s">
        <v>7</v>
      </c>
    </row>
    <row r="199" spans="1:138" x14ac:dyDescent="0.25">
      <c r="A199" s="30">
        <v>7.3919881477308929</v>
      </c>
      <c r="E199"/>
      <c r="CI199" s="27" t="s">
        <v>8</v>
      </c>
      <c r="CO199" s="27" t="s">
        <v>8</v>
      </c>
      <c r="CP199" s="27" t="s">
        <v>7</v>
      </c>
      <c r="CQ199" s="31"/>
      <c r="DM199" s="27" t="s">
        <v>8</v>
      </c>
      <c r="DN199" s="27" t="s">
        <v>7</v>
      </c>
      <c r="DO199" s="27" t="s">
        <v>8</v>
      </c>
      <c r="DQ199" s="27" t="s">
        <v>8</v>
      </c>
      <c r="DR199" s="27" t="s">
        <v>7</v>
      </c>
    </row>
    <row r="200" spans="1:138" x14ac:dyDescent="0.25">
      <c r="A200" s="30">
        <v>7.0399887121246598</v>
      </c>
      <c r="E200"/>
      <c r="CI200" s="27" t="s">
        <v>8</v>
      </c>
      <c r="CJ200" s="27" t="s">
        <v>7</v>
      </c>
      <c r="CO200" s="27" t="s">
        <v>8</v>
      </c>
      <c r="CP200" s="27" t="s">
        <v>7</v>
      </c>
      <c r="CQ200" s="27" t="s">
        <v>8</v>
      </c>
      <c r="CR200" s="31"/>
      <c r="DM200" s="27" t="s">
        <v>8</v>
      </c>
      <c r="DN200" s="27" t="s">
        <v>7</v>
      </c>
      <c r="DO200" s="27" t="s">
        <v>8</v>
      </c>
      <c r="DP200" s="27" t="s">
        <v>7</v>
      </c>
      <c r="DQ200" s="27" t="s">
        <v>8</v>
      </c>
      <c r="DR200" s="27" t="s">
        <v>7</v>
      </c>
    </row>
    <row r="201" spans="1:138" x14ac:dyDescent="0.25">
      <c r="A201" s="30">
        <v>6.7047511544044376</v>
      </c>
      <c r="E201"/>
      <c r="CG201" s="27" t="s">
        <v>8</v>
      </c>
      <c r="CI201" s="27" t="s">
        <v>8</v>
      </c>
      <c r="CJ201" s="27" t="s">
        <v>7</v>
      </c>
      <c r="CO201" s="27" t="s">
        <v>8</v>
      </c>
      <c r="CP201" s="27" t="s">
        <v>7</v>
      </c>
      <c r="CQ201" s="27" t="s">
        <v>8</v>
      </c>
      <c r="CR201" s="27" t="s">
        <v>7</v>
      </c>
      <c r="CS201" s="31"/>
      <c r="DM201" s="27" t="s">
        <v>8</v>
      </c>
      <c r="DN201" s="27" t="s">
        <v>7</v>
      </c>
      <c r="DO201" s="27" t="s">
        <v>8</v>
      </c>
      <c r="DP201" s="27" t="s">
        <v>7</v>
      </c>
      <c r="DQ201" s="27" t="s">
        <v>8</v>
      </c>
      <c r="DR201" s="27" t="s">
        <v>7</v>
      </c>
      <c r="DS201" s="27" t="s">
        <v>8</v>
      </c>
      <c r="DU201" s="27" t="s">
        <v>8</v>
      </c>
    </row>
    <row r="202" spans="1:138" x14ac:dyDescent="0.25">
      <c r="A202" s="30">
        <v>6.3854772899089882</v>
      </c>
      <c r="E202"/>
      <c r="CG202" s="27" t="s">
        <v>8</v>
      </c>
      <c r="CH202" s="27" t="s">
        <v>7</v>
      </c>
      <c r="CI202" s="27" t="s">
        <v>8</v>
      </c>
      <c r="CJ202" s="27" t="s">
        <v>7</v>
      </c>
      <c r="CK202" s="27" t="s">
        <v>8</v>
      </c>
      <c r="CO202" s="27" t="s">
        <v>8</v>
      </c>
      <c r="CP202" s="27" t="s">
        <v>7</v>
      </c>
      <c r="CQ202" s="27" t="s">
        <v>8</v>
      </c>
      <c r="CR202" s="27" t="s">
        <v>7</v>
      </c>
      <c r="CT202" s="31"/>
      <c r="DM202" s="27" t="s">
        <v>8</v>
      </c>
      <c r="DN202" s="27" t="s">
        <v>7</v>
      </c>
      <c r="DO202" s="27" t="s">
        <v>8</v>
      </c>
      <c r="DP202" s="27" t="s">
        <v>7</v>
      </c>
      <c r="DQ202" s="27" t="s">
        <v>8</v>
      </c>
      <c r="DR202" s="27" t="s">
        <v>7</v>
      </c>
      <c r="DS202" s="27" t="s">
        <v>8</v>
      </c>
      <c r="DT202" s="27" t="s">
        <v>7</v>
      </c>
      <c r="DU202" s="27" t="s">
        <v>8</v>
      </c>
      <c r="DV202" s="27" t="s">
        <v>7</v>
      </c>
    </row>
    <row r="203" spans="1:138" x14ac:dyDescent="0.25">
      <c r="A203" s="30">
        <v>6.0814069427704647</v>
      </c>
      <c r="C203" s="7"/>
      <c r="D203"/>
      <c r="E203"/>
      <c r="CG203" s="27" t="s">
        <v>8</v>
      </c>
      <c r="CH203" s="27" t="s">
        <v>7</v>
      </c>
      <c r="CI203" s="27" t="s">
        <v>8</v>
      </c>
      <c r="CJ203" s="27" t="s">
        <v>7</v>
      </c>
      <c r="CK203" s="27" t="s">
        <v>8</v>
      </c>
      <c r="CL203" s="27" t="s">
        <v>7</v>
      </c>
      <c r="CO203" s="33" t="s">
        <v>8</v>
      </c>
      <c r="CP203" s="27" t="s">
        <v>7</v>
      </c>
      <c r="CR203" s="27" t="s">
        <v>7</v>
      </c>
      <c r="CU203" s="31"/>
      <c r="DK203" s="27" t="s">
        <v>8</v>
      </c>
      <c r="DM203" s="27" t="s">
        <v>8</v>
      </c>
      <c r="DN203" s="27" t="s">
        <v>7</v>
      </c>
      <c r="DO203" s="27" t="s">
        <v>8</v>
      </c>
      <c r="DP203" s="27" t="s">
        <v>7</v>
      </c>
      <c r="DQ203" s="27" t="s">
        <v>8</v>
      </c>
      <c r="DR203" s="27" t="s">
        <v>7</v>
      </c>
      <c r="DS203" s="27" t="s">
        <v>8</v>
      </c>
      <c r="DT203" s="27" t="s">
        <v>7</v>
      </c>
      <c r="DU203" s="27" t="s">
        <v>8</v>
      </c>
      <c r="DV203" s="27" t="s">
        <v>7</v>
      </c>
      <c r="EA203" s="27" t="s">
        <v>8</v>
      </c>
    </row>
    <row r="204" spans="1:138" x14ac:dyDescent="0.25">
      <c r="A204" s="30">
        <v>5.7918161359718709</v>
      </c>
      <c r="E204"/>
      <c r="CG204" s="27" t="s">
        <v>8</v>
      </c>
      <c r="CH204" s="27" t="s">
        <v>7</v>
      </c>
      <c r="CI204" s="27" t="s">
        <v>8</v>
      </c>
      <c r="CJ204" s="27" t="s">
        <v>7</v>
      </c>
      <c r="CK204" s="27" t="s">
        <v>8</v>
      </c>
      <c r="CL204" s="27" t="s">
        <v>7</v>
      </c>
      <c r="CM204" s="27" t="s">
        <v>8</v>
      </c>
      <c r="CO204" s="27" t="s">
        <v>8</v>
      </c>
      <c r="CR204" s="32" t="s">
        <v>7</v>
      </c>
      <c r="CV204" s="31"/>
      <c r="DK204" s="27" t="s">
        <v>8</v>
      </c>
      <c r="DL204" s="27" t="s">
        <v>7</v>
      </c>
      <c r="DM204" s="27" t="s">
        <v>8</v>
      </c>
      <c r="DN204" s="27" t="s">
        <v>7</v>
      </c>
      <c r="DO204" s="27" t="s">
        <v>8</v>
      </c>
      <c r="DP204" s="27" t="s">
        <v>7</v>
      </c>
      <c r="DQ204" s="27" t="s">
        <v>8</v>
      </c>
      <c r="DR204" s="27" t="s">
        <v>7</v>
      </c>
      <c r="DT204" s="27" t="s">
        <v>7</v>
      </c>
      <c r="DV204" s="27" t="s">
        <v>7</v>
      </c>
      <c r="DY204" s="27" t="s">
        <v>8</v>
      </c>
      <c r="EA204" s="27" t="s">
        <v>8</v>
      </c>
      <c r="EB204" s="27" t="s">
        <v>7</v>
      </c>
    </row>
    <row r="205" spans="1:138" x14ac:dyDescent="0.25">
      <c r="A205" s="30">
        <v>5.5160153675922574</v>
      </c>
      <c r="E205"/>
      <c r="BU205" s="27" t="s">
        <v>8</v>
      </c>
      <c r="CG205" s="27" t="s">
        <v>8</v>
      </c>
      <c r="CH205" s="27" t="s">
        <v>7</v>
      </c>
      <c r="CJ205" s="27" t="s">
        <v>7</v>
      </c>
      <c r="CK205" s="27" t="s">
        <v>8</v>
      </c>
      <c r="CL205" s="27" t="s">
        <v>7</v>
      </c>
      <c r="CM205" s="27" t="s">
        <v>8</v>
      </c>
      <c r="CN205" s="27" t="s">
        <v>7</v>
      </c>
      <c r="CO205" s="27" t="s">
        <v>8</v>
      </c>
      <c r="CR205" s="27" t="s">
        <v>7</v>
      </c>
      <c r="CW205" s="31"/>
      <c r="DK205" s="27" t="s">
        <v>8</v>
      </c>
      <c r="DL205" s="27" t="s">
        <v>7</v>
      </c>
      <c r="DM205" s="27" t="s">
        <v>8</v>
      </c>
      <c r="DN205" s="27" t="s">
        <v>7</v>
      </c>
      <c r="DO205" s="27" t="s">
        <v>8</v>
      </c>
      <c r="DP205" s="27" t="s">
        <v>7</v>
      </c>
      <c r="DV205" s="27" t="s">
        <v>7</v>
      </c>
      <c r="DW205" s="27" t="s">
        <v>8</v>
      </c>
      <c r="DY205" s="27" t="s">
        <v>8</v>
      </c>
      <c r="DZ205" s="27" t="s">
        <v>7</v>
      </c>
      <c r="EA205" s="27" t="s">
        <v>8</v>
      </c>
      <c r="EB205" s="27" t="s">
        <v>7</v>
      </c>
    </row>
    <row r="206" spans="1:138" x14ac:dyDescent="0.25">
      <c r="A206" s="30">
        <v>5.2533479691354827</v>
      </c>
      <c r="C206"/>
      <c r="D206"/>
      <c r="E206"/>
      <c r="BU206" s="27" t="s">
        <v>8</v>
      </c>
      <c r="BV206" s="27" t="s">
        <v>7</v>
      </c>
      <c r="CG206" s="27" t="s">
        <v>8</v>
      </c>
      <c r="CJ206" s="32" t="s">
        <v>7</v>
      </c>
      <c r="CL206" s="31" t="s">
        <v>7</v>
      </c>
      <c r="CM206" s="27" t="s">
        <v>8</v>
      </c>
      <c r="CN206" s="27" t="s">
        <v>7</v>
      </c>
      <c r="CO206" s="27" t="s">
        <v>8</v>
      </c>
      <c r="CR206" s="27" t="s">
        <v>7</v>
      </c>
      <c r="CX206" s="31"/>
      <c r="DI206" s="27" t="s">
        <v>8</v>
      </c>
      <c r="DK206" s="27" t="s">
        <v>8</v>
      </c>
      <c r="DL206" s="27" t="s">
        <v>7</v>
      </c>
      <c r="DM206" s="27" t="s">
        <v>8</v>
      </c>
      <c r="DN206" s="27" t="s">
        <v>7</v>
      </c>
      <c r="DO206" s="27" t="s">
        <v>8</v>
      </c>
      <c r="DV206" s="27" t="s">
        <v>7</v>
      </c>
      <c r="DW206" s="27" t="s">
        <v>8</v>
      </c>
      <c r="DX206" s="27" t="s">
        <v>7</v>
      </c>
      <c r="DY206" s="27" t="s">
        <v>8</v>
      </c>
      <c r="DZ206" s="27" t="s">
        <v>7</v>
      </c>
      <c r="EA206" s="27" t="s">
        <v>8</v>
      </c>
      <c r="EB206" s="27" t="s">
        <v>7</v>
      </c>
      <c r="EG206" s="27" t="s">
        <v>8</v>
      </c>
    </row>
    <row r="207" spans="1:138" x14ac:dyDescent="0.25">
      <c r="A207" s="30">
        <v>5.0031885420337927</v>
      </c>
      <c r="E207"/>
      <c r="BU207" s="27" t="s">
        <v>8</v>
      </c>
      <c r="BV207" s="27" t="s">
        <v>7</v>
      </c>
      <c r="BW207" s="27" t="s">
        <v>8</v>
      </c>
      <c r="CG207" s="27" t="s">
        <v>8</v>
      </c>
      <c r="CK207" s="31"/>
      <c r="CL207" s="27" t="s">
        <v>7</v>
      </c>
      <c r="CN207" s="27" t="s">
        <v>7</v>
      </c>
      <c r="CO207" s="27" t="s">
        <v>8</v>
      </c>
      <c r="CR207" s="27" t="s">
        <v>7</v>
      </c>
      <c r="CY207" s="31"/>
      <c r="DI207" s="27" t="s">
        <v>8</v>
      </c>
      <c r="DJ207" s="27" t="s">
        <v>7</v>
      </c>
      <c r="DK207" s="27" t="s">
        <v>8</v>
      </c>
      <c r="DL207" s="27" t="s">
        <v>7</v>
      </c>
      <c r="DM207" s="27" t="s">
        <v>8</v>
      </c>
      <c r="DN207" s="27" t="s">
        <v>7</v>
      </c>
      <c r="DO207" s="27" t="s">
        <v>8</v>
      </c>
      <c r="DV207" s="27" t="s">
        <v>7</v>
      </c>
      <c r="DW207" s="27" t="s">
        <v>8</v>
      </c>
      <c r="DX207" s="27" t="s">
        <v>7</v>
      </c>
      <c r="DY207" s="27" t="s">
        <v>8</v>
      </c>
      <c r="DZ207" s="27" t="s">
        <v>7</v>
      </c>
      <c r="EA207" s="27" t="s">
        <v>8</v>
      </c>
      <c r="EB207" s="27" t="s">
        <v>7</v>
      </c>
      <c r="EE207" s="27" t="s">
        <v>8</v>
      </c>
      <c r="EG207" s="27" t="s">
        <v>8</v>
      </c>
      <c r="EH207" s="27" t="s">
        <v>7</v>
      </c>
    </row>
    <row r="208" spans="1:138" x14ac:dyDescent="0.25">
      <c r="A208" s="30">
        <v>4.7649414686036122</v>
      </c>
      <c r="E208"/>
      <c r="BU208" s="27" t="s">
        <v>8</v>
      </c>
      <c r="BV208" s="27" t="s">
        <v>7</v>
      </c>
      <c r="BW208" s="27" t="s">
        <v>8</v>
      </c>
      <c r="BX208" s="27" t="s">
        <v>7</v>
      </c>
      <c r="CG208" s="27" t="s">
        <v>8</v>
      </c>
      <c r="CJ208" s="31"/>
      <c r="CN208" s="27" t="s">
        <v>7</v>
      </c>
      <c r="CO208" s="27" t="s">
        <v>8</v>
      </c>
      <c r="CR208" s="27" t="s">
        <v>7</v>
      </c>
      <c r="CZ208" s="31"/>
      <c r="DI208" s="27" t="s">
        <v>8</v>
      </c>
      <c r="DJ208" s="27" t="s">
        <v>7</v>
      </c>
      <c r="DK208" s="27" t="s">
        <v>8</v>
      </c>
      <c r="DL208" s="27" t="s">
        <v>7</v>
      </c>
      <c r="DM208" s="27" t="s">
        <v>8</v>
      </c>
      <c r="DN208" s="27" t="s">
        <v>7</v>
      </c>
      <c r="DO208" s="27" t="s">
        <v>8</v>
      </c>
      <c r="DV208" s="27" t="s">
        <v>7</v>
      </c>
      <c r="DX208" s="31" t="s">
        <v>7</v>
      </c>
      <c r="DY208" s="27" t="s">
        <v>8</v>
      </c>
      <c r="DZ208" s="27" t="s">
        <v>7</v>
      </c>
      <c r="EA208" s="27" t="s">
        <v>8</v>
      </c>
      <c r="EB208" s="27" t="s">
        <v>7</v>
      </c>
      <c r="EE208" s="27" t="s">
        <v>8</v>
      </c>
      <c r="EF208" s="27" t="s">
        <v>7</v>
      </c>
      <c r="EG208" s="27" t="s">
        <v>8</v>
      </c>
      <c r="EH208" s="27" t="s">
        <v>7</v>
      </c>
    </row>
    <row r="209" spans="1:139" x14ac:dyDescent="0.25">
      <c r="A209" s="30">
        <v>4.5380394939082018</v>
      </c>
      <c r="E209"/>
      <c r="BU209" s="27" t="s">
        <v>8</v>
      </c>
      <c r="BV209" s="27" t="s">
        <v>7</v>
      </c>
      <c r="BW209" s="27" t="s">
        <v>8</v>
      </c>
      <c r="BX209" s="27" t="s">
        <v>7</v>
      </c>
      <c r="CC209" s="34" t="s">
        <v>8</v>
      </c>
      <c r="CE209" s="34" t="s">
        <v>8</v>
      </c>
      <c r="CG209" s="27" t="s">
        <v>8</v>
      </c>
      <c r="CI209" s="31"/>
      <c r="CN209" s="27" t="s">
        <v>7</v>
      </c>
      <c r="CO209" s="27" t="s">
        <v>8</v>
      </c>
      <c r="CR209" s="27" t="s">
        <v>7</v>
      </c>
      <c r="DA209" s="31"/>
      <c r="DI209" s="27" t="s">
        <v>8</v>
      </c>
      <c r="DJ209" s="27" t="s">
        <v>7</v>
      </c>
      <c r="DK209" s="27" t="s">
        <v>8</v>
      </c>
      <c r="DL209" s="27" t="s">
        <v>7</v>
      </c>
      <c r="DM209" s="27" t="s">
        <v>8</v>
      </c>
      <c r="DN209" s="27" t="s">
        <v>7</v>
      </c>
      <c r="DW209" s="31"/>
      <c r="DX209" s="27" t="s">
        <v>7</v>
      </c>
      <c r="DY209" s="27" t="s">
        <v>8</v>
      </c>
      <c r="DZ209" s="27" t="s">
        <v>7</v>
      </c>
      <c r="EA209" s="27" t="s">
        <v>8</v>
      </c>
      <c r="EB209" s="27" t="s">
        <v>7</v>
      </c>
      <c r="EC209" s="27" t="s">
        <v>8</v>
      </c>
      <c r="EE209" s="27" t="s">
        <v>8</v>
      </c>
      <c r="EF209" s="27" t="s">
        <v>7</v>
      </c>
      <c r="EG209" s="27" t="s">
        <v>8</v>
      </c>
      <c r="EH209" s="27" t="s">
        <v>7</v>
      </c>
    </row>
    <row r="210" spans="1:139" x14ac:dyDescent="0.25">
      <c r="A210" s="30">
        <v>4.3219423751506678</v>
      </c>
      <c r="C210"/>
      <c r="E210"/>
      <c r="AW210" s="27" t="s">
        <v>8</v>
      </c>
      <c r="AY210" s="27" t="s">
        <v>8</v>
      </c>
      <c r="BU210" s="27" t="s">
        <v>8</v>
      </c>
      <c r="BV210" s="27" t="s">
        <v>7</v>
      </c>
      <c r="BW210" s="27" t="s">
        <v>8</v>
      </c>
      <c r="BX210" s="27" t="s">
        <v>7</v>
      </c>
      <c r="CC210" s="27" t="s">
        <v>8</v>
      </c>
      <c r="CD210" s="27" t="s">
        <v>7</v>
      </c>
      <c r="CE210" s="27" t="s">
        <v>8</v>
      </c>
      <c r="CF210" s="27" t="s">
        <v>7</v>
      </c>
      <c r="CG210" s="27" t="s">
        <v>8</v>
      </c>
      <c r="CH210" s="31"/>
      <c r="CN210" s="27" t="s">
        <v>7</v>
      </c>
      <c r="CO210" s="27" t="s">
        <v>8</v>
      </c>
      <c r="CR210" s="27" t="s">
        <v>7</v>
      </c>
      <c r="CS210" s="27" t="s">
        <v>8</v>
      </c>
      <c r="DB210" s="31"/>
      <c r="DI210" s="27" t="s">
        <v>8</v>
      </c>
      <c r="DJ210" s="27" t="s">
        <v>7</v>
      </c>
      <c r="DL210" s="27" t="s">
        <v>7</v>
      </c>
      <c r="DM210" s="27" t="s">
        <v>8</v>
      </c>
      <c r="DV210" s="31"/>
      <c r="DX210" s="27" t="s">
        <v>7</v>
      </c>
      <c r="DZ210" s="27" t="s">
        <v>7</v>
      </c>
      <c r="EA210" s="27" t="s">
        <v>8</v>
      </c>
      <c r="EB210" s="27" t="s">
        <v>7</v>
      </c>
      <c r="EC210" s="27" t="s">
        <v>8</v>
      </c>
      <c r="ED210" s="27" t="s">
        <v>7</v>
      </c>
      <c r="EE210" s="27" t="s">
        <v>8</v>
      </c>
      <c r="EF210" s="27" t="s">
        <v>7</v>
      </c>
      <c r="EH210" s="27" t="s">
        <v>7</v>
      </c>
    </row>
    <row r="211" spans="1:139" x14ac:dyDescent="0.25">
      <c r="A211" s="30">
        <v>4.1161355953815884</v>
      </c>
      <c r="E211"/>
      <c r="AW211" s="27" t="s">
        <v>8</v>
      </c>
      <c r="AX211" s="27" t="s">
        <v>7</v>
      </c>
      <c r="AY211" s="27" t="s">
        <v>8</v>
      </c>
      <c r="AZ211" s="27" t="s">
        <v>7</v>
      </c>
      <c r="BU211" s="27" t="s">
        <v>8</v>
      </c>
      <c r="BV211" s="27" t="s">
        <v>7</v>
      </c>
      <c r="BW211" s="27" t="s">
        <v>8</v>
      </c>
      <c r="BX211" s="27" t="s">
        <v>7</v>
      </c>
      <c r="CC211" s="27" t="s">
        <v>8</v>
      </c>
      <c r="CD211" s="27" t="s">
        <v>7</v>
      </c>
      <c r="CE211" s="27" t="s">
        <v>8</v>
      </c>
      <c r="CF211" s="27" t="s">
        <v>7</v>
      </c>
      <c r="CG211" s="31" t="s">
        <v>8</v>
      </c>
      <c r="CN211" s="27" t="s">
        <v>7</v>
      </c>
      <c r="CR211" s="27" t="s">
        <v>7</v>
      </c>
      <c r="CS211" s="27" t="s">
        <v>8</v>
      </c>
      <c r="CT211" s="27" t="s">
        <v>7</v>
      </c>
      <c r="CW211" s="27" t="s">
        <v>8</v>
      </c>
      <c r="DA211" s="27" t="s">
        <v>8</v>
      </c>
      <c r="DC211" s="31"/>
      <c r="DI211" s="27" t="s">
        <v>8</v>
      </c>
      <c r="DL211" s="27" t="s">
        <v>7</v>
      </c>
      <c r="DM211" s="27" t="s">
        <v>8</v>
      </c>
      <c r="DU211" s="31"/>
      <c r="DZ211" s="27" t="s">
        <v>7</v>
      </c>
      <c r="EA211" s="27" t="s">
        <v>8</v>
      </c>
      <c r="EB211" s="27" t="s">
        <v>7</v>
      </c>
      <c r="EC211" s="27" t="s">
        <v>8</v>
      </c>
      <c r="ED211" s="27" t="s">
        <v>7</v>
      </c>
      <c r="EE211" s="27" t="s">
        <v>8</v>
      </c>
      <c r="EH211" s="27" t="s">
        <v>7</v>
      </c>
    </row>
    <row r="212" spans="1:139" x14ac:dyDescent="0.25">
      <c r="A212" s="30">
        <v>3.9201291384586554</v>
      </c>
      <c r="E212"/>
      <c r="W212" s="27" t="s">
        <v>8</v>
      </c>
      <c r="AW212" s="27" t="s">
        <v>8</v>
      </c>
      <c r="AX212" s="27" t="s">
        <v>7</v>
      </c>
      <c r="AY212" s="27" t="s">
        <v>8</v>
      </c>
      <c r="AZ212" s="27" t="s">
        <v>7</v>
      </c>
      <c r="BU212" s="27" t="s">
        <v>8</v>
      </c>
      <c r="BV212" s="27" t="s">
        <v>7</v>
      </c>
      <c r="BX212" s="27" t="s">
        <v>7</v>
      </c>
      <c r="CC212" s="33" t="s">
        <v>8</v>
      </c>
      <c r="CD212" s="27" t="s">
        <v>7</v>
      </c>
      <c r="CE212" s="27" t="s">
        <v>8</v>
      </c>
      <c r="CF212" s="31" t="s">
        <v>7</v>
      </c>
      <c r="CR212" s="27" t="s">
        <v>7</v>
      </c>
      <c r="CS212" s="27" t="s">
        <v>8</v>
      </c>
      <c r="CT212" s="27" t="s">
        <v>7</v>
      </c>
      <c r="CW212" s="33" t="s">
        <v>8</v>
      </c>
      <c r="CX212" s="27" t="s">
        <v>7</v>
      </c>
      <c r="CY212" s="27" t="s">
        <v>8</v>
      </c>
      <c r="DA212" s="27" t="s">
        <v>8</v>
      </c>
      <c r="DB212" s="27" t="s">
        <v>7</v>
      </c>
      <c r="DD212" s="31"/>
      <c r="DI212" s="27" t="s">
        <v>8</v>
      </c>
      <c r="DL212" s="27" t="s">
        <v>7</v>
      </c>
      <c r="DT212" s="31"/>
      <c r="DZ212" s="27" t="s">
        <v>7</v>
      </c>
      <c r="EA212" s="27" t="s">
        <v>8</v>
      </c>
      <c r="EB212" s="27" t="s">
        <v>7</v>
      </c>
      <c r="ED212" s="27" t="s">
        <v>7</v>
      </c>
      <c r="EH212" s="27" t="s">
        <v>7</v>
      </c>
    </row>
    <row r="213" spans="1:139" x14ac:dyDescent="0.25">
      <c r="A213" s="30">
        <v>3.7334563223415764</v>
      </c>
      <c r="E213"/>
      <c r="W213" s="27" t="s">
        <v>8</v>
      </c>
      <c r="X213" s="27" t="s">
        <v>7</v>
      </c>
      <c r="AW213" s="27" t="s">
        <v>8</v>
      </c>
      <c r="AX213" s="27" t="s">
        <v>7</v>
      </c>
      <c r="AZ213" s="27" t="s">
        <v>7</v>
      </c>
      <c r="BU213" s="27" t="s">
        <v>8</v>
      </c>
      <c r="BX213" s="32" t="s">
        <v>7</v>
      </c>
      <c r="BY213" s="34" t="s">
        <v>8</v>
      </c>
      <c r="CA213" s="34" t="s">
        <v>8</v>
      </c>
      <c r="CC213" s="27" t="s">
        <v>8</v>
      </c>
      <c r="CD213" s="27" t="s">
        <v>7</v>
      </c>
      <c r="CE213" s="31"/>
      <c r="CR213" s="27" t="s">
        <v>7</v>
      </c>
      <c r="CS213" s="27" t="s">
        <v>8</v>
      </c>
      <c r="CT213" s="27" t="s">
        <v>7</v>
      </c>
      <c r="CU213" s="27" t="s">
        <v>8</v>
      </c>
      <c r="CW213" s="27" t="s">
        <v>8</v>
      </c>
      <c r="CX213" s="27" t="s">
        <v>7</v>
      </c>
      <c r="CY213" s="27" t="s">
        <v>8</v>
      </c>
      <c r="CZ213" s="27" t="s">
        <v>7</v>
      </c>
      <c r="DA213" s="27" t="s">
        <v>8</v>
      </c>
      <c r="DB213" s="27" t="s">
        <v>7</v>
      </c>
      <c r="DE213" s="31"/>
      <c r="DI213" s="27" t="s">
        <v>8</v>
      </c>
      <c r="DS213" s="31"/>
      <c r="DZ213" s="27" t="s">
        <v>7</v>
      </c>
      <c r="EA213" s="27" t="s">
        <v>8</v>
      </c>
      <c r="EH213" s="27" t="s">
        <v>7</v>
      </c>
    </row>
    <row r="214" spans="1:139" x14ac:dyDescent="0.25">
      <c r="A214" s="30">
        <v>3.5556726879443583</v>
      </c>
      <c r="E214"/>
      <c r="S214" s="27" t="s">
        <v>8</v>
      </c>
      <c r="U214" s="27" t="s">
        <v>8</v>
      </c>
      <c r="W214" s="27" t="s">
        <v>8</v>
      </c>
      <c r="X214" s="27" t="s">
        <v>7</v>
      </c>
      <c r="AW214" s="27" t="s">
        <v>8</v>
      </c>
      <c r="AZ214" s="27" t="s">
        <v>7</v>
      </c>
      <c r="BU214" s="27" t="s">
        <v>8</v>
      </c>
      <c r="BX214" s="27" t="s">
        <v>7</v>
      </c>
      <c r="BY214" s="27" t="s">
        <v>8</v>
      </c>
      <c r="BZ214" s="27" t="s">
        <v>7</v>
      </c>
      <c r="CA214" s="27" t="s">
        <v>8</v>
      </c>
      <c r="CB214" s="27" t="s">
        <v>7</v>
      </c>
      <c r="CC214" s="27" t="s">
        <v>8</v>
      </c>
      <c r="CD214" s="31"/>
      <c r="CR214" s="27" t="s">
        <v>7</v>
      </c>
      <c r="CS214" s="27" t="s">
        <v>8</v>
      </c>
      <c r="CT214" s="27" t="s">
        <v>7</v>
      </c>
      <c r="CU214" s="27" t="s">
        <v>8</v>
      </c>
      <c r="CV214" s="27" t="s">
        <v>7</v>
      </c>
      <c r="CW214" s="27" t="s">
        <v>8</v>
      </c>
      <c r="CX214" s="27" t="s">
        <v>7</v>
      </c>
      <c r="CY214" s="27" t="s">
        <v>8</v>
      </c>
      <c r="CZ214" s="27" t="s">
        <v>7</v>
      </c>
      <c r="DA214" s="27" t="s">
        <v>8</v>
      </c>
      <c r="DB214" s="27" t="s">
        <v>7</v>
      </c>
      <c r="DF214" s="31"/>
      <c r="DI214" s="27" t="s">
        <v>8</v>
      </c>
      <c r="DR214" s="31"/>
      <c r="DZ214" s="27" t="s">
        <v>7</v>
      </c>
      <c r="EA214" s="27" t="s">
        <v>8</v>
      </c>
      <c r="EH214" s="27" t="s">
        <v>7</v>
      </c>
    </row>
    <row r="215" spans="1:139" x14ac:dyDescent="0.25">
      <c r="A215" s="30">
        <v>3.3863549408993889</v>
      </c>
      <c r="E215"/>
      <c r="S215" s="27" t="s">
        <v>8</v>
      </c>
      <c r="T215" s="27" t="s">
        <v>7</v>
      </c>
      <c r="U215" s="27" t="s">
        <v>8</v>
      </c>
      <c r="V215" s="27" t="s">
        <v>7</v>
      </c>
      <c r="W215" s="27" t="s">
        <v>8</v>
      </c>
      <c r="X215" s="27" t="s">
        <v>7</v>
      </c>
      <c r="AW215" s="27" t="s">
        <v>8</v>
      </c>
      <c r="AZ215" s="27" t="s">
        <v>7</v>
      </c>
      <c r="BS215" s="27" t="s">
        <v>8</v>
      </c>
      <c r="BU215" s="27" t="s">
        <v>8</v>
      </c>
      <c r="BX215" s="27" t="s">
        <v>7</v>
      </c>
      <c r="BY215" s="27" t="s">
        <v>8</v>
      </c>
      <c r="BZ215" s="31" t="s">
        <v>7</v>
      </c>
      <c r="CA215" s="31" t="s">
        <v>8</v>
      </c>
      <c r="CB215" s="27" t="s">
        <v>7</v>
      </c>
      <c r="CC215" s="31" t="s">
        <v>8</v>
      </c>
      <c r="CR215" s="27" t="s">
        <v>7</v>
      </c>
      <c r="CS215" s="27" t="s">
        <v>8</v>
      </c>
      <c r="CT215" s="27" t="s">
        <v>7</v>
      </c>
      <c r="CU215" s="27" t="s">
        <v>8</v>
      </c>
      <c r="CV215" s="27" t="s">
        <v>7</v>
      </c>
      <c r="CW215" s="27" t="s">
        <v>8</v>
      </c>
      <c r="CX215" s="27" t="s">
        <v>7</v>
      </c>
      <c r="CY215" s="27" t="s">
        <v>8</v>
      </c>
      <c r="CZ215" s="27" t="s">
        <v>7</v>
      </c>
      <c r="DB215" s="27" t="s">
        <v>7</v>
      </c>
      <c r="DC215" s="27" t="s">
        <v>8</v>
      </c>
      <c r="DG215" s="31"/>
      <c r="DI215" s="27" t="s">
        <v>8</v>
      </c>
      <c r="DQ215" s="31"/>
      <c r="DZ215" s="27" t="s">
        <v>7</v>
      </c>
      <c r="EH215" s="27" t="s">
        <v>7</v>
      </c>
    </row>
    <row r="216" spans="1:139" x14ac:dyDescent="0.25">
      <c r="A216" s="30">
        <v>3.2250999437137038</v>
      </c>
      <c r="E216"/>
      <c r="S216" s="27" t="s">
        <v>8</v>
      </c>
      <c r="T216" s="27" t="s">
        <v>7</v>
      </c>
      <c r="U216" s="27" t="s">
        <v>8</v>
      </c>
      <c r="V216" s="27" t="s">
        <v>7</v>
      </c>
      <c r="W216" s="27" t="s">
        <v>8</v>
      </c>
      <c r="X216" s="27" t="s">
        <v>7</v>
      </c>
      <c r="Y216" s="27" t="s">
        <v>8</v>
      </c>
      <c r="AQ216" s="27" t="s">
        <v>8</v>
      </c>
      <c r="AS216" s="27" t="s">
        <v>8</v>
      </c>
      <c r="AW216" s="27" t="s">
        <v>8</v>
      </c>
      <c r="AZ216" s="27" t="s">
        <v>7</v>
      </c>
      <c r="BQ216" s="27" t="s">
        <v>8</v>
      </c>
      <c r="BS216" s="27" t="s">
        <v>8</v>
      </c>
      <c r="BT216" s="27" t="s">
        <v>7</v>
      </c>
      <c r="BU216" s="27" t="s">
        <v>8</v>
      </c>
      <c r="BX216" s="27" t="s">
        <v>7</v>
      </c>
      <c r="BY216" s="27" t="s">
        <v>8</v>
      </c>
      <c r="BZ216" s="34" t="s">
        <v>7</v>
      </c>
      <c r="CB216" s="34" t="s">
        <v>7</v>
      </c>
      <c r="CR216" s="27" t="s">
        <v>7</v>
      </c>
      <c r="CS216" s="27" t="s">
        <v>8</v>
      </c>
      <c r="CT216" s="27" t="s">
        <v>7</v>
      </c>
      <c r="CV216" s="27" t="s">
        <v>7</v>
      </c>
      <c r="CW216" s="27" t="s">
        <v>8</v>
      </c>
      <c r="CX216" s="27" t="s">
        <v>7</v>
      </c>
      <c r="CY216" s="27" t="s">
        <v>8</v>
      </c>
      <c r="DB216" s="32" t="s">
        <v>7</v>
      </c>
      <c r="DC216" s="27" t="s">
        <v>8</v>
      </c>
      <c r="DD216" s="27" t="s">
        <v>7</v>
      </c>
      <c r="DH216" s="31"/>
      <c r="DI216" s="33" t="s">
        <v>8</v>
      </c>
      <c r="DP216" s="31"/>
      <c r="EH216" s="27" t="s">
        <v>7</v>
      </c>
      <c r="EI216" s="27" t="s">
        <v>8</v>
      </c>
    </row>
    <row r="217" spans="1:139" x14ac:dyDescent="0.25">
      <c r="A217" s="30">
        <v>3.0715237559178128</v>
      </c>
      <c r="E217"/>
      <c r="S217" s="27" t="s">
        <v>8</v>
      </c>
      <c r="T217" s="27" t="s">
        <v>7</v>
      </c>
      <c r="U217" s="27" t="s">
        <v>8</v>
      </c>
      <c r="V217" s="27" t="s">
        <v>7</v>
      </c>
      <c r="W217" s="27" t="s">
        <v>8</v>
      </c>
      <c r="X217" s="27" t="s">
        <v>7</v>
      </c>
      <c r="Y217" s="27" t="s">
        <v>8</v>
      </c>
      <c r="Z217" s="27" t="s">
        <v>7</v>
      </c>
      <c r="AK217" s="27" t="s">
        <v>8</v>
      </c>
      <c r="AO217" s="27" t="s">
        <v>8</v>
      </c>
      <c r="AQ217" s="27" t="s">
        <v>8</v>
      </c>
      <c r="AR217" s="27" t="s">
        <v>7</v>
      </c>
      <c r="AS217" s="27" t="s">
        <v>8</v>
      </c>
      <c r="AT217" s="27" t="s">
        <v>7</v>
      </c>
      <c r="AU217" s="27" t="s">
        <v>8</v>
      </c>
      <c r="AW217" s="27" t="s">
        <v>8</v>
      </c>
      <c r="AZ217" s="27" t="s">
        <v>7</v>
      </c>
      <c r="BQ217" s="33" t="s">
        <v>8</v>
      </c>
      <c r="BR217" s="27" t="s">
        <v>7</v>
      </c>
      <c r="BS217" s="27" t="s">
        <v>8</v>
      </c>
      <c r="BT217" s="27" t="s">
        <v>7</v>
      </c>
      <c r="BU217" s="27" t="s">
        <v>8</v>
      </c>
      <c r="BX217" s="27" t="s">
        <v>7</v>
      </c>
      <c r="BY217" s="31" t="s">
        <v>8</v>
      </c>
      <c r="CR217" s="27" t="s">
        <v>7</v>
      </c>
      <c r="CS217" s="27" t="s">
        <v>8</v>
      </c>
      <c r="CV217" s="27" t="s">
        <v>7</v>
      </c>
      <c r="CW217" s="27" t="s">
        <v>8</v>
      </c>
      <c r="CX217" s="27" t="s">
        <v>7</v>
      </c>
      <c r="DB217" s="27" t="s">
        <v>7</v>
      </c>
      <c r="DC217" s="27" t="s">
        <v>8</v>
      </c>
      <c r="DD217" s="27" t="s">
        <v>7</v>
      </c>
      <c r="DG217" s="27" t="s">
        <v>8</v>
      </c>
      <c r="DI217" s="31" t="s">
        <v>8</v>
      </c>
      <c r="DO217" s="31"/>
      <c r="EH217" s="27" t="s">
        <v>7</v>
      </c>
      <c r="EI217" s="27" t="s">
        <v>8</v>
      </c>
    </row>
    <row r="218" spans="1:139" x14ac:dyDescent="0.25">
      <c r="A218" s="30">
        <v>2.9252607199217264</v>
      </c>
      <c r="E218"/>
      <c r="S218" s="27" t="s">
        <v>8</v>
      </c>
      <c r="T218" s="27" t="s">
        <v>7</v>
      </c>
      <c r="V218" s="27" t="s">
        <v>7</v>
      </c>
      <c r="W218" s="27" t="s">
        <v>8</v>
      </c>
      <c r="X218" s="27" t="s">
        <v>7</v>
      </c>
      <c r="Y218" s="27" t="s">
        <v>8</v>
      </c>
      <c r="Z218" s="27" t="s">
        <v>7</v>
      </c>
      <c r="AI218" s="27" t="s">
        <v>8</v>
      </c>
      <c r="AK218" s="27" t="s">
        <v>8</v>
      </c>
      <c r="AL218" s="27" t="s">
        <v>7</v>
      </c>
      <c r="AO218" s="27" t="s">
        <v>8</v>
      </c>
      <c r="AP218" s="27" t="s">
        <v>7</v>
      </c>
      <c r="AQ218" s="27" t="s">
        <v>8</v>
      </c>
      <c r="AR218" s="27" t="s">
        <v>7</v>
      </c>
      <c r="AS218" s="27" t="s">
        <v>8</v>
      </c>
      <c r="AT218" s="27" t="s">
        <v>7</v>
      </c>
      <c r="AU218" s="27" t="s">
        <v>8</v>
      </c>
      <c r="AV218" s="27" t="s">
        <v>7</v>
      </c>
      <c r="AW218" s="27" t="s">
        <v>8</v>
      </c>
      <c r="AZ218" s="27" t="s">
        <v>7</v>
      </c>
      <c r="BG218" s="27" t="s">
        <v>8</v>
      </c>
      <c r="BO218" s="27" t="s">
        <v>8</v>
      </c>
      <c r="BQ218" s="27" t="s">
        <v>8</v>
      </c>
      <c r="BR218" s="27" t="s">
        <v>7</v>
      </c>
      <c r="BS218" s="27" t="s">
        <v>8</v>
      </c>
      <c r="BT218" s="27" t="s">
        <v>7</v>
      </c>
      <c r="BU218" s="27" t="s">
        <v>8</v>
      </c>
      <c r="BX218" s="31" t="s">
        <v>7</v>
      </c>
      <c r="CR218" s="27" t="s">
        <v>7</v>
      </c>
      <c r="CS218" s="27" t="s">
        <v>8</v>
      </c>
      <c r="CV218" s="27" t="s">
        <v>7</v>
      </c>
      <c r="CW218" s="27" t="s">
        <v>8</v>
      </c>
      <c r="DB218" s="27" t="s">
        <v>7</v>
      </c>
      <c r="DD218" s="27" t="s">
        <v>7</v>
      </c>
      <c r="DG218" s="33" t="s">
        <v>8</v>
      </c>
      <c r="DH218" s="27" t="s">
        <v>7</v>
      </c>
      <c r="DI218" s="27" t="s">
        <v>8</v>
      </c>
      <c r="DJ218" s="31"/>
      <c r="DN218" s="31"/>
      <c r="EH218" s="27" t="s">
        <v>7</v>
      </c>
      <c r="EI218" s="27" t="s">
        <v>8</v>
      </c>
    </row>
    <row r="219" spans="1:139" x14ac:dyDescent="0.25">
      <c r="A219" s="30">
        <v>2.7859625904016441</v>
      </c>
      <c r="E219"/>
      <c r="S219" s="27" t="s">
        <v>8</v>
      </c>
      <c r="V219" s="27" t="s">
        <v>7</v>
      </c>
      <c r="X219" s="27" t="s">
        <v>7</v>
      </c>
      <c r="Y219" s="27" t="s">
        <v>8</v>
      </c>
      <c r="Z219" s="27" t="s">
        <v>7</v>
      </c>
      <c r="AI219" s="27" t="s">
        <v>8</v>
      </c>
      <c r="AJ219" s="27" t="s">
        <v>7</v>
      </c>
      <c r="AK219" s="27" t="s">
        <v>8</v>
      </c>
      <c r="AL219" s="27" t="s">
        <v>7</v>
      </c>
      <c r="AM219" s="27" t="s">
        <v>8</v>
      </c>
      <c r="AO219" s="27" t="s">
        <v>8</v>
      </c>
      <c r="AP219" s="27" t="s">
        <v>7</v>
      </c>
      <c r="AQ219" s="27" t="s">
        <v>8</v>
      </c>
      <c r="AR219" s="27" t="s">
        <v>7</v>
      </c>
      <c r="AS219" s="27" t="s">
        <v>8</v>
      </c>
      <c r="AT219" s="27" t="s">
        <v>7</v>
      </c>
      <c r="AU219" s="27" t="s">
        <v>8</v>
      </c>
      <c r="AV219" s="27" t="s">
        <v>7</v>
      </c>
      <c r="AW219" s="27" t="s">
        <v>8</v>
      </c>
      <c r="AZ219" s="27" t="s">
        <v>7</v>
      </c>
      <c r="BA219" s="27" t="s">
        <v>8</v>
      </c>
      <c r="BG219" s="27" t="s">
        <v>8</v>
      </c>
      <c r="BH219" s="27" t="s">
        <v>7</v>
      </c>
      <c r="BM219" s="27" t="s">
        <v>8</v>
      </c>
      <c r="BO219" s="27" t="s">
        <v>8</v>
      </c>
      <c r="BP219" s="27" t="s">
        <v>7</v>
      </c>
      <c r="BQ219" s="27" t="s">
        <v>8</v>
      </c>
      <c r="BR219" s="27" t="s">
        <v>7</v>
      </c>
      <c r="BS219" s="27" t="s">
        <v>8</v>
      </c>
      <c r="BT219" s="27" t="s">
        <v>7</v>
      </c>
      <c r="BU219" s="27" t="s">
        <v>8</v>
      </c>
      <c r="BW219" s="31"/>
      <c r="CR219" s="27" t="s">
        <v>7</v>
      </c>
      <c r="CV219" s="27" t="s">
        <v>7</v>
      </c>
      <c r="CW219" s="27" t="s">
        <v>8</v>
      </c>
      <c r="DD219" s="27" t="s">
        <v>7</v>
      </c>
      <c r="DE219" s="27" t="s">
        <v>8</v>
      </c>
      <c r="DG219" s="27" t="s">
        <v>8</v>
      </c>
      <c r="DH219" s="27" t="s">
        <v>7</v>
      </c>
      <c r="DI219" s="27" t="s">
        <v>8</v>
      </c>
      <c r="DM219" s="31"/>
      <c r="EH219" s="27" t="s">
        <v>7</v>
      </c>
      <c r="EI219" s="27" t="s">
        <v>8</v>
      </c>
    </row>
    <row r="220" spans="1:139" x14ac:dyDescent="0.25">
      <c r="A220" s="30">
        <v>2.6532977051444226</v>
      </c>
      <c r="E220"/>
      <c r="S220" s="27" t="s">
        <v>8</v>
      </c>
      <c r="X220" s="27" t="s">
        <v>7</v>
      </c>
      <c r="Y220" s="27" t="s">
        <v>8</v>
      </c>
      <c r="Z220" s="27" t="s">
        <v>7</v>
      </c>
      <c r="AA220" s="27" t="s">
        <v>8</v>
      </c>
      <c r="AI220" s="27" t="s">
        <v>8</v>
      </c>
      <c r="AJ220" s="27" t="s">
        <v>7</v>
      </c>
      <c r="AK220" s="27" t="s">
        <v>8</v>
      </c>
      <c r="AL220" s="27" t="s">
        <v>7</v>
      </c>
      <c r="AM220" s="27" t="s">
        <v>8</v>
      </c>
      <c r="AN220" s="27" t="s">
        <v>7</v>
      </c>
      <c r="AO220" s="27" t="s">
        <v>8</v>
      </c>
      <c r="AP220" s="27" t="s">
        <v>7</v>
      </c>
      <c r="AR220" s="27" t="s">
        <v>7</v>
      </c>
      <c r="AT220" s="27" t="s">
        <v>7</v>
      </c>
      <c r="AV220" s="27" t="s">
        <v>7</v>
      </c>
      <c r="AZ220" s="27" t="s">
        <v>7</v>
      </c>
      <c r="BA220" s="27" t="s">
        <v>8</v>
      </c>
      <c r="BB220" s="27" t="s">
        <v>7</v>
      </c>
      <c r="BG220" s="27" t="s">
        <v>8</v>
      </c>
      <c r="BH220" s="27" t="s">
        <v>7</v>
      </c>
      <c r="BM220" s="27" t="s">
        <v>8</v>
      </c>
      <c r="BN220" s="27" t="s">
        <v>7</v>
      </c>
      <c r="BO220" s="27" t="s">
        <v>8</v>
      </c>
      <c r="BP220" s="27" t="s">
        <v>7</v>
      </c>
      <c r="BQ220" s="27" t="s">
        <v>8</v>
      </c>
      <c r="BR220" s="27" t="s">
        <v>7</v>
      </c>
      <c r="BS220" s="27" t="s">
        <v>8</v>
      </c>
      <c r="BT220" s="27" t="s">
        <v>7</v>
      </c>
      <c r="BV220" s="31"/>
      <c r="CV220" s="27" t="s">
        <v>7</v>
      </c>
      <c r="CW220" s="27" t="s">
        <v>8</v>
      </c>
      <c r="DD220" s="27" t="s">
        <v>7</v>
      </c>
      <c r="DE220" s="27" t="s">
        <v>8</v>
      </c>
      <c r="DF220" s="27" t="s">
        <v>7</v>
      </c>
      <c r="DG220" s="27" t="s">
        <v>8</v>
      </c>
      <c r="DH220" s="27" t="s">
        <v>7</v>
      </c>
      <c r="DI220" s="27" t="s">
        <v>8</v>
      </c>
      <c r="DL220" s="31"/>
      <c r="EH220" s="27" t="s">
        <v>7</v>
      </c>
    </row>
    <row r="221" spans="1:139" x14ac:dyDescent="0.25">
      <c r="A221" s="30">
        <v>2.5269501953756404</v>
      </c>
      <c r="E221"/>
      <c r="S221" s="27" t="s">
        <v>8</v>
      </c>
      <c r="X221" s="27" t="s">
        <v>7</v>
      </c>
      <c r="Z221" s="27" t="s">
        <v>7</v>
      </c>
      <c r="AA221" s="27" t="s">
        <v>8</v>
      </c>
      <c r="AB221" s="27" t="s">
        <v>7</v>
      </c>
      <c r="AI221" s="27" t="s">
        <v>8</v>
      </c>
      <c r="AJ221" s="27" t="s">
        <v>7</v>
      </c>
      <c r="AK221" s="27" t="s">
        <v>8</v>
      </c>
      <c r="AL221" s="27" t="s">
        <v>7</v>
      </c>
      <c r="AM221" s="27" t="s">
        <v>8</v>
      </c>
      <c r="AN221" s="27" t="s">
        <v>7</v>
      </c>
      <c r="AO221" s="27" t="s">
        <v>8</v>
      </c>
      <c r="AZ221" s="27" t="s">
        <v>7</v>
      </c>
      <c r="BA221" s="27" t="s">
        <v>8</v>
      </c>
      <c r="BB221" s="27" t="s">
        <v>7</v>
      </c>
      <c r="BG221" s="27" t="s">
        <v>8</v>
      </c>
      <c r="BH221" s="27" t="s">
        <v>7</v>
      </c>
      <c r="BI221" s="27" t="s">
        <v>8</v>
      </c>
      <c r="BM221" s="33" t="s">
        <v>8</v>
      </c>
      <c r="BN221" s="27" t="s">
        <v>7</v>
      </c>
      <c r="BO221" s="27" t="s">
        <v>8</v>
      </c>
      <c r="BP221" s="27" t="s">
        <v>7</v>
      </c>
      <c r="BQ221" s="27" t="s">
        <v>8</v>
      </c>
      <c r="BR221" s="27" t="s">
        <v>7</v>
      </c>
      <c r="BS221" s="27" t="s">
        <v>8</v>
      </c>
      <c r="BU221" s="31"/>
      <c r="CV221" s="27" t="s">
        <v>7</v>
      </c>
      <c r="DD221" s="27" t="s">
        <v>7</v>
      </c>
      <c r="DE221" s="27" t="s">
        <v>8</v>
      </c>
      <c r="DF221" s="27" t="s">
        <v>7</v>
      </c>
      <c r="DG221" s="27" t="s">
        <v>8</v>
      </c>
      <c r="DH221" s="27" t="s">
        <v>7</v>
      </c>
      <c r="DI221" s="27" t="s">
        <v>8</v>
      </c>
      <c r="DK221" s="31"/>
    </row>
    <row r="222" spans="1:139" x14ac:dyDescent="0.25">
      <c r="A222" s="30">
        <v>2.4066192336910861</v>
      </c>
      <c r="E222"/>
      <c r="S222" s="27" t="s">
        <v>8</v>
      </c>
      <c r="Z222" s="27" t="s">
        <v>7</v>
      </c>
      <c r="AA222" s="27" t="s">
        <v>8</v>
      </c>
      <c r="AB222" s="27" t="s">
        <v>7</v>
      </c>
      <c r="AI222" s="27" t="s">
        <v>8</v>
      </c>
      <c r="AJ222" s="27" t="s">
        <v>7</v>
      </c>
      <c r="AK222" s="27" t="s">
        <v>8</v>
      </c>
      <c r="AL222" s="27" t="s">
        <v>7</v>
      </c>
      <c r="AN222" s="27" t="s">
        <v>7</v>
      </c>
      <c r="AO222" s="27" t="s">
        <v>8</v>
      </c>
      <c r="AZ222" s="27" t="s">
        <v>7</v>
      </c>
      <c r="BB222" s="27" t="s">
        <v>7</v>
      </c>
      <c r="BC222" s="27" t="s">
        <v>8</v>
      </c>
      <c r="BG222" s="27" t="s">
        <v>8</v>
      </c>
      <c r="BH222" s="27" t="s">
        <v>7</v>
      </c>
      <c r="BI222" s="27" t="s">
        <v>8</v>
      </c>
      <c r="BJ222" s="27" t="s">
        <v>7</v>
      </c>
      <c r="BK222" s="27" t="s">
        <v>8</v>
      </c>
      <c r="BM222" s="27" t="s">
        <v>8</v>
      </c>
      <c r="BN222" s="27" t="s">
        <v>7</v>
      </c>
      <c r="BO222" s="27" t="s">
        <v>8</v>
      </c>
      <c r="BP222" s="27" t="s">
        <v>7</v>
      </c>
      <c r="BQ222" s="27" t="s">
        <v>8</v>
      </c>
      <c r="BR222" s="27" t="s">
        <v>7</v>
      </c>
      <c r="BT222" s="31"/>
      <c r="DD222" s="27" t="s">
        <v>7</v>
      </c>
      <c r="DE222" s="27" t="s">
        <v>8</v>
      </c>
      <c r="DF222" s="27" t="s">
        <v>7</v>
      </c>
      <c r="DH222" s="27" t="s">
        <v>7</v>
      </c>
      <c r="DI222" s="27" t="s">
        <v>8</v>
      </c>
      <c r="DJ222" s="31"/>
    </row>
    <row r="223" spans="1:139" x14ac:dyDescent="0.25">
      <c r="A223" s="30">
        <v>2.2920183178010345</v>
      </c>
      <c r="E223"/>
      <c r="S223" s="27" t="s">
        <v>8</v>
      </c>
      <c r="Z223" s="27" t="s">
        <v>7</v>
      </c>
      <c r="AB223" s="27" t="s">
        <v>7</v>
      </c>
      <c r="AI223" s="27" t="s">
        <v>8</v>
      </c>
      <c r="AJ223" s="27" t="s">
        <v>7</v>
      </c>
      <c r="AN223" s="27" t="s">
        <v>7</v>
      </c>
      <c r="BB223" s="27" t="s">
        <v>7</v>
      </c>
      <c r="BC223" s="27" t="s">
        <v>8</v>
      </c>
      <c r="BD223" s="27" t="s">
        <v>7</v>
      </c>
      <c r="BG223" s="27" t="s">
        <v>8</v>
      </c>
      <c r="BH223" s="27" t="s">
        <v>7</v>
      </c>
      <c r="BI223" s="27" t="s">
        <v>8</v>
      </c>
      <c r="BJ223" s="27" t="s">
        <v>7</v>
      </c>
      <c r="BK223" s="27" t="s">
        <v>8</v>
      </c>
      <c r="BL223" s="27" t="s">
        <v>7</v>
      </c>
      <c r="BM223" s="27" t="s">
        <v>8</v>
      </c>
      <c r="BN223" s="27" t="s">
        <v>7</v>
      </c>
      <c r="BP223" s="27" t="s">
        <v>7</v>
      </c>
      <c r="BQ223" s="27" t="s">
        <v>8</v>
      </c>
      <c r="BS223" s="31"/>
      <c r="DD223" s="27" t="s">
        <v>7</v>
      </c>
      <c r="DE223" s="27" t="s">
        <v>8</v>
      </c>
      <c r="DH223" s="32" t="s">
        <v>7</v>
      </c>
      <c r="DI223" s="31" t="s">
        <v>8</v>
      </c>
    </row>
    <row r="224" spans="1:139" x14ac:dyDescent="0.25">
      <c r="A224" s="30">
        <v>2.1828745883819374</v>
      </c>
      <c r="E224"/>
      <c r="S224" s="27" t="s">
        <v>8</v>
      </c>
      <c r="AB224" s="27" t="s">
        <v>7</v>
      </c>
      <c r="AI224" s="27" t="s">
        <v>8</v>
      </c>
      <c r="BB224" s="27" t="s">
        <v>7</v>
      </c>
      <c r="BC224" s="27" t="s">
        <v>8</v>
      </c>
      <c r="BD224" s="27" t="s">
        <v>7</v>
      </c>
      <c r="BE224" s="27" t="s">
        <v>8</v>
      </c>
      <c r="BG224" s="27" t="s">
        <v>8</v>
      </c>
      <c r="BH224" s="27" t="s">
        <v>7</v>
      </c>
      <c r="BI224" s="27" t="s">
        <v>8</v>
      </c>
      <c r="BJ224" s="27" t="s">
        <v>7</v>
      </c>
      <c r="BK224" s="27" t="s">
        <v>8</v>
      </c>
      <c r="BL224" s="27" t="s">
        <v>7</v>
      </c>
      <c r="BM224" s="27" t="s">
        <v>8</v>
      </c>
      <c r="BP224" s="32" t="s">
        <v>7</v>
      </c>
      <c r="BR224" s="31"/>
      <c r="DD224" s="27" t="s">
        <v>7</v>
      </c>
      <c r="DH224" s="31" t="s">
        <v>7</v>
      </c>
    </row>
    <row r="225" spans="1:69" x14ac:dyDescent="0.25">
      <c r="A225" s="30">
        <v>2.0789281794113688</v>
      </c>
      <c r="E225"/>
      <c r="S225" s="27" t="s">
        <v>8</v>
      </c>
      <c r="AB225" s="27" t="s">
        <v>7</v>
      </c>
      <c r="AI225" s="27" t="s">
        <v>8</v>
      </c>
      <c r="BB225" s="27" t="s">
        <v>7</v>
      </c>
      <c r="BC225" s="27" t="s">
        <v>8</v>
      </c>
      <c r="BD225" s="27" t="s">
        <v>7</v>
      </c>
      <c r="BE225" s="27" t="s">
        <v>8</v>
      </c>
      <c r="BF225" s="27" t="s">
        <v>7</v>
      </c>
      <c r="BG225" s="27" t="s">
        <v>8</v>
      </c>
      <c r="BH225" s="27" t="s">
        <v>7</v>
      </c>
      <c r="BJ225" s="27" t="s">
        <v>7</v>
      </c>
      <c r="BK225" s="27" t="s">
        <v>8</v>
      </c>
      <c r="BL225" s="27" t="s">
        <v>7</v>
      </c>
      <c r="BM225" s="27" t="s">
        <v>8</v>
      </c>
      <c r="BQ225" s="31"/>
    </row>
    <row r="226" spans="1:69" x14ac:dyDescent="0.25">
      <c r="A226" s="30">
        <v>1.9799315994393987</v>
      </c>
      <c r="E226"/>
      <c r="S226" s="27" t="s">
        <v>8</v>
      </c>
      <c r="AB226" s="27" t="s">
        <v>7</v>
      </c>
      <c r="AI226" s="27" t="s">
        <v>8</v>
      </c>
      <c r="BB226" s="27" t="s">
        <v>7</v>
      </c>
      <c r="BD226" s="27" t="s">
        <v>7</v>
      </c>
      <c r="BE226" s="27" t="s">
        <v>8</v>
      </c>
      <c r="BF226" s="27" t="s">
        <v>7</v>
      </c>
      <c r="BG226" s="27" t="s">
        <v>8</v>
      </c>
      <c r="BJ226" s="32" t="s">
        <v>7</v>
      </c>
      <c r="BL226" s="27" t="s">
        <v>7</v>
      </c>
      <c r="BM226" s="27" t="s">
        <v>8</v>
      </c>
      <c r="BP226" s="31"/>
    </row>
    <row r="227" spans="1:69" x14ac:dyDescent="0.25">
      <c r="A227" s="30">
        <v>1.8856491423232367</v>
      </c>
      <c r="E227"/>
      <c r="S227" s="27" t="s">
        <v>8</v>
      </c>
      <c r="AB227" s="27" t="s">
        <v>7</v>
      </c>
      <c r="AI227" s="27" t="s">
        <v>8</v>
      </c>
      <c r="BD227" s="27" t="s">
        <v>7</v>
      </c>
      <c r="BE227" s="27" t="s">
        <v>8</v>
      </c>
      <c r="BF227" s="27" t="s">
        <v>7</v>
      </c>
      <c r="BL227" s="27" t="s">
        <v>7</v>
      </c>
      <c r="BM227" s="27" t="s">
        <v>8</v>
      </c>
      <c r="BO227" s="31"/>
    </row>
    <row r="228" spans="1:69" x14ac:dyDescent="0.25">
      <c r="A228" s="30">
        <v>1.7958563260221301</v>
      </c>
      <c r="C228" s="7"/>
      <c r="D228"/>
      <c r="E228"/>
      <c r="Q228" s="27" t="s">
        <v>8</v>
      </c>
      <c r="S228" s="27" t="s">
        <v>8</v>
      </c>
      <c r="AB228" s="27" t="s">
        <v>7</v>
      </c>
      <c r="AC228" s="27" t="s">
        <v>8</v>
      </c>
      <c r="AE228" s="27" t="s">
        <v>8</v>
      </c>
      <c r="AI228" s="27" t="s">
        <v>8</v>
      </c>
      <c r="BD228" s="27" t="s">
        <v>7</v>
      </c>
      <c r="BL228" s="27" t="s">
        <v>7</v>
      </c>
      <c r="BM228" s="27" t="s">
        <v>8</v>
      </c>
      <c r="BN228" s="31"/>
    </row>
    <row r="229" spans="1:69" x14ac:dyDescent="0.25">
      <c r="A229" s="30">
        <v>1.7103393581163142</v>
      </c>
      <c r="E229"/>
      <c r="Q229" s="27" t="s">
        <v>8</v>
      </c>
      <c r="R229" s="27" t="s">
        <v>7</v>
      </c>
      <c r="S229" s="27" t="s">
        <v>8</v>
      </c>
      <c r="AB229" s="27" t="s">
        <v>7</v>
      </c>
      <c r="AC229" s="27" t="s">
        <v>8</v>
      </c>
      <c r="AD229" s="27" t="s">
        <v>7</v>
      </c>
      <c r="AE229" s="27" t="s">
        <v>8</v>
      </c>
      <c r="AF229" s="27" t="s">
        <v>7</v>
      </c>
      <c r="AG229" s="27" t="s">
        <v>8</v>
      </c>
      <c r="AI229" s="27" t="s">
        <v>8</v>
      </c>
      <c r="BL229" s="27" t="s">
        <v>7</v>
      </c>
      <c r="BM229" s="31" t="s">
        <v>8</v>
      </c>
    </row>
    <row r="230" spans="1:69" x14ac:dyDescent="0.25">
      <c r="A230" s="30">
        <v>1.628894626777442</v>
      </c>
      <c r="E230"/>
      <c r="O230" s="27" t="s">
        <v>8</v>
      </c>
      <c r="Q230" s="27" t="s">
        <v>8</v>
      </c>
      <c r="R230" s="27" t="s">
        <v>7</v>
      </c>
      <c r="S230" s="27" t="s">
        <v>8</v>
      </c>
      <c r="AB230" s="27" t="s">
        <v>7</v>
      </c>
      <c r="AC230" s="27" t="s">
        <v>8</v>
      </c>
      <c r="AD230" s="27" t="s">
        <v>7</v>
      </c>
      <c r="AE230" s="27" t="s">
        <v>8</v>
      </c>
      <c r="AF230" s="27" t="s">
        <v>7</v>
      </c>
      <c r="AG230" s="27" t="s">
        <v>8</v>
      </c>
      <c r="AH230" s="27" t="s">
        <v>7</v>
      </c>
      <c r="AI230" s="27" t="s">
        <v>8</v>
      </c>
      <c r="BL230" s="31" t="s">
        <v>7</v>
      </c>
    </row>
    <row r="231" spans="1:69" x14ac:dyDescent="0.25">
      <c r="A231" s="30">
        <v>1.5513282159785162</v>
      </c>
      <c r="C231"/>
      <c r="D231"/>
      <c r="E231"/>
      <c r="O231" s="27" t="s">
        <v>8</v>
      </c>
      <c r="P231" s="27" t="s">
        <v>7</v>
      </c>
      <c r="Q231" s="27" t="s">
        <v>8</v>
      </c>
      <c r="R231" s="27" t="s">
        <v>7</v>
      </c>
      <c r="S231" s="27" t="s">
        <v>8</v>
      </c>
      <c r="AB231" s="27" t="s">
        <v>7</v>
      </c>
      <c r="AC231" s="27" t="s">
        <v>8</v>
      </c>
      <c r="AD231" s="27" t="s">
        <v>7</v>
      </c>
      <c r="AE231" s="27" t="s">
        <v>8</v>
      </c>
      <c r="AF231" s="27" t="s">
        <v>7</v>
      </c>
      <c r="AG231" s="27" t="s">
        <v>8</v>
      </c>
      <c r="AH231" s="27" t="s">
        <v>7</v>
      </c>
      <c r="AI231" s="27" t="s">
        <v>8</v>
      </c>
    </row>
    <row r="232" spans="1:69" x14ac:dyDescent="0.25">
      <c r="A232" s="30">
        <v>1.477455443789063</v>
      </c>
      <c r="E232"/>
      <c r="O232" s="27" t="s">
        <v>8</v>
      </c>
      <c r="P232" s="27" t="s">
        <v>7</v>
      </c>
      <c r="Q232" s="27" t="s">
        <v>8</v>
      </c>
      <c r="R232" s="27" t="s">
        <v>7</v>
      </c>
      <c r="S232" s="27" t="s">
        <v>8</v>
      </c>
      <c r="AB232" s="27" t="s">
        <v>7</v>
      </c>
      <c r="AC232" s="27" t="s">
        <v>8</v>
      </c>
      <c r="AD232" s="27" t="s">
        <v>7</v>
      </c>
      <c r="AE232" s="27" t="s">
        <v>8</v>
      </c>
      <c r="AF232" s="27" t="s">
        <v>7</v>
      </c>
      <c r="AH232" s="27" t="s">
        <v>7</v>
      </c>
    </row>
    <row r="233" spans="1:69" x14ac:dyDescent="0.25">
      <c r="A233" s="30">
        <v>1.4071004226562505</v>
      </c>
      <c r="E233"/>
      <c r="I233" s="27" t="s">
        <v>8</v>
      </c>
      <c r="M233" s="27" t="s">
        <v>8</v>
      </c>
      <c r="O233" s="27" t="s">
        <v>8</v>
      </c>
      <c r="P233" s="27" t="s">
        <v>7</v>
      </c>
      <c r="R233" s="27" t="s">
        <v>7</v>
      </c>
      <c r="S233" s="27" t="s">
        <v>8</v>
      </c>
      <c r="AB233" s="27" t="s">
        <v>7</v>
      </c>
      <c r="AC233" s="27" t="s">
        <v>8</v>
      </c>
      <c r="AD233" s="27" t="s">
        <v>7</v>
      </c>
      <c r="AE233" s="27" t="s">
        <v>8</v>
      </c>
    </row>
    <row r="234" spans="1:69" x14ac:dyDescent="0.25">
      <c r="A234" s="30">
        <v>1.3400956406250004</v>
      </c>
      <c r="E234"/>
      <c r="I234" s="27" t="s">
        <v>8</v>
      </c>
      <c r="J234" s="27" t="s">
        <v>7</v>
      </c>
      <c r="M234" s="27" t="s">
        <v>8</v>
      </c>
      <c r="N234" s="27" t="s">
        <v>7</v>
      </c>
      <c r="O234" s="27" t="s">
        <v>8</v>
      </c>
      <c r="R234" s="27" t="s">
        <v>7</v>
      </c>
      <c r="S234" s="27" t="s">
        <v>8</v>
      </c>
      <c r="AB234" s="27" t="s">
        <v>7</v>
      </c>
      <c r="AC234" s="27" t="s">
        <v>8</v>
      </c>
      <c r="AD234" s="27" t="s">
        <v>7</v>
      </c>
      <c r="AE234" s="27" t="s">
        <v>8</v>
      </c>
    </row>
    <row r="235" spans="1:69" x14ac:dyDescent="0.25">
      <c r="A235" s="30">
        <v>1.2762815625000004</v>
      </c>
      <c r="C235"/>
      <c r="E235"/>
      <c r="I235" s="27" t="s">
        <v>8</v>
      </c>
      <c r="J235" s="27" t="s">
        <v>7</v>
      </c>
      <c r="K235" s="27" t="s">
        <v>8</v>
      </c>
      <c r="M235" s="27" t="s">
        <v>8</v>
      </c>
      <c r="N235" s="27" t="s">
        <v>7</v>
      </c>
      <c r="O235" s="27" t="s">
        <v>8</v>
      </c>
      <c r="R235" s="27" t="s">
        <v>7</v>
      </c>
      <c r="AB235" s="27" t="s">
        <v>7</v>
      </c>
      <c r="AC235" s="27" t="s">
        <v>8</v>
      </c>
      <c r="AD235" s="27" t="s">
        <v>7</v>
      </c>
      <c r="AE235" s="27" t="s">
        <v>8</v>
      </c>
    </row>
    <row r="236" spans="1:69" x14ac:dyDescent="0.25">
      <c r="A236" s="30">
        <v>1.2155062500000002</v>
      </c>
      <c r="E236"/>
      <c r="I236" s="27" t="s">
        <v>8</v>
      </c>
      <c r="J236" s="27" t="s">
        <v>7</v>
      </c>
      <c r="K236" s="27" t="s">
        <v>8</v>
      </c>
      <c r="L236" s="27" t="s">
        <v>7</v>
      </c>
      <c r="M236" s="27" t="s">
        <v>8</v>
      </c>
      <c r="N236" s="27" t="s">
        <v>7</v>
      </c>
      <c r="O236" s="27" t="s">
        <v>8</v>
      </c>
      <c r="AB236" s="27" t="s">
        <v>7</v>
      </c>
      <c r="AC236" s="27" t="s">
        <v>8</v>
      </c>
      <c r="AD236" s="27" t="s">
        <v>7</v>
      </c>
      <c r="AE236" s="27" t="s">
        <v>8</v>
      </c>
    </row>
    <row r="237" spans="1:69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I237" s="27" t="s">
        <v>8</v>
      </c>
      <c r="J237" s="27" t="s">
        <v>7</v>
      </c>
      <c r="K237" s="27" t="s">
        <v>8</v>
      </c>
      <c r="L237" s="27" t="s">
        <v>7</v>
      </c>
      <c r="M237" s="27" t="s">
        <v>8</v>
      </c>
      <c r="N237" s="27" t="s">
        <v>7</v>
      </c>
      <c r="AB237" s="27" t="s">
        <v>7</v>
      </c>
      <c r="AC237" s="27" t="s">
        <v>8</v>
      </c>
      <c r="AD237" s="27" t="s">
        <v>7</v>
      </c>
    </row>
    <row r="238" spans="1:69" x14ac:dyDescent="0.25">
      <c r="A238" s="30">
        <v>1.1025</v>
      </c>
      <c r="E238"/>
      <c r="I238" s="27" t="s">
        <v>8</v>
      </c>
      <c r="J238" s="27" t="s">
        <v>7</v>
      </c>
      <c r="L238" s="27" t="s">
        <v>7</v>
      </c>
      <c r="AB238" s="27" t="s">
        <v>7</v>
      </c>
      <c r="AC238" s="27" t="s">
        <v>8</v>
      </c>
    </row>
    <row r="239" spans="1:69" x14ac:dyDescent="0.25">
      <c r="A239" s="30">
        <v>1.05</v>
      </c>
      <c r="E239"/>
      <c r="I239" s="27" t="s">
        <v>8</v>
      </c>
      <c r="AB239" s="27" t="s">
        <v>7</v>
      </c>
      <c r="AC239" s="27" t="s">
        <v>8</v>
      </c>
    </row>
    <row r="240" spans="1:69" x14ac:dyDescent="0.25">
      <c r="A240" s="30">
        <v>1</v>
      </c>
      <c r="E240" s="29" t="s">
        <v>8</v>
      </c>
      <c r="I240" s="27" t="s">
        <v>8</v>
      </c>
      <c r="AB240" s="27" t="s">
        <v>7</v>
      </c>
      <c r="AC240" s="27" t="s">
        <v>8</v>
      </c>
    </row>
    <row r="241" spans="1:28" x14ac:dyDescent="0.25">
      <c r="A241" s="30">
        <v>0.952380952380952</v>
      </c>
      <c r="B241"/>
      <c r="C241"/>
      <c r="D241"/>
      <c r="E241"/>
      <c r="F241" s="27" t="s">
        <v>7</v>
      </c>
      <c r="G241" s="27" t="s">
        <v>8</v>
      </c>
      <c r="I241" s="27" t="s">
        <v>8</v>
      </c>
      <c r="AB241" s="27" t="s">
        <v>7</v>
      </c>
    </row>
    <row r="242" spans="1:28" x14ac:dyDescent="0.25">
      <c r="A242" s="30">
        <v>0.90702947845804915</v>
      </c>
      <c r="B242"/>
      <c r="C242"/>
      <c r="D242"/>
      <c r="E242"/>
      <c r="F242" s="27" t="s">
        <v>7</v>
      </c>
      <c r="G242" s="27" t="s">
        <v>8</v>
      </c>
      <c r="H242" s="27" t="s">
        <v>7</v>
      </c>
      <c r="I242" s="27" t="s">
        <v>8</v>
      </c>
    </row>
    <row r="243" spans="1:28" x14ac:dyDescent="0.25">
      <c r="A243" s="30">
        <v>0.86383759853147501</v>
      </c>
      <c r="B243"/>
      <c r="C243"/>
      <c r="D243"/>
      <c r="E243"/>
      <c r="F243" s="27" t="s">
        <v>7</v>
      </c>
      <c r="G243" s="27" t="s">
        <v>8</v>
      </c>
      <c r="H243" s="27" t="s">
        <v>7</v>
      </c>
      <c r="I243" s="27" t="s">
        <v>8</v>
      </c>
    </row>
    <row r="244" spans="1:28" x14ac:dyDescent="0.25">
      <c r="A244" s="30">
        <v>0.82270247479188063</v>
      </c>
      <c r="B244"/>
      <c r="C244"/>
      <c r="D244"/>
      <c r="E244"/>
      <c r="F244" s="27" t="s">
        <v>7</v>
      </c>
      <c r="H244" s="27" t="s">
        <v>7</v>
      </c>
      <c r="I244" s="27" t="s">
        <v>8</v>
      </c>
    </row>
    <row r="245" spans="1:28" x14ac:dyDescent="0.25">
      <c r="A245" s="30">
        <v>0.78352616646845741</v>
      </c>
      <c r="B245"/>
      <c r="C245"/>
      <c r="D245"/>
      <c r="E245"/>
      <c r="H245" s="27" t="s">
        <v>7</v>
      </c>
    </row>
    <row r="246" spans="1:28" x14ac:dyDescent="0.25">
      <c r="A246" s="30">
        <v>0.74621539663662584</v>
      </c>
      <c r="B246"/>
      <c r="C246"/>
      <c r="D246"/>
      <c r="E246"/>
    </row>
    <row r="247" spans="1:28" x14ac:dyDescent="0.25">
      <c r="A247" s="30">
        <v>0.71068133013011958</v>
      </c>
      <c r="B247"/>
      <c r="C247"/>
      <c r="D247"/>
      <c r="E247"/>
    </row>
    <row r="248" spans="1:28" x14ac:dyDescent="0.25">
      <c r="A248" s="30">
        <v>0.676839362028685</v>
      </c>
      <c r="B248"/>
      <c r="C248"/>
      <c r="D248"/>
      <c r="E248"/>
    </row>
    <row r="249" spans="1:28" x14ac:dyDescent="0.25">
      <c r="A249" s="30">
        <v>0.64460891621779492</v>
      </c>
      <c r="B249"/>
      <c r="C249"/>
      <c r="D249"/>
      <c r="E249"/>
    </row>
    <row r="250" spans="1:28" x14ac:dyDescent="0.25">
      <c r="A250" s="30">
        <v>0.61391325354075688</v>
      </c>
      <c r="B250"/>
      <c r="C250"/>
      <c r="D250"/>
      <c r="E250"/>
    </row>
    <row r="251" spans="1:28" x14ac:dyDescent="0.25">
      <c r="A251" s="30">
        <v>0.58467928908643485</v>
      </c>
      <c r="B251"/>
      <c r="C251"/>
      <c r="D251"/>
      <c r="E251"/>
    </row>
    <row r="252" spans="1:28" x14ac:dyDescent="0.25">
      <c r="A252" s="30">
        <v>0.55683741817755672</v>
      </c>
      <c r="B252"/>
      <c r="C252"/>
      <c r="D252"/>
      <c r="E252"/>
    </row>
    <row r="253" spans="1:28" x14ac:dyDescent="0.25">
      <c r="A253" s="30">
        <v>0.53032135064529184</v>
      </c>
      <c r="B253"/>
      <c r="C253"/>
      <c r="D253"/>
      <c r="E253"/>
    </row>
    <row r="254" spans="1:28" x14ac:dyDescent="0.25">
      <c r="A254" s="30">
        <v>0.50506795299551588</v>
      </c>
      <c r="B254"/>
      <c r="C254"/>
      <c r="D254"/>
      <c r="E254"/>
    </row>
    <row r="255" spans="1:28" x14ac:dyDescent="0.25">
      <c r="A255" s="30">
        <v>0.48101709809096732</v>
      </c>
      <c r="E255"/>
    </row>
    <row r="256" spans="1:28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277" operator="equal">
      <formula>$U$1</formula>
    </cfRule>
    <cfRule type="cellIs" dxfId="67" priority="1278" operator="equal">
      <formula>$S$1</formula>
    </cfRule>
  </conditionalFormatting>
  <conditionalFormatting sqref="D136">
    <cfRule type="cellIs" dxfId="66" priority="1275" operator="equal">
      <formula>$S$1</formula>
    </cfRule>
    <cfRule type="cellIs" dxfId="65" priority="1276" operator="equal">
      <formula>$U$1</formula>
    </cfRule>
  </conditionalFormatting>
  <conditionalFormatting sqref="C162">
    <cfRule type="cellIs" dxfId="64" priority="1273" operator="equal">
      <formula>$U$1</formula>
    </cfRule>
    <cfRule type="cellIs" dxfId="63" priority="1274" operator="equal">
      <formula>$S$1</formula>
    </cfRule>
  </conditionalFormatting>
  <conditionalFormatting sqref="D162">
    <cfRule type="cellIs" dxfId="62" priority="1271" operator="equal">
      <formula>$S$1</formula>
    </cfRule>
    <cfRule type="cellIs" dxfId="61" priority="1272" operator="equal">
      <formula>$U$1</formula>
    </cfRule>
  </conditionalFormatting>
  <conditionalFormatting sqref="C187">
    <cfRule type="cellIs" dxfId="60" priority="1269" operator="equal">
      <formula>$U$1</formula>
    </cfRule>
    <cfRule type="cellIs" dxfId="59" priority="1270" operator="equal">
      <formula>$S$1</formula>
    </cfRule>
  </conditionalFormatting>
  <conditionalFormatting sqref="D187">
    <cfRule type="cellIs" dxfId="58" priority="1267" operator="equal">
      <formula>$S$1</formula>
    </cfRule>
    <cfRule type="cellIs" dxfId="57" priority="1268" operator="equal">
      <formula>$U$1</formula>
    </cfRule>
  </conditionalFormatting>
  <conditionalFormatting sqref="C212">
    <cfRule type="cellIs" dxfId="56" priority="1265" operator="equal">
      <formula>$U$1</formula>
    </cfRule>
    <cfRule type="cellIs" dxfId="55" priority="1266" operator="equal">
      <formula>$S$1</formula>
    </cfRule>
  </conditionalFormatting>
  <conditionalFormatting sqref="D212">
    <cfRule type="cellIs" dxfId="54" priority="1263" operator="equal">
      <formula>$S$1</formula>
    </cfRule>
    <cfRule type="cellIs" dxfId="53" priority="1264" operator="equal">
      <formula>$U$1</formula>
    </cfRule>
  </conditionalFormatting>
  <conditionalFormatting sqref="C237">
    <cfRule type="cellIs" dxfId="52" priority="1261" operator="equal">
      <formula>$U$1</formula>
    </cfRule>
    <cfRule type="cellIs" dxfId="51" priority="1262" operator="equal">
      <formula>$S$1</formula>
    </cfRule>
  </conditionalFormatting>
  <conditionalFormatting sqref="D237">
    <cfRule type="cellIs" dxfId="50" priority="1259" operator="equal">
      <formula>$S$1</formula>
    </cfRule>
    <cfRule type="cellIs" dxfId="49" priority="1260" operator="equal">
      <formula>$U$1</formula>
    </cfRule>
  </conditionalFormatting>
  <conditionalFormatting sqref="C106">
    <cfRule type="cellIs" dxfId="48" priority="1257" operator="equal">
      <formula>$U$1</formula>
    </cfRule>
    <cfRule type="cellIs" dxfId="47" priority="1258" operator="equal">
      <formula>$S$1</formula>
    </cfRule>
  </conditionalFormatting>
  <conditionalFormatting sqref="D106">
    <cfRule type="cellIs" dxfId="46" priority="1255" operator="equal">
      <formula>$S$1</formula>
    </cfRule>
    <cfRule type="cellIs" dxfId="45" priority="1256" operator="equal">
      <formula>$U$1</formula>
    </cfRule>
  </conditionalFormatting>
  <conditionalFormatting sqref="C81">
    <cfRule type="cellIs" dxfId="44" priority="1253" operator="equal">
      <formula>$U$1</formula>
    </cfRule>
    <cfRule type="cellIs" dxfId="43" priority="1254" operator="equal">
      <formula>$S$1</formula>
    </cfRule>
  </conditionalFormatting>
  <conditionalFormatting sqref="D81">
    <cfRule type="cellIs" dxfId="42" priority="1251" operator="equal">
      <formula>$S$1</formula>
    </cfRule>
    <cfRule type="cellIs" dxfId="41" priority="1252" operator="equal">
      <formula>$U$1</formula>
    </cfRule>
  </conditionalFormatting>
  <conditionalFormatting sqref="C56">
    <cfRule type="cellIs" dxfId="40" priority="1249" operator="equal">
      <formula>$U$1</formula>
    </cfRule>
    <cfRule type="cellIs" dxfId="39" priority="1250" operator="equal">
      <formula>$S$1</formula>
    </cfRule>
  </conditionalFormatting>
  <conditionalFormatting sqref="D56">
    <cfRule type="cellIs" dxfId="38" priority="1247" operator="equal">
      <formula>$S$1</formula>
    </cfRule>
    <cfRule type="cellIs" dxfId="37" priority="1248" operator="equal">
      <formula>$U$1</formula>
    </cfRule>
  </conditionalFormatting>
  <conditionalFormatting sqref="C31">
    <cfRule type="cellIs" dxfId="36" priority="1245" operator="equal">
      <formula>$U$1</formula>
    </cfRule>
    <cfRule type="cellIs" dxfId="35" priority="1246" operator="equal">
      <formula>$S$1</formula>
    </cfRule>
  </conditionalFormatting>
  <conditionalFormatting sqref="D31">
    <cfRule type="cellIs" dxfId="34" priority="1243" operator="equal">
      <formula>$S$1</formula>
    </cfRule>
    <cfRule type="cellIs" dxfId="33" priority="1244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94" zoomScale="90" zoomScaleNormal="90" workbookViewId="0">
      <pane xSplit="4" topLeftCell="G1" activePane="topRight" state="frozen"/>
      <selection activeCell="A109" sqref="A109"/>
      <selection pane="topRight" activeCell="AP111" sqref="AP111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42" x14ac:dyDescent="0.25">
      <c r="A97" s="30">
        <v>9.849732675807628</v>
      </c>
      <c r="E97"/>
    </row>
    <row r="98" spans="1:42" x14ac:dyDescent="0.25">
      <c r="A98" s="30">
        <v>8.9543024325523888</v>
      </c>
      <c r="C98" s="1" t="s">
        <v>13</v>
      </c>
      <c r="E98"/>
      <c r="AM98" s="27" t="s">
        <v>8</v>
      </c>
    </row>
    <row r="99" spans="1:42" x14ac:dyDescent="0.25">
      <c r="A99" s="30">
        <v>8.140274938683989</v>
      </c>
      <c r="C99" s="1">
        <f>C88</f>
        <v>0</v>
      </c>
      <c r="E99"/>
      <c r="Y99" s="31" t="s">
        <v>8</v>
      </c>
      <c r="AM99" s="27" t="s">
        <v>8</v>
      </c>
      <c r="AN99" s="27" t="s">
        <v>7</v>
      </c>
    </row>
    <row r="100" spans="1:42" x14ac:dyDescent="0.25">
      <c r="A100" s="30">
        <v>7.4002499442581717</v>
      </c>
      <c r="C100"/>
      <c r="D100"/>
      <c r="E100"/>
      <c r="W100" s="27" t="s">
        <v>8</v>
      </c>
      <c r="Y100" s="27" t="s">
        <v>8</v>
      </c>
      <c r="Z100" s="31" t="s">
        <v>7</v>
      </c>
      <c r="AI100" s="27" t="s">
        <v>8</v>
      </c>
      <c r="AK100" s="27" t="s">
        <v>8</v>
      </c>
      <c r="AM100" s="27" t="s">
        <v>8</v>
      </c>
      <c r="AN100" s="27" t="s">
        <v>7</v>
      </c>
    </row>
    <row r="101" spans="1:42" x14ac:dyDescent="0.25">
      <c r="A101" s="30">
        <v>6.72749994932561</v>
      </c>
      <c r="C101" s="1" t="s">
        <v>14</v>
      </c>
      <c r="E101"/>
      <c r="W101" s="27" t="s">
        <v>8</v>
      </c>
      <c r="X101" s="27" t="s">
        <v>7</v>
      </c>
      <c r="Y101" s="27" t="s">
        <v>8</v>
      </c>
      <c r="Z101" s="27" t="s">
        <v>7</v>
      </c>
      <c r="AA101" s="31"/>
      <c r="AI101" s="27" t="s">
        <v>8</v>
      </c>
      <c r="AJ101" s="27" t="s">
        <v>7</v>
      </c>
      <c r="AK101" s="27" t="s">
        <v>8</v>
      </c>
      <c r="AL101" s="27" t="s">
        <v>7</v>
      </c>
      <c r="AM101" s="27" t="s">
        <v>8</v>
      </c>
      <c r="AN101" s="27" t="s">
        <v>7</v>
      </c>
    </row>
    <row r="102" spans="1:42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  <c r="W102" s="27" t="s">
        <v>8</v>
      </c>
      <c r="X102" s="27" t="s">
        <v>7</v>
      </c>
      <c r="Y102" s="27" t="s">
        <v>8</v>
      </c>
      <c r="Z102" s="27" t="s">
        <v>7</v>
      </c>
      <c r="AB102" s="31"/>
      <c r="AG102" s="27" t="s">
        <v>8</v>
      </c>
      <c r="AI102" s="27" t="s">
        <v>8</v>
      </c>
      <c r="AJ102" s="27" t="s">
        <v>7</v>
      </c>
      <c r="AK102" s="27" t="s">
        <v>8</v>
      </c>
      <c r="AL102" s="27" t="s">
        <v>7</v>
      </c>
      <c r="AM102" s="27" t="s">
        <v>8</v>
      </c>
      <c r="AN102" s="27" t="s">
        <v>7</v>
      </c>
      <c r="AO102" s="27" t="s">
        <v>8</v>
      </c>
    </row>
    <row r="103" spans="1:42" x14ac:dyDescent="0.25">
      <c r="A103" s="30">
        <v>5.5599173134922388</v>
      </c>
      <c r="E103"/>
      <c r="U103" s="27" t="s">
        <v>8</v>
      </c>
      <c r="W103" s="27" t="s">
        <v>8</v>
      </c>
      <c r="X103" s="27" t="s">
        <v>7</v>
      </c>
      <c r="Y103" s="27" t="s">
        <v>8</v>
      </c>
      <c r="Z103" s="27" t="s">
        <v>7</v>
      </c>
      <c r="AC103" s="31"/>
      <c r="AG103" s="27" t="s">
        <v>8</v>
      </c>
      <c r="AH103" s="27" t="s">
        <v>7</v>
      </c>
      <c r="AI103" s="27" t="s">
        <v>8</v>
      </c>
      <c r="AJ103" s="27" t="s">
        <v>7</v>
      </c>
      <c r="AK103" s="27" t="s">
        <v>8</v>
      </c>
      <c r="AL103" s="27" t="s">
        <v>7</v>
      </c>
      <c r="AN103" s="27" t="s">
        <v>7</v>
      </c>
      <c r="AO103" s="27" t="s">
        <v>8</v>
      </c>
      <c r="AP103" s="27" t="s">
        <v>7</v>
      </c>
    </row>
    <row r="104" spans="1:42" x14ac:dyDescent="0.25">
      <c r="A104" s="30">
        <v>5.0544702849929442</v>
      </c>
      <c r="E104"/>
      <c r="U104" s="27" t="s">
        <v>8</v>
      </c>
      <c r="V104" s="27" t="s">
        <v>7</v>
      </c>
      <c r="W104" s="27" t="s">
        <v>8</v>
      </c>
      <c r="X104" s="27" t="s">
        <v>7</v>
      </c>
      <c r="Y104" s="27" t="s">
        <v>8</v>
      </c>
      <c r="Z104" s="27" t="s">
        <v>7</v>
      </c>
      <c r="AD104" s="31"/>
      <c r="AG104" s="27" t="s">
        <v>8</v>
      </c>
      <c r="AH104" s="27" t="s">
        <v>7</v>
      </c>
      <c r="AI104" s="27" t="s">
        <v>8</v>
      </c>
      <c r="AJ104" s="27" t="s">
        <v>7</v>
      </c>
      <c r="AK104" s="27" t="s">
        <v>8</v>
      </c>
      <c r="AN104" s="27" t="s">
        <v>7</v>
      </c>
      <c r="AO104" s="31" t="s">
        <v>8</v>
      </c>
      <c r="AP104" s="27" t="s">
        <v>7</v>
      </c>
    </row>
    <row r="105" spans="1:42" x14ac:dyDescent="0.25">
      <c r="A105" s="30">
        <v>4.594972986357222</v>
      </c>
      <c r="E105"/>
      <c r="U105" s="27" t="s">
        <v>8</v>
      </c>
      <c r="V105" s="27" t="s">
        <v>7</v>
      </c>
      <c r="W105" s="27" t="s">
        <v>8</v>
      </c>
      <c r="X105" s="27" t="s">
        <v>7</v>
      </c>
      <c r="Y105" s="27" t="s">
        <v>8</v>
      </c>
      <c r="Z105" s="27" t="s">
        <v>7</v>
      </c>
      <c r="AE105" s="31"/>
      <c r="AG105" s="27" t="s">
        <v>8</v>
      </c>
      <c r="AH105" s="27" t="s">
        <v>7</v>
      </c>
      <c r="AI105" s="27" t="s">
        <v>8</v>
      </c>
      <c r="AJ105" s="27" t="s">
        <v>7</v>
      </c>
      <c r="AN105" s="31" t="s">
        <v>7</v>
      </c>
      <c r="AO105" s="27" t="s">
        <v>8</v>
      </c>
      <c r="AP105" s="27" t="s">
        <v>7</v>
      </c>
    </row>
    <row r="106" spans="1:42" x14ac:dyDescent="0.25">
      <c r="A106" s="30">
        <v>4.1772481694156562</v>
      </c>
      <c r="E106"/>
      <c r="M106" s="27" t="s">
        <v>8</v>
      </c>
      <c r="U106" s="27" t="s">
        <v>8</v>
      </c>
      <c r="V106" s="27" t="s">
        <v>7</v>
      </c>
      <c r="W106" s="27" t="s">
        <v>8</v>
      </c>
      <c r="X106" s="27" t="s">
        <v>7</v>
      </c>
      <c r="Z106" s="31" t="s">
        <v>7</v>
      </c>
      <c r="AA106" s="27" t="s">
        <v>8</v>
      </c>
      <c r="AF106" s="31"/>
      <c r="AG106" s="27" t="s">
        <v>8</v>
      </c>
      <c r="AH106" s="27" t="s">
        <v>7</v>
      </c>
      <c r="AM106" s="31"/>
      <c r="AN106" s="27" t="s">
        <v>7</v>
      </c>
      <c r="AO106" s="27" t="s">
        <v>8</v>
      </c>
      <c r="AP106" s="27" t="s">
        <v>7</v>
      </c>
    </row>
    <row r="107" spans="1:42" x14ac:dyDescent="0.25">
      <c r="A107" s="30">
        <v>3.7974983358324148</v>
      </c>
      <c r="E107"/>
      <c r="I107" s="27" t="s">
        <v>8</v>
      </c>
      <c r="M107" s="27" t="s">
        <v>8</v>
      </c>
      <c r="N107" s="27" t="s">
        <v>7</v>
      </c>
      <c r="U107" s="27" t="s">
        <v>8</v>
      </c>
      <c r="V107" s="27" t="s">
        <v>7</v>
      </c>
      <c r="W107" s="27" t="s">
        <v>8</v>
      </c>
      <c r="Y107" s="31"/>
      <c r="Z107" s="32" t="s">
        <v>7</v>
      </c>
      <c r="AA107" s="27" t="s">
        <v>8</v>
      </c>
      <c r="AB107" s="27" t="s">
        <v>7</v>
      </c>
      <c r="AC107" s="27" t="s">
        <v>8</v>
      </c>
      <c r="AG107" s="31" t="s">
        <v>8</v>
      </c>
      <c r="AL107" s="31"/>
      <c r="AN107" s="27" t="s">
        <v>7</v>
      </c>
      <c r="AO107" s="27" t="s">
        <v>8</v>
      </c>
      <c r="AP107" s="27" t="s">
        <v>7</v>
      </c>
    </row>
    <row r="108" spans="1:42" x14ac:dyDescent="0.25">
      <c r="A108" s="30">
        <v>3.4522712143931042</v>
      </c>
      <c r="E108"/>
      <c r="I108" s="27" t="s">
        <v>8</v>
      </c>
      <c r="J108" s="27" t="s">
        <v>7</v>
      </c>
      <c r="M108" s="27" t="s">
        <v>8</v>
      </c>
      <c r="N108" s="27" t="s">
        <v>7</v>
      </c>
      <c r="U108" s="27" t="s">
        <v>8</v>
      </c>
      <c r="V108" s="27" t="s">
        <v>7</v>
      </c>
      <c r="W108" s="27" t="s">
        <v>8</v>
      </c>
      <c r="X108" s="31"/>
      <c r="Z108" s="27" t="s">
        <v>7</v>
      </c>
      <c r="AA108" s="27" t="s">
        <v>8</v>
      </c>
      <c r="AB108" s="27" t="s">
        <v>7</v>
      </c>
      <c r="AC108" s="27" t="s">
        <v>8</v>
      </c>
      <c r="AD108" s="27" t="s">
        <v>7</v>
      </c>
      <c r="AG108" s="27" t="s">
        <v>8</v>
      </c>
      <c r="AH108" s="31"/>
      <c r="AK108" s="31"/>
      <c r="AN108" s="27" t="s">
        <v>7</v>
      </c>
      <c r="AP108" s="27" t="s">
        <v>7</v>
      </c>
    </row>
    <row r="109" spans="1:42" x14ac:dyDescent="0.25">
      <c r="A109" s="30">
        <v>3.1384283767210035</v>
      </c>
      <c r="E109"/>
      <c r="I109" s="27" t="s">
        <v>8</v>
      </c>
      <c r="J109" s="27" t="s">
        <v>7</v>
      </c>
      <c r="M109" s="27" t="s">
        <v>8</v>
      </c>
      <c r="N109" s="27" t="s">
        <v>7</v>
      </c>
      <c r="S109" s="33" t="s">
        <v>8</v>
      </c>
      <c r="U109" s="27" t="s">
        <v>8</v>
      </c>
      <c r="V109" s="27" t="s">
        <v>7</v>
      </c>
      <c r="W109" s="31"/>
      <c r="Z109" s="27" t="s">
        <v>7</v>
      </c>
      <c r="AA109" s="27" t="s">
        <v>8</v>
      </c>
      <c r="AB109" s="27" t="s">
        <v>7</v>
      </c>
      <c r="AC109" s="27" t="s">
        <v>8</v>
      </c>
      <c r="AD109" s="27" t="s">
        <v>7</v>
      </c>
      <c r="AG109" s="33" t="s">
        <v>8</v>
      </c>
      <c r="AI109" s="31"/>
      <c r="AJ109" s="31"/>
      <c r="AP109" s="27" t="s">
        <v>7</v>
      </c>
    </row>
    <row r="110" spans="1:42" x14ac:dyDescent="0.25">
      <c r="A110" s="30">
        <v>2.8531167061100029</v>
      </c>
      <c r="E110"/>
      <c r="I110" s="27" t="s">
        <v>8</v>
      </c>
      <c r="J110" s="27" t="s">
        <v>7</v>
      </c>
      <c r="M110" s="27" t="s">
        <v>8</v>
      </c>
      <c r="N110" s="27" t="s">
        <v>7</v>
      </c>
      <c r="O110" s="34" t="s">
        <v>8</v>
      </c>
      <c r="Q110" s="34" t="s">
        <v>8</v>
      </c>
      <c r="S110" s="27" t="s">
        <v>8</v>
      </c>
      <c r="T110" s="27" t="s">
        <v>7</v>
      </c>
      <c r="U110" s="27" t="s">
        <v>8</v>
      </c>
      <c r="V110" s="31"/>
      <c r="Z110" s="27" t="s">
        <v>7</v>
      </c>
      <c r="AB110" s="27" t="s">
        <v>7</v>
      </c>
      <c r="AC110" s="27" t="s">
        <v>8</v>
      </c>
      <c r="AD110" s="27" t="s">
        <v>7</v>
      </c>
      <c r="AE110" s="18" t="s">
        <v>8</v>
      </c>
      <c r="AG110" s="27" t="s">
        <v>8</v>
      </c>
      <c r="AI110" s="31"/>
      <c r="AP110" s="27" t="s">
        <v>7</v>
      </c>
    </row>
    <row r="111" spans="1:42" x14ac:dyDescent="0.25">
      <c r="A111" s="30">
        <v>2.5937424601000023</v>
      </c>
      <c r="C111" s="1" t="str">
        <f>ADDRESS(C121-1,1,1,1)</f>
        <v>$A$110</v>
      </c>
      <c r="D111" s="1" t="str">
        <f>ADDRESS(C121-1,D121,1,1)</f>
        <v>$AP$110</v>
      </c>
      <c r="E111"/>
      <c r="I111" s="27" t="s">
        <v>8</v>
      </c>
      <c r="J111" s="27" t="s">
        <v>7</v>
      </c>
      <c r="M111" s="27" t="s">
        <v>8</v>
      </c>
      <c r="N111" s="27" t="s">
        <v>7</v>
      </c>
      <c r="O111" s="27" t="s">
        <v>8</v>
      </c>
      <c r="P111" s="27" t="s">
        <v>7</v>
      </c>
      <c r="Q111" s="27" t="s">
        <v>8</v>
      </c>
      <c r="R111" s="27" t="s">
        <v>7</v>
      </c>
      <c r="S111" s="27" t="s">
        <v>8</v>
      </c>
      <c r="T111" s="27" t="s">
        <v>7</v>
      </c>
      <c r="U111" s="31" t="s">
        <v>8</v>
      </c>
      <c r="AB111" s="27" t="s">
        <v>7</v>
      </c>
      <c r="AD111" s="27" t="s">
        <v>7</v>
      </c>
      <c r="AE111" s="27" t="s">
        <v>8</v>
      </c>
      <c r="AF111" s="27" t="s">
        <v>7</v>
      </c>
      <c r="AG111" s="27" t="s">
        <v>8</v>
      </c>
      <c r="AH111" s="31"/>
      <c r="AP111" s="27" t="s">
        <v>7</v>
      </c>
    </row>
    <row r="112" spans="1:42" x14ac:dyDescent="0.25">
      <c r="A112" s="30">
        <v>2.3579476910000019</v>
      </c>
      <c r="C112" s="1" t="str">
        <f>ADDRESS(C121,1,1,1)</f>
        <v>$A$111</v>
      </c>
      <c r="D112" s="1" t="str">
        <f>ADDRESS(C121,D121-1,1,1)</f>
        <v>$AO$111</v>
      </c>
      <c r="E112"/>
      <c r="I112" s="27" t="s">
        <v>8</v>
      </c>
      <c r="J112" s="27" t="s">
        <v>7</v>
      </c>
      <c r="M112" s="27" t="s">
        <v>8</v>
      </c>
      <c r="N112" s="27" t="s">
        <v>7</v>
      </c>
      <c r="O112" s="27" t="s">
        <v>8</v>
      </c>
      <c r="P112" s="27" t="s">
        <v>7</v>
      </c>
      <c r="Q112" s="27" t="s">
        <v>8</v>
      </c>
      <c r="R112" s="27" t="s">
        <v>7</v>
      </c>
      <c r="S112" s="27" t="s">
        <v>8</v>
      </c>
      <c r="T112" s="31" t="s">
        <v>7</v>
      </c>
      <c r="AD112" s="27" t="s">
        <v>7</v>
      </c>
      <c r="AE112" s="27" t="s">
        <v>8</v>
      </c>
      <c r="AF112" s="27" t="s">
        <v>7</v>
      </c>
      <c r="AG112" s="31" t="s">
        <v>8</v>
      </c>
    </row>
    <row r="113" spans="1:32" x14ac:dyDescent="0.25">
      <c r="A113" s="30">
        <v>2.1435888100000016</v>
      </c>
      <c r="C113" s="1" t="str">
        <f>ADDRESS(C121+1,1,1,1)</f>
        <v>$A$112</v>
      </c>
      <c r="D113" s="1" t="str">
        <f>ADDRESS(C121-1,D121+1,1,1)</f>
        <v>$AQ$110</v>
      </c>
      <c r="I113" s="27" t="s">
        <v>8</v>
      </c>
      <c r="J113" s="27" t="s">
        <v>7</v>
      </c>
      <c r="M113" s="27" t="s">
        <v>8</v>
      </c>
      <c r="N113" s="27" t="s">
        <v>7</v>
      </c>
      <c r="O113" s="27" t="s">
        <v>8</v>
      </c>
      <c r="P113" s="27" t="s">
        <v>7</v>
      </c>
      <c r="Q113" s="27" t="s">
        <v>8</v>
      </c>
      <c r="R113" s="27" t="s">
        <v>7</v>
      </c>
      <c r="S113" s="31"/>
      <c r="AD113" s="34" t="s">
        <v>7</v>
      </c>
      <c r="AF113" s="34" t="s">
        <v>7</v>
      </c>
    </row>
    <row r="114" spans="1:32" x14ac:dyDescent="0.25">
      <c r="A114" s="30">
        <v>1.9487171000000014</v>
      </c>
      <c r="C114" s="1" t="str">
        <f>ADDRESS(C121,D121,1,1)</f>
        <v>$AP$111</v>
      </c>
      <c r="D114" s="1" t="str">
        <f>ADDRESS(C121+1,D121+1,1,1)</f>
        <v>$AQ$112</v>
      </c>
      <c r="I114" s="27" t="s">
        <v>8</v>
      </c>
      <c r="J114" s="27" t="s">
        <v>7</v>
      </c>
      <c r="M114" s="27" t="s">
        <v>8</v>
      </c>
      <c r="N114" s="27" t="s">
        <v>7</v>
      </c>
      <c r="P114" s="27" t="s">
        <v>7</v>
      </c>
      <c r="Q114" s="27" t="s">
        <v>8</v>
      </c>
      <c r="R114" s="31"/>
    </row>
    <row r="115" spans="1:32" x14ac:dyDescent="0.25">
      <c r="A115" s="30">
        <v>1.7715610000000011</v>
      </c>
      <c r="C115" s="1" t="str">
        <f>ADDRESS(C121+1,D121,1,1)</f>
        <v>$AP$112</v>
      </c>
      <c r="G115" s="27" t="s">
        <v>8</v>
      </c>
      <c r="I115" s="27" t="s">
        <v>8</v>
      </c>
      <c r="J115" s="27" t="s">
        <v>7</v>
      </c>
      <c r="K115" s="27" t="s">
        <v>8</v>
      </c>
      <c r="M115" s="27" t="s">
        <v>8</v>
      </c>
      <c r="P115" s="31" t="s">
        <v>7</v>
      </c>
      <c r="Q115" s="31" t="s">
        <v>8</v>
      </c>
    </row>
    <row r="116" spans="1:32" x14ac:dyDescent="0.25">
      <c r="A116" s="30">
        <v>1.6105100000000008</v>
      </c>
      <c r="C116" s="1">
        <f>C117-1</f>
        <v>110</v>
      </c>
      <c r="G116" s="27" t="s">
        <v>8</v>
      </c>
      <c r="H116" s="27" t="s">
        <v>7</v>
      </c>
      <c r="I116" s="27" t="s">
        <v>8</v>
      </c>
      <c r="J116" s="27" t="s">
        <v>7</v>
      </c>
      <c r="K116" s="27" t="s">
        <v>8</v>
      </c>
      <c r="L116" s="27" t="s">
        <v>7</v>
      </c>
      <c r="M116" s="27" t="s">
        <v>8</v>
      </c>
      <c r="O116" s="31"/>
      <c r="P116" s="27" t="s">
        <v>7</v>
      </c>
    </row>
    <row r="117" spans="1:32" x14ac:dyDescent="0.25">
      <c r="A117" s="30">
        <v>1.4641000000000006</v>
      </c>
      <c r="C117" s="1">
        <f>C121</f>
        <v>111</v>
      </c>
      <c r="D117" s="1">
        <f>D121</f>
        <v>42</v>
      </c>
      <c r="G117" s="27" t="s">
        <v>8</v>
      </c>
      <c r="H117" s="27" t="s">
        <v>7</v>
      </c>
      <c r="I117" s="27" t="s">
        <v>8</v>
      </c>
      <c r="J117" s="27" t="s">
        <v>7</v>
      </c>
      <c r="K117" s="27" t="s">
        <v>8</v>
      </c>
      <c r="L117" s="27" t="s">
        <v>7</v>
      </c>
      <c r="M117" s="27" t="s">
        <v>8</v>
      </c>
      <c r="N117" s="31"/>
    </row>
    <row r="118" spans="1:32" x14ac:dyDescent="0.25">
      <c r="A118" s="30">
        <v>1.3310000000000004</v>
      </c>
      <c r="C118" s="1">
        <f>C117+1</f>
        <v>112</v>
      </c>
      <c r="D118" s="1">
        <f>D117+1</f>
        <v>43</v>
      </c>
      <c r="G118" s="27" t="s">
        <v>8</v>
      </c>
      <c r="H118" s="27" t="s">
        <v>7</v>
      </c>
      <c r="J118" s="27" t="s">
        <v>7</v>
      </c>
      <c r="K118" s="27" t="s">
        <v>8</v>
      </c>
      <c r="L118" s="27" t="s">
        <v>7</v>
      </c>
      <c r="M118" s="31" t="s">
        <v>8</v>
      </c>
    </row>
    <row r="119" spans="1:32" x14ac:dyDescent="0.25">
      <c r="A119" s="30">
        <v>1.2100000000000002</v>
      </c>
      <c r="G119" s="27" t="s">
        <v>8</v>
      </c>
      <c r="J119" s="27" t="s">
        <v>7</v>
      </c>
      <c r="K119" s="27" t="s">
        <v>8</v>
      </c>
      <c r="L119" s="31" t="s">
        <v>7</v>
      </c>
    </row>
    <row r="120" spans="1:32" x14ac:dyDescent="0.25">
      <c r="A120" s="30">
        <v>1.1000000000000001</v>
      </c>
      <c r="C120" s="1" t="s">
        <v>9</v>
      </c>
      <c r="G120" s="27" t="s">
        <v>8</v>
      </c>
      <c r="J120" s="27" t="s">
        <v>7</v>
      </c>
      <c r="K120" s="31" t="s">
        <v>8</v>
      </c>
    </row>
    <row r="121" spans="1:32" x14ac:dyDescent="0.25">
      <c r="A121" s="30">
        <v>1</v>
      </c>
      <c r="C121" s="18">
        <v>111</v>
      </c>
      <c r="D121" s="19">
        <v>42</v>
      </c>
      <c r="E121" s="18" t="s">
        <v>8</v>
      </c>
      <c r="G121" s="27" t="s">
        <v>8</v>
      </c>
      <c r="J121" s="31" t="s">
        <v>7</v>
      </c>
    </row>
    <row r="122" spans="1:32" x14ac:dyDescent="0.25">
      <c r="A122" s="30">
        <v>0.90909090909090895</v>
      </c>
      <c r="C122" s="1" t="str">
        <f>INDEX(1:1048576,C117,D117)</f>
        <v>O</v>
      </c>
      <c r="F122" s="27" t="s">
        <v>7</v>
      </c>
      <c r="G122" s="27" t="s">
        <v>8</v>
      </c>
    </row>
    <row r="123" spans="1:32" x14ac:dyDescent="0.25">
      <c r="A123" s="30">
        <v>0.82644628099173523</v>
      </c>
      <c r="C123" s="1" t="str">
        <f>"R"&amp;C121</f>
        <v>R111</v>
      </c>
      <c r="D123" s="1" t="str">
        <f>"C"&amp;D121</f>
        <v>C42</v>
      </c>
      <c r="F123" s="27" t="s">
        <v>7</v>
      </c>
      <c r="G123" s="27" t="s">
        <v>8</v>
      </c>
    </row>
    <row r="124" spans="1:32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32" x14ac:dyDescent="0.25">
      <c r="A125" s="30">
        <v>0.68301345536507019</v>
      </c>
    </row>
    <row r="126" spans="1:32" x14ac:dyDescent="0.25">
      <c r="A126" s="30">
        <v>0.6209213230591546</v>
      </c>
      <c r="C126" s="1" t="s">
        <v>10</v>
      </c>
    </row>
    <row r="127" spans="1:32" x14ac:dyDescent="0.25">
      <c r="A127" s="30">
        <v>0.56447393005377677</v>
      </c>
      <c r="C127" s="30">
        <v>2.5937424601000023</v>
      </c>
      <c r="D127"/>
    </row>
    <row r="128" spans="1:32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261" operator="equal">
      <formula>$U$1</formula>
    </cfRule>
    <cfRule type="cellIs" dxfId="30" priority="1262" operator="equal">
      <formula>$S$1</formula>
    </cfRule>
  </conditionalFormatting>
  <conditionalFormatting sqref="D136">
    <cfRule type="cellIs" dxfId="29" priority="1259" operator="equal">
      <formula>$S$1</formula>
    </cfRule>
    <cfRule type="cellIs" dxfId="28" priority="1260" operator="equal">
      <formula>$U$1</formula>
    </cfRule>
  </conditionalFormatting>
  <conditionalFormatting sqref="C102">
    <cfRule type="cellIs" dxfId="27" priority="1257" operator="equal">
      <formula>$U$1</formula>
    </cfRule>
    <cfRule type="cellIs" dxfId="26" priority="1258" operator="equal">
      <formula>$S$1</formula>
    </cfRule>
  </conditionalFormatting>
  <conditionalFormatting sqref="D102">
    <cfRule type="cellIs" dxfId="25" priority="1255" operator="equal">
      <formula>$S$1</formula>
    </cfRule>
    <cfRule type="cellIs" dxfId="24" priority="1256" operator="equal">
      <formula>$U$1</formula>
    </cfRule>
  </conditionalFormatting>
  <conditionalFormatting sqref="C77">
    <cfRule type="cellIs" dxfId="23" priority="1253" operator="equal">
      <formula>$U$1</formula>
    </cfRule>
    <cfRule type="cellIs" dxfId="22" priority="1254" operator="equal">
      <formula>$S$1</formula>
    </cfRule>
  </conditionalFormatting>
  <conditionalFormatting sqref="D77">
    <cfRule type="cellIs" dxfId="21" priority="1251" operator="equal">
      <formula>$S$1</formula>
    </cfRule>
    <cfRule type="cellIs" dxfId="20" priority="1252" operator="equal">
      <formula>$U$1</formula>
    </cfRule>
  </conditionalFormatting>
  <conditionalFormatting sqref="C52">
    <cfRule type="cellIs" dxfId="19" priority="1249" operator="equal">
      <formula>$U$1</formula>
    </cfRule>
    <cfRule type="cellIs" dxfId="18" priority="1250" operator="equal">
      <formula>$S$1</formula>
    </cfRule>
  </conditionalFormatting>
  <conditionalFormatting sqref="D52">
    <cfRule type="cellIs" dxfId="17" priority="1247" operator="equal">
      <formula>$S$1</formula>
    </cfRule>
    <cfRule type="cellIs" dxfId="16" priority="1248" operator="equal">
      <formula>$U$1</formula>
    </cfRule>
  </conditionalFormatting>
  <conditionalFormatting sqref="C26">
    <cfRule type="cellIs" dxfId="15" priority="1245" operator="equal">
      <formula>$U$1</formula>
    </cfRule>
    <cfRule type="cellIs" dxfId="14" priority="1246" operator="equal">
      <formula>$S$1</formula>
    </cfRule>
  </conditionalFormatting>
  <conditionalFormatting sqref="D26">
    <cfRule type="cellIs" dxfId="13" priority="1243" operator="equal">
      <formula>$S$1</formula>
    </cfRule>
    <cfRule type="cellIs" dxfId="12" priority="1244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2.1828745883819374</v>
      </c>
      <c r="F3" s="30">
        <v>2.2920183178010345</v>
      </c>
      <c r="G3" s="30">
        <v>5.2533479691354827</v>
      </c>
      <c r="H3" s="25">
        <f>IF(G3="","",(3*(G3-F3))+E3)</f>
        <v>11.066863542385281</v>
      </c>
      <c r="I3" s="7"/>
      <c r="J3" s="7">
        <f>(E3+G3)/2</f>
        <v>3.7181112787587098</v>
      </c>
      <c r="K3" s="7">
        <f>H3/2</f>
        <v>5.5334317711926406</v>
      </c>
      <c r="M3" s="26">
        <f>IF(OR(J3="",H3=""),"",H3/J3)</f>
        <v>2.9764745357702016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2022-01-28T01:23:22Z</dcterms:modified>
</cp:coreProperties>
</file>