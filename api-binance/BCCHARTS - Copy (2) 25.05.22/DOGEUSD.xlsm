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0DC8D31-BFB2-4B00-88B5-E899308118C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D136" i="4" s="1"/>
  <c r="C116" i="5"/>
  <c r="C122" i="5"/>
  <c r="C133" i="5" s="1"/>
  <c r="C136" i="5" s="1"/>
  <c r="C122" i="3"/>
  <c r="C133" i="3" s="1"/>
  <c r="C136" i="3" s="1"/>
  <c r="R765" i="1"/>
  <c r="S765" i="1" s="1"/>
  <c r="T765" i="1" s="1"/>
  <c r="C116" i="4"/>
  <c r="C118" i="4"/>
  <c r="C116" i="3"/>
  <c r="C118" i="3"/>
  <c r="C136" i="4" l="1"/>
  <c r="C138" i="4" s="1"/>
  <c r="R764" i="1"/>
  <c r="D136" i="5"/>
  <c r="C138" i="5" s="1"/>
  <c r="D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<sst xmlns="http://schemas.openxmlformats.org/spreadsheetml/2006/main" count="7539" uniqueCount="34">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</sst>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0.14050000000000001</c:v>
                </c:pt>
                <c:pt idx="1">
                  <c:v>0.1431</c:v>
                </c:pt>
                <c:pt idx="2">
                  <c:v>0.14269999999999999</c:v>
                </c:pt>
                <c:pt idx="3">
                  <c:v>0.13730000000000001</c:v>
                </c:pt>
                <c:pt idx="4">
                  <c:v>0.14180000000000001</c:v>
                </c:pt>
                <c:pt idx="5">
                  <c:v>0.13320000000000001</c:v>
                </c:pt>
                <c:pt idx="6">
                  <c:v>0.1419</c:v>
                </c:pt>
                <c:pt idx="7">
                  <c:v>0.15529999999999999</c:v>
                </c:pt>
                <c:pt idx="8">
                  <c:v>0.1615</c:v>
                </c:pt>
                <c:pt idx="9">
                  <c:v>0.16500000000000001</c:v>
                </c:pt>
                <c:pt idx="10">
                  <c:v>0.17080000000000001</c:v>
                </c:pt>
                <c:pt idx="11">
                  <c:v>0.17660000000000001</c:v>
                </c:pt>
                <c:pt idx="12">
                  <c:v>0.1845</c:v>
                </c:pt>
                <c:pt idx="13">
                  <c:v>0.1832</c:v>
                </c:pt>
                <c:pt idx="14">
                  <c:v>0.17169999999999999</c:v>
                </c:pt>
                <c:pt idx="15">
                  <c:v>0.1628</c:v>
                </c:pt>
                <c:pt idx="16">
                  <c:v>0.15379999999999999</c:v>
                </c:pt>
                <c:pt idx="17">
                  <c:v>0.1431</c:v>
                </c:pt>
                <c:pt idx="18">
                  <c:v>0.15049999999999999</c:v>
                </c:pt>
                <c:pt idx="19">
                  <c:v>0.15090000000000001</c:v>
                </c:pt>
                <c:pt idx="20">
                  <c:v>0.155</c:v>
                </c:pt>
                <c:pt idx="21">
                  <c:v>0.15989999999999999</c:v>
                </c:pt>
                <c:pt idx="22">
                  <c:v>0.159</c:v>
                </c:pt>
                <c:pt idx="23">
                  <c:v>0.16839999999999999</c:v>
                </c:pt>
                <c:pt idx="24">
                  <c:v>0.17030000000000001</c:v>
                </c:pt>
                <c:pt idx="25">
                  <c:v>0.17449999999999999</c:v>
                </c:pt>
                <c:pt idx="26">
                  <c:v>0.17319999999999999</c:v>
                </c:pt>
                <c:pt idx="27">
                  <c:v>0.17030000000000001</c:v>
                </c:pt>
                <c:pt idx="28">
                  <c:v>0.1711</c:v>
                </c:pt>
                <c:pt idx="29">
                  <c:v>0.16800000000000001</c:v>
                </c:pt>
                <c:pt idx="30">
                  <c:v>0.1739</c:v>
                </c:pt>
                <c:pt idx="31">
                  <c:v>0.18790000000000001</c:v>
                </c:pt>
                <c:pt idx="32">
                  <c:v>0.1898</c:v>
                </c:pt>
                <c:pt idx="33">
                  <c:v>0.1908</c:v>
                </c:pt>
                <c:pt idx="34">
                  <c:v>0.1862</c:v>
                </c:pt>
                <c:pt idx="35">
                  <c:v>0.185</c:v>
                </c:pt>
                <c:pt idx="36">
                  <c:v>0.17299999999999999</c:v>
                </c:pt>
                <c:pt idx="37">
                  <c:v>0.17069999999999999</c:v>
                </c:pt>
                <c:pt idx="38">
                  <c:v>0.1671</c:v>
                </c:pt>
                <c:pt idx="39">
                  <c:v>0.1694</c:v>
                </c:pt>
                <c:pt idx="40">
                  <c:v>0.17230000000000001</c:v>
                </c:pt>
                <c:pt idx="41">
                  <c:v>0.16850000000000001</c:v>
                </c:pt>
                <c:pt idx="42">
                  <c:v>0.17319999999999999</c:v>
                </c:pt>
                <c:pt idx="43">
                  <c:v>0.18079999999999999</c:v>
                </c:pt>
                <c:pt idx="44">
                  <c:v>0.19089999999999999</c:v>
                </c:pt>
                <c:pt idx="45">
                  <c:v>0.1573</c:v>
                </c:pt>
                <c:pt idx="46">
                  <c:v>0.16969999999999999</c:v>
                </c:pt>
                <c:pt idx="47">
                  <c:v>0.16550000000000001</c:v>
                </c:pt>
                <c:pt idx="48">
                  <c:v>0.1641</c:v>
                </c:pt>
                <c:pt idx="49">
                  <c:v>0.1691</c:v>
                </c:pt>
                <c:pt idx="50">
                  <c:v>0.17899999999999999</c:v>
                </c:pt>
                <c:pt idx="51">
                  <c:v>0.1762</c:v>
                </c:pt>
                <c:pt idx="52">
                  <c:v>0.17760000000000001</c:v>
                </c:pt>
                <c:pt idx="53">
                  <c:v>0.17119999999999999</c:v>
                </c:pt>
                <c:pt idx="54">
                  <c:v>0.17810000000000001</c:v>
                </c:pt>
                <c:pt idx="55">
                  <c:v>0.19989999999999999</c:v>
                </c:pt>
                <c:pt idx="56">
                  <c:v>0.20949999999999999</c:v>
                </c:pt>
                <c:pt idx="57">
                  <c:v>0.20930000000000001</c:v>
                </c:pt>
                <c:pt idx="58">
                  <c:v>0.2147</c:v>
                </c:pt>
                <c:pt idx="59">
                  <c:v>0.215</c:v>
                </c:pt>
                <c:pt idx="60">
                  <c:v>0.20730000000000001</c:v>
                </c:pt>
                <c:pt idx="61">
                  <c:v>0.2049</c:v>
                </c:pt>
                <c:pt idx="62">
                  <c:v>0.2016</c:v>
                </c:pt>
                <c:pt idx="63">
                  <c:v>0.22090000000000001</c:v>
                </c:pt>
                <c:pt idx="64">
                  <c:v>0.22070000000000001</c:v>
                </c:pt>
                <c:pt idx="65">
                  <c:v>0.2266</c:v>
                </c:pt>
                <c:pt idx="66">
                  <c:v>0.2195</c:v>
                </c:pt>
                <c:pt idx="67">
                  <c:v>0.22550000000000001</c:v>
                </c:pt>
                <c:pt idx="68">
                  <c:v>0.23300000000000001</c:v>
                </c:pt>
                <c:pt idx="69">
                  <c:v>0.2329</c:v>
                </c:pt>
                <c:pt idx="70">
                  <c:v>0.2208</c:v>
                </c:pt>
                <c:pt idx="71">
                  <c:v>0.2374</c:v>
                </c:pt>
                <c:pt idx="72">
                  <c:v>0.23649999999999999</c:v>
                </c:pt>
                <c:pt idx="73">
                  <c:v>0.25659999999999999</c:v>
                </c:pt>
                <c:pt idx="74">
                  <c:v>0.26279999999999998</c:v>
                </c:pt>
                <c:pt idx="75">
                  <c:v>0.26129999999999998</c:v>
                </c:pt>
                <c:pt idx="76">
                  <c:v>0.25929999999999997</c:v>
                </c:pt>
                <c:pt idx="77">
                  <c:v>0.26050000000000001</c:v>
                </c:pt>
                <c:pt idx="78">
                  <c:v>0.25530000000000003</c:v>
                </c:pt>
                <c:pt idx="79">
                  <c:v>0.27360000000000001</c:v>
                </c:pt>
                <c:pt idx="80">
                  <c:v>0.28189999999999998</c:v>
                </c:pt>
                <c:pt idx="81">
                  <c:v>0.26640000000000003</c:v>
                </c:pt>
                <c:pt idx="82">
                  <c:v>0.26179999999999998</c:v>
                </c:pt>
                <c:pt idx="83">
                  <c:v>0.26090000000000002</c:v>
                </c:pt>
                <c:pt idx="84">
                  <c:v>0.26300000000000001</c:v>
                </c:pt>
                <c:pt idx="85">
                  <c:v>0.26889999999999997</c:v>
                </c:pt>
                <c:pt idx="86">
                  <c:v>0.27389999999999998</c:v>
                </c:pt>
                <c:pt idx="87">
                  <c:v>0.27160000000000001</c:v>
                </c:pt>
                <c:pt idx="88">
                  <c:v>0.28000000000000003</c:v>
                </c:pt>
                <c:pt idx="89">
                  <c:v>0.26900000000000002</c:v>
                </c:pt>
                <c:pt idx="90">
                  <c:v>0.28820000000000001</c:v>
                </c:pt>
                <c:pt idx="91">
                  <c:v>0.29970000000000002</c:v>
                </c:pt>
                <c:pt idx="92">
                  <c:v>0.2379</c:v>
                </c:pt>
                <c:pt idx="93">
                  <c:v>0.25590000000000002</c:v>
                </c:pt>
                <c:pt idx="94">
                  <c:v>0.2651</c:v>
                </c:pt>
                <c:pt idx="95">
                  <c:v>0.27560000000000001</c:v>
                </c:pt>
                <c:pt idx="96">
                  <c:v>0.25109999999999999</c:v>
                </c:pt>
                <c:pt idx="97">
                  <c:v>0.24460000000000001</c:v>
                </c:pt>
                <c:pt idx="98">
                  <c:v>0.2424</c:v>
                </c:pt>
                <c:pt idx="99">
                  <c:v>0.25480000000000003</c:v>
                </c:pt>
                <c:pt idx="100">
                  <c:v>0.24540000000000001</c:v>
                </c:pt>
                <c:pt idx="101">
                  <c:v>0.24740000000000001</c:v>
                </c:pt>
                <c:pt idx="102">
                  <c:v>0.23780000000000001</c:v>
                </c:pt>
                <c:pt idx="103">
                  <c:v>0.23719999999999999</c:v>
                </c:pt>
                <c:pt idx="104">
                  <c:v>0.23400000000000001</c:v>
                </c:pt>
                <c:pt idx="105">
                  <c:v>0.23250000000000001</c:v>
                </c:pt>
                <c:pt idx="106">
                  <c:v>0.2326</c:v>
                </c:pt>
                <c:pt idx="107">
                  <c:v>0.2261</c:v>
                </c:pt>
                <c:pt idx="108">
                  <c:v>0.23119999999999999</c:v>
                </c:pt>
                <c:pt idx="109">
                  <c:v>0.2288</c:v>
                </c:pt>
                <c:pt idx="110">
                  <c:v>0.2467</c:v>
                </c:pt>
                <c:pt idx="111">
                  <c:v>0.24410000000000001</c:v>
                </c:pt>
                <c:pt idx="112">
                  <c:v>0.24279999999999999</c:v>
                </c:pt>
                <c:pt idx="113">
                  <c:v>0.25409999999999999</c:v>
                </c:pt>
                <c:pt idx="114">
                  <c:v>0.25159999999999999</c:v>
                </c:pt>
                <c:pt idx="115">
                  <c:v>0.2447</c:v>
                </c:pt>
                <c:pt idx="116">
                  <c:v>0.2213</c:v>
                </c:pt>
                <c:pt idx="117">
                  <c:v>0.2185</c:v>
                </c:pt>
                <c:pt idx="118">
                  <c:v>0.22259999999999999</c:v>
                </c:pt>
                <c:pt idx="119">
                  <c:v>0.20419999999999999</c:v>
                </c:pt>
                <c:pt idx="120">
                  <c:v>0.19869999999999999</c:v>
                </c:pt>
                <c:pt idx="121">
                  <c:v>0.19650000000000001</c:v>
                </c:pt>
                <c:pt idx="122">
                  <c:v>0.19969999999999999</c:v>
                </c:pt>
                <c:pt idx="123">
                  <c:v>0.20499999999999999</c:v>
                </c:pt>
                <c:pt idx="124">
                  <c:v>0.20830000000000001</c:v>
                </c:pt>
                <c:pt idx="125">
                  <c:v>0.20910000000000001</c:v>
                </c:pt>
                <c:pt idx="126">
                  <c:v>0.22459999999999999</c:v>
                </c:pt>
                <c:pt idx="127">
                  <c:v>0.22450000000000001</c:v>
                </c:pt>
                <c:pt idx="128">
                  <c:v>0.2009</c:v>
                </c:pt>
                <c:pt idx="129">
                  <c:v>0.2167</c:v>
                </c:pt>
                <c:pt idx="130">
                  <c:v>0.2331</c:v>
                </c:pt>
                <c:pt idx="131">
                  <c:v>0.24129999999999999</c:v>
                </c:pt>
                <c:pt idx="132">
                  <c:v>0.24010000000000001</c:v>
                </c:pt>
                <c:pt idx="133">
                  <c:v>0.24179999999999999</c:v>
                </c:pt>
                <c:pt idx="134">
                  <c:v>0.24759999999999999</c:v>
                </c:pt>
                <c:pt idx="135">
                  <c:v>0.24060000000000001</c:v>
                </c:pt>
                <c:pt idx="136">
                  <c:v>0.23580000000000001</c:v>
                </c:pt>
                <c:pt idx="137">
                  <c:v>0.25019999999999998</c:v>
                </c:pt>
                <c:pt idx="138">
                  <c:v>0.24099999999999999</c:v>
                </c:pt>
                <c:pt idx="139">
                  <c:v>0.2397</c:v>
                </c:pt>
                <c:pt idx="140">
                  <c:v>0.2525</c:v>
                </c:pt>
                <c:pt idx="141">
                  <c:v>0.25669999999999998</c:v>
                </c:pt>
                <c:pt idx="142">
                  <c:v>0.25519999999999998</c:v>
                </c:pt>
                <c:pt idx="143">
                  <c:v>0.309</c:v>
                </c:pt>
                <c:pt idx="144">
                  <c:v>0.31430000000000002</c:v>
                </c:pt>
                <c:pt idx="145">
                  <c:v>0.29920000000000002</c:v>
                </c:pt>
                <c:pt idx="146">
                  <c:v>0.29609999999999997</c:v>
                </c:pt>
                <c:pt idx="147">
                  <c:v>0.29470000000000002</c:v>
                </c:pt>
                <c:pt idx="148">
                  <c:v>0.29430000000000001</c:v>
                </c:pt>
                <c:pt idx="149">
                  <c:v>0.27810000000000001</c:v>
                </c:pt>
                <c:pt idx="150">
                  <c:v>0.27200000000000002</c:v>
                </c:pt>
                <c:pt idx="151">
                  <c:v>0.28089999999999998</c:v>
                </c:pt>
                <c:pt idx="152">
                  <c:v>0.28599999999999998</c:v>
                </c:pt>
                <c:pt idx="153">
                  <c:v>0.2944</c:v>
                </c:pt>
                <c:pt idx="154">
                  <c:v>0.26840000000000003</c:v>
                </c:pt>
                <c:pt idx="155">
                  <c:v>0.29254999999999998</c:v>
                </c:pt>
                <c:pt idx="156">
                  <c:v>0.28864000000000001</c:v>
                </c:pt>
                <c:pt idx="157">
                  <c:v>0.31783</c:v>
                </c:pt>
                <c:pt idx="158">
                  <c:v>0.31908999999999998</c:v>
                </c:pt>
                <c:pt idx="159">
                  <c:v>0.31662000000000001</c:v>
                </c:pt>
                <c:pt idx="160">
                  <c:v>0.32733000000000001</c:v>
                </c:pt>
                <c:pt idx="161">
                  <c:v>0.31778000000000001</c:v>
                </c:pt>
                <c:pt idx="162">
                  <c:v>0.30320000000000003</c:v>
                </c:pt>
                <c:pt idx="163">
                  <c:v>0.29932999999999998</c:v>
                </c:pt>
                <c:pt idx="164">
                  <c:v>0.31956000000000001</c:v>
                </c:pt>
                <c:pt idx="165">
                  <c:v>0.33983999999999998</c:v>
                </c:pt>
                <c:pt idx="166">
                  <c:v>0.29402</c:v>
                </c:pt>
                <c:pt idx="167">
                  <c:v>0.28666999999999998</c:v>
                </c:pt>
                <c:pt idx="168">
                  <c:v>0.26401000000000002</c:v>
                </c:pt>
                <c:pt idx="169">
                  <c:v>0.26445000000000002</c:v>
                </c:pt>
                <c:pt idx="170">
                  <c:v>0.25731999999999999</c:v>
                </c:pt>
                <c:pt idx="171">
                  <c:v>0.25608999999999998</c:v>
                </c:pt>
                <c:pt idx="172">
                  <c:v>0.23996000000000001</c:v>
                </c:pt>
                <c:pt idx="173">
                  <c:v>0.26189000000000001</c:v>
                </c:pt>
                <c:pt idx="174">
                  <c:v>0.20482</c:v>
                </c:pt>
                <c:pt idx="175">
                  <c:v>0.20094999999999999</c:v>
                </c:pt>
                <c:pt idx="176">
                  <c:v>0.20152999999999999</c:v>
                </c:pt>
                <c:pt idx="177">
                  <c:v>0.19625999999999999</c:v>
                </c:pt>
                <c:pt idx="178">
                  <c:v>0.20327000000000001</c:v>
                </c:pt>
                <c:pt idx="179">
                  <c:v>0.20424</c:v>
                </c:pt>
                <c:pt idx="180">
                  <c:v>0.20765</c:v>
                </c:pt>
                <c:pt idx="181">
                  <c:v>0.20873</c:v>
                </c:pt>
                <c:pt idx="182">
                  <c:v>0.20502000000000001</c:v>
                </c:pt>
                <c:pt idx="183">
                  <c:v>0.20574000000000001</c:v>
                </c:pt>
                <c:pt idx="184">
                  <c:v>0.20585000000000001</c:v>
                </c:pt>
                <c:pt idx="185">
                  <c:v>0.20362</c:v>
                </c:pt>
                <c:pt idx="186">
                  <c:v>0.19792999999999999</c:v>
                </c:pt>
                <c:pt idx="187">
                  <c:v>0.19688</c:v>
                </c:pt>
                <c:pt idx="188">
                  <c:v>0.19489000000000001</c:v>
                </c:pt>
                <c:pt idx="189">
                  <c:v>0.19123000000000001</c:v>
                </c:pt>
                <c:pt idx="190">
                  <c:v>0.19045999999999999</c:v>
                </c:pt>
                <c:pt idx="191">
                  <c:v>0.17047000000000001</c:v>
                </c:pt>
                <c:pt idx="192">
                  <c:v>0.17362</c:v>
                </c:pt>
                <c:pt idx="193">
                  <c:v>0.18157000000000001</c:v>
                </c:pt>
                <c:pt idx="194">
                  <c:v>0.18734000000000001</c:v>
                </c:pt>
                <c:pt idx="195">
                  <c:v>0.17202000000000001</c:v>
                </c:pt>
                <c:pt idx="196">
                  <c:v>0.18534</c:v>
                </c:pt>
                <c:pt idx="197">
                  <c:v>0.19761000000000001</c:v>
                </c:pt>
                <c:pt idx="198">
                  <c:v>0.19997000000000001</c:v>
                </c:pt>
                <c:pt idx="199">
                  <c:v>0.20774999999999999</c:v>
                </c:pt>
                <c:pt idx="200">
                  <c:v>0.21597</c:v>
                </c:pt>
                <c:pt idx="201">
                  <c:v>0.21375</c:v>
                </c:pt>
                <c:pt idx="202">
                  <c:v>0.21962999999999999</c:v>
                </c:pt>
                <c:pt idx="203">
                  <c:v>0.2069</c:v>
                </c:pt>
                <c:pt idx="204">
                  <c:v>0.22386</c:v>
                </c:pt>
                <c:pt idx="205">
                  <c:v>0.23416999999999999</c:v>
                </c:pt>
                <c:pt idx="206">
                  <c:v>0.2311</c:v>
                </c:pt>
                <c:pt idx="207">
                  <c:v>0.24643000000000001</c:v>
                </c:pt>
                <c:pt idx="208">
                  <c:v>0.24636</c:v>
                </c:pt>
                <c:pt idx="209">
                  <c:v>0.24504999999999999</c:v>
                </c:pt>
                <c:pt idx="210">
                  <c:v>0.24381</c:v>
                </c:pt>
                <c:pt idx="211">
                  <c:v>0.25391000000000002</c:v>
                </c:pt>
                <c:pt idx="212">
                  <c:v>0.26349</c:v>
                </c:pt>
                <c:pt idx="213">
                  <c:v>0.25707000000000002</c:v>
                </c:pt>
                <c:pt idx="214">
                  <c:v>0.26450000000000001</c:v>
                </c:pt>
                <c:pt idx="215">
                  <c:v>0.24582999999999999</c:v>
                </c:pt>
                <c:pt idx="216">
                  <c:v>0.23744999999999999</c:v>
                </c:pt>
                <c:pt idx="217">
                  <c:v>0.26377</c:v>
                </c:pt>
                <c:pt idx="218">
                  <c:v>0.23468</c:v>
                </c:pt>
                <c:pt idx="219">
                  <c:v>0.19072</c:v>
                </c:pt>
                <c:pt idx="220">
                  <c:v>0.17873</c:v>
                </c:pt>
                <c:pt idx="221">
                  <c:v>0.28054000000000001</c:v>
                </c:pt>
                <c:pt idx="222">
                  <c:v>0.28566999999999998</c:v>
                </c:pt>
                <c:pt idx="223">
                  <c:v>0.29327999999999999</c:v>
                </c:pt>
                <c:pt idx="224">
                  <c:v>0.30619000000000002</c:v>
                </c:pt>
                <c:pt idx="225">
                  <c:v>0.30775000000000002</c:v>
                </c:pt>
                <c:pt idx="226">
                  <c:v>0.32028000000000001</c:v>
                </c:pt>
                <c:pt idx="227">
                  <c:v>0.32767000000000002</c:v>
                </c:pt>
                <c:pt idx="228">
                  <c:v>0.32394000000000001</c:v>
                </c:pt>
                <c:pt idx="229">
                  <c:v>0.31215999999999999</c:v>
                </c:pt>
                <c:pt idx="230">
                  <c:v>0.31869999999999998</c:v>
                </c:pt>
                <c:pt idx="231">
                  <c:v>0.32606000000000002</c:v>
                </c:pt>
                <c:pt idx="232">
                  <c:v>0.34317999999999999</c:v>
                </c:pt>
                <c:pt idx="233">
                  <c:v>0.32585999999999998</c:v>
                </c:pt>
                <c:pt idx="234">
                  <c:v>0.33145999999999998</c:v>
                </c:pt>
                <c:pt idx="235">
                  <c:v>0.37142999999999998</c:v>
                </c:pt>
                <c:pt idx="236">
                  <c:v>0.37130000000000002</c:v>
                </c:pt>
                <c:pt idx="237">
                  <c:v>0.37628</c:v>
                </c:pt>
                <c:pt idx="238">
                  <c:v>0.40078000000000003</c:v>
                </c:pt>
                <c:pt idx="239">
                  <c:v>0.42337999999999998</c:v>
                </c:pt>
                <c:pt idx="240">
                  <c:v>0.37006</c:v>
                </c:pt>
                <c:pt idx="241">
                  <c:v>0.32557000000000003</c:v>
                </c:pt>
                <c:pt idx="242">
                  <c:v>0.30179</c:v>
                </c:pt>
                <c:pt idx="243">
                  <c:v>0.30280000000000001</c:v>
                </c:pt>
                <c:pt idx="244">
                  <c:v>0.31123000000000001</c:v>
                </c:pt>
                <c:pt idx="245">
                  <c:v>0.33402999999999999</c:v>
                </c:pt>
                <c:pt idx="246">
                  <c:v>0.35283999999999999</c:v>
                </c:pt>
                <c:pt idx="247">
                  <c:v>0.34598000000000001</c:v>
                </c:pt>
                <c:pt idx="248">
                  <c:v>0.36588999999999999</c:v>
                </c:pt>
                <c:pt idx="249">
                  <c:v>0.30632999999999999</c:v>
                </c:pt>
                <c:pt idx="250">
                  <c:v>0.34199000000000002</c:v>
                </c:pt>
                <c:pt idx="251">
                  <c:v>0.35777999999999999</c:v>
                </c:pt>
                <c:pt idx="252">
                  <c:v>0.39757999999999999</c:v>
                </c:pt>
                <c:pt idx="253">
                  <c:v>0.32945000000000002</c:v>
                </c:pt>
                <c:pt idx="254">
                  <c:v>0.47574</c:v>
                </c:pt>
                <c:pt idx="255">
                  <c:v>0.48749999999999999</c:v>
                </c:pt>
                <c:pt idx="256">
                  <c:v>0.51370000000000005</c:v>
                </c:pt>
                <c:pt idx="257">
                  <c:v>0.50854999999999995</c:v>
                </c:pt>
                <c:pt idx="258">
                  <c:v>0.55971000000000004</c:v>
                </c:pt>
                <c:pt idx="259">
                  <c:v>0.48945</c:v>
                </c:pt>
                <c:pt idx="260">
                  <c:v>0.3916</c:v>
                </c:pt>
                <c:pt idx="261">
                  <c:v>0.49325999999999998</c:v>
                </c:pt>
                <c:pt idx="262">
                  <c:v>0.45073999999999997</c:v>
                </c:pt>
                <c:pt idx="263">
                  <c:v>0.57062999999999997</c:v>
                </c:pt>
                <c:pt idx="264">
                  <c:v>0.63707999999999998</c:v>
                </c:pt>
                <c:pt idx="265">
                  <c:v>0.68981999999999999</c:v>
                </c:pt>
                <c:pt idx="266">
                  <c:v>0.58106000000000002</c:v>
                </c:pt>
                <c:pt idx="267">
                  <c:v>0.65400000000000003</c:v>
                </c:pt>
                <c:pt idx="268">
                  <c:v>0.53854000000000002</c:v>
                </c:pt>
                <c:pt idx="269">
                  <c:v>0.44141999999999998</c:v>
                </c:pt>
                <c:pt idx="270">
                  <c:v>0.37397000000000002</c:v>
                </c:pt>
                <c:pt idx="271">
                  <c:v>0.39087</c:v>
                </c:pt>
                <c:pt idx="272">
                  <c:v>0.33745999999999998</c:v>
                </c:pt>
                <c:pt idx="273">
                  <c:v>0.30479000000000001</c:v>
                </c:pt>
                <c:pt idx="274">
                  <c:v>0.32311000000000001</c:v>
                </c:pt>
                <c:pt idx="275">
                  <c:v>0.27232000000000001</c:v>
                </c:pt>
                <c:pt idx="276">
                  <c:v>0.27161000000000002</c:v>
                </c:pt>
                <c:pt idx="277">
                  <c:v>0.25158999999999998</c:v>
                </c:pt>
                <c:pt idx="278">
                  <c:v>0.27</c:v>
                </c:pt>
                <c:pt idx="279">
                  <c:v>0.2498155</c:v>
                </c:pt>
                <c:pt idx="280">
                  <c:v>0.26066149999999999</c:v>
                </c:pt>
                <c:pt idx="281">
                  <c:v>0.30582510000000002</c:v>
                </c:pt>
                <c:pt idx="282">
                  <c:v>0.31732050000000001</c:v>
                </c:pt>
                <c:pt idx="283">
                  <c:v>0.40890300000000002</c:v>
                </c:pt>
                <c:pt idx="284">
                  <c:v>0.3223299</c:v>
                </c:pt>
                <c:pt idx="285">
                  <c:v>0.28225319999999998</c:v>
                </c:pt>
                <c:pt idx="286">
                  <c:v>0.36544339999999997</c:v>
                </c:pt>
                <c:pt idx="287">
                  <c:v>0.18235989999999999</c:v>
                </c:pt>
                <c:pt idx="288">
                  <c:v>0.1214329</c:v>
                </c:pt>
                <c:pt idx="289">
                  <c:v>9.4402E-2</c:v>
                </c:pt>
                <c:pt idx="290">
                  <c:v>7.07343E-2</c:v>
                </c:pt>
                <c:pt idx="291">
                  <c:v>7.4329999999999993E-2</c:v>
                </c:pt>
                <c:pt idx="292">
                  <c:v>6.3716700000000001E-2</c:v>
                </c:pt>
                <c:pt idx="293">
                  <c:v>6.1587799999999998E-2</c:v>
                </c:pt>
                <c:pt idx="294">
                  <c:v>6.17838E-2</c:v>
                </c:pt>
                <c:pt idx="295">
                  <c:v>5.87769E-2</c:v>
                </c:pt>
                <c:pt idx="296">
                  <c:v>6.4404699999999995E-2</c:v>
                </c:pt>
                <c:pt idx="297">
                  <c:v>5.9999200000000003E-2</c:v>
                </c:pt>
                <c:pt idx="298">
                  <c:v>5.7394300000000002E-2</c:v>
                </c:pt>
                <c:pt idx="299">
                  <c:v>5.55113E-2</c:v>
                </c:pt>
                <c:pt idx="300">
                  <c:v>5.7584900000000001E-2</c:v>
                </c:pt>
                <c:pt idx="301">
                  <c:v>6.2150999999999998E-2</c:v>
                </c:pt>
                <c:pt idx="302">
                  <c:v>5.3769900000000002E-2</c:v>
                </c:pt>
                <c:pt idx="303">
                  <c:v>5.4000300000000001E-2</c:v>
                </c:pt>
                <c:pt idx="304">
                  <c:v>5.4123999999999999E-2</c:v>
                </c:pt>
                <c:pt idx="305">
                  <c:v>5.3665600000000001E-2</c:v>
                </c:pt>
                <c:pt idx="306">
                  <c:v>5.4435999999999998E-2</c:v>
                </c:pt>
                <c:pt idx="307">
                  <c:v>5.3931E-2</c:v>
                </c:pt>
                <c:pt idx="308">
                  <c:v>5.1265999999999999E-2</c:v>
                </c:pt>
                <c:pt idx="309">
                  <c:v>5.14996E-2</c:v>
                </c:pt>
                <c:pt idx="310">
                  <c:v>5.3353200000000003E-2</c:v>
                </c:pt>
                <c:pt idx="311">
                  <c:v>5.4887999999999999E-2</c:v>
                </c:pt>
                <c:pt idx="312">
                  <c:v>5.7478099999999997E-2</c:v>
                </c:pt>
                <c:pt idx="313">
                  <c:v>5.8818599999999999E-2</c:v>
                </c:pt>
                <c:pt idx="314">
                  <c:v>5.8247199999999999E-2</c:v>
                </c:pt>
                <c:pt idx="315">
                  <c:v>5.7348499999999997E-2</c:v>
                </c:pt>
                <c:pt idx="316">
                  <c:v>5.7891999999999999E-2</c:v>
                </c:pt>
                <c:pt idx="317">
                  <c:v>5.86507E-2</c:v>
                </c:pt>
                <c:pt idx="318">
                  <c:v>5.6969100000000002E-2</c:v>
                </c:pt>
                <c:pt idx="319">
                  <c:v>5.8221000000000002E-2</c:v>
                </c:pt>
                <c:pt idx="320">
                  <c:v>6.2789200000000003E-2</c:v>
                </c:pt>
                <c:pt idx="321">
                  <c:v>5.5273099999999999E-2</c:v>
                </c:pt>
                <c:pt idx="322">
                  <c:v>5.5928600000000002E-2</c:v>
                </c:pt>
                <c:pt idx="323">
                  <c:v>5.5869200000000001E-2</c:v>
                </c:pt>
                <c:pt idx="324">
                  <c:v>5.7911700000000003E-2</c:v>
                </c:pt>
                <c:pt idx="325">
                  <c:v>6.2973799999999996E-2</c:v>
                </c:pt>
                <c:pt idx="326">
                  <c:v>5.1987100000000001E-2</c:v>
                </c:pt>
                <c:pt idx="327">
                  <c:v>5.0958799999999999E-2</c:v>
                </c:pt>
                <c:pt idx="328">
                  <c:v>4.9528500000000003E-2</c:v>
                </c:pt>
                <c:pt idx="329">
                  <c:v>4.9986500000000003E-2</c:v>
                </c:pt>
                <c:pt idx="330">
                  <c:v>5.0414599999999997E-2</c:v>
                </c:pt>
                <c:pt idx="331">
                  <c:v>5.0363999999999999E-2</c:v>
                </c:pt>
                <c:pt idx="332">
                  <c:v>5.0593300000000001E-2</c:v>
                </c:pt>
                <c:pt idx="333">
                  <c:v>4.8158199999999998E-2</c:v>
                </c:pt>
                <c:pt idx="334">
                  <c:v>5.0072499999999999E-2</c:v>
                </c:pt>
                <c:pt idx="335">
                  <c:v>5.0476800000000002E-2</c:v>
                </c:pt>
                <c:pt idx="336">
                  <c:v>4.9913800000000001E-2</c:v>
                </c:pt>
                <c:pt idx="337">
                  <c:v>5.6791099999999997E-2</c:v>
                </c:pt>
                <c:pt idx="338">
                  <c:v>4.7656200000000003E-2</c:v>
                </c:pt>
                <c:pt idx="339">
                  <c:v>5.3555699999999998E-2</c:v>
                </c:pt>
                <c:pt idx="340">
                  <c:v>5.60183E-2</c:v>
                </c:pt>
                <c:pt idx="341">
                  <c:v>5.4170799999999998E-2</c:v>
                </c:pt>
                <c:pt idx="342">
                  <c:v>5.5032999999999999E-2</c:v>
                </c:pt>
                <c:pt idx="343">
                  <c:v>5.87991E-2</c:v>
                </c:pt>
                <c:pt idx="344">
                  <c:v>4.9518699999999999E-2</c:v>
                </c:pt>
                <c:pt idx="345">
                  <c:v>5.3476000000000003E-2</c:v>
                </c:pt>
                <c:pt idx="346">
                  <c:v>5.6500000000000002E-2</c:v>
                </c:pt>
                <c:pt idx="347">
                  <c:v>6.2678300000000006E-2</c:v>
                </c:pt>
                <c:pt idx="348">
                  <c:v>6.6240499999999994E-2</c:v>
                </c:pt>
                <c:pt idx="349">
                  <c:v>6.9767499999999996E-2</c:v>
                </c:pt>
                <c:pt idx="350">
                  <c:v>6.9583000000000006E-2</c:v>
                </c:pt>
                <c:pt idx="351">
                  <c:v>7.2552699999999998E-2</c:v>
                </c:pt>
                <c:pt idx="352">
                  <c:v>7.0012099999999994E-2</c:v>
                </c:pt>
                <c:pt idx="353">
                  <c:v>7.8700000000000006E-2</c:v>
                </c:pt>
                <c:pt idx="354">
                  <c:v>7.79247E-2</c:v>
                </c:pt>
                <c:pt idx="355">
                  <c:v>5.7655900000000003E-2</c:v>
                </c:pt>
                <c:pt idx="356">
                  <c:v>4.6719299999999998E-2</c:v>
                </c:pt>
                <c:pt idx="357">
                  <c:v>5.29081E-2</c:v>
                </c:pt>
                <c:pt idx="358">
                  <c:v>3.72597E-2</c:v>
                </c:pt>
                <c:pt idx="359">
                  <c:v>3.1348899999999999E-2</c:v>
                </c:pt>
                <c:pt idx="360">
                  <c:v>3.4817300000000002E-2</c:v>
                </c:pt>
                <c:pt idx="361">
                  <c:v>3.6999999999999998E-2</c:v>
                </c:pt>
                <c:pt idx="362">
                  <c:v>2.826E-2</c:v>
                </c:pt>
                <c:pt idx="363">
                  <c:v>4.5905899999999999E-2</c:v>
                </c:pt>
                <c:pt idx="364">
                  <c:v>3.6499499999999997E-2</c:v>
                </c:pt>
                <c:pt idx="365">
                  <c:v>7.4124000000000004E-3</c:v>
                </c:pt>
                <c:pt idx="366">
                  <c:v>8.2471999999999997E-3</c:v>
                </c:pt>
                <c:pt idx="367">
                  <c:v>8.3508999999999996E-3</c:v>
                </c:pt>
                <c:pt idx="368">
                  <c:v>8.7135000000000008E-3</c:v>
                </c:pt>
                <c:pt idx="369">
                  <c:v>8.5778999999999994E-3</c:v>
                </c:pt>
                <c:pt idx="370">
                  <c:v>8.5074999999999994E-3</c:v>
                </c:pt>
                <c:pt idx="371">
                  <c:v>8.1580999999999997E-3</c:v>
                </c:pt>
                <c:pt idx="372">
                  <c:v>9.0486999999999998E-3</c:v>
                </c:pt>
                <c:pt idx="373">
                  <c:v>9.0428000000000001E-3</c:v>
                </c:pt>
                <c:pt idx="374">
                  <c:v>9.1781999999999992E-3</c:v>
                </c:pt>
                <c:pt idx="375">
                  <c:v>9.0986999999999995E-3</c:v>
                </c:pt>
                <c:pt idx="376">
                  <c:v>9.2373999999999998E-3</c:v>
                </c:pt>
                <c:pt idx="377">
                  <c:v>9.3524999999999997E-3</c:v>
                </c:pt>
                <c:pt idx="378">
                  <c:v>9.3907000000000001E-3</c:v>
                </c:pt>
                <c:pt idx="379">
                  <c:v>8.6738000000000006E-3</c:v>
                </c:pt>
                <c:pt idx="380">
                  <c:v>8.0806999999999997E-3</c:v>
                </c:pt>
                <c:pt idx="381">
                  <c:v>8.8325999999999995E-3</c:v>
                </c:pt>
                <c:pt idx="382">
                  <c:v>9.8200000000000006E-3</c:v>
                </c:pt>
                <c:pt idx="383">
                  <c:v>1.0178899999999999E-2</c:v>
                </c:pt>
                <c:pt idx="384">
                  <c:v>9.7400000000000004E-3</c:v>
                </c:pt>
                <c:pt idx="385">
                  <c:v>9.7438999999999998E-3</c:v>
                </c:pt>
                <c:pt idx="386">
                  <c:v>1.042E-2</c:v>
                </c:pt>
                <c:pt idx="387">
                  <c:v>9.9699999999999997E-3</c:v>
                </c:pt>
                <c:pt idx="388">
                  <c:v>9.7613000000000005E-3</c:v>
                </c:pt>
                <c:pt idx="389">
                  <c:v>9.8209000000000005E-3</c:v>
                </c:pt>
                <c:pt idx="390">
                  <c:v>1.05264E-2</c:v>
                </c:pt>
                <c:pt idx="391">
                  <c:v>5.6800000000000002E-3</c:v>
                </c:pt>
                <c:pt idx="392">
                  <c:v>4.6709000000000004E-3</c:v>
                </c:pt>
                <c:pt idx="393">
                  <c:v>4.6251E-3</c:v>
                </c:pt>
                <c:pt idx="394">
                  <c:v>4.5012000000000003E-3</c:v>
                </c:pt>
                <c:pt idx="395">
                  <c:v>4.6014999999999997E-3</c:v>
                </c:pt>
                <c:pt idx="396">
                  <c:v>4.5469999999999998E-3</c:v>
                </c:pt>
                <c:pt idx="397">
                  <c:v>4.5130999999999999E-3</c:v>
                </c:pt>
                <c:pt idx="398">
                  <c:v>4.5548999999999997E-3</c:v>
                </c:pt>
                <c:pt idx="399">
                  <c:v>4.5731000000000001E-3</c:v>
                </c:pt>
                <c:pt idx="400">
                  <c:v>3.7448999999999998E-3</c:v>
                </c:pt>
                <c:pt idx="401">
                  <c:v>4.5158999999999998E-3</c:v>
                </c:pt>
                <c:pt idx="402">
                  <c:v>4.7784000000000004E-3</c:v>
                </c:pt>
                <c:pt idx="403">
                  <c:v>4.6381E-3</c:v>
                </c:pt>
                <c:pt idx="404">
                  <c:v>3.9290999999999996E-3</c:v>
                </c:pt>
                <c:pt idx="405">
                  <c:v>3.8674999999999998E-3</c:v>
                </c:pt>
                <c:pt idx="406">
                  <c:v>3.722E-3</c:v>
                </c:pt>
                <c:pt idx="407">
                  <c:v>3.4183E-3</c:v>
                </c:pt>
                <c:pt idx="408">
                  <c:v>3.2077999999999998E-3</c:v>
                </c:pt>
                <c:pt idx="409">
                  <c:v>3.2260000000000001E-3</c:v>
                </c:pt>
                <c:pt idx="410">
                  <c:v>3.2599999999999999E-3</c:v>
                </c:pt>
                <c:pt idx="411">
                  <c:v>3.1608999999999999E-3</c:v>
                </c:pt>
                <c:pt idx="412">
                  <c:v>3.0731999999999999E-3</c:v>
                </c:pt>
                <c:pt idx="413">
                  <c:v>3.1042999999999999E-3</c:v>
                </c:pt>
                <c:pt idx="414">
                  <c:v>3.1562000000000001E-3</c:v>
                </c:pt>
                <c:pt idx="415">
                  <c:v>3.1722999999999999E-3</c:v>
                </c:pt>
                <c:pt idx="416">
                  <c:v>3.336E-3</c:v>
                </c:pt>
                <c:pt idx="417">
                  <c:v>3.3857000000000002E-3</c:v>
                </c:pt>
                <c:pt idx="418">
                  <c:v>3.3917000000000001E-3</c:v>
                </c:pt>
                <c:pt idx="419">
                  <c:v>3.2829999999999999E-3</c:v>
                </c:pt>
                <c:pt idx="420">
                  <c:v>3.4290000000000002E-3</c:v>
                </c:pt>
                <c:pt idx="421">
                  <c:v>3.3624000000000002E-3</c:v>
                </c:pt>
                <c:pt idx="422">
                  <c:v>3.3211E-3</c:v>
                </c:pt>
                <c:pt idx="423">
                  <c:v>3.5609999999999999E-3</c:v>
                </c:pt>
                <c:pt idx="424">
                  <c:v>3.4364999999999999E-3</c:v>
                </c:pt>
                <c:pt idx="425">
                  <c:v>3.3944999999999999E-3</c:v>
                </c:pt>
                <c:pt idx="426">
                  <c:v>3.2751999999999998E-3</c:v>
                </c:pt>
                <c:pt idx="427">
                  <c:v>3.2491999999999998E-3</c:v>
                </c:pt>
                <c:pt idx="428">
                  <c:v>3.7081000000000002E-3</c:v>
                </c:pt>
                <c:pt idx="429">
                  <c:v>4.2592000000000003E-3</c:v>
                </c:pt>
                <c:pt idx="430">
                  <c:v>3.6844999999999998E-3</c:v>
                </c:pt>
                <c:pt idx="431">
                  <c:v>3.3414999999999999E-3</c:v>
                </c:pt>
                <c:pt idx="432">
                  <c:v>3.5132000000000002E-3</c:v>
                </c:pt>
                <c:pt idx="433">
                  <c:v>2.9870000000000001E-3</c:v>
                </c:pt>
                <c:pt idx="434">
                  <c:v>2.9068000000000002E-3</c:v>
                </c:pt>
                <c:pt idx="435">
                  <c:v>2.9085000000000001E-3</c:v>
                </c:pt>
                <c:pt idx="436">
                  <c:v>2.9397999999999998E-3</c:v>
                </c:pt>
                <c:pt idx="437">
                  <c:v>2.8900000000000002E-3</c:v>
                </c:pt>
                <c:pt idx="438">
                  <c:v>2.7718E-3</c:v>
                </c:pt>
                <c:pt idx="439">
                  <c:v>2.7688999999999999E-3</c:v>
                </c:pt>
                <c:pt idx="440">
                  <c:v>2.8113999999999999E-3</c:v>
                </c:pt>
                <c:pt idx="441">
                  <c:v>2.7788000000000001E-3</c:v>
                </c:pt>
                <c:pt idx="442">
                  <c:v>2.758E-3</c:v>
                </c:pt>
                <c:pt idx="443">
                  <c:v>2.761E-3</c:v>
                </c:pt>
                <c:pt idx="444">
                  <c:v>2.6719999999999999E-3</c:v>
                </c:pt>
                <c:pt idx="445">
                  <c:v>2.7070000000000002E-3</c:v>
                </c:pt>
                <c:pt idx="446">
                  <c:v>2.6700000000000001E-3</c:v>
                </c:pt>
                <c:pt idx="447">
                  <c:v>2.7569999999999999E-3</c:v>
                </c:pt>
                <c:pt idx="448">
                  <c:v>2.6346999999999998E-3</c:v>
                </c:pt>
                <c:pt idx="449">
                  <c:v>2.5460000000000001E-3</c:v>
                </c:pt>
                <c:pt idx="450">
                  <c:v>2.5141E-3</c:v>
                </c:pt>
                <c:pt idx="451">
                  <c:v>2.5162000000000001E-3</c:v>
                </c:pt>
                <c:pt idx="452">
                  <c:v>2.5745E-3</c:v>
                </c:pt>
                <c:pt idx="453">
                  <c:v>2.5666E-3</c:v>
                </c:pt>
                <c:pt idx="454">
                  <c:v>2.5833000000000002E-3</c:v>
                </c:pt>
                <c:pt idx="455">
                  <c:v>2.5733000000000002E-3</c:v>
                </c:pt>
                <c:pt idx="456">
                  <c:v>2.5801000000000001E-3</c:v>
                </c:pt>
                <c:pt idx="457">
                  <c:v>2.6702000000000002E-3</c:v>
                </c:pt>
                <c:pt idx="458">
                  <c:v>2.6649999999999998E-3</c:v>
                </c:pt>
                <c:pt idx="459">
                  <c:v>2.6527999999999999E-3</c:v>
                </c:pt>
                <c:pt idx="460">
                  <c:v>2.6365E-3</c:v>
                </c:pt>
                <c:pt idx="461">
                  <c:v>2.6423000000000002E-3</c:v>
                </c:pt>
                <c:pt idx="462">
                  <c:v>2.6459999999999999E-3</c:v>
                </c:pt>
                <c:pt idx="463">
                  <c:v>2.6229999999999999E-3</c:v>
                </c:pt>
                <c:pt idx="464">
                  <c:v>2.5944000000000002E-3</c:v>
                </c:pt>
                <c:pt idx="465">
                  <c:v>2.5921E-3</c:v>
                </c:pt>
                <c:pt idx="466">
                  <c:v>2.5874000000000001E-3</c:v>
                </c:pt>
                <c:pt idx="467">
                  <c:v>2.5834E-3</c:v>
                </c:pt>
                <c:pt idx="468">
                  <c:v>2.604E-3</c:v>
                </c:pt>
                <c:pt idx="469">
                  <c:v>2.5953E-3</c:v>
                </c:pt>
                <c:pt idx="470">
                  <c:v>2.6389999999999999E-3</c:v>
                </c:pt>
                <c:pt idx="471">
                  <c:v>2.6384999999999998E-3</c:v>
                </c:pt>
                <c:pt idx="472">
                  <c:v>2.6670000000000001E-3</c:v>
                </c:pt>
                <c:pt idx="473">
                  <c:v>2.6700999999999999E-3</c:v>
                </c:pt>
                <c:pt idx="474">
                  <c:v>2.6621000000000001E-3</c:v>
                </c:pt>
                <c:pt idx="475">
                  <c:v>2.6556000000000001E-3</c:v>
                </c:pt>
                <c:pt idx="476">
                  <c:v>2.6097999999999998E-3</c:v>
                </c:pt>
                <c:pt idx="477">
                  <c:v>2.5894999999999998E-3</c:v>
                </c:pt>
                <c:pt idx="478">
                  <c:v>2.5969999999999999E-3</c:v>
                </c:pt>
                <c:pt idx="479">
                  <c:v>2.6182000000000002E-3</c:v>
                </c:pt>
                <c:pt idx="480">
                  <c:v>2.6329999999999999E-3</c:v>
                </c:pt>
                <c:pt idx="481">
                  <c:v>2.5955000000000002E-3</c:v>
                </c:pt>
                <c:pt idx="482">
                  <c:v>2.5902E-3</c:v>
                </c:pt>
                <c:pt idx="483">
                  <c:v>2.6245999999999999E-3</c:v>
                </c:pt>
                <c:pt idx="484">
                  <c:v>2.6350000000000002E-3</c:v>
                </c:pt>
                <c:pt idx="485">
                  <c:v>2.6727000000000001E-3</c:v>
                </c:pt>
                <c:pt idx="486">
                  <c:v>2.6503999999999998E-3</c:v>
                </c:pt>
                <c:pt idx="487">
                  <c:v>2.6954000000000001E-3</c:v>
                </c:pt>
                <c:pt idx="488">
                  <c:v>2.6971999999999999E-3</c:v>
                </c:pt>
                <c:pt idx="489">
                  <c:v>2.7014999999999999E-3</c:v>
                </c:pt>
                <c:pt idx="490">
                  <c:v>2.6297E-3</c:v>
                </c:pt>
                <c:pt idx="491">
                  <c:v>2.5444E-3</c:v>
                </c:pt>
                <c:pt idx="492">
                  <c:v>2.6432000000000001E-3</c:v>
                </c:pt>
                <c:pt idx="493">
                  <c:v>2.5972E-3</c:v>
                </c:pt>
                <c:pt idx="494">
                  <c:v>2.7729E-3</c:v>
                </c:pt>
                <c:pt idx="495">
                  <c:v>2.7900999999999998E-3</c:v>
                </c:pt>
                <c:pt idx="496">
                  <c:v>2.7891999999999999E-3</c:v>
                </c:pt>
                <c:pt idx="497">
                  <c:v>2.8078000000000001E-3</c:v>
                </c:pt>
                <c:pt idx="498">
                  <c:v>2.8053000000000002E-3</c:v>
                </c:pt>
                <c:pt idx="499">
                  <c:v>2.8278000000000001E-3</c:v>
                </c:pt>
                <c:pt idx="500">
                  <c:v>2.7851E-3</c:v>
                </c:pt>
                <c:pt idx="501">
                  <c:v>2.7829999999999999E-3</c:v>
                </c:pt>
                <c:pt idx="502">
                  <c:v>2.8140999999999999E-3</c:v>
                </c:pt>
                <c:pt idx="503">
                  <c:v>2.7956000000000001E-3</c:v>
                </c:pt>
                <c:pt idx="504">
                  <c:v>2.8077000000000002E-3</c:v>
                </c:pt>
                <c:pt idx="505">
                  <c:v>2.7789999999999998E-3</c:v>
                </c:pt>
                <c:pt idx="506">
                  <c:v>2.7469999999999999E-3</c:v>
                </c:pt>
                <c:pt idx="507">
                  <c:v>2.8151000000000001E-3</c:v>
                </c:pt>
                <c:pt idx="508">
                  <c:v>2.7859E-3</c:v>
                </c:pt>
                <c:pt idx="509">
                  <c:v>2.764E-3</c:v>
                </c:pt>
                <c:pt idx="510">
                  <c:v>2.8796999999999998E-3</c:v>
                </c:pt>
                <c:pt idx="511">
                  <c:v>2.7691999999999999E-3</c:v>
                </c:pt>
                <c:pt idx="512">
                  <c:v>3.1161000000000001E-3</c:v>
                </c:pt>
                <c:pt idx="513">
                  <c:v>3.2410999999999998E-3</c:v>
                </c:pt>
                <c:pt idx="514">
                  <c:v>3.2073000000000002E-3</c:v>
                </c:pt>
                <c:pt idx="515">
                  <c:v>3.2981E-3</c:v>
                </c:pt>
                <c:pt idx="516">
                  <c:v>3.2748999999999999E-3</c:v>
                </c:pt>
                <c:pt idx="517">
                  <c:v>3.2637E-3</c:v>
                </c:pt>
                <c:pt idx="518">
                  <c:v>3.1997000000000002E-3</c:v>
                </c:pt>
                <c:pt idx="519">
                  <c:v>3.2939000000000002E-3</c:v>
                </c:pt>
                <c:pt idx="520">
                  <c:v>3.2907000000000001E-3</c:v>
                </c:pt>
                <c:pt idx="521">
                  <c:v>3.4115999999999999E-3</c:v>
                </c:pt>
                <c:pt idx="522">
                  <c:v>3.3955000000000001E-3</c:v>
                </c:pt>
                <c:pt idx="523">
                  <c:v>3.4331000000000001E-3</c:v>
                </c:pt>
                <c:pt idx="524">
                  <c:v>3.3776000000000001E-3</c:v>
                </c:pt>
                <c:pt idx="525">
                  <c:v>3.4399000000000001E-3</c:v>
                </c:pt>
                <c:pt idx="526">
                  <c:v>3.4196000000000001E-3</c:v>
                </c:pt>
                <c:pt idx="527">
                  <c:v>3.4759999999999999E-3</c:v>
                </c:pt>
                <c:pt idx="528">
                  <c:v>3.5877000000000001E-3</c:v>
                </c:pt>
                <c:pt idx="529">
                  <c:v>3.5301999999999998E-3</c:v>
                </c:pt>
                <c:pt idx="530">
                  <c:v>3.5328E-3</c:v>
                </c:pt>
                <c:pt idx="531">
                  <c:v>3.5731000000000001E-3</c:v>
                </c:pt>
                <c:pt idx="532">
                  <c:v>3.4876999999999998E-3</c:v>
                </c:pt>
                <c:pt idx="533">
                  <c:v>3.4605999999999999E-3</c:v>
                </c:pt>
                <c:pt idx="534">
                  <c:v>3.3906000000000001E-3</c:v>
                </c:pt>
                <c:pt idx="535">
                  <c:v>3.4952E-3</c:v>
                </c:pt>
                <c:pt idx="536">
                  <c:v>3.4664000000000001E-3</c:v>
                </c:pt>
                <c:pt idx="537">
                  <c:v>3.5133999999999999E-3</c:v>
                </c:pt>
                <c:pt idx="538">
                  <c:v>3.496E-3</c:v>
                </c:pt>
                <c:pt idx="539">
                  <c:v>3.5599999999999998E-3</c:v>
                </c:pt>
                <c:pt idx="540">
                  <c:v>3.5027999999999999E-3</c:v>
                </c:pt>
                <c:pt idx="541">
                  <c:v>3.5458E-3</c:v>
                </c:pt>
                <c:pt idx="542">
                  <c:v>3.3817999999999999E-3</c:v>
                </c:pt>
                <c:pt idx="543">
                  <c:v>3.3311999999999999E-3</c:v>
                </c:pt>
                <c:pt idx="544">
                  <c:v>3.7144000000000001E-3</c:v>
                </c:pt>
                <c:pt idx="545">
                  <c:v>3.2239999999999999E-3</c:v>
                </c:pt>
                <c:pt idx="546">
                  <c:v>3.2280999999999998E-3</c:v>
                </c:pt>
                <c:pt idx="547">
                  <c:v>3.1662999999999999E-3</c:v>
                </c:pt>
                <c:pt idx="548">
                  <c:v>3.1879999999999999E-3</c:v>
                </c:pt>
                <c:pt idx="549">
                  <c:v>3.1694000000000002E-3</c:v>
                </c:pt>
                <c:pt idx="550">
                  <c:v>3.2323E-3</c:v>
                </c:pt>
                <c:pt idx="551">
                  <c:v>3.2475E-3</c:v>
                </c:pt>
                <c:pt idx="552">
                  <c:v>3.2112999999999998E-3</c:v>
                </c:pt>
                <c:pt idx="553">
                  <c:v>3.2997E-3</c:v>
                </c:pt>
                <c:pt idx="554">
                  <c:v>3.2867999999999999E-3</c:v>
                </c:pt>
                <c:pt idx="555">
                  <c:v>3.2978999999999999E-3</c:v>
                </c:pt>
                <c:pt idx="556">
                  <c:v>3.2201E-3</c:v>
                </c:pt>
                <c:pt idx="557">
                  <c:v>3.3811000000000002E-3</c:v>
                </c:pt>
                <c:pt idx="558">
                  <c:v>3.4489999999999998E-3</c:v>
                </c:pt>
                <c:pt idx="559">
                  <c:v>3.0528E-3</c:v>
                </c:pt>
                <c:pt idx="560">
                  <c:v>2.9808E-3</c:v>
                </c:pt>
                <c:pt idx="561">
                  <c:v>3.0867999999999998E-3</c:v>
                </c:pt>
                <c:pt idx="562">
                  <c:v>3.2888000000000001E-3</c:v>
                </c:pt>
                <c:pt idx="563">
                  <c:v>3.1676999999999999E-3</c:v>
                </c:pt>
                <c:pt idx="564">
                  <c:v>3.6357999999999998E-3</c:v>
                </c:pt>
                <c:pt idx="565">
                  <c:v>3.8040999999999999E-3</c:v>
                </c:pt>
                <c:pt idx="566">
                  <c:v>3.5312999999999998E-3</c:v>
                </c:pt>
                <c:pt idx="567">
                  <c:v>4.3214000000000004E-3</c:v>
                </c:pt>
                <c:pt idx="568">
                  <c:v>4.7657000000000003E-3</c:v>
                </c:pt>
                <c:pt idx="569">
                  <c:v>3.1359999999999999E-3</c:v>
                </c:pt>
                <c:pt idx="570">
                  <c:v>2.6193000000000002E-3</c:v>
                </c:pt>
                <c:pt idx="571">
                  <c:v>2.3029000000000001E-3</c:v>
                </c:pt>
                <c:pt idx="572">
                  <c:v>2.3012000000000002E-3</c:v>
                </c:pt>
                <c:pt idx="573">
                  <c:v>2.3138999999999998E-3</c:v>
                </c:pt>
                <c:pt idx="574">
                  <c:v>2.3219999999999998E-3</c:v>
                </c:pt>
                <c:pt idx="575">
                  <c:v>2.3203E-3</c:v>
                </c:pt>
                <c:pt idx="576">
                  <c:v>2.3184999999999998E-3</c:v>
                </c:pt>
                <c:pt idx="577">
                  <c:v>2.3077000000000002E-3</c:v>
                </c:pt>
                <c:pt idx="578">
                  <c:v>2.3142000000000002E-3</c:v>
                </c:pt>
                <c:pt idx="579">
                  <c:v>2.3045000000000001E-3</c:v>
                </c:pt>
                <c:pt idx="580">
                  <c:v>2.3592999999999999E-3</c:v>
                </c:pt>
                <c:pt idx="581">
                  <c:v>2.4080999999999998E-3</c:v>
                </c:pt>
                <c:pt idx="582">
                  <c:v>2.4193000000000001E-3</c:v>
                </c:pt>
                <c:pt idx="583">
                  <c:v>2.4686E-3</c:v>
                </c:pt>
                <c:pt idx="584">
                  <c:v>2.4731000000000002E-3</c:v>
                </c:pt>
                <c:pt idx="585">
                  <c:v>2.4294999999999998E-3</c:v>
                </c:pt>
                <c:pt idx="586">
                  <c:v>2.4418999999999999E-3</c:v>
                </c:pt>
                <c:pt idx="587">
                  <c:v>2.4399000000000001E-3</c:v>
                </c:pt>
                <c:pt idx="588">
                  <c:v>2.4575E-3</c:v>
                </c:pt>
                <c:pt idx="589">
                  <c:v>2.4805999999999999E-3</c:v>
                </c:pt>
                <c:pt idx="590">
                  <c:v>2.4854999999999999E-3</c:v>
                </c:pt>
                <c:pt idx="591">
                  <c:v>2.4743E-3</c:v>
                </c:pt>
                <c:pt idx="592">
                  <c:v>2.4972000000000002E-3</c:v>
                </c:pt>
                <c:pt idx="593">
                  <c:v>2.5241E-3</c:v>
                </c:pt>
                <c:pt idx="594">
                  <c:v>2.5000000000000001E-3</c:v>
                </c:pt>
                <c:pt idx="595">
                  <c:v>2.4463000000000002E-3</c:v>
                </c:pt>
                <c:pt idx="596">
                  <c:v>2.5761E-3</c:v>
                </c:pt>
                <c:pt idx="597">
                  <c:v>2.5585999999999999E-3</c:v>
                </c:pt>
                <c:pt idx="598">
                  <c:v>2.5785999999999999E-3</c:v>
                </c:pt>
                <c:pt idx="599">
                  <c:v>2.5986999999999998E-3</c:v>
                </c:pt>
                <c:pt idx="600">
                  <c:v>2.5926E-3</c:v>
                </c:pt>
                <c:pt idx="601">
                  <c:v>2.5907E-3</c:v>
                </c:pt>
                <c:pt idx="602">
                  <c:v>2.6229999999999999E-3</c:v>
                </c:pt>
                <c:pt idx="603">
                  <c:v>2.5866999999999999E-3</c:v>
                </c:pt>
                <c:pt idx="604">
                  <c:v>2.5666E-3</c:v>
                </c:pt>
                <c:pt idx="605">
                  <c:v>2.6451999999999999E-3</c:v>
                </c:pt>
                <c:pt idx="606">
                  <c:v>2.5598999999999999E-3</c:v>
                </c:pt>
                <c:pt idx="607">
                  <c:v>2.6180000000000001E-3</c:v>
                </c:pt>
                <c:pt idx="608">
                  <c:v>2.5303000000000001E-3</c:v>
                </c:pt>
                <c:pt idx="609">
                  <c:v>2.5230000000000001E-3</c:v>
                </c:pt>
                <c:pt idx="610">
                  <c:v>2.4997999999999999E-3</c:v>
                </c:pt>
                <c:pt idx="611">
                  <c:v>2.4781E-3</c:v>
                </c:pt>
                <c:pt idx="612">
                  <c:v>2.5324000000000002E-3</c:v>
                </c:pt>
                <c:pt idx="613">
                  <c:v>2.4461000000000001E-3</c:v>
                </c:pt>
                <c:pt idx="614">
                  <c:v>2.5271E-3</c:v>
                </c:pt>
                <c:pt idx="615">
                  <c:v>2.5175000000000002E-3</c:v>
                </c:pt>
                <c:pt idx="616">
                  <c:v>2.4773999999999998E-3</c:v>
                </c:pt>
                <c:pt idx="617">
                  <c:v>2.5002000000000002E-3</c:v>
                </c:pt>
                <c:pt idx="618">
                  <c:v>2.5487000000000001E-3</c:v>
                </c:pt>
                <c:pt idx="619">
                  <c:v>2.5379000000000001E-3</c:v>
                </c:pt>
                <c:pt idx="620">
                  <c:v>2.5330999999999999E-3</c:v>
                </c:pt>
                <c:pt idx="621">
                  <c:v>2.5098E-3</c:v>
                </c:pt>
                <c:pt idx="622">
                  <c:v>2.4888000000000002E-3</c:v>
                </c:pt>
                <c:pt idx="623">
                  <c:v>2.5812999999999999E-3</c:v>
                </c:pt>
                <c:pt idx="624">
                  <c:v>2.5244999999999998E-3</c:v>
                </c:pt>
                <c:pt idx="625">
                  <c:v>2.4605999999999999E-3</c:v>
                </c:pt>
                <c:pt idx="626">
                  <c:v>2.4125000000000001E-3</c:v>
                </c:pt>
                <c:pt idx="627">
                  <c:v>2.4602000000000001E-3</c:v>
                </c:pt>
                <c:pt idx="628">
                  <c:v>2.6075E-3</c:v>
                </c:pt>
                <c:pt idx="629">
                  <c:v>2.6051999999999998E-3</c:v>
                </c:pt>
                <c:pt idx="630">
                  <c:v>2.6627E-3</c:v>
                </c:pt>
                <c:pt idx="631">
                  <c:v>2.4800999999999998E-3</c:v>
                </c:pt>
                <c:pt idx="632">
                  <c:v>2.4738E-3</c:v>
                </c:pt>
                <c:pt idx="633">
                  <c:v>2.4605E-3</c:v>
                </c:pt>
                <c:pt idx="634">
                  <c:v>2.5000999999999999E-3</c:v>
                </c:pt>
                <c:pt idx="635">
                  <c:v>2.542E-3</c:v>
                </c:pt>
                <c:pt idx="636">
                  <c:v>2.4748999999999999E-3</c:v>
                </c:pt>
                <c:pt idx="637">
                  <c:v>2.4329999999999998E-3</c:v>
                </c:pt>
                <c:pt idx="638">
                  <c:v>2.4911999999999998E-3</c:v>
                </c:pt>
                <c:pt idx="639">
                  <c:v>2.3270000000000001E-3</c:v>
                </c:pt>
                <c:pt idx="640">
                  <c:v>2.3456000000000002E-3</c:v>
                </c:pt>
                <c:pt idx="641">
                  <c:v>2.4076000000000002E-3</c:v>
                </c:pt>
                <c:pt idx="642">
                  <c:v>2.1245000000000001E-3</c:v>
                </c:pt>
                <c:pt idx="643">
                  <c:v>2.0831999999999999E-3</c:v>
                </c:pt>
                <c:pt idx="644">
                  <c:v>2.0512E-3</c:v>
                </c:pt>
                <c:pt idx="645">
                  <c:v>1.9957E-3</c:v>
                </c:pt>
                <c:pt idx="646">
                  <c:v>1.9499999999999999E-3</c:v>
                </c:pt>
                <c:pt idx="647">
                  <c:v>1.9786999999999999E-3</c:v>
                </c:pt>
                <c:pt idx="648">
                  <c:v>2.0313000000000002E-3</c:v>
                </c:pt>
                <c:pt idx="649">
                  <c:v>2.0444999999999999E-3</c:v>
                </c:pt>
                <c:pt idx="650">
                  <c:v>1.983E-3</c:v>
                </c:pt>
                <c:pt idx="651">
                  <c:v>1.9949999999999998E-3</c:v>
                </c:pt>
                <c:pt idx="652">
                  <c:v>1.9061E-3</c:v>
                </c:pt>
                <c:pt idx="653">
                  <c:v>1.9656000000000001E-3</c:v>
                </c:pt>
                <c:pt idx="654">
                  <c:v>1.9532999999999998E-3</c:v>
                </c:pt>
                <c:pt idx="655">
                  <c:v>1.9673E-3</c:v>
                </c:pt>
                <c:pt idx="656">
                  <c:v>1.9645000000000001E-3</c:v>
                </c:pt>
                <c:pt idx="657">
                  <c:v>1.9650000000000002E-3</c:v>
                </c:pt>
                <c:pt idx="658">
                  <c:v>2.0151000000000001E-3</c:v>
                </c:pt>
                <c:pt idx="659">
                  <c:v>2.0038E-3</c:v>
                </c:pt>
                <c:pt idx="660">
                  <c:v>1.9943000000000001E-3</c:v>
                </c:pt>
                <c:pt idx="661">
                  <c:v>1.9895999999999998E-3</c:v>
                </c:pt>
                <c:pt idx="662">
                  <c:v>1.8500000000000001E-3</c:v>
                </c:pt>
                <c:pt idx="663">
                  <c:v>1.8697E-3</c:v>
                </c:pt>
                <c:pt idx="664">
                  <c:v>1.8466999999999999E-3</c:v>
                </c:pt>
                <c:pt idx="665">
                  <c:v>1.8776999999999999E-3</c:v>
                </c:pt>
                <c:pt idx="666">
                  <c:v>1.8630999999999999E-3</c:v>
                </c:pt>
                <c:pt idx="667">
                  <c:v>1.8041000000000001E-3</c:v>
                </c:pt>
                <c:pt idx="668">
                  <c:v>1.7956999999999999E-3</c:v>
                </c:pt>
                <c:pt idx="669">
                  <c:v>1.7099000000000001E-3</c:v>
                </c:pt>
                <c:pt idx="670">
                  <c:v>1.7830000000000001E-3</c:v>
                </c:pt>
                <c:pt idx="671">
                  <c:v>1.7765999999999999E-3</c:v>
                </c:pt>
                <c:pt idx="672">
                  <c:v>1.8519000000000001E-3</c:v>
                </c:pt>
                <c:pt idx="673">
                  <c:v>1.8296E-3</c:v>
                </c:pt>
                <c:pt idx="674">
                  <c:v>1.8641E-3</c:v>
                </c:pt>
                <c:pt idx="675">
                  <c:v>1.8192E-3</c:v>
                </c:pt>
                <c:pt idx="676">
                  <c:v>1.7263999999999999E-3</c:v>
                </c:pt>
                <c:pt idx="677">
                  <c:v>1.7849000000000001E-3</c:v>
                </c:pt>
                <c:pt idx="678">
                  <c:v>1.7802E-3</c:v>
                </c:pt>
                <c:pt idx="679">
                  <c:v>1.7700000000000001E-3</c:v>
                </c:pt>
                <c:pt idx="680">
                  <c:v>1.6002E-3</c:v>
                </c:pt>
                <c:pt idx="681">
                  <c:v>1.6218999999999999E-3</c:v>
                </c:pt>
                <c:pt idx="682">
                  <c:v>1.5816999999999999E-3</c:v>
                </c:pt>
                <c:pt idx="683">
                  <c:v>1.6932E-3</c:v>
                </c:pt>
                <c:pt idx="684">
                  <c:v>1.6632000000000001E-3</c:v>
                </c:pt>
                <c:pt idx="685">
                  <c:v>1.7459999999999999E-3</c:v>
                </c:pt>
                <c:pt idx="686">
                  <c:v>1.5996000000000001E-3</c:v>
                </c:pt>
                <c:pt idx="687">
                  <c:v>2.1716000000000001E-3</c:v>
                </c:pt>
                <c:pt idx="688">
                  <c:v>2.2052999999999999E-3</c:v>
                </c:pt>
                <c:pt idx="689">
                  <c:v>2.2203000000000001E-3</c:v>
                </c:pt>
                <c:pt idx="690">
                  <c:v>2.1670999999999999E-3</c:v>
                </c:pt>
                <c:pt idx="691">
                  <c:v>2.4066000000000001E-3</c:v>
                </c:pt>
                <c:pt idx="692">
                  <c:v>2.4862E-3</c:v>
                </c:pt>
                <c:pt idx="693">
                  <c:v>2.4770999999999999E-3</c:v>
                </c:pt>
                <c:pt idx="694">
                  <c:v>2.4187000000000002E-3</c:v>
                </c:pt>
                <c:pt idx="695">
                  <c:v>2.4984999999999999E-3</c:v>
                </c:pt>
                <c:pt idx="696">
                  <c:v>2.3471E-3</c:v>
                </c:pt>
                <c:pt idx="697">
                  <c:v>2.2794E-3</c:v>
                </c:pt>
                <c:pt idx="698">
                  <c:v>2.2152999999999999E-3</c:v>
                </c:pt>
                <c:pt idx="699">
                  <c:v>2.2823000000000001E-3</c:v>
                </c:pt>
                <c:pt idx="700">
                  <c:v>2.3254999999999999E-3</c:v>
                </c:pt>
                <c:pt idx="701">
                  <c:v>2.3438999999999999E-3</c:v>
                </c:pt>
                <c:pt idx="702">
                  <c:v>2.4734000000000002E-3</c:v>
                </c:pt>
                <c:pt idx="703">
                  <c:v>2.5769E-3</c:v>
                </c:pt>
                <c:pt idx="704">
                  <c:v>2.6771999999999998E-3</c:v>
                </c:pt>
                <c:pt idx="705">
                  <c:v>2.5887000000000002E-3</c:v>
                </c:pt>
                <c:pt idx="706">
                  <c:v>2.6481E-3</c:v>
                </c:pt>
                <c:pt idx="707">
                  <c:v>2.653E-3</c:v>
                </c:pt>
                <c:pt idx="708">
                  <c:v>2.6085000000000001E-3</c:v>
                </c:pt>
                <c:pt idx="709">
                  <c:v>2.8286000000000001E-3</c:v>
                </c:pt>
                <c:pt idx="710">
                  <c:v>2.6998999999999999E-3</c:v>
                </c:pt>
                <c:pt idx="711">
                  <c:v>2.7521999999999998E-3</c:v>
                </c:pt>
                <c:pt idx="712">
                  <c:v>2.9031E-3</c:v>
                </c:pt>
                <c:pt idx="713">
                  <c:v>3.1067E-3</c:v>
                </c:pt>
                <c:pt idx="714">
                  <c:v>3.0132000000000002E-3</c:v>
                </c:pt>
                <c:pt idx="715">
                  <c:v>3.0588999999999998E-3</c:v>
                </c:pt>
                <c:pt idx="716">
                  <c:v>3.0300000000000001E-3</c:v>
                </c:pt>
                <c:pt idx="717">
                  <c:v>2.9662999999999998E-3</c:v>
                </c:pt>
                <c:pt idx="718">
                  <c:v>3.2234999999999998E-3</c:v>
                </c:pt>
                <c:pt idx="719">
                  <c:v>3.1710000000000002E-3</c:v>
                </c:pt>
                <c:pt idx="720">
                  <c:v>2.7888000000000001E-3</c:v>
                </c:pt>
                <c:pt idx="721">
                  <c:v>2.6654000000000001E-3</c:v>
                </c:pt>
                <c:pt idx="722">
                  <c:v>2.5826E-3</c:v>
                </c:pt>
                <c:pt idx="723">
                  <c:v>2.5168999999999999E-3</c:v>
                </c:pt>
                <c:pt idx="724">
                  <c:v>2.4156E-3</c:v>
                </c:pt>
                <c:pt idx="725">
                  <c:v>2.4405999999999998E-3</c:v>
                </c:pt>
                <c:pt idx="726">
                  <c:v>2.4169999999999999E-3</c:v>
                </c:pt>
                <c:pt idx="727">
                  <c:v>2.3776000000000001E-3</c:v>
                </c:pt>
                <c:pt idx="728">
                  <c:v>2.4139999999999999E-3</c:v>
                </c:pt>
                <c:pt idx="729">
                  <c:v>2.3865000000000002E-3</c:v>
                </c:pt>
                <c:pt idx="730">
                  <c:v>2.4412000000000001E-3</c:v>
                </c:pt>
                <c:pt idx="731">
                  <c:v>2.3594000000000002E-3</c:v>
                </c:pt>
                <c:pt idx="732">
                  <c:v>2.2853999999999999E-3</c:v>
                </c:pt>
                <c:pt idx="733">
                  <c:v>2.251E-3</c:v>
                </c:pt>
                <c:pt idx="734">
                  <c:v>2.2698000000000002E-3</c:v>
                </c:pt>
                <c:pt idx="735">
                  <c:v>2.2514000000000002E-3</c:v>
                </c:pt>
                <c:pt idx="736">
                  <c:v>2.3433999999999998E-3</c:v>
                </c:pt>
                <c:pt idx="737">
                  <c:v>2.3673000000000001E-3</c:v>
                </c:pt>
                <c:pt idx="738">
                  <c:v>2.3760000000000001E-3</c:v>
                </c:pt>
                <c:pt idx="739">
                  <c:v>2.3982000000000001E-3</c:v>
                </c:pt>
                <c:pt idx="740">
                  <c:v>2.5114999999999998E-3</c:v>
                </c:pt>
                <c:pt idx="741">
                  <c:v>2.4867999999999999E-3</c:v>
                </c:pt>
                <c:pt idx="742">
                  <c:v>2.3276E-3</c:v>
                </c:pt>
                <c:pt idx="743">
                  <c:v>2.3668999999999999E-3</c:v>
                </c:pt>
                <c:pt idx="744">
                  <c:v>2.3581000000000001E-3</c:v>
                </c:pt>
                <c:pt idx="745">
                  <c:v>2.1703999999999998E-3</c:v>
                </c:pt>
                <c:pt idx="746">
                  <c:v>2.1963E-3</c:v>
                </c:pt>
                <c:pt idx="747">
                  <c:v>2.1754000000000001E-3</c:v>
                </c:pt>
                <c:pt idx="748">
                  <c:v>2.1973000000000001E-3</c:v>
                </c:pt>
                <c:pt idx="749">
                  <c:v>2.1281999999999998E-3</c:v>
                </c:pt>
                <c:pt idx="750">
                  <c:v>2.0885999999999999E-3</c:v>
                </c:pt>
                <c:pt idx="751">
                  <c:v>2.1749999999999999E-3</c:v>
                </c:pt>
                <c:pt idx="752">
                  <c:v>2.1343999999999998E-3</c:v>
                </c:pt>
                <c:pt idx="753">
                  <c:v>2.0696E-3</c:v>
                </c:pt>
                <c:pt idx="754">
                  <c:v>2.0579000000000001E-3</c:v>
                </c:pt>
                <c:pt idx="755">
                  <c:v>2.0236E-3</c:v>
                </c:pt>
                <c:pt idx="756">
                  <c:v>1.9951000000000001E-3</c:v>
                </c:pt>
                <c:pt idx="757">
                  <c:v>2.0244999999999998E-3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43-4303-8CA9-F5E6C725DB9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1466.320347923614</c:v>
                </c:pt>
                <c:pt idx="1">
                  <c:v>1466.7986240336143</c:v>
                </c:pt>
                <c:pt idx="2">
                  <c:v>1475.3825106075342</c:v>
                </c:pt>
                <c:pt idx="3">
                  <c:v>1473.7100717425619</c:v>
                </c:pt>
                <c:pt idx="4">
                  <c:v>1466.5646475025621</c:v>
                </c:pt>
                <c:pt idx="5">
                  <c:v>1460.0621221438219</c:v>
                </c:pt>
                <c:pt idx="6">
                  <c:v>1459.0875368126913</c:v>
                </c:pt>
                <c:pt idx="7">
                  <c:v>1470.7275680548946</c:v>
                </c:pt>
                <c:pt idx="8">
                  <c:v>1476.7093676310094</c:v>
                </c:pt>
                <c:pt idx="9">
                  <c:v>1481.1666013197944</c:v>
                </c:pt>
                <c:pt idx="10">
                  <c:v>1485.5572672407393</c:v>
                </c:pt>
                <c:pt idx="11">
                  <c:v>1487.6037986101139</c:v>
                </c:pt>
                <c:pt idx="12">
                  <c:v>1492.2396953400257</c:v>
                </c:pt>
                <c:pt idx="13">
                  <c:v>1501.2079556184467</c:v>
                </c:pt>
                <c:pt idx="14">
                  <c:v>1523.9281303182893</c:v>
                </c:pt>
                <c:pt idx="15">
                  <c:v>1518.8877220040038</c:v>
                </c:pt>
                <c:pt idx="16">
                  <c:v>1510.943709702804</c:v>
                </c:pt>
                <c:pt idx="17">
                  <c:v>1511.679239426717</c:v>
                </c:pt>
                <c:pt idx="18">
                  <c:v>1513.2156901139897</c:v>
                </c:pt>
                <c:pt idx="19">
                  <c:v>1514.2944746696501</c:v>
                </c:pt>
                <c:pt idx="20">
                  <c:v>1514.8403231443374</c:v>
                </c:pt>
                <c:pt idx="21">
                  <c:v>1514.1831201667721</c:v>
                </c:pt>
                <c:pt idx="22">
                  <c:v>1510.9124918133575</c:v>
                </c:pt>
                <c:pt idx="23">
                  <c:v>1511.0036373812568</c:v>
                </c:pt>
                <c:pt idx="24">
                  <c:v>1512.8754573458468</c:v>
                </c:pt>
                <c:pt idx="25">
                  <c:v>1513.7195150307764</c:v>
                </c:pt>
                <c:pt idx="26">
                  <c:v>1512.5324409804316</c:v>
                </c:pt>
                <c:pt idx="27">
                  <c:v>1510.3011604029316</c:v>
                </c:pt>
                <c:pt idx="28">
                  <c:v>1511.0687033217976</c:v>
                </c:pt>
                <c:pt idx="29">
                  <c:v>1510.4317334890873</c:v>
                </c:pt>
                <c:pt idx="30">
                  <c:v>1515.1624832221228</c:v>
                </c:pt>
                <c:pt idx="31">
                  <c:v>1522.2121336221228</c:v>
                </c:pt>
                <c:pt idx="32">
                  <c:v>1525.3248480316615</c:v>
                </c:pt>
                <c:pt idx="33">
                  <c:v>1523.7699299474507</c:v>
                </c:pt>
                <c:pt idx="34">
                  <c:v>1522.8059056241782</c:v>
                </c:pt>
                <c:pt idx="35">
                  <c:v>1524.4772474888123</c:v>
                </c:pt>
                <c:pt idx="36">
                  <c:v>1514.3504981850713</c:v>
                </c:pt>
                <c:pt idx="37">
                  <c:v>1517.4764672356596</c:v>
                </c:pt>
                <c:pt idx="38">
                  <c:v>1514.9436734638684</c:v>
                </c:pt>
                <c:pt idx="39">
                  <c:v>1512.9271864279501</c:v>
                </c:pt>
                <c:pt idx="40">
                  <c:v>1517.1959710204956</c:v>
                </c:pt>
                <c:pt idx="41">
                  <c:v>1515.3767986786586</c:v>
                </c:pt>
                <c:pt idx="42">
                  <c:v>1516.0569771865535</c:v>
                </c:pt>
                <c:pt idx="43">
                  <c:v>1525.3425100973227</c:v>
                </c:pt>
                <c:pt idx="44">
                  <c:v>1525.2383309627774</c:v>
                </c:pt>
                <c:pt idx="45">
                  <c:v>1517.955905052625</c:v>
                </c:pt>
                <c:pt idx="46">
                  <c:v>1521.6408531574671</c:v>
                </c:pt>
                <c:pt idx="47">
                  <c:v>1521.6408531574671</c:v>
                </c:pt>
                <c:pt idx="48">
                  <c:v>1521.2158427578447</c:v>
                </c:pt>
                <c:pt idx="49">
                  <c:v>1527.5012021431894</c:v>
                </c:pt>
                <c:pt idx="50">
                  <c:v>1536.4532671080542</c:v>
                </c:pt>
                <c:pt idx="51">
                  <c:v>1533.0936020298366</c:v>
                </c:pt>
                <c:pt idx="52">
                  <c:v>1540.1062948392989</c:v>
                </c:pt>
                <c:pt idx="53">
                  <c:v>1527.8560907036178</c:v>
                </c:pt>
                <c:pt idx="54">
                  <c:v>1528.2102931651561</c:v>
                </c:pt>
                <c:pt idx="55">
                  <c:v>1509.2570559439228</c:v>
                </c:pt>
                <c:pt idx="56">
                  <c:v>1510.4530181694681</c:v>
                </c:pt>
                <c:pt idx="57">
                  <c:v>1514.5635737573059</c:v>
                </c:pt>
                <c:pt idx="58">
                  <c:v>1518.3069355331072</c:v>
                </c:pt>
                <c:pt idx="59">
                  <c:v>1529.7386484211072</c:v>
                </c:pt>
                <c:pt idx="60">
                  <c:v>1529.3595794682501</c:v>
                </c:pt>
                <c:pt idx="61">
                  <c:v>1520.8734293242383</c:v>
                </c:pt>
                <c:pt idx="62">
                  <c:v>1521.5431103517119</c:v>
                </c:pt>
                <c:pt idx="63">
                  <c:v>1524.4486111789809</c:v>
                </c:pt>
                <c:pt idx="64">
                  <c:v>1525.1027001546099</c:v>
                </c:pt>
                <c:pt idx="65">
                  <c:v>1527.7581210987541</c:v>
                </c:pt>
                <c:pt idx="66">
                  <c:v>1525.6021474463914</c:v>
                </c:pt>
                <c:pt idx="67">
                  <c:v>1528.593942345482</c:v>
                </c:pt>
                <c:pt idx="68">
                  <c:v>1533.7430920009583</c:v>
                </c:pt>
                <c:pt idx="69">
                  <c:v>1530.5511257509581</c:v>
                </c:pt>
                <c:pt idx="70">
                  <c:v>1524.2189558636685</c:v>
                </c:pt>
                <c:pt idx="71">
                  <c:v>1532.1785297904746</c:v>
                </c:pt>
                <c:pt idx="72">
                  <c:v>1528.6206498809743</c:v>
                </c:pt>
                <c:pt idx="73">
                  <c:v>1532.1218481646004</c:v>
                </c:pt>
                <c:pt idx="74">
                  <c:v>1537.9485609467786</c:v>
                </c:pt>
                <c:pt idx="75">
                  <c:v>1543.4041741894016</c:v>
                </c:pt>
                <c:pt idx="76">
                  <c:v>1538.0560562479382</c:v>
                </c:pt>
                <c:pt idx="77">
                  <c:v>1537.0840685608096</c:v>
                </c:pt>
                <c:pt idx="78">
                  <c:v>1539.6230505300612</c:v>
                </c:pt>
                <c:pt idx="79">
                  <c:v>1540.7855254633082</c:v>
                </c:pt>
                <c:pt idx="80">
                  <c:v>1554.0616666288918</c:v>
                </c:pt>
                <c:pt idx="81">
                  <c:v>1551.8782573805943</c:v>
                </c:pt>
                <c:pt idx="82">
                  <c:v>1548.1976643235766</c:v>
                </c:pt>
                <c:pt idx="83">
                  <c:v>1544.3254220792583</c:v>
                </c:pt>
                <c:pt idx="84">
                  <c:v>1547.3334656086411</c:v>
                </c:pt>
                <c:pt idx="85">
                  <c:v>1546.3120837239353</c:v>
                </c:pt>
                <c:pt idx="86">
                  <c:v>1548.166889300089</c:v>
                </c:pt>
                <c:pt idx="87">
                  <c:v>1547.901265231478</c:v>
                </c:pt>
                <c:pt idx="88">
                  <c:v>1554.8081208848823</c:v>
                </c:pt>
                <c:pt idx="89">
                  <c:v>1528.3178545882556</c:v>
                </c:pt>
                <c:pt idx="90">
                  <c:v>1542.2678598625801</c:v>
                </c:pt>
                <c:pt idx="91">
                  <c:v>1551.3457442239637</c:v>
                </c:pt>
                <c:pt idx="92">
                  <c:v>1507.884503086696</c:v>
                </c:pt>
                <c:pt idx="93">
                  <c:v>1513.1414906524774</c:v>
                </c:pt>
                <c:pt idx="94">
                  <c:v>1527.0053267101007</c:v>
                </c:pt>
                <c:pt idx="95">
                  <c:v>1538.7640954221008</c:v>
                </c:pt>
                <c:pt idx="96">
                  <c:v>1509.6972475645541</c:v>
                </c:pt>
                <c:pt idx="97">
                  <c:v>1502.3250220548398</c:v>
                </c:pt>
                <c:pt idx="98">
                  <c:v>1503.0346257468702</c:v>
                </c:pt>
                <c:pt idx="99">
                  <c:v>1512.2273731909297</c:v>
                </c:pt>
                <c:pt idx="100">
                  <c:v>1507.698665316809</c:v>
                </c:pt>
                <c:pt idx="101">
                  <c:v>1511.5419654517759</c:v>
                </c:pt>
                <c:pt idx="102">
                  <c:v>1532.2698042013315</c:v>
                </c:pt>
                <c:pt idx="103">
                  <c:v>1526.3251907986689</c:v>
                </c:pt>
                <c:pt idx="104">
                  <c:v>1531.5428555950623</c:v>
                </c:pt>
                <c:pt idx="105">
                  <c:v>1531.1729214034378</c:v>
                </c:pt>
                <c:pt idx="106">
                  <c:v>1538.8115278869159</c:v>
                </c:pt>
                <c:pt idx="107">
                  <c:v>1530.7720499016641</c:v>
                </c:pt>
                <c:pt idx="108">
                  <c:v>1527.902386390525</c:v>
                </c:pt>
                <c:pt idx="109">
                  <c:v>1529.3080077755594</c:v>
                </c:pt>
                <c:pt idx="110">
                  <c:v>1536.672676152652</c:v>
                </c:pt>
                <c:pt idx="111">
                  <c:v>1536.672676152652</c:v>
                </c:pt>
                <c:pt idx="112">
                  <c:v>1544.9636089086521</c:v>
                </c:pt>
                <c:pt idx="113">
                  <c:v>1552.1049205253187</c:v>
                </c:pt>
                <c:pt idx="114">
                  <c:v>1559.418356289965</c:v>
                </c:pt>
                <c:pt idx="115">
                  <c:v>1556.5311407686413</c:v>
                </c:pt>
                <c:pt idx="116">
                  <c:v>1532.001099353547</c:v>
                </c:pt>
                <c:pt idx="117">
                  <c:v>1531.6894333895832</c:v>
                </c:pt>
                <c:pt idx="118">
                  <c:v>1533.9658340320075</c:v>
                </c:pt>
                <c:pt idx="119">
                  <c:v>1526.0372405588159</c:v>
                </c:pt>
                <c:pt idx="120">
                  <c:v>1523.0352658559589</c:v>
                </c:pt>
                <c:pt idx="121">
                  <c:v>1523.8211388678146</c:v>
                </c:pt>
                <c:pt idx="122">
                  <c:v>1527.8877921785609</c:v>
                </c:pt>
                <c:pt idx="123">
                  <c:v>1532.2682949868083</c:v>
                </c:pt>
                <c:pt idx="124">
                  <c:v>1528.5609281532711</c:v>
                </c:pt>
                <c:pt idx="125">
                  <c:v>1529.6967881200753</c:v>
                </c:pt>
                <c:pt idx="126">
                  <c:v>1532.979873354695</c:v>
                </c:pt>
                <c:pt idx="127">
                  <c:v>1529.347023304083</c:v>
                </c:pt>
                <c:pt idx="128">
                  <c:v>1520.1152492429715</c:v>
                </c:pt>
                <c:pt idx="129">
                  <c:v>1530.210588343708</c:v>
                </c:pt>
                <c:pt idx="130">
                  <c:v>1534.7011268714871</c:v>
                </c:pt>
                <c:pt idx="131">
                  <c:v>1537.4026437437094</c:v>
                </c:pt>
                <c:pt idx="132">
                  <c:v>1538.9146692317092</c:v>
                </c:pt>
                <c:pt idx="133">
                  <c:v>1550.4411749817093</c:v>
                </c:pt>
                <c:pt idx="134">
                  <c:v>1549.0092816433094</c:v>
                </c:pt>
                <c:pt idx="135">
                  <c:v>1543.8031826099757</c:v>
                </c:pt>
                <c:pt idx="136">
                  <c:v>1539.4072508465613</c:v>
                </c:pt>
                <c:pt idx="137">
                  <c:v>1543.7508963411069</c:v>
                </c:pt>
                <c:pt idx="138">
                  <c:v>1540.433030048546</c:v>
                </c:pt>
                <c:pt idx="139">
                  <c:v>1542.3867821543711</c:v>
                </c:pt>
                <c:pt idx="140">
                  <c:v>1549.358878231787</c:v>
                </c:pt>
                <c:pt idx="141">
                  <c:v>1552.2513094723274</c:v>
                </c:pt>
                <c:pt idx="142">
                  <c:v>1541.0257911579379</c:v>
                </c:pt>
                <c:pt idx="143">
                  <c:v>1547.6538560401414</c:v>
                </c:pt>
                <c:pt idx="144">
                  <c:v>1548.7055323039829</c:v>
                </c:pt>
                <c:pt idx="145">
                  <c:v>1537.5414142315365</c:v>
                </c:pt>
                <c:pt idx="146">
                  <c:v>1539.9118174538148</c:v>
                </c:pt>
                <c:pt idx="147">
                  <c:v>1539.5590504668094</c:v>
                </c:pt>
                <c:pt idx="148">
                  <c:v>1552.0598812688913</c:v>
                </c:pt>
                <c:pt idx="149">
                  <c:v>1541.9630252004226</c:v>
                </c:pt>
                <c:pt idx="150">
                  <c:v>1541.599223394813</c:v>
                </c:pt>
                <c:pt idx="151">
                  <c:v>1549.4336483629772</c:v>
                </c:pt>
                <c:pt idx="152">
                  <c:v>1552.5872335141462</c:v>
                </c:pt>
                <c:pt idx="153">
                  <c:v>1557.7624123284188</c:v>
                </c:pt>
                <c:pt idx="154">
                  <c:v>1544.9373477191864</c:v>
                </c:pt>
                <c:pt idx="155">
                  <c:v>1555.2244001959637</c:v>
                </c:pt>
                <c:pt idx="156">
                  <c:v>1548.2596653723767</c:v>
                </c:pt>
                <c:pt idx="157">
                  <c:v>1556.8787719518859</c:v>
                </c:pt>
                <c:pt idx="158">
                  <c:v>1563.1081618611072</c:v>
                </c:pt>
                <c:pt idx="159">
                  <c:v>1560.4422890436542</c:v>
                </c:pt>
                <c:pt idx="160">
                  <c:v>1570.7131489993792</c:v>
                </c:pt>
                <c:pt idx="161">
                  <c:v>1566.3619551885195</c:v>
                </c:pt>
                <c:pt idx="162">
                  <c:v>1545.5390051283764</c:v>
                </c:pt>
                <c:pt idx="163">
                  <c:v>1542.181263043728</c:v>
                </c:pt>
                <c:pt idx="164">
                  <c:v>1569.9717778733307</c:v>
                </c:pt>
                <c:pt idx="165">
                  <c:v>1592.3542419708629</c:v>
                </c:pt>
                <c:pt idx="166">
                  <c:v>1557.8593583725217</c:v>
                </c:pt>
                <c:pt idx="167">
                  <c:v>1539.1559879095839</c:v>
                </c:pt>
                <c:pt idx="168">
                  <c:v>1519.1790371206878</c:v>
                </c:pt>
                <c:pt idx="169">
                  <c:v>1535.9879425713682</c:v>
                </c:pt>
                <c:pt idx="170">
                  <c:v>1550.3298560181488</c:v>
                </c:pt>
                <c:pt idx="171">
                  <c:v>1541.3116686821534</c:v>
                </c:pt>
                <c:pt idx="172">
                  <c:v>1525.9188844120197</c:v>
                </c:pt>
                <c:pt idx="173">
                  <c:v>1572.0510377329083</c:v>
                </c:pt>
                <c:pt idx="174">
                  <c:v>1522.0529546444448</c:v>
                </c:pt>
                <c:pt idx="175">
                  <c:v>1522.7687998420959</c:v>
                </c:pt>
                <c:pt idx="176">
                  <c:v>1517.0291009906323</c:v>
                </c:pt>
                <c:pt idx="177">
                  <c:v>1511.6168019377355</c:v>
                </c:pt>
                <c:pt idx="178">
                  <c:v>1516.2417572505424</c:v>
                </c:pt>
                <c:pt idx="179">
                  <c:v>1521.9839842261072</c:v>
                </c:pt>
                <c:pt idx="180">
                  <c:v>1531.3130976524126</c:v>
                </c:pt>
                <c:pt idx="181">
                  <c:v>1536.1003979205973</c:v>
                </c:pt>
                <c:pt idx="182">
                  <c:v>1526.7703690584037</c:v>
                </c:pt>
                <c:pt idx="183">
                  <c:v>1522.4885174267315</c:v>
                </c:pt>
                <c:pt idx="184">
                  <c:v>1528.0213752473144</c:v>
                </c:pt>
                <c:pt idx="185">
                  <c:v>1517.9830511449486</c:v>
                </c:pt>
                <c:pt idx="186">
                  <c:v>1546.3624391952214</c:v>
                </c:pt>
                <c:pt idx="187">
                  <c:v>1541.6808053303091</c:v>
                </c:pt>
                <c:pt idx="188">
                  <c:v>1544.0129478650745</c:v>
                </c:pt>
                <c:pt idx="189">
                  <c:v>1538.3227423759847</c:v>
                </c:pt>
                <c:pt idx="190">
                  <c:v>1538.7626389179966</c:v>
                </c:pt>
                <c:pt idx="191">
                  <c:v>1540.5822484826106</c:v>
                </c:pt>
                <c:pt idx="192">
                  <c:v>1539.5703541404762</c:v>
                </c:pt>
                <c:pt idx="193">
                  <c:v>1545.1854964176985</c:v>
                </c:pt>
                <c:pt idx="194">
                  <c:v>1556.2940164246086</c:v>
                </c:pt>
                <c:pt idx="195">
                  <c:v>1555.9129771448156</c:v>
                </c:pt>
                <c:pt idx="196">
                  <c:v>1566.6078768182117</c:v>
                </c:pt>
                <c:pt idx="197">
                  <c:v>1571.6932864551968</c:v>
                </c:pt>
                <c:pt idx="198">
                  <c:v>1569.43075982503</c:v>
                </c:pt>
                <c:pt idx="199">
                  <c:v>1574.6205446405479</c:v>
                </c:pt>
                <c:pt idx="200">
                  <c:v>1578.5996174018546</c:v>
                </c:pt>
                <c:pt idx="201">
                  <c:v>1577.2085794800976</c:v>
                </c:pt>
                <c:pt idx="202">
                  <c:v>1582.3600797359284</c:v>
                </c:pt>
                <c:pt idx="203">
                  <c:v>1572.9773654644521</c:v>
                </c:pt>
                <c:pt idx="204">
                  <c:v>1580.9385296363121</c:v>
                </c:pt>
                <c:pt idx="205">
                  <c:v>1587.2253715857407</c:v>
                </c:pt>
                <c:pt idx="206">
                  <c:v>1589.6957908849208</c:v>
                </c:pt>
                <c:pt idx="207">
                  <c:v>1595.85730649728</c:v>
                </c:pt>
                <c:pt idx="208">
                  <c:v>1598.7076029219584</c:v>
                </c:pt>
                <c:pt idx="209">
                  <c:v>1598.4089702007029</c:v>
                </c:pt>
                <c:pt idx="210">
                  <c:v>1595.8474931133492</c:v>
                </c:pt>
                <c:pt idx="211">
                  <c:v>1607.437699431453</c:v>
                </c:pt>
                <c:pt idx="212">
                  <c:v>1603.6605223444378</c:v>
                </c:pt>
                <c:pt idx="213">
                  <c:v>1604.6801645004648</c:v>
                </c:pt>
                <c:pt idx="214">
                  <c:v>1608.4991623734663</c:v>
                </c:pt>
                <c:pt idx="215">
                  <c:v>1593.1499807331829</c:v>
                </c:pt>
                <c:pt idx="216">
                  <c:v>1587.0699786561133</c:v>
                </c:pt>
                <c:pt idx="217">
                  <c:v>1629.6819466187389</c:v>
                </c:pt>
                <c:pt idx="218">
                  <c:v>1602.5589164835167</c:v>
                </c:pt>
                <c:pt idx="219">
                  <c:v>1567.8857290619999</c:v>
                </c:pt>
                <c:pt idx="220">
                  <c:v>1566.7475842554888</c:v>
                </c:pt>
                <c:pt idx="221">
                  <c:v>1620.3057602312729</c:v>
                </c:pt>
                <c:pt idx="222">
                  <c:v>1613.229698996382</c:v>
                </c:pt>
                <c:pt idx="223">
                  <c:v>1619.3869406160172</c:v>
                </c:pt>
                <c:pt idx="224">
                  <c:v>1619.9097787251169</c:v>
                </c:pt>
                <c:pt idx="225">
                  <c:v>1622.4779056560535</c:v>
                </c:pt>
                <c:pt idx="226">
                  <c:v>1628.4387027545963</c:v>
                </c:pt>
                <c:pt idx="227">
                  <c:v>1633.1003497442634</c:v>
                </c:pt>
                <c:pt idx="228">
                  <c:v>1634.8922182362257</c:v>
                </c:pt>
                <c:pt idx="229">
                  <c:v>1630.0674386903427</c:v>
                </c:pt>
                <c:pt idx="230">
                  <c:v>1626.9166406569577</c:v>
                </c:pt>
                <c:pt idx="231">
                  <c:v>1630.6108559299591</c:v>
                </c:pt>
                <c:pt idx="232">
                  <c:v>1639.8588498885219</c:v>
                </c:pt>
                <c:pt idx="233">
                  <c:v>1630.4784578033798</c:v>
                </c:pt>
                <c:pt idx="234">
                  <c:v>1621.3404295787877</c:v>
                </c:pt>
                <c:pt idx="235">
                  <c:v>1638.8679411980177</c:v>
                </c:pt>
                <c:pt idx="236">
                  <c:v>1639.4378734763711</c:v>
                </c:pt>
                <c:pt idx="237">
                  <c:v>1647.6904263541912</c:v>
                </c:pt>
                <c:pt idx="238">
                  <c:v>1647.6366047085171</c:v>
                </c:pt>
                <c:pt idx="239">
                  <c:v>1661.4602078123705</c:v>
                </c:pt>
                <c:pt idx="240">
                  <c:v>1620.817621980686</c:v>
                </c:pt>
                <c:pt idx="241">
                  <c:v>1593.8723053573401</c:v>
                </c:pt>
                <c:pt idx="242">
                  <c:v>1579.4629664128079</c:v>
                </c:pt>
                <c:pt idx="243">
                  <c:v>1575.5540680555548</c:v>
                </c:pt>
                <c:pt idx="244">
                  <c:v>1571.4824347417846</c:v>
                </c:pt>
                <c:pt idx="245">
                  <c:v>1585.7490974346981</c:v>
                </c:pt>
                <c:pt idx="246">
                  <c:v>1594.0218925222021</c:v>
                </c:pt>
                <c:pt idx="247">
                  <c:v>1591.9415822203575</c:v>
                </c:pt>
                <c:pt idx="248">
                  <c:v>1597.9243561330995</c:v>
                </c:pt>
                <c:pt idx="249">
                  <c:v>1560.4497343121225</c:v>
                </c:pt>
                <c:pt idx="250">
                  <c:v>1552.855047120785</c:v>
                </c:pt>
                <c:pt idx="251">
                  <c:v>1550.239637900142</c:v>
                </c:pt>
                <c:pt idx="252">
                  <c:v>1555.5622789723566</c:v>
                </c:pt>
                <c:pt idx="253">
                  <c:v>1515.5467317460732</c:v>
                </c:pt>
                <c:pt idx="254">
                  <c:v>1529.0841718651823</c:v>
                </c:pt>
                <c:pt idx="255">
                  <c:v>1549.3641523161041</c:v>
                </c:pt>
                <c:pt idx="256">
                  <c:v>1547.0765627446985</c:v>
                </c:pt>
                <c:pt idx="257">
                  <c:v>1531.58131834439</c:v>
                </c:pt>
                <c:pt idx="258">
                  <c:v>1557.7875305796581</c:v>
                </c:pt>
                <c:pt idx="259">
                  <c:v>1502.6793918120936</c:v>
                </c:pt>
                <c:pt idx="260">
                  <c:v>1436.0986758598685</c:v>
                </c:pt>
                <c:pt idx="261">
                  <c:v>1482.4733394899799</c:v>
                </c:pt>
                <c:pt idx="262">
                  <c:v>1485.9640077739357</c:v>
                </c:pt>
                <c:pt idx="263">
                  <c:v>1542.1850690775725</c:v>
                </c:pt>
                <c:pt idx="264">
                  <c:v>1519.0855592703874</c:v>
                </c:pt>
                <c:pt idx="265">
                  <c:v>1572.6199358543411</c:v>
                </c:pt>
                <c:pt idx="266">
                  <c:v>1497.1186525109824</c:v>
                </c:pt>
                <c:pt idx="267">
                  <c:v>1526.4363330108429</c:v>
                </c:pt>
                <c:pt idx="268">
                  <c:v>1426.053381958493</c:v>
                </c:pt>
                <c:pt idx="269">
                  <c:v>1359.0903141279493</c:v>
                </c:pt>
                <c:pt idx="270">
                  <c:v>1306.0617961273806</c:v>
                </c:pt>
                <c:pt idx="271">
                  <c:v>1324.8965775495719</c:v>
                </c:pt>
                <c:pt idx="272">
                  <c:v>1267.6627409138991</c:v>
                </c:pt>
                <c:pt idx="273">
                  <c:v>1232.6592902624807</c:v>
                </c:pt>
                <c:pt idx="274">
                  <c:v>1248.90879216044</c:v>
                </c:pt>
                <c:pt idx="275">
                  <c:v>1186.6360078983491</c:v>
                </c:pt>
                <c:pt idx="276">
                  <c:v>1185.985966790357</c:v>
                </c:pt>
                <c:pt idx="277">
                  <c:v>1163.6533325019736</c:v>
                </c:pt>
                <c:pt idx="278">
                  <c:v>1172.5243644774387</c:v>
                </c:pt>
                <c:pt idx="279">
                  <c:v>1134.574720280124</c:v>
                </c:pt>
                <c:pt idx="280">
                  <c:v>1024.4536553148168</c:v>
                </c:pt>
                <c:pt idx="281">
                  <c:v>1106.017959631401</c:v>
                </c:pt>
                <c:pt idx="282">
                  <c:v>1164.6530052538326</c:v>
                </c:pt>
                <c:pt idx="283">
                  <c:v>1245.9962173219947</c:v>
                </c:pt>
                <c:pt idx="284">
                  <c:v>1124.4668672180005</c:v>
                </c:pt>
                <c:pt idx="285">
                  <c:v>1035.3586964444567</c:v>
                </c:pt>
                <c:pt idx="286">
                  <c:v>1114.3447484267856</c:v>
                </c:pt>
                <c:pt idx="287">
                  <c:v>898.25710065852809</c:v>
                </c:pt>
                <c:pt idx="288">
                  <c:v>717.18268768032488</c:v>
                </c:pt>
                <c:pt idx="289">
                  <c:v>680.33267382836777</c:v>
                </c:pt>
                <c:pt idx="290">
                  <c:v>563.66894578074732</c:v>
                </c:pt>
                <c:pt idx="291">
                  <c:v>579.13805255006287</c:v>
                </c:pt>
                <c:pt idx="292">
                  <c:v>531.68429935316669</c:v>
                </c:pt>
                <c:pt idx="293">
                  <c:v>527.42096234360451</c:v>
                </c:pt>
                <c:pt idx="294">
                  <c:v>536.29109249366286</c:v>
                </c:pt>
                <c:pt idx="295">
                  <c:v>523.94335103335516</c:v>
                </c:pt>
                <c:pt idx="296">
                  <c:v>556.8550278389398</c:v>
                </c:pt>
                <c:pt idx="297">
                  <c:v>528.20341630622795</c:v>
                </c:pt>
                <c:pt idx="298">
                  <c:v>510.16047281085309</c:v>
                </c:pt>
                <c:pt idx="299">
                  <c:v>502.74969387199781</c:v>
                </c:pt>
                <c:pt idx="300">
                  <c:v>523.29805865487629</c:v>
                </c:pt>
                <c:pt idx="301">
                  <c:v>552.84409252664341</c:v>
                </c:pt>
                <c:pt idx="302">
                  <c:v>557.52255580257247</c:v>
                </c:pt>
                <c:pt idx="303">
                  <c:v>551.68914553365755</c:v>
                </c:pt>
                <c:pt idx="304">
                  <c:v>557.49712122675851</c:v>
                </c:pt>
                <c:pt idx="305">
                  <c:v>555.33758883552161</c:v>
                </c:pt>
                <c:pt idx="306">
                  <c:v>557.13269801639115</c:v>
                </c:pt>
                <c:pt idx="307">
                  <c:v>556.92751803598424</c:v>
                </c:pt>
                <c:pt idx="308">
                  <c:v>548.85594572670414</c:v>
                </c:pt>
                <c:pt idx="309">
                  <c:v>545.94062934704141</c:v>
                </c:pt>
                <c:pt idx="310">
                  <c:v>558.47490717163237</c:v>
                </c:pt>
                <c:pt idx="311">
                  <c:v>566.65081280823608</c:v>
                </c:pt>
                <c:pt idx="312">
                  <c:v>576.03631878324552</c:v>
                </c:pt>
                <c:pt idx="313">
                  <c:v>581.51592014806613</c:v>
                </c:pt>
                <c:pt idx="314">
                  <c:v>588.51391808335359</c:v>
                </c:pt>
                <c:pt idx="315">
                  <c:v>587.45694240844955</c:v>
                </c:pt>
                <c:pt idx="316">
                  <c:v>595.7208185565645</c:v>
                </c:pt>
                <c:pt idx="317">
                  <c:v>594.31206874307463</c:v>
                </c:pt>
                <c:pt idx="318">
                  <c:v>579.3629314835681</c:v>
                </c:pt>
                <c:pt idx="319">
                  <c:v>583.58326902786064</c:v>
                </c:pt>
                <c:pt idx="320">
                  <c:v>633.7881063810969</c:v>
                </c:pt>
                <c:pt idx="321">
                  <c:v>599.0373936308107</c:v>
                </c:pt>
                <c:pt idx="322">
                  <c:v>602.15610458587059</c:v>
                </c:pt>
                <c:pt idx="323">
                  <c:v>598.44049508019907</c:v>
                </c:pt>
                <c:pt idx="324">
                  <c:v>606.97695206933884</c:v>
                </c:pt>
                <c:pt idx="325">
                  <c:v>627.00975420158329</c:v>
                </c:pt>
                <c:pt idx="326">
                  <c:v>552.61004193776932</c:v>
                </c:pt>
                <c:pt idx="327">
                  <c:v>544.75316333809224</c:v>
                </c:pt>
                <c:pt idx="328">
                  <c:v>542.75968888374314</c:v>
                </c:pt>
                <c:pt idx="329">
                  <c:v>542.69412925522715</c:v>
                </c:pt>
                <c:pt idx="330">
                  <c:v>536.20940268139202</c:v>
                </c:pt>
                <c:pt idx="331">
                  <c:v>547.08048344519295</c:v>
                </c:pt>
                <c:pt idx="332">
                  <c:v>553.13164358063784</c:v>
                </c:pt>
                <c:pt idx="333">
                  <c:v>548.25756007434143</c:v>
                </c:pt>
                <c:pt idx="334">
                  <c:v>542.20553427362324</c:v>
                </c:pt>
                <c:pt idx="335">
                  <c:v>550.18441971607331</c:v>
                </c:pt>
                <c:pt idx="336">
                  <c:v>550.55589149884838</c:v>
                </c:pt>
                <c:pt idx="337">
                  <c:v>594.96058931382663</c:v>
                </c:pt>
                <c:pt idx="338">
                  <c:v>540.98971968129831</c:v>
                </c:pt>
                <c:pt idx="339">
                  <c:v>540.50709664935164</c:v>
                </c:pt>
                <c:pt idx="340">
                  <c:v>539.31933635130486</c:v>
                </c:pt>
                <c:pt idx="341">
                  <c:v>549.29326233505753</c:v>
                </c:pt>
                <c:pt idx="342">
                  <c:v>574.77212498383108</c:v>
                </c:pt>
                <c:pt idx="343">
                  <c:v>609.76604706102546</c:v>
                </c:pt>
                <c:pt idx="344">
                  <c:v>575.34095502532944</c:v>
                </c:pt>
                <c:pt idx="345">
                  <c:v>608.01373772329043</c:v>
                </c:pt>
                <c:pt idx="346">
                  <c:v>633.11686623867183</c:v>
                </c:pt>
                <c:pt idx="347">
                  <c:v>624.26349273177448</c:v>
                </c:pt>
                <c:pt idx="348">
                  <c:v>599.12481477419851</c:v>
                </c:pt>
                <c:pt idx="349">
                  <c:v>629.50785857346523</c:v>
                </c:pt>
                <c:pt idx="350">
                  <c:v>593.98688065290298</c:v>
                </c:pt>
                <c:pt idx="351">
                  <c:v>630.76907945118148</c:v>
                </c:pt>
                <c:pt idx="352">
                  <c:v>653.78339935993711</c:v>
                </c:pt>
                <c:pt idx="353">
                  <c:v>701.35356874631407</c:v>
                </c:pt>
                <c:pt idx="354">
                  <c:v>589.31016539476127</c:v>
                </c:pt>
                <c:pt idx="355">
                  <c:v>414.09385023379906</c:v>
                </c:pt>
                <c:pt idx="356">
                  <c:v>270.52134048751986</c:v>
                </c:pt>
                <c:pt idx="357">
                  <c:v>330.51025837043073</c:v>
                </c:pt>
                <c:pt idx="358">
                  <c:v>123.228605583811</c:v>
                </c:pt>
                <c:pt idx="359">
                  <c:v>66.379760187374316</c:v>
                </c:pt>
                <c:pt idx="360">
                  <c:v>90.567298269812099</c:v>
                </c:pt>
                <c:pt idx="361">
                  <c:v>244.10691729920606</c:v>
                </c:pt>
                <c:pt idx="362">
                  <c:v>288.26441041456815</c:v>
                </c:pt>
                <c:pt idx="363">
                  <c:v>603.29973235922159</c:v>
                </c:pt>
                <c:pt idx="364">
                  <c:v>1127.090239059733</c:v>
                </c:pt>
                <c:pt idx="365">
                  <c:v>164.40855466272947</c:v>
                </c:pt>
                <c:pt idx="366">
                  <c:v>172.10633644298372</c:v>
                </c:pt>
                <c:pt idx="367">
                  <c:v>170.96747516605916</c:v>
                </c:pt>
                <c:pt idx="368">
                  <c:v>176.31066499095951</c:v>
                </c:pt>
                <c:pt idx="369">
                  <c:v>177.08635915133195</c:v>
                </c:pt>
                <c:pt idx="370">
                  <c:v>177.48266395154755</c:v>
                </c:pt>
                <c:pt idx="371">
                  <c:v>170.98521010790267</c:v>
                </c:pt>
                <c:pt idx="372">
                  <c:v>180.40072955184792</c:v>
                </c:pt>
                <c:pt idx="373">
                  <c:v>172.21943552564295</c:v>
                </c:pt>
                <c:pt idx="374">
                  <c:v>185.66595188154758</c:v>
                </c:pt>
                <c:pt idx="375">
                  <c:v>182.62091056369309</c:v>
                </c:pt>
                <c:pt idx="376">
                  <c:v>182.09146073214779</c:v>
                </c:pt>
                <c:pt idx="377">
                  <c:v>187.57391652180826</c:v>
                </c:pt>
                <c:pt idx="378">
                  <c:v>175.98812152403542</c:v>
                </c:pt>
                <c:pt idx="379">
                  <c:v>167.69714325564368</c:v>
                </c:pt>
                <c:pt idx="380">
                  <c:v>150.53810945381997</c:v>
                </c:pt>
                <c:pt idx="381">
                  <c:v>165.86873421025544</c:v>
                </c:pt>
                <c:pt idx="382">
                  <c:v>145.23707042760088</c:v>
                </c:pt>
                <c:pt idx="383">
                  <c:v>148.8691922714967</c:v>
                </c:pt>
                <c:pt idx="384">
                  <c:v>151.4929682256583</c:v>
                </c:pt>
                <c:pt idx="385">
                  <c:v>144.47643346646908</c:v>
                </c:pt>
                <c:pt idx="386">
                  <c:v>142.20339911373117</c:v>
                </c:pt>
                <c:pt idx="387">
                  <c:v>130.05649167345618</c:v>
                </c:pt>
                <c:pt idx="388">
                  <c:v>99.44761322729741</c:v>
                </c:pt>
                <c:pt idx="389">
                  <c:v>84.724080754123236</c:v>
                </c:pt>
                <c:pt idx="390">
                  <c:v>312.794226943154</c:v>
                </c:pt>
                <c:pt idx="391">
                  <c:v>228.44826587214271</c:v>
                </c:pt>
                <c:pt idx="392">
                  <c:v>199.18786006278137</c:v>
                </c:pt>
                <c:pt idx="393">
                  <c:v>196.75891088810519</c:v>
                </c:pt>
                <c:pt idx="394">
                  <c:v>193.51782426465235</c:v>
                </c:pt>
                <c:pt idx="395">
                  <c:v>189.8827419205756</c:v>
                </c:pt>
                <c:pt idx="396">
                  <c:v>191.36573559393017</c:v>
                </c:pt>
                <c:pt idx="397">
                  <c:v>196.99002171901881</c:v>
                </c:pt>
                <c:pt idx="398">
                  <c:v>200.37340765612441</c:v>
                </c:pt>
                <c:pt idx="399">
                  <c:v>194.31880791501942</c:v>
                </c:pt>
                <c:pt idx="400">
                  <c:v>175.66134446245769</c:v>
                </c:pt>
                <c:pt idx="401">
                  <c:v>196.86448459221469</c:v>
                </c:pt>
                <c:pt idx="402">
                  <c:v>204.42436695669429</c:v>
                </c:pt>
                <c:pt idx="403">
                  <c:v>220.92336497371915</c:v>
                </c:pt>
                <c:pt idx="404">
                  <c:v>144.35034624204047</c:v>
                </c:pt>
                <c:pt idx="405">
                  <c:v>142.91663930547682</c:v>
                </c:pt>
                <c:pt idx="406">
                  <c:v>137.98710796089799</c:v>
                </c:pt>
                <c:pt idx="407">
                  <c:v>142.86718387696968</c:v>
                </c:pt>
                <c:pt idx="408">
                  <c:v>138.48572259641077</c:v>
                </c:pt>
                <c:pt idx="409">
                  <c:v>138.39796512730584</c:v>
                </c:pt>
                <c:pt idx="410">
                  <c:v>139.24318542618104</c:v>
                </c:pt>
                <c:pt idx="411">
                  <c:v>136.51528044738382</c:v>
                </c:pt>
                <c:pt idx="412">
                  <c:v>134.83692190121943</c:v>
                </c:pt>
                <c:pt idx="413">
                  <c:v>133.95155880577852</c:v>
                </c:pt>
                <c:pt idx="414">
                  <c:v>134.46430214467136</c:v>
                </c:pt>
                <c:pt idx="415">
                  <c:v>131.45872388817742</c:v>
                </c:pt>
                <c:pt idx="416">
                  <c:v>134.11509660005916</c:v>
                </c:pt>
                <c:pt idx="417">
                  <c:v>134.95611724528757</c:v>
                </c:pt>
                <c:pt idx="418">
                  <c:v>135.46348748136234</c:v>
                </c:pt>
                <c:pt idx="419">
                  <c:v>132.8240996741149</c:v>
                </c:pt>
                <c:pt idx="420">
                  <c:v>137.74173186315932</c:v>
                </c:pt>
                <c:pt idx="421">
                  <c:v>138.88699287160833</c:v>
                </c:pt>
                <c:pt idx="422">
                  <c:v>138.27921808344999</c:v>
                </c:pt>
                <c:pt idx="423">
                  <c:v>143.13084173993693</c:v>
                </c:pt>
                <c:pt idx="424">
                  <c:v>137.64829475807412</c:v>
                </c:pt>
                <c:pt idx="425">
                  <c:v>138.11999124382783</c:v>
                </c:pt>
                <c:pt idx="426">
                  <c:v>136.13343537912004</c:v>
                </c:pt>
                <c:pt idx="427">
                  <c:v>132.31097946401465</c:v>
                </c:pt>
                <c:pt idx="428">
                  <c:v>141.35521878653327</c:v>
                </c:pt>
                <c:pt idx="429">
                  <c:v>159.6099665377107</c:v>
                </c:pt>
                <c:pt idx="430">
                  <c:v>105.63027193708611</c:v>
                </c:pt>
                <c:pt idx="431">
                  <c:v>87.096427268861504</c:v>
                </c:pt>
                <c:pt idx="432">
                  <c:v>93.301317590391292</c:v>
                </c:pt>
                <c:pt idx="433">
                  <c:v>70.177931739337964</c:v>
                </c:pt>
                <c:pt idx="434">
                  <c:v>66.698995182483088</c:v>
                </c:pt>
                <c:pt idx="435">
                  <c:v>67.206587163798858</c:v>
                </c:pt>
                <c:pt idx="436">
                  <c:v>67.880490518206443</c:v>
                </c:pt>
                <c:pt idx="437">
                  <c:v>68.829106619553528</c:v>
                </c:pt>
                <c:pt idx="438">
                  <c:v>69.628275368829961</c:v>
                </c:pt>
                <c:pt idx="439">
                  <c:v>69.8413625727773</c:v>
                </c:pt>
                <c:pt idx="440">
                  <c:v>69.684570860801472</c:v>
                </c:pt>
                <c:pt idx="441">
                  <c:v>69.323617827300851</c:v>
                </c:pt>
                <c:pt idx="442">
                  <c:v>68.494902255879708</c:v>
                </c:pt>
                <c:pt idx="443">
                  <c:v>73.232666588493828</c:v>
                </c:pt>
                <c:pt idx="444">
                  <c:v>74.79106246248331</c:v>
                </c:pt>
                <c:pt idx="445">
                  <c:v>78.310204491499704</c:v>
                </c:pt>
                <c:pt idx="446">
                  <c:v>77.650243000895387</c:v>
                </c:pt>
                <c:pt idx="447">
                  <c:v>80.471536416039143</c:v>
                </c:pt>
                <c:pt idx="448">
                  <c:v>77.365833203942458</c:v>
                </c:pt>
                <c:pt idx="449">
                  <c:v>76.165930000163655</c:v>
                </c:pt>
                <c:pt idx="450">
                  <c:v>74.71586747725226</c:v>
                </c:pt>
                <c:pt idx="451">
                  <c:v>72.810833584420394</c:v>
                </c:pt>
                <c:pt idx="452">
                  <c:v>75.039721519943498</c:v>
                </c:pt>
                <c:pt idx="453">
                  <c:v>74.613253682480376</c:v>
                </c:pt>
                <c:pt idx="454">
                  <c:v>75.501070358591505</c:v>
                </c:pt>
                <c:pt idx="455">
                  <c:v>72.595026639377792</c:v>
                </c:pt>
                <c:pt idx="456">
                  <c:v>71.805217923923223</c:v>
                </c:pt>
                <c:pt idx="457">
                  <c:v>74.999999441827825</c:v>
                </c:pt>
                <c:pt idx="458">
                  <c:v>73.889008024505998</c:v>
                </c:pt>
                <c:pt idx="459">
                  <c:v>88.240122102055196</c:v>
                </c:pt>
                <c:pt idx="460">
                  <c:v>87.537247939205457</c:v>
                </c:pt>
                <c:pt idx="461">
                  <c:v>86.618584708935188</c:v>
                </c:pt>
                <c:pt idx="462">
                  <c:v>87.597608054176121</c:v>
                </c:pt>
                <c:pt idx="463">
                  <c:v>88.305740078975077</c:v>
                </c:pt>
                <c:pt idx="464">
                  <c:v>88.76152164046762</c:v>
                </c:pt>
                <c:pt idx="465">
                  <c:v>90.176417145076257</c:v>
                </c:pt>
                <c:pt idx="466">
                  <c:v>90.788918047189512</c:v>
                </c:pt>
                <c:pt idx="467">
                  <c:v>91.459392110914976</c:v>
                </c:pt>
                <c:pt idx="468">
                  <c:v>92.08100941571945</c:v>
                </c:pt>
                <c:pt idx="469">
                  <c:v>90.094925592386133</c:v>
                </c:pt>
                <c:pt idx="470">
                  <c:v>90.652422834431903</c:v>
                </c:pt>
                <c:pt idx="471">
                  <c:v>90.662362366404381</c:v>
                </c:pt>
                <c:pt idx="472">
                  <c:v>92.263999800752231</c:v>
                </c:pt>
                <c:pt idx="473">
                  <c:v>92.160910978502841</c:v>
                </c:pt>
                <c:pt idx="474">
                  <c:v>92.87943963910358</c:v>
                </c:pt>
                <c:pt idx="475">
                  <c:v>95.71418767453703</c:v>
                </c:pt>
                <c:pt idx="476">
                  <c:v>92.517782244907366</c:v>
                </c:pt>
                <c:pt idx="477">
                  <c:v>89.171555413783807</c:v>
                </c:pt>
                <c:pt idx="478">
                  <c:v>87.554488200825602</c:v>
                </c:pt>
                <c:pt idx="479">
                  <c:v>87.840878496477814</c:v>
                </c:pt>
                <c:pt idx="480">
                  <c:v>88.810397455871737</c:v>
                </c:pt>
                <c:pt idx="481">
                  <c:v>88.942348064658958</c:v>
                </c:pt>
                <c:pt idx="482">
                  <c:v>90.015362601167638</c:v>
                </c:pt>
                <c:pt idx="483">
                  <c:v>87.576168293921256</c:v>
                </c:pt>
                <c:pt idx="484">
                  <c:v>87.071972290764634</c:v>
                </c:pt>
                <c:pt idx="485">
                  <c:v>88.357160612193198</c:v>
                </c:pt>
                <c:pt idx="486">
                  <c:v>87.812837052759249</c:v>
                </c:pt>
                <c:pt idx="487">
                  <c:v>89.574799077580266</c:v>
                </c:pt>
                <c:pt idx="488">
                  <c:v>89.648363957684154</c:v>
                </c:pt>
                <c:pt idx="489">
                  <c:v>91.018071235675151</c:v>
                </c:pt>
                <c:pt idx="490">
                  <c:v>87.621830521296573</c:v>
                </c:pt>
                <c:pt idx="491">
                  <c:v>85.568784368712301</c:v>
                </c:pt>
                <c:pt idx="492">
                  <c:v>89.852581066630776</c:v>
                </c:pt>
                <c:pt idx="493">
                  <c:v>85.65730234907349</c:v>
                </c:pt>
                <c:pt idx="494">
                  <c:v>96.072165924799933</c:v>
                </c:pt>
                <c:pt idx="495">
                  <c:v>93.594169121057973</c:v>
                </c:pt>
                <c:pt idx="496">
                  <c:v>92.280576634075317</c:v>
                </c:pt>
                <c:pt idx="497">
                  <c:v>90.82785499486711</c:v>
                </c:pt>
                <c:pt idx="498">
                  <c:v>91.170160024951159</c:v>
                </c:pt>
                <c:pt idx="499">
                  <c:v>93.162175166379669</c:v>
                </c:pt>
                <c:pt idx="500">
                  <c:v>92.22523028572563</c:v>
                </c:pt>
                <c:pt idx="501">
                  <c:v>90.495124344131071</c:v>
                </c:pt>
                <c:pt idx="502">
                  <c:v>89.958163263804494</c:v>
                </c:pt>
                <c:pt idx="503">
                  <c:v>87.264070212986198</c:v>
                </c:pt>
                <c:pt idx="504">
                  <c:v>84.626964143321118</c:v>
                </c:pt>
                <c:pt idx="505">
                  <c:v>83.69234720812274</c:v>
                </c:pt>
                <c:pt idx="506">
                  <c:v>80.298899549024213</c:v>
                </c:pt>
                <c:pt idx="507">
                  <c:v>80.988284530897701</c:v>
                </c:pt>
                <c:pt idx="508">
                  <c:v>74.450224921614364</c:v>
                </c:pt>
                <c:pt idx="509">
                  <c:v>66.879298175595906</c:v>
                </c:pt>
                <c:pt idx="510">
                  <c:v>70.183875178415093</c:v>
                </c:pt>
                <c:pt idx="511">
                  <c:v>66.074526783959669</c:v>
                </c:pt>
                <c:pt idx="512">
                  <c:v>74.197556554538806</c:v>
                </c:pt>
                <c:pt idx="513">
                  <c:v>75.4135823994893</c:v>
                </c:pt>
                <c:pt idx="514">
                  <c:v>72.422697835813423</c:v>
                </c:pt>
                <c:pt idx="515">
                  <c:v>77.315569851229739</c:v>
                </c:pt>
                <c:pt idx="516">
                  <c:v>77.987377555505589</c:v>
                </c:pt>
                <c:pt idx="517">
                  <c:v>76.44174388922653</c:v>
                </c:pt>
                <c:pt idx="518">
                  <c:v>72.706211362170038</c:v>
                </c:pt>
                <c:pt idx="519">
                  <c:v>75.21905414382357</c:v>
                </c:pt>
                <c:pt idx="520">
                  <c:v>74.745671723981701</c:v>
                </c:pt>
                <c:pt idx="521">
                  <c:v>76.744501376605044</c:v>
                </c:pt>
                <c:pt idx="522">
                  <c:v>77.975766081984929</c:v>
                </c:pt>
                <c:pt idx="523">
                  <c:v>79.194430965880215</c:v>
                </c:pt>
                <c:pt idx="524">
                  <c:v>75.14671370531039</c:v>
                </c:pt>
                <c:pt idx="525">
                  <c:v>84.327092463038326</c:v>
                </c:pt>
                <c:pt idx="526">
                  <c:v>84.167482026341631</c:v>
                </c:pt>
                <c:pt idx="527">
                  <c:v>85.541901470827625</c:v>
                </c:pt>
                <c:pt idx="528">
                  <c:v>93.141639663819248</c:v>
                </c:pt>
                <c:pt idx="529">
                  <c:v>95.981024431625414</c:v>
                </c:pt>
                <c:pt idx="530">
                  <c:v>91.957168970834402</c:v>
                </c:pt>
                <c:pt idx="531">
                  <c:v>93.294041290096402</c:v>
                </c:pt>
                <c:pt idx="532">
                  <c:v>86.612072280568924</c:v>
                </c:pt>
                <c:pt idx="533">
                  <c:v>79.264688383669068</c:v>
                </c:pt>
                <c:pt idx="534">
                  <c:v>74.281112446202414</c:v>
                </c:pt>
                <c:pt idx="535">
                  <c:v>79.564362610823096</c:v>
                </c:pt>
                <c:pt idx="536">
                  <c:v>78.124945400918321</c:v>
                </c:pt>
                <c:pt idx="537">
                  <c:v>78.493016887760419</c:v>
                </c:pt>
                <c:pt idx="538">
                  <c:v>73.376945245173687</c:v>
                </c:pt>
                <c:pt idx="539">
                  <c:v>71.663864893440348</c:v>
                </c:pt>
                <c:pt idx="540">
                  <c:v>70.754918751440371</c:v>
                </c:pt>
                <c:pt idx="541">
                  <c:v>73.182810973634446</c:v>
                </c:pt>
                <c:pt idx="542">
                  <c:v>64.069141583821519</c:v>
                </c:pt>
                <c:pt idx="543">
                  <c:v>63.059328416272301</c:v>
                </c:pt>
                <c:pt idx="544">
                  <c:v>70.430588629982694</c:v>
                </c:pt>
                <c:pt idx="545">
                  <c:v>50.2421231195326</c:v>
                </c:pt>
                <c:pt idx="546">
                  <c:v>47.030773810376715</c:v>
                </c:pt>
                <c:pt idx="547">
                  <c:v>43.76335331535099</c:v>
                </c:pt>
                <c:pt idx="548">
                  <c:v>49.396184152552628</c:v>
                </c:pt>
                <c:pt idx="549">
                  <c:v>47.649334700536826</c:v>
                </c:pt>
                <c:pt idx="550">
                  <c:v>42.51547669901742</c:v>
                </c:pt>
                <c:pt idx="551">
                  <c:v>42.363654831496028</c:v>
                </c:pt>
                <c:pt idx="552">
                  <c:v>43.629752346161098</c:v>
                </c:pt>
                <c:pt idx="553">
                  <c:v>45.394878604135634</c:v>
                </c:pt>
                <c:pt idx="554">
                  <c:v>45.127837028513895</c:v>
                </c:pt>
                <c:pt idx="555">
                  <c:v>41.451958616994688</c:v>
                </c:pt>
                <c:pt idx="556">
                  <c:v>36.648633737800999</c:v>
                </c:pt>
                <c:pt idx="557">
                  <c:v>44.020423316727239</c:v>
                </c:pt>
                <c:pt idx="558">
                  <c:v>69.571133622838175</c:v>
                </c:pt>
                <c:pt idx="559">
                  <c:v>43.960650050874222</c:v>
                </c:pt>
                <c:pt idx="560">
                  <c:v>33.210377023664492</c:v>
                </c:pt>
                <c:pt idx="561">
                  <c:v>32.096636136452965</c:v>
                </c:pt>
                <c:pt idx="562">
                  <c:v>42.327380246278615</c:v>
                </c:pt>
                <c:pt idx="563">
                  <c:v>32.192176292337486</c:v>
                </c:pt>
                <c:pt idx="564">
                  <c:v>49.214027152232106</c:v>
                </c:pt>
                <c:pt idx="565">
                  <c:v>58.278678981454924</c:v>
                </c:pt>
                <c:pt idx="566">
                  <c:v>44.632377041336767</c:v>
                </c:pt>
                <c:pt idx="567">
                  <c:v>98.810335798303498</c:v>
                </c:pt>
                <c:pt idx="568">
                  <c:v>138.7740016017728</c:v>
                </c:pt>
                <c:pt idx="569">
                  <c:v>48.935592171316166</c:v>
                </c:pt>
                <c:pt idx="570">
                  <c:v>27.449276306156577</c:v>
                </c:pt>
                <c:pt idx="571">
                  <c:v>22.912041293840471</c:v>
                </c:pt>
                <c:pt idx="572">
                  <c:v>22.733747892599762</c:v>
                </c:pt>
                <c:pt idx="573">
                  <c:v>23.265522995264337</c:v>
                </c:pt>
                <c:pt idx="574">
                  <c:v>23.181380839130444</c:v>
                </c:pt>
                <c:pt idx="575">
                  <c:v>23.028230762757158</c:v>
                </c:pt>
                <c:pt idx="576">
                  <c:v>23.543955045324154</c:v>
                </c:pt>
                <c:pt idx="577">
                  <c:v>23.153303079727827</c:v>
                </c:pt>
                <c:pt idx="578">
                  <c:v>23.270925409982919</c:v>
                </c:pt>
                <c:pt idx="579">
                  <c:v>23.200226430708838</c:v>
                </c:pt>
                <c:pt idx="580">
                  <c:v>23.448810217339851</c:v>
                </c:pt>
                <c:pt idx="581">
                  <c:v>23.8924984963895</c:v>
                </c:pt>
                <c:pt idx="582">
                  <c:v>23.756489195090289</c:v>
                </c:pt>
                <c:pt idx="583">
                  <c:v>24.044915077629099</c:v>
                </c:pt>
                <c:pt idx="584">
                  <c:v>24.544790513547468</c:v>
                </c:pt>
                <c:pt idx="585">
                  <c:v>24.299913991521031</c:v>
                </c:pt>
                <c:pt idx="586">
                  <c:v>25.065571106087969</c:v>
                </c:pt>
                <c:pt idx="587">
                  <c:v>24.666147662861079</c:v>
                </c:pt>
                <c:pt idx="588">
                  <c:v>24.94138798262523</c:v>
                </c:pt>
                <c:pt idx="589">
                  <c:v>25.031531305271798</c:v>
                </c:pt>
                <c:pt idx="590">
                  <c:v>24.695415409192357</c:v>
                </c:pt>
                <c:pt idx="591">
                  <c:v>23.193598161297636</c:v>
                </c:pt>
                <c:pt idx="592">
                  <c:v>22.318463256757752</c:v>
                </c:pt>
                <c:pt idx="593">
                  <c:v>22.57504374874172</c:v>
                </c:pt>
                <c:pt idx="594">
                  <c:v>22.026030324434679</c:v>
                </c:pt>
                <c:pt idx="595">
                  <c:v>21.434465397137679</c:v>
                </c:pt>
                <c:pt idx="596">
                  <c:v>22.077499982359946</c:v>
                </c:pt>
                <c:pt idx="597">
                  <c:v>21.744769900007011</c:v>
                </c:pt>
                <c:pt idx="598">
                  <c:v>21.290272401059646</c:v>
                </c:pt>
                <c:pt idx="599">
                  <c:v>21.223898928545573</c:v>
                </c:pt>
                <c:pt idx="600">
                  <c:v>20.514339277773928</c:v>
                </c:pt>
                <c:pt idx="601">
                  <c:v>19.800188273383682</c:v>
                </c:pt>
                <c:pt idx="602">
                  <c:v>20.440673924572202</c:v>
                </c:pt>
                <c:pt idx="603">
                  <c:v>20.042099343682665</c:v>
                </c:pt>
                <c:pt idx="604">
                  <c:v>19.050137425598372</c:v>
                </c:pt>
                <c:pt idx="605">
                  <c:v>19.06851667856608</c:v>
                </c:pt>
                <c:pt idx="606">
                  <c:v>17.747122502045865</c:v>
                </c:pt>
                <c:pt idx="607">
                  <c:v>18.994324116945297</c:v>
                </c:pt>
                <c:pt idx="608">
                  <c:v>17.317543851670994</c:v>
                </c:pt>
                <c:pt idx="609">
                  <c:v>17.110768225016717</c:v>
                </c:pt>
                <c:pt idx="610">
                  <c:v>16.963459465821309</c:v>
                </c:pt>
                <c:pt idx="611">
                  <c:v>16.165917127407926</c:v>
                </c:pt>
                <c:pt idx="612">
                  <c:v>16.999487122315571</c:v>
                </c:pt>
                <c:pt idx="613">
                  <c:v>14.878287154065559</c:v>
                </c:pt>
                <c:pt idx="614">
                  <c:v>16.204913345799934</c:v>
                </c:pt>
                <c:pt idx="615">
                  <c:v>16.262478283210001</c:v>
                </c:pt>
                <c:pt idx="616">
                  <c:v>15.988916330953414</c:v>
                </c:pt>
                <c:pt idx="617">
                  <c:v>16.274630571677054</c:v>
                </c:pt>
                <c:pt idx="618">
                  <c:v>16.621551512908397</c:v>
                </c:pt>
                <c:pt idx="619">
                  <c:v>16.315548311715734</c:v>
                </c:pt>
                <c:pt idx="620">
                  <c:v>16.446814351013977</c:v>
                </c:pt>
                <c:pt idx="621">
                  <c:v>16.656867781193466</c:v>
                </c:pt>
                <c:pt idx="622">
                  <c:v>16.492426824532199</c:v>
                </c:pt>
                <c:pt idx="623">
                  <c:v>17.164274251405157</c:v>
                </c:pt>
                <c:pt idx="624">
                  <c:v>16.899292188325159</c:v>
                </c:pt>
                <c:pt idx="625">
                  <c:v>15.828704428889683</c:v>
                </c:pt>
                <c:pt idx="626">
                  <c:v>15.746736068924806</c:v>
                </c:pt>
                <c:pt idx="627">
                  <c:v>15.810619761640037</c:v>
                </c:pt>
                <c:pt idx="628">
                  <c:v>15.095305050185386</c:v>
                </c:pt>
                <c:pt idx="629">
                  <c:v>14.139824976438161</c:v>
                </c:pt>
                <c:pt idx="630">
                  <c:v>15.204309233389592</c:v>
                </c:pt>
                <c:pt idx="631">
                  <c:v>12.608963485100276</c:v>
                </c:pt>
                <c:pt idx="632">
                  <c:v>13.629800820419028</c:v>
                </c:pt>
                <c:pt idx="633">
                  <c:v>13.605263413570608</c:v>
                </c:pt>
                <c:pt idx="634">
                  <c:v>12.952134469661361</c:v>
                </c:pt>
                <c:pt idx="635">
                  <c:v>13.507975050911362</c:v>
                </c:pt>
                <c:pt idx="636">
                  <c:v>12.448823489261784</c:v>
                </c:pt>
                <c:pt idx="637">
                  <c:v>12.694661574098992</c:v>
                </c:pt>
                <c:pt idx="638">
                  <c:v>15.735604531405414</c:v>
                </c:pt>
                <c:pt idx="639">
                  <c:v>13.718817533172622</c:v>
                </c:pt>
                <c:pt idx="640">
                  <c:v>13.79326903715492</c:v>
                </c:pt>
                <c:pt idx="641">
                  <c:v>13.959419577109312</c:v>
                </c:pt>
                <c:pt idx="642">
                  <c:v>7.9426445981042901</c:v>
                </c:pt>
                <c:pt idx="643">
                  <c:v>7.383206859855167</c:v>
                </c:pt>
                <c:pt idx="644">
                  <c:v>7.1985471518427468</c:v>
                </c:pt>
                <c:pt idx="645">
                  <c:v>7.8662003928508586</c:v>
                </c:pt>
                <c:pt idx="646">
                  <c:v>7.8736273060322546</c:v>
                </c:pt>
                <c:pt idx="647">
                  <c:v>8.2410457874608305</c:v>
                </c:pt>
                <c:pt idx="648">
                  <c:v>8.6817832205176035</c:v>
                </c:pt>
                <c:pt idx="649">
                  <c:v>8.7508152913095447</c:v>
                </c:pt>
                <c:pt idx="650">
                  <c:v>8.6486182329962933</c:v>
                </c:pt>
                <c:pt idx="651">
                  <c:v>8.8778055356021586</c:v>
                </c:pt>
                <c:pt idx="652">
                  <c:v>8.0372863095692111</c:v>
                </c:pt>
                <c:pt idx="653">
                  <c:v>8.9176862386426183</c:v>
                </c:pt>
                <c:pt idx="654">
                  <c:v>8.5814173639832756</c:v>
                </c:pt>
                <c:pt idx="655">
                  <c:v>7.4526857196459293</c:v>
                </c:pt>
                <c:pt idx="656">
                  <c:v>7.7140625405525247</c:v>
                </c:pt>
                <c:pt idx="657">
                  <c:v>7.87651954565239</c:v>
                </c:pt>
                <c:pt idx="658">
                  <c:v>7.596201594496172</c:v>
                </c:pt>
                <c:pt idx="659">
                  <c:v>7.6021214624031463</c:v>
                </c:pt>
                <c:pt idx="660">
                  <c:v>7.6260328134613458</c:v>
                </c:pt>
                <c:pt idx="661">
                  <c:v>7.1214964448737685</c:v>
                </c:pt>
                <c:pt idx="662">
                  <c:v>5.0304162166707522</c:v>
                </c:pt>
                <c:pt idx="663">
                  <c:v>5.2817535838267151</c:v>
                </c:pt>
                <c:pt idx="664">
                  <c:v>5.24847934227392</c:v>
                </c:pt>
                <c:pt idx="665">
                  <c:v>5.6178751287745152</c:v>
                </c:pt>
                <c:pt idx="666">
                  <c:v>6.0882770009388985</c:v>
                </c:pt>
                <c:pt idx="667">
                  <c:v>4.8820994396842874</c:v>
                </c:pt>
                <c:pt idx="668">
                  <c:v>5.1117593009957591</c:v>
                </c:pt>
                <c:pt idx="669">
                  <c:v>5.2188335378125137</c:v>
                </c:pt>
                <c:pt idx="670">
                  <c:v>6.5221962023394715</c:v>
                </c:pt>
                <c:pt idx="671">
                  <c:v>4.8495619211762584</c:v>
                </c:pt>
                <c:pt idx="672">
                  <c:v>5.7225285693496364</c:v>
                </c:pt>
                <c:pt idx="673">
                  <c:v>5.0393482358620831</c:v>
                </c:pt>
                <c:pt idx="674">
                  <c:v>5.4553965034838585</c:v>
                </c:pt>
                <c:pt idx="675">
                  <c:v>5.2646033006536657</c:v>
                </c:pt>
                <c:pt idx="676">
                  <c:v>4.2605775424309309</c:v>
                </c:pt>
                <c:pt idx="677">
                  <c:v>5.5575873829727289</c:v>
                </c:pt>
                <c:pt idx="678">
                  <c:v>5.4026437005253101</c:v>
                </c:pt>
                <c:pt idx="679">
                  <c:v>5.575372473200793</c:v>
                </c:pt>
                <c:pt idx="680">
                  <c:v>4.0171111198310285</c:v>
                </c:pt>
                <c:pt idx="681">
                  <c:v>3.8089154761190609</c:v>
                </c:pt>
                <c:pt idx="682">
                  <c:v>3.7195431225097213</c:v>
                </c:pt>
                <c:pt idx="683">
                  <c:v>2.9554062836567971</c:v>
                </c:pt>
                <c:pt idx="684">
                  <c:v>3.6402018549449013</c:v>
                </c:pt>
                <c:pt idx="685">
                  <c:v>4.9426362785326816</c:v>
                </c:pt>
                <c:pt idx="686">
                  <c:v>1.7763686259857971</c:v>
                </c:pt>
                <c:pt idx="687">
                  <c:v>5.5464416133428838</c:v>
                </c:pt>
                <c:pt idx="688">
                  <c:v>5.2036033575948517</c:v>
                </c:pt>
                <c:pt idx="689">
                  <c:v>5.3421684102663303</c:v>
                </c:pt>
                <c:pt idx="690">
                  <c:v>3.2508342207564547</c:v>
                </c:pt>
                <c:pt idx="691">
                  <c:v>4.8177275079797717</c:v>
                </c:pt>
                <c:pt idx="692">
                  <c:v>5.6232446741880251</c:v>
                </c:pt>
                <c:pt idx="693">
                  <c:v>5.2677344421240289</c:v>
                </c:pt>
                <c:pt idx="694">
                  <c:v>5.2450592382279266</c:v>
                </c:pt>
                <c:pt idx="695">
                  <c:v>5.7879701901634073</c:v>
                </c:pt>
                <c:pt idx="696">
                  <c:v>3.9259712728998815</c:v>
                </c:pt>
                <c:pt idx="697">
                  <c:v>3.3516515780038532</c:v>
                </c:pt>
                <c:pt idx="698">
                  <c:v>2.8358103220184514</c:v>
                </c:pt>
                <c:pt idx="699">
                  <c:v>3.616016917907853</c:v>
                </c:pt>
                <c:pt idx="700">
                  <c:v>3.7544273058545703</c:v>
                </c:pt>
                <c:pt idx="701">
                  <c:v>4.6768660332772534</c:v>
                </c:pt>
                <c:pt idx="702">
                  <c:v>4.5220727709987765</c:v>
                </c:pt>
                <c:pt idx="703">
                  <c:v>4.992679897859615</c:v>
                </c:pt>
                <c:pt idx="704">
                  <c:v>5.6356505575998748</c:v>
                </c:pt>
                <c:pt idx="705">
                  <c:v>4.8373520037339581</c:v>
                </c:pt>
                <c:pt idx="706">
                  <c:v>5.4699859785251039</c:v>
                </c:pt>
                <c:pt idx="707">
                  <c:v>5.5310322090946711</c:v>
                </c:pt>
                <c:pt idx="708">
                  <c:v>6.8815561843327648</c:v>
                </c:pt>
                <c:pt idx="709">
                  <c:v>7.9598437452151165</c:v>
                </c:pt>
                <c:pt idx="710">
                  <c:v>5.7215913053095369</c:v>
                </c:pt>
                <c:pt idx="711">
                  <c:v>4.3101680069819537</c:v>
                </c:pt>
                <c:pt idx="712">
                  <c:v>5.0069655550642294</c:v>
                </c:pt>
                <c:pt idx="713">
                  <c:v>7.0105981551324987</c:v>
                </c:pt>
                <c:pt idx="714">
                  <c:v>5.1422023278122815</c:v>
                </c:pt>
                <c:pt idx="715">
                  <c:v>7.8867468894758055</c:v>
                </c:pt>
                <c:pt idx="716">
                  <c:v>9.4318802138380669</c:v>
                </c:pt>
                <c:pt idx="717">
                  <c:v>6.5374772512735504</c:v>
                </c:pt>
                <c:pt idx="718">
                  <c:v>10.055405084622032</c:v>
                </c:pt>
                <c:pt idx="719">
                  <c:v>21.030286752436606</c:v>
                </c:pt>
                <c:pt idx="720">
                  <c:v>13.766048434898142</c:v>
                </c:pt>
                <c:pt idx="721">
                  <c:v>11.495031520578138</c:v>
                </c:pt>
                <c:pt idx="722">
                  <c:v>10.031343425044797</c:v>
                </c:pt>
                <c:pt idx="723">
                  <c:v>8.3444473500603245</c:v>
                </c:pt>
                <c:pt idx="724">
                  <c:v>5.9477732948015714</c:v>
                </c:pt>
                <c:pt idx="725">
                  <c:v>7.3414077319840265</c:v>
                </c:pt>
                <c:pt idx="726">
                  <c:v>7.6006625656432796</c:v>
                </c:pt>
                <c:pt idx="727">
                  <c:v>6.9028547756432799</c:v>
                </c:pt>
                <c:pt idx="728">
                  <c:v>7.5672405958119517</c:v>
                </c:pt>
                <c:pt idx="729">
                  <c:v>7.0150375447103768</c:v>
                </c:pt>
                <c:pt idx="730">
                  <c:v>7.6894284467051541</c:v>
                </c:pt>
                <c:pt idx="731">
                  <c:v>6.4304343256272434</c:v>
                </c:pt>
                <c:pt idx="732">
                  <c:v>6.0340329742479328</c:v>
                </c:pt>
                <c:pt idx="733">
                  <c:v>5.8155284071502731</c:v>
                </c:pt>
                <c:pt idx="734">
                  <c:v>5.7367764038997109</c:v>
                </c:pt>
                <c:pt idx="735">
                  <c:v>5.3050207665278446</c:v>
                </c:pt>
                <c:pt idx="736">
                  <c:v>5.9901288137591129</c:v>
                </c:pt>
                <c:pt idx="737">
                  <c:v>6.4998817631057548</c:v>
                </c:pt>
                <c:pt idx="738">
                  <c:v>6.1706005821406045</c:v>
                </c:pt>
                <c:pt idx="739">
                  <c:v>6.4291743887740189</c:v>
                </c:pt>
                <c:pt idx="740">
                  <c:v>7.1438072535556074</c:v>
                </c:pt>
                <c:pt idx="741">
                  <c:v>5.7670522695250019</c:v>
                </c:pt>
                <c:pt idx="742">
                  <c:v>3.4623651783736205</c:v>
                </c:pt>
                <c:pt idx="743">
                  <c:v>3.5579817563334859</c:v>
                </c:pt>
                <c:pt idx="744">
                  <c:v>4.7563611423252929</c:v>
                </c:pt>
                <c:pt idx="745">
                  <c:v>2.7472983133418003</c:v>
                </c:pt>
                <c:pt idx="746">
                  <c:v>3.2393320693871437</c:v>
                </c:pt>
                <c:pt idx="747">
                  <c:v>3.0318643796787392</c:v>
                </c:pt>
                <c:pt idx="748">
                  <c:v>3.6500615349208094</c:v>
                </c:pt>
                <c:pt idx="749">
                  <c:v>1.6457285380620224</c:v>
                </c:pt>
                <c:pt idx="750">
                  <c:v>1.4109267406856372</c:v>
                </c:pt>
                <c:pt idx="751">
                  <c:v>2.9813725160505582</c:v>
                </c:pt>
                <c:pt idx="752">
                  <c:v>1.9869061484617745</c:v>
                </c:pt>
                <c:pt idx="753">
                  <c:v>0.90515909809424921</c:v>
                </c:pt>
                <c:pt idx="754">
                  <c:v>0.77607444527784586</c:v>
                </c:pt>
                <c:pt idx="755">
                  <c:v>0.81374283446428053</c:v>
                </c:pt>
                <c:pt idx="756">
                  <c:v>0.11572378867481388</c:v>
                </c:pt>
                <c:pt idx="757">
                  <c:v>8.0072594652954035E-2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43-4303-8CA9-F5E6C725D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9618783"/>
        <c:axId val="989622527"/>
      </c:lineChart>
      <c:dateAx>
        <c:axId val="9896187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622527"/>
        <c:crosses val="autoZero"/>
        <c:auto val="1"/>
        <c:lblOffset val="100"/>
        <c:baseTimeUnit val="days"/>
      </c:dateAx>
      <c:valAx>
        <c:axId val="98962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618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184F356-53D5-46A0-B085-9A99D7611E66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3AA4F4-0109-4A66-BE06-F2FDD2721B0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0.73995</v>
      </c>
      <c r="D2" s="4">
        <f>MIN(D3:D1912)</f>
        <v>1.1345000000000001E-3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0.1431</v>
      </c>
      <c r="C5">
        <v>0.1447</v>
      </c>
      <c r="D5">
        <v>0.14019999999999999</v>
      </c>
      <c r="E5">
        <v>0.14050000000000001</v>
      </c>
      <c r="F5">
        <v>55185705</v>
      </c>
      <c r="G5">
        <v>0.14050000000000001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-0.86666666666665682</v>
      </c>
      <c r="Q5">
        <f t="shared" ref="Q5" si="1">F5*P5</f>
        <v>-47827610.999999456</v>
      </c>
      <c r="R5">
        <f t="shared" ref="R5" si="2">R6+Q5</f>
        <v>146632034792.36142</v>
      </c>
      <c r="S5">
        <f t="shared" ref="S5" si="3">R5/100000</f>
        <v>1466320.3479236141</v>
      </c>
      <c r="T5">
        <f t="shared" ref="T5" si="4">S5/1000</f>
        <v>1466.320347923614</v>
      </c>
    </row>
    <row r="6" spans="1:20" x14ac:dyDescent="0.25">
      <c r="A6" s="5">
        <v>44587</v>
      </c>
      <c r="B6">
        <v>0.14269999999999999</v>
      </c>
      <c r="C6">
        <v>0.15340000000000001</v>
      </c>
      <c r="D6">
        <v>0.1409</v>
      </c>
      <c r="E6">
        <v>0.1431</v>
      </c>
      <c r="F6">
        <v>1324673854</v>
      </c>
      <c r="G6">
        <v>0.1431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-0.64799999999999913</v>
      </c>
      <c r="Q6">
        <f t="shared" ref="Q6" si="6">F6*P6</f>
        <v>-858388657.39199889</v>
      </c>
      <c r="R6">
        <f t="shared" ref="R6" si="7">R7+Q6</f>
        <v>146679862403.36142</v>
      </c>
      <c r="S6">
        <f t="shared" ref="S6" si="8">R6/100000</f>
        <v>1466798.6240336143</v>
      </c>
      <c r="T6">
        <f t="shared" ref="T6" si="9">S6/1000</f>
        <v>1466.7986240336143</v>
      </c>
    </row>
    <row r="7" spans="1:20" x14ac:dyDescent="0.25">
      <c r="A7" s="5">
        <v>44586</v>
      </c>
      <c r="B7">
        <v>0.13730000000000001</v>
      </c>
      <c r="C7">
        <v>0.15060000000000001</v>
      </c>
      <c r="D7">
        <v>0.13250000000000001</v>
      </c>
      <c r="E7">
        <v>0.14269999999999999</v>
      </c>
      <c r="F7">
        <v>1316136672</v>
      </c>
      <c r="G7">
        <v>0.14269999999999999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0.12707182320441812</v>
      </c>
      <c r="Q7">
        <f t="shared" ref="Q7" si="11">F7*P7</f>
        <v>167243886.49723524</v>
      </c>
      <c r="R7">
        <f t="shared" ref="R7" si="12">R8+Q7</f>
        <v>147538251060.75342</v>
      </c>
      <c r="S7">
        <f t="shared" ref="S7" si="13">R7/100000</f>
        <v>1475382.5106075341</v>
      </c>
      <c r="T7">
        <f t="shared" ref="T7" si="14">S7/1000</f>
        <v>1475.3825106075342</v>
      </c>
    </row>
    <row r="8" spans="1:20" x14ac:dyDescent="0.25">
      <c r="A8" s="5">
        <v>44585</v>
      </c>
      <c r="B8">
        <v>0.14169999999999999</v>
      </c>
      <c r="C8">
        <v>0.14180000000000001</v>
      </c>
      <c r="D8">
        <v>0.12559999999999999</v>
      </c>
      <c r="E8">
        <v>0.13730000000000001</v>
      </c>
      <c r="F8">
        <v>1607720454</v>
      </c>
      <c r="G8">
        <v>0.13730000000000001</v>
      </c>
      <c r="L8" t="s">
        <v>7</v>
      </c>
      <c r="M8" t="s">
        <v>8</v>
      </c>
      <c r="N8" t="s">
        <v>7</v>
      </c>
      <c r="P8">
        <f t="shared" ref="P8" si="15">IF(C8=D8,0,((E8-D8)-(C8-E8))/(C8-D8))</f>
        <v>0.44444444444444464</v>
      </c>
      <c r="Q8">
        <f t="shared" ref="Q8" si="16">F8*P8</f>
        <v>714542424.00000036</v>
      </c>
      <c r="R8">
        <f t="shared" ref="R8" si="17">R9+Q8</f>
        <v>147371007174.2562</v>
      </c>
      <c r="S8">
        <f t="shared" ref="S8" si="18">R8/100000</f>
        <v>1473710.0717425619</v>
      </c>
      <c r="T8">
        <f t="shared" ref="T8" si="19">S8/1000</f>
        <v>1473.7100717425619</v>
      </c>
    </row>
    <row r="9" spans="1:20" x14ac:dyDescent="0.25">
      <c r="A9" s="5">
        <v>44584</v>
      </c>
      <c r="B9">
        <v>0.1333</v>
      </c>
      <c r="C9">
        <v>0.1447</v>
      </c>
      <c r="D9">
        <v>0.13200000000000001</v>
      </c>
      <c r="E9">
        <v>0.14180000000000001</v>
      </c>
      <c r="F9">
        <v>1196841624</v>
      </c>
      <c r="G9">
        <v>0.14180000000000001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0.54330708661417504</v>
      </c>
      <c r="Q9">
        <f t="shared" ref="Q9" si="21">F9*P9</f>
        <v>650252535.87401795</v>
      </c>
      <c r="R9">
        <f t="shared" ref="R9" si="22">R10+Q9</f>
        <v>146656464750.2562</v>
      </c>
      <c r="S9">
        <f t="shared" ref="S9" si="23">R9/100000</f>
        <v>1466564.647502562</v>
      </c>
      <c r="T9">
        <f t="shared" ref="T9" si="24">S9/1000</f>
        <v>1466.5646475025621</v>
      </c>
    </row>
    <row r="10" spans="1:20" x14ac:dyDescent="0.25">
      <c r="A10" s="5">
        <v>44583</v>
      </c>
      <c r="B10">
        <v>0.14199999999999999</v>
      </c>
      <c r="C10">
        <v>0.14530000000000001</v>
      </c>
      <c r="D10">
        <v>0.12</v>
      </c>
      <c r="E10">
        <v>0.13320000000000001</v>
      </c>
      <c r="F10">
        <v>2241546261.5999999</v>
      </c>
      <c r="G10">
        <v>0.13320000000000001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4.3478260869565882E-2</v>
      </c>
      <c r="Q10">
        <f t="shared" ref="Q10" si="26">F10*P10</f>
        <v>97458533.113044962</v>
      </c>
      <c r="R10">
        <f t="shared" ref="R10" si="27">R11+Q10</f>
        <v>146006212214.38217</v>
      </c>
      <c r="S10">
        <f t="shared" ref="S10" si="28">R10/100000</f>
        <v>1460062.1221438218</v>
      </c>
      <c r="T10">
        <f t="shared" ref="T10" si="29">S10/1000</f>
        <v>1460.0621221438219</v>
      </c>
    </row>
    <row r="11" spans="1:20" x14ac:dyDescent="0.25">
      <c r="A11" s="5">
        <v>44582</v>
      </c>
      <c r="B11">
        <v>0.15529999999999999</v>
      </c>
      <c r="C11">
        <v>0.15759999999999999</v>
      </c>
      <c r="D11">
        <v>0.1399</v>
      </c>
      <c r="E11">
        <v>0.1419</v>
      </c>
      <c r="F11">
        <v>1503858051</v>
      </c>
      <c r="G11">
        <v>0.1419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-0.774011299435028</v>
      </c>
      <c r="Q11">
        <f t="shared" ref="Q11" si="31">F11*P11</f>
        <v>-1164003124.2203386</v>
      </c>
      <c r="R11">
        <f t="shared" ref="R11" si="32">R12+Q11</f>
        <v>145908753681.26913</v>
      </c>
      <c r="S11">
        <f t="shared" ref="S11" si="33">R11/100000</f>
        <v>1459087.5368126913</v>
      </c>
      <c r="T11">
        <f t="shared" ref="T11" si="34">S11/1000</f>
        <v>1459.0875368126913</v>
      </c>
    </row>
    <row r="12" spans="1:20" x14ac:dyDescent="0.25">
      <c r="A12" s="5">
        <v>44581</v>
      </c>
      <c r="B12">
        <v>0.16159999999999999</v>
      </c>
      <c r="C12">
        <v>0.16930000000000001</v>
      </c>
      <c r="D12">
        <v>0.15359999999999999</v>
      </c>
      <c r="E12">
        <v>0.15529999999999999</v>
      </c>
      <c r="F12">
        <v>763530515</v>
      </c>
      <c r="G12">
        <v>0.15529999999999999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-0.78343949044585925</v>
      </c>
      <c r="Q12">
        <f t="shared" ref="Q12" si="36">F12*P12</f>
        <v>-598179957.6114645</v>
      </c>
      <c r="R12">
        <f t="shared" ref="R12" si="37">R13+Q12</f>
        <v>147072756805.48947</v>
      </c>
      <c r="S12">
        <f t="shared" ref="S12" si="38">R12/100000</f>
        <v>1470727.5680548947</v>
      </c>
      <c r="T12">
        <f t="shared" ref="T12" si="39">S12/1000</f>
        <v>1470.7275680548946</v>
      </c>
    </row>
    <row r="13" spans="1:20" x14ac:dyDescent="0.25">
      <c r="A13" s="5">
        <v>44580</v>
      </c>
      <c r="B13">
        <v>0.1651</v>
      </c>
      <c r="C13">
        <v>0.1696</v>
      </c>
      <c r="D13">
        <v>0.15890000000000001</v>
      </c>
      <c r="E13">
        <v>0.1615</v>
      </c>
      <c r="F13">
        <v>867134554</v>
      </c>
      <c r="G13">
        <v>0.1615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-0.5140186915887861</v>
      </c>
      <c r="Q13">
        <f t="shared" ref="Q13" si="41">F13*P13</f>
        <v>-445723368.87850559</v>
      </c>
      <c r="R13">
        <f t="shared" ref="R13" si="42">R14+Q13</f>
        <v>147670936763.10092</v>
      </c>
      <c r="S13">
        <f t="shared" ref="S13" si="43">R13/100000</f>
        <v>1476709.3676310093</v>
      </c>
      <c r="T13">
        <f t="shared" ref="T13" si="44">S13/1000</f>
        <v>1476.7093676310094</v>
      </c>
    </row>
    <row r="14" spans="1:20" x14ac:dyDescent="0.25">
      <c r="A14" s="5">
        <v>44579</v>
      </c>
      <c r="B14">
        <v>0.17080000000000001</v>
      </c>
      <c r="C14">
        <v>0.17430000000000001</v>
      </c>
      <c r="D14">
        <v>0.16159999999999999</v>
      </c>
      <c r="E14">
        <v>0.16500000000000001</v>
      </c>
      <c r="F14">
        <v>945109444</v>
      </c>
      <c r="G14">
        <v>0.16500000000000001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-0.46456692913385678</v>
      </c>
      <c r="Q14">
        <f t="shared" ref="Q14" si="46">F14*P14</f>
        <v>-439066592.09448677</v>
      </c>
      <c r="R14">
        <f t="shared" ref="R14" si="47">R15+Q14</f>
        <v>148116660131.97943</v>
      </c>
      <c r="S14">
        <f t="shared" ref="S14" si="48">R14/100000</f>
        <v>1481166.6013197943</v>
      </c>
      <c r="T14">
        <f t="shared" ref="T14" si="49">S14/1000</f>
        <v>1481.1666013197944</v>
      </c>
    </row>
    <row r="15" spans="1:20" x14ac:dyDescent="0.25">
      <c r="A15" s="5">
        <v>44578</v>
      </c>
      <c r="B15">
        <v>0.17660000000000001</v>
      </c>
      <c r="C15">
        <v>0.1784</v>
      </c>
      <c r="D15">
        <v>0.1656</v>
      </c>
      <c r="E15">
        <v>0.17080000000000001</v>
      </c>
      <c r="F15">
        <v>1091483397</v>
      </c>
      <c r="G15">
        <v>0.17080000000000001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-0.18749999999999878</v>
      </c>
      <c r="Q15">
        <f t="shared" ref="Q15" si="51">F15*P15</f>
        <v>-204653136.93749866</v>
      </c>
      <c r="R15">
        <f t="shared" ref="R15" si="52">R16+Q15</f>
        <v>148555726724.07391</v>
      </c>
      <c r="S15">
        <f t="shared" ref="S15" si="53">R15/100000</f>
        <v>1485557.2672407392</v>
      </c>
      <c r="T15">
        <f t="shared" ref="T15" si="54">S15/1000</f>
        <v>1485.5572672407393</v>
      </c>
    </row>
    <row r="16" spans="1:20" x14ac:dyDescent="0.25">
      <c r="A16" s="5">
        <v>44577</v>
      </c>
      <c r="B16">
        <v>0.1845</v>
      </c>
      <c r="C16">
        <v>0.1847</v>
      </c>
      <c r="D16">
        <v>0.1734</v>
      </c>
      <c r="E16">
        <v>0.17660000000000001</v>
      </c>
      <c r="F16">
        <v>1069094552</v>
      </c>
      <c r="G16">
        <v>0.17660000000000001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-0.43362831858406953</v>
      </c>
      <c r="Q16">
        <f t="shared" ref="Q16" si="56">F16*P16</f>
        <v>-463589672.99114907</v>
      </c>
      <c r="R16">
        <f t="shared" ref="R16" si="57">R17+Q16</f>
        <v>148760379861.01141</v>
      </c>
      <c r="S16">
        <f t="shared" ref="S16" si="58">R16/100000</f>
        <v>1487603.798610114</v>
      </c>
      <c r="T16">
        <f t="shared" ref="T16" si="59">S16/1000</f>
        <v>1487.6037986101139</v>
      </c>
    </row>
    <row r="17" spans="1:20" x14ac:dyDescent="0.25">
      <c r="A17" s="5">
        <v>44576</v>
      </c>
      <c r="B17">
        <v>0.1832</v>
      </c>
      <c r="C17">
        <v>0.1948</v>
      </c>
      <c r="D17">
        <v>0.18149999999999999</v>
      </c>
      <c r="E17">
        <v>0.1845</v>
      </c>
      <c r="F17">
        <v>1633943311</v>
      </c>
      <c r="G17">
        <v>0.1845</v>
      </c>
      <c r="L17" t="s">
        <v>7</v>
      </c>
      <c r="M17" t="s">
        <v>8</v>
      </c>
      <c r="N17" t="s">
        <v>8</v>
      </c>
      <c r="P17">
        <f t="shared" ref="P17" si="60">IF(C17=D17,0,((E17-D17)-(C17-E17))/(C17-D17))</f>
        <v>-0.54887218045112762</v>
      </c>
      <c r="Q17">
        <f t="shared" ref="Q17" si="61">F17*P17</f>
        <v>-896826027.84210491</v>
      </c>
      <c r="R17">
        <f t="shared" ref="R17" si="62">R18+Q17</f>
        <v>149223969534.00256</v>
      </c>
      <c r="S17">
        <f t="shared" ref="S17" si="63">R17/100000</f>
        <v>1492239.6953400257</v>
      </c>
      <c r="T17">
        <f t="shared" ref="T17" si="64">S17/1000</f>
        <v>1492.2396953400257</v>
      </c>
    </row>
    <row r="18" spans="1:20" x14ac:dyDescent="0.25">
      <c r="A18" s="5">
        <v>44575</v>
      </c>
      <c r="B18">
        <v>0.1716</v>
      </c>
      <c r="C18">
        <v>0.21479999999999999</v>
      </c>
      <c r="D18">
        <v>0.17030000000000001</v>
      </c>
      <c r="E18">
        <v>0.1832</v>
      </c>
      <c r="F18">
        <v>5406672589</v>
      </c>
      <c r="G18">
        <v>0.1832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-0.42022471910112363</v>
      </c>
      <c r="Q18">
        <f t="shared" ref="Q18" si="66">F18*P18</f>
        <v>-2272017469.9842701</v>
      </c>
      <c r="R18">
        <f t="shared" ref="R18" si="67">R19+Q18</f>
        <v>150120795561.84467</v>
      </c>
      <c r="S18">
        <f t="shared" ref="S18" si="68">R18/100000</f>
        <v>1501207.9556184467</v>
      </c>
      <c r="T18">
        <f t="shared" ref="T18" si="69">S18/1000</f>
        <v>1501.2079556184467</v>
      </c>
    </row>
    <row r="19" spans="1:20" x14ac:dyDescent="0.25">
      <c r="A19" s="5">
        <v>44574</v>
      </c>
      <c r="B19">
        <v>0.16270000000000001</v>
      </c>
      <c r="C19">
        <v>0.17810000000000001</v>
      </c>
      <c r="D19">
        <v>0.1613</v>
      </c>
      <c r="E19">
        <v>0.17169999999999999</v>
      </c>
      <c r="F19">
        <v>2116971492</v>
      </c>
      <c r="G19">
        <v>0.17169999999999999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0.23809523809523653</v>
      </c>
      <c r="Q19">
        <f t="shared" ref="Q19" si="71">F19*P19</f>
        <v>504040831.42856812</v>
      </c>
      <c r="R19">
        <f t="shared" ref="R19" si="72">R20+Q19</f>
        <v>152392813031.82895</v>
      </c>
      <c r="S19">
        <f t="shared" ref="S19" si="73">R19/100000</f>
        <v>1523928.1303182894</v>
      </c>
      <c r="T19">
        <f t="shared" ref="T19" si="74">S19/1000</f>
        <v>1523.9281303182893</v>
      </c>
    </row>
    <row r="20" spans="1:20" x14ac:dyDescent="0.25">
      <c r="A20" s="5">
        <v>44573</v>
      </c>
      <c r="B20">
        <v>0.15379999999999999</v>
      </c>
      <c r="C20">
        <v>0.1636</v>
      </c>
      <c r="D20">
        <v>0.15110000000000001</v>
      </c>
      <c r="E20">
        <v>0.1628</v>
      </c>
      <c r="F20">
        <v>911010585</v>
      </c>
      <c r="G20">
        <v>0.1628</v>
      </c>
      <c r="L20" t="s">
        <v>7</v>
      </c>
      <c r="M20" t="s">
        <v>8</v>
      </c>
      <c r="N20" t="s">
        <v>7</v>
      </c>
      <c r="P20">
        <f t="shared" ref="P20" si="75">IF(C20=D20,0,((E20-D20)-(C20-E20))/(C20-D20))</f>
        <v>0.87200000000000055</v>
      </c>
      <c r="Q20">
        <f t="shared" ref="Q20" si="76">F20*P20</f>
        <v>794401230.12000048</v>
      </c>
      <c r="R20">
        <f t="shared" ref="R20" si="77">R21+Q20</f>
        <v>151888772200.40039</v>
      </c>
      <c r="S20">
        <f t="shared" ref="S20" si="78">R20/100000</f>
        <v>1518887.7220040038</v>
      </c>
      <c r="T20">
        <f t="shared" ref="T20" si="79">S20/1000</f>
        <v>1518.8877220040038</v>
      </c>
    </row>
    <row r="21" spans="1:20" x14ac:dyDescent="0.25">
      <c r="A21" s="5">
        <v>44572</v>
      </c>
      <c r="B21">
        <v>0.14299999999999999</v>
      </c>
      <c r="C21">
        <v>0.16700000000000001</v>
      </c>
      <c r="D21">
        <v>0.14169999999999999</v>
      </c>
      <c r="E21">
        <v>0.15379999999999999</v>
      </c>
      <c r="F21">
        <v>1691718365</v>
      </c>
      <c r="G21">
        <v>0.15379999999999999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-4.3478260869565882E-2</v>
      </c>
      <c r="Q21">
        <f t="shared" ref="Q21" si="81">F21*P21</f>
        <v>-73552972.391305476</v>
      </c>
      <c r="R21">
        <f t="shared" ref="R21" si="82">R22+Q21</f>
        <v>151094370970.2804</v>
      </c>
      <c r="S21">
        <f t="shared" ref="S21" si="83">R21/100000</f>
        <v>1510943.709702804</v>
      </c>
      <c r="T21">
        <f t="shared" ref="T21" si="84">S21/1000</f>
        <v>1510.943709702804</v>
      </c>
    </row>
    <row r="22" spans="1:20" x14ac:dyDescent="0.25">
      <c r="A22" s="5">
        <v>44571</v>
      </c>
      <c r="B22">
        <v>0.15049999999999999</v>
      </c>
      <c r="C22">
        <v>0.1522</v>
      </c>
      <c r="D22">
        <v>0.1368</v>
      </c>
      <c r="E22">
        <v>0.1431</v>
      </c>
      <c r="F22">
        <v>845047878</v>
      </c>
      <c r="G22">
        <v>0.1431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-0.18181818181818166</v>
      </c>
      <c r="Q22">
        <f t="shared" ref="Q22" si="86">F22*P22</f>
        <v>-153645068.7272726</v>
      </c>
      <c r="R22">
        <f t="shared" ref="R22" si="87">R23+Q22</f>
        <v>151167923942.67169</v>
      </c>
      <c r="S22">
        <f t="shared" ref="S22" si="88">R22/100000</f>
        <v>1511679.2394267169</v>
      </c>
      <c r="T22">
        <f t="shared" ref="T22" si="89">S22/1000</f>
        <v>1511.679239426717</v>
      </c>
    </row>
    <row r="23" spans="1:20" x14ac:dyDescent="0.25">
      <c r="A23" s="5">
        <v>44570</v>
      </c>
      <c r="B23">
        <v>0.15090000000000001</v>
      </c>
      <c r="C23">
        <v>0.15390000000000001</v>
      </c>
      <c r="D23">
        <v>0.14860000000000001</v>
      </c>
      <c r="E23">
        <v>0.15049999999999999</v>
      </c>
      <c r="F23">
        <v>381170543</v>
      </c>
      <c r="G23">
        <v>0.15049999999999999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-0.28301886792453385</v>
      </c>
      <c r="Q23">
        <f t="shared" ref="Q23" si="91">F23*P23</f>
        <v>-107878455.56603985</v>
      </c>
      <c r="R23">
        <f t="shared" ref="R23" si="92">R24+Q23</f>
        <v>151321569011.39896</v>
      </c>
      <c r="S23">
        <f t="shared" ref="S23" si="93">R23/100000</f>
        <v>1513215.6901139896</v>
      </c>
      <c r="T23">
        <f t="shared" ref="T23" si="94">S23/1000</f>
        <v>1513.2156901139897</v>
      </c>
    </row>
    <row r="24" spans="1:20" x14ac:dyDescent="0.25">
      <c r="A24" s="5">
        <v>44569</v>
      </c>
      <c r="B24">
        <v>0.15509999999999999</v>
      </c>
      <c r="C24">
        <v>0.15790000000000001</v>
      </c>
      <c r="D24">
        <v>0.14510000000000001</v>
      </c>
      <c r="E24">
        <v>0.15090000000000001</v>
      </c>
      <c r="F24">
        <v>582238373</v>
      </c>
      <c r="G24">
        <v>0.15090000000000001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-9.3750000000000472E-2</v>
      </c>
      <c r="Q24">
        <f t="shared" ref="Q24" si="96">F24*P24</f>
        <v>-54584847.468750276</v>
      </c>
      <c r="R24">
        <f t="shared" ref="R24" si="97">R25+Q24</f>
        <v>151429447466.965</v>
      </c>
      <c r="S24">
        <f t="shared" ref="S24" si="98">R24/100000</f>
        <v>1514294.47466965</v>
      </c>
      <c r="T24">
        <f t="shared" ref="T24" si="99">S24/1000</f>
        <v>1514.2944746696501</v>
      </c>
    </row>
    <row r="25" spans="1:20" x14ac:dyDescent="0.25">
      <c r="A25" s="5">
        <v>44568</v>
      </c>
      <c r="B25">
        <v>0.16</v>
      </c>
      <c r="C25">
        <v>0.16039999999999999</v>
      </c>
      <c r="D25">
        <v>0.1489</v>
      </c>
      <c r="E25">
        <v>0.155</v>
      </c>
      <c r="F25">
        <v>1079690606</v>
      </c>
      <c r="G25">
        <v>0.155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6.0869565217391931E-2</v>
      </c>
      <c r="Q25">
        <f t="shared" ref="Q25" si="101">F25*P25</f>
        <v>65720297.756522417</v>
      </c>
      <c r="R25">
        <f t="shared" ref="R25" si="102">R26+Q25</f>
        <v>151484032314.43375</v>
      </c>
      <c r="S25">
        <f t="shared" ref="S25" si="103">R25/100000</f>
        <v>1514840.3231443374</v>
      </c>
      <c r="T25">
        <f t="shared" ref="T25" si="104">S25/1000</f>
        <v>1514.8403231443374</v>
      </c>
    </row>
    <row r="26" spans="1:20" x14ac:dyDescent="0.25">
      <c r="A26" s="5">
        <v>44567</v>
      </c>
      <c r="B26">
        <v>0.15909999999999999</v>
      </c>
      <c r="C26">
        <v>0.16209999999999999</v>
      </c>
      <c r="D26">
        <v>0.15390000000000001</v>
      </c>
      <c r="E26">
        <v>0.15989999999999999</v>
      </c>
      <c r="F26">
        <v>705767171</v>
      </c>
      <c r="G26">
        <v>0.15989999999999999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0.46341463414633866</v>
      </c>
      <c r="Q26">
        <f t="shared" ref="Q26" si="106">F26*P26</f>
        <v>327062835.34146142</v>
      </c>
      <c r="R26">
        <f t="shared" ref="R26" si="107">R27+Q26</f>
        <v>151418312016.67722</v>
      </c>
      <c r="S26">
        <f t="shared" ref="S26" si="108">R26/100000</f>
        <v>1514183.120166772</v>
      </c>
      <c r="T26">
        <f t="shared" ref="T26" si="109">S26/1000</f>
        <v>1514.1831201667721</v>
      </c>
    </row>
    <row r="27" spans="1:20" x14ac:dyDescent="0.25">
      <c r="A27" s="5">
        <v>44566</v>
      </c>
      <c r="B27">
        <v>0.16850000000000001</v>
      </c>
      <c r="C27">
        <v>0.17100000000000001</v>
      </c>
      <c r="D27">
        <v>0.1472</v>
      </c>
      <c r="E27">
        <v>0.159</v>
      </c>
      <c r="F27">
        <v>1084632258</v>
      </c>
      <c r="G27">
        <v>0.159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-8.4033613445380507E-3</v>
      </c>
      <c r="Q27">
        <f t="shared" ref="Q27" si="111">F27*P27</f>
        <v>-9114556.7899162211</v>
      </c>
      <c r="R27">
        <f t="shared" ref="R27" si="112">R28+Q27</f>
        <v>151091249181.33575</v>
      </c>
      <c r="S27">
        <f t="shared" ref="S27" si="113">R27/100000</f>
        <v>1510912.4918133575</v>
      </c>
      <c r="T27">
        <f t="shared" ref="T27" si="114">S27/1000</f>
        <v>1510.9124918133575</v>
      </c>
    </row>
    <row r="28" spans="1:20" x14ac:dyDescent="0.25">
      <c r="A28" s="5">
        <v>44565</v>
      </c>
      <c r="B28">
        <v>0.17030000000000001</v>
      </c>
      <c r="C28">
        <v>0.1726</v>
      </c>
      <c r="D28">
        <v>0.16650000000000001</v>
      </c>
      <c r="E28">
        <v>0.16839999999999999</v>
      </c>
      <c r="F28">
        <v>496439208</v>
      </c>
      <c r="G28">
        <v>0.16839999999999999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-0.37704918032787316</v>
      </c>
      <c r="Q28">
        <f t="shared" ref="Q28" si="116">F28*P28</f>
        <v>-187181996.45901853</v>
      </c>
      <c r="R28">
        <f t="shared" ref="R28" si="117">R29+Q28</f>
        <v>151100363738.12567</v>
      </c>
      <c r="S28">
        <f t="shared" ref="S28" si="118">R28/100000</f>
        <v>1511003.6373812568</v>
      </c>
      <c r="T28">
        <f t="shared" ref="T28" si="119">S28/1000</f>
        <v>1511.0036373812568</v>
      </c>
    </row>
    <row r="29" spans="1:20" x14ac:dyDescent="0.25">
      <c r="A29" s="5">
        <v>44564</v>
      </c>
      <c r="B29">
        <v>0.17449999999999999</v>
      </c>
      <c r="C29">
        <v>0.17449999999999999</v>
      </c>
      <c r="D29">
        <v>0.16739999999999999</v>
      </c>
      <c r="E29">
        <v>0.17030000000000001</v>
      </c>
      <c r="F29">
        <v>460985351</v>
      </c>
      <c r="G29">
        <v>0.17030000000000001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-0.18309859154929137</v>
      </c>
      <c r="Q29">
        <f t="shared" ref="Q29" si="121">F29*P29</f>
        <v>-84405768.492955714</v>
      </c>
      <c r="R29">
        <f t="shared" ref="R29" si="122">R30+Q29</f>
        <v>151287545734.58469</v>
      </c>
      <c r="S29">
        <f t="shared" ref="S29" si="123">R29/100000</f>
        <v>1512875.4573458468</v>
      </c>
      <c r="T29">
        <f t="shared" ref="T29" si="124">S29/1000</f>
        <v>1512.8754573458468</v>
      </c>
    </row>
    <row r="30" spans="1:20" x14ac:dyDescent="0.25">
      <c r="A30" s="5">
        <v>44563</v>
      </c>
      <c r="B30">
        <v>0.1731</v>
      </c>
      <c r="C30">
        <v>0.17630000000000001</v>
      </c>
      <c r="D30">
        <v>0.17050000000000001</v>
      </c>
      <c r="E30">
        <v>0.17449999999999999</v>
      </c>
      <c r="F30">
        <v>312955886</v>
      </c>
      <c r="G30">
        <v>0.17449999999999999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0.37931034482757797</v>
      </c>
      <c r="Q30">
        <f t="shared" ref="Q30" si="126">F30*P30</f>
        <v>118707405.03448018</v>
      </c>
      <c r="R30">
        <f t="shared" ref="R30" si="127">R31+Q30</f>
        <v>151371951503.07764</v>
      </c>
      <c r="S30">
        <f t="shared" ref="S30" si="128">R30/100000</f>
        <v>1513719.5150307764</v>
      </c>
      <c r="T30">
        <f t="shared" ref="T30" si="129">S30/1000</f>
        <v>1513.7195150307764</v>
      </c>
    </row>
    <row r="31" spans="1:20" x14ac:dyDescent="0.25">
      <c r="A31" s="5">
        <v>44562</v>
      </c>
      <c r="B31">
        <v>0.17030000000000001</v>
      </c>
      <c r="C31">
        <v>0.17369999999999999</v>
      </c>
      <c r="D31">
        <v>0.16969999999999999</v>
      </c>
      <c r="E31">
        <v>0.17319999999999999</v>
      </c>
      <c r="F31">
        <v>297504077</v>
      </c>
      <c r="G31">
        <v>0.17319999999999999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0.75</v>
      </c>
      <c r="Q31">
        <f t="shared" ref="Q31" si="131">F31*P31</f>
        <v>223128057.75</v>
      </c>
      <c r="R31">
        <f t="shared" ref="R31" si="132">R32+Q31</f>
        <v>151253244098.04315</v>
      </c>
      <c r="S31">
        <f t="shared" ref="S31" si="133">R31/100000</f>
        <v>1512532.4409804316</v>
      </c>
      <c r="T31">
        <f t="shared" ref="T31" si="134">S31/1000</f>
        <v>1512.5324409804316</v>
      </c>
    </row>
    <row r="32" spans="1:20" x14ac:dyDescent="0.25">
      <c r="A32" s="5">
        <v>44561</v>
      </c>
      <c r="B32">
        <v>0.17100000000000001</v>
      </c>
      <c r="C32">
        <v>0.17580000000000001</v>
      </c>
      <c r="D32">
        <v>0.1661</v>
      </c>
      <c r="E32">
        <v>0.17030000000000001</v>
      </c>
      <c r="F32">
        <v>572705101</v>
      </c>
      <c r="G32">
        <v>0.17030000000000001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-0.13402061855670039</v>
      </c>
      <c r="Q32">
        <f t="shared" ref="Q32" si="136">F32*P32</f>
        <v>-76754291.886597574</v>
      </c>
      <c r="R32">
        <f t="shared" ref="R32" si="137">R33+Q32</f>
        <v>151030116040.29315</v>
      </c>
      <c r="S32">
        <f t="shared" ref="S32" si="138">R32/100000</f>
        <v>1510301.1604029315</v>
      </c>
      <c r="T32">
        <f t="shared" ref="T32" si="139">S32/1000</f>
        <v>1510.3011604029316</v>
      </c>
    </row>
    <row r="33" spans="1:20" x14ac:dyDescent="0.25">
      <c r="A33" s="5">
        <v>44560</v>
      </c>
      <c r="B33">
        <v>0.16800000000000001</v>
      </c>
      <c r="C33">
        <v>0.17580000000000001</v>
      </c>
      <c r="D33">
        <v>0.1651</v>
      </c>
      <c r="E33">
        <v>0.1711</v>
      </c>
      <c r="F33">
        <v>524275170</v>
      </c>
      <c r="G33">
        <v>0.1711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0.12149532710280316</v>
      </c>
      <c r="Q33">
        <f t="shared" ref="Q33" si="141">F33*P33</f>
        <v>63696983.271027729</v>
      </c>
      <c r="R33">
        <f t="shared" ref="R33" si="142">R34+Q33</f>
        <v>151106870332.17975</v>
      </c>
      <c r="S33">
        <f t="shared" ref="S33" si="143">R33/100000</f>
        <v>1511068.7033217975</v>
      </c>
      <c r="T33">
        <f t="shared" ref="T33" si="144">S33/1000</f>
        <v>1511.0687033217976</v>
      </c>
    </row>
    <row r="34" spans="1:20" x14ac:dyDescent="0.25">
      <c r="A34" s="5">
        <v>44559</v>
      </c>
      <c r="B34">
        <v>0.17380000000000001</v>
      </c>
      <c r="C34">
        <v>0.17730000000000001</v>
      </c>
      <c r="D34">
        <v>0.1661</v>
      </c>
      <c r="E34">
        <v>0.16800000000000001</v>
      </c>
      <c r="F34">
        <v>716005365</v>
      </c>
      <c r="G34">
        <v>0.16800000000000001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-0.66071428571428392</v>
      </c>
      <c r="Q34">
        <f t="shared" ref="Q34" si="146">F34*P34</f>
        <v>-473074973.30357015</v>
      </c>
      <c r="R34">
        <f t="shared" ref="R34" si="147">R35+Q34</f>
        <v>151043173348.90872</v>
      </c>
      <c r="S34">
        <f t="shared" ref="S34" si="148">R34/100000</f>
        <v>1510431.7334890873</v>
      </c>
      <c r="T34">
        <f t="shared" ref="T34" si="149">S34/1000</f>
        <v>1510.4317334890873</v>
      </c>
    </row>
    <row r="35" spans="1:20" x14ac:dyDescent="0.25">
      <c r="A35" s="5">
        <v>44558</v>
      </c>
      <c r="B35">
        <v>0.18790000000000001</v>
      </c>
      <c r="C35">
        <v>0.188</v>
      </c>
      <c r="D35">
        <v>0.1716</v>
      </c>
      <c r="E35">
        <v>0.1739</v>
      </c>
      <c r="F35">
        <v>979781920</v>
      </c>
      <c r="G35">
        <v>0.1739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-0.71951219512195164</v>
      </c>
      <c r="Q35">
        <f t="shared" ref="Q35" si="151">F35*P35</f>
        <v>-704965040.00000036</v>
      </c>
      <c r="R35">
        <f t="shared" ref="R35" si="152">R36+Q35</f>
        <v>151516248322.21228</v>
      </c>
      <c r="S35">
        <f t="shared" ref="S35" si="153">R35/100000</f>
        <v>1515162.4832221228</v>
      </c>
      <c r="T35">
        <f t="shared" ref="T35" si="154">S35/1000</f>
        <v>1515.1624832221228</v>
      </c>
    </row>
    <row r="36" spans="1:20" x14ac:dyDescent="0.25">
      <c r="A36" s="5">
        <v>44557</v>
      </c>
      <c r="B36">
        <v>0.1898</v>
      </c>
      <c r="C36">
        <v>0.1928</v>
      </c>
      <c r="D36">
        <v>0.18629999999999999</v>
      </c>
      <c r="E36">
        <v>0.18790000000000001</v>
      </c>
      <c r="F36">
        <v>613110414</v>
      </c>
      <c r="G36">
        <v>0.18790000000000001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-0.50769230769230256</v>
      </c>
      <c r="Q36">
        <f t="shared" ref="Q36" si="156">F36*P36</f>
        <v>-311271440.953843</v>
      </c>
      <c r="R36">
        <f t="shared" ref="R36" si="157">R37+Q36</f>
        <v>152221213362.21228</v>
      </c>
      <c r="S36">
        <f t="shared" ref="S36" si="158">R36/100000</f>
        <v>1522212.1336221227</v>
      </c>
      <c r="T36">
        <f t="shared" ref="T36" si="159">S36/1000</f>
        <v>1522.2121336221228</v>
      </c>
    </row>
    <row r="37" spans="1:20" x14ac:dyDescent="0.25">
      <c r="A37" s="5">
        <v>44556</v>
      </c>
      <c r="B37">
        <v>0.1908</v>
      </c>
      <c r="C37">
        <v>0.1925</v>
      </c>
      <c r="D37">
        <v>0.18490000000000001</v>
      </c>
      <c r="E37">
        <v>0.1898</v>
      </c>
      <c r="F37">
        <v>537153520</v>
      </c>
      <c r="G37">
        <v>0.1898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0.28947368421052383</v>
      </c>
      <c r="Q37">
        <f t="shared" ref="Q37" si="161">F37*P37</f>
        <v>155491808.42105129</v>
      </c>
      <c r="R37">
        <f t="shared" ref="R37" si="162">R38+Q37</f>
        <v>152532484803.16614</v>
      </c>
      <c r="S37">
        <f t="shared" ref="S37" si="163">R37/100000</f>
        <v>1525324.8480316615</v>
      </c>
      <c r="T37">
        <f t="shared" ref="T37" si="164">S37/1000</f>
        <v>1525.3248480316615</v>
      </c>
    </row>
    <row r="38" spans="1:20" x14ac:dyDescent="0.25">
      <c r="A38" s="5">
        <v>44555</v>
      </c>
      <c r="B38">
        <v>0.1862</v>
      </c>
      <c r="C38">
        <v>0.19570000000000001</v>
      </c>
      <c r="D38">
        <v>0.1847</v>
      </c>
      <c r="E38">
        <v>0.1908</v>
      </c>
      <c r="F38">
        <v>883688963</v>
      </c>
      <c r="G38">
        <v>0.1908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0.10909090909090707</v>
      </c>
      <c r="Q38">
        <f t="shared" ref="Q38" si="166">F38*P38</f>
        <v>96402432.32727094</v>
      </c>
      <c r="R38">
        <f t="shared" ref="R38" si="167">R39+Q38</f>
        <v>152376992994.74509</v>
      </c>
      <c r="S38">
        <f t="shared" ref="S38" si="168">R38/100000</f>
        <v>1523769.9299474508</v>
      </c>
      <c r="T38">
        <f t="shared" ref="T38" si="169">S38/1000</f>
        <v>1523.7699299474507</v>
      </c>
    </row>
    <row r="39" spans="1:20" x14ac:dyDescent="0.25">
      <c r="A39" s="5">
        <v>44554</v>
      </c>
      <c r="B39">
        <v>0.18509999999999999</v>
      </c>
      <c r="C39">
        <v>0.19550000000000001</v>
      </c>
      <c r="D39">
        <v>0.17910000000000001</v>
      </c>
      <c r="E39">
        <v>0.1862</v>
      </c>
      <c r="F39">
        <v>1245909390</v>
      </c>
      <c r="G39">
        <v>0.1862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-0.13414634146341511</v>
      </c>
      <c r="Q39">
        <f t="shared" ref="Q39" si="171">F39*P39</f>
        <v>-167134186.46341524</v>
      </c>
      <c r="R39">
        <f t="shared" ref="R39" si="172">R40+Q39</f>
        <v>152280590562.41782</v>
      </c>
      <c r="S39">
        <f t="shared" ref="S39" si="173">R39/100000</f>
        <v>1522805.9056241782</v>
      </c>
      <c r="T39">
        <f t="shared" ref="T39" si="174">S39/1000</f>
        <v>1522.8059056241782</v>
      </c>
    </row>
    <row r="40" spans="1:20" x14ac:dyDescent="0.25">
      <c r="A40" s="5">
        <v>44553</v>
      </c>
      <c r="B40">
        <v>0.17299999999999999</v>
      </c>
      <c r="C40">
        <v>0.18509999999999999</v>
      </c>
      <c r="D40">
        <v>0.17119999999999999</v>
      </c>
      <c r="E40">
        <v>0.185</v>
      </c>
      <c r="F40">
        <v>1027458506</v>
      </c>
      <c r="G40">
        <v>0.185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0.98561151079136844</v>
      </c>
      <c r="Q40">
        <f t="shared" ref="Q40" si="176">F40*P40</f>
        <v>1012674930.3741022</v>
      </c>
      <c r="R40">
        <f t="shared" ref="R40" si="177">R41+Q40</f>
        <v>152447724748.88123</v>
      </c>
      <c r="S40">
        <f t="shared" ref="S40" si="178">R40/100000</f>
        <v>1524477.2474888123</v>
      </c>
      <c r="T40">
        <f t="shared" ref="T40" si="179">S40/1000</f>
        <v>1524.4772474888123</v>
      </c>
    </row>
    <row r="41" spans="1:20" x14ac:dyDescent="0.25">
      <c r="A41" s="5">
        <v>44552</v>
      </c>
      <c r="B41">
        <v>0.17080000000000001</v>
      </c>
      <c r="C41">
        <v>0.1799</v>
      </c>
      <c r="D41">
        <v>0.16969999999999999</v>
      </c>
      <c r="E41">
        <v>0.17299999999999999</v>
      </c>
      <c r="F41">
        <v>885691231</v>
      </c>
      <c r="G41">
        <v>0.17299999999999999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-0.3529411764705897</v>
      </c>
      <c r="Q41">
        <f t="shared" ref="Q41" si="181">F41*P41</f>
        <v>-312596905.05882484</v>
      </c>
      <c r="R41">
        <f t="shared" ref="R41" si="182">R42+Q41</f>
        <v>151435049818.50711</v>
      </c>
      <c r="S41">
        <f t="shared" ref="S41" si="183">R41/100000</f>
        <v>1514350.4981850712</v>
      </c>
      <c r="T41">
        <f t="shared" ref="T41" si="184">S41/1000</f>
        <v>1514.3504981850713</v>
      </c>
    </row>
    <row r="42" spans="1:20" x14ac:dyDescent="0.25">
      <c r="A42" s="5">
        <v>44551</v>
      </c>
      <c r="B42">
        <v>0.1671</v>
      </c>
      <c r="C42">
        <v>0.1724</v>
      </c>
      <c r="D42">
        <v>0.16569999999999999</v>
      </c>
      <c r="E42">
        <v>0.17069999999999999</v>
      </c>
      <c r="F42">
        <v>514233887</v>
      </c>
      <c r="G42">
        <v>0.17069999999999999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0.49253731343283458</v>
      </c>
      <c r="Q42">
        <f t="shared" ref="Q42" si="186">F42*P42</f>
        <v>253279377.17910385</v>
      </c>
      <c r="R42">
        <f t="shared" ref="R42" si="187">R43+Q42</f>
        <v>151747646723.56595</v>
      </c>
      <c r="S42">
        <f t="shared" ref="S42" si="188">R42/100000</f>
        <v>1517476.4672356595</v>
      </c>
      <c r="T42">
        <f t="shared" ref="T42" si="189">S42/1000</f>
        <v>1517.4764672356596</v>
      </c>
    </row>
    <row r="43" spans="1:20" x14ac:dyDescent="0.25">
      <c r="A43" s="5">
        <v>44550</v>
      </c>
      <c r="B43">
        <v>0.16950000000000001</v>
      </c>
      <c r="C43">
        <v>0.17080000000000001</v>
      </c>
      <c r="D43">
        <v>0.161</v>
      </c>
      <c r="E43">
        <v>0.1671</v>
      </c>
      <c r="F43">
        <v>823398873</v>
      </c>
      <c r="G43">
        <v>0.1671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0.24489795918367191</v>
      </c>
      <c r="Q43">
        <f t="shared" ref="Q43" si="191">F43*P43</f>
        <v>201648703.59183544</v>
      </c>
      <c r="R43">
        <f t="shared" ref="R43" si="192">R44+Q43</f>
        <v>151494367346.38684</v>
      </c>
      <c r="S43">
        <f t="shared" ref="S43" si="193">R43/100000</f>
        <v>1514943.6734638684</v>
      </c>
      <c r="T43">
        <f t="shared" ref="T43" si="194">S43/1000</f>
        <v>1514.9436734638684</v>
      </c>
    </row>
    <row r="44" spans="1:20" x14ac:dyDescent="0.25">
      <c r="A44" s="5">
        <v>44549</v>
      </c>
      <c r="B44">
        <v>0.17230000000000001</v>
      </c>
      <c r="C44">
        <v>0.17460000000000001</v>
      </c>
      <c r="D44">
        <v>0.1691</v>
      </c>
      <c r="E44">
        <v>0.1694</v>
      </c>
      <c r="F44">
        <v>479149291</v>
      </c>
      <c r="G44">
        <v>0.1694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-0.89090909090909298</v>
      </c>
      <c r="Q44">
        <f t="shared" ref="Q44" si="196">F44*P44</f>
        <v>-426878459.25454646</v>
      </c>
      <c r="R44">
        <f t="shared" ref="R44" si="197">R45+Q44</f>
        <v>151292718642.79501</v>
      </c>
      <c r="S44">
        <f t="shared" ref="S44" si="198">R44/100000</f>
        <v>1512927.1864279502</v>
      </c>
      <c r="T44">
        <f t="shared" ref="T44" si="199">S44/1000</f>
        <v>1512.9271864279501</v>
      </c>
    </row>
    <row r="45" spans="1:20" x14ac:dyDescent="0.25">
      <c r="A45" s="5">
        <v>44548</v>
      </c>
      <c r="B45">
        <v>0.16839999999999999</v>
      </c>
      <c r="C45">
        <v>0.1757</v>
      </c>
      <c r="D45">
        <v>0.16589999999999999</v>
      </c>
      <c r="E45">
        <v>0.17230000000000001</v>
      </c>
      <c r="F45">
        <v>594262965</v>
      </c>
      <c r="G45">
        <v>0.17230000000000001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0.30612244897959484</v>
      </c>
      <c r="Q45">
        <f t="shared" ref="Q45" si="201">F45*P45</f>
        <v>181917234.18367526</v>
      </c>
      <c r="R45">
        <f t="shared" ref="R45" si="202">R46+Q45</f>
        <v>151719597102.04956</v>
      </c>
      <c r="S45">
        <f t="shared" ref="S45" si="203">R45/100000</f>
        <v>1517195.9710204955</v>
      </c>
      <c r="T45">
        <f t="shared" ref="T45" si="204">S45/1000</f>
        <v>1517.1959710204956</v>
      </c>
    </row>
    <row r="46" spans="1:20" x14ac:dyDescent="0.25">
      <c r="A46" s="5">
        <v>44547</v>
      </c>
      <c r="B46">
        <v>0.17319999999999999</v>
      </c>
      <c r="C46">
        <v>0.17660000000000001</v>
      </c>
      <c r="D46">
        <v>0.16139999999999999</v>
      </c>
      <c r="E46">
        <v>0.16850000000000001</v>
      </c>
      <c r="F46">
        <v>1033871332</v>
      </c>
      <c r="G46">
        <v>0.16850000000000001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-6.5789473684208677E-2</v>
      </c>
      <c r="Q46">
        <f t="shared" ref="Q46" si="206">F46*P46</f>
        <v>-68017850.789471775</v>
      </c>
      <c r="R46">
        <f t="shared" ref="R46" si="207">R47+Q46</f>
        <v>151537679867.86588</v>
      </c>
      <c r="S46">
        <f t="shared" ref="S46" si="208">R46/100000</f>
        <v>1515376.7986786587</v>
      </c>
      <c r="T46">
        <f t="shared" ref="T46" si="209">S46/1000</f>
        <v>1515.3767986786586</v>
      </c>
    </row>
    <row r="47" spans="1:20" x14ac:dyDescent="0.25">
      <c r="A47" s="5">
        <v>44546</v>
      </c>
      <c r="B47">
        <v>0.18079999999999999</v>
      </c>
      <c r="C47">
        <v>0.18529999999999999</v>
      </c>
      <c r="D47">
        <v>0.17230000000000001</v>
      </c>
      <c r="E47">
        <v>0.17319999999999999</v>
      </c>
      <c r="F47">
        <v>1077785070</v>
      </c>
      <c r="G47">
        <v>0.17319999999999999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-0.86153846153846381</v>
      </c>
      <c r="Q47">
        <f t="shared" ref="Q47" si="211">F47*P47</f>
        <v>-928553291.07692552</v>
      </c>
      <c r="R47">
        <f t="shared" ref="R47" si="212">R48+Q47</f>
        <v>151605697718.65533</v>
      </c>
      <c r="S47">
        <f t="shared" ref="S47" si="213">R47/100000</f>
        <v>1516056.9771865534</v>
      </c>
      <c r="T47">
        <f t="shared" ref="T47" si="214">S47/1000</f>
        <v>1516.0569771865535</v>
      </c>
    </row>
    <row r="48" spans="1:20" x14ac:dyDescent="0.25">
      <c r="A48" s="5">
        <v>44545</v>
      </c>
      <c r="B48">
        <v>0.19089999999999999</v>
      </c>
      <c r="C48">
        <v>0.19120000000000001</v>
      </c>
      <c r="D48">
        <v>0.17030000000000001</v>
      </c>
      <c r="E48">
        <v>0.18079999999999999</v>
      </c>
      <c r="F48">
        <v>2177343912</v>
      </c>
      <c r="G48">
        <v>0.18079999999999999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4.7846889952134555E-3</v>
      </c>
      <c r="Q48">
        <f t="shared" ref="Q48" si="216">F48*P48</f>
        <v>10417913.454541415</v>
      </c>
      <c r="R48">
        <f t="shared" ref="R48" si="217">R49+Q48</f>
        <v>152534251009.73227</v>
      </c>
      <c r="S48">
        <f t="shared" ref="S48" si="218">R48/100000</f>
        <v>1525342.5100973228</v>
      </c>
      <c r="T48">
        <f t="shared" ref="T48" si="219">S48/1000</f>
        <v>1525.3425100973227</v>
      </c>
    </row>
    <row r="49" spans="1:20" x14ac:dyDescent="0.25">
      <c r="A49" s="5">
        <v>44544</v>
      </c>
      <c r="B49">
        <v>0.15740000000000001</v>
      </c>
      <c r="C49">
        <v>0.22040000000000001</v>
      </c>
      <c r="D49">
        <v>0.15490000000000001</v>
      </c>
      <c r="E49">
        <v>0.19089999999999999</v>
      </c>
      <c r="F49">
        <v>7338444571</v>
      </c>
      <c r="G49">
        <v>0.19089999999999999</v>
      </c>
      <c r="L49" t="s">
        <v>8</v>
      </c>
      <c r="M49" t="s">
        <v>8</v>
      </c>
      <c r="N49" t="s">
        <v>8</v>
      </c>
      <c r="P49">
        <f t="shared" ref="P49" si="220">IF(C49=D49,0,((E49-D49)-(C49-E49))/(C49-D49))</f>
        <v>9.9236641221373281E-2</v>
      </c>
      <c r="Q49">
        <f t="shared" ref="Q49" si="221">F49*P49</f>
        <v>728242591.01526153</v>
      </c>
      <c r="R49">
        <f t="shared" ref="R49" si="222">R50+Q49</f>
        <v>152523833096.27774</v>
      </c>
      <c r="S49">
        <f t="shared" ref="S49" si="223">R49/100000</f>
        <v>1525238.3309627774</v>
      </c>
      <c r="T49">
        <f t="shared" ref="T49" si="224">S49/1000</f>
        <v>1525.2383309627774</v>
      </c>
    </row>
    <row r="50" spans="1:20" x14ac:dyDescent="0.25">
      <c r="A50" s="5">
        <v>44543</v>
      </c>
      <c r="B50">
        <v>0.1696</v>
      </c>
      <c r="C50">
        <v>0.1704</v>
      </c>
      <c r="D50">
        <v>0.15140000000000001</v>
      </c>
      <c r="E50">
        <v>0.1573</v>
      </c>
      <c r="F50">
        <v>972416861</v>
      </c>
      <c r="G50">
        <v>0.1573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-0.37894736842105348</v>
      </c>
      <c r="Q50">
        <f t="shared" ref="Q50" si="226">F50*P50</f>
        <v>-368494810.48421133</v>
      </c>
      <c r="R50">
        <f t="shared" ref="R50" si="227">R51+Q50</f>
        <v>151795590505.26248</v>
      </c>
      <c r="S50">
        <f t="shared" ref="S50" si="228">R50/100000</f>
        <v>1517955.9050526249</v>
      </c>
      <c r="T50">
        <f t="shared" ref="T50" si="229">S50/1000</f>
        <v>1517.955905052625</v>
      </c>
    </row>
    <row r="51" spans="1:20" x14ac:dyDescent="0.25">
      <c r="A51" s="5">
        <v>44542</v>
      </c>
      <c r="B51">
        <v>0.16889999999999999</v>
      </c>
      <c r="C51">
        <v>0.17380000000000001</v>
      </c>
      <c r="D51">
        <v>0.1656</v>
      </c>
      <c r="E51">
        <v>0.16969999999999999</v>
      </c>
      <c r="F51">
        <v>499912432</v>
      </c>
      <c r="G51">
        <v>0.16969999999999999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-3.3848262945888864E-15</v>
      </c>
      <c r="Q51">
        <f t="shared" ref="Q51" si="231">F51*P51</f>
        <v>-1.6921167448254787E-6</v>
      </c>
      <c r="R51">
        <f t="shared" ref="R51" si="232">R52+Q51</f>
        <v>152164085315.7467</v>
      </c>
      <c r="S51">
        <f t="shared" ref="S51" si="233">R51/100000</f>
        <v>1521640.853157467</v>
      </c>
      <c r="T51">
        <f t="shared" ref="T51" si="234">S51/1000</f>
        <v>1521.6408531574671</v>
      </c>
    </row>
    <row r="52" spans="1:20" x14ac:dyDescent="0.25">
      <c r="A52" s="5">
        <v>44541</v>
      </c>
      <c r="B52">
        <v>0.1641</v>
      </c>
      <c r="C52">
        <v>0.16650000000000001</v>
      </c>
      <c r="D52">
        <v>0.16120000000000001</v>
      </c>
      <c r="E52">
        <v>0.16550000000000001</v>
      </c>
      <c r="F52">
        <v>68259246</v>
      </c>
      <c r="G52">
        <v>0.16550000000000001</v>
      </c>
      <c r="L52" t="s">
        <v>7</v>
      </c>
      <c r="M52" t="s">
        <v>8</v>
      </c>
      <c r="N52" t="s">
        <v>8</v>
      </c>
      <c r="P52">
        <f t="shared" ref="P52" si="235">IF(C52=D52,0,((E52-D52)-(C52-E52))/(C52-D52))</f>
        <v>0.6226415094339619</v>
      </c>
      <c r="Q52">
        <f t="shared" ref="Q52" si="236">F52*P52</f>
        <v>42501039.962264128</v>
      </c>
      <c r="R52">
        <f t="shared" ref="R52" si="237">R53+Q52</f>
        <v>152164085315.7467</v>
      </c>
      <c r="S52">
        <f t="shared" ref="S52" si="238">R52/100000</f>
        <v>1521640.853157467</v>
      </c>
      <c r="T52">
        <f t="shared" ref="T52" si="239">S52/1000</f>
        <v>1521.6408531574671</v>
      </c>
    </row>
    <row r="53" spans="1:20" x14ac:dyDescent="0.25">
      <c r="A53" s="5">
        <v>44540</v>
      </c>
      <c r="B53">
        <v>0.1691</v>
      </c>
      <c r="C53">
        <v>0.17480000000000001</v>
      </c>
      <c r="D53">
        <v>0.16320000000000001</v>
      </c>
      <c r="E53">
        <v>0.1641</v>
      </c>
      <c r="F53">
        <v>743981315</v>
      </c>
      <c r="G53">
        <v>0.1641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-0.84482758620689924</v>
      </c>
      <c r="Q53">
        <f t="shared" ref="Q53" si="241">F53*P53</f>
        <v>-628535938.53448474</v>
      </c>
      <c r="R53">
        <f t="shared" ref="R53" si="242">R54+Q53</f>
        <v>152121584275.78445</v>
      </c>
      <c r="S53">
        <f t="shared" ref="S53" si="243">R53/100000</f>
        <v>1521215.8427578446</v>
      </c>
      <c r="T53">
        <f t="shared" ref="T53" si="244">S53/1000</f>
        <v>1521.2158427578447</v>
      </c>
    </row>
    <row r="54" spans="1:20" x14ac:dyDescent="0.25">
      <c r="A54" s="5">
        <v>44539</v>
      </c>
      <c r="B54">
        <v>0.17910000000000001</v>
      </c>
      <c r="C54">
        <v>0.18329999999999999</v>
      </c>
      <c r="D54">
        <v>0.16850000000000001</v>
      </c>
      <c r="E54">
        <v>0.1691</v>
      </c>
      <c r="F54">
        <v>974195305</v>
      </c>
      <c r="G54">
        <v>0.1691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-0.91891891891892019</v>
      </c>
      <c r="Q54">
        <f t="shared" ref="Q54" si="246">F54*P54</f>
        <v>-895206496.48648775</v>
      </c>
      <c r="R54">
        <f t="shared" ref="R54" si="247">R55+Q54</f>
        <v>152750120214.31894</v>
      </c>
      <c r="S54">
        <f t="shared" ref="S54" si="248">R54/100000</f>
        <v>1527501.2021431895</v>
      </c>
      <c r="T54">
        <f t="shared" ref="T54" si="249">S54/1000</f>
        <v>1527.5012021431894</v>
      </c>
    </row>
    <row r="55" spans="1:20" x14ac:dyDescent="0.25">
      <c r="A55" s="5">
        <v>44538</v>
      </c>
      <c r="B55">
        <v>0.1762</v>
      </c>
      <c r="C55">
        <v>0.18210000000000001</v>
      </c>
      <c r="D55">
        <v>0.17199999999999999</v>
      </c>
      <c r="E55">
        <v>0.17899999999999999</v>
      </c>
      <c r="F55">
        <v>870067110</v>
      </c>
      <c r="G55">
        <v>0.17899999999999999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0.38613861386138387</v>
      </c>
      <c r="Q55">
        <f t="shared" ref="Q55" si="251">F55*P55</f>
        <v>335966507.8217802</v>
      </c>
      <c r="R55">
        <f t="shared" ref="R55" si="252">R56+Q55</f>
        <v>153645326710.80542</v>
      </c>
      <c r="S55">
        <f t="shared" ref="S55" si="253">R55/100000</f>
        <v>1536453.2671080541</v>
      </c>
      <c r="T55">
        <f t="shared" ref="T55" si="254">S55/1000</f>
        <v>1536.4532671080542</v>
      </c>
    </row>
    <row r="56" spans="1:20" x14ac:dyDescent="0.25">
      <c r="A56" s="5">
        <v>44537</v>
      </c>
      <c r="B56">
        <v>0.17749999999999999</v>
      </c>
      <c r="C56">
        <v>0.18390000000000001</v>
      </c>
      <c r="D56">
        <v>0.17460000000000001</v>
      </c>
      <c r="E56">
        <v>0.1762</v>
      </c>
      <c r="F56">
        <v>1069148248</v>
      </c>
      <c r="G56">
        <v>0.1762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-0.65591397849462585</v>
      </c>
      <c r="Q56">
        <f t="shared" ref="Q56" si="256">F56*P56</f>
        <v>-701269280.94623888</v>
      </c>
      <c r="R56">
        <f t="shared" ref="R56" si="257">R57+Q56</f>
        <v>153309360202.98364</v>
      </c>
      <c r="S56">
        <f t="shared" ref="S56" si="258">R56/100000</f>
        <v>1533093.6020298365</v>
      </c>
      <c r="T56">
        <f t="shared" ref="T56" si="259">S56/1000</f>
        <v>1533.0936020298366</v>
      </c>
    </row>
    <row r="57" spans="1:20" x14ac:dyDescent="0.25">
      <c r="A57" s="5">
        <v>44536</v>
      </c>
      <c r="B57">
        <v>0.17119999999999999</v>
      </c>
      <c r="C57">
        <v>0.1804</v>
      </c>
      <c r="D57">
        <v>0.15909999999999999</v>
      </c>
      <c r="E57">
        <v>0.17760000000000001</v>
      </c>
      <c r="F57">
        <v>1661970370</v>
      </c>
      <c r="G57">
        <v>0.17760000000000001</v>
      </c>
      <c r="L57" t="s">
        <v>7</v>
      </c>
      <c r="M57" t="s">
        <v>8</v>
      </c>
      <c r="N57" t="s">
        <v>8</v>
      </c>
      <c r="P57">
        <f t="shared" ref="P57" si="260">IF(C57=D57,0,((E57-D57)-(C57-E57))/(C57-D57))</f>
        <v>0.7370892018779347</v>
      </c>
      <c r="Q57">
        <f t="shared" ref="Q57" si="261">F57*P57</f>
        <v>1225020413.5680759</v>
      </c>
      <c r="R57">
        <f t="shared" ref="R57" si="262">R58+Q57</f>
        <v>154010629483.92987</v>
      </c>
      <c r="S57">
        <f t="shared" ref="S57" si="263">R57/100000</f>
        <v>1540106.2948392988</v>
      </c>
      <c r="T57">
        <f t="shared" ref="T57" si="264">S57/1000</f>
        <v>1540.1062948392989</v>
      </c>
    </row>
    <row r="58" spans="1:20" x14ac:dyDescent="0.25">
      <c r="A58" s="5">
        <v>44535</v>
      </c>
      <c r="B58">
        <v>0.17810000000000001</v>
      </c>
      <c r="C58">
        <v>0.1812</v>
      </c>
      <c r="D58">
        <v>0.16170000000000001</v>
      </c>
      <c r="E58">
        <v>0.17119999999999999</v>
      </c>
      <c r="F58">
        <v>1381389600</v>
      </c>
      <c r="G58">
        <v>0.17119999999999999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-2.5641025641027101E-2</v>
      </c>
      <c r="Q58">
        <f t="shared" ref="Q58" si="266">F58*P58</f>
        <v>-35420246.153848171</v>
      </c>
      <c r="R58">
        <f t="shared" ref="R58" si="267">R59+Q58</f>
        <v>152785609070.36179</v>
      </c>
      <c r="S58">
        <f t="shared" ref="S58" si="268">R58/100000</f>
        <v>1527856.0907036178</v>
      </c>
      <c r="T58">
        <f t="shared" ref="T58" si="269">S58/1000</f>
        <v>1527.8560907036178</v>
      </c>
    </row>
    <row r="59" spans="1:20" x14ac:dyDescent="0.25">
      <c r="A59" s="5">
        <v>44534</v>
      </c>
      <c r="B59">
        <v>0.19980000000000001</v>
      </c>
      <c r="C59">
        <v>0.20039999999999999</v>
      </c>
      <c r="D59">
        <v>0.13100000000000001</v>
      </c>
      <c r="E59">
        <v>0.17810000000000001</v>
      </c>
      <c r="F59">
        <v>5303849448.1999998</v>
      </c>
      <c r="G59">
        <v>0.17810000000000001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0.35734870317002909</v>
      </c>
      <c r="Q59">
        <f t="shared" ref="Q59" si="271">F59*P59</f>
        <v>1895323722.1233444</v>
      </c>
      <c r="R59">
        <f t="shared" ref="R59" si="272">R60+Q59</f>
        <v>152821029316.51563</v>
      </c>
      <c r="S59">
        <f t="shared" ref="S59" si="273">R59/100000</f>
        <v>1528210.2931651562</v>
      </c>
      <c r="T59">
        <f t="shared" ref="T59" si="274">S59/1000</f>
        <v>1528.2102931651561</v>
      </c>
    </row>
    <row r="60" spans="1:20" x14ac:dyDescent="0.25">
      <c r="A60" s="5">
        <v>44533</v>
      </c>
      <c r="B60">
        <v>0.20949999999999999</v>
      </c>
      <c r="C60">
        <v>0.2122</v>
      </c>
      <c r="D60">
        <v>0.19020000000000001</v>
      </c>
      <c r="E60">
        <v>0.19989999999999999</v>
      </c>
      <c r="F60">
        <v>1011968037</v>
      </c>
      <c r="G60">
        <v>0.19989999999999999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-0.11818181818181908</v>
      </c>
      <c r="Q60">
        <f t="shared" ref="Q60" si="276">F60*P60</f>
        <v>-119596222.55454637</v>
      </c>
      <c r="R60">
        <f t="shared" ref="R60" si="277">R61+Q60</f>
        <v>150925705594.39227</v>
      </c>
      <c r="S60">
        <f t="shared" ref="S60" si="278">R60/100000</f>
        <v>1509257.0559439228</v>
      </c>
      <c r="T60">
        <f t="shared" ref="T60" si="279">S60/1000</f>
        <v>1509.2570559439228</v>
      </c>
    </row>
    <row r="61" spans="1:20" x14ac:dyDescent="0.25">
      <c r="A61" s="5">
        <v>44532</v>
      </c>
      <c r="B61">
        <v>0.20930000000000001</v>
      </c>
      <c r="C61">
        <v>0.2233</v>
      </c>
      <c r="D61">
        <v>0.2011</v>
      </c>
      <c r="E61">
        <v>0.20949999999999999</v>
      </c>
      <c r="F61">
        <v>1689895075</v>
      </c>
      <c r="G61">
        <v>0.20949999999999999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-0.24324324324324398</v>
      </c>
      <c r="Q61">
        <f t="shared" ref="Q61" si="281">F61*P61</f>
        <v>-411055558.78378505</v>
      </c>
      <c r="R61">
        <f t="shared" ref="R61" si="282">R62+Q61</f>
        <v>151045301816.94681</v>
      </c>
      <c r="S61">
        <f t="shared" ref="S61" si="283">R61/100000</f>
        <v>1510453.018169468</v>
      </c>
      <c r="T61">
        <f t="shared" ref="T61" si="284">S61/1000</f>
        <v>1510.4530181694681</v>
      </c>
    </row>
    <row r="62" spans="1:20" x14ac:dyDescent="0.25">
      <c r="A62" s="5">
        <v>44531</v>
      </c>
      <c r="B62">
        <v>0.2147</v>
      </c>
      <c r="C62">
        <v>0.21890000000000001</v>
      </c>
      <c r="D62">
        <v>0.20580000000000001</v>
      </c>
      <c r="E62">
        <v>0.20930000000000001</v>
      </c>
      <c r="F62">
        <v>803902283</v>
      </c>
      <c r="G62">
        <v>0.20930000000000001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-0.46564885496183162</v>
      </c>
      <c r="Q62">
        <f t="shared" ref="Q62" si="286">F62*P62</f>
        <v>-374336177.58015233</v>
      </c>
      <c r="R62">
        <f t="shared" ref="R62" si="287">R63+Q62</f>
        <v>151456357375.73059</v>
      </c>
      <c r="S62">
        <f t="shared" ref="S62" si="288">R62/100000</f>
        <v>1514563.573757306</v>
      </c>
      <c r="T62">
        <f t="shared" ref="T62" si="289">S62/1000</f>
        <v>1514.5635737573059</v>
      </c>
    </row>
    <row r="63" spans="1:20" x14ac:dyDescent="0.25">
      <c r="A63" s="5">
        <v>44530</v>
      </c>
      <c r="B63">
        <v>0.21490000000000001</v>
      </c>
      <c r="C63">
        <v>0.22750000000000001</v>
      </c>
      <c r="D63">
        <v>0.21249999999999999</v>
      </c>
      <c r="E63">
        <v>0.2147</v>
      </c>
      <c r="F63">
        <v>1617695220</v>
      </c>
      <c r="G63">
        <v>0.2147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-0.70666666666666589</v>
      </c>
      <c r="Q63">
        <f t="shared" ref="Q63" si="291">F63*P63</f>
        <v>-1143171288.7999988</v>
      </c>
      <c r="R63">
        <f t="shared" ref="R63" si="292">R64+Q63</f>
        <v>151830693553.31073</v>
      </c>
      <c r="S63">
        <f t="shared" ref="S63" si="293">R63/100000</f>
        <v>1518306.9355331073</v>
      </c>
      <c r="T63">
        <f t="shared" ref="T63" si="294">S63/1000</f>
        <v>1518.3069355331072</v>
      </c>
    </row>
    <row r="64" spans="1:20" x14ac:dyDescent="0.25">
      <c r="A64" s="5">
        <v>44529</v>
      </c>
      <c r="B64">
        <v>0.2072</v>
      </c>
      <c r="C64">
        <v>0.22700000000000001</v>
      </c>
      <c r="D64">
        <v>0.20250000000000001</v>
      </c>
      <c r="E64">
        <v>0.215</v>
      </c>
      <c r="F64">
        <v>1857437869</v>
      </c>
      <c r="G64">
        <v>0.215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2.0408163265305014E-2</v>
      </c>
      <c r="Q64">
        <f t="shared" ref="Q64" si="296">F64*P64</f>
        <v>37906895.285712227</v>
      </c>
      <c r="R64">
        <f t="shared" ref="R64" si="297">R65+Q64</f>
        <v>152973864842.11072</v>
      </c>
      <c r="S64">
        <f t="shared" ref="S64" si="298">R64/100000</f>
        <v>1529738.6484211071</v>
      </c>
      <c r="T64">
        <f t="shared" ref="T64" si="299">S64/1000</f>
        <v>1529.7386484211072</v>
      </c>
    </row>
    <row r="65" spans="1:20" x14ac:dyDescent="0.25">
      <c r="A65" s="5">
        <v>44528</v>
      </c>
      <c r="B65">
        <v>0.2049</v>
      </c>
      <c r="C65">
        <v>0.2074</v>
      </c>
      <c r="D65">
        <v>0.19070000000000001</v>
      </c>
      <c r="E65">
        <v>0.20730000000000001</v>
      </c>
      <c r="F65">
        <v>858901257</v>
      </c>
      <c r="G65">
        <v>0.20730000000000001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0.98802395209580973</v>
      </c>
      <c r="Q65">
        <f t="shared" ref="Q65" si="301">F65*P65</f>
        <v>848615014.40119874</v>
      </c>
      <c r="R65">
        <f t="shared" ref="R65" si="302">R66+Q65</f>
        <v>152935957946.82501</v>
      </c>
      <c r="S65">
        <f t="shared" ref="S65" si="303">R65/100000</f>
        <v>1529359.57946825</v>
      </c>
      <c r="T65">
        <f t="shared" ref="T65" si="304">S65/1000</f>
        <v>1529.3595794682501</v>
      </c>
    </row>
    <row r="66" spans="1:20" x14ac:dyDescent="0.25">
      <c r="A66" s="5">
        <v>44527</v>
      </c>
      <c r="B66">
        <v>0.2016</v>
      </c>
      <c r="C66">
        <v>0.21</v>
      </c>
      <c r="D66">
        <v>0.20050000000000001</v>
      </c>
      <c r="E66">
        <v>0.2049</v>
      </c>
      <c r="F66">
        <v>908852823</v>
      </c>
      <c r="G66">
        <v>0.2049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-7.3684210526316588E-2</v>
      </c>
      <c r="Q66">
        <f t="shared" ref="Q66" si="306">F66*P66</f>
        <v>-66968102.747369148</v>
      </c>
      <c r="R66">
        <f t="shared" ref="R66" si="307">R67+Q66</f>
        <v>152087342932.42383</v>
      </c>
      <c r="S66">
        <f t="shared" ref="S66" si="308">R66/100000</f>
        <v>1520873.4293242383</v>
      </c>
      <c r="T66">
        <f t="shared" ref="T66" si="309">S66/1000</f>
        <v>1520.8734293242383</v>
      </c>
    </row>
    <row r="67" spans="1:20" x14ac:dyDescent="0.25">
      <c r="A67" s="5">
        <v>44526</v>
      </c>
      <c r="B67">
        <v>0.221</v>
      </c>
      <c r="C67">
        <v>0.22170000000000001</v>
      </c>
      <c r="D67">
        <v>0.186</v>
      </c>
      <c r="E67">
        <v>0.2016</v>
      </c>
      <c r="F67">
        <v>2305030656.3000002</v>
      </c>
      <c r="G67">
        <v>0.2016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-0.12605042016806731</v>
      </c>
      <c r="Q67">
        <f t="shared" ref="Q67" si="311">F67*P67</f>
        <v>-290550082.72689098</v>
      </c>
      <c r="R67">
        <f t="shared" ref="R67" si="312">R68+Q67</f>
        <v>152154311035.1712</v>
      </c>
      <c r="S67">
        <f t="shared" ref="S67" si="313">R67/100000</f>
        <v>1521543.110351712</v>
      </c>
      <c r="T67">
        <f t="shared" ref="T67" si="314">S67/1000</f>
        <v>1521.5431103517119</v>
      </c>
    </row>
    <row r="68" spans="1:20" x14ac:dyDescent="0.25">
      <c r="A68" s="5">
        <v>44525</v>
      </c>
      <c r="B68">
        <v>0.217</v>
      </c>
      <c r="C68">
        <v>0.22889999999999999</v>
      </c>
      <c r="D68">
        <v>0.21379999999999999</v>
      </c>
      <c r="E68">
        <v>0.22090000000000001</v>
      </c>
      <c r="F68">
        <v>1097415948</v>
      </c>
      <c r="G68">
        <v>0.22090000000000001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-5.9602649006619622E-2</v>
      </c>
      <c r="Q68">
        <f t="shared" ref="Q68" si="316">F68*P68</f>
        <v>-65408897.562910728</v>
      </c>
      <c r="R68">
        <f t="shared" ref="R68" si="317">R69+Q68</f>
        <v>152444861117.8981</v>
      </c>
      <c r="S68">
        <f t="shared" ref="S68" si="318">R68/100000</f>
        <v>1524448.6111789809</v>
      </c>
      <c r="T68">
        <f t="shared" ref="T68" si="319">S68/1000</f>
        <v>1524.4486111789809</v>
      </c>
    </row>
    <row r="69" spans="1:20" x14ac:dyDescent="0.25">
      <c r="A69" s="5">
        <v>44524</v>
      </c>
      <c r="B69">
        <v>0.22670000000000001</v>
      </c>
      <c r="C69">
        <v>0.23039999999999999</v>
      </c>
      <c r="D69">
        <v>0.21929999999999999</v>
      </c>
      <c r="E69">
        <v>0.22070000000000001</v>
      </c>
      <c r="F69">
        <v>355122560</v>
      </c>
      <c r="G69">
        <v>0.22070000000000001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-0.74774774774774555</v>
      </c>
      <c r="Q69">
        <f t="shared" ref="Q69" si="321">F69*P69</f>
        <v>-265542094.41441363</v>
      </c>
      <c r="R69">
        <f t="shared" ref="R69" si="322">R70+Q69</f>
        <v>152510270015.461</v>
      </c>
      <c r="S69">
        <f t="shared" ref="S69" si="323">R69/100000</f>
        <v>1525102.70015461</v>
      </c>
      <c r="T69">
        <f t="shared" ref="T69" si="324">S69/1000</f>
        <v>1525.1027001546099</v>
      </c>
    </row>
    <row r="70" spans="1:20" x14ac:dyDescent="0.25">
      <c r="A70" s="5">
        <v>44523</v>
      </c>
      <c r="B70">
        <v>0.21940000000000001</v>
      </c>
      <c r="C70">
        <v>0.2369</v>
      </c>
      <c r="D70">
        <v>0.2132</v>
      </c>
      <c r="E70">
        <v>0.2266</v>
      </c>
      <c r="F70">
        <v>1648276631</v>
      </c>
      <c r="G70">
        <v>0.2266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0.13080168776371273</v>
      </c>
      <c r="Q70">
        <f t="shared" ref="Q70" si="326">F70*P70</f>
        <v>215597365.23628634</v>
      </c>
      <c r="R70">
        <f t="shared" ref="R70" si="327">R71+Q70</f>
        <v>152775812109.87543</v>
      </c>
      <c r="S70">
        <f t="shared" ref="S70" si="328">R70/100000</f>
        <v>1527758.1210987542</v>
      </c>
      <c r="T70">
        <f t="shared" ref="T70" si="329">S70/1000</f>
        <v>1527.7581210987541</v>
      </c>
    </row>
    <row r="71" spans="1:20" x14ac:dyDescent="0.25">
      <c r="A71" s="5">
        <v>44522</v>
      </c>
      <c r="B71">
        <v>0.22559999999999999</v>
      </c>
      <c r="C71">
        <v>0.2273</v>
      </c>
      <c r="D71">
        <v>0.21629999999999999</v>
      </c>
      <c r="E71">
        <v>0.2195</v>
      </c>
      <c r="F71">
        <v>715429215</v>
      </c>
      <c r="G71">
        <v>0.2195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-0.41818181818181716</v>
      </c>
      <c r="Q71">
        <f t="shared" ref="Q71" si="331">F71*P71</f>
        <v>-299179489.90909016</v>
      </c>
      <c r="R71">
        <f t="shared" ref="R71" si="332">R72+Q71</f>
        <v>152560214744.63913</v>
      </c>
      <c r="S71">
        <f t="shared" ref="S71" si="333">R71/100000</f>
        <v>1525602.1474463914</v>
      </c>
      <c r="T71">
        <f t="shared" ref="T71" si="334">S71/1000</f>
        <v>1525.6021474463914</v>
      </c>
    </row>
    <row r="72" spans="1:20" x14ac:dyDescent="0.25">
      <c r="A72" s="5">
        <v>44521</v>
      </c>
      <c r="B72">
        <v>0.23300000000000001</v>
      </c>
      <c r="C72">
        <v>0.2334</v>
      </c>
      <c r="D72">
        <v>0.22500000000000001</v>
      </c>
      <c r="E72">
        <v>0.22550000000000001</v>
      </c>
      <c r="F72">
        <v>584498069</v>
      </c>
      <c r="G72">
        <v>0.22550000000000001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-0.88095238095238071</v>
      </c>
      <c r="Q72">
        <f t="shared" ref="Q72" si="336">F72*P72</f>
        <v>-514914965.54761893</v>
      </c>
      <c r="R72">
        <f t="shared" ref="R72" si="337">R73+Q72</f>
        <v>152859394234.54822</v>
      </c>
      <c r="S72">
        <f t="shared" ref="S72" si="338">R72/100000</f>
        <v>1528593.9423454821</v>
      </c>
      <c r="T72">
        <f t="shared" ref="T72" si="339">S72/1000</f>
        <v>1528.593942345482</v>
      </c>
    </row>
    <row r="73" spans="1:20" x14ac:dyDescent="0.25">
      <c r="A73" s="5">
        <v>44520</v>
      </c>
      <c r="B73">
        <v>0.23280000000000001</v>
      </c>
      <c r="C73">
        <v>0.23569999999999999</v>
      </c>
      <c r="D73">
        <v>0.22489999999999999</v>
      </c>
      <c r="E73">
        <v>0.23300000000000001</v>
      </c>
      <c r="F73">
        <v>638393250</v>
      </c>
      <c r="G73">
        <v>0.23300000000000001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0.50000000000000389</v>
      </c>
      <c r="Q73">
        <f t="shared" ref="Q73" si="341">F73*P73</f>
        <v>319196625.0000025</v>
      </c>
      <c r="R73">
        <f t="shared" ref="R73" si="342">R74+Q73</f>
        <v>153374309200.09583</v>
      </c>
      <c r="S73">
        <f t="shared" ref="S73" si="343">R73/100000</f>
        <v>1533743.0920009583</v>
      </c>
      <c r="T73">
        <f t="shared" ref="T73" si="344">S73/1000</f>
        <v>1533.7430920009583</v>
      </c>
    </row>
    <row r="74" spans="1:20" x14ac:dyDescent="0.25">
      <c r="A74" s="5">
        <v>44519</v>
      </c>
      <c r="B74">
        <v>0.22090000000000001</v>
      </c>
      <c r="C74">
        <v>0.2369</v>
      </c>
      <c r="D74">
        <v>0.2155</v>
      </c>
      <c r="E74">
        <v>0.2329</v>
      </c>
      <c r="F74">
        <v>1011256982</v>
      </c>
      <c r="G74">
        <v>0.2329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0.62616822429906516</v>
      </c>
      <c r="Q74">
        <f t="shared" ref="Q74" si="346">F74*P74</f>
        <v>633216988.72897172</v>
      </c>
      <c r="R74">
        <f t="shared" ref="R74" si="347">R75+Q74</f>
        <v>153055112575.09583</v>
      </c>
      <c r="S74">
        <f t="shared" ref="S74" si="348">R74/100000</f>
        <v>1530551.1257509582</v>
      </c>
      <c r="T74">
        <f t="shared" ref="T74" si="349">S74/1000</f>
        <v>1530.5511257509581</v>
      </c>
    </row>
    <row r="75" spans="1:20" x14ac:dyDescent="0.25">
      <c r="A75" s="5">
        <v>44518</v>
      </c>
      <c r="B75">
        <v>0.23730000000000001</v>
      </c>
      <c r="C75">
        <v>0.24129999999999999</v>
      </c>
      <c r="D75">
        <v>0.215</v>
      </c>
      <c r="E75">
        <v>0.2208</v>
      </c>
      <c r="F75">
        <v>1424059825</v>
      </c>
      <c r="G75">
        <v>0.2208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-0.55893536121672993</v>
      </c>
      <c r="Q75">
        <f t="shared" ref="Q75" si="351">F75*P75</f>
        <v>-795957392.68060827</v>
      </c>
      <c r="R75">
        <f t="shared" ref="R75" si="352">R76+Q75</f>
        <v>152421895586.36685</v>
      </c>
      <c r="S75">
        <f t="shared" ref="S75" si="353">R75/100000</f>
        <v>1524218.9558636686</v>
      </c>
      <c r="T75">
        <f t="shared" ref="T75" si="354">S75/1000</f>
        <v>1524.2189558636685</v>
      </c>
    </row>
    <row r="76" spans="1:20" x14ac:dyDescent="0.25">
      <c r="A76" s="5">
        <v>44517</v>
      </c>
      <c r="B76">
        <v>0.2364</v>
      </c>
      <c r="C76">
        <v>0.24129999999999999</v>
      </c>
      <c r="D76">
        <v>0.2293</v>
      </c>
      <c r="E76">
        <v>0.2374</v>
      </c>
      <c r="F76">
        <v>1016537117</v>
      </c>
      <c r="G76">
        <v>0.2374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0.35000000000000125</v>
      </c>
      <c r="Q76">
        <f t="shared" ref="Q76" si="356">F76*P76</f>
        <v>355787990.9500013</v>
      </c>
      <c r="R76">
        <f t="shared" ref="R76" si="357">R77+Q76</f>
        <v>153217852979.04745</v>
      </c>
      <c r="S76">
        <f t="shared" ref="S76" si="358">R76/100000</f>
        <v>1532178.5297904746</v>
      </c>
      <c r="T76">
        <f t="shared" ref="T76" si="359">S76/1000</f>
        <v>1532.1785297904746</v>
      </c>
    </row>
    <row r="77" spans="1:20" x14ac:dyDescent="0.25">
      <c r="A77" s="5">
        <v>44516</v>
      </c>
      <c r="B77">
        <v>0.25669999999999998</v>
      </c>
      <c r="C77">
        <v>0.25669999999999998</v>
      </c>
      <c r="D77">
        <v>0.2225</v>
      </c>
      <c r="E77">
        <v>0.23649999999999999</v>
      </c>
      <c r="F77">
        <v>1931306150</v>
      </c>
      <c r="G77">
        <v>0.23649999999999999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-0.18128654970760277</v>
      </c>
      <c r="Q77">
        <f t="shared" ref="Q77" si="361">F77*P77</f>
        <v>-350119828.36257392</v>
      </c>
      <c r="R77">
        <f t="shared" ref="R77" si="362">R78+Q77</f>
        <v>152862064988.09744</v>
      </c>
      <c r="S77">
        <f t="shared" ref="S77" si="363">R77/100000</f>
        <v>1528620.6498809743</v>
      </c>
      <c r="T77">
        <f t="shared" ref="T77" si="364">S77/1000</f>
        <v>1528.6206498809743</v>
      </c>
    </row>
    <row r="78" spans="1:20" x14ac:dyDescent="0.25">
      <c r="A78" s="5">
        <v>44515</v>
      </c>
      <c r="B78">
        <v>0.26279999999999998</v>
      </c>
      <c r="C78">
        <v>0.26540000000000002</v>
      </c>
      <c r="D78">
        <v>0.25530000000000003</v>
      </c>
      <c r="E78">
        <v>0.25659999999999999</v>
      </c>
      <c r="F78">
        <v>784663988</v>
      </c>
      <c r="G78">
        <v>0.25659999999999999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-0.7425742574257489</v>
      </c>
      <c r="Q78">
        <f t="shared" ref="Q78" si="366">F78*P78</f>
        <v>-582671278.21782672</v>
      </c>
      <c r="R78">
        <f t="shared" ref="R78" si="367">R79+Q78</f>
        <v>153212184816.46002</v>
      </c>
      <c r="S78">
        <f t="shared" ref="S78" si="368">R78/100000</f>
        <v>1532121.8481646003</v>
      </c>
      <c r="T78">
        <f t="shared" ref="T78" si="369">S78/1000</f>
        <v>1532.1218481646004</v>
      </c>
    </row>
    <row r="79" spans="1:20" x14ac:dyDescent="0.25">
      <c r="A79" s="5">
        <v>44514</v>
      </c>
      <c r="B79">
        <v>0.26119999999999999</v>
      </c>
      <c r="C79">
        <v>0.27189999999999998</v>
      </c>
      <c r="D79">
        <v>0.25969999999999999</v>
      </c>
      <c r="E79">
        <v>0.26279999999999998</v>
      </c>
      <c r="F79">
        <v>1109308026</v>
      </c>
      <c r="G79">
        <v>0.26279999999999998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-0.49180327868852547</v>
      </c>
      <c r="Q79">
        <f t="shared" ref="Q79" si="371">F79*P79</f>
        <v>-545561324.26229608</v>
      </c>
      <c r="R79">
        <f t="shared" ref="R79" si="372">R80+Q79</f>
        <v>153794856094.67786</v>
      </c>
      <c r="S79">
        <f t="shared" ref="S79" si="373">R79/100000</f>
        <v>1537948.5609467786</v>
      </c>
      <c r="T79">
        <f t="shared" ref="T79" si="374">S79/1000</f>
        <v>1537.9485609467786</v>
      </c>
    </row>
    <row r="80" spans="1:20" x14ac:dyDescent="0.25">
      <c r="A80" s="5">
        <v>44513</v>
      </c>
      <c r="B80">
        <v>0.25940000000000002</v>
      </c>
      <c r="C80">
        <v>0.26240000000000002</v>
      </c>
      <c r="D80">
        <v>0.25419999999999998</v>
      </c>
      <c r="E80">
        <v>0.26129999999999998</v>
      </c>
      <c r="F80">
        <v>730909452</v>
      </c>
      <c r="G80">
        <v>0.26129999999999998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0.73170731707316095</v>
      </c>
      <c r="Q80">
        <f t="shared" ref="Q80" si="376">F80*P80</f>
        <v>534811794.14633429</v>
      </c>
      <c r="R80">
        <f t="shared" ref="R80" si="377">R81+Q80</f>
        <v>154340417418.94016</v>
      </c>
      <c r="S80">
        <f t="shared" ref="S80" si="378">R80/100000</f>
        <v>1543404.1741894016</v>
      </c>
      <c r="T80">
        <f t="shared" ref="T80" si="379">S80/1000</f>
        <v>1543.4041741894016</v>
      </c>
    </row>
    <row r="81" spans="1:20" x14ac:dyDescent="0.25">
      <c r="A81" s="5">
        <v>44512</v>
      </c>
      <c r="B81">
        <v>0.26040000000000002</v>
      </c>
      <c r="C81">
        <v>0.26860000000000001</v>
      </c>
      <c r="D81">
        <v>0.24840000000000001</v>
      </c>
      <c r="E81">
        <v>0.25929999999999997</v>
      </c>
      <c r="F81">
        <v>1227134455</v>
      </c>
      <c r="G81">
        <v>0.25929999999999997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7.9207920792076003E-2</v>
      </c>
      <c r="Q81">
        <f t="shared" ref="Q81" si="381">F81*P81</f>
        <v>97198768.712867349</v>
      </c>
      <c r="R81">
        <f t="shared" ref="R81" si="382">R82+Q81</f>
        <v>153805605624.79382</v>
      </c>
      <c r="S81">
        <f t="shared" ref="S81" si="383">R81/100000</f>
        <v>1538056.0562479382</v>
      </c>
      <c r="T81">
        <f t="shared" ref="T81" si="384">S81/1000</f>
        <v>1538.0560562479382</v>
      </c>
    </row>
    <row r="82" spans="1:20" x14ac:dyDescent="0.25">
      <c r="A82" s="5">
        <v>44511</v>
      </c>
      <c r="B82">
        <v>0.25530000000000003</v>
      </c>
      <c r="C82">
        <v>0.27160000000000001</v>
      </c>
      <c r="D82">
        <v>0.25290000000000001</v>
      </c>
      <c r="E82">
        <v>0.26050000000000001</v>
      </c>
      <c r="F82">
        <v>1356541795</v>
      </c>
      <c r="G82">
        <v>0.26050000000000001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-0.18716577540106974</v>
      </c>
      <c r="Q82">
        <f t="shared" ref="Q82" si="386">F82*P82</f>
        <v>-253898196.925134</v>
      </c>
      <c r="R82">
        <f t="shared" ref="R82" si="387">R83+Q82</f>
        <v>153708406856.08096</v>
      </c>
      <c r="S82">
        <f t="shared" ref="S82" si="388">R82/100000</f>
        <v>1537084.0685608096</v>
      </c>
      <c r="T82">
        <f t="shared" ref="T82" si="389">S82/1000</f>
        <v>1537.0840685608096</v>
      </c>
    </row>
    <row r="83" spans="1:20" x14ac:dyDescent="0.25">
      <c r="A83" s="5">
        <v>44510</v>
      </c>
      <c r="B83">
        <v>0.2737</v>
      </c>
      <c r="C83">
        <v>0.27750000000000002</v>
      </c>
      <c r="D83">
        <v>0.23499999999999999</v>
      </c>
      <c r="E83">
        <v>0.25530000000000003</v>
      </c>
      <c r="F83">
        <v>2600272877</v>
      </c>
      <c r="G83">
        <v>0.25530000000000003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-4.4705882352940131E-2</v>
      </c>
      <c r="Q83">
        <f t="shared" ref="Q83" si="391">F83*P83</f>
        <v>-116247493.32470316</v>
      </c>
      <c r="R83">
        <f t="shared" ref="R83" si="392">R84+Q83</f>
        <v>153962305053.0061</v>
      </c>
      <c r="S83">
        <f t="shared" ref="S83" si="393">R83/100000</f>
        <v>1539623.0505300611</v>
      </c>
      <c r="T83">
        <f t="shared" ref="T83" si="394">S83/1000</f>
        <v>1539.6230505300612</v>
      </c>
    </row>
    <row r="84" spans="1:20" x14ac:dyDescent="0.25">
      <c r="A84" s="5">
        <v>44509</v>
      </c>
      <c r="B84">
        <v>0.28199999999999997</v>
      </c>
      <c r="C84">
        <v>0.29049999999999998</v>
      </c>
      <c r="D84">
        <v>0.27079999999999999</v>
      </c>
      <c r="E84">
        <v>0.27360000000000001</v>
      </c>
      <c r="F84">
        <v>1854893482</v>
      </c>
      <c r="G84">
        <v>0.27360000000000001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-0.71573604060913443</v>
      </c>
      <c r="Q84">
        <f t="shared" ref="Q84" si="396">F84*P84</f>
        <v>-1327614116.5583708</v>
      </c>
      <c r="R84">
        <f t="shared" ref="R84" si="397">R85+Q84</f>
        <v>154078552546.33081</v>
      </c>
      <c r="S84">
        <f t="shared" ref="S84" si="398">R84/100000</f>
        <v>1540785.5254633082</v>
      </c>
      <c r="T84">
        <f t="shared" ref="T84" si="399">S84/1000</f>
        <v>1540.7855254633082</v>
      </c>
    </row>
    <row r="85" spans="1:20" x14ac:dyDescent="0.25">
      <c r="A85" s="5">
        <v>44508</v>
      </c>
      <c r="B85">
        <v>0.26640000000000003</v>
      </c>
      <c r="C85">
        <v>0.29730000000000001</v>
      </c>
      <c r="D85">
        <v>0.26440000000000002</v>
      </c>
      <c r="E85">
        <v>0.28189999999999998</v>
      </c>
      <c r="F85">
        <v>3420674489</v>
      </c>
      <c r="G85">
        <v>0.28189999999999998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6.3829787234040619E-2</v>
      </c>
      <c r="Q85">
        <f t="shared" ref="Q85" si="401">F85*P85</f>
        <v>218340924.82978061</v>
      </c>
      <c r="R85">
        <f t="shared" ref="R85" si="402">R86+Q85</f>
        <v>155406166662.88919</v>
      </c>
      <c r="S85">
        <f t="shared" ref="S85" si="403">R85/100000</f>
        <v>1554061.6666288918</v>
      </c>
      <c r="T85">
        <f t="shared" ref="T85" si="404">S85/1000</f>
        <v>1554.0616666288918</v>
      </c>
    </row>
    <row r="86" spans="1:20" x14ac:dyDescent="0.25">
      <c r="A86" s="5">
        <v>44507</v>
      </c>
      <c r="B86">
        <v>0.26179999999999998</v>
      </c>
      <c r="C86">
        <v>0.26979999999999998</v>
      </c>
      <c r="D86">
        <v>0.25840000000000002</v>
      </c>
      <c r="E86">
        <v>0.26640000000000003</v>
      </c>
      <c r="F86">
        <v>912146975</v>
      </c>
      <c r="G86">
        <v>0.26640000000000003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0.40350877192983003</v>
      </c>
      <c r="Q86">
        <f t="shared" ref="Q86" si="406">F86*P86</f>
        <v>368059305.7017594</v>
      </c>
      <c r="R86">
        <f t="shared" ref="R86" si="407">R87+Q86</f>
        <v>155187825738.05942</v>
      </c>
      <c r="S86">
        <f t="shared" ref="S86" si="408">R86/100000</f>
        <v>1551878.2573805943</v>
      </c>
      <c r="T86">
        <f t="shared" ref="T86" si="409">S86/1000</f>
        <v>1551.8782573805943</v>
      </c>
    </row>
    <row r="87" spans="1:20" x14ac:dyDescent="0.25">
      <c r="A87" s="5">
        <v>44506</v>
      </c>
      <c r="B87">
        <v>0.26079999999999998</v>
      </c>
      <c r="C87">
        <v>0.2676</v>
      </c>
      <c r="D87">
        <v>0.25</v>
      </c>
      <c r="E87">
        <v>0.26179999999999998</v>
      </c>
      <c r="F87">
        <v>1135857725</v>
      </c>
      <c r="G87">
        <v>0.26179999999999998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0.340909090909088</v>
      </c>
      <c r="Q87">
        <f t="shared" ref="Q87" si="411">F87*P87</f>
        <v>387224224.43181485</v>
      </c>
      <c r="R87">
        <f t="shared" ref="R87" si="412">R88+Q87</f>
        <v>154819766432.35767</v>
      </c>
      <c r="S87">
        <f t="shared" ref="S87" si="413">R87/100000</f>
        <v>1548197.6643235767</v>
      </c>
      <c r="T87">
        <f t="shared" ref="T87" si="414">S87/1000</f>
        <v>1548.1976643235766</v>
      </c>
    </row>
    <row r="88" spans="1:20" x14ac:dyDescent="0.25">
      <c r="A88" s="5">
        <v>44505</v>
      </c>
      <c r="B88">
        <v>0.26300000000000001</v>
      </c>
      <c r="C88">
        <v>0.27089999999999997</v>
      </c>
      <c r="D88">
        <v>0.25469999999999998</v>
      </c>
      <c r="E88">
        <v>0.26090000000000002</v>
      </c>
      <c r="F88">
        <v>1282376452</v>
      </c>
      <c r="G88">
        <v>0.26090000000000002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-0.23456790123456275</v>
      </c>
      <c r="Q88">
        <f t="shared" ref="Q88" si="416">F88*P88</f>
        <v>-300804352.93826503</v>
      </c>
      <c r="R88">
        <f t="shared" ref="R88" si="417">R89+Q88</f>
        <v>154432542207.92584</v>
      </c>
      <c r="S88">
        <f t="shared" ref="S88" si="418">R88/100000</f>
        <v>1544325.4220792584</v>
      </c>
      <c r="T88">
        <f t="shared" ref="T88" si="419">S88/1000</f>
        <v>1544.3254220792583</v>
      </c>
    </row>
    <row r="89" spans="1:20" x14ac:dyDescent="0.25">
      <c r="A89" s="5">
        <v>44504</v>
      </c>
      <c r="B89">
        <v>0.26889999999999997</v>
      </c>
      <c r="C89">
        <v>0.27089999999999997</v>
      </c>
      <c r="D89">
        <v>0.25390000000000001</v>
      </c>
      <c r="E89">
        <v>0.26300000000000001</v>
      </c>
      <c r="F89">
        <v>1446957670</v>
      </c>
      <c r="G89">
        <v>0.26300000000000001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7.0588235294119839E-2</v>
      </c>
      <c r="Q89">
        <f t="shared" ref="Q89" si="421">F89*P89</f>
        <v>102138188.47059141</v>
      </c>
      <c r="R89">
        <f t="shared" ref="R89" si="422">R90+Q89</f>
        <v>154733346560.86411</v>
      </c>
      <c r="S89">
        <f t="shared" ref="S89" si="423">R89/100000</f>
        <v>1547333.465608641</v>
      </c>
      <c r="T89">
        <f t="shared" ref="T89" si="424">S89/1000</f>
        <v>1547.3334656086411</v>
      </c>
    </row>
    <row r="90" spans="1:20" x14ac:dyDescent="0.25">
      <c r="A90" s="5">
        <v>44503</v>
      </c>
      <c r="B90">
        <v>0.27389999999999998</v>
      </c>
      <c r="C90">
        <v>0.27760000000000001</v>
      </c>
      <c r="D90">
        <v>0.26200000000000001</v>
      </c>
      <c r="E90">
        <v>0.26889999999999997</v>
      </c>
      <c r="F90">
        <v>1607498166</v>
      </c>
      <c r="G90">
        <v>0.26889999999999997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-0.11538461538462044</v>
      </c>
      <c r="Q90">
        <f t="shared" ref="Q90" si="426">F90*P90</f>
        <v>-185480557.61539274</v>
      </c>
      <c r="R90">
        <f t="shared" ref="R90" si="427">R91+Q90</f>
        <v>154631208372.39352</v>
      </c>
      <c r="S90">
        <f t="shared" ref="S90" si="428">R90/100000</f>
        <v>1546312.0837239353</v>
      </c>
      <c r="T90">
        <f t="shared" ref="T90" si="429">S90/1000</f>
        <v>1546.3120837239353</v>
      </c>
    </row>
    <row r="91" spans="1:20" x14ac:dyDescent="0.25">
      <c r="A91" s="5">
        <v>44502</v>
      </c>
      <c r="B91">
        <v>0.27160000000000001</v>
      </c>
      <c r="C91">
        <v>0.28100000000000003</v>
      </c>
      <c r="D91">
        <v>0.2666</v>
      </c>
      <c r="E91">
        <v>0.27389999999999998</v>
      </c>
      <c r="F91">
        <v>1912493294</v>
      </c>
      <c r="G91">
        <v>0.27389999999999998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1.3888888888883481E-2</v>
      </c>
      <c r="Q91">
        <f t="shared" ref="Q91" si="431">F91*P91</f>
        <v>26562406.861100767</v>
      </c>
      <c r="R91">
        <f t="shared" ref="R91" si="432">R92+Q91</f>
        <v>154816688930.00891</v>
      </c>
      <c r="S91">
        <f t="shared" ref="S91" si="433">R91/100000</f>
        <v>1548166.8893000891</v>
      </c>
      <c r="T91">
        <f t="shared" ref="T91" si="434">S91/1000</f>
        <v>1548.166889300089</v>
      </c>
    </row>
    <row r="92" spans="1:20" x14ac:dyDescent="0.25">
      <c r="A92" s="5">
        <v>44501</v>
      </c>
      <c r="B92">
        <v>0.28000000000000003</v>
      </c>
      <c r="C92">
        <v>0.28660000000000002</v>
      </c>
      <c r="D92">
        <v>0.2631</v>
      </c>
      <c r="E92">
        <v>0.27160000000000001</v>
      </c>
      <c r="F92">
        <v>2497093967</v>
      </c>
      <c r="G92">
        <v>0.27160000000000001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-0.27659574468085107</v>
      </c>
      <c r="Q92">
        <f t="shared" ref="Q92" si="436">F92*P92</f>
        <v>-690685565.34042561</v>
      </c>
      <c r="R92">
        <f t="shared" ref="R92" si="437">R93+Q92</f>
        <v>154790126523.1478</v>
      </c>
      <c r="S92">
        <f t="shared" ref="S92" si="438">R92/100000</f>
        <v>1547901.265231478</v>
      </c>
      <c r="T92">
        <f t="shared" ref="T92" si="439">S92/1000</f>
        <v>1547.901265231478</v>
      </c>
    </row>
    <row r="93" spans="1:20" x14ac:dyDescent="0.25">
      <c r="A93" s="5">
        <v>44500</v>
      </c>
      <c r="B93">
        <v>0.26900000000000002</v>
      </c>
      <c r="C93">
        <v>0.28520000000000001</v>
      </c>
      <c r="D93">
        <v>0.252</v>
      </c>
      <c r="E93">
        <v>0.28000000000000003</v>
      </c>
      <c r="F93">
        <v>3857354566</v>
      </c>
      <c r="G93">
        <v>0.28000000000000003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0.68674698795180833</v>
      </c>
      <c r="Q93">
        <f t="shared" ref="Q93" si="441">F93*P93</f>
        <v>2649026629.6626549</v>
      </c>
      <c r="R93">
        <f t="shared" ref="R93" si="442">R94+Q93</f>
        <v>155480812088.48822</v>
      </c>
      <c r="S93">
        <f t="shared" ref="S93" si="443">R93/100000</f>
        <v>1554808.1208848823</v>
      </c>
      <c r="T93">
        <f t="shared" ref="T93" si="444">S93/1000</f>
        <v>1554.8081208848823</v>
      </c>
    </row>
    <row r="94" spans="1:20" x14ac:dyDescent="0.25">
      <c r="A94" s="5">
        <v>44499</v>
      </c>
      <c r="B94">
        <v>0.28820000000000001</v>
      </c>
      <c r="C94">
        <v>0.29499999999999998</v>
      </c>
      <c r="D94">
        <v>0.25800000000000001</v>
      </c>
      <c r="E94">
        <v>0.26900000000000002</v>
      </c>
      <c r="F94">
        <v>3441001301</v>
      </c>
      <c r="G94">
        <v>0.26900000000000002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-0.40540540540540454</v>
      </c>
      <c r="Q94">
        <f t="shared" ref="Q94" si="446">F94*P94</f>
        <v>-1395000527.4324296</v>
      </c>
      <c r="R94">
        <f t="shared" ref="R94" si="447">R95+Q94</f>
        <v>152831785458.82556</v>
      </c>
      <c r="S94">
        <f t="shared" ref="S94" si="448">R94/100000</f>
        <v>1528317.8545882555</v>
      </c>
      <c r="T94">
        <f t="shared" ref="T94" si="449">S94/1000</f>
        <v>1528.3178545882556</v>
      </c>
    </row>
    <row r="95" spans="1:20" x14ac:dyDescent="0.25">
      <c r="A95" s="5">
        <v>44498</v>
      </c>
      <c r="B95">
        <v>0.29970000000000002</v>
      </c>
      <c r="C95">
        <v>0.307</v>
      </c>
      <c r="D95">
        <v>0.2752</v>
      </c>
      <c r="E95">
        <v>0.28820000000000001</v>
      </c>
      <c r="F95">
        <v>4977184874</v>
      </c>
      <c r="G95">
        <v>0.28820000000000001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-0.18238993710691739</v>
      </c>
      <c r="Q95">
        <f t="shared" ref="Q95" si="451">F95*P95</f>
        <v>-907788436.13836062</v>
      </c>
      <c r="R95">
        <f t="shared" ref="R95" si="452">R96+Q95</f>
        <v>154226785986.258</v>
      </c>
      <c r="S95">
        <f t="shared" ref="S95" si="453">R95/100000</f>
        <v>1542267.85986258</v>
      </c>
      <c r="T95">
        <f t="shared" ref="T95" si="454">S95/1000</f>
        <v>1542.2678598625801</v>
      </c>
    </row>
    <row r="96" spans="1:20" x14ac:dyDescent="0.25">
      <c r="A96" s="5">
        <v>44497</v>
      </c>
      <c r="B96">
        <v>0.2379</v>
      </c>
      <c r="C96">
        <v>0.34</v>
      </c>
      <c r="D96">
        <v>0.2324</v>
      </c>
      <c r="E96">
        <v>0.29970000000000002</v>
      </c>
      <c r="F96">
        <v>17320109431</v>
      </c>
      <c r="G96">
        <v>0.29970000000000002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0.25092936802973992</v>
      </c>
      <c r="Q96">
        <f t="shared" ref="Q96" si="456">F96*P96</f>
        <v>4346124113.7267685</v>
      </c>
      <c r="R96">
        <f t="shared" ref="R96" si="457">R97+Q96</f>
        <v>155134574422.39636</v>
      </c>
      <c r="S96">
        <f t="shared" ref="S96" si="458">R96/100000</f>
        <v>1551345.7442239637</v>
      </c>
      <c r="T96">
        <f t="shared" ref="T96" si="459">S96/1000</f>
        <v>1551.3457442239637</v>
      </c>
    </row>
    <row r="97" spans="1:20" x14ac:dyDescent="0.25">
      <c r="A97" s="5">
        <v>44496</v>
      </c>
      <c r="B97">
        <v>0.25580000000000003</v>
      </c>
      <c r="C97">
        <v>0.2636</v>
      </c>
      <c r="D97">
        <v>0.21690000000000001</v>
      </c>
      <c r="E97">
        <v>0.2379</v>
      </c>
      <c r="F97">
        <v>5223432326</v>
      </c>
      <c r="G97">
        <v>0.2379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-0.10064239828693813</v>
      </c>
      <c r="Q97">
        <f t="shared" ref="Q97" si="461">F97*P97</f>
        <v>-525698756.57815969</v>
      </c>
      <c r="R97">
        <f t="shared" ref="R97" si="462">R98+Q97</f>
        <v>150788450308.66959</v>
      </c>
      <c r="S97">
        <f t="shared" ref="S97" si="463">R97/100000</f>
        <v>1507884.5030866959</v>
      </c>
      <c r="T97">
        <f t="shared" ref="T97" si="464">S97/1000</f>
        <v>1507.884503086696</v>
      </c>
    </row>
    <row r="98" spans="1:20" x14ac:dyDescent="0.25">
      <c r="A98" s="5">
        <v>44495</v>
      </c>
      <c r="B98">
        <v>0.2651</v>
      </c>
      <c r="C98">
        <v>0.27429999999999999</v>
      </c>
      <c r="D98">
        <v>0.252</v>
      </c>
      <c r="E98">
        <v>0.25590000000000002</v>
      </c>
      <c r="F98">
        <v>2132162373</v>
      </c>
      <c r="G98">
        <v>0.25590000000000002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-0.65022421524663521</v>
      </c>
      <c r="Q98">
        <f t="shared" ref="Q98" si="466">F98*P98</f>
        <v>-1386383605.7623284</v>
      </c>
      <c r="R98">
        <f t="shared" ref="R98" si="467">R99+Q98</f>
        <v>151314149065.24774</v>
      </c>
      <c r="S98">
        <f t="shared" ref="S98" si="468">R98/100000</f>
        <v>1513141.4906524774</v>
      </c>
      <c r="T98">
        <f t="shared" ref="T98" si="469">S98/1000</f>
        <v>1513.1414906524774</v>
      </c>
    </row>
    <row r="99" spans="1:20" x14ac:dyDescent="0.25">
      <c r="A99" s="5">
        <v>44494</v>
      </c>
      <c r="B99">
        <v>0.2757</v>
      </c>
      <c r="C99">
        <v>0.28050000000000003</v>
      </c>
      <c r="D99">
        <v>0.25850000000000001</v>
      </c>
      <c r="E99">
        <v>0.2651</v>
      </c>
      <c r="F99">
        <v>2939692178</v>
      </c>
      <c r="G99">
        <v>0.2651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-0.40000000000000102</v>
      </c>
      <c r="Q99">
        <f t="shared" ref="Q99" si="471">F99*P99</f>
        <v>-1175876871.2000029</v>
      </c>
      <c r="R99">
        <f t="shared" ref="R99" si="472">R100+Q99</f>
        <v>152700532671.01007</v>
      </c>
      <c r="S99">
        <f t="shared" ref="S99" si="473">R99/100000</f>
        <v>1527005.3267101008</v>
      </c>
      <c r="T99">
        <f t="shared" ref="T99" si="474">S99/1000</f>
        <v>1527.0053267101007</v>
      </c>
    </row>
    <row r="100" spans="1:20" x14ac:dyDescent="0.25">
      <c r="A100" s="5">
        <v>44493</v>
      </c>
      <c r="B100">
        <v>0.25109999999999999</v>
      </c>
      <c r="C100">
        <v>0.28320000000000001</v>
      </c>
      <c r="D100">
        <v>0.2457</v>
      </c>
      <c r="E100">
        <v>0.27560000000000001</v>
      </c>
      <c r="F100">
        <v>4887922846</v>
      </c>
      <c r="G100">
        <v>0.27560000000000001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0.59466666666666701</v>
      </c>
      <c r="Q100">
        <f t="shared" ref="Q100" si="476">F100*P100</f>
        <v>2906684785.7546682</v>
      </c>
      <c r="R100">
        <f t="shared" ref="R100" si="477">R101+Q100</f>
        <v>153876409542.21008</v>
      </c>
      <c r="S100">
        <f t="shared" ref="S100" si="478">R100/100000</f>
        <v>1538764.0954221007</v>
      </c>
      <c r="T100">
        <f t="shared" ref="T100" si="479">S100/1000</f>
        <v>1538.7640954221008</v>
      </c>
    </row>
    <row r="101" spans="1:20" x14ac:dyDescent="0.25">
      <c r="A101" s="5">
        <v>44492</v>
      </c>
      <c r="B101">
        <v>0.24460000000000001</v>
      </c>
      <c r="C101">
        <v>0.254</v>
      </c>
      <c r="D101">
        <v>0.24</v>
      </c>
      <c r="E101">
        <v>0.25109999999999999</v>
      </c>
      <c r="F101">
        <v>1258672648</v>
      </c>
      <c r="G101">
        <v>0.25109999999999999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0.58571428571428408</v>
      </c>
      <c r="Q101">
        <f t="shared" ref="Q101" si="481">F101*P101</f>
        <v>737222550.97142649</v>
      </c>
      <c r="R101">
        <f t="shared" ref="R101" si="482">R102+Q101</f>
        <v>150969724756.45541</v>
      </c>
      <c r="S101">
        <f t="shared" ref="S101" si="483">R101/100000</f>
        <v>1509697.2475645542</v>
      </c>
      <c r="T101">
        <f t="shared" ref="T101" si="484">S101/1000</f>
        <v>1509.6972475645541</v>
      </c>
    </row>
    <row r="102" spans="1:20" x14ac:dyDescent="0.25">
      <c r="A102" s="5">
        <v>44491</v>
      </c>
      <c r="B102">
        <v>0.24249999999999999</v>
      </c>
      <c r="C102">
        <v>0.25490000000000002</v>
      </c>
      <c r="D102">
        <v>0.23519999999999999</v>
      </c>
      <c r="E102">
        <v>0.24460000000000001</v>
      </c>
      <c r="F102">
        <v>1553243637</v>
      </c>
      <c r="G102">
        <v>0.24460000000000001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-4.5685279187816404E-2</v>
      </c>
      <c r="Q102">
        <f t="shared" ref="Q102" si="486">F102*P102</f>
        <v>-70960369.203044355</v>
      </c>
      <c r="R102">
        <f t="shared" ref="R102" si="487">R103+Q102</f>
        <v>150232502205.48398</v>
      </c>
      <c r="S102">
        <f t="shared" ref="S102" si="488">R102/100000</f>
        <v>1502325.0220548399</v>
      </c>
      <c r="T102">
        <f t="shared" ref="T102" si="489">S102/1000</f>
        <v>1502.3250220548398</v>
      </c>
    </row>
    <row r="103" spans="1:20" x14ac:dyDescent="0.25">
      <c r="A103" s="5">
        <v>44490</v>
      </c>
      <c r="B103">
        <v>0.25480000000000003</v>
      </c>
      <c r="C103">
        <v>0.25840000000000002</v>
      </c>
      <c r="D103">
        <v>0.2382</v>
      </c>
      <c r="E103">
        <v>0.2424</v>
      </c>
      <c r="F103">
        <v>1573673715</v>
      </c>
      <c r="G103">
        <v>0.2424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-0.58415841584158368</v>
      </c>
      <c r="Q103">
        <f t="shared" ref="Q103" si="491">F103*P103</f>
        <v>-919274744.40593982</v>
      </c>
      <c r="R103">
        <f t="shared" ref="R103" si="492">R104+Q103</f>
        <v>150303462574.68701</v>
      </c>
      <c r="S103">
        <f t="shared" ref="S103" si="493">R103/100000</f>
        <v>1503034.6257468702</v>
      </c>
      <c r="T103">
        <f t="shared" ref="T103" si="494">S103/1000</f>
        <v>1503.0346257468702</v>
      </c>
    </row>
    <row r="104" spans="1:20" x14ac:dyDescent="0.25">
      <c r="A104" s="5">
        <v>44489</v>
      </c>
      <c r="B104">
        <v>0.24540000000000001</v>
      </c>
      <c r="C104">
        <v>0.26200000000000001</v>
      </c>
      <c r="D104">
        <v>0.24210000000000001</v>
      </c>
      <c r="E104">
        <v>0.25480000000000003</v>
      </c>
      <c r="F104">
        <v>1638568849</v>
      </c>
      <c r="G104">
        <v>0.25480000000000003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0.27638190954774033</v>
      </c>
      <c r="Q104">
        <f t="shared" ref="Q104" si="496">F104*P104</f>
        <v>452870787.412063</v>
      </c>
      <c r="R104">
        <f t="shared" ref="R104" si="497">R105+Q104</f>
        <v>151222737319.09296</v>
      </c>
      <c r="S104">
        <f t="shared" ref="S104" si="498">R104/100000</f>
        <v>1512227.3731909296</v>
      </c>
      <c r="T104">
        <f t="shared" ref="T104" si="499">S104/1000</f>
        <v>1512.2273731909297</v>
      </c>
    </row>
    <row r="105" spans="1:20" x14ac:dyDescent="0.25">
      <c r="A105" s="5">
        <v>44488</v>
      </c>
      <c r="B105">
        <v>0.24740000000000001</v>
      </c>
      <c r="C105">
        <v>0.255</v>
      </c>
      <c r="D105">
        <v>0.2399</v>
      </c>
      <c r="E105">
        <v>0.24540000000000001</v>
      </c>
      <c r="F105">
        <v>1415459318</v>
      </c>
      <c r="G105">
        <v>0.24540000000000001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-0.27152317880794646</v>
      </c>
      <c r="Q105">
        <f t="shared" ref="Q105" si="501">F105*P105</f>
        <v>-384330013.49668795</v>
      </c>
      <c r="R105">
        <f t="shared" ref="R105" si="502">R106+Q105</f>
        <v>150769866531.68091</v>
      </c>
      <c r="S105">
        <f t="shared" ref="S105" si="503">R105/100000</f>
        <v>1507698.665316809</v>
      </c>
      <c r="T105">
        <f t="shared" ref="T105" si="504">S105/1000</f>
        <v>1507.698665316809</v>
      </c>
    </row>
    <row r="106" spans="1:20" x14ac:dyDescent="0.25">
      <c r="A106" s="5">
        <v>44487</v>
      </c>
      <c r="B106">
        <v>0.23769999999999999</v>
      </c>
      <c r="C106">
        <v>0.27300000000000002</v>
      </c>
      <c r="D106">
        <v>0.23699999999999999</v>
      </c>
      <c r="E106">
        <v>0.24740000000000001</v>
      </c>
      <c r="F106">
        <v>4909224967</v>
      </c>
      <c r="G106">
        <v>0.24740000000000001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-0.42222222222222161</v>
      </c>
      <c r="Q106">
        <f t="shared" ref="Q106" si="506">F106*P106</f>
        <v>-2072783874.9555526</v>
      </c>
      <c r="R106">
        <f t="shared" ref="R106" si="507">R107+Q106</f>
        <v>151154196545.17758</v>
      </c>
      <c r="S106">
        <f t="shared" ref="S106" si="508">R106/100000</f>
        <v>1511541.9654517758</v>
      </c>
      <c r="T106">
        <f t="shared" ref="T106" si="509">S106/1000</f>
        <v>1511.5419654517759</v>
      </c>
    </row>
    <row r="107" spans="1:20" x14ac:dyDescent="0.25">
      <c r="A107" s="5">
        <v>44486</v>
      </c>
      <c r="B107">
        <v>0.23730000000000001</v>
      </c>
      <c r="C107">
        <v>0.24210000000000001</v>
      </c>
      <c r="D107">
        <v>0.22520000000000001</v>
      </c>
      <c r="E107">
        <v>0.23780000000000001</v>
      </c>
      <c r="F107">
        <v>1210409235</v>
      </c>
      <c r="G107">
        <v>0.23780000000000001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0.49112426035502976</v>
      </c>
      <c r="Q107">
        <f t="shared" ref="Q107" si="511">F107*P107</f>
        <v>594461340.26627243</v>
      </c>
      <c r="R107">
        <f t="shared" ref="R107" si="512">R108+Q107</f>
        <v>153226980420.13315</v>
      </c>
      <c r="S107">
        <f t="shared" ref="S107" si="513">R107/100000</f>
        <v>1532269.8042013315</v>
      </c>
      <c r="T107">
        <f t="shared" ref="T107" si="514">S107/1000</f>
        <v>1532.2698042013315</v>
      </c>
    </row>
    <row r="108" spans="1:20" x14ac:dyDescent="0.25">
      <c r="A108" s="5">
        <v>44485</v>
      </c>
      <c r="B108">
        <v>0.2341</v>
      </c>
      <c r="C108">
        <v>0.24590000000000001</v>
      </c>
      <c r="D108">
        <v>0.23369999999999999</v>
      </c>
      <c r="E108">
        <v>0.23719999999999999</v>
      </c>
      <c r="F108">
        <v>1224144433</v>
      </c>
      <c r="G108">
        <v>0.23719999999999999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-0.42622950819672156</v>
      </c>
      <c r="Q108">
        <f t="shared" ref="Q108" si="516">F108*P108</f>
        <v>-521766479.63934457</v>
      </c>
      <c r="R108">
        <f t="shared" ref="R108" si="517">R109+Q108</f>
        <v>152632519079.86688</v>
      </c>
      <c r="S108">
        <f t="shared" ref="S108" si="518">R108/100000</f>
        <v>1526325.1907986689</v>
      </c>
      <c r="T108">
        <f t="shared" ref="T108" si="519">S108/1000</f>
        <v>1526.3251907986689</v>
      </c>
    </row>
    <row r="109" spans="1:20" x14ac:dyDescent="0.25">
      <c r="A109" s="5">
        <v>44484</v>
      </c>
      <c r="B109">
        <v>0.23250000000000001</v>
      </c>
      <c r="C109">
        <v>0.24360000000000001</v>
      </c>
      <c r="D109">
        <v>0.22389999999999999</v>
      </c>
      <c r="E109">
        <v>0.23400000000000001</v>
      </c>
      <c r="F109">
        <v>1457540715</v>
      </c>
      <c r="G109">
        <v>0.23400000000000001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2.5380710659899879E-2</v>
      </c>
      <c r="Q109">
        <f t="shared" ref="Q109" si="521">F109*P109</f>
        <v>36993419.162438594</v>
      </c>
      <c r="R109">
        <f t="shared" ref="R109" si="522">R110+Q109</f>
        <v>153154285559.50623</v>
      </c>
      <c r="S109">
        <f t="shared" ref="S109" si="523">R109/100000</f>
        <v>1531542.8555950623</v>
      </c>
      <c r="T109">
        <f t="shared" ref="T109" si="524">S109/1000</f>
        <v>1531.5428555950623</v>
      </c>
    </row>
    <row r="110" spans="1:20" x14ac:dyDescent="0.25">
      <c r="A110" s="5">
        <v>44483</v>
      </c>
      <c r="B110">
        <v>0.23250000000000001</v>
      </c>
      <c r="C110">
        <v>0.24030000000000001</v>
      </c>
      <c r="D110">
        <v>0.2311</v>
      </c>
      <c r="E110">
        <v>0.23250000000000001</v>
      </c>
      <c r="F110">
        <v>1098049682</v>
      </c>
      <c r="G110">
        <v>0.23250000000000001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-0.69565217391304124</v>
      </c>
      <c r="Q110">
        <f t="shared" ref="Q110" si="526">F110*P110</f>
        <v>-763860648.34782362</v>
      </c>
      <c r="R110">
        <f t="shared" ref="R110" si="527">R111+Q110</f>
        <v>153117292140.34378</v>
      </c>
      <c r="S110">
        <f t="shared" ref="S110" si="528">R110/100000</f>
        <v>1531172.9214034379</v>
      </c>
      <c r="T110">
        <f t="shared" ref="T110" si="529">S110/1000</f>
        <v>1531.1729214034378</v>
      </c>
    </row>
    <row r="111" spans="1:20" x14ac:dyDescent="0.25">
      <c r="A111" s="5">
        <v>44482</v>
      </c>
      <c r="B111">
        <v>0.22600000000000001</v>
      </c>
      <c r="C111">
        <v>0.23419999999999999</v>
      </c>
      <c r="D111">
        <v>0.2203</v>
      </c>
      <c r="E111">
        <v>0.2326</v>
      </c>
      <c r="F111">
        <v>1044380785</v>
      </c>
      <c r="G111">
        <v>0.2326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0.76978417266187182</v>
      </c>
      <c r="Q111">
        <f t="shared" ref="Q111" si="531">F111*P111</f>
        <v>803947798.52518129</v>
      </c>
      <c r="R111">
        <f t="shared" ref="R111" si="532">R112+Q111</f>
        <v>153881152788.69159</v>
      </c>
      <c r="S111">
        <f t="shared" ref="S111" si="533">R111/100000</f>
        <v>1538811.527886916</v>
      </c>
      <c r="T111">
        <f t="shared" ref="T111" si="534">S111/1000</f>
        <v>1538.8115278869159</v>
      </c>
    </row>
    <row r="112" spans="1:20" x14ac:dyDescent="0.25">
      <c r="A112" s="5">
        <v>44481</v>
      </c>
      <c r="B112">
        <v>0.23119999999999999</v>
      </c>
      <c r="C112">
        <v>0.23180000000000001</v>
      </c>
      <c r="D112">
        <v>0.216</v>
      </c>
      <c r="E112">
        <v>0.2261</v>
      </c>
      <c r="F112">
        <v>1030470079</v>
      </c>
      <c r="G112">
        <v>0.2261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0.27848101265822689</v>
      </c>
      <c r="Q112">
        <f t="shared" ref="Q112" si="536">F112*P112</f>
        <v>286966351.11392307</v>
      </c>
      <c r="R112">
        <f t="shared" ref="R112" si="537">R113+Q112</f>
        <v>153077204990.16641</v>
      </c>
      <c r="S112">
        <f t="shared" ref="S112" si="538">R112/100000</f>
        <v>1530772.049901664</v>
      </c>
      <c r="T112">
        <f t="shared" ref="T112" si="539">S112/1000</f>
        <v>1530.7720499016641</v>
      </c>
    </row>
    <row r="113" spans="1:20" x14ac:dyDescent="0.25">
      <c r="A113" s="5">
        <v>44480</v>
      </c>
      <c r="B113">
        <v>0.22869999999999999</v>
      </c>
      <c r="C113">
        <v>0.2394</v>
      </c>
      <c r="D113">
        <v>0.22489999999999999</v>
      </c>
      <c r="E113">
        <v>0.23119999999999999</v>
      </c>
      <c r="F113">
        <v>1072711057</v>
      </c>
      <c r="G113">
        <v>0.23119999999999999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-0.13103448275862145</v>
      </c>
      <c r="Q113">
        <f t="shared" ref="Q113" si="541">F113*P113</f>
        <v>-140562138.50344908</v>
      </c>
      <c r="R113">
        <f t="shared" ref="R113" si="542">R114+Q113</f>
        <v>152790238639.05249</v>
      </c>
      <c r="S113">
        <f t="shared" ref="S113" si="543">R113/100000</f>
        <v>1527902.3863905249</v>
      </c>
      <c r="T113">
        <f t="shared" ref="T113" si="544">S113/1000</f>
        <v>1527.902386390525</v>
      </c>
    </row>
    <row r="114" spans="1:20" x14ac:dyDescent="0.25">
      <c r="A114" s="5">
        <v>44479</v>
      </c>
      <c r="B114">
        <v>0.2467</v>
      </c>
      <c r="C114">
        <v>0.2487</v>
      </c>
      <c r="D114">
        <v>0.22600000000000001</v>
      </c>
      <c r="E114">
        <v>0.2288</v>
      </c>
      <c r="F114">
        <v>977648960</v>
      </c>
      <c r="G114">
        <v>0.2288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-0.75330396475770955</v>
      </c>
      <c r="Q114">
        <f t="shared" ref="Q114" si="546">F114*P114</f>
        <v>-736466837.7092514</v>
      </c>
      <c r="R114">
        <f t="shared" ref="R114" si="547">R115+Q114</f>
        <v>152930800777.55594</v>
      </c>
      <c r="S114">
        <f t="shared" ref="S114" si="548">R114/100000</f>
        <v>1529308.0077755593</v>
      </c>
      <c r="T114">
        <f t="shared" ref="T114" si="549">S114/1000</f>
        <v>1529.3080077755594</v>
      </c>
    </row>
    <row r="115" spans="1:20" x14ac:dyDescent="0.25">
      <c r="A115" s="5">
        <v>44478</v>
      </c>
      <c r="B115">
        <v>0.2442</v>
      </c>
      <c r="C115">
        <v>0.25269999999999998</v>
      </c>
      <c r="D115">
        <v>0.2407</v>
      </c>
      <c r="E115">
        <v>0.2467</v>
      </c>
      <c r="F115">
        <v>1073585552</v>
      </c>
      <c r="G115">
        <v>0.2467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2.3129646346357462E-15</v>
      </c>
      <c r="Q115">
        <f t="shared" ref="Q115" si="551">F115*P115</f>
        <v>2.4831654140318958E-6</v>
      </c>
      <c r="R115">
        <f t="shared" ref="R115" si="552">R116+Q115</f>
        <v>153667267615.2652</v>
      </c>
      <c r="S115">
        <f t="shared" ref="S115" si="553">R115/100000</f>
        <v>1536672.6761526519</v>
      </c>
      <c r="T115">
        <f t="shared" ref="T115" si="554">S115/1000</f>
        <v>1536.672676152652</v>
      </c>
    </row>
    <row r="116" spans="1:20" x14ac:dyDescent="0.25">
      <c r="A116" s="5">
        <v>44477</v>
      </c>
      <c r="B116">
        <v>0.2429</v>
      </c>
      <c r="C116">
        <v>0.25490000000000002</v>
      </c>
      <c r="D116">
        <v>0.2414</v>
      </c>
      <c r="E116">
        <v>0.24410000000000001</v>
      </c>
      <c r="F116">
        <v>1381822126</v>
      </c>
      <c r="G116">
        <v>0.24410000000000001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-0.5999999999999992</v>
      </c>
      <c r="Q116">
        <f t="shared" ref="Q116" si="556">F116*P116</f>
        <v>-829093275.59999895</v>
      </c>
      <c r="R116">
        <f t="shared" ref="R116" si="557">R117+Q116</f>
        <v>153667267615.2652</v>
      </c>
      <c r="S116">
        <f t="shared" ref="S116" si="558">R116/100000</f>
        <v>1536672.6761526519</v>
      </c>
      <c r="T116">
        <f t="shared" ref="T116" si="559">S116/1000</f>
        <v>1536.672676152652</v>
      </c>
    </row>
    <row r="117" spans="1:20" x14ac:dyDescent="0.25">
      <c r="A117" s="5">
        <v>44476</v>
      </c>
      <c r="B117">
        <v>0.25419999999999998</v>
      </c>
      <c r="C117">
        <v>0.25700000000000001</v>
      </c>
      <c r="D117">
        <v>0.23569999999999999</v>
      </c>
      <c r="E117">
        <v>0.24279999999999999</v>
      </c>
      <c r="F117">
        <v>2142393485</v>
      </c>
      <c r="G117">
        <v>0.24279999999999999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-0.3333333333333342</v>
      </c>
      <c r="Q117">
        <f t="shared" ref="Q117" si="561">F117*P117</f>
        <v>-714131161.66666853</v>
      </c>
      <c r="R117">
        <f t="shared" ref="R117" si="562">R118+Q117</f>
        <v>154496360890.8652</v>
      </c>
      <c r="S117">
        <f t="shared" ref="S117" si="563">R117/100000</f>
        <v>1544963.6089086521</v>
      </c>
      <c r="T117">
        <f t="shared" ref="T117" si="564">S117/1000</f>
        <v>1544.9636089086521</v>
      </c>
    </row>
    <row r="118" spans="1:20" x14ac:dyDescent="0.25">
      <c r="A118" s="5">
        <v>44475</v>
      </c>
      <c r="B118">
        <v>0.25169999999999998</v>
      </c>
      <c r="C118">
        <v>0.27189999999999998</v>
      </c>
      <c r="D118">
        <v>0.2422</v>
      </c>
      <c r="E118">
        <v>0.25409999999999999</v>
      </c>
      <c r="F118">
        <v>3681509190</v>
      </c>
      <c r="G118">
        <v>0.25409999999999999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-0.19865319865319842</v>
      </c>
      <c r="Q118">
        <f t="shared" ref="Q118" si="566">F118*P118</f>
        <v>-731343576.46464562</v>
      </c>
      <c r="R118">
        <f t="shared" ref="R118" si="567">R119+Q118</f>
        <v>155210492052.53186</v>
      </c>
      <c r="S118">
        <f t="shared" ref="S118" si="568">R118/100000</f>
        <v>1552104.9205253187</v>
      </c>
      <c r="T118">
        <f t="shared" ref="T118" si="569">S118/1000</f>
        <v>1552.1049205253187</v>
      </c>
    </row>
    <row r="119" spans="1:20" x14ac:dyDescent="0.25">
      <c r="A119" s="5">
        <v>44474</v>
      </c>
      <c r="B119">
        <v>0.24149999999999999</v>
      </c>
      <c r="C119">
        <v>0.26800000000000002</v>
      </c>
      <c r="D119">
        <v>0.23250000000000001</v>
      </c>
      <c r="E119">
        <v>0.25159999999999999</v>
      </c>
      <c r="F119">
        <v>3796153741</v>
      </c>
      <c r="G119">
        <v>0.25159999999999999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7.6056338028167664E-2</v>
      </c>
      <c r="Q119">
        <f t="shared" ref="Q119" si="571">F119*P119</f>
        <v>288721552.13238925</v>
      </c>
      <c r="R119">
        <f t="shared" ref="R119" si="572">R120+Q119</f>
        <v>155941835628.99652</v>
      </c>
      <c r="S119">
        <f t="shared" ref="S119" si="573">R119/100000</f>
        <v>1559418.3562899651</v>
      </c>
      <c r="T119">
        <f t="shared" ref="T119" si="574">S119/1000</f>
        <v>1559.418356289965</v>
      </c>
    </row>
    <row r="120" spans="1:20" x14ac:dyDescent="0.25">
      <c r="A120" s="5">
        <v>44473</v>
      </c>
      <c r="B120">
        <v>0.2218</v>
      </c>
      <c r="C120">
        <v>0.249</v>
      </c>
      <c r="D120">
        <v>0.21190000000000001</v>
      </c>
      <c r="E120">
        <v>0.2447</v>
      </c>
      <c r="F120">
        <v>3193208900</v>
      </c>
      <c r="G120">
        <v>0.2447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0.7681940700808626</v>
      </c>
      <c r="Q120">
        <f t="shared" ref="Q120" si="576">F120*P120</f>
        <v>2453004141.5094342</v>
      </c>
      <c r="R120">
        <f t="shared" ref="R120" si="577">R121+Q120</f>
        <v>155653114076.86414</v>
      </c>
      <c r="S120">
        <f t="shared" ref="S120" si="578">R120/100000</f>
        <v>1556531.1407686414</v>
      </c>
      <c r="T120">
        <f t="shared" ref="T120" si="579">S120/1000</f>
        <v>1556.5311407686413</v>
      </c>
    </row>
    <row r="121" spans="1:20" x14ac:dyDescent="0.25">
      <c r="A121" s="5">
        <v>44472</v>
      </c>
      <c r="B121">
        <v>0.21859999999999999</v>
      </c>
      <c r="C121">
        <v>0.2266</v>
      </c>
      <c r="D121">
        <v>0.2155</v>
      </c>
      <c r="E121">
        <v>0.2213</v>
      </c>
      <c r="F121">
        <v>691898440</v>
      </c>
      <c r="G121">
        <v>0.2213</v>
      </c>
      <c r="L121" t="s">
        <v>8</v>
      </c>
      <c r="M121" t="s">
        <v>7</v>
      </c>
      <c r="N121" t="s">
        <v>7</v>
      </c>
      <c r="P121">
        <f t="shared" ref="P121" si="580">IF(C121=D121,0,((E121-D121)-(C121-E121))/(C121-D121))</f>
        <v>4.5045045045045091E-2</v>
      </c>
      <c r="Q121">
        <f t="shared" ref="Q121" si="581">F121*P121</f>
        <v>31166596.396396428</v>
      </c>
      <c r="R121">
        <f t="shared" ref="R121" si="582">R122+Q121</f>
        <v>153200109935.35471</v>
      </c>
      <c r="S121">
        <f t="shared" ref="S121" si="583">R121/100000</f>
        <v>1532001.099353547</v>
      </c>
      <c r="T121">
        <f t="shared" ref="T121" si="584">S121/1000</f>
        <v>1532.001099353547</v>
      </c>
    </row>
    <row r="122" spans="1:20" x14ac:dyDescent="0.25">
      <c r="A122" s="5">
        <v>44471</v>
      </c>
      <c r="B122">
        <v>0.22270000000000001</v>
      </c>
      <c r="C122">
        <v>0.22500000000000001</v>
      </c>
      <c r="D122">
        <v>0.21510000000000001</v>
      </c>
      <c r="E122">
        <v>0.2185</v>
      </c>
      <c r="F122">
        <v>726979560</v>
      </c>
      <c r="G122">
        <v>0.2185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-0.31313131313131531</v>
      </c>
      <c r="Q122">
        <f t="shared" ref="Q122" si="586">F122*P122</f>
        <v>-227640064.24242583</v>
      </c>
      <c r="R122">
        <f t="shared" ref="R122" si="587">R123+Q122</f>
        <v>153168943338.95831</v>
      </c>
      <c r="S122">
        <f t="shared" ref="S122" si="588">R122/100000</f>
        <v>1531689.4333895831</v>
      </c>
      <c r="T122">
        <f t="shared" ref="T122" si="589">S122/1000</f>
        <v>1531.6894333895832</v>
      </c>
    </row>
    <row r="123" spans="1:20" x14ac:dyDescent="0.25">
      <c r="A123" s="5">
        <v>44470</v>
      </c>
      <c r="B123">
        <v>0.20430000000000001</v>
      </c>
      <c r="C123">
        <v>0.2253</v>
      </c>
      <c r="D123">
        <v>0.20180000000000001</v>
      </c>
      <c r="E123">
        <v>0.22259999999999999</v>
      </c>
      <c r="F123">
        <v>1029403020</v>
      </c>
      <c r="G123">
        <v>0.22259999999999999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0.77021276595744603</v>
      </c>
      <c r="Q123">
        <f t="shared" ref="Q123" si="591">F123*P123</f>
        <v>792859347.31914818</v>
      </c>
      <c r="R123">
        <f t="shared" ref="R123" si="592">R124+Q123</f>
        <v>153396583403.20074</v>
      </c>
      <c r="S123">
        <f t="shared" ref="S123" si="593">R123/100000</f>
        <v>1533965.8340320075</v>
      </c>
      <c r="T123">
        <f t="shared" ref="T123" si="594">S123/1000</f>
        <v>1533.9658340320075</v>
      </c>
    </row>
    <row r="124" spans="1:20" x14ac:dyDescent="0.25">
      <c r="A124" s="5">
        <v>44469</v>
      </c>
      <c r="B124">
        <v>0.19869999999999999</v>
      </c>
      <c r="C124">
        <v>0.20599999999999999</v>
      </c>
      <c r="D124">
        <v>0.1976</v>
      </c>
      <c r="E124">
        <v>0.20419999999999999</v>
      </c>
      <c r="F124">
        <v>525345573</v>
      </c>
      <c r="G124">
        <v>0.20419999999999999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0.57142857142857195</v>
      </c>
      <c r="Q124">
        <f t="shared" ref="Q124" si="596">F124*P124</f>
        <v>300197470.28571457</v>
      </c>
      <c r="R124">
        <f t="shared" ref="R124" si="597">R125+Q124</f>
        <v>152603724055.88159</v>
      </c>
      <c r="S124">
        <f t="shared" ref="S124" si="598">R124/100000</f>
        <v>1526037.2405588159</v>
      </c>
      <c r="T124">
        <f t="shared" ref="T124" si="599">S124/1000</f>
        <v>1526.0372405588159</v>
      </c>
    </row>
    <row r="125" spans="1:20" x14ac:dyDescent="0.25">
      <c r="A125" s="5">
        <v>44468</v>
      </c>
      <c r="B125">
        <v>0.1966</v>
      </c>
      <c r="C125">
        <v>0.20430000000000001</v>
      </c>
      <c r="D125">
        <v>0.1946</v>
      </c>
      <c r="E125">
        <v>0.19869999999999999</v>
      </c>
      <c r="F125">
        <v>508197881</v>
      </c>
      <c r="G125">
        <v>0.19869999999999999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-0.15463917525773474</v>
      </c>
      <c r="Q125">
        <f t="shared" ref="Q125" si="601">F125*P125</f>
        <v>-78587301.185568422</v>
      </c>
      <c r="R125">
        <f t="shared" ref="R125" si="602">R126+Q125</f>
        <v>152303526585.59589</v>
      </c>
      <c r="S125">
        <f t="shared" ref="S125" si="603">R125/100000</f>
        <v>1523035.2658559589</v>
      </c>
      <c r="T125">
        <f t="shared" ref="T125" si="604">S125/1000</f>
        <v>1523.0352658559589</v>
      </c>
    </row>
    <row r="126" spans="1:20" x14ac:dyDescent="0.25">
      <c r="A126" s="5">
        <v>44467</v>
      </c>
      <c r="B126">
        <v>0.19980000000000001</v>
      </c>
      <c r="C126">
        <v>0.20269999999999999</v>
      </c>
      <c r="D126">
        <v>0.19600000000000001</v>
      </c>
      <c r="E126">
        <v>0.19650000000000001</v>
      </c>
      <c r="F126">
        <v>478010126</v>
      </c>
      <c r="G126">
        <v>0.19650000000000001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-0.85074626865671588</v>
      </c>
      <c r="Q126">
        <f t="shared" ref="Q126" si="606">F126*P126</f>
        <v>-406665331.07462662</v>
      </c>
      <c r="R126">
        <f t="shared" ref="R126" si="607">R127+Q126</f>
        <v>152382113886.78146</v>
      </c>
      <c r="S126">
        <f t="shared" ref="S126" si="608">R126/100000</f>
        <v>1523821.1388678146</v>
      </c>
      <c r="T126">
        <f t="shared" ref="T126" si="609">S126/1000</f>
        <v>1523.8211388678146</v>
      </c>
    </row>
    <row r="127" spans="1:20" x14ac:dyDescent="0.25">
      <c r="A127" s="5">
        <v>44466</v>
      </c>
      <c r="B127">
        <v>0.20499999999999999</v>
      </c>
      <c r="C127">
        <v>0.20930000000000001</v>
      </c>
      <c r="D127">
        <v>0.1996</v>
      </c>
      <c r="E127">
        <v>0.19969999999999999</v>
      </c>
      <c r="F127">
        <v>447272392</v>
      </c>
      <c r="G127">
        <v>0.19969999999999999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-0.97938144329897137</v>
      </c>
      <c r="Q127">
        <f t="shared" ref="Q127" si="611">F127*P127</f>
        <v>-438050280.82474327</v>
      </c>
      <c r="R127">
        <f t="shared" ref="R127" si="612">R128+Q127</f>
        <v>152788779217.85608</v>
      </c>
      <c r="S127">
        <f t="shared" ref="S127" si="613">R127/100000</f>
        <v>1527887.7921785607</v>
      </c>
      <c r="T127">
        <f t="shared" ref="T127" si="614">S127/1000</f>
        <v>1527.8877921785609</v>
      </c>
    </row>
    <row r="128" spans="1:20" x14ac:dyDescent="0.25">
      <c r="A128" s="5">
        <v>44465</v>
      </c>
      <c r="B128">
        <v>0.2084</v>
      </c>
      <c r="C128">
        <v>0.2089</v>
      </c>
      <c r="D128">
        <v>0.19400000000000001</v>
      </c>
      <c r="E128">
        <v>0.20499999999999999</v>
      </c>
      <c r="F128">
        <v>778024870.70000005</v>
      </c>
      <c r="G128">
        <v>0.20499999999999999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0.47651006711409188</v>
      </c>
      <c r="Q128">
        <f t="shared" ref="Q128" si="616">F128*P128</f>
        <v>370736683.35368967</v>
      </c>
      <c r="R128">
        <f t="shared" ref="R128" si="617">R129+Q128</f>
        <v>153226829498.68082</v>
      </c>
      <c r="S128">
        <f t="shared" ref="S128" si="618">R128/100000</f>
        <v>1532268.2949868082</v>
      </c>
      <c r="T128">
        <f t="shared" ref="T128" si="619">S128/1000</f>
        <v>1532.2682949868083</v>
      </c>
    </row>
    <row r="129" spans="1:20" x14ac:dyDescent="0.25">
      <c r="A129" s="5">
        <v>44464</v>
      </c>
      <c r="B129">
        <v>0.2092</v>
      </c>
      <c r="C129">
        <v>0.214</v>
      </c>
      <c r="D129">
        <v>0.20430000000000001</v>
      </c>
      <c r="E129">
        <v>0.20830000000000001</v>
      </c>
      <c r="F129">
        <v>648108334</v>
      </c>
      <c r="G129">
        <v>0.20830000000000001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-0.17525773195876099</v>
      </c>
      <c r="Q129">
        <f t="shared" ref="Q129" si="621">F129*P129</f>
        <v>-113585996.68041115</v>
      </c>
      <c r="R129">
        <f t="shared" ref="R129" si="622">R130+Q129</f>
        <v>152856092815.32712</v>
      </c>
      <c r="S129">
        <f t="shared" ref="S129" si="623">R129/100000</f>
        <v>1528560.9281532711</v>
      </c>
      <c r="T129">
        <f t="shared" ref="T129" si="624">S129/1000</f>
        <v>1528.5609281532711</v>
      </c>
    </row>
    <row r="130" spans="1:20" x14ac:dyDescent="0.25">
      <c r="A130" s="5">
        <v>44463</v>
      </c>
      <c r="B130">
        <v>0.22450000000000001</v>
      </c>
      <c r="C130">
        <v>0.2291</v>
      </c>
      <c r="D130">
        <v>0.19650000000000001</v>
      </c>
      <c r="E130">
        <v>0.20910000000000001</v>
      </c>
      <c r="F130">
        <v>1446332143.9000001</v>
      </c>
      <c r="G130">
        <v>0.20910000000000001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-0.22699386503067462</v>
      </c>
      <c r="Q130">
        <f t="shared" ref="Q130" si="626">F130*P130</f>
        <v>-328308523.46196288</v>
      </c>
      <c r="R130">
        <f t="shared" ref="R130" si="627">R131+Q130</f>
        <v>152969678812.00754</v>
      </c>
      <c r="S130">
        <f t="shared" ref="S130" si="628">R130/100000</f>
        <v>1529696.7881200754</v>
      </c>
      <c r="T130">
        <f t="shared" ref="T130" si="629">S130/1000</f>
        <v>1529.6967881200753</v>
      </c>
    </row>
    <row r="131" spans="1:20" x14ac:dyDescent="0.25">
      <c r="A131" s="5">
        <v>44462</v>
      </c>
      <c r="B131">
        <v>0.22439999999999999</v>
      </c>
      <c r="C131">
        <v>0.2273</v>
      </c>
      <c r="D131">
        <v>0.2175</v>
      </c>
      <c r="E131">
        <v>0.22459999999999999</v>
      </c>
      <c r="F131">
        <v>809134784</v>
      </c>
      <c r="G131">
        <v>0.22459999999999999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0.44897959183673325</v>
      </c>
      <c r="Q131">
        <f t="shared" ref="Q131" si="631">F131*P131</f>
        <v>363285005.06122333</v>
      </c>
      <c r="R131">
        <f t="shared" ref="R131" si="632">R132+Q131</f>
        <v>153297987335.46951</v>
      </c>
      <c r="S131">
        <f t="shared" ref="S131" si="633">R131/100000</f>
        <v>1532979.873354695</v>
      </c>
      <c r="T131">
        <f t="shared" ref="T131" si="634">S131/1000</f>
        <v>1532.979873354695</v>
      </c>
    </row>
    <row r="132" spans="1:20" x14ac:dyDescent="0.25">
      <c r="A132" s="5">
        <v>44461</v>
      </c>
      <c r="B132">
        <v>0.20080000000000001</v>
      </c>
      <c r="C132">
        <v>0.23039999999999999</v>
      </c>
      <c r="D132">
        <v>0.19989999999999999</v>
      </c>
      <c r="E132">
        <v>0.22450000000000001</v>
      </c>
      <c r="F132">
        <v>1505717159.7</v>
      </c>
      <c r="G132">
        <v>0.22450000000000001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0.61311475409836136</v>
      </c>
      <c r="Q132">
        <f t="shared" ref="Q132" si="636">F132*P132</f>
        <v>923177406.1111486</v>
      </c>
      <c r="R132">
        <f t="shared" ref="R132" si="637">R133+Q132</f>
        <v>152934702330.40829</v>
      </c>
      <c r="S132">
        <f t="shared" ref="S132" si="638">R132/100000</f>
        <v>1529347.0233040829</v>
      </c>
      <c r="T132">
        <f t="shared" ref="T132" si="639">S132/1000</f>
        <v>1529.347023304083</v>
      </c>
    </row>
    <row r="133" spans="1:20" x14ac:dyDescent="0.25">
      <c r="A133" s="5">
        <v>44460</v>
      </c>
      <c r="B133">
        <v>0.20860000000000001</v>
      </c>
      <c r="C133">
        <v>0.2185</v>
      </c>
      <c r="D133">
        <v>0.1976</v>
      </c>
      <c r="E133">
        <v>0.2009</v>
      </c>
      <c r="F133">
        <v>1475472637.8</v>
      </c>
      <c r="G133">
        <v>0.2009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-0.68421052631578971</v>
      </c>
      <c r="Q133">
        <f t="shared" ref="Q133" si="641">F133*P133</f>
        <v>-1009533910.0736846</v>
      </c>
      <c r="R133">
        <f t="shared" ref="R133" si="642">R134+Q133</f>
        <v>152011524924.29715</v>
      </c>
      <c r="S133">
        <f t="shared" ref="S133" si="643">R133/100000</f>
        <v>1520115.2492429714</v>
      </c>
      <c r="T133">
        <f t="shared" ref="T133" si="644">S133/1000</f>
        <v>1520.1152492429715</v>
      </c>
    </row>
    <row r="134" spans="1:20" x14ac:dyDescent="0.25">
      <c r="A134" s="5">
        <v>44459</v>
      </c>
      <c r="B134">
        <v>0.2331</v>
      </c>
      <c r="C134">
        <v>0.23350000000000001</v>
      </c>
      <c r="D134">
        <v>0.21360000000000001</v>
      </c>
      <c r="E134">
        <v>0.2167</v>
      </c>
      <c r="F134">
        <v>652275304.39999998</v>
      </c>
      <c r="G134">
        <v>0.2167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-0.68844221105527725</v>
      </c>
      <c r="Q134">
        <f t="shared" ref="Q134" si="646">F134*P134</f>
        <v>-449053852.77789003</v>
      </c>
      <c r="R134">
        <f t="shared" ref="R134" si="647">R135+Q134</f>
        <v>153021058834.37082</v>
      </c>
      <c r="S134">
        <f t="shared" ref="S134" si="648">R134/100000</f>
        <v>1530210.5883437081</v>
      </c>
      <c r="T134">
        <f t="shared" ref="T134" si="649">S134/1000</f>
        <v>1530.210588343708</v>
      </c>
    </row>
    <row r="135" spans="1:20" x14ac:dyDescent="0.25">
      <c r="A135" s="5">
        <v>44458</v>
      </c>
      <c r="B135">
        <v>0.2414</v>
      </c>
      <c r="C135">
        <v>0.24149999999999999</v>
      </c>
      <c r="D135">
        <v>0.23069999999999999</v>
      </c>
      <c r="E135">
        <v>0.2331</v>
      </c>
      <c r="F135">
        <v>486273037</v>
      </c>
      <c r="G135">
        <v>0.2331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-0.55555555555555325</v>
      </c>
      <c r="Q135">
        <f t="shared" ref="Q135" si="651">F135*P135</f>
        <v>-270151687.22222108</v>
      </c>
      <c r="R135">
        <f t="shared" ref="R135" si="652">R136+Q135</f>
        <v>153470112687.14871</v>
      </c>
      <c r="S135">
        <f t="shared" ref="S135" si="653">R135/100000</f>
        <v>1534701.1268714871</v>
      </c>
      <c r="T135">
        <f t="shared" ref="T135" si="654">S135/1000</f>
        <v>1534.7011268714871</v>
      </c>
    </row>
    <row r="136" spans="1:20" x14ac:dyDescent="0.25">
      <c r="A136" s="5">
        <v>44457</v>
      </c>
      <c r="B136">
        <v>0.24010000000000001</v>
      </c>
      <c r="C136">
        <v>0.24740000000000001</v>
      </c>
      <c r="D136">
        <v>0.2379</v>
      </c>
      <c r="E136">
        <v>0.24129999999999999</v>
      </c>
      <c r="F136">
        <v>532008968</v>
      </c>
      <c r="G136">
        <v>0.24129999999999999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-0.28421052631579297</v>
      </c>
      <c r="Q136">
        <f t="shared" ref="Q136" si="656">F136*P136</f>
        <v>-151202548.80000186</v>
      </c>
      <c r="R136">
        <f t="shared" ref="R136" si="657">R137+Q136</f>
        <v>153740264374.37094</v>
      </c>
      <c r="S136">
        <f t="shared" ref="S136" si="658">R136/100000</f>
        <v>1537402.6437437094</v>
      </c>
      <c r="T136">
        <f t="shared" ref="T136" si="659">S136/1000</f>
        <v>1537.4026437437094</v>
      </c>
    </row>
    <row r="137" spans="1:20" x14ac:dyDescent="0.25">
      <c r="A137" s="5">
        <v>44456</v>
      </c>
      <c r="B137">
        <v>0.2419</v>
      </c>
      <c r="C137">
        <v>0.25990000000000002</v>
      </c>
      <c r="D137">
        <v>0.23730000000000001</v>
      </c>
      <c r="E137">
        <v>0.24010000000000001</v>
      </c>
      <c r="F137">
        <v>1532347235</v>
      </c>
      <c r="G137">
        <v>0.24010000000000001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-0.75221238938053137</v>
      </c>
      <c r="Q137">
        <f t="shared" ref="Q137" si="661">F137*P137</f>
        <v>-1152650575.0000007</v>
      </c>
      <c r="R137">
        <f t="shared" ref="R137" si="662">R138+Q137</f>
        <v>153891466923.17093</v>
      </c>
      <c r="S137">
        <f t="shared" ref="S137" si="663">R137/100000</f>
        <v>1538914.6692317093</v>
      </c>
      <c r="T137">
        <f t="shared" ref="T137" si="664">S137/1000</f>
        <v>1538.9146692317092</v>
      </c>
    </row>
    <row r="138" spans="1:20" x14ac:dyDescent="0.25">
      <c r="A138" s="5">
        <v>44455</v>
      </c>
      <c r="B138">
        <v>0.2477</v>
      </c>
      <c r="C138">
        <v>0.24790000000000001</v>
      </c>
      <c r="D138">
        <v>0.2329</v>
      </c>
      <c r="E138">
        <v>0.24179999999999999</v>
      </c>
      <c r="F138">
        <v>767085717</v>
      </c>
      <c r="G138">
        <v>0.24179999999999999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0.18666666666666445</v>
      </c>
      <c r="Q138">
        <f t="shared" ref="Q138" si="666">F138*P138</f>
        <v>143189333.8399983</v>
      </c>
      <c r="R138">
        <f t="shared" ref="R138" si="667">R139+Q138</f>
        <v>155044117498.17093</v>
      </c>
      <c r="S138">
        <f t="shared" ref="S138" si="668">R138/100000</f>
        <v>1550441.1749817093</v>
      </c>
      <c r="T138">
        <f t="shared" ref="T138" si="669">S138/1000</f>
        <v>1550.4411749817093</v>
      </c>
    </row>
    <row r="139" spans="1:20" x14ac:dyDescent="0.25">
      <c r="A139" s="5">
        <v>44454</v>
      </c>
      <c r="B139">
        <v>0.24060000000000001</v>
      </c>
      <c r="C139">
        <v>0.24840000000000001</v>
      </c>
      <c r="D139">
        <v>0.23880000000000001</v>
      </c>
      <c r="E139">
        <v>0.24759999999999999</v>
      </c>
      <c r="F139">
        <v>624731884</v>
      </c>
      <c r="G139">
        <v>0.24759999999999999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0.83333333333332849</v>
      </c>
      <c r="Q139">
        <f t="shared" ref="Q139" si="671">F139*P139</f>
        <v>520609903.33333033</v>
      </c>
      <c r="R139">
        <f t="shared" ref="R139" si="672">R140+Q139</f>
        <v>154900928164.33093</v>
      </c>
      <c r="S139">
        <f t="shared" ref="S139" si="673">R139/100000</f>
        <v>1549009.2816433094</v>
      </c>
      <c r="T139">
        <f t="shared" ref="T139" si="674">S139/1000</f>
        <v>1549.0092816433094</v>
      </c>
    </row>
    <row r="140" spans="1:20" x14ac:dyDescent="0.25">
      <c r="A140" s="5">
        <v>44453</v>
      </c>
      <c r="B140">
        <v>0.2359</v>
      </c>
      <c r="C140">
        <v>0.2417</v>
      </c>
      <c r="D140">
        <v>0.23350000000000001</v>
      </c>
      <c r="E140">
        <v>0.24060000000000001</v>
      </c>
      <c r="F140">
        <v>600777341</v>
      </c>
      <c r="G140">
        <v>0.24060000000000001</v>
      </c>
      <c r="L140" t="s">
        <v>7</v>
      </c>
      <c r="M140" t="s">
        <v>8</v>
      </c>
      <c r="N140" t="s">
        <v>7</v>
      </c>
      <c r="P140">
        <f t="shared" ref="P140" si="675">IF(C140=D140,0,((E140-D140)-(C140-E140))/(C140-D140))</f>
        <v>0.73170731707317271</v>
      </c>
      <c r="Q140">
        <f t="shared" ref="Q140" si="676">F140*P140</f>
        <v>439593176.34146458</v>
      </c>
      <c r="R140">
        <f t="shared" ref="R140" si="677">R141+Q140</f>
        <v>154380318260.99759</v>
      </c>
      <c r="S140">
        <f t="shared" ref="S140" si="678">R140/100000</f>
        <v>1543803.1826099758</v>
      </c>
      <c r="T140">
        <f t="shared" ref="T140" si="679">S140/1000</f>
        <v>1543.8031826099757</v>
      </c>
    </row>
    <row r="141" spans="1:20" x14ac:dyDescent="0.25">
      <c r="A141" s="5">
        <v>44452</v>
      </c>
      <c r="B141">
        <v>0.25040000000000001</v>
      </c>
      <c r="C141">
        <v>0.25230000000000002</v>
      </c>
      <c r="D141">
        <v>0.2281</v>
      </c>
      <c r="E141">
        <v>0.23580000000000001</v>
      </c>
      <c r="F141">
        <v>1194502511</v>
      </c>
      <c r="G141">
        <v>0.23580000000000001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-0.36363636363636331</v>
      </c>
      <c r="Q141">
        <f t="shared" ref="Q141" si="681">F141*P141</f>
        <v>-434364549.45454508</v>
      </c>
      <c r="R141">
        <f t="shared" ref="R141" si="682">R142+Q141</f>
        <v>153940725084.65613</v>
      </c>
      <c r="S141">
        <f t="shared" ref="S141" si="683">R141/100000</f>
        <v>1539407.2508465613</v>
      </c>
      <c r="T141">
        <f t="shared" ref="T141" si="684">S141/1000</f>
        <v>1539.4072508465613</v>
      </c>
    </row>
    <row r="142" spans="1:20" x14ac:dyDescent="0.25">
      <c r="A142" s="5">
        <v>44451</v>
      </c>
      <c r="B142">
        <v>0.24099999999999999</v>
      </c>
      <c r="C142">
        <v>0.25509999999999999</v>
      </c>
      <c r="D142">
        <v>0.2387</v>
      </c>
      <c r="E142">
        <v>0.25019999999999998</v>
      </c>
      <c r="F142">
        <v>824439503</v>
      </c>
      <c r="G142">
        <v>0.25019999999999998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0.40243902439024193</v>
      </c>
      <c r="Q142">
        <f t="shared" ref="Q142" si="686">F142*P142</f>
        <v>331786629.25609595</v>
      </c>
      <c r="R142">
        <f t="shared" ref="R142" si="687">R143+Q142</f>
        <v>154375089634.11069</v>
      </c>
      <c r="S142">
        <f t="shared" ref="S142" si="688">R142/100000</f>
        <v>1543750.8963411069</v>
      </c>
      <c r="T142">
        <f t="shared" ref="T142" si="689">S142/1000</f>
        <v>1543.7508963411069</v>
      </c>
    </row>
    <row r="143" spans="1:20" x14ac:dyDescent="0.25">
      <c r="A143" s="5">
        <v>44450</v>
      </c>
      <c r="B143">
        <v>0.23980000000000001</v>
      </c>
      <c r="C143">
        <v>0.24790000000000001</v>
      </c>
      <c r="D143">
        <v>0.23760000000000001</v>
      </c>
      <c r="E143">
        <v>0.24099999999999999</v>
      </c>
      <c r="F143">
        <v>574961334</v>
      </c>
      <c r="G143">
        <v>0.24099999999999999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-0.33980582524272135</v>
      </c>
      <c r="Q143">
        <f t="shared" ref="Q143" si="691">F143*P143</f>
        <v>-195375210.58252594</v>
      </c>
      <c r="R143">
        <f t="shared" ref="R143" si="692">R144+Q143</f>
        <v>154043303004.85458</v>
      </c>
      <c r="S143">
        <f t="shared" ref="S143" si="693">R143/100000</f>
        <v>1540433.0300485459</v>
      </c>
      <c r="T143">
        <f t="shared" ref="T143" si="694">S143/1000</f>
        <v>1540.433030048546</v>
      </c>
    </row>
    <row r="144" spans="1:20" x14ac:dyDescent="0.25">
      <c r="A144" s="5">
        <v>44449</v>
      </c>
      <c r="B144">
        <v>0.2525</v>
      </c>
      <c r="C144">
        <v>0.26200000000000001</v>
      </c>
      <c r="D144">
        <v>0.23530000000000001</v>
      </c>
      <c r="E144">
        <v>0.2397</v>
      </c>
      <c r="F144">
        <v>1039971873</v>
      </c>
      <c r="G144">
        <v>0.2397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-0.67041198501872756</v>
      </c>
      <c r="Q144">
        <f t="shared" ref="Q144" si="696">F144*P144</f>
        <v>-697209607.74157405</v>
      </c>
      <c r="R144">
        <f t="shared" ref="R144" si="697">R145+Q144</f>
        <v>154238678215.4371</v>
      </c>
      <c r="S144">
        <f t="shared" ref="S144" si="698">R144/100000</f>
        <v>1542386.782154371</v>
      </c>
      <c r="T144">
        <f t="shared" ref="T144" si="699">S144/1000</f>
        <v>1542.3867821543711</v>
      </c>
    </row>
    <row r="145" spans="1:20" x14ac:dyDescent="0.25">
      <c r="A145" s="5">
        <v>44448</v>
      </c>
      <c r="B145">
        <v>0.25659999999999999</v>
      </c>
      <c r="C145">
        <v>0.25969999999999999</v>
      </c>
      <c r="D145">
        <v>0.24859999999999999</v>
      </c>
      <c r="E145">
        <v>0.2525</v>
      </c>
      <c r="F145">
        <v>972908690</v>
      </c>
      <c r="G145">
        <v>0.2525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-0.29729729729729459</v>
      </c>
      <c r="Q145">
        <f t="shared" ref="Q145" si="701">F145*P145</f>
        <v>-289243124.0540514</v>
      </c>
      <c r="R145">
        <f t="shared" ref="R145" si="702">R146+Q145</f>
        <v>154935887823.17868</v>
      </c>
      <c r="S145">
        <f t="shared" ref="S145" si="703">R145/100000</f>
        <v>1549358.8782317869</v>
      </c>
      <c r="T145">
        <f t="shared" ref="T145" si="704">S145/1000</f>
        <v>1549.358878231787</v>
      </c>
    </row>
    <row r="146" spans="1:20" x14ac:dyDescent="0.25">
      <c r="A146" s="5">
        <v>44447</v>
      </c>
      <c r="B146">
        <v>0.25530000000000003</v>
      </c>
      <c r="C146">
        <v>0.26350000000000001</v>
      </c>
      <c r="D146">
        <v>0.23319999999999999</v>
      </c>
      <c r="E146">
        <v>0.25669999999999998</v>
      </c>
      <c r="F146">
        <v>2036725778</v>
      </c>
      <c r="G146">
        <v>0.25669999999999998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0.55115511551154961</v>
      </c>
      <c r="Q146">
        <f t="shared" ref="Q146" si="706">F146*P146</f>
        <v>1122551831.4389408</v>
      </c>
      <c r="R146">
        <f t="shared" ref="R146" si="707">R147+Q146</f>
        <v>155225130947.23273</v>
      </c>
      <c r="S146">
        <f t="shared" ref="S146" si="708">R146/100000</f>
        <v>1552251.3094723274</v>
      </c>
      <c r="T146">
        <f t="shared" ref="T146" si="709">S146/1000</f>
        <v>1552.2513094723274</v>
      </c>
    </row>
    <row r="147" spans="1:20" x14ac:dyDescent="0.25">
      <c r="A147" s="5">
        <v>44446</v>
      </c>
      <c r="B147">
        <v>0.30909999999999999</v>
      </c>
      <c r="C147">
        <v>0.31140000000000001</v>
      </c>
      <c r="D147">
        <v>0.2145</v>
      </c>
      <c r="E147">
        <v>0.25519999999999998</v>
      </c>
      <c r="F147">
        <v>4143609594.0999999</v>
      </c>
      <c r="G147">
        <v>0.25519999999999998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-0.15995872033023775</v>
      </c>
      <c r="Q147">
        <f t="shared" ref="Q147" si="711">F147*P147</f>
        <v>-662806488.22033191</v>
      </c>
      <c r="R147">
        <f t="shared" ref="R147" si="712">R148+Q147</f>
        <v>154102579115.79379</v>
      </c>
      <c r="S147">
        <f t="shared" ref="S147" si="713">R147/100000</f>
        <v>1541025.7911579378</v>
      </c>
      <c r="T147">
        <f t="shared" ref="T147" si="714">S147/1000</f>
        <v>1541.0257911579379</v>
      </c>
    </row>
    <row r="148" spans="1:20" x14ac:dyDescent="0.25">
      <c r="A148" s="5">
        <v>44445</v>
      </c>
      <c r="B148">
        <v>0.31440000000000001</v>
      </c>
      <c r="C148">
        <v>0.31990000000000002</v>
      </c>
      <c r="D148">
        <v>0.29970000000000002</v>
      </c>
      <c r="E148">
        <v>0.309</v>
      </c>
      <c r="F148">
        <v>1327741283.0999999</v>
      </c>
      <c r="G148">
        <v>0.309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-7.9207920792081499E-2</v>
      </c>
      <c r="Q148">
        <f t="shared" ref="Q148" si="716">F148*P148</f>
        <v>-105167626.38416144</v>
      </c>
      <c r="R148">
        <f t="shared" ref="R148" si="717">R149+Q148</f>
        <v>154765385604.01413</v>
      </c>
      <c r="S148">
        <f t="shared" ref="S148" si="718">R148/100000</f>
        <v>1547653.8560401413</v>
      </c>
      <c r="T148">
        <f t="shared" ref="T148" si="719">S148/1000</f>
        <v>1547.6538560401414</v>
      </c>
    </row>
    <row r="149" spans="1:20" x14ac:dyDescent="0.25">
      <c r="A149" s="5">
        <v>44444</v>
      </c>
      <c r="B149">
        <v>0.29930000000000001</v>
      </c>
      <c r="C149">
        <v>0.3155</v>
      </c>
      <c r="D149">
        <v>0.29599999999999999</v>
      </c>
      <c r="E149">
        <v>0.31430000000000002</v>
      </c>
      <c r="F149">
        <v>1273101183.7</v>
      </c>
      <c r="G149">
        <v>0.31430000000000002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0.87692307692307925</v>
      </c>
      <c r="Q149">
        <f t="shared" ref="Q149" si="721">F149*P149</f>
        <v>1116411807.2446184</v>
      </c>
      <c r="R149">
        <f t="shared" ref="R149" si="722">R150+Q149</f>
        <v>154870553230.39828</v>
      </c>
      <c r="S149">
        <f t="shared" ref="S149" si="723">R149/100000</f>
        <v>1548705.5323039829</v>
      </c>
      <c r="T149">
        <f t="shared" ref="T149" si="724">S149/1000</f>
        <v>1548.7055323039829</v>
      </c>
    </row>
    <row r="150" spans="1:20" x14ac:dyDescent="0.25">
      <c r="A150" s="5">
        <v>44443</v>
      </c>
      <c r="B150">
        <v>0.29609999999999997</v>
      </c>
      <c r="C150">
        <v>0.30869999999999997</v>
      </c>
      <c r="D150">
        <v>0.29289999999999999</v>
      </c>
      <c r="E150">
        <v>0.29920000000000002</v>
      </c>
      <c r="F150">
        <v>1170386591</v>
      </c>
      <c r="G150">
        <v>0.29920000000000002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-0.20253164556961575</v>
      </c>
      <c r="Q150">
        <f t="shared" ref="Q150" si="726">F150*P150</f>
        <v>-237040322.22784284</v>
      </c>
      <c r="R150">
        <f t="shared" ref="R150" si="727">R151+Q150</f>
        <v>153754141423.15366</v>
      </c>
      <c r="S150">
        <f t="shared" ref="S150" si="728">R150/100000</f>
        <v>1537541.4142315364</v>
      </c>
      <c r="T150">
        <f t="shared" ref="T150" si="729">S150/1000</f>
        <v>1537.5414142315365</v>
      </c>
    </row>
    <row r="151" spans="1:20" x14ac:dyDescent="0.25">
      <c r="A151" s="5">
        <v>44442</v>
      </c>
      <c r="B151">
        <v>0.29459999999999997</v>
      </c>
      <c r="C151">
        <v>0.30470000000000003</v>
      </c>
      <c r="D151">
        <v>0.28699999999999998</v>
      </c>
      <c r="E151">
        <v>0.29609999999999997</v>
      </c>
      <c r="F151">
        <v>1248795134</v>
      </c>
      <c r="G151">
        <v>0.29609999999999997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2.824858757061828E-2</v>
      </c>
      <c r="Q151">
        <f t="shared" ref="Q151" si="731">F151*P151</f>
        <v>35276698.700560987</v>
      </c>
      <c r="R151">
        <f t="shared" ref="R151" si="732">R152+Q151</f>
        <v>153991181745.3815</v>
      </c>
      <c r="S151">
        <f t="shared" ref="S151" si="733">R151/100000</f>
        <v>1539911.8174538149</v>
      </c>
      <c r="T151">
        <f t="shared" ref="T151" si="734">S151/1000</f>
        <v>1539.9118174538148</v>
      </c>
    </row>
    <row r="152" spans="1:20" x14ac:dyDescent="0.25">
      <c r="A152" s="5">
        <v>44441</v>
      </c>
      <c r="B152">
        <v>0.2944</v>
      </c>
      <c r="C152">
        <v>0.31</v>
      </c>
      <c r="D152">
        <v>0.29170000000000001</v>
      </c>
      <c r="E152">
        <v>0.29470000000000002</v>
      </c>
      <c r="F152">
        <v>1859879704.7</v>
      </c>
      <c r="G152">
        <v>0.29470000000000002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-0.67213114754098302</v>
      </c>
      <c r="Q152">
        <f t="shared" ref="Q152" si="736">F152*P152</f>
        <v>-1250083080.2081957</v>
      </c>
      <c r="R152">
        <f t="shared" ref="R152" si="737">R153+Q152</f>
        <v>153955905046.68094</v>
      </c>
      <c r="S152">
        <f t="shared" ref="S152" si="738">R152/100000</f>
        <v>1539559.0504668094</v>
      </c>
      <c r="T152">
        <f t="shared" ref="T152" si="739">S152/1000</f>
        <v>1539.5590504668094</v>
      </c>
    </row>
    <row r="153" spans="1:20" x14ac:dyDescent="0.25">
      <c r="A153" s="5">
        <v>44440</v>
      </c>
      <c r="B153">
        <v>0.2782</v>
      </c>
      <c r="C153">
        <v>0.29499999999999998</v>
      </c>
      <c r="D153">
        <v>0.27279999999999999</v>
      </c>
      <c r="E153">
        <v>0.29430000000000001</v>
      </c>
      <c r="F153">
        <v>1077645215</v>
      </c>
      <c r="G153">
        <v>0.29430000000000001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0.93693693693693891</v>
      </c>
      <c r="Q153">
        <f t="shared" ref="Q153" si="741">F153*P153</f>
        <v>1009685606.846849</v>
      </c>
      <c r="R153">
        <f t="shared" ref="R153" si="742">R154+Q153</f>
        <v>155205988126.88913</v>
      </c>
      <c r="S153">
        <f t="shared" ref="S153" si="743">R153/100000</f>
        <v>1552059.8812688913</v>
      </c>
      <c r="T153">
        <f t="shared" ref="T153" si="744">S153/1000</f>
        <v>1552.0598812688913</v>
      </c>
    </row>
    <row r="154" spans="1:20" x14ac:dyDescent="0.25">
      <c r="A154" s="5">
        <v>44439</v>
      </c>
      <c r="B154">
        <v>0.27189999999999998</v>
      </c>
      <c r="C154">
        <v>0.28599999999999998</v>
      </c>
      <c r="D154">
        <v>0.26960000000000001</v>
      </c>
      <c r="E154">
        <v>0.27810000000000001</v>
      </c>
      <c r="F154">
        <v>994391602</v>
      </c>
      <c r="G154">
        <v>0.27810000000000001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3.6585365853661345E-2</v>
      </c>
      <c r="Q154">
        <f t="shared" ref="Q154" si="746">F154*P154</f>
        <v>36380180.560978405</v>
      </c>
      <c r="R154">
        <f t="shared" ref="R154" si="747">R155+Q154</f>
        <v>154196302520.04227</v>
      </c>
      <c r="S154">
        <f t="shared" ref="S154" si="748">R154/100000</f>
        <v>1541963.0252004226</v>
      </c>
      <c r="T154">
        <f t="shared" ref="T154" si="749">S154/1000</f>
        <v>1541.9630252004226</v>
      </c>
    </row>
    <row r="155" spans="1:20" x14ac:dyDescent="0.25">
      <c r="A155" s="5">
        <v>44438</v>
      </c>
      <c r="B155">
        <v>0.28089999999999998</v>
      </c>
      <c r="C155">
        <v>0.29049999999999998</v>
      </c>
      <c r="D155">
        <v>0.26979999999999998</v>
      </c>
      <c r="E155">
        <v>0.27200000000000002</v>
      </c>
      <c r="F155">
        <v>994923907</v>
      </c>
      <c r="G155">
        <v>0.27200000000000002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-0.78743961352656655</v>
      </c>
      <c r="Q155">
        <f t="shared" ref="Q155" si="751">F155*P155</f>
        <v>-783442496.81642163</v>
      </c>
      <c r="R155">
        <f t="shared" ref="R155" si="752">R156+Q155</f>
        <v>154159922339.48129</v>
      </c>
      <c r="S155">
        <f t="shared" ref="S155" si="753">R155/100000</f>
        <v>1541599.223394813</v>
      </c>
      <c r="T155">
        <f t="shared" ref="T155" si="754">S155/1000</f>
        <v>1541.599223394813</v>
      </c>
    </row>
    <row r="156" spans="1:20" x14ac:dyDescent="0.25">
      <c r="A156" s="5">
        <v>44437</v>
      </c>
      <c r="B156">
        <v>0.28599999999999998</v>
      </c>
      <c r="C156">
        <v>0.2918</v>
      </c>
      <c r="D156">
        <v>0.27639999999999998</v>
      </c>
      <c r="E156">
        <v>0.28089999999999998</v>
      </c>
      <c r="F156">
        <v>758831427</v>
      </c>
      <c r="G156">
        <v>0.28089999999999998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-0.415584415584416</v>
      </c>
      <c r="Q156">
        <f t="shared" ref="Q156" si="756">F156*P156</f>
        <v>-315358515.11688346</v>
      </c>
      <c r="R156">
        <f t="shared" ref="R156" si="757">R157+Q156</f>
        <v>154943364836.29773</v>
      </c>
      <c r="S156">
        <f t="shared" ref="S156" si="758">R156/100000</f>
        <v>1549433.6483629772</v>
      </c>
      <c r="T156">
        <f t="shared" ref="T156" si="759">S156/1000</f>
        <v>1549.4336483629772</v>
      </c>
    </row>
    <row r="157" spans="1:20" x14ac:dyDescent="0.25">
      <c r="A157" s="5">
        <v>44436</v>
      </c>
      <c r="B157">
        <v>0.2944</v>
      </c>
      <c r="C157">
        <v>0.29949999999999999</v>
      </c>
      <c r="D157">
        <v>0.28299999999999997</v>
      </c>
      <c r="E157">
        <v>0.28599999999999998</v>
      </c>
      <c r="F157">
        <v>813242385.10000002</v>
      </c>
      <c r="G157">
        <v>0.28599999999999998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-0.63636363636363635</v>
      </c>
      <c r="Q157">
        <f t="shared" ref="Q157" si="761">F157*P157</f>
        <v>-517517881.42727274</v>
      </c>
      <c r="R157">
        <f t="shared" ref="R157" si="762">R158+Q157</f>
        <v>155258723351.41461</v>
      </c>
      <c r="S157">
        <f t="shared" ref="S157" si="763">R157/100000</f>
        <v>1552587.2335141462</v>
      </c>
      <c r="T157">
        <f t="shared" ref="T157" si="764">S157/1000</f>
        <v>1552.5872335141462</v>
      </c>
    </row>
    <row r="158" spans="1:20" x14ac:dyDescent="0.25">
      <c r="A158" s="5">
        <v>44435</v>
      </c>
      <c r="B158">
        <v>0.26840000000000003</v>
      </c>
      <c r="C158">
        <v>0.29509999999999997</v>
      </c>
      <c r="D158">
        <v>0.26500000000000001</v>
      </c>
      <c r="E158">
        <v>0.2944</v>
      </c>
      <c r="F158">
        <v>1345067751.7</v>
      </c>
      <c r="G158">
        <v>0.2944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0.95348837209302462</v>
      </c>
      <c r="Q158">
        <f t="shared" ref="Q158" si="766">F158*P158</f>
        <v>1282506460.9232576</v>
      </c>
      <c r="R158">
        <f t="shared" ref="R158" si="767">R159+Q158</f>
        <v>155776241232.84189</v>
      </c>
      <c r="S158">
        <f t="shared" ref="S158" si="768">R158/100000</f>
        <v>1557762.4123284188</v>
      </c>
      <c r="T158">
        <f t="shared" ref="T158" si="769">S158/1000</f>
        <v>1557.7624123284188</v>
      </c>
    </row>
    <row r="159" spans="1:20" x14ac:dyDescent="0.25">
      <c r="A159" s="5">
        <v>44434</v>
      </c>
      <c r="B159">
        <v>0.29254000000000002</v>
      </c>
      <c r="C159">
        <v>0.29644999999999999</v>
      </c>
      <c r="D159">
        <v>0.2641</v>
      </c>
      <c r="E159">
        <v>0.26840000000000003</v>
      </c>
      <c r="F159">
        <v>1401204832.0999999</v>
      </c>
      <c r="G159">
        <v>0.26840000000000003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-0.73415765069551608</v>
      </c>
      <c r="Q159">
        <f t="shared" ref="Q159" si="771">F159*P159</f>
        <v>-1028705247.6777411</v>
      </c>
      <c r="R159">
        <f t="shared" ref="R159" si="772">R160+Q159</f>
        <v>154493734771.91864</v>
      </c>
      <c r="S159">
        <f t="shared" ref="S159" si="773">R159/100000</f>
        <v>1544937.3477191865</v>
      </c>
      <c r="T159">
        <f t="shared" ref="T159" si="774">S159/1000</f>
        <v>1544.9373477191864</v>
      </c>
    </row>
    <row r="160" spans="1:20" x14ac:dyDescent="0.25">
      <c r="A160" s="5">
        <v>44433</v>
      </c>
      <c r="B160">
        <v>0.28861999999999999</v>
      </c>
      <c r="C160">
        <v>0.29788999999999999</v>
      </c>
      <c r="D160">
        <v>0.27948000000000001</v>
      </c>
      <c r="E160">
        <v>0.29254999999999998</v>
      </c>
      <c r="F160">
        <v>1658742148.8</v>
      </c>
      <c r="G160">
        <v>0.29254999999999998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0.41988049972840669</v>
      </c>
      <c r="Q160">
        <f t="shared" ref="Q160" si="776">F160*P160</f>
        <v>696473482.35871506</v>
      </c>
      <c r="R160">
        <f t="shared" ref="R160" si="777">R161+Q160</f>
        <v>155522440019.59637</v>
      </c>
      <c r="S160">
        <f t="shared" ref="S160" si="778">R160/100000</f>
        <v>1555224.4001959637</v>
      </c>
      <c r="T160">
        <f t="shared" ref="T160" si="779">S160/1000</f>
        <v>1555.2244001959637</v>
      </c>
    </row>
    <row r="161" spans="1:20" x14ac:dyDescent="0.25">
      <c r="A161" s="5">
        <v>44432</v>
      </c>
      <c r="B161">
        <v>0.31774999999999998</v>
      </c>
      <c r="C161">
        <v>0.31968000000000002</v>
      </c>
      <c r="D161">
        <v>0.27433000000000002</v>
      </c>
      <c r="E161">
        <v>0.28864000000000001</v>
      </c>
      <c r="F161">
        <v>2336380653.8000002</v>
      </c>
      <c r="G161">
        <v>0.28864000000000001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-0.3689084895259101</v>
      </c>
      <c r="Q161">
        <f t="shared" ref="Q161" si="781">F161*P161</f>
        <v>-861910657.95091641</v>
      </c>
      <c r="R161">
        <f t="shared" ref="R161" si="782">R162+Q161</f>
        <v>154825966537.23767</v>
      </c>
      <c r="S161">
        <f t="shared" ref="S161" si="783">R161/100000</f>
        <v>1548259.6653723768</v>
      </c>
      <c r="T161">
        <f t="shared" ref="T161" si="784">S161/1000</f>
        <v>1548.2596653723767</v>
      </c>
    </row>
    <row r="162" spans="1:20" x14ac:dyDescent="0.25">
      <c r="A162" s="5">
        <v>44431</v>
      </c>
      <c r="B162">
        <v>0.31467000000000001</v>
      </c>
      <c r="C162">
        <v>0.32800000000000001</v>
      </c>
      <c r="D162">
        <v>0.31280000000000002</v>
      </c>
      <c r="E162">
        <v>0.31783</v>
      </c>
      <c r="F162">
        <v>1842154214.4000001</v>
      </c>
      <c r="G162">
        <v>0.31783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-0.33815789473684449</v>
      </c>
      <c r="Q162">
        <f t="shared" ref="Q162" si="786">F162*P162</f>
        <v>-622938990.92210972</v>
      </c>
      <c r="R162">
        <f t="shared" ref="R162" si="787">R163+Q162</f>
        <v>155687877195.1886</v>
      </c>
      <c r="S162">
        <f t="shared" ref="S162" si="788">R162/100000</f>
        <v>1556878.7719518859</v>
      </c>
      <c r="T162">
        <f t="shared" ref="T162" si="789">S162/1000</f>
        <v>1556.8787719518859</v>
      </c>
    </row>
    <row r="163" spans="1:20" x14ac:dyDescent="0.25">
      <c r="A163" s="5">
        <v>44430</v>
      </c>
      <c r="B163">
        <v>0.31666</v>
      </c>
      <c r="C163">
        <v>0.32013999999999998</v>
      </c>
      <c r="D163">
        <v>0.31118000000000001</v>
      </c>
      <c r="E163">
        <v>0.31908999999999998</v>
      </c>
      <c r="F163">
        <v>348195633.30000001</v>
      </c>
      <c r="G163">
        <v>0.31908999999999998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0.76562500000000022</v>
      </c>
      <c r="Q163">
        <f t="shared" ref="Q163" si="791">F163*P163</f>
        <v>266587281.7453126</v>
      </c>
      <c r="R163">
        <f t="shared" ref="R163" si="792">R164+Q163</f>
        <v>156310816186.11072</v>
      </c>
      <c r="S163">
        <f t="shared" ref="S163" si="793">R163/100000</f>
        <v>1563108.1618611072</v>
      </c>
      <c r="T163">
        <f t="shared" ref="T163" si="794">S163/1000</f>
        <v>1563.1081618611072</v>
      </c>
    </row>
    <row r="164" spans="1:20" x14ac:dyDescent="0.25">
      <c r="A164" s="5">
        <v>44429</v>
      </c>
      <c r="B164">
        <v>0.32733000000000001</v>
      </c>
      <c r="C164">
        <v>0.33</v>
      </c>
      <c r="D164">
        <v>0.31313000000000002</v>
      </c>
      <c r="E164">
        <v>0.31662000000000001</v>
      </c>
      <c r="F164">
        <v>1751965697.2</v>
      </c>
      <c r="G164">
        <v>0.31662000000000001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-0.58624777711914711</v>
      </c>
      <c r="Q164">
        <f t="shared" ref="Q164" si="796">F164*P164</f>
        <v>-1027085995.5724968</v>
      </c>
      <c r="R164">
        <f t="shared" ref="R164" si="797">R165+Q164</f>
        <v>156044228904.36542</v>
      </c>
      <c r="S164">
        <f t="shared" ref="S164" si="798">R164/100000</f>
        <v>1560442.2890436542</v>
      </c>
      <c r="T164">
        <f t="shared" ref="T164" si="799">S164/1000</f>
        <v>1560.4422890436542</v>
      </c>
    </row>
    <row r="165" spans="1:20" x14ac:dyDescent="0.25">
      <c r="A165" s="5">
        <v>44428</v>
      </c>
      <c r="B165">
        <v>0.31777</v>
      </c>
      <c r="C165">
        <v>0.33639999999999998</v>
      </c>
      <c r="D165">
        <v>0.31373000000000001</v>
      </c>
      <c r="E165">
        <v>0.32733000000000001</v>
      </c>
      <c r="F165">
        <v>2177517962.3000002</v>
      </c>
      <c r="G165">
        <v>0.32733000000000001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0.19982355535950774</v>
      </c>
      <c r="Q165">
        <f t="shared" ref="Q165" si="801">F165*P165</f>
        <v>435119381.0859766</v>
      </c>
      <c r="R165">
        <f t="shared" ref="R165" si="802">R166+Q165</f>
        <v>157071314899.93793</v>
      </c>
      <c r="S165">
        <f t="shared" ref="S165" si="803">R165/100000</f>
        <v>1570713.1489993792</v>
      </c>
      <c r="T165">
        <f t="shared" ref="T165" si="804">S165/1000</f>
        <v>1570.7131489993792</v>
      </c>
    </row>
    <row r="166" spans="1:20" x14ac:dyDescent="0.25">
      <c r="A166" s="5">
        <v>44427</v>
      </c>
      <c r="B166">
        <v>0.30320999999999998</v>
      </c>
      <c r="C166">
        <v>0.31942999999999999</v>
      </c>
      <c r="D166">
        <v>0.29354999999999998</v>
      </c>
      <c r="E166">
        <v>0.31778000000000001</v>
      </c>
      <c r="F166">
        <v>2386616242.5</v>
      </c>
      <c r="G166">
        <v>0.31778000000000001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0.87248840803709549</v>
      </c>
      <c r="Q166">
        <f t="shared" ref="Q166" si="806">F166*P166</f>
        <v>2082295006.0142996</v>
      </c>
      <c r="R166">
        <f t="shared" ref="R166" si="807">R167+Q166</f>
        <v>156636195518.85196</v>
      </c>
      <c r="S166">
        <f t="shared" ref="S166" si="808">R166/100000</f>
        <v>1566361.9551885196</v>
      </c>
      <c r="T166">
        <f t="shared" ref="T166" si="809">S166/1000</f>
        <v>1566.3619551885195</v>
      </c>
    </row>
    <row r="167" spans="1:20" x14ac:dyDescent="0.25">
      <c r="A167" s="5">
        <v>44426</v>
      </c>
      <c r="B167">
        <v>0.29930000000000001</v>
      </c>
      <c r="C167">
        <v>0.32500000000000001</v>
      </c>
      <c r="D167">
        <v>0.27750000000000002</v>
      </c>
      <c r="E167">
        <v>0.30320000000000003</v>
      </c>
      <c r="F167">
        <v>4089557667.1999998</v>
      </c>
      <c r="G167">
        <v>0.30320000000000003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8.210526315789507E-2</v>
      </c>
      <c r="Q167">
        <f t="shared" ref="Q167" si="811">F167*P167</f>
        <v>335774208.46484345</v>
      </c>
      <c r="R167">
        <f t="shared" ref="R167" si="812">R168+Q167</f>
        <v>154553900512.83765</v>
      </c>
      <c r="S167">
        <f t="shared" ref="S167" si="813">R167/100000</f>
        <v>1545539.0051283764</v>
      </c>
      <c r="T167">
        <f t="shared" ref="T167" si="814">S167/1000</f>
        <v>1545.5390051283764</v>
      </c>
    </row>
    <row r="168" spans="1:20" x14ac:dyDescent="0.25">
      <c r="A168" s="5">
        <v>44425</v>
      </c>
      <c r="B168">
        <v>0.31946000000000002</v>
      </c>
      <c r="C168">
        <v>0.34021000000000001</v>
      </c>
      <c r="D168">
        <v>0.29452</v>
      </c>
      <c r="E168">
        <v>0.29932999999999998</v>
      </c>
      <c r="F168">
        <v>3520234606.5</v>
      </c>
      <c r="G168">
        <v>0.29932999999999998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-0.78945064565550538</v>
      </c>
      <c r="Q168">
        <f t="shared" ref="Q168" si="816">F168*P168</f>
        <v>-2779051482.960279</v>
      </c>
      <c r="R168">
        <f t="shared" ref="R168" si="817">R169+Q168</f>
        <v>154218126304.3728</v>
      </c>
      <c r="S168">
        <f t="shared" ref="S168" si="818">R168/100000</f>
        <v>1542181.263043728</v>
      </c>
      <c r="T168">
        <f t="shared" ref="T168" si="819">S168/1000</f>
        <v>1542.181263043728</v>
      </c>
    </row>
    <row r="169" spans="1:20" x14ac:dyDescent="0.25">
      <c r="A169" s="5">
        <v>44424</v>
      </c>
      <c r="B169">
        <v>0.33995999999999998</v>
      </c>
      <c r="C169">
        <v>0.35170000000000001</v>
      </c>
      <c r="D169">
        <v>0.31001000000000001</v>
      </c>
      <c r="E169">
        <v>0.31956000000000001</v>
      </c>
      <c r="F169">
        <v>4130699106.8000002</v>
      </c>
      <c r="G169">
        <v>0.31956000000000001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-0.54185656032621721</v>
      </c>
      <c r="Q169">
        <f t="shared" ref="Q169" si="821">F169*P169</f>
        <v>-2238246409.7532258</v>
      </c>
      <c r="R169">
        <f t="shared" ref="R169" si="822">R170+Q169</f>
        <v>156997177787.33307</v>
      </c>
      <c r="S169">
        <f t="shared" ref="S169" si="823">R169/100000</f>
        <v>1569971.7778733307</v>
      </c>
      <c r="T169">
        <f t="shared" ref="T169" si="824">S169/1000</f>
        <v>1569.9717778733307</v>
      </c>
    </row>
    <row r="170" spans="1:20" x14ac:dyDescent="0.25">
      <c r="A170" s="5">
        <v>44423</v>
      </c>
      <c r="B170">
        <v>0.29398999999999997</v>
      </c>
      <c r="C170">
        <v>0.34949999999999998</v>
      </c>
      <c r="D170">
        <v>0.28620000000000001</v>
      </c>
      <c r="E170">
        <v>0.33983999999999998</v>
      </c>
      <c r="F170">
        <v>4964816125</v>
      </c>
      <c r="G170">
        <v>0.33983999999999998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0.69478672985781964</v>
      </c>
      <c r="Q170">
        <f t="shared" ref="Q170" si="826">F170*P170</f>
        <v>3449488359.8341217</v>
      </c>
      <c r="R170">
        <f t="shared" ref="R170" si="827">R171+Q170</f>
        <v>159235424197.0863</v>
      </c>
      <c r="S170">
        <f t="shared" ref="S170" si="828">R170/100000</f>
        <v>1592354.241970863</v>
      </c>
      <c r="T170">
        <f t="shared" ref="T170" si="829">S170/1000</f>
        <v>1592.3542419708629</v>
      </c>
    </row>
    <row r="171" spans="1:20" x14ac:dyDescent="0.25">
      <c r="A171" s="5">
        <v>44422</v>
      </c>
      <c r="B171">
        <v>0.28670000000000001</v>
      </c>
      <c r="C171">
        <v>0.29864000000000002</v>
      </c>
      <c r="D171">
        <v>0.2757</v>
      </c>
      <c r="E171">
        <v>0.29402</v>
      </c>
      <c r="F171">
        <v>3131790645.4000001</v>
      </c>
      <c r="G171">
        <v>0.29402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0.59721011333914475</v>
      </c>
      <c r="Q171">
        <f t="shared" ref="Q171" si="831">F171*P171</f>
        <v>1870337046.2938073</v>
      </c>
      <c r="R171">
        <f t="shared" ref="R171" si="832">R172+Q171</f>
        <v>155785935837.25217</v>
      </c>
      <c r="S171">
        <f t="shared" ref="S171" si="833">R171/100000</f>
        <v>1557859.3583725216</v>
      </c>
      <c r="T171">
        <f t="shared" ref="T171" si="834">S171/1000</f>
        <v>1557.8593583725217</v>
      </c>
    </row>
    <row r="172" spans="1:20" x14ac:dyDescent="0.25">
      <c r="A172" s="5">
        <v>44421</v>
      </c>
      <c r="B172">
        <v>0.26405000000000001</v>
      </c>
      <c r="C172">
        <v>0.28755999999999998</v>
      </c>
      <c r="D172">
        <v>0.26121</v>
      </c>
      <c r="E172">
        <v>0.28666999999999998</v>
      </c>
      <c r="F172">
        <v>2142420241.3</v>
      </c>
      <c r="G172">
        <v>0.28666999999999998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0.93244781783681197</v>
      </c>
      <c r="Q172">
        <f t="shared" ref="Q172" si="836">F172*P172</f>
        <v>1997695078.889601</v>
      </c>
      <c r="R172">
        <f t="shared" ref="R172" si="837">R173+Q172</f>
        <v>153915598790.95837</v>
      </c>
      <c r="S172">
        <f t="shared" ref="S172" si="838">R172/100000</f>
        <v>1539155.9879095838</v>
      </c>
      <c r="T172">
        <f t="shared" ref="T172" si="839">S172/1000</f>
        <v>1539.1559879095839</v>
      </c>
    </row>
    <row r="173" spans="1:20" x14ac:dyDescent="0.25">
      <c r="A173" s="5">
        <v>44420</v>
      </c>
      <c r="B173">
        <v>0.26447999999999999</v>
      </c>
      <c r="C173">
        <v>0.2949</v>
      </c>
      <c r="D173">
        <v>0.25164999999999998</v>
      </c>
      <c r="E173">
        <v>0.26401000000000002</v>
      </c>
      <c r="F173">
        <v>3923287429.8000002</v>
      </c>
      <c r="G173">
        <v>0.26401000000000002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-0.4284393063583799</v>
      </c>
      <c r="Q173">
        <f t="shared" ref="Q173" si="841">F173*P173</f>
        <v>-1680890545.0680633</v>
      </c>
      <c r="R173">
        <f t="shared" ref="R173" si="842">R174+Q173</f>
        <v>151917903712.06879</v>
      </c>
      <c r="S173">
        <f t="shared" ref="S173" si="843">R173/100000</f>
        <v>1519179.0371206878</v>
      </c>
      <c r="T173">
        <f t="shared" ref="T173" si="844">S173/1000</f>
        <v>1519.1790371206878</v>
      </c>
    </row>
    <row r="174" spans="1:20" x14ac:dyDescent="0.25">
      <c r="A174" s="5">
        <v>44419</v>
      </c>
      <c r="B174">
        <v>0.25734000000000001</v>
      </c>
      <c r="C174">
        <v>0.28294999999999998</v>
      </c>
      <c r="D174">
        <v>0.25625999999999999</v>
      </c>
      <c r="E174">
        <v>0.26445000000000002</v>
      </c>
      <c r="F174">
        <v>3712761104.6999998</v>
      </c>
      <c r="G174">
        <v>0.26445000000000002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-0.386286998875981</v>
      </c>
      <c r="Q174">
        <f t="shared" ref="Q174" si="846">F174*P174</f>
        <v>-1434191344.6780348</v>
      </c>
      <c r="R174">
        <f t="shared" ref="R174" si="847">R175+Q174</f>
        <v>153598794257.13684</v>
      </c>
      <c r="S174">
        <f t="shared" ref="S174" si="848">R174/100000</f>
        <v>1535987.9425713683</v>
      </c>
      <c r="T174">
        <f t="shared" ref="T174" si="849">S174/1000</f>
        <v>1535.9879425713682</v>
      </c>
    </row>
    <row r="175" spans="1:20" x14ac:dyDescent="0.25">
      <c r="A175" s="5">
        <v>44418</v>
      </c>
      <c r="B175">
        <v>0.25609999999999999</v>
      </c>
      <c r="C175">
        <v>0.26321</v>
      </c>
      <c r="D175">
        <v>0.24512999999999999</v>
      </c>
      <c r="E175">
        <v>0.25731999999999999</v>
      </c>
      <c r="F175">
        <v>2588076619.5999999</v>
      </c>
      <c r="G175">
        <v>0.25731999999999999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0.34845132743362806</v>
      </c>
      <c r="Q175">
        <f t="shared" ref="Q175" si="851">F175*P175</f>
        <v>901818733.5995568</v>
      </c>
      <c r="R175">
        <f t="shared" ref="R175" si="852">R176+Q175</f>
        <v>155032985601.81488</v>
      </c>
      <c r="S175">
        <f t="shared" ref="S175" si="853">R175/100000</f>
        <v>1550329.8560181488</v>
      </c>
      <c r="T175">
        <f t="shared" ref="T175" si="854">S175/1000</f>
        <v>1550.3298560181488</v>
      </c>
    </row>
    <row r="176" spans="1:20" x14ac:dyDescent="0.25">
      <c r="A176" s="5">
        <v>44417</v>
      </c>
      <c r="B176">
        <v>0.23996000000000001</v>
      </c>
      <c r="C176">
        <v>0.26666000000000001</v>
      </c>
      <c r="D176">
        <v>0.23047999999999999</v>
      </c>
      <c r="E176">
        <v>0.25608999999999998</v>
      </c>
      <c r="F176">
        <v>3702865258.5999999</v>
      </c>
      <c r="G176">
        <v>0.25608999999999998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0.41569928137092216</v>
      </c>
      <c r="Q176">
        <f t="shared" ref="Q176" si="856">F176*P176</f>
        <v>1539278427.0133739</v>
      </c>
      <c r="R176">
        <f t="shared" ref="R176" si="857">R177+Q176</f>
        <v>154131166868.21533</v>
      </c>
      <c r="S176">
        <f t="shared" ref="S176" si="858">R176/100000</f>
        <v>1541311.6686821533</v>
      </c>
      <c r="T176">
        <f t="shared" ref="T176" si="859">S176/1000</f>
        <v>1541.3116686821534</v>
      </c>
    </row>
    <row r="177" spans="1:20" x14ac:dyDescent="0.25">
      <c r="A177" s="5">
        <v>44416</v>
      </c>
      <c r="B177">
        <v>0.26184000000000002</v>
      </c>
      <c r="C177">
        <v>0.28377000000000002</v>
      </c>
      <c r="D177">
        <v>0.23499999999999999</v>
      </c>
      <c r="E177">
        <v>0.23996000000000001</v>
      </c>
      <c r="F177">
        <v>5791158603.5</v>
      </c>
      <c r="G177">
        <v>0.23996000000000001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-0.79659626819766183</v>
      </c>
      <c r="Q177">
        <f t="shared" ref="Q177" si="861">F177*P177</f>
        <v>-4613215332.0888824</v>
      </c>
      <c r="R177">
        <f t="shared" ref="R177" si="862">R178+Q177</f>
        <v>152591888441.20197</v>
      </c>
      <c r="S177">
        <f t="shared" ref="S177" si="863">R177/100000</f>
        <v>1525918.8844120197</v>
      </c>
      <c r="T177">
        <f t="shared" ref="T177" si="864">S177/1000</f>
        <v>1525.9188844120197</v>
      </c>
    </row>
    <row r="178" spans="1:20" x14ac:dyDescent="0.25">
      <c r="A178" s="5">
        <v>44415</v>
      </c>
      <c r="B178">
        <v>0.20482</v>
      </c>
      <c r="C178">
        <v>0.26279999999999998</v>
      </c>
      <c r="D178">
        <v>0.20358000000000001</v>
      </c>
      <c r="E178">
        <v>0.26189000000000001</v>
      </c>
      <c r="F178">
        <v>5158338816.1999998</v>
      </c>
      <c r="G178">
        <v>0.26189000000000001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0.9692671394799065</v>
      </c>
      <c r="Q178">
        <f t="shared" ref="Q178" si="866">F178*P178</f>
        <v>4999808308.8463411</v>
      </c>
      <c r="R178">
        <f t="shared" ref="R178" si="867">R179+Q178</f>
        <v>157205103773.29083</v>
      </c>
      <c r="S178">
        <f t="shared" ref="S178" si="868">R178/100000</f>
        <v>1572051.0377329083</v>
      </c>
      <c r="T178">
        <f t="shared" ref="T178" si="869">S178/1000</f>
        <v>1572.0510377329083</v>
      </c>
    </row>
    <row r="179" spans="1:20" x14ac:dyDescent="0.25">
      <c r="A179" s="5">
        <v>44414</v>
      </c>
      <c r="B179">
        <v>0.20094000000000001</v>
      </c>
      <c r="C179">
        <v>0.21199999999999999</v>
      </c>
      <c r="D179">
        <v>0.19841</v>
      </c>
      <c r="E179">
        <v>0.20482</v>
      </c>
      <c r="F179">
        <v>1263420290.4000001</v>
      </c>
      <c r="G179">
        <v>0.20482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-5.6659308314936971E-2</v>
      </c>
      <c r="Q179">
        <f t="shared" ref="Q179" si="871">F179*P179</f>
        <v>-71584519.765120804</v>
      </c>
      <c r="R179">
        <f t="shared" ref="R179" si="872">R180+Q179</f>
        <v>152205295464.44449</v>
      </c>
      <c r="S179">
        <f t="shared" ref="S179" si="873">R179/100000</f>
        <v>1522052.9546444449</v>
      </c>
      <c r="T179">
        <f t="shared" ref="T179" si="874">S179/1000</f>
        <v>1522.0529546444448</v>
      </c>
    </row>
    <row r="180" spans="1:20" x14ac:dyDescent="0.25">
      <c r="A180" s="5">
        <v>44413</v>
      </c>
      <c r="B180">
        <v>0.20152</v>
      </c>
      <c r="C180">
        <v>0.20258000000000001</v>
      </c>
      <c r="D180">
        <v>0.1943</v>
      </c>
      <c r="E180">
        <v>0.20094999999999999</v>
      </c>
      <c r="F180">
        <v>946707300.60000002</v>
      </c>
      <c r="G180">
        <v>0.20094999999999999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0.60628019323671056</v>
      </c>
      <c r="Q180">
        <f t="shared" ref="Q180" si="876">F180*P180</f>
        <v>573969885.14637268</v>
      </c>
      <c r="R180">
        <f t="shared" ref="R180" si="877">R181+Q180</f>
        <v>152276879984.20959</v>
      </c>
      <c r="S180">
        <f t="shared" ref="S180" si="878">R180/100000</f>
        <v>1522768.7998420959</v>
      </c>
      <c r="T180">
        <f t="shared" ref="T180" si="879">S180/1000</f>
        <v>1522.7687998420959</v>
      </c>
    </row>
    <row r="181" spans="1:20" x14ac:dyDescent="0.25">
      <c r="A181" s="5">
        <v>44412</v>
      </c>
      <c r="B181">
        <v>0.19625999999999999</v>
      </c>
      <c r="C181">
        <v>0.20326</v>
      </c>
      <c r="D181">
        <v>0.19416</v>
      </c>
      <c r="E181">
        <v>0.20152999999999999</v>
      </c>
      <c r="F181">
        <v>873261017.39999998</v>
      </c>
      <c r="G181">
        <v>0.20152999999999999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0.61978021978021758</v>
      </c>
      <c r="Q181">
        <f t="shared" ref="Q181" si="881">F181*P181</f>
        <v>541229905.28966844</v>
      </c>
      <c r="R181">
        <f t="shared" ref="R181" si="882">R182+Q181</f>
        <v>151702910099.06323</v>
      </c>
      <c r="S181">
        <f t="shared" ref="S181" si="883">R181/100000</f>
        <v>1517029.1009906323</v>
      </c>
      <c r="T181">
        <f t="shared" ref="T181" si="884">S181/1000</f>
        <v>1517.0291009906323</v>
      </c>
    </row>
    <row r="182" spans="1:20" x14ac:dyDescent="0.25">
      <c r="A182" s="5">
        <v>44411</v>
      </c>
      <c r="B182">
        <v>0.20324999999999999</v>
      </c>
      <c r="C182">
        <v>0.2051</v>
      </c>
      <c r="D182">
        <v>0.19309999999999999</v>
      </c>
      <c r="E182">
        <v>0.19625999999999999</v>
      </c>
      <c r="F182">
        <v>977103235.10000002</v>
      </c>
      <c r="G182">
        <v>0.19625999999999999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-0.47333333333333444</v>
      </c>
      <c r="Q182">
        <f t="shared" ref="Q182" si="886">F182*P182</f>
        <v>-462495531.28066778</v>
      </c>
      <c r="R182">
        <f t="shared" ref="R182" si="887">R183+Q182</f>
        <v>151161680193.77356</v>
      </c>
      <c r="S182">
        <f t="shared" ref="S182" si="888">R182/100000</f>
        <v>1511616.8019377356</v>
      </c>
      <c r="T182">
        <f t="shared" ref="T182" si="889">S182/1000</f>
        <v>1511.6168019377355</v>
      </c>
    </row>
    <row r="183" spans="1:20" x14ac:dyDescent="0.25">
      <c r="A183" s="5">
        <v>44410</v>
      </c>
      <c r="B183">
        <v>0.20419999999999999</v>
      </c>
      <c r="C183">
        <v>0.20998</v>
      </c>
      <c r="D183">
        <v>0.20180000000000001</v>
      </c>
      <c r="E183">
        <v>0.20327000000000001</v>
      </c>
      <c r="F183">
        <v>896401081.29999995</v>
      </c>
      <c r="G183">
        <v>0.20327000000000001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-0.64058679706601462</v>
      </c>
      <c r="Q183">
        <f t="shared" ref="Q183" si="891">F183*P183</f>
        <v>-574222697.5564791</v>
      </c>
      <c r="R183">
        <f t="shared" ref="R183" si="892">R184+Q183</f>
        <v>151624175725.05423</v>
      </c>
      <c r="S183">
        <f t="shared" ref="S183" si="893">R183/100000</f>
        <v>1516241.7572505423</v>
      </c>
      <c r="T183">
        <f t="shared" ref="T183" si="894">S183/1000</f>
        <v>1516.2417572505424</v>
      </c>
    </row>
    <row r="184" spans="1:20" x14ac:dyDescent="0.25">
      <c r="A184" s="5">
        <v>44409</v>
      </c>
      <c r="B184">
        <v>0.20763999999999999</v>
      </c>
      <c r="C184">
        <v>0.21798999999999999</v>
      </c>
      <c r="D184">
        <v>0.20082</v>
      </c>
      <c r="E184">
        <v>0.20424</v>
      </c>
      <c r="F184">
        <v>1550637730.2</v>
      </c>
      <c r="G184">
        <v>0.20424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-0.60163075131042421</v>
      </c>
      <c r="Q184">
        <f t="shared" ref="Q184" si="896">F184*P184</f>
        <v>-932911342.63051689</v>
      </c>
      <c r="R184">
        <f t="shared" ref="R184" si="897">R185+Q184</f>
        <v>152198398422.61072</v>
      </c>
      <c r="S184">
        <f t="shared" ref="S184" si="898">R184/100000</f>
        <v>1521983.9842261071</v>
      </c>
      <c r="T184">
        <f t="shared" ref="T184" si="899">S184/1000</f>
        <v>1521.9839842261072</v>
      </c>
    </row>
    <row r="185" spans="1:20" x14ac:dyDescent="0.25">
      <c r="A185" s="5">
        <v>44408</v>
      </c>
      <c r="B185">
        <v>0.20871999999999999</v>
      </c>
      <c r="C185">
        <v>0.2145</v>
      </c>
      <c r="D185">
        <v>0.20476</v>
      </c>
      <c r="E185">
        <v>0.20765</v>
      </c>
      <c r="F185">
        <v>1177482439.7</v>
      </c>
      <c r="G185">
        <v>0.20765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-0.40657084188911619</v>
      </c>
      <c r="Q185">
        <f t="shared" ref="Q185" si="901">F185*P185</f>
        <v>-478730026.81847948</v>
      </c>
      <c r="R185">
        <f t="shared" ref="R185" si="902">R186+Q185</f>
        <v>153131309765.24124</v>
      </c>
      <c r="S185">
        <f t="shared" ref="S185" si="903">R185/100000</f>
        <v>1531313.0976524125</v>
      </c>
      <c r="T185">
        <f t="shared" ref="T185" si="904">S185/1000</f>
        <v>1531.3130976524126</v>
      </c>
    </row>
    <row r="186" spans="1:20" x14ac:dyDescent="0.25">
      <c r="A186" s="5">
        <v>44407</v>
      </c>
      <c r="B186">
        <v>0.20502999999999999</v>
      </c>
      <c r="C186">
        <v>0.21065</v>
      </c>
      <c r="D186">
        <v>0.19586999999999999</v>
      </c>
      <c r="E186">
        <v>0.20873</v>
      </c>
      <c r="F186">
        <v>1260492016.3</v>
      </c>
      <c r="G186">
        <v>0.20873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0.74018944519621066</v>
      </c>
      <c r="Q186">
        <f t="shared" ref="Q186" si="906">F186*P186</f>
        <v>933002886.21934986</v>
      </c>
      <c r="R186">
        <f t="shared" ref="R186" si="907">R187+Q186</f>
        <v>153610039792.05972</v>
      </c>
      <c r="S186">
        <f t="shared" ref="S186" si="908">R186/100000</f>
        <v>1536100.3979205973</v>
      </c>
      <c r="T186">
        <f t="shared" ref="T186" si="909">S186/1000</f>
        <v>1536.1003979205973</v>
      </c>
    </row>
    <row r="187" spans="1:20" x14ac:dyDescent="0.25">
      <c r="A187" s="5">
        <v>44406</v>
      </c>
      <c r="B187">
        <v>0.20571</v>
      </c>
      <c r="C187">
        <v>0.20663999999999999</v>
      </c>
      <c r="D187">
        <v>0.20030000000000001</v>
      </c>
      <c r="E187">
        <v>0.20502000000000001</v>
      </c>
      <c r="F187">
        <v>875707720.79999995</v>
      </c>
      <c r="G187">
        <v>0.20502000000000001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0.48895899053628183</v>
      </c>
      <c r="Q187">
        <f t="shared" ref="Q187" si="911">F187*P187</f>
        <v>428185163.16719609</v>
      </c>
      <c r="R187">
        <f t="shared" ref="R187" si="912">R188+Q187</f>
        <v>152677036905.84036</v>
      </c>
      <c r="S187">
        <f t="shared" ref="S187" si="913">R187/100000</f>
        <v>1526770.3690584037</v>
      </c>
      <c r="T187">
        <f t="shared" ref="T187" si="914">S187/1000</f>
        <v>1526.7703690584037</v>
      </c>
    </row>
    <row r="188" spans="1:20" x14ac:dyDescent="0.25">
      <c r="A188" s="5">
        <v>44405</v>
      </c>
      <c r="B188">
        <v>0.20585999999999999</v>
      </c>
      <c r="C188">
        <v>0.21385999999999999</v>
      </c>
      <c r="D188">
        <v>0.20161000000000001</v>
      </c>
      <c r="E188">
        <v>0.20574000000000001</v>
      </c>
      <c r="F188">
        <v>1698684418.5999999</v>
      </c>
      <c r="G188">
        <v>0.20574000000000001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-0.32571428571428562</v>
      </c>
      <c r="Q188">
        <f t="shared" ref="Q188" si="916">F188*P188</f>
        <v>-553285782.05828547</v>
      </c>
      <c r="R188">
        <f t="shared" ref="R188" si="917">R189+Q188</f>
        <v>152248851742.67316</v>
      </c>
      <c r="S188">
        <f t="shared" ref="S188" si="918">R188/100000</f>
        <v>1522488.5174267315</v>
      </c>
      <c r="T188">
        <f t="shared" ref="T188" si="919">S188/1000</f>
        <v>1522.4885174267315</v>
      </c>
    </row>
    <row r="189" spans="1:20" x14ac:dyDescent="0.25">
      <c r="A189" s="5">
        <v>44404</v>
      </c>
      <c r="B189">
        <v>0.20363000000000001</v>
      </c>
      <c r="C189">
        <v>0.20949999999999999</v>
      </c>
      <c r="D189">
        <v>0.19506000000000001</v>
      </c>
      <c r="E189">
        <v>0.20585000000000001</v>
      </c>
      <c r="F189">
        <v>2030159664.4000001</v>
      </c>
      <c r="G189">
        <v>0.20585000000000001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0.49445983379501501</v>
      </c>
      <c r="Q189">
        <f t="shared" ref="Q189" si="921">F189*P189</f>
        <v>1003832410.2365675</v>
      </c>
      <c r="R189">
        <f t="shared" ref="R189" si="922">R190+Q189</f>
        <v>152802137524.73145</v>
      </c>
      <c r="S189">
        <f t="shared" ref="S189" si="923">R189/100000</f>
        <v>1528021.3752473143</v>
      </c>
      <c r="T189">
        <f t="shared" ref="T189" si="924">S189/1000</f>
        <v>1528.0213752473144</v>
      </c>
    </row>
    <row r="190" spans="1:20" x14ac:dyDescent="0.25">
      <c r="A190" s="5">
        <v>44403</v>
      </c>
      <c r="B190">
        <v>0.19788</v>
      </c>
      <c r="C190">
        <v>0.23313999999999999</v>
      </c>
      <c r="D190">
        <v>0.19678999999999999</v>
      </c>
      <c r="E190">
        <v>0.20362</v>
      </c>
      <c r="F190">
        <v>4546455511.8000002</v>
      </c>
      <c r="G190">
        <v>0.20362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-0.62420907840440143</v>
      </c>
      <c r="Q190">
        <f t="shared" ref="Q190" si="926">F190*P190</f>
        <v>-2837938805.0272894</v>
      </c>
      <c r="R190">
        <f t="shared" ref="R190" si="927">R191+Q190</f>
        <v>151798305114.49487</v>
      </c>
      <c r="S190">
        <f t="shared" ref="S190" si="928">R190/100000</f>
        <v>1517983.0511449487</v>
      </c>
      <c r="T190">
        <f t="shared" ref="T190" si="929">S190/1000</f>
        <v>1517.9830511449486</v>
      </c>
    </row>
    <row r="191" spans="1:20" x14ac:dyDescent="0.25">
      <c r="A191" s="5">
        <v>44402</v>
      </c>
      <c r="B191">
        <v>0.19689000000000001</v>
      </c>
      <c r="C191">
        <v>0.20075999999999999</v>
      </c>
      <c r="D191">
        <v>0.19105</v>
      </c>
      <c r="E191">
        <v>0.19792999999999999</v>
      </c>
      <c r="F191">
        <v>1122436168.5999999</v>
      </c>
      <c r="G191">
        <v>0.19792999999999999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0.41709577754891858</v>
      </c>
      <c r="Q191">
        <f t="shared" ref="Q191" si="931">F191*P191</f>
        <v>468163386.49124604</v>
      </c>
      <c r="R191">
        <f t="shared" ref="R191" si="932">R192+Q191</f>
        <v>154636243919.52216</v>
      </c>
      <c r="S191">
        <f t="shared" ref="S191" si="933">R191/100000</f>
        <v>1546362.4391952215</v>
      </c>
      <c r="T191">
        <f t="shared" ref="T191:T197" si="934">S191/1000</f>
        <v>1546.3624391952214</v>
      </c>
    </row>
    <row r="192" spans="1:20" x14ac:dyDescent="0.25">
      <c r="A192" s="5">
        <v>44401</v>
      </c>
      <c r="B192">
        <v>0.19489999999999999</v>
      </c>
      <c r="C192">
        <v>0.20449999999999999</v>
      </c>
      <c r="D192">
        <v>0.19117000000000001</v>
      </c>
      <c r="E192">
        <v>0.19688</v>
      </c>
      <c r="F192">
        <v>1627615706.2</v>
      </c>
      <c r="G192">
        <v>0.19688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-0.14328582145536367</v>
      </c>
      <c r="Q192">
        <f t="shared" ref="Q192" si="936">F192*P192</f>
        <v>-233214253.47651887</v>
      </c>
      <c r="R192">
        <f t="shared" ref="R192" si="937">R193+Q192</f>
        <v>154168080533.03091</v>
      </c>
      <c r="S192">
        <f t="shared" ref="S192" si="938">R192/100000</f>
        <v>1541680.8053303091</v>
      </c>
      <c r="T192">
        <f t="shared" si="934"/>
        <v>1541.6808053303091</v>
      </c>
    </row>
    <row r="193" spans="1:20" x14ac:dyDescent="0.25">
      <c r="A193" s="5">
        <v>44400</v>
      </c>
      <c r="B193">
        <v>0.19119</v>
      </c>
      <c r="C193">
        <v>0.19977</v>
      </c>
      <c r="D193">
        <v>0.18292</v>
      </c>
      <c r="E193">
        <v>0.19489000000000001</v>
      </c>
      <c r="F193">
        <v>1352326692.4000001</v>
      </c>
      <c r="G193">
        <v>0.19489000000000001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0.42077151335311641</v>
      </c>
      <c r="Q193">
        <f t="shared" ref="Q193" si="940">F193*P193</f>
        <v>569020548.90896237</v>
      </c>
      <c r="R193">
        <f t="shared" ref="R193" si="941">R194+Q193</f>
        <v>154401294786.50745</v>
      </c>
      <c r="S193">
        <f t="shared" ref="S193" si="942">R193/100000</f>
        <v>1544012.9478650745</v>
      </c>
      <c r="T193">
        <f t="shared" si="934"/>
        <v>1544.0129478650745</v>
      </c>
    </row>
    <row r="194" spans="1:20" x14ac:dyDescent="0.25">
      <c r="A194" s="5">
        <v>44399</v>
      </c>
      <c r="B194">
        <v>0.19045000000000001</v>
      </c>
      <c r="C194">
        <v>0.19646</v>
      </c>
      <c r="D194">
        <v>0.18632000000000001</v>
      </c>
      <c r="E194">
        <v>0.19123000000000001</v>
      </c>
      <c r="F194">
        <v>1393922167.5</v>
      </c>
      <c r="G194">
        <v>0.19123000000000001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-3.1558185404338017E-2</v>
      </c>
      <c r="Q194">
        <f t="shared" ref="Q194" si="944">F194*P194</f>
        <v>-43989654.20118171</v>
      </c>
      <c r="R194">
        <f t="shared" ref="R194" si="945">R195+Q194</f>
        <v>153832274237.59848</v>
      </c>
      <c r="S194">
        <f t="shared" ref="S194" si="946">R194/100000</f>
        <v>1538322.7423759848</v>
      </c>
      <c r="T194">
        <f t="shared" si="934"/>
        <v>1538.3227423759847</v>
      </c>
    </row>
    <row r="195" spans="1:20" x14ac:dyDescent="0.25">
      <c r="A195" s="5">
        <v>44398</v>
      </c>
      <c r="B195">
        <v>0.17047999999999999</v>
      </c>
      <c r="C195">
        <v>0.21442</v>
      </c>
      <c r="D195">
        <v>0.16836000000000001</v>
      </c>
      <c r="E195">
        <v>0.19045999999999999</v>
      </c>
      <c r="F195">
        <v>4505979384.1999998</v>
      </c>
      <c r="G195">
        <v>0.19045999999999999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-4.0382110290925505E-2</v>
      </c>
      <c r="Q195">
        <f t="shared" ref="Q195" si="948">F195*P195</f>
        <v>-181960956.46140099</v>
      </c>
      <c r="R195">
        <f t="shared" ref="R195" si="949">R196+Q195</f>
        <v>153876263891.79965</v>
      </c>
      <c r="S195">
        <f t="shared" ref="S195" si="950">R195/100000</f>
        <v>1538762.6389179965</v>
      </c>
      <c r="T195">
        <f t="shared" si="934"/>
        <v>1538.7626389179966</v>
      </c>
    </row>
    <row r="196" spans="1:20" x14ac:dyDescent="0.25">
      <c r="A196" s="5">
        <v>44397</v>
      </c>
      <c r="B196">
        <v>0.17362</v>
      </c>
      <c r="C196">
        <v>0.17996999999999999</v>
      </c>
      <c r="D196">
        <v>0.15987999999999999</v>
      </c>
      <c r="E196">
        <v>0.17047000000000001</v>
      </c>
      <c r="F196">
        <v>1865041957.2</v>
      </c>
      <c r="G196">
        <v>0.17047000000000001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5.4255848680937559E-2</v>
      </c>
      <c r="Q196">
        <f t="shared" ref="Q196" si="952">F196*P196</f>
        <v>101189434.21344283</v>
      </c>
      <c r="R196">
        <f t="shared" ref="R196" si="953">R197+Q196</f>
        <v>154058224848.26105</v>
      </c>
      <c r="S196">
        <f t="shared" ref="S196" si="954">R196/100000</f>
        <v>1540582.2484826106</v>
      </c>
      <c r="T196">
        <f t="shared" si="934"/>
        <v>1540.5822484826106</v>
      </c>
    </row>
    <row r="197" spans="1:20" x14ac:dyDescent="0.25">
      <c r="A197" s="5">
        <v>44396</v>
      </c>
      <c r="B197">
        <v>0.18156</v>
      </c>
      <c r="C197">
        <v>0.18429000000000001</v>
      </c>
      <c r="D197">
        <v>0.17025000000000001</v>
      </c>
      <c r="E197">
        <v>0.17362</v>
      </c>
      <c r="F197">
        <v>1079953391.4000001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-0.51994301994302206</v>
      </c>
      <c r="Q197">
        <f t="shared" ref="Q197" si="956">F197*P197</f>
        <v>-561514227.72222459</v>
      </c>
      <c r="R197">
        <f t="shared" ref="R197" si="957">R198+Q197</f>
        <v>153957035414.04761</v>
      </c>
      <c r="S197">
        <f t="shared" ref="S197" si="958">R197/100000</f>
        <v>1539570.3541404761</v>
      </c>
      <c r="T197">
        <f t="shared" si="934"/>
        <v>1539.5703541404762</v>
      </c>
    </row>
    <row r="198" spans="1:20" x14ac:dyDescent="0.25">
      <c r="A198" s="5">
        <v>44395</v>
      </c>
      <c r="B198">
        <v>0.18737999999999999</v>
      </c>
      <c r="C198">
        <v>0.19605</v>
      </c>
      <c r="D198">
        <v>0.18018999999999999</v>
      </c>
      <c r="E198">
        <v>0.18157000000000001</v>
      </c>
      <c r="F198">
        <v>1344894101.5999999</v>
      </c>
      <c r="G198">
        <v>0</v>
      </c>
      <c r="L198" t="s">
        <v>7</v>
      </c>
      <c r="M198" t="s">
        <v>8</v>
      </c>
      <c r="N198" t="s">
        <v>7</v>
      </c>
      <c r="P198">
        <f t="shared" ref="P198:P261" si="959">IF(C198=D198,0,((E198-D198)-(C198-E198))/(C198-D198))</f>
        <v>-0.8259773013871351</v>
      </c>
      <c r="Q198">
        <f t="shared" ref="Q198:Q261" si="960">F198*P198</f>
        <v>-1110852000.6910434</v>
      </c>
      <c r="R198">
        <f t="shared" ref="R198:R261" si="961">R199+Q198</f>
        <v>154518549641.76984</v>
      </c>
      <c r="S198">
        <f t="shared" ref="S198:S261" si="962">R198/100000</f>
        <v>1545185.4964176985</v>
      </c>
      <c r="T198">
        <f t="shared" ref="T198:T261" si="963">S198/1000</f>
        <v>1545.1854964176985</v>
      </c>
    </row>
    <row r="199" spans="1:20" x14ac:dyDescent="0.25">
      <c r="A199" s="5">
        <v>44394</v>
      </c>
      <c r="B199">
        <v>0.17202999999999999</v>
      </c>
      <c r="C199">
        <v>0.20530000000000001</v>
      </c>
      <c r="D199">
        <v>0.16883999999999999</v>
      </c>
      <c r="E199">
        <v>0.18734000000000001</v>
      </c>
      <c r="F199">
        <v>2572720766.9000001</v>
      </c>
      <c r="G199">
        <v>0</v>
      </c>
      <c r="L199" t="s">
        <v>8</v>
      </c>
      <c r="M199" t="s">
        <v>8</v>
      </c>
      <c r="N199" t="s">
        <v>7</v>
      </c>
      <c r="P199">
        <f t="shared" si="959"/>
        <v>1.4810751508502808E-2</v>
      </c>
      <c r="Q199">
        <f t="shared" si="960"/>
        <v>38103927.979320675</v>
      </c>
      <c r="R199">
        <f t="shared" si="961"/>
        <v>155629401642.46088</v>
      </c>
      <c r="S199">
        <f t="shared" si="962"/>
        <v>1556294.0164246086</v>
      </c>
      <c r="T199">
        <f t="shared" si="963"/>
        <v>1556.2940164246086</v>
      </c>
    </row>
    <row r="200" spans="1:20" x14ac:dyDescent="0.25">
      <c r="A200" s="5">
        <v>44393</v>
      </c>
      <c r="B200">
        <v>0.18534</v>
      </c>
      <c r="C200">
        <v>0.18833</v>
      </c>
      <c r="D200">
        <v>0.17118</v>
      </c>
      <c r="E200">
        <v>0.17202000000000001</v>
      </c>
      <c r="F200">
        <v>1185633674.2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-0.90204081632652977</v>
      </c>
      <c r="Q200">
        <f t="shared" si="960"/>
        <v>-1069489967.3395909</v>
      </c>
      <c r="R200">
        <f t="shared" si="961"/>
        <v>155591297714.48157</v>
      </c>
      <c r="S200">
        <f t="shared" si="962"/>
        <v>1555912.9771448157</v>
      </c>
      <c r="T200">
        <f t="shared" si="963"/>
        <v>1555.9129771448156</v>
      </c>
    </row>
    <row r="201" spans="1:20" x14ac:dyDescent="0.25">
      <c r="A201" s="5">
        <v>44392</v>
      </c>
      <c r="B201">
        <v>0.19758999999999999</v>
      </c>
      <c r="C201">
        <v>0.20089000000000001</v>
      </c>
      <c r="D201">
        <v>0.18051</v>
      </c>
      <c r="E201">
        <v>0.18534</v>
      </c>
      <c r="F201">
        <v>966797093.29999995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-0.52600588812561344</v>
      </c>
      <c r="Q201">
        <f t="shared" si="960"/>
        <v>-508540963.69852805</v>
      </c>
      <c r="R201">
        <f t="shared" si="961"/>
        <v>156660787681.82117</v>
      </c>
      <c r="S201">
        <f t="shared" si="962"/>
        <v>1566607.8768182117</v>
      </c>
      <c r="T201">
        <f t="shared" si="963"/>
        <v>1566.6078768182117</v>
      </c>
    </row>
    <row r="202" spans="1:20" x14ac:dyDescent="0.25">
      <c r="A202" s="5">
        <v>44391</v>
      </c>
      <c r="B202">
        <v>0.19994999999999999</v>
      </c>
      <c r="C202">
        <v>0.20479</v>
      </c>
      <c r="D202">
        <v>0.18725</v>
      </c>
      <c r="E202">
        <v>0.19761000000000001</v>
      </c>
      <c r="F202">
        <v>1247947078.4000001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0.18129988597491539</v>
      </c>
      <c r="Q202">
        <f t="shared" si="960"/>
        <v>226252663.01664883</v>
      </c>
      <c r="R202">
        <f t="shared" si="961"/>
        <v>157169328645.51968</v>
      </c>
      <c r="S202">
        <f t="shared" si="962"/>
        <v>1571693.2864551968</v>
      </c>
      <c r="T202">
        <f t="shared" si="963"/>
        <v>1571.6932864551968</v>
      </c>
    </row>
    <row r="203" spans="1:20" x14ac:dyDescent="0.25">
      <c r="A203" s="5">
        <v>44390</v>
      </c>
      <c r="B203">
        <v>0.20776</v>
      </c>
      <c r="C203">
        <v>0.20893</v>
      </c>
      <c r="D203">
        <v>0.19749</v>
      </c>
      <c r="E203">
        <v>0.19997000000000001</v>
      </c>
      <c r="F203">
        <v>916221269.89999998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-0.56643356643356491</v>
      </c>
      <c r="Q203">
        <f t="shared" si="960"/>
        <v>-518978481.55174685</v>
      </c>
      <c r="R203">
        <f t="shared" si="961"/>
        <v>156943075982.50302</v>
      </c>
      <c r="S203">
        <f t="shared" si="962"/>
        <v>1569430.7598250301</v>
      </c>
      <c r="T203">
        <f t="shared" si="963"/>
        <v>1569.43075982503</v>
      </c>
    </row>
    <row r="204" spans="1:20" x14ac:dyDescent="0.25">
      <c r="A204" s="5">
        <v>44389</v>
      </c>
      <c r="B204">
        <v>0.21597</v>
      </c>
      <c r="C204">
        <v>0.219</v>
      </c>
      <c r="D204">
        <v>0.20394000000000001</v>
      </c>
      <c r="E204">
        <v>0.20774999999999999</v>
      </c>
      <c r="F204">
        <v>805441341.20000005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-0.49402390438247246</v>
      </c>
      <c r="Q204">
        <f t="shared" si="960"/>
        <v>-397907276.13067919</v>
      </c>
      <c r="R204">
        <f t="shared" si="961"/>
        <v>157462054464.05478</v>
      </c>
      <c r="S204">
        <f t="shared" si="962"/>
        <v>1574620.5446405478</v>
      </c>
      <c r="T204">
        <f t="shared" si="963"/>
        <v>1574.6205446405479</v>
      </c>
    </row>
    <row r="205" spans="1:20" x14ac:dyDescent="0.25">
      <c r="A205" s="5">
        <v>44388</v>
      </c>
      <c r="B205">
        <v>0.21376000000000001</v>
      </c>
      <c r="C205">
        <v>0.21917</v>
      </c>
      <c r="D205">
        <v>0.21060999999999999</v>
      </c>
      <c r="E205">
        <v>0.21597</v>
      </c>
      <c r="F205">
        <v>551263176.39999998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0.25233644859812993</v>
      </c>
      <c r="Q205">
        <f t="shared" si="960"/>
        <v>139103792.17570043</v>
      </c>
      <c r="R205">
        <f t="shared" si="961"/>
        <v>157859961740.18546</v>
      </c>
      <c r="S205">
        <f t="shared" si="962"/>
        <v>1578599.6174018546</v>
      </c>
      <c r="T205">
        <f t="shared" si="963"/>
        <v>1578.5996174018546</v>
      </c>
    </row>
    <row r="206" spans="1:20" x14ac:dyDescent="0.25">
      <c r="A206" s="5">
        <v>44387</v>
      </c>
      <c r="B206">
        <v>0.21965999999999999</v>
      </c>
      <c r="C206">
        <v>0.22811999999999999</v>
      </c>
      <c r="D206">
        <v>0.2097</v>
      </c>
      <c r="E206">
        <v>0.21375</v>
      </c>
      <c r="F206">
        <v>919482894.5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-0.56026058631921827</v>
      </c>
      <c r="Q206">
        <f t="shared" si="960"/>
        <v>-515150025.58306193</v>
      </c>
      <c r="R206">
        <f t="shared" si="961"/>
        <v>157720857948.00977</v>
      </c>
      <c r="S206">
        <f t="shared" si="962"/>
        <v>1577208.5794800976</v>
      </c>
      <c r="T206">
        <f t="shared" si="963"/>
        <v>1577.2085794800976</v>
      </c>
    </row>
    <row r="207" spans="1:20" x14ac:dyDescent="0.25">
      <c r="A207" s="5">
        <v>44386</v>
      </c>
      <c r="B207">
        <v>0.20707999999999999</v>
      </c>
      <c r="C207">
        <v>0.22986000000000001</v>
      </c>
      <c r="D207">
        <v>0.19520999999999999</v>
      </c>
      <c r="E207">
        <v>0.21962999999999999</v>
      </c>
      <c r="F207">
        <v>2291127903.5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0.40952380952380879</v>
      </c>
      <c r="Q207">
        <f t="shared" si="960"/>
        <v>938271427.14761734</v>
      </c>
      <c r="R207">
        <f t="shared" si="961"/>
        <v>158236007973.59283</v>
      </c>
      <c r="S207">
        <f t="shared" si="962"/>
        <v>1582360.0797359284</v>
      </c>
      <c r="T207">
        <f t="shared" si="963"/>
        <v>1582.3600797359284</v>
      </c>
    </row>
    <row r="208" spans="1:20" x14ac:dyDescent="0.25">
      <c r="A208" s="5">
        <v>44385</v>
      </c>
      <c r="B208">
        <v>0.22386</v>
      </c>
      <c r="C208">
        <v>0.22481000000000001</v>
      </c>
      <c r="D208">
        <v>0.20147999999999999</v>
      </c>
      <c r="E208">
        <v>0.2069</v>
      </c>
      <c r="F208">
        <v>1487061330.0999999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-0.53536219459922807</v>
      </c>
      <c r="Q208">
        <f t="shared" si="960"/>
        <v>-796116417.18598306</v>
      </c>
      <c r="R208">
        <f t="shared" si="961"/>
        <v>157297736546.44522</v>
      </c>
      <c r="S208">
        <f t="shared" si="962"/>
        <v>1572977.3654644522</v>
      </c>
      <c r="T208">
        <f t="shared" si="963"/>
        <v>1572.9773654644521</v>
      </c>
    </row>
    <row r="209" spans="1:20" x14ac:dyDescent="0.25">
      <c r="A209" s="5">
        <v>44384</v>
      </c>
      <c r="B209">
        <v>0.23418</v>
      </c>
      <c r="C209">
        <v>0.23862</v>
      </c>
      <c r="D209">
        <v>0.22084000000000001</v>
      </c>
      <c r="E209">
        <v>0.22386</v>
      </c>
      <c r="F209">
        <v>952129896.60000002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-0.66029246344207015</v>
      </c>
      <c r="Q209">
        <f t="shared" si="960"/>
        <v>-628684194.9428575</v>
      </c>
      <c r="R209">
        <f t="shared" si="961"/>
        <v>158093852963.6312</v>
      </c>
      <c r="S209">
        <f t="shared" si="962"/>
        <v>1580938.529636312</v>
      </c>
      <c r="T209">
        <f t="shared" si="963"/>
        <v>1580.9385296363121</v>
      </c>
    </row>
    <row r="210" spans="1:20" x14ac:dyDescent="0.25">
      <c r="A210" s="5">
        <v>44383</v>
      </c>
      <c r="B210">
        <v>0.23116999999999999</v>
      </c>
      <c r="C210">
        <v>0.24229999999999999</v>
      </c>
      <c r="D210">
        <v>0.22931000000000001</v>
      </c>
      <c r="E210">
        <v>0.23416999999999999</v>
      </c>
      <c r="F210">
        <v>981368400.5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-0.25173210161663045</v>
      </c>
      <c r="Q210">
        <f t="shared" si="960"/>
        <v>-247041929.91801611</v>
      </c>
      <c r="R210">
        <f t="shared" si="961"/>
        <v>158722537158.57407</v>
      </c>
      <c r="S210">
        <f t="shared" si="962"/>
        <v>1587225.3715857407</v>
      </c>
      <c r="T210">
        <f t="shared" si="963"/>
        <v>1587.2253715857407</v>
      </c>
    </row>
    <row r="211" spans="1:20" x14ac:dyDescent="0.25">
      <c r="A211" s="5">
        <v>44382</v>
      </c>
      <c r="B211">
        <v>0.24636</v>
      </c>
      <c r="C211">
        <v>0.249</v>
      </c>
      <c r="D211">
        <v>0.22547</v>
      </c>
      <c r="E211">
        <v>0.2311</v>
      </c>
      <c r="F211">
        <v>1181584860.3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-0.521461963450914</v>
      </c>
      <c r="Q211">
        <f t="shared" si="960"/>
        <v>-616151561.23591185</v>
      </c>
      <c r="R211">
        <f t="shared" si="961"/>
        <v>158969579088.4921</v>
      </c>
      <c r="S211">
        <f t="shared" si="962"/>
        <v>1589695.7908849209</v>
      </c>
      <c r="T211">
        <f t="shared" si="963"/>
        <v>1589.6957908849208</v>
      </c>
    </row>
    <row r="212" spans="1:20" x14ac:dyDescent="0.25">
      <c r="A212" s="5">
        <v>44381</v>
      </c>
      <c r="B212">
        <v>0.24634</v>
      </c>
      <c r="C212">
        <v>0.253</v>
      </c>
      <c r="D212">
        <v>0.24324000000000001</v>
      </c>
      <c r="E212">
        <v>0.24643000000000001</v>
      </c>
      <c r="F212">
        <v>823044174.70000005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-0.34631147540983581</v>
      </c>
      <c r="Q212">
        <f t="shared" si="960"/>
        <v>-285029642.46782768</v>
      </c>
      <c r="R212">
        <f t="shared" si="961"/>
        <v>159585730649.728</v>
      </c>
      <c r="S212">
        <f t="shared" si="962"/>
        <v>1595857.30649728</v>
      </c>
      <c r="T212">
        <f t="shared" si="963"/>
        <v>1595.85730649728</v>
      </c>
    </row>
    <row r="213" spans="1:20" x14ac:dyDescent="0.25">
      <c r="A213" s="5">
        <v>44380</v>
      </c>
      <c r="B213">
        <v>0.24498</v>
      </c>
      <c r="C213">
        <v>0.25039</v>
      </c>
      <c r="D213">
        <v>0.24199999999999999</v>
      </c>
      <c r="E213">
        <v>0.24636</v>
      </c>
      <c r="F213">
        <v>759251070.10000002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3.9332538736590775E-2</v>
      </c>
      <c r="Q213">
        <f t="shared" si="960"/>
        <v>29863272.125506248</v>
      </c>
      <c r="R213">
        <f t="shared" si="961"/>
        <v>159870760292.19583</v>
      </c>
      <c r="S213">
        <f t="shared" si="962"/>
        <v>1598707.6029219583</v>
      </c>
      <c r="T213">
        <f t="shared" si="963"/>
        <v>1598.7076029219584</v>
      </c>
    </row>
    <row r="214" spans="1:20" x14ac:dyDescent="0.25">
      <c r="A214" s="5">
        <v>44379</v>
      </c>
      <c r="B214">
        <v>0.24379999999999999</v>
      </c>
      <c r="C214">
        <v>0.24915999999999999</v>
      </c>
      <c r="D214">
        <v>0.23838999999999999</v>
      </c>
      <c r="E214">
        <v>0.24504999999999999</v>
      </c>
      <c r="F214">
        <v>1081847381.5999999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0.2367688022284119</v>
      </c>
      <c r="Q214">
        <f t="shared" si="960"/>
        <v>256147708.73537564</v>
      </c>
      <c r="R214">
        <f t="shared" si="961"/>
        <v>159840897020.07031</v>
      </c>
      <c r="S214">
        <f t="shared" si="962"/>
        <v>1598408.970200703</v>
      </c>
      <c r="T214">
        <f t="shared" si="963"/>
        <v>1598.4089702007029</v>
      </c>
    </row>
    <row r="215" spans="1:20" x14ac:dyDescent="0.25">
      <c r="A215" s="5">
        <v>44378</v>
      </c>
      <c r="B215">
        <v>0.25390000000000001</v>
      </c>
      <c r="C215">
        <v>0.26140000000000002</v>
      </c>
      <c r="D215">
        <v>0.23816999999999999</v>
      </c>
      <c r="E215">
        <v>0.24381</v>
      </c>
      <c r="F215">
        <v>2253058516.9000001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-0.51442100731812324</v>
      </c>
      <c r="Q215">
        <f t="shared" si="960"/>
        <v>-1159020631.8103747</v>
      </c>
      <c r="R215">
        <f t="shared" si="961"/>
        <v>159584749311.33493</v>
      </c>
      <c r="S215">
        <f t="shared" si="962"/>
        <v>1595847.4931133492</v>
      </c>
      <c r="T215">
        <f t="shared" si="963"/>
        <v>1595.8474931133492</v>
      </c>
    </row>
    <row r="216" spans="1:20" x14ac:dyDescent="0.25">
      <c r="A216" s="5">
        <v>44377</v>
      </c>
      <c r="B216">
        <v>0.26349</v>
      </c>
      <c r="C216">
        <v>0.26390999999999998</v>
      </c>
      <c r="D216">
        <v>0.23777999999999999</v>
      </c>
      <c r="E216">
        <v>0.25391000000000002</v>
      </c>
      <c r="F216">
        <v>1610075649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0.23459624952162583</v>
      </c>
      <c r="Q216">
        <f t="shared" si="960"/>
        <v>377717708.70149767</v>
      </c>
      <c r="R216">
        <f t="shared" si="961"/>
        <v>160743769943.14529</v>
      </c>
      <c r="S216">
        <f t="shared" si="962"/>
        <v>1607437.6994314529</v>
      </c>
      <c r="T216">
        <f t="shared" si="963"/>
        <v>1607.437699431453</v>
      </c>
    </row>
    <row r="217" spans="1:20" x14ac:dyDescent="0.25">
      <c r="A217" s="5">
        <v>44376</v>
      </c>
      <c r="B217">
        <v>0.25708999999999999</v>
      </c>
      <c r="C217">
        <v>0.27572999999999998</v>
      </c>
      <c r="D217">
        <v>0.25247999999999998</v>
      </c>
      <c r="E217">
        <v>0.26349</v>
      </c>
      <c r="F217">
        <v>1927372368.0999999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-5.2903225806449621E-2</v>
      </c>
      <c r="Q217">
        <f t="shared" si="960"/>
        <v>-101964215.60270584</v>
      </c>
      <c r="R217">
        <f t="shared" si="961"/>
        <v>160366052234.44379</v>
      </c>
      <c r="S217">
        <f t="shared" si="962"/>
        <v>1603660.5223444379</v>
      </c>
      <c r="T217">
        <f t="shared" si="963"/>
        <v>1603.6605223444378</v>
      </c>
    </row>
    <row r="218" spans="1:20" x14ac:dyDescent="0.25">
      <c r="A218" s="5">
        <v>44375</v>
      </c>
      <c r="B218">
        <v>0.26462000000000002</v>
      </c>
      <c r="C218">
        <v>0.26734999999999998</v>
      </c>
      <c r="D218">
        <v>0.2505</v>
      </c>
      <c r="E218">
        <v>0.25707000000000002</v>
      </c>
      <c r="F218">
        <v>1734504424.8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-0.2201780415430232</v>
      </c>
      <c r="Q218">
        <f t="shared" si="960"/>
        <v>-381899787.30017197</v>
      </c>
      <c r="R218">
        <f t="shared" si="961"/>
        <v>160468016450.04648</v>
      </c>
      <c r="S218">
        <f t="shared" si="962"/>
        <v>1604680.1645004647</v>
      </c>
      <c r="T218">
        <f t="shared" si="963"/>
        <v>1604.6801645004648</v>
      </c>
    </row>
    <row r="219" spans="1:20" x14ac:dyDescent="0.25">
      <c r="A219" s="5">
        <v>44374</v>
      </c>
      <c r="B219">
        <v>0.24582999999999999</v>
      </c>
      <c r="C219">
        <v>0.26752999999999999</v>
      </c>
      <c r="D219">
        <v>0.24002000000000001</v>
      </c>
      <c r="E219">
        <v>0.26450000000000001</v>
      </c>
      <c r="F219">
        <v>1968559379.5999999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0.77971646673936901</v>
      </c>
      <c r="Q219">
        <f t="shared" si="960"/>
        <v>1534918164.0283563</v>
      </c>
      <c r="R219">
        <f t="shared" si="961"/>
        <v>160849916237.34665</v>
      </c>
      <c r="S219">
        <f t="shared" si="962"/>
        <v>1608499.1623734664</v>
      </c>
      <c r="T219">
        <f t="shared" si="963"/>
        <v>1608.4991623734663</v>
      </c>
    </row>
    <row r="220" spans="1:20" x14ac:dyDescent="0.25">
      <c r="A220" s="5">
        <v>44373</v>
      </c>
      <c r="B220">
        <v>0.23748</v>
      </c>
      <c r="C220">
        <v>0.25540000000000002</v>
      </c>
      <c r="D220">
        <v>0.23057</v>
      </c>
      <c r="E220">
        <v>0.24582999999999999</v>
      </c>
      <c r="F220">
        <v>2653188955.5999999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0.22915827627869387</v>
      </c>
      <c r="Q220">
        <f t="shared" si="960"/>
        <v>608000207.70696402</v>
      </c>
      <c r="R220">
        <f t="shared" si="961"/>
        <v>159314998073.3183</v>
      </c>
      <c r="S220">
        <f t="shared" si="962"/>
        <v>1593149.980733183</v>
      </c>
      <c r="T220">
        <f t="shared" si="963"/>
        <v>1593.1499807331829</v>
      </c>
    </row>
    <row r="221" spans="1:20" x14ac:dyDescent="0.25">
      <c r="A221" s="5">
        <v>44372</v>
      </c>
      <c r="B221">
        <v>0.26373999999999997</v>
      </c>
      <c r="C221">
        <v>0.28959000000000001</v>
      </c>
      <c r="D221">
        <v>0.22886000000000001</v>
      </c>
      <c r="E221">
        <v>0.23744999999999999</v>
      </c>
      <c r="F221">
        <v>5942192455.5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-0.71710851309072998</v>
      </c>
      <c r="Q221">
        <f t="shared" si="960"/>
        <v>-4261196796.2625585</v>
      </c>
      <c r="R221">
        <f t="shared" si="961"/>
        <v>158706997865.61133</v>
      </c>
      <c r="S221">
        <f t="shared" si="962"/>
        <v>1587069.9786561134</v>
      </c>
      <c r="T221">
        <f t="shared" si="963"/>
        <v>1587.0699786561133</v>
      </c>
    </row>
    <row r="222" spans="1:20" x14ac:dyDescent="0.25">
      <c r="A222" s="5">
        <v>44371</v>
      </c>
      <c r="B222">
        <v>0.23474999999999999</v>
      </c>
      <c r="C222">
        <v>0.26952999999999999</v>
      </c>
      <c r="D222">
        <v>0.222</v>
      </c>
      <c r="E222">
        <v>0.26377</v>
      </c>
      <c r="F222">
        <v>3579998951.1999998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0.75762676204502466</v>
      </c>
      <c r="Q222">
        <f t="shared" si="960"/>
        <v>2712303013.5222402</v>
      </c>
      <c r="R222">
        <f t="shared" si="961"/>
        <v>162968194661.8739</v>
      </c>
      <c r="S222">
        <f t="shared" si="962"/>
        <v>1629681.946618739</v>
      </c>
      <c r="T222">
        <f t="shared" si="963"/>
        <v>1629.6819466187389</v>
      </c>
    </row>
    <row r="223" spans="1:20" x14ac:dyDescent="0.25">
      <c r="A223" s="5">
        <v>44370</v>
      </c>
      <c r="B223">
        <v>0.19075</v>
      </c>
      <c r="C223">
        <v>0.2485</v>
      </c>
      <c r="D223">
        <v>0.18046000000000001</v>
      </c>
      <c r="E223">
        <v>0.23468</v>
      </c>
      <c r="F223">
        <v>5839514040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0.59376837154614925</v>
      </c>
      <c r="Q223">
        <f t="shared" si="960"/>
        <v>3467318742.1516752</v>
      </c>
      <c r="R223">
        <f t="shared" si="961"/>
        <v>160255891648.35165</v>
      </c>
      <c r="S223">
        <f t="shared" si="962"/>
        <v>1602558.9164835166</v>
      </c>
      <c r="T223">
        <f t="shared" si="963"/>
        <v>1602.5589164835167</v>
      </c>
    </row>
    <row r="224" spans="1:20" x14ac:dyDescent="0.25">
      <c r="A224" s="5">
        <v>44369</v>
      </c>
      <c r="B224">
        <v>0.17873</v>
      </c>
      <c r="C224">
        <v>0.21740000000000001</v>
      </c>
      <c r="D224">
        <v>0.16322</v>
      </c>
      <c r="E224">
        <v>0.19072</v>
      </c>
      <c r="F224">
        <v>7520083611.8000002</v>
      </c>
      <c r="G224">
        <v>0</v>
      </c>
      <c r="L224" t="s">
        <v>8</v>
      </c>
      <c r="M224" t="s">
        <v>7</v>
      </c>
      <c r="N224" t="s">
        <v>7</v>
      </c>
      <c r="P224">
        <f t="shared" si="959"/>
        <v>1.5134736064968389E-2</v>
      </c>
      <c r="Q224">
        <f t="shared" si="960"/>
        <v>113814480.65108721</v>
      </c>
      <c r="R224">
        <f t="shared" si="961"/>
        <v>156788572906.19998</v>
      </c>
      <c r="S224">
        <f t="shared" si="962"/>
        <v>1567885.7290619998</v>
      </c>
      <c r="T224">
        <f t="shared" si="963"/>
        <v>1567.8857290619999</v>
      </c>
    </row>
    <row r="225" spans="1:20" x14ac:dyDescent="0.25">
      <c r="A225" s="5">
        <v>44368</v>
      </c>
      <c r="B225">
        <v>0.28054000000000001</v>
      </c>
      <c r="C225">
        <v>0.28138000000000002</v>
      </c>
      <c r="D225">
        <v>0.16489999999999999</v>
      </c>
      <c r="E225">
        <v>0.17873</v>
      </c>
      <c r="F225">
        <v>7023706752.6000004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-0.76253434065934056</v>
      </c>
      <c r="Q225">
        <f t="shared" si="960"/>
        <v>-5355817597.5783997</v>
      </c>
      <c r="R225">
        <f t="shared" si="961"/>
        <v>156674758425.54889</v>
      </c>
      <c r="S225">
        <f t="shared" si="962"/>
        <v>1566747.5842554888</v>
      </c>
      <c r="T225">
        <f t="shared" si="963"/>
        <v>1566.7475842554888</v>
      </c>
    </row>
    <row r="226" spans="1:20" x14ac:dyDescent="0.25">
      <c r="A226" s="5">
        <v>44367</v>
      </c>
      <c r="B226">
        <v>0.28563</v>
      </c>
      <c r="C226">
        <v>0.28988000000000003</v>
      </c>
      <c r="D226">
        <v>0.25509999999999999</v>
      </c>
      <c r="E226">
        <v>0.28054000000000001</v>
      </c>
      <c r="F226">
        <v>1528605029.5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0.46290971822886684</v>
      </c>
      <c r="Q226">
        <f t="shared" si="960"/>
        <v>707606123.48907363</v>
      </c>
      <c r="R226">
        <f t="shared" si="961"/>
        <v>162030576023.12729</v>
      </c>
      <c r="S226">
        <f t="shared" si="962"/>
        <v>1620305.7602312728</v>
      </c>
      <c r="T226">
        <f t="shared" si="963"/>
        <v>1620.3057602312729</v>
      </c>
    </row>
    <row r="227" spans="1:20" x14ac:dyDescent="0.25">
      <c r="A227" s="5">
        <v>44366</v>
      </c>
      <c r="B227">
        <v>0.29321000000000003</v>
      </c>
      <c r="C227">
        <v>0.29791000000000001</v>
      </c>
      <c r="D227">
        <v>0.28558</v>
      </c>
      <c r="E227">
        <v>0.28566999999999998</v>
      </c>
      <c r="F227">
        <v>624846001.39999998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-0.98540145985401806</v>
      </c>
      <c r="Q227">
        <f t="shared" si="960"/>
        <v>-615724161.96350574</v>
      </c>
      <c r="R227">
        <f t="shared" si="961"/>
        <v>161322969899.63821</v>
      </c>
      <c r="S227">
        <f t="shared" si="962"/>
        <v>1613229.6989963821</v>
      </c>
      <c r="T227">
        <f t="shared" si="963"/>
        <v>1613.229698996382</v>
      </c>
    </row>
    <row r="228" spans="1:20" x14ac:dyDescent="0.25">
      <c r="A228" s="5">
        <v>44365</v>
      </c>
      <c r="B228">
        <v>0.30619000000000002</v>
      </c>
      <c r="C228">
        <v>0.30765999999999999</v>
      </c>
      <c r="D228">
        <v>0.28000000000000003</v>
      </c>
      <c r="E228">
        <v>0.29327999999999999</v>
      </c>
      <c r="F228">
        <v>1314700190.7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-3.976861894432563E-2</v>
      </c>
      <c r="Q228">
        <f t="shared" si="960"/>
        <v>-52283810.909980543</v>
      </c>
      <c r="R228">
        <f t="shared" si="961"/>
        <v>161938694061.60172</v>
      </c>
      <c r="S228">
        <f t="shared" si="962"/>
        <v>1619386.9406160172</v>
      </c>
      <c r="T228">
        <f t="shared" si="963"/>
        <v>1619.3869406160172</v>
      </c>
    </row>
    <row r="229" spans="1:20" x14ac:dyDescent="0.25">
      <c r="A229" s="5">
        <v>44364</v>
      </c>
      <c r="B229">
        <v>0.30774000000000001</v>
      </c>
      <c r="C229">
        <v>0.31413000000000002</v>
      </c>
      <c r="D229">
        <v>0.30259999999999998</v>
      </c>
      <c r="E229">
        <v>0.30619000000000002</v>
      </c>
      <c r="F229">
        <v>680701230.20000005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-0.37727666955767125</v>
      </c>
      <c r="Q229">
        <f t="shared" si="960"/>
        <v>-256812693.09366572</v>
      </c>
      <c r="R229">
        <f t="shared" si="961"/>
        <v>161990977872.51169</v>
      </c>
      <c r="S229">
        <f t="shared" si="962"/>
        <v>1619909.778725117</v>
      </c>
      <c r="T229">
        <f t="shared" si="963"/>
        <v>1619.9097787251169</v>
      </c>
    </row>
    <row r="230" spans="1:20" x14ac:dyDescent="0.25">
      <c r="A230" s="5">
        <v>44363</v>
      </c>
      <c r="B230">
        <v>0.32024999999999998</v>
      </c>
      <c r="C230">
        <v>0.32146000000000002</v>
      </c>
      <c r="D230">
        <v>0.30504999999999999</v>
      </c>
      <c r="E230">
        <v>0.30775000000000002</v>
      </c>
      <c r="F230">
        <v>888434880.89999998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-0.67093235831809506</v>
      </c>
      <c r="Q230">
        <f t="shared" si="960"/>
        <v>-596079709.85429287</v>
      </c>
      <c r="R230">
        <f t="shared" si="961"/>
        <v>162247790565.60535</v>
      </c>
      <c r="S230">
        <f t="shared" si="962"/>
        <v>1622477.9056560535</v>
      </c>
      <c r="T230">
        <f t="shared" si="963"/>
        <v>1622.4779056560535</v>
      </c>
    </row>
    <row r="231" spans="1:20" x14ac:dyDescent="0.25">
      <c r="A231" s="5">
        <v>44362</v>
      </c>
      <c r="B231">
        <v>0.32768999999999998</v>
      </c>
      <c r="C231">
        <v>0.33068999999999998</v>
      </c>
      <c r="D231">
        <v>0.31641999999999998</v>
      </c>
      <c r="E231">
        <v>0.32028000000000001</v>
      </c>
      <c r="F231">
        <v>1015598512.1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-0.45900490539593147</v>
      </c>
      <c r="Q231">
        <f t="shared" si="960"/>
        <v>-466164698.96670926</v>
      </c>
      <c r="R231">
        <f t="shared" si="961"/>
        <v>162843870275.45963</v>
      </c>
      <c r="S231">
        <f t="shared" si="962"/>
        <v>1628438.7027545962</v>
      </c>
      <c r="T231">
        <f t="shared" si="963"/>
        <v>1628.4387027545963</v>
      </c>
    </row>
    <row r="232" spans="1:20" x14ac:dyDescent="0.25">
      <c r="A232" s="5">
        <v>44361</v>
      </c>
      <c r="B232">
        <v>0.32391999999999999</v>
      </c>
      <c r="C232">
        <v>0.33777000000000001</v>
      </c>
      <c r="D232">
        <v>0.32</v>
      </c>
      <c r="E232">
        <v>0.32767000000000002</v>
      </c>
      <c r="F232">
        <v>1310349921.9000001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-0.13674732695554229</v>
      </c>
      <c r="Q232">
        <f t="shared" si="960"/>
        <v>-179186849.19622862</v>
      </c>
      <c r="R232">
        <f t="shared" si="961"/>
        <v>163310034974.42633</v>
      </c>
      <c r="S232">
        <f t="shared" si="962"/>
        <v>1633100.3497442633</v>
      </c>
      <c r="T232">
        <f t="shared" si="963"/>
        <v>1633.1003497442634</v>
      </c>
    </row>
    <row r="233" spans="1:20" x14ac:dyDescent="0.25">
      <c r="A233" s="5">
        <v>44360</v>
      </c>
      <c r="B233">
        <v>0.31220999999999999</v>
      </c>
      <c r="C233">
        <v>0.33</v>
      </c>
      <c r="D233">
        <v>0.30743999999999999</v>
      </c>
      <c r="E233">
        <v>0.32394000000000001</v>
      </c>
      <c r="F233">
        <v>1042596039.8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0.46276595744680821</v>
      </c>
      <c r="Q233">
        <f t="shared" si="960"/>
        <v>482477954.58829755</v>
      </c>
      <c r="R233">
        <f t="shared" si="961"/>
        <v>163489221823.62256</v>
      </c>
      <c r="S233">
        <f t="shared" si="962"/>
        <v>1634892.2182362257</v>
      </c>
      <c r="T233">
        <f t="shared" si="963"/>
        <v>1634.8922182362257</v>
      </c>
    </row>
    <row r="234" spans="1:20" x14ac:dyDescent="0.25">
      <c r="A234" s="5">
        <v>44359</v>
      </c>
      <c r="B234">
        <v>0.31874000000000002</v>
      </c>
      <c r="C234">
        <v>0.31931999999999999</v>
      </c>
      <c r="D234">
        <v>0.3</v>
      </c>
      <c r="E234">
        <v>0.31215999999999999</v>
      </c>
      <c r="F234">
        <v>1217468360.0999999</v>
      </c>
      <c r="G234">
        <v>0</v>
      </c>
      <c r="L234" t="s">
        <v>7</v>
      </c>
      <c r="M234" t="s">
        <v>8</v>
      </c>
      <c r="N234" t="s">
        <v>7</v>
      </c>
      <c r="P234">
        <f t="shared" si="959"/>
        <v>0.25879917184265028</v>
      </c>
      <c r="Q234">
        <f t="shared" si="960"/>
        <v>315079803.3385095</v>
      </c>
      <c r="R234">
        <f t="shared" si="961"/>
        <v>163006743869.03427</v>
      </c>
      <c r="S234">
        <f t="shared" si="962"/>
        <v>1630067.4386903427</v>
      </c>
      <c r="T234">
        <f t="shared" si="963"/>
        <v>1630.0674386903427</v>
      </c>
    </row>
    <row r="235" spans="1:20" x14ac:dyDescent="0.25">
      <c r="A235" s="5">
        <v>44358</v>
      </c>
      <c r="B235">
        <v>0.32612999999999998</v>
      </c>
      <c r="C235">
        <v>0.33379999999999999</v>
      </c>
      <c r="D235">
        <v>0.31069000000000002</v>
      </c>
      <c r="E235">
        <v>0.31869999999999998</v>
      </c>
      <c r="F235">
        <v>1204137023.4000001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-0.30679359584595639</v>
      </c>
      <c r="Q235">
        <f t="shared" si="960"/>
        <v>-369421527.30013257</v>
      </c>
      <c r="R235">
        <f t="shared" si="961"/>
        <v>162691664065.69577</v>
      </c>
      <c r="S235">
        <f t="shared" si="962"/>
        <v>1626916.6406569576</v>
      </c>
      <c r="T235">
        <f t="shared" si="963"/>
        <v>1626.9166406569577</v>
      </c>
    </row>
    <row r="236" spans="1:20" x14ac:dyDescent="0.25">
      <c r="A236" s="5">
        <v>44357</v>
      </c>
      <c r="B236">
        <v>0.34322999999999998</v>
      </c>
      <c r="C236">
        <v>0.34515000000000001</v>
      </c>
      <c r="D236">
        <v>0.32250000000000001</v>
      </c>
      <c r="E236">
        <v>0.32606000000000002</v>
      </c>
      <c r="F236">
        <v>1348789846.5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-0.68565121412803465</v>
      </c>
      <c r="Q236">
        <f t="shared" si="960"/>
        <v>-924799395.85629046</v>
      </c>
      <c r="R236">
        <f t="shared" si="961"/>
        <v>163061085592.99591</v>
      </c>
      <c r="S236">
        <f t="shared" si="962"/>
        <v>1630610.8559299591</v>
      </c>
      <c r="T236">
        <f t="shared" si="963"/>
        <v>1630.6108559299591</v>
      </c>
    </row>
    <row r="237" spans="1:20" x14ac:dyDescent="0.25">
      <c r="A237" s="5">
        <v>44356</v>
      </c>
      <c r="B237">
        <v>0.32591999999999999</v>
      </c>
      <c r="C237">
        <v>0.3548</v>
      </c>
      <c r="D237">
        <v>0.31226999999999999</v>
      </c>
      <c r="E237">
        <v>0.34317999999999999</v>
      </c>
      <c r="F237">
        <v>2068160059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0.45356219139430914</v>
      </c>
      <c r="Q237">
        <f t="shared" si="960"/>
        <v>938039208.51422369</v>
      </c>
      <c r="R237">
        <f t="shared" si="961"/>
        <v>163985884988.8522</v>
      </c>
      <c r="S237">
        <f t="shared" si="962"/>
        <v>1639858.8498885219</v>
      </c>
      <c r="T237">
        <f t="shared" si="963"/>
        <v>1639.8588498885219</v>
      </c>
    </row>
    <row r="238" spans="1:20" x14ac:dyDescent="0.25">
      <c r="A238" s="5">
        <v>44355</v>
      </c>
      <c r="B238">
        <v>0.33150000000000002</v>
      </c>
      <c r="C238">
        <v>0.34183000000000002</v>
      </c>
      <c r="D238">
        <v>0.29526000000000002</v>
      </c>
      <c r="E238">
        <v>0.32585999999999998</v>
      </c>
      <c r="F238">
        <v>2908803652.9000001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0.31415074082026884</v>
      </c>
      <c r="Q238">
        <f t="shared" si="960"/>
        <v>913802822.45923913</v>
      </c>
      <c r="R238">
        <f t="shared" si="961"/>
        <v>163047845780.33798</v>
      </c>
      <c r="S238">
        <f t="shared" si="962"/>
        <v>1630478.4578033797</v>
      </c>
      <c r="T238">
        <f t="shared" si="963"/>
        <v>1630.4784578033798</v>
      </c>
    </row>
    <row r="239" spans="1:20" x14ac:dyDescent="0.25">
      <c r="A239" s="5">
        <v>44354</v>
      </c>
      <c r="B239">
        <v>0.37142999999999998</v>
      </c>
      <c r="C239">
        <v>0.37998999999999999</v>
      </c>
      <c r="D239">
        <v>0.32750000000000001</v>
      </c>
      <c r="E239">
        <v>0.33145999999999998</v>
      </c>
      <c r="F239">
        <v>2064211543.4000001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-0.84911411697466321</v>
      </c>
      <c r="Q239">
        <f t="shared" si="960"/>
        <v>-1752751161.9229977</v>
      </c>
      <c r="R239">
        <f t="shared" si="961"/>
        <v>162134042957.87875</v>
      </c>
      <c r="S239">
        <f t="shared" si="962"/>
        <v>1621340.4295787876</v>
      </c>
      <c r="T239">
        <f t="shared" si="963"/>
        <v>1621.3404295787877</v>
      </c>
    </row>
    <row r="240" spans="1:20" x14ac:dyDescent="0.25">
      <c r="A240" s="5">
        <v>44353</v>
      </c>
      <c r="B240">
        <v>0.37130000000000002</v>
      </c>
      <c r="C240">
        <v>0.37702999999999998</v>
      </c>
      <c r="D240">
        <v>0.36634</v>
      </c>
      <c r="E240">
        <v>0.37142999999999998</v>
      </c>
      <c r="F240">
        <v>1194622756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-4.7708138447147948E-2</v>
      </c>
      <c r="Q240">
        <f t="shared" si="960"/>
        <v>-56993227.835361443</v>
      </c>
      <c r="R240">
        <f t="shared" si="961"/>
        <v>163886794119.80176</v>
      </c>
      <c r="S240">
        <f t="shared" si="962"/>
        <v>1638867.9411980177</v>
      </c>
      <c r="T240">
        <f t="shared" si="963"/>
        <v>1638.8679411980177</v>
      </c>
    </row>
    <row r="241" spans="1:20" x14ac:dyDescent="0.25">
      <c r="A241" s="5">
        <v>44352</v>
      </c>
      <c r="B241">
        <v>0.37628</v>
      </c>
      <c r="C241">
        <v>0.39500000000000002</v>
      </c>
      <c r="D241">
        <v>0.35974</v>
      </c>
      <c r="E241">
        <v>0.37130000000000002</v>
      </c>
      <c r="F241">
        <v>2396911157.0999999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-0.34429948950652239</v>
      </c>
      <c r="Q241">
        <f t="shared" si="960"/>
        <v>-825255287.78201783</v>
      </c>
      <c r="R241">
        <f t="shared" si="961"/>
        <v>163943787347.63712</v>
      </c>
      <c r="S241">
        <f t="shared" si="962"/>
        <v>1639437.8734763712</v>
      </c>
      <c r="T241">
        <f t="shared" si="963"/>
        <v>1639.4378734763711</v>
      </c>
    </row>
    <row r="242" spans="1:20" x14ac:dyDescent="0.25">
      <c r="A242" s="5">
        <v>44351</v>
      </c>
      <c r="B242">
        <v>0.40078000000000003</v>
      </c>
      <c r="C242">
        <v>0.40249000000000001</v>
      </c>
      <c r="D242">
        <v>0.35</v>
      </c>
      <c r="E242">
        <v>0.37628</v>
      </c>
      <c r="F242">
        <v>4035854544.9000001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1.3335873499716983E-3</v>
      </c>
      <c r="Q242">
        <f t="shared" si="960"/>
        <v>5382164.5674044257</v>
      </c>
      <c r="R242">
        <f t="shared" si="961"/>
        <v>164769042635.41913</v>
      </c>
      <c r="S242">
        <f t="shared" si="962"/>
        <v>1647690.4263541913</v>
      </c>
      <c r="T242">
        <f t="shared" si="963"/>
        <v>1647.6904263541912</v>
      </c>
    </row>
    <row r="243" spans="1:20" x14ac:dyDescent="0.25">
      <c r="A243" s="5">
        <v>44350</v>
      </c>
      <c r="B243">
        <v>0.42343999999999998</v>
      </c>
      <c r="C243">
        <v>0.442</v>
      </c>
      <c r="D243">
        <v>0.37722</v>
      </c>
      <c r="E243">
        <v>0.40078000000000003</v>
      </c>
      <c r="F243">
        <v>5070741840.6999998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-0.27261500463105826</v>
      </c>
      <c r="Q243">
        <f t="shared" si="960"/>
        <v>-1382360310.3853314</v>
      </c>
      <c r="R243">
        <f t="shared" si="961"/>
        <v>164763660470.85172</v>
      </c>
      <c r="S243">
        <f t="shared" si="962"/>
        <v>1647636.6047085172</v>
      </c>
      <c r="T243">
        <f t="shared" si="963"/>
        <v>1647.6366047085171</v>
      </c>
    </row>
    <row r="244" spans="1:20" x14ac:dyDescent="0.25">
      <c r="A244" s="5">
        <v>44349</v>
      </c>
      <c r="B244">
        <v>0.37007000000000001</v>
      </c>
      <c r="C244">
        <v>0.44834000000000002</v>
      </c>
      <c r="D244">
        <v>0.35110000000000002</v>
      </c>
      <c r="E244">
        <v>0.42337999999999998</v>
      </c>
      <c r="F244">
        <v>8351828077.5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0.48663101604277992</v>
      </c>
      <c r="Q244">
        <f t="shared" si="960"/>
        <v>4064258583.1684422</v>
      </c>
      <c r="R244">
        <f t="shared" si="961"/>
        <v>166146020781.23706</v>
      </c>
      <c r="S244">
        <f t="shared" si="962"/>
        <v>1661460.2078123705</v>
      </c>
      <c r="T244">
        <f t="shared" si="963"/>
        <v>1661.4602078123705</v>
      </c>
    </row>
    <row r="245" spans="1:20" x14ac:dyDescent="0.25">
      <c r="A245" s="5">
        <v>44348</v>
      </c>
      <c r="B245">
        <v>0.32557999999999998</v>
      </c>
      <c r="C245">
        <v>0.38475999999999999</v>
      </c>
      <c r="D245">
        <v>0.31120999999999999</v>
      </c>
      <c r="E245">
        <v>0.37006</v>
      </c>
      <c r="F245">
        <v>4488851727.3999996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0.60027192386131911</v>
      </c>
      <c r="Q245">
        <f t="shared" si="960"/>
        <v>2694531662.3346033</v>
      </c>
      <c r="R245">
        <f t="shared" si="961"/>
        <v>162081762198.0686</v>
      </c>
      <c r="S245">
        <f t="shared" si="962"/>
        <v>1620817.621980686</v>
      </c>
      <c r="T245">
        <f t="shared" si="963"/>
        <v>1620.817621980686</v>
      </c>
    </row>
    <row r="246" spans="1:20" x14ac:dyDescent="0.25">
      <c r="A246" s="5">
        <v>44347</v>
      </c>
      <c r="B246">
        <v>0.30179</v>
      </c>
      <c r="C246">
        <v>0.32990999999999998</v>
      </c>
      <c r="D246">
        <v>0.29386000000000001</v>
      </c>
      <c r="E246">
        <v>0.32557000000000003</v>
      </c>
      <c r="F246">
        <v>1897905257.4000001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0.75922330097087609</v>
      </c>
      <c r="Q246">
        <f t="shared" si="960"/>
        <v>1440933894.4532084</v>
      </c>
      <c r="R246">
        <f t="shared" si="961"/>
        <v>159387230535.73401</v>
      </c>
      <c r="S246">
        <f t="shared" si="962"/>
        <v>1593872.30535734</v>
      </c>
      <c r="T246">
        <f t="shared" si="963"/>
        <v>1593.8723053573401</v>
      </c>
    </row>
    <row r="247" spans="1:20" x14ac:dyDescent="0.25">
      <c r="A247" s="5">
        <v>44346</v>
      </c>
      <c r="B247">
        <v>0.30273</v>
      </c>
      <c r="C247">
        <v>0.31079000000000001</v>
      </c>
      <c r="D247">
        <v>0.28653000000000001</v>
      </c>
      <c r="E247">
        <v>0.30179</v>
      </c>
      <c r="F247">
        <v>1514854219.5999999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0.25803792250618246</v>
      </c>
      <c r="Q247">
        <f t="shared" si="960"/>
        <v>390889835.7253083</v>
      </c>
      <c r="R247">
        <f t="shared" si="961"/>
        <v>157946296641.28079</v>
      </c>
      <c r="S247">
        <f t="shared" si="962"/>
        <v>1579462.9664128078</v>
      </c>
      <c r="T247">
        <f t="shared" si="963"/>
        <v>1579.4629664128079</v>
      </c>
    </row>
    <row r="248" spans="1:20" x14ac:dyDescent="0.25">
      <c r="A248" s="5">
        <v>44345</v>
      </c>
      <c r="B248">
        <v>0.31122</v>
      </c>
      <c r="C248">
        <v>0.31794</v>
      </c>
      <c r="D248">
        <v>0.28000000000000003</v>
      </c>
      <c r="E248">
        <v>0.30280000000000001</v>
      </c>
      <c r="F248">
        <v>2016681043.4000001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0.20189773326304705</v>
      </c>
      <c r="Q248">
        <f t="shared" si="960"/>
        <v>407163331.37701666</v>
      </c>
      <c r="R248">
        <f t="shared" si="961"/>
        <v>157555406805.55548</v>
      </c>
      <c r="S248">
        <f t="shared" si="962"/>
        <v>1575554.0680555548</v>
      </c>
      <c r="T248">
        <f t="shared" si="963"/>
        <v>1575.5540680555548</v>
      </c>
    </row>
    <row r="249" spans="1:20" x14ac:dyDescent="0.25">
      <c r="A249" s="5">
        <v>44344</v>
      </c>
      <c r="B249">
        <v>0.33404</v>
      </c>
      <c r="C249">
        <v>0.34754000000000002</v>
      </c>
      <c r="D249">
        <v>0.30052000000000001</v>
      </c>
      <c r="E249">
        <v>0.31123000000000001</v>
      </c>
      <c r="F249">
        <v>2620384686.8000002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-0.54444917056571684</v>
      </c>
      <c r="Q249">
        <f t="shared" si="960"/>
        <v>-1426666269.2913659</v>
      </c>
      <c r="R249">
        <f t="shared" si="961"/>
        <v>157148243474.17847</v>
      </c>
      <c r="S249">
        <f t="shared" si="962"/>
        <v>1571482.4347417846</v>
      </c>
      <c r="T249">
        <f t="shared" si="963"/>
        <v>1571.4824347417846</v>
      </c>
    </row>
    <row r="250" spans="1:20" x14ac:dyDescent="0.25">
      <c r="A250" s="5">
        <v>44343</v>
      </c>
      <c r="B250">
        <v>0.35291</v>
      </c>
      <c r="C250">
        <v>0.35309000000000001</v>
      </c>
      <c r="D250">
        <v>0.32700000000000001</v>
      </c>
      <c r="E250">
        <v>0.33402999999999999</v>
      </c>
      <c r="F250">
        <v>1794158136.5999999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-0.46109620544269986</v>
      </c>
      <c r="Q250">
        <f t="shared" si="960"/>
        <v>-827279508.75040507</v>
      </c>
      <c r="R250">
        <f t="shared" si="961"/>
        <v>158574909743.46982</v>
      </c>
      <c r="S250">
        <f t="shared" si="962"/>
        <v>1585749.0974346981</v>
      </c>
      <c r="T250">
        <f t="shared" si="963"/>
        <v>1585.7490974346981</v>
      </c>
    </row>
    <row r="251" spans="1:20" x14ac:dyDescent="0.25">
      <c r="A251" s="5">
        <v>44342</v>
      </c>
      <c r="B251">
        <v>0.34597</v>
      </c>
      <c r="C251">
        <v>0.36670999999999998</v>
      </c>
      <c r="D251">
        <v>0.33632000000000001</v>
      </c>
      <c r="E251">
        <v>0.35283999999999999</v>
      </c>
      <c r="F251">
        <v>2385684153.6999998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8.7199736755511292E-2</v>
      </c>
      <c r="Q251">
        <f t="shared" si="960"/>
        <v>208031030.18443471</v>
      </c>
      <c r="R251">
        <f t="shared" si="961"/>
        <v>159402189252.22021</v>
      </c>
      <c r="S251">
        <f t="shared" si="962"/>
        <v>1594021.8925222021</v>
      </c>
      <c r="T251">
        <f t="shared" si="963"/>
        <v>1594.0218925222021</v>
      </c>
    </row>
    <row r="252" spans="1:20" x14ac:dyDescent="0.25">
      <c r="A252" s="5">
        <v>44341</v>
      </c>
      <c r="B252">
        <v>0.36588999999999999</v>
      </c>
      <c r="C252">
        <v>0.38</v>
      </c>
      <c r="D252">
        <v>0.32140999999999997</v>
      </c>
      <c r="E252">
        <v>0.34598000000000001</v>
      </c>
      <c r="F252">
        <v>3709319825.9000001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-0.16129032258064438</v>
      </c>
      <c r="Q252">
        <f t="shared" si="960"/>
        <v>-598277391.27419066</v>
      </c>
      <c r="R252">
        <f t="shared" si="961"/>
        <v>159194158222.03577</v>
      </c>
      <c r="S252">
        <f t="shared" si="962"/>
        <v>1591941.5822203576</v>
      </c>
      <c r="T252">
        <f t="shared" si="963"/>
        <v>1591.9415822203575</v>
      </c>
    </row>
    <row r="253" spans="1:20" x14ac:dyDescent="0.25">
      <c r="A253" s="5">
        <v>44340</v>
      </c>
      <c r="B253">
        <v>0.30623</v>
      </c>
      <c r="C253">
        <v>0.375</v>
      </c>
      <c r="D253">
        <v>0.29510999999999998</v>
      </c>
      <c r="E253">
        <v>0.36588999999999999</v>
      </c>
      <c r="F253">
        <v>4854625486.1000004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0.77193641256727985</v>
      </c>
      <c r="Q253">
        <f t="shared" si="960"/>
        <v>3747462182.0977216</v>
      </c>
      <c r="R253">
        <f t="shared" si="961"/>
        <v>159792435613.30997</v>
      </c>
      <c r="S253">
        <f t="shared" si="962"/>
        <v>1597924.3561330996</v>
      </c>
      <c r="T253">
        <f t="shared" si="963"/>
        <v>1597.9243561330995</v>
      </c>
    </row>
    <row r="254" spans="1:20" x14ac:dyDescent="0.25">
      <c r="A254" s="5">
        <v>44339</v>
      </c>
      <c r="B254">
        <v>0.34199000000000002</v>
      </c>
      <c r="C254">
        <v>0.35093999999999997</v>
      </c>
      <c r="D254">
        <v>0.24782000000000001</v>
      </c>
      <c r="E254">
        <v>0.30632999999999999</v>
      </c>
      <c r="F254">
        <v>5634274411.3000002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0.13479441427463151</v>
      </c>
      <c r="Q254">
        <f t="shared" si="960"/>
        <v>759468719.13372779</v>
      </c>
      <c r="R254">
        <f t="shared" si="961"/>
        <v>156044973431.21225</v>
      </c>
      <c r="S254">
        <f t="shared" si="962"/>
        <v>1560449.7343121225</v>
      </c>
      <c r="T254">
        <f t="shared" si="963"/>
        <v>1560.4497343121225</v>
      </c>
    </row>
    <row r="255" spans="1:20" x14ac:dyDescent="0.25">
      <c r="A255" s="5">
        <v>44338</v>
      </c>
      <c r="B255">
        <v>0.35777999999999999</v>
      </c>
      <c r="C255">
        <v>0.36399999999999999</v>
      </c>
      <c r="D255">
        <v>0.31672</v>
      </c>
      <c r="E255">
        <v>0.34199000000000002</v>
      </c>
      <c r="F255">
        <v>3793145642.6999998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6.8950930626058407E-2</v>
      </c>
      <c r="Q255">
        <f t="shared" si="960"/>
        <v>261540922.06434342</v>
      </c>
      <c r="R255">
        <f t="shared" si="961"/>
        <v>155285504712.07852</v>
      </c>
      <c r="S255">
        <f t="shared" si="962"/>
        <v>1552855.0471207851</v>
      </c>
      <c r="T255">
        <f t="shared" si="963"/>
        <v>1552.855047120785</v>
      </c>
    </row>
    <row r="256" spans="1:20" x14ac:dyDescent="0.25">
      <c r="A256" s="5">
        <v>44337</v>
      </c>
      <c r="B256">
        <v>0.39746999999999999</v>
      </c>
      <c r="C256">
        <v>0.41198000000000001</v>
      </c>
      <c r="D256">
        <v>0.31357000000000002</v>
      </c>
      <c r="E256">
        <v>0.35777999999999999</v>
      </c>
      <c r="F256">
        <v>5243254333.5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-0.10151407377299111</v>
      </c>
      <c r="Q256">
        <f t="shared" si="960"/>
        <v>-532264107.22147435</v>
      </c>
      <c r="R256">
        <f t="shared" si="961"/>
        <v>155023963790.01419</v>
      </c>
      <c r="S256">
        <f t="shared" si="962"/>
        <v>1550239.637900142</v>
      </c>
      <c r="T256">
        <f t="shared" si="963"/>
        <v>1550.239637900142</v>
      </c>
    </row>
    <row r="257" spans="1:20" x14ac:dyDescent="0.25">
      <c r="A257" s="5">
        <v>44336</v>
      </c>
      <c r="B257">
        <v>0.32972000000000001</v>
      </c>
      <c r="C257">
        <v>0.435</v>
      </c>
      <c r="D257">
        <v>0.29402</v>
      </c>
      <c r="E257">
        <v>0.39757999999999999</v>
      </c>
      <c r="F257">
        <v>8529470589.6000004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0.46914455951198736</v>
      </c>
      <c r="Q257">
        <f t="shared" si="960"/>
        <v>4001554722.6283431</v>
      </c>
      <c r="R257">
        <f t="shared" si="961"/>
        <v>155556227897.23566</v>
      </c>
      <c r="S257">
        <f t="shared" si="962"/>
        <v>1555562.2789723566</v>
      </c>
      <c r="T257">
        <f t="shared" si="963"/>
        <v>1555.5622789723566</v>
      </c>
    </row>
    <row r="258" spans="1:20" x14ac:dyDescent="0.25">
      <c r="A258" s="5">
        <v>44335</v>
      </c>
      <c r="B258">
        <v>0.47574</v>
      </c>
      <c r="C258">
        <v>0.47939999999999999</v>
      </c>
      <c r="D258">
        <v>0.21110999999999999</v>
      </c>
      <c r="E258">
        <v>0.32945000000000002</v>
      </c>
      <c r="F258">
        <v>11489907654.4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-0.11782026911178181</v>
      </c>
      <c r="Q258">
        <f t="shared" si="960"/>
        <v>-1353744011.9109297</v>
      </c>
      <c r="R258">
        <f t="shared" si="961"/>
        <v>151554673174.6073</v>
      </c>
      <c r="S258">
        <f t="shared" si="962"/>
        <v>1515546.7317460731</v>
      </c>
      <c r="T258">
        <f t="shared" si="963"/>
        <v>1515.5467317460732</v>
      </c>
    </row>
    <row r="259" spans="1:20" x14ac:dyDescent="0.25">
      <c r="A259" s="5">
        <v>44334</v>
      </c>
      <c r="B259">
        <v>0.48744999999999999</v>
      </c>
      <c r="C259">
        <v>0.51536000000000004</v>
      </c>
      <c r="D259">
        <v>0.46783000000000002</v>
      </c>
      <c r="E259">
        <v>0.47574</v>
      </c>
      <c r="F259">
        <v>3039758659.1999998</v>
      </c>
      <c r="G259">
        <v>0</v>
      </c>
      <c r="L259" t="s">
        <v>7</v>
      </c>
      <c r="M259" t="s">
        <v>7</v>
      </c>
      <c r="N259" t="s">
        <v>8</v>
      </c>
      <c r="P259">
        <f t="shared" si="959"/>
        <v>-0.66715758468335917</v>
      </c>
      <c r="Q259">
        <f t="shared" si="960"/>
        <v>-2027998045.0921981</v>
      </c>
      <c r="R259">
        <f t="shared" si="961"/>
        <v>152908417186.51822</v>
      </c>
      <c r="S259">
        <f t="shared" si="962"/>
        <v>1529084.1718651822</v>
      </c>
      <c r="T259">
        <f t="shared" si="963"/>
        <v>1529.0841718651823</v>
      </c>
    </row>
    <row r="260" spans="1:20" x14ac:dyDescent="0.25">
      <c r="A260" s="5">
        <v>44333</v>
      </c>
      <c r="B260">
        <v>0.51371</v>
      </c>
      <c r="C260">
        <v>0.51619999999999999</v>
      </c>
      <c r="D260">
        <v>0.45555000000000001</v>
      </c>
      <c r="E260">
        <v>0.48749999999999999</v>
      </c>
      <c r="F260">
        <v>4268994077.0999999</v>
      </c>
      <c r="G260">
        <v>0</v>
      </c>
      <c r="L260" t="s">
        <v>8</v>
      </c>
      <c r="M260" t="s">
        <v>7</v>
      </c>
      <c r="N260" t="s">
        <v>8</v>
      </c>
      <c r="P260">
        <f t="shared" si="959"/>
        <v>5.3586150041219721E-2</v>
      </c>
      <c r="Q260">
        <f t="shared" si="960"/>
        <v>228758957.1405589</v>
      </c>
      <c r="R260">
        <f t="shared" si="961"/>
        <v>154936415231.61041</v>
      </c>
      <c r="S260">
        <f t="shared" si="962"/>
        <v>1549364.1523161042</v>
      </c>
      <c r="T260">
        <f t="shared" si="963"/>
        <v>1549.3641523161041</v>
      </c>
    </row>
    <row r="261" spans="1:20" x14ac:dyDescent="0.25">
      <c r="A261" s="5">
        <v>44332</v>
      </c>
      <c r="B261">
        <v>0.50838000000000005</v>
      </c>
      <c r="C261">
        <v>0.54890000000000005</v>
      </c>
      <c r="D261">
        <v>0.45</v>
      </c>
      <c r="E261">
        <v>0.51370000000000005</v>
      </c>
      <c r="F261">
        <v>5377121653.3000002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0.28816986855409515</v>
      </c>
      <c r="Q261">
        <f t="shared" si="960"/>
        <v>1549524440.0308399</v>
      </c>
      <c r="R261">
        <f t="shared" si="961"/>
        <v>154707656274.46985</v>
      </c>
      <c r="S261">
        <f t="shared" si="962"/>
        <v>1547076.5627446985</v>
      </c>
      <c r="T261">
        <f t="shared" si="963"/>
        <v>1547.0765627446985</v>
      </c>
    </row>
    <row r="262" spans="1:20" x14ac:dyDescent="0.25">
      <c r="A262" s="5">
        <v>44331</v>
      </c>
      <c r="B262">
        <v>0.55989999999999995</v>
      </c>
      <c r="C262">
        <v>0.56405000000000005</v>
      </c>
      <c r="D262">
        <v>0.49009000000000003</v>
      </c>
      <c r="E262">
        <v>0.50854999999999995</v>
      </c>
      <c r="F262">
        <v>5232752313.5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-0.50081124932396126</v>
      </c>
      <c r="Q262">
        <f t="shared" ref="Q262:Q325" si="965">F262*P262</f>
        <v>-2620621223.5267835</v>
      </c>
      <c r="R262">
        <f t="shared" ref="R262:R325" si="966">R263+Q262</f>
        <v>153158131834.439</v>
      </c>
      <c r="S262">
        <f t="shared" ref="S262:S325" si="967">R262/100000</f>
        <v>1531581.31834439</v>
      </c>
      <c r="T262">
        <f t="shared" ref="T262:T325" si="968">S262/1000</f>
        <v>1531.58131834439</v>
      </c>
    </row>
    <row r="263" spans="1:20" x14ac:dyDescent="0.25">
      <c r="A263" s="5">
        <v>44330</v>
      </c>
      <c r="B263">
        <v>0.48926999999999998</v>
      </c>
      <c r="C263">
        <v>0.59</v>
      </c>
      <c r="D263">
        <v>0.46411999999999998</v>
      </c>
      <c r="E263">
        <v>0.55971000000000004</v>
      </c>
      <c r="F263">
        <v>10623296337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0.51874801398157089</v>
      </c>
      <c r="Q263">
        <f t="shared" si="965"/>
        <v>5510813876.7564468</v>
      </c>
      <c r="R263">
        <f t="shared" si="966"/>
        <v>155778753057.96579</v>
      </c>
      <c r="S263">
        <f t="shared" si="967"/>
        <v>1557787.530579658</v>
      </c>
      <c r="T263">
        <f t="shared" si="968"/>
        <v>1557.7875305796581</v>
      </c>
    </row>
    <row r="264" spans="1:20" x14ac:dyDescent="0.25">
      <c r="A264" s="5">
        <v>44329</v>
      </c>
      <c r="B264">
        <v>0.39141999999999999</v>
      </c>
      <c r="C264">
        <v>0.52</v>
      </c>
      <c r="D264">
        <v>0.35160000000000002</v>
      </c>
      <c r="E264">
        <v>0.48945</v>
      </c>
      <c r="F264">
        <v>10449387293.9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0.63717339667458406</v>
      </c>
      <c r="Q264">
        <f t="shared" si="965"/>
        <v>6658071595.2225027</v>
      </c>
      <c r="R264">
        <f t="shared" si="966"/>
        <v>150267939181.20935</v>
      </c>
      <c r="S264">
        <f t="shared" si="967"/>
        <v>1502679.3918120936</v>
      </c>
      <c r="T264">
        <f t="shared" si="968"/>
        <v>1502.6793918120936</v>
      </c>
    </row>
    <row r="265" spans="1:20" x14ac:dyDescent="0.25">
      <c r="A265" s="5">
        <v>44328</v>
      </c>
      <c r="B265">
        <v>0.49353000000000002</v>
      </c>
      <c r="C265">
        <v>0.52200000000000002</v>
      </c>
      <c r="D265">
        <v>0.38202999999999998</v>
      </c>
      <c r="E265">
        <v>0.3916</v>
      </c>
      <c r="F265">
        <v>5372061299.6000004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-0.86325641208830439</v>
      </c>
      <c r="Q265">
        <f t="shared" si="965"/>
        <v>-4637466363.0111303</v>
      </c>
      <c r="R265">
        <f t="shared" si="966"/>
        <v>143609867585.98685</v>
      </c>
      <c r="S265">
        <f t="shared" si="967"/>
        <v>1436098.6758598685</v>
      </c>
      <c r="T265">
        <f t="shared" si="968"/>
        <v>1436.0986758598685</v>
      </c>
    </row>
    <row r="266" spans="1:20" x14ac:dyDescent="0.25">
      <c r="A266" s="5">
        <v>44327</v>
      </c>
      <c r="B266">
        <v>0.45050000000000001</v>
      </c>
      <c r="C266">
        <v>0.54849999999999999</v>
      </c>
      <c r="D266">
        <v>0.44290000000000002</v>
      </c>
      <c r="E266">
        <v>0.49325999999999998</v>
      </c>
      <c r="F266">
        <v>7553577270.1999998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-4.6212121212121704E-2</v>
      </c>
      <c r="Q266">
        <f t="shared" si="965"/>
        <v>-349066828.3956098</v>
      </c>
      <c r="R266">
        <f t="shared" si="966"/>
        <v>148247333948.99799</v>
      </c>
      <c r="S266">
        <f t="shared" si="967"/>
        <v>1482473.3394899799</v>
      </c>
      <c r="T266">
        <f t="shared" si="968"/>
        <v>1482.4733394899799</v>
      </c>
    </row>
    <row r="267" spans="1:20" x14ac:dyDescent="0.25">
      <c r="A267" s="5">
        <v>44326</v>
      </c>
      <c r="B267">
        <v>0.57081999999999999</v>
      </c>
      <c r="C267">
        <v>0.5726</v>
      </c>
      <c r="D267">
        <v>0.41843999999999998</v>
      </c>
      <c r="E267">
        <v>0.45073999999999997</v>
      </c>
      <c r="F267">
        <v>9677354634.3999996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-0.5809548521017126</v>
      </c>
      <c r="Q267">
        <f t="shared" si="965"/>
        <v>-5622106130.3636751</v>
      </c>
      <c r="R267">
        <f t="shared" si="966"/>
        <v>148596400777.39359</v>
      </c>
      <c r="S267">
        <f t="shared" si="967"/>
        <v>1485964.0077739358</v>
      </c>
      <c r="T267">
        <f t="shared" si="968"/>
        <v>1485.9640077739357</v>
      </c>
    </row>
    <row r="268" spans="1:20" x14ac:dyDescent="0.25">
      <c r="A268" s="5">
        <v>44325</v>
      </c>
      <c r="B268">
        <v>0.63707999999999998</v>
      </c>
      <c r="C268">
        <v>0.70008999999999999</v>
      </c>
      <c r="D268">
        <v>0.41599999999999998</v>
      </c>
      <c r="E268">
        <v>0.57062999999999997</v>
      </c>
      <c r="F268">
        <v>26072068896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8.8598683515787147E-2</v>
      </c>
      <c r="Q268">
        <f t="shared" si="965"/>
        <v>2309950980.718502</v>
      </c>
      <c r="R268">
        <f t="shared" si="966"/>
        <v>154218506907.75726</v>
      </c>
      <c r="S268">
        <f t="shared" si="967"/>
        <v>1542185.0690775726</v>
      </c>
      <c r="T268">
        <f t="shared" si="968"/>
        <v>1542.1850690775725</v>
      </c>
    </row>
    <row r="269" spans="1:20" x14ac:dyDescent="0.25">
      <c r="A269" s="5">
        <v>44324</v>
      </c>
      <c r="B269">
        <v>0.68981999999999999</v>
      </c>
      <c r="C269">
        <v>0.73995</v>
      </c>
      <c r="D269">
        <v>0.6</v>
      </c>
      <c r="E269">
        <v>0.63707999999999998</v>
      </c>
      <c r="F269">
        <v>11387955620.799999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-0.47009646302250807</v>
      </c>
      <c r="Q269">
        <f t="shared" si="965"/>
        <v>-5353437658.3953695</v>
      </c>
      <c r="R269">
        <f t="shared" si="966"/>
        <v>151908555927.03876</v>
      </c>
      <c r="S269">
        <f t="shared" si="967"/>
        <v>1519085.5592703875</v>
      </c>
      <c r="T269">
        <f t="shared" si="968"/>
        <v>1519.0855592703874</v>
      </c>
    </row>
    <row r="270" spans="1:20" x14ac:dyDescent="0.25">
      <c r="A270" s="5">
        <v>44323</v>
      </c>
      <c r="B270">
        <v>0.58099000000000001</v>
      </c>
      <c r="C270">
        <v>0.73299999999999998</v>
      </c>
      <c r="D270">
        <v>0.51717000000000002</v>
      </c>
      <c r="E270">
        <v>0.68981999999999999</v>
      </c>
      <c r="F270">
        <v>12586268621.299999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0.59987026826669132</v>
      </c>
      <c r="Q270">
        <f t="shared" si="965"/>
        <v>7550128334.3358698</v>
      </c>
      <c r="R270">
        <f t="shared" si="966"/>
        <v>157261993585.43411</v>
      </c>
      <c r="S270">
        <f t="shared" si="967"/>
        <v>1572619.9358543411</v>
      </c>
      <c r="T270">
        <f t="shared" si="968"/>
        <v>1572.6199358543411</v>
      </c>
    </row>
    <row r="271" spans="1:20" x14ac:dyDescent="0.25">
      <c r="A271" s="5">
        <v>44322</v>
      </c>
      <c r="B271">
        <v>0.65400000000000003</v>
      </c>
      <c r="C271">
        <v>0.66500000000000004</v>
      </c>
      <c r="D271">
        <v>0.54</v>
      </c>
      <c r="E271">
        <v>0.58106000000000002</v>
      </c>
      <c r="F271">
        <v>8546432048.6999998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-0.34304000000000023</v>
      </c>
      <c r="Q271">
        <f t="shared" si="965"/>
        <v>-2931768049.9860501</v>
      </c>
      <c r="R271">
        <f t="shared" si="966"/>
        <v>149711865251.09824</v>
      </c>
      <c r="S271">
        <f t="shared" si="967"/>
        <v>1497118.6525109825</v>
      </c>
      <c r="T271">
        <f t="shared" si="968"/>
        <v>1497.1186525109824</v>
      </c>
    </row>
    <row r="272" spans="1:20" x14ac:dyDescent="0.25">
      <c r="A272" s="5">
        <v>44321</v>
      </c>
      <c r="B272">
        <v>0.53854000000000002</v>
      </c>
      <c r="C272">
        <v>0.69662999999999997</v>
      </c>
      <c r="D272">
        <v>0.51668000000000003</v>
      </c>
      <c r="E272">
        <v>0.65400000000000003</v>
      </c>
      <c r="F272">
        <v>19076895175.700001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0.52620172270075061</v>
      </c>
      <c r="Q272">
        <f t="shared" si="965"/>
        <v>10038295105.23498</v>
      </c>
      <c r="R272">
        <f t="shared" si="966"/>
        <v>152643633301.08429</v>
      </c>
      <c r="S272">
        <f t="shared" si="967"/>
        <v>1526436.3330108428</v>
      </c>
      <c r="T272">
        <f t="shared" si="968"/>
        <v>1526.4363330108429</v>
      </c>
    </row>
    <row r="273" spans="1:20" x14ac:dyDescent="0.25">
      <c r="A273" s="5">
        <v>44320</v>
      </c>
      <c r="B273">
        <v>0.44141999999999998</v>
      </c>
      <c r="C273">
        <v>0.61185999999999996</v>
      </c>
      <c r="D273">
        <v>0.39789999999999998</v>
      </c>
      <c r="E273">
        <v>0.53854000000000002</v>
      </c>
      <c r="F273">
        <v>21282557921.900002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0.31463825014021363</v>
      </c>
      <c r="Q273">
        <f t="shared" si="965"/>
        <v>6696306783.0543575</v>
      </c>
      <c r="R273">
        <f t="shared" si="966"/>
        <v>142605338195.8493</v>
      </c>
      <c r="S273">
        <f t="shared" si="967"/>
        <v>1426053.381958493</v>
      </c>
      <c r="T273">
        <f t="shared" si="968"/>
        <v>1426.053381958493</v>
      </c>
    </row>
    <row r="274" spans="1:20" x14ac:dyDescent="0.25">
      <c r="A274" s="5">
        <v>44319</v>
      </c>
      <c r="B274">
        <v>0.37458999999999998</v>
      </c>
      <c r="C274">
        <v>0.44790000000000002</v>
      </c>
      <c r="D274">
        <v>0.37386000000000003</v>
      </c>
      <c r="E274">
        <v>0.44141999999999998</v>
      </c>
      <c r="F274">
        <v>6428014853.8999996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0.82495948136142516</v>
      </c>
      <c r="Q274">
        <f t="shared" si="965"/>
        <v>5302851800.056881</v>
      </c>
      <c r="R274">
        <f t="shared" si="966"/>
        <v>135909031412.79494</v>
      </c>
      <c r="S274">
        <f t="shared" si="967"/>
        <v>1359090.3141279493</v>
      </c>
      <c r="T274">
        <f t="shared" si="968"/>
        <v>1359.0903141279493</v>
      </c>
    </row>
    <row r="275" spans="1:20" x14ac:dyDescent="0.25">
      <c r="A275" s="5">
        <v>44318</v>
      </c>
      <c r="B275">
        <v>0.39085999999999999</v>
      </c>
      <c r="C275">
        <v>0.39999000000000001</v>
      </c>
      <c r="D275">
        <v>0.36199999999999999</v>
      </c>
      <c r="E275">
        <v>0.37397000000000002</v>
      </c>
      <c r="F275">
        <v>5092764030.1000004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-0.36983416688602111</v>
      </c>
      <c r="Q275">
        <f t="shared" si="965"/>
        <v>-1883478142.2191291</v>
      </c>
      <c r="R275">
        <f t="shared" si="966"/>
        <v>130606179612.73805</v>
      </c>
      <c r="S275">
        <f t="shared" si="967"/>
        <v>1306061.7961273806</v>
      </c>
      <c r="T275">
        <f t="shared" si="968"/>
        <v>1306.0617961273806</v>
      </c>
    </row>
    <row r="276" spans="1:20" x14ac:dyDescent="0.25">
      <c r="A276" s="5">
        <v>44317</v>
      </c>
      <c r="B276">
        <v>0.33745999999999998</v>
      </c>
      <c r="C276">
        <v>0.39750000000000002</v>
      </c>
      <c r="D276">
        <v>0.32756000000000002</v>
      </c>
      <c r="E276">
        <v>0.39087</v>
      </c>
      <c r="F276">
        <v>7062340392.1999998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0.81040892193308478</v>
      </c>
      <c r="Q276">
        <f t="shared" si="965"/>
        <v>5723383663.5672808</v>
      </c>
      <c r="R276">
        <f t="shared" si="966"/>
        <v>132489657754.95718</v>
      </c>
      <c r="S276">
        <f t="shared" si="967"/>
        <v>1324896.5775495719</v>
      </c>
      <c r="T276">
        <f t="shared" si="968"/>
        <v>1324.8965775495719</v>
      </c>
    </row>
    <row r="277" spans="1:20" x14ac:dyDescent="0.25">
      <c r="A277" s="5">
        <v>44316</v>
      </c>
      <c r="B277">
        <v>0.30479000000000001</v>
      </c>
      <c r="C277">
        <v>0.34</v>
      </c>
      <c r="D277">
        <v>0.30213000000000001</v>
      </c>
      <c r="E277">
        <v>0.33745999999999998</v>
      </c>
      <c r="F277">
        <v>4042637011.8000002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0.86585687879587847</v>
      </c>
      <c r="Q277">
        <f t="shared" si="965"/>
        <v>3500345065.1418452</v>
      </c>
      <c r="R277">
        <f t="shared" si="966"/>
        <v>126766274091.38991</v>
      </c>
      <c r="S277">
        <f t="shared" si="967"/>
        <v>1267662.7409138991</v>
      </c>
      <c r="T277">
        <f t="shared" si="968"/>
        <v>1267.6627409138991</v>
      </c>
    </row>
    <row r="278" spans="1:20" x14ac:dyDescent="0.25">
      <c r="A278" s="5">
        <v>44315</v>
      </c>
      <c r="B278">
        <v>0.32321</v>
      </c>
      <c r="C278">
        <v>0.32604</v>
      </c>
      <c r="D278">
        <v>0.29549999999999998</v>
      </c>
      <c r="E278">
        <v>0.30479000000000001</v>
      </c>
      <c r="F278">
        <v>4149329330.8000002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-0.39161755075310956</v>
      </c>
      <c r="Q278">
        <f t="shared" si="965"/>
        <v>-1624950189.7959352</v>
      </c>
      <c r="R278">
        <f t="shared" si="966"/>
        <v>123265929026.24806</v>
      </c>
      <c r="S278">
        <f t="shared" si="967"/>
        <v>1232659.2902624807</v>
      </c>
      <c r="T278">
        <f t="shared" si="968"/>
        <v>1232.6592902624807</v>
      </c>
    </row>
    <row r="279" spans="1:20" x14ac:dyDescent="0.25">
      <c r="A279" s="5">
        <v>44314</v>
      </c>
      <c r="B279">
        <v>0.27227000000000001</v>
      </c>
      <c r="C279">
        <v>0.34799999999999998</v>
      </c>
      <c r="D279">
        <v>0.25511</v>
      </c>
      <c r="E279">
        <v>0.32311000000000001</v>
      </c>
      <c r="F279">
        <v>13418044375.1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0.46409731941005544</v>
      </c>
      <c r="Q279">
        <f t="shared" si="965"/>
        <v>6227278426.2090826</v>
      </c>
      <c r="R279">
        <f t="shared" si="966"/>
        <v>124890879216.04399</v>
      </c>
      <c r="S279">
        <f t="shared" si="967"/>
        <v>1248908.79216044</v>
      </c>
      <c r="T279">
        <f t="shared" si="968"/>
        <v>1248.90879216044</v>
      </c>
    </row>
    <row r="280" spans="1:20" x14ac:dyDescent="0.25">
      <c r="A280" s="5">
        <v>44313</v>
      </c>
      <c r="B280">
        <v>0.27161000000000002</v>
      </c>
      <c r="C280">
        <v>0.27994000000000002</v>
      </c>
      <c r="D280">
        <v>0.26440000000000002</v>
      </c>
      <c r="E280">
        <v>0.27232000000000001</v>
      </c>
      <c r="F280">
        <v>3367212939.4000001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1.9305019305017181E-2</v>
      </c>
      <c r="Q280">
        <f t="shared" si="965"/>
        <v>65004110.799220651</v>
      </c>
      <c r="R280">
        <f t="shared" si="966"/>
        <v>118663600789.83492</v>
      </c>
      <c r="S280">
        <f t="shared" si="967"/>
        <v>1186636.0078983491</v>
      </c>
      <c r="T280">
        <f t="shared" si="968"/>
        <v>1186.6360078983491</v>
      </c>
    </row>
    <row r="281" spans="1:20" x14ac:dyDescent="0.25">
      <c r="A281" s="5">
        <v>44312</v>
      </c>
      <c r="B281">
        <v>0.25158999999999998</v>
      </c>
      <c r="C281">
        <v>0.28077000000000002</v>
      </c>
      <c r="D281">
        <v>0.247</v>
      </c>
      <c r="E281">
        <v>0.27161000000000002</v>
      </c>
      <c r="F281">
        <v>4881379028.6000004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0.45750666271838936</v>
      </c>
      <c r="Q281">
        <f t="shared" si="965"/>
        <v>2233263428.8383193</v>
      </c>
      <c r="R281">
        <f t="shared" si="966"/>
        <v>118598596679.03569</v>
      </c>
      <c r="S281">
        <f t="shared" si="967"/>
        <v>1185985.9667903569</v>
      </c>
      <c r="T281">
        <f t="shared" si="968"/>
        <v>1185.985966790357</v>
      </c>
    </row>
    <row r="282" spans="1:20" x14ac:dyDescent="0.25">
      <c r="A282" s="5">
        <v>44311</v>
      </c>
      <c r="B282">
        <v>0.27008019999999999</v>
      </c>
      <c r="C282">
        <v>0.289296</v>
      </c>
      <c r="D282">
        <v>0.224</v>
      </c>
      <c r="E282">
        <v>0.25158999999999998</v>
      </c>
      <c r="F282">
        <v>5726007353.3999996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-0.1549252634158301</v>
      </c>
      <c r="Q282">
        <f t="shared" si="965"/>
        <v>-887103197.54647505</v>
      </c>
      <c r="R282">
        <f t="shared" si="966"/>
        <v>116365333250.19737</v>
      </c>
      <c r="S282">
        <f t="shared" si="967"/>
        <v>1163653.3325019737</v>
      </c>
      <c r="T282">
        <f t="shared" si="968"/>
        <v>1163.6533325019736</v>
      </c>
    </row>
    <row r="283" spans="1:20" x14ac:dyDescent="0.25">
      <c r="A283" s="5">
        <v>44310</v>
      </c>
      <c r="B283">
        <v>0.24999969999999999</v>
      </c>
      <c r="C283">
        <v>0.28999000000000003</v>
      </c>
      <c r="D283">
        <v>0.2278</v>
      </c>
      <c r="E283">
        <v>0.27</v>
      </c>
      <c r="F283">
        <v>10626242110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0.35713137160315162</v>
      </c>
      <c r="Q283">
        <f t="shared" si="965"/>
        <v>3794964419.7314677</v>
      </c>
      <c r="R283">
        <f t="shared" si="966"/>
        <v>117252436447.74385</v>
      </c>
      <c r="S283">
        <f t="shared" si="967"/>
        <v>1172524.3644774386</v>
      </c>
      <c r="T283">
        <f t="shared" si="968"/>
        <v>1172.5243644774387</v>
      </c>
    </row>
    <row r="284" spans="1:20" x14ac:dyDescent="0.25">
      <c r="A284" s="5">
        <v>44309</v>
      </c>
      <c r="B284">
        <v>0.26066159999999999</v>
      </c>
      <c r="C284">
        <v>0.26950000000000002</v>
      </c>
      <c r="D284">
        <v>0.1597278</v>
      </c>
      <c r="E284">
        <v>0.2498155</v>
      </c>
      <c r="F284">
        <v>17170003022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0.64135728353809041</v>
      </c>
      <c r="Q284">
        <f t="shared" si="965"/>
        <v>11012106496.530724</v>
      </c>
      <c r="R284">
        <f t="shared" si="966"/>
        <v>113457472028.01239</v>
      </c>
      <c r="S284">
        <f t="shared" si="967"/>
        <v>1134574.7202801239</v>
      </c>
      <c r="T284">
        <f t="shared" si="968"/>
        <v>1134.574720280124</v>
      </c>
    </row>
    <row r="285" spans="1:20" x14ac:dyDescent="0.25">
      <c r="A285" s="5">
        <v>44308</v>
      </c>
      <c r="B285">
        <v>0.30580740000000001</v>
      </c>
      <c r="C285">
        <v>0.30939879999999997</v>
      </c>
      <c r="D285">
        <v>0.253</v>
      </c>
      <c r="E285">
        <v>0.26066149999999999</v>
      </c>
      <c r="F285">
        <v>11199121834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-0.72830982219479878</v>
      </c>
      <c r="Q285">
        <f t="shared" si="965"/>
        <v>-8156430431.6584291</v>
      </c>
      <c r="R285">
        <f t="shared" si="966"/>
        <v>102445365531.48167</v>
      </c>
      <c r="S285">
        <f t="shared" si="967"/>
        <v>1024453.6553148167</v>
      </c>
      <c r="T285">
        <f t="shared" si="968"/>
        <v>1024.4536553148168</v>
      </c>
    </row>
    <row r="286" spans="1:20" x14ac:dyDescent="0.25">
      <c r="A286" s="5">
        <v>44307</v>
      </c>
      <c r="B286">
        <v>0.31732050000000001</v>
      </c>
      <c r="C286">
        <v>0.347661</v>
      </c>
      <c r="D286">
        <v>0.29600520000000002</v>
      </c>
      <c r="E286">
        <v>0.30582510000000002</v>
      </c>
      <c r="F286">
        <v>9460395395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-0.6197948729861894</v>
      </c>
      <c r="Q286">
        <f t="shared" si="965"/>
        <v>-5863504562.2431564</v>
      </c>
      <c r="R286">
        <f t="shared" si="966"/>
        <v>110601795963.14011</v>
      </c>
      <c r="S286">
        <f t="shared" si="967"/>
        <v>1106017.9596314011</v>
      </c>
      <c r="T286">
        <f t="shared" si="968"/>
        <v>1106.017959631401</v>
      </c>
    </row>
    <row r="287" spans="1:20" x14ac:dyDescent="0.25">
      <c r="A287" s="5">
        <v>44306</v>
      </c>
      <c r="B287">
        <v>0.40889969999999998</v>
      </c>
      <c r="C287">
        <v>0.42462159999999999</v>
      </c>
      <c r="D287">
        <v>0.27</v>
      </c>
      <c r="E287">
        <v>0.31732050000000001</v>
      </c>
      <c r="F287">
        <v>20969142688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-0.38791863491258666</v>
      </c>
      <c r="Q287">
        <f t="shared" si="965"/>
        <v>-8134321206.8162079</v>
      </c>
      <c r="R287">
        <f t="shared" si="966"/>
        <v>116465300525.38326</v>
      </c>
      <c r="S287">
        <f t="shared" si="967"/>
        <v>1164653.0052538326</v>
      </c>
      <c r="T287">
        <f t="shared" si="968"/>
        <v>1164.6530052538326</v>
      </c>
    </row>
    <row r="288" spans="1:20" x14ac:dyDescent="0.25">
      <c r="A288" s="5">
        <v>44305</v>
      </c>
      <c r="B288">
        <v>0.32259529999999997</v>
      </c>
      <c r="C288">
        <v>0.43554599999999999</v>
      </c>
      <c r="D288">
        <v>0.308</v>
      </c>
      <c r="E288">
        <v>0.40890300000000002</v>
      </c>
      <c r="F288">
        <v>20873394140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0.58222131623100726</v>
      </c>
      <c r="Q288">
        <f t="shared" si="965"/>
        <v>12152935010.399393</v>
      </c>
      <c r="R288">
        <f t="shared" si="966"/>
        <v>124599621732.19946</v>
      </c>
      <c r="S288">
        <f t="shared" si="967"/>
        <v>1245996.2173219947</v>
      </c>
      <c r="T288">
        <f t="shared" si="968"/>
        <v>1245.9962173219947</v>
      </c>
    </row>
    <row r="289" spans="1:20" x14ac:dyDescent="0.25">
      <c r="A289" s="5">
        <v>44304</v>
      </c>
      <c r="B289">
        <v>0.28249449999999998</v>
      </c>
      <c r="C289">
        <v>0.35099999999999998</v>
      </c>
      <c r="D289">
        <v>0.2397</v>
      </c>
      <c r="E289">
        <v>0.3223299</v>
      </c>
      <c r="F289">
        <v>18379866877</v>
      </c>
      <c r="G289">
        <v>0</v>
      </c>
      <c r="L289" t="s">
        <v>8</v>
      </c>
      <c r="M289" t="s">
        <v>8</v>
      </c>
      <c r="N289" t="s">
        <v>8</v>
      </c>
      <c r="P289">
        <f t="shared" si="964"/>
        <v>0.48481401617250708</v>
      </c>
      <c r="Q289">
        <f t="shared" si="965"/>
        <v>8910817077.3544044</v>
      </c>
      <c r="R289">
        <f t="shared" si="966"/>
        <v>112446686721.80006</v>
      </c>
      <c r="S289">
        <f t="shared" si="967"/>
        <v>1124466.8672180006</v>
      </c>
      <c r="T289">
        <f t="shared" si="968"/>
        <v>1124.4668672180005</v>
      </c>
    </row>
    <row r="290" spans="1:20" x14ac:dyDescent="0.25">
      <c r="A290" s="5">
        <v>44303</v>
      </c>
      <c r="B290">
        <v>0.36538549999999997</v>
      </c>
      <c r="C290">
        <v>0.38124999999999998</v>
      </c>
      <c r="D290">
        <v>0.23100000000000001</v>
      </c>
      <c r="E290">
        <v>0.28225319999999998</v>
      </c>
      <c r="F290">
        <v>24857057931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-0.31776106489184713</v>
      </c>
      <c r="Q290">
        <f t="shared" si="965"/>
        <v>-7898605198.2328949</v>
      </c>
      <c r="R290">
        <f t="shared" si="966"/>
        <v>103535869644.44566</v>
      </c>
      <c r="S290">
        <f t="shared" si="967"/>
        <v>1035358.6964444566</v>
      </c>
      <c r="T290">
        <f t="shared" si="968"/>
        <v>1035.3586964444567</v>
      </c>
    </row>
    <row r="291" spans="1:20" x14ac:dyDescent="0.25">
      <c r="A291" s="5">
        <v>44302</v>
      </c>
      <c r="B291">
        <v>0.1825003</v>
      </c>
      <c r="C291">
        <v>0.45</v>
      </c>
      <c r="D291">
        <v>0.17910000000000001</v>
      </c>
      <c r="E291">
        <v>0.36544339999999997</v>
      </c>
      <c r="F291">
        <v>57510545356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0.3757356958287188</v>
      </c>
      <c r="Q291">
        <f t="shared" si="965"/>
        <v>21608764776.825752</v>
      </c>
      <c r="R291">
        <f t="shared" si="966"/>
        <v>111434474842.67856</v>
      </c>
      <c r="S291">
        <f t="shared" si="967"/>
        <v>1114344.7484267857</v>
      </c>
      <c r="T291">
        <f t="shared" si="968"/>
        <v>1114.3447484267856</v>
      </c>
    </row>
    <row r="292" spans="1:20" x14ac:dyDescent="0.25">
      <c r="A292" s="5">
        <v>44301</v>
      </c>
      <c r="B292">
        <v>0.1214319</v>
      </c>
      <c r="C292">
        <v>0.19189220000000001</v>
      </c>
      <c r="D292">
        <v>0.1197878</v>
      </c>
      <c r="E292">
        <v>0.18235989999999999</v>
      </c>
      <c r="F292">
        <v>24615971220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0.73559727284326559</v>
      </c>
      <c r="Q292">
        <f t="shared" si="965"/>
        <v>18107441297.820313</v>
      </c>
      <c r="R292">
        <f t="shared" si="966"/>
        <v>89825710065.852798</v>
      </c>
      <c r="S292">
        <f t="shared" si="967"/>
        <v>898257.10065852804</v>
      </c>
      <c r="T292">
        <f t="shared" si="968"/>
        <v>898.25710065852809</v>
      </c>
    </row>
    <row r="293" spans="1:20" x14ac:dyDescent="0.25">
      <c r="A293" s="5">
        <v>44300</v>
      </c>
      <c r="B293">
        <v>9.4401100000000002E-2</v>
      </c>
      <c r="C293">
        <v>0.14539550000000001</v>
      </c>
      <c r="D293">
        <v>9.2118000000000005E-2</v>
      </c>
      <c r="E293">
        <v>0.1214329</v>
      </c>
      <c r="F293">
        <v>36680989724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0.1004607948946549</v>
      </c>
      <c r="Q293">
        <f t="shared" si="965"/>
        <v>3685001385.1957078</v>
      </c>
      <c r="R293">
        <f t="shared" si="966"/>
        <v>71718268768.032486</v>
      </c>
      <c r="S293">
        <f t="shared" si="967"/>
        <v>717182.68768032489</v>
      </c>
      <c r="T293">
        <f t="shared" si="968"/>
        <v>717.18268768032488</v>
      </c>
    </row>
    <row r="294" spans="1:20" x14ac:dyDescent="0.25">
      <c r="A294" s="5">
        <v>44299</v>
      </c>
      <c r="B294">
        <v>7.0700100000000002E-2</v>
      </c>
      <c r="C294">
        <v>9.6225500000000005E-2</v>
      </c>
      <c r="D294">
        <v>7.0640900000000006E-2</v>
      </c>
      <c r="E294">
        <v>9.4402E-2</v>
      </c>
      <c r="F294">
        <v>13605840277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0.85745331175785389</v>
      </c>
      <c r="Q294">
        <f t="shared" si="965"/>
        <v>11666372804.762047</v>
      </c>
      <c r="R294">
        <f t="shared" si="966"/>
        <v>68033267382.836777</v>
      </c>
      <c r="S294">
        <f t="shared" si="967"/>
        <v>680332.67382836773</v>
      </c>
      <c r="T294">
        <f t="shared" si="968"/>
        <v>680.33267382836777</v>
      </c>
    </row>
    <row r="295" spans="1:20" x14ac:dyDescent="0.25">
      <c r="A295" s="5">
        <v>44298</v>
      </c>
      <c r="B295">
        <v>7.4333499999999997E-2</v>
      </c>
      <c r="C295">
        <v>7.5479099999999993E-2</v>
      </c>
      <c r="D295">
        <v>6.8500000000000005E-2</v>
      </c>
      <c r="E295">
        <v>7.07343E-2</v>
      </c>
      <c r="F295">
        <v>4300356226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-0.35971686893725596</v>
      </c>
      <c r="Q295">
        <f t="shared" si="965"/>
        <v>-1546910676.9315548</v>
      </c>
      <c r="R295">
        <f t="shared" si="966"/>
        <v>56366894578.07473</v>
      </c>
      <c r="S295">
        <f t="shared" si="967"/>
        <v>563668.94578074734</v>
      </c>
      <c r="T295">
        <f t="shared" si="968"/>
        <v>563.66894578074732</v>
      </c>
    </row>
    <row r="296" spans="1:20" x14ac:dyDescent="0.25">
      <c r="A296" s="5">
        <v>44297</v>
      </c>
      <c r="B296">
        <v>6.3716700000000001E-2</v>
      </c>
      <c r="C296">
        <v>0.08</v>
      </c>
      <c r="D296">
        <v>6.3395900000000005E-2</v>
      </c>
      <c r="E296">
        <v>7.4329999999999993E-2</v>
      </c>
      <c r="F296">
        <v>14967931146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0.31703615372106775</v>
      </c>
      <c r="Q296">
        <f t="shared" si="965"/>
        <v>4745375319.6896133</v>
      </c>
      <c r="R296">
        <f t="shared" si="966"/>
        <v>57913805255.006287</v>
      </c>
      <c r="S296">
        <f t="shared" si="967"/>
        <v>579138.05255006289</v>
      </c>
      <c r="T296">
        <f t="shared" si="968"/>
        <v>579.13805255006287</v>
      </c>
    </row>
    <row r="297" spans="1:20" x14ac:dyDescent="0.25">
      <c r="A297" s="5">
        <v>44296</v>
      </c>
      <c r="B297">
        <v>6.16103E-2</v>
      </c>
      <c r="C297">
        <v>6.5751799999999999E-2</v>
      </c>
      <c r="D297">
        <v>6.0944499999999999E-2</v>
      </c>
      <c r="E297">
        <v>6.3716700000000001E-2</v>
      </c>
      <c r="F297">
        <v>2780510108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0.15332931167183333</v>
      </c>
      <c r="Q297">
        <f t="shared" si="965"/>
        <v>426333700.95621496</v>
      </c>
      <c r="R297">
        <f t="shared" si="966"/>
        <v>53168429935.316673</v>
      </c>
      <c r="S297">
        <f t="shared" si="967"/>
        <v>531684.29935316672</v>
      </c>
      <c r="T297">
        <f t="shared" si="968"/>
        <v>531.68429935316669</v>
      </c>
    </row>
    <row r="298" spans="1:20" x14ac:dyDescent="0.25">
      <c r="A298" s="5">
        <v>44295</v>
      </c>
      <c r="B298">
        <v>6.1783699999999997E-2</v>
      </c>
      <c r="C298">
        <v>6.4273300000000005E-2</v>
      </c>
      <c r="D298">
        <v>6.0471200000000003E-2</v>
      </c>
      <c r="E298">
        <v>6.1587799999999998E-2</v>
      </c>
      <c r="F298">
        <v>2149603024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-0.41264038294626937</v>
      </c>
      <c r="Q298">
        <f t="shared" si="965"/>
        <v>-887013015.00581861</v>
      </c>
      <c r="R298">
        <f t="shared" si="966"/>
        <v>52742096234.360458</v>
      </c>
      <c r="S298">
        <f t="shared" si="967"/>
        <v>527420.96234360454</v>
      </c>
      <c r="T298">
        <f t="shared" si="968"/>
        <v>527.42096234360451</v>
      </c>
    </row>
    <row r="299" spans="1:20" x14ac:dyDescent="0.25">
      <c r="A299" s="5">
        <v>44294</v>
      </c>
      <c r="B299">
        <v>5.8777000000000003E-2</v>
      </c>
      <c r="C299">
        <v>6.2323999999999997E-2</v>
      </c>
      <c r="D299">
        <v>5.8631900000000001E-2</v>
      </c>
      <c r="E299">
        <v>6.17838E-2</v>
      </c>
      <c r="F299">
        <v>1745571706</v>
      </c>
      <c r="G299">
        <v>0</v>
      </c>
      <c r="L299" t="s">
        <v>7</v>
      </c>
      <c r="M299" t="s">
        <v>8</v>
      </c>
      <c r="N299" t="s">
        <v>8</v>
      </c>
      <c r="P299">
        <f t="shared" si="964"/>
        <v>0.70737520652203456</v>
      </c>
      <c r="Q299">
        <f t="shared" si="965"/>
        <v>1234774146.0307703</v>
      </c>
      <c r="R299">
        <f t="shared" si="966"/>
        <v>53629109249.36628</v>
      </c>
      <c r="S299">
        <f t="shared" si="967"/>
        <v>536291.09249366284</v>
      </c>
      <c r="T299">
        <f t="shared" si="968"/>
        <v>536.29109249366286</v>
      </c>
    </row>
    <row r="300" spans="1:20" x14ac:dyDescent="0.25">
      <c r="A300" s="5">
        <v>44293</v>
      </c>
      <c r="B300">
        <v>6.4404699999999995E-2</v>
      </c>
      <c r="C300">
        <v>6.744E-2</v>
      </c>
      <c r="D300">
        <v>5.7126700000000002E-2</v>
      </c>
      <c r="E300">
        <v>5.87769E-2</v>
      </c>
      <c r="F300">
        <v>4840051853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-0.67998603744679242</v>
      </c>
      <c r="Q300">
        <f t="shared" si="965"/>
        <v>-3291167680.558475</v>
      </c>
      <c r="R300">
        <f t="shared" si="966"/>
        <v>52394335103.33551</v>
      </c>
      <c r="S300">
        <f t="shared" si="967"/>
        <v>523943.35103335511</v>
      </c>
      <c r="T300">
        <f t="shared" si="968"/>
        <v>523.94335103335516</v>
      </c>
    </row>
    <row r="301" spans="1:20" x14ac:dyDescent="0.25">
      <c r="A301" s="5">
        <v>44292</v>
      </c>
      <c r="B301">
        <v>5.9977900000000001E-2</v>
      </c>
      <c r="C301">
        <v>6.6000000000000003E-2</v>
      </c>
      <c r="D301">
        <v>5.7990399999999998E-2</v>
      </c>
      <c r="E301">
        <v>6.4404699999999995E-2</v>
      </c>
      <c r="F301">
        <v>4762148739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0.60165301638034197</v>
      </c>
      <c r="Q301">
        <f t="shared" si="965"/>
        <v>2865161153.2711916</v>
      </c>
      <c r="R301">
        <f t="shared" si="966"/>
        <v>55685502783.893982</v>
      </c>
      <c r="S301">
        <f t="shared" si="967"/>
        <v>556855.0278389398</v>
      </c>
      <c r="T301">
        <f t="shared" si="968"/>
        <v>556.8550278389398</v>
      </c>
    </row>
    <row r="302" spans="1:20" x14ac:dyDescent="0.25">
      <c r="A302" s="5">
        <v>44291</v>
      </c>
      <c r="B302">
        <v>5.7380599999999997E-2</v>
      </c>
      <c r="C302">
        <v>6.0706900000000001E-2</v>
      </c>
      <c r="D302">
        <v>5.6231499999999997E-2</v>
      </c>
      <c r="E302">
        <v>5.9999200000000003E-2</v>
      </c>
      <c r="F302">
        <v>2638868932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0.68373776645663054</v>
      </c>
      <c r="Q302">
        <f t="shared" si="965"/>
        <v>1804294349.5374742</v>
      </c>
      <c r="R302">
        <f t="shared" si="966"/>
        <v>52820341630.622787</v>
      </c>
      <c r="S302">
        <f t="shared" si="967"/>
        <v>528203.41630622791</v>
      </c>
      <c r="T302">
        <f t="shared" si="968"/>
        <v>528.20341630622795</v>
      </c>
    </row>
    <row r="303" spans="1:20" x14ac:dyDescent="0.25">
      <c r="A303" s="5">
        <v>44290</v>
      </c>
      <c r="B303">
        <v>5.5500000000000001E-2</v>
      </c>
      <c r="C303">
        <v>5.8218100000000002E-2</v>
      </c>
      <c r="D303">
        <v>5.5086400000000001E-2</v>
      </c>
      <c r="E303">
        <v>5.7394300000000002E-2</v>
      </c>
      <c r="F303">
        <v>1563798693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0.47389596704665249</v>
      </c>
      <c r="Q303">
        <f t="shared" si="965"/>
        <v>741077893.88552618</v>
      </c>
      <c r="R303">
        <f t="shared" si="966"/>
        <v>51016047281.085312</v>
      </c>
      <c r="S303">
        <f t="shared" si="967"/>
        <v>510160.4728108531</v>
      </c>
      <c r="T303">
        <f t="shared" si="968"/>
        <v>510.16047281085309</v>
      </c>
    </row>
    <row r="304" spans="1:20" x14ac:dyDescent="0.25">
      <c r="A304" s="5">
        <v>44289</v>
      </c>
      <c r="B304">
        <v>5.75887E-2</v>
      </c>
      <c r="C304">
        <v>5.9551600000000003E-2</v>
      </c>
      <c r="D304">
        <v>5.5500000000000001E-2</v>
      </c>
      <c r="E304">
        <v>5.55113E-2</v>
      </c>
      <c r="F304">
        <v>2066362739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-0.99442195675782463</v>
      </c>
      <c r="Q304">
        <f t="shared" si="965"/>
        <v>-2054836478.287838</v>
      </c>
      <c r="R304">
        <f t="shared" si="966"/>
        <v>50274969387.199783</v>
      </c>
      <c r="S304">
        <f t="shared" si="967"/>
        <v>502749.69387199782</v>
      </c>
      <c r="T304">
        <f t="shared" si="968"/>
        <v>502.74969387199781</v>
      </c>
    </row>
    <row r="305" spans="1:20" x14ac:dyDescent="0.25">
      <c r="A305" s="5">
        <v>44288</v>
      </c>
      <c r="B305">
        <v>6.2150900000000002E-2</v>
      </c>
      <c r="C305">
        <v>6.2905000000000003E-2</v>
      </c>
      <c r="D305">
        <v>5.7200000000000001E-2</v>
      </c>
      <c r="E305">
        <v>5.7584900000000001E-2</v>
      </c>
      <c r="F305">
        <v>3415466916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-0.86506573181419788</v>
      </c>
      <c r="Q305">
        <f t="shared" si="965"/>
        <v>-2954603387.1767216</v>
      </c>
      <c r="R305">
        <f t="shared" si="966"/>
        <v>52329805865.487625</v>
      </c>
      <c r="S305">
        <f t="shared" si="967"/>
        <v>523298.05865487625</v>
      </c>
      <c r="T305">
        <f t="shared" si="968"/>
        <v>523.29805865487629</v>
      </c>
    </row>
    <row r="306" spans="1:20" x14ac:dyDescent="0.25">
      <c r="A306" s="5">
        <v>44287</v>
      </c>
      <c r="B306">
        <v>5.3783499999999998E-2</v>
      </c>
      <c r="C306">
        <v>7.1349999999999997E-2</v>
      </c>
      <c r="D306">
        <v>5.3499900000000003E-2</v>
      </c>
      <c r="E306">
        <v>6.2150999999999998E-2</v>
      </c>
      <c r="F306">
        <v>15242021778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-3.0694505913132372E-2</v>
      </c>
      <c r="Q306">
        <f t="shared" si="965"/>
        <v>-467846327.59291339</v>
      </c>
      <c r="R306">
        <f t="shared" si="966"/>
        <v>55284409252.664345</v>
      </c>
      <c r="S306">
        <f t="shared" si="967"/>
        <v>552844.09252664342</v>
      </c>
      <c r="T306">
        <f t="shared" si="968"/>
        <v>552.84409252664341</v>
      </c>
    </row>
    <row r="307" spans="1:20" x14ac:dyDescent="0.25">
      <c r="A307" s="5">
        <v>44286</v>
      </c>
      <c r="B307">
        <v>5.4001399999999998E-2</v>
      </c>
      <c r="C307">
        <v>5.45E-2</v>
      </c>
      <c r="D307">
        <v>5.1342400000000003E-2</v>
      </c>
      <c r="E307">
        <v>5.3769900000000002E-2</v>
      </c>
      <c r="F307">
        <v>1085164149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0.53756017228274755</v>
      </c>
      <c r="Q307">
        <f t="shared" si="965"/>
        <v>583341026.89150119</v>
      </c>
      <c r="R307">
        <f t="shared" si="966"/>
        <v>55752255580.257256</v>
      </c>
      <c r="S307">
        <f t="shared" si="967"/>
        <v>557522.55580257252</v>
      </c>
      <c r="T307">
        <f t="shared" si="968"/>
        <v>557.52255580257247</v>
      </c>
    </row>
    <row r="308" spans="1:20" x14ac:dyDescent="0.25">
      <c r="A308" s="5">
        <v>44285</v>
      </c>
      <c r="B308">
        <v>5.4123999999999999E-2</v>
      </c>
      <c r="C308">
        <v>5.5626700000000001E-2</v>
      </c>
      <c r="D308">
        <v>5.3328E-2</v>
      </c>
      <c r="E308">
        <v>5.4000300000000001E-2</v>
      </c>
      <c r="F308">
        <v>1399307591</v>
      </c>
      <c r="G308">
        <v>0</v>
      </c>
      <c r="L308" t="s">
        <v>8</v>
      </c>
      <c r="M308" t="s">
        <v>7</v>
      </c>
      <c r="N308" t="s">
        <v>8</v>
      </c>
      <c r="P308">
        <f t="shared" si="964"/>
        <v>-0.41506068647496369</v>
      </c>
      <c r="Q308">
        <f t="shared" si="965"/>
        <v>-580797569.31008768</v>
      </c>
      <c r="R308">
        <f t="shared" si="966"/>
        <v>55168914553.365753</v>
      </c>
      <c r="S308">
        <f t="shared" si="967"/>
        <v>551689.14553365752</v>
      </c>
      <c r="T308">
        <f t="shared" si="968"/>
        <v>551.68914553365755</v>
      </c>
    </row>
    <row r="309" spans="1:20" x14ac:dyDescent="0.25">
      <c r="A309" s="5">
        <v>44284</v>
      </c>
      <c r="B309">
        <v>5.36634E-2</v>
      </c>
      <c r="C309">
        <v>5.4712299999999998E-2</v>
      </c>
      <c r="D309">
        <v>5.3201999999999999E-2</v>
      </c>
      <c r="E309">
        <v>5.4123999999999999E-2</v>
      </c>
      <c r="F309">
        <v>977387405</v>
      </c>
      <c r="G309">
        <v>0</v>
      </c>
      <c r="L309" t="s">
        <v>8</v>
      </c>
      <c r="M309" t="s">
        <v>7</v>
      </c>
      <c r="N309" t="s">
        <v>8</v>
      </c>
      <c r="P309">
        <f t="shared" si="964"/>
        <v>0.2209494802357144</v>
      </c>
      <c r="Q309">
        <f t="shared" si="965"/>
        <v>215953239.12368369</v>
      </c>
      <c r="R309">
        <f t="shared" si="966"/>
        <v>55749712122.675842</v>
      </c>
      <c r="S309">
        <f t="shared" si="967"/>
        <v>557497.12122675846</v>
      </c>
      <c r="T309">
        <f t="shared" si="968"/>
        <v>557.49712122675851</v>
      </c>
    </row>
    <row r="310" spans="1:20" x14ac:dyDescent="0.25">
      <c r="A310" s="5">
        <v>44283</v>
      </c>
      <c r="B310">
        <v>5.4421999999999998E-2</v>
      </c>
      <c r="C310">
        <v>5.4899999999999997E-2</v>
      </c>
      <c r="D310">
        <v>5.2949599999999999E-2</v>
      </c>
      <c r="E310">
        <v>5.3665600000000001E-2</v>
      </c>
      <c r="F310">
        <v>675382127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-0.2657916324856418</v>
      </c>
      <c r="Q310">
        <f t="shared" si="965"/>
        <v>-179510918.08695507</v>
      </c>
      <c r="R310">
        <f t="shared" si="966"/>
        <v>55533758883.552162</v>
      </c>
      <c r="S310">
        <f t="shared" si="967"/>
        <v>555337.5888355216</v>
      </c>
      <c r="T310">
        <f t="shared" si="968"/>
        <v>555.33758883552161</v>
      </c>
    </row>
    <row r="311" spans="1:20" x14ac:dyDescent="0.25">
      <c r="A311" s="5">
        <v>44282</v>
      </c>
      <c r="B311">
        <v>5.3920299999999997E-2</v>
      </c>
      <c r="C311">
        <v>5.5449999999999999E-2</v>
      </c>
      <c r="D311">
        <v>5.3386000000000003E-2</v>
      </c>
      <c r="E311">
        <v>5.4435999999999998E-2</v>
      </c>
      <c r="F311">
        <v>1176365221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1.7441860465113583E-2</v>
      </c>
      <c r="Q311">
        <f t="shared" si="965"/>
        <v>20517998.040694501</v>
      </c>
      <c r="R311">
        <f t="shared" si="966"/>
        <v>55713269801.639114</v>
      </c>
      <c r="S311">
        <f t="shared" si="967"/>
        <v>557132.69801639114</v>
      </c>
      <c r="T311">
        <f t="shared" si="968"/>
        <v>557.13269801639115</v>
      </c>
    </row>
    <row r="312" spans="1:20" x14ac:dyDescent="0.25">
      <c r="A312" s="5">
        <v>44281</v>
      </c>
      <c r="B312">
        <v>5.1265999999999999E-2</v>
      </c>
      <c r="C312">
        <v>5.4038000000000003E-2</v>
      </c>
      <c r="D312">
        <v>5.1232E-2</v>
      </c>
      <c r="E312">
        <v>5.3931E-2</v>
      </c>
      <c r="F312">
        <v>873797527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0.92373485388453114</v>
      </c>
      <c r="Q312">
        <f t="shared" si="965"/>
        <v>807157230.92800963</v>
      </c>
      <c r="R312">
        <f t="shared" si="966"/>
        <v>55692751803.598419</v>
      </c>
      <c r="S312">
        <f t="shared" si="967"/>
        <v>556927.51803598425</v>
      </c>
      <c r="T312">
        <f t="shared" si="968"/>
        <v>556.92751803598424</v>
      </c>
    </row>
    <row r="313" spans="1:20" x14ac:dyDescent="0.25">
      <c r="A313" s="5">
        <v>44280</v>
      </c>
      <c r="B313">
        <v>5.14996E-2</v>
      </c>
      <c r="C313">
        <v>5.2449799999999998E-2</v>
      </c>
      <c r="D313">
        <v>4.95798E-2</v>
      </c>
      <c r="E313">
        <v>5.1265999999999999E-2</v>
      </c>
      <c r="F313">
        <v>1665397693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0.17505226480836253</v>
      </c>
      <c r="Q313">
        <f t="shared" si="965"/>
        <v>291531637.96627206</v>
      </c>
      <c r="R313">
        <f t="shared" si="966"/>
        <v>54885594572.67041</v>
      </c>
      <c r="S313">
        <f t="shared" si="967"/>
        <v>548855.94572670409</v>
      </c>
      <c r="T313">
        <f t="shared" si="968"/>
        <v>548.85594572670414</v>
      </c>
    </row>
    <row r="314" spans="1:20" x14ac:dyDescent="0.25">
      <c r="A314" s="5">
        <v>44279</v>
      </c>
      <c r="B314">
        <v>5.3423400000000003E-2</v>
      </c>
      <c r="C314">
        <v>5.6799500000000003E-2</v>
      </c>
      <c r="D314">
        <v>5.0750000000000003E-2</v>
      </c>
      <c r="E314">
        <v>5.14996E-2</v>
      </c>
      <c r="F314">
        <v>1666398121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-0.75217786593933511</v>
      </c>
      <c r="Q314">
        <f t="shared" si="965"/>
        <v>-1253427782.4590979</v>
      </c>
      <c r="R314">
        <f t="shared" si="966"/>
        <v>54594062934.70414</v>
      </c>
      <c r="S314">
        <f t="shared" si="967"/>
        <v>545940.62934704137</v>
      </c>
      <c r="T314">
        <f t="shared" si="968"/>
        <v>545.94062934704141</v>
      </c>
    </row>
    <row r="315" spans="1:20" x14ac:dyDescent="0.25">
      <c r="A315" s="5">
        <v>44278</v>
      </c>
      <c r="B315">
        <v>5.4890099999999997E-2</v>
      </c>
      <c r="C315">
        <v>5.6105200000000001E-2</v>
      </c>
      <c r="D315">
        <v>5.2596299999999999E-2</v>
      </c>
      <c r="E315">
        <v>5.3353200000000003E-2</v>
      </c>
      <c r="F315">
        <v>1437944729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-0.56858274672974196</v>
      </c>
      <c r="Q315">
        <f t="shared" si="965"/>
        <v>-817590563.6603744</v>
      </c>
      <c r="R315">
        <f t="shared" si="966"/>
        <v>55847490717.163239</v>
      </c>
      <c r="S315">
        <f t="shared" si="967"/>
        <v>558474.9071716324</v>
      </c>
      <c r="T315">
        <f t="shared" si="968"/>
        <v>558.47490717163237</v>
      </c>
    </row>
    <row r="316" spans="1:20" x14ac:dyDescent="0.25">
      <c r="A316" s="5">
        <v>44277</v>
      </c>
      <c r="B316">
        <v>5.74888E-2</v>
      </c>
      <c r="C316">
        <v>5.79777E-2</v>
      </c>
      <c r="D316">
        <v>5.4423399999999997E-2</v>
      </c>
      <c r="E316">
        <v>5.4887999999999999E-2</v>
      </c>
      <c r="F316">
        <v>1270766976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-0.73857018259572793</v>
      </c>
      <c r="Q316">
        <f t="shared" si="965"/>
        <v>-938550597.50094104</v>
      </c>
      <c r="R316">
        <f t="shared" si="966"/>
        <v>56665081280.823616</v>
      </c>
      <c r="S316">
        <f t="shared" si="967"/>
        <v>566650.81280823611</v>
      </c>
      <c r="T316">
        <f t="shared" si="968"/>
        <v>566.65081280823608</v>
      </c>
    </row>
    <row r="317" spans="1:20" x14ac:dyDescent="0.25">
      <c r="A317" s="5">
        <v>44276</v>
      </c>
      <c r="B317">
        <v>5.8839599999999999E-2</v>
      </c>
      <c r="C317">
        <v>5.9555499999999997E-2</v>
      </c>
      <c r="D317">
        <v>5.67E-2</v>
      </c>
      <c r="E317">
        <v>5.7478099999999997E-2</v>
      </c>
      <c r="F317">
        <v>1204263965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-0.4550166345648764</v>
      </c>
      <c r="Q317">
        <f t="shared" si="965"/>
        <v>-547960136.48205411</v>
      </c>
      <c r="R317">
        <f t="shared" si="966"/>
        <v>57603631878.324554</v>
      </c>
      <c r="S317">
        <f t="shared" si="967"/>
        <v>576036.31878324552</v>
      </c>
      <c r="T317">
        <f t="shared" si="968"/>
        <v>576.03631878324552</v>
      </c>
    </row>
    <row r="318" spans="1:20" x14ac:dyDescent="0.25">
      <c r="A318" s="5">
        <v>44275</v>
      </c>
      <c r="B318">
        <v>5.8262399999999999E-2</v>
      </c>
      <c r="C318">
        <v>6.0624999999999998E-2</v>
      </c>
      <c r="D318">
        <v>5.7970000000000001E-2</v>
      </c>
      <c r="E318">
        <v>5.8818599999999999E-2</v>
      </c>
      <c r="F318">
        <v>1939829246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-0.36075329566855086</v>
      </c>
      <c r="Q318">
        <f t="shared" si="965"/>
        <v>-699799793.52874005</v>
      </c>
      <c r="R318">
        <f t="shared" si="966"/>
        <v>58151592014.80661</v>
      </c>
      <c r="S318">
        <f t="shared" si="967"/>
        <v>581515.92014806613</v>
      </c>
      <c r="T318">
        <f t="shared" si="968"/>
        <v>581.51592014806613</v>
      </c>
    </row>
    <row r="319" spans="1:20" x14ac:dyDescent="0.25">
      <c r="A319" s="5">
        <v>44274</v>
      </c>
      <c r="B319">
        <v>5.7362900000000001E-2</v>
      </c>
      <c r="C319">
        <v>5.9900000000000002E-2</v>
      </c>
      <c r="D319">
        <v>5.6374100000000003E-2</v>
      </c>
      <c r="E319">
        <v>5.8247199999999999E-2</v>
      </c>
      <c r="F319">
        <v>1691688848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6.2480501432256391E-2</v>
      </c>
      <c r="Q319">
        <f t="shared" si="965"/>
        <v>105697567.49039617</v>
      </c>
      <c r="R319">
        <f t="shared" si="966"/>
        <v>58851391808.33535</v>
      </c>
      <c r="S319">
        <f t="shared" si="967"/>
        <v>588513.91808335355</v>
      </c>
      <c r="T319">
        <f t="shared" si="968"/>
        <v>588.51391808335359</v>
      </c>
    </row>
    <row r="320" spans="1:20" x14ac:dyDescent="0.25">
      <c r="A320" s="5">
        <v>44273</v>
      </c>
      <c r="B320">
        <v>5.78925E-2</v>
      </c>
      <c r="C320">
        <v>5.9289599999999998E-2</v>
      </c>
      <c r="D320">
        <v>5.6889599999999999E-2</v>
      </c>
      <c r="E320">
        <v>5.7348499999999997E-2</v>
      </c>
      <c r="F320">
        <v>1338098958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-0.61758333333333471</v>
      </c>
      <c r="Q320">
        <f t="shared" si="965"/>
        <v>-826387614.81150186</v>
      </c>
      <c r="R320">
        <f t="shared" si="966"/>
        <v>58745694240.844955</v>
      </c>
      <c r="S320">
        <f t="shared" si="967"/>
        <v>587456.9424084496</v>
      </c>
      <c r="T320">
        <f t="shared" si="968"/>
        <v>587.45694240844955</v>
      </c>
    </row>
    <row r="321" spans="1:20" x14ac:dyDescent="0.25">
      <c r="A321" s="5">
        <v>44272</v>
      </c>
      <c r="B321">
        <v>5.8638900000000001E-2</v>
      </c>
      <c r="C321">
        <v>5.8958400000000001E-2</v>
      </c>
      <c r="D321">
        <v>5.6531400000000002E-2</v>
      </c>
      <c r="E321">
        <v>5.7891999999999999E-2</v>
      </c>
      <c r="F321">
        <v>1162146770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0.12121961269056228</v>
      </c>
      <c r="Q321">
        <f t="shared" si="965"/>
        <v>140874981.34898797</v>
      </c>
      <c r="R321">
        <f t="shared" si="966"/>
        <v>59572081855.656456</v>
      </c>
      <c r="S321">
        <f t="shared" si="967"/>
        <v>595720.81855656451</v>
      </c>
      <c r="T321">
        <f t="shared" si="968"/>
        <v>595.7208185565645</v>
      </c>
    </row>
    <row r="322" spans="1:20" x14ac:dyDescent="0.25">
      <c r="A322" s="5">
        <v>44271</v>
      </c>
      <c r="B322">
        <v>5.7015200000000002E-2</v>
      </c>
      <c r="C322">
        <v>5.9142699999999999E-2</v>
      </c>
      <c r="D322">
        <v>5.5266799999999998E-2</v>
      </c>
      <c r="E322">
        <v>5.86507E-2</v>
      </c>
      <c r="F322">
        <v>2003574159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0.74612348099796222</v>
      </c>
      <c r="Q322">
        <f t="shared" si="965"/>
        <v>1494913725.9506447</v>
      </c>
      <c r="R322">
        <f t="shared" si="966"/>
        <v>59431206874.307465</v>
      </c>
      <c r="S322">
        <f t="shared" si="967"/>
        <v>594312.06874307466</v>
      </c>
      <c r="T322">
        <f t="shared" si="968"/>
        <v>594.31206874307463</v>
      </c>
    </row>
    <row r="323" spans="1:20" x14ac:dyDescent="0.25">
      <c r="A323" s="5">
        <v>44270</v>
      </c>
      <c r="B323">
        <v>5.8221000000000002E-2</v>
      </c>
      <c r="C323">
        <v>5.9774500000000001E-2</v>
      </c>
      <c r="D323">
        <v>5.5E-2</v>
      </c>
      <c r="E323">
        <v>5.6969100000000002E-2</v>
      </c>
      <c r="F323">
        <v>2409422648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-0.17515970258665786</v>
      </c>
      <c r="Q323">
        <f t="shared" si="965"/>
        <v>-422033754.42923766</v>
      </c>
      <c r="R323">
        <f t="shared" si="966"/>
        <v>57936293148.356819</v>
      </c>
      <c r="S323">
        <f t="shared" si="967"/>
        <v>579362.93148356816</v>
      </c>
      <c r="T323">
        <f t="shared" si="968"/>
        <v>579.3629314835681</v>
      </c>
    </row>
    <row r="324" spans="1:20" x14ac:dyDescent="0.25">
      <c r="A324" s="5">
        <v>44269</v>
      </c>
      <c r="B324">
        <v>6.2788700000000003E-2</v>
      </c>
      <c r="C324">
        <v>6.3678899999999997E-2</v>
      </c>
      <c r="D324">
        <v>5.8169999999999999E-2</v>
      </c>
      <c r="E324">
        <v>5.8221000000000002E-2</v>
      </c>
      <c r="F324">
        <v>5115194076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-0.98148450688885169</v>
      </c>
      <c r="Q324">
        <f t="shared" si="965"/>
        <v>-5020483735.3236351</v>
      </c>
      <c r="R324">
        <f t="shared" si="966"/>
        <v>58358326902.786057</v>
      </c>
      <c r="S324">
        <f t="shared" si="967"/>
        <v>583583.2690278606</v>
      </c>
      <c r="T324">
        <f t="shared" si="968"/>
        <v>583.58326902786064</v>
      </c>
    </row>
    <row r="325" spans="1:20" x14ac:dyDescent="0.25">
      <c r="A325" s="5">
        <v>44268</v>
      </c>
      <c r="B325">
        <v>5.5276899999999997E-2</v>
      </c>
      <c r="C325">
        <v>6.3E-2</v>
      </c>
      <c r="D325">
        <v>5.4663499999999997E-2</v>
      </c>
      <c r="E325">
        <v>6.2789200000000003E-2</v>
      </c>
      <c r="F325">
        <v>3660176589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0.94942721765729099</v>
      </c>
      <c r="Q325">
        <f t="shared" si="965"/>
        <v>3475071275.0286241</v>
      </c>
      <c r="R325">
        <f t="shared" si="966"/>
        <v>63378810638.109688</v>
      </c>
      <c r="S325">
        <f t="shared" si="967"/>
        <v>633788.10638109688</v>
      </c>
      <c r="T325">
        <f t="shared" si="968"/>
        <v>633.7881063810969</v>
      </c>
    </row>
    <row r="326" spans="1:20" x14ac:dyDescent="0.25">
      <c r="A326" s="5">
        <v>44267</v>
      </c>
      <c r="B326">
        <v>5.5911700000000002E-2</v>
      </c>
      <c r="C326">
        <v>5.7000000000000002E-2</v>
      </c>
      <c r="D326">
        <v>5.4051000000000002E-2</v>
      </c>
      <c r="E326">
        <v>5.5273099999999999E-2</v>
      </c>
      <c r="F326">
        <v>1821925239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-0.17117667005764889</v>
      </c>
      <c r="Q326">
        <f t="shared" ref="Q326:Q389" si="970">F326*P326</f>
        <v>-311871095.50600612</v>
      </c>
      <c r="R326">
        <f t="shared" ref="R326:R389" si="971">R327+Q326</f>
        <v>59903739363.081062</v>
      </c>
      <c r="S326">
        <f t="shared" ref="S326:S389" si="972">R326/100000</f>
        <v>599037.39363081066</v>
      </c>
      <c r="T326">
        <f t="shared" ref="T326:T389" si="973">S326/1000</f>
        <v>599.0373936308107</v>
      </c>
    </row>
    <row r="327" spans="1:20" x14ac:dyDescent="0.25">
      <c r="A327" s="5">
        <v>44266</v>
      </c>
      <c r="B327">
        <v>5.5883099999999998E-2</v>
      </c>
      <c r="C327">
        <v>5.6980000000000003E-2</v>
      </c>
      <c r="D327">
        <v>5.4264699999999999E-2</v>
      </c>
      <c r="E327">
        <v>5.5928600000000002E-2</v>
      </c>
      <c r="F327">
        <v>1647182774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0.22557360144367145</v>
      </c>
      <c r="Q327">
        <f t="shared" si="970"/>
        <v>371560950.56715715</v>
      </c>
      <c r="R327">
        <f t="shared" si="971"/>
        <v>60215610458.587067</v>
      </c>
      <c r="S327">
        <f t="shared" si="972"/>
        <v>602156.10458587063</v>
      </c>
      <c r="T327">
        <f t="shared" si="973"/>
        <v>602.15610458587059</v>
      </c>
    </row>
    <row r="328" spans="1:20" x14ac:dyDescent="0.25">
      <c r="A328" s="5">
        <v>44265</v>
      </c>
      <c r="B328">
        <v>5.79432E-2</v>
      </c>
      <c r="C328">
        <v>5.8759199999999998E-2</v>
      </c>
      <c r="D328">
        <v>5.45E-2</v>
      </c>
      <c r="E328">
        <v>5.5869200000000001E-2</v>
      </c>
      <c r="F328">
        <v>2390746818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-0.35706235912847401</v>
      </c>
      <c r="Q328">
        <f t="shared" si="970"/>
        <v>-853645698.9139725</v>
      </c>
      <c r="R328">
        <f t="shared" si="971"/>
        <v>59844049508.019913</v>
      </c>
      <c r="S328">
        <f t="shared" si="972"/>
        <v>598440.49508019909</v>
      </c>
      <c r="T328">
        <f t="shared" si="973"/>
        <v>598.44049508019907</v>
      </c>
    </row>
    <row r="329" spans="1:20" x14ac:dyDescent="0.25">
      <c r="A329" s="5">
        <v>44264</v>
      </c>
      <c r="B329">
        <v>6.2958200000000006E-2</v>
      </c>
      <c r="C329">
        <v>6.3002500000000003E-2</v>
      </c>
      <c r="D329">
        <v>5.6000000000000001E-2</v>
      </c>
      <c r="E329">
        <v>5.7911700000000003E-2</v>
      </c>
      <c r="F329">
        <v>4412560062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-0.45399500178507624</v>
      </c>
      <c r="Q329">
        <f t="shared" si="970"/>
        <v>-2003280213.2244461</v>
      </c>
      <c r="R329">
        <f t="shared" si="971"/>
        <v>60697695206.933884</v>
      </c>
      <c r="S329">
        <f t="shared" si="972"/>
        <v>606976.95206933888</v>
      </c>
      <c r="T329">
        <f t="shared" si="973"/>
        <v>606.97695206933884</v>
      </c>
    </row>
    <row r="330" spans="1:20" x14ac:dyDescent="0.25">
      <c r="A330" s="5">
        <v>44263</v>
      </c>
      <c r="B330">
        <v>5.1948099999999997E-2</v>
      </c>
      <c r="C330">
        <v>6.3075000000000006E-2</v>
      </c>
      <c r="D330">
        <v>5.1550499999999999E-2</v>
      </c>
      <c r="E330">
        <v>6.2973799999999996E-2</v>
      </c>
      <c r="F330">
        <v>7572972187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0.98243741593995237</v>
      </c>
      <c r="Q330">
        <f t="shared" si="970"/>
        <v>7439971226.3814096</v>
      </c>
      <c r="R330">
        <f t="shared" si="971"/>
        <v>62700975420.158333</v>
      </c>
      <c r="S330">
        <f t="shared" si="972"/>
        <v>627009.75420158333</v>
      </c>
      <c r="T330">
        <f t="shared" si="973"/>
        <v>627.00975420158329</v>
      </c>
    </row>
    <row r="331" spans="1:20" x14ac:dyDescent="0.25">
      <c r="A331" s="5">
        <v>44262</v>
      </c>
      <c r="B331">
        <v>5.0924200000000003E-2</v>
      </c>
      <c r="C331">
        <v>5.24716E-2</v>
      </c>
      <c r="D331">
        <v>5.0428599999999997E-2</v>
      </c>
      <c r="E331">
        <v>5.1987100000000001E-2</v>
      </c>
      <c r="F331">
        <v>1494562661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0.52569750367107382</v>
      </c>
      <c r="Q331">
        <f t="shared" si="970"/>
        <v>785687859.96769738</v>
      </c>
      <c r="R331">
        <f t="shared" si="971"/>
        <v>55261004193.776924</v>
      </c>
      <c r="S331">
        <f t="shared" si="972"/>
        <v>552610.04193776927</v>
      </c>
      <c r="T331">
        <f t="shared" si="973"/>
        <v>552.61004193776932</v>
      </c>
    </row>
    <row r="332" spans="1:20" x14ac:dyDescent="0.25">
      <c r="A332" s="5">
        <v>44261</v>
      </c>
      <c r="B332">
        <v>4.9524699999999998E-2</v>
      </c>
      <c r="C332">
        <v>5.2580099999999998E-2</v>
      </c>
      <c r="D332">
        <v>4.9084000000000003E-2</v>
      </c>
      <c r="E332">
        <v>5.0958799999999999E-2</v>
      </c>
      <c r="F332">
        <v>2749264710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7.250936758101803E-2</v>
      </c>
      <c r="Q332">
        <f t="shared" si="970"/>
        <v>199347445.43491092</v>
      </c>
      <c r="R332">
        <f t="shared" si="971"/>
        <v>54475316333.809227</v>
      </c>
      <c r="S332">
        <f t="shared" si="972"/>
        <v>544753.16333809227</v>
      </c>
      <c r="T332">
        <f t="shared" si="973"/>
        <v>544.75316333809224</v>
      </c>
    </row>
    <row r="333" spans="1:20" x14ac:dyDescent="0.25">
      <c r="A333" s="5">
        <v>44260</v>
      </c>
      <c r="B333">
        <v>4.9986599999999999E-2</v>
      </c>
      <c r="C333">
        <v>5.1078999999999999E-2</v>
      </c>
      <c r="D333">
        <v>4.7966099999999998E-2</v>
      </c>
      <c r="E333">
        <v>4.9528500000000003E-2</v>
      </c>
      <c r="F333">
        <v>1714962753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3.8228018889168037E-3</v>
      </c>
      <c r="Q333">
        <f t="shared" si="970"/>
        <v>6555962.8515903614</v>
      </c>
      <c r="R333">
        <f t="shared" si="971"/>
        <v>54275968888.374313</v>
      </c>
      <c r="S333">
        <f t="shared" si="972"/>
        <v>542759.68888374313</v>
      </c>
      <c r="T333">
        <f t="shared" si="973"/>
        <v>542.75968888374314</v>
      </c>
    </row>
    <row r="334" spans="1:20" x14ac:dyDescent="0.25">
      <c r="A334" s="5">
        <v>44259</v>
      </c>
      <c r="B334">
        <v>5.0433699999999998E-2</v>
      </c>
      <c r="C334">
        <v>5.1153900000000002E-2</v>
      </c>
      <c r="D334">
        <v>4.7649999999999998E-2</v>
      </c>
      <c r="E334">
        <v>4.9986500000000003E-2</v>
      </c>
      <c r="F334">
        <v>1943532071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0.33365678244242269</v>
      </c>
      <c r="Q334">
        <f t="shared" si="970"/>
        <v>648472657.38351822</v>
      </c>
      <c r="R334">
        <f t="shared" si="971"/>
        <v>54269412925.52272</v>
      </c>
      <c r="S334">
        <f t="shared" si="972"/>
        <v>542694.12925522716</v>
      </c>
      <c r="T334">
        <f t="shared" si="973"/>
        <v>542.69412925522715</v>
      </c>
    </row>
    <row r="335" spans="1:20" x14ac:dyDescent="0.25">
      <c r="A335" s="5">
        <v>44258</v>
      </c>
      <c r="B335">
        <v>5.0402099999999998E-2</v>
      </c>
      <c r="C335">
        <v>5.2197199999999999E-2</v>
      </c>
      <c r="D335">
        <v>4.9955600000000003E-2</v>
      </c>
      <c r="E335">
        <v>5.0414599999999997E-2</v>
      </c>
      <c r="F335">
        <v>1841086026</v>
      </c>
      <c r="G335">
        <v>0</v>
      </c>
      <c r="L335" t="s">
        <v>7</v>
      </c>
      <c r="M335" t="s">
        <v>7</v>
      </c>
      <c r="N335" t="s">
        <v>8</v>
      </c>
      <c r="P335">
        <f t="shared" si="969"/>
        <v>-0.59047109207709236</v>
      </c>
      <c r="Q335">
        <f t="shared" si="970"/>
        <v>-1087108076.3800941</v>
      </c>
      <c r="R335">
        <f t="shared" si="971"/>
        <v>53620940268.139198</v>
      </c>
      <c r="S335">
        <f t="shared" si="972"/>
        <v>536209.40268139204</v>
      </c>
      <c r="T335">
        <f t="shared" si="973"/>
        <v>536.20940268139202</v>
      </c>
    </row>
    <row r="336" spans="1:20" x14ac:dyDescent="0.25">
      <c r="A336" s="5">
        <v>44257</v>
      </c>
      <c r="B336">
        <v>5.05754E-2</v>
      </c>
      <c r="C336">
        <v>5.2490000000000002E-2</v>
      </c>
      <c r="D336">
        <v>4.9100400000000002E-2</v>
      </c>
      <c r="E336">
        <v>5.0363999999999999E-2</v>
      </c>
      <c r="F336">
        <v>2378364146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-0.25442530092046445</v>
      </c>
      <c r="Q336">
        <f t="shared" si="970"/>
        <v>-605116013.54449344</v>
      </c>
      <c r="R336">
        <f t="shared" si="971"/>
        <v>54708048344.519295</v>
      </c>
      <c r="S336">
        <f t="shared" si="972"/>
        <v>547080.48344519292</v>
      </c>
      <c r="T336">
        <f t="shared" si="973"/>
        <v>547.08048344519295</v>
      </c>
    </row>
    <row r="337" spans="1:20" x14ac:dyDescent="0.25">
      <c r="A337" s="5">
        <v>44256</v>
      </c>
      <c r="B337">
        <v>4.8144699999999999E-2</v>
      </c>
      <c r="C337">
        <v>5.2505000000000003E-2</v>
      </c>
      <c r="D337">
        <v>4.7858900000000003E-2</v>
      </c>
      <c r="E337">
        <v>5.0593300000000001E-2</v>
      </c>
      <c r="F337">
        <v>2752580452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0.17707324422633944</v>
      </c>
      <c r="Q337">
        <f t="shared" si="970"/>
        <v>487408350.6296438</v>
      </c>
      <c r="R337">
        <f t="shared" si="971"/>
        <v>55313164358.063789</v>
      </c>
      <c r="S337">
        <f t="shared" si="972"/>
        <v>553131.64358063787</v>
      </c>
      <c r="T337">
        <f t="shared" si="973"/>
        <v>553.13164358063784</v>
      </c>
    </row>
    <row r="338" spans="1:20" x14ac:dyDescent="0.25">
      <c r="A338" s="5">
        <v>44255</v>
      </c>
      <c r="B338">
        <v>5.0070499999999997E-2</v>
      </c>
      <c r="C338">
        <v>5.0242599999999998E-2</v>
      </c>
      <c r="D338">
        <v>4.4656099999999997E-2</v>
      </c>
      <c r="E338">
        <v>4.8158199999999998E-2</v>
      </c>
      <c r="F338">
        <v>2384823456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0.25377248724603968</v>
      </c>
      <c r="Q338">
        <f t="shared" si="970"/>
        <v>605202580.07181633</v>
      </c>
      <c r="R338">
        <f t="shared" si="971"/>
        <v>54825756007.434143</v>
      </c>
      <c r="S338">
        <f t="shared" si="972"/>
        <v>548257.56007434148</v>
      </c>
      <c r="T338">
        <f t="shared" si="973"/>
        <v>548.25756007434143</v>
      </c>
    </row>
    <row r="339" spans="1:20" x14ac:dyDescent="0.25">
      <c r="A339" s="5">
        <v>44254</v>
      </c>
      <c r="B339">
        <v>5.0472700000000002E-2</v>
      </c>
      <c r="C339">
        <v>5.21E-2</v>
      </c>
      <c r="D339">
        <v>4.9099999999999998E-2</v>
      </c>
      <c r="E339">
        <v>5.0072499999999999E-2</v>
      </c>
      <c r="F339">
        <v>2268877377</v>
      </c>
      <c r="G339">
        <v>0</v>
      </c>
      <c r="L339" t="s">
        <v>7</v>
      </c>
      <c r="M339" t="s">
        <v>7</v>
      </c>
      <c r="N339" t="s">
        <v>8</v>
      </c>
      <c r="P339">
        <f t="shared" si="969"/>
        <v>-0.35166666666666646</v>
      </c>
      <c r="Q339">
        <f t="shared" si="970"/>
        <v>-797888544.24499953</v>
      </c>
      <c r="R339">
        <f t="shared" si="971"/>
        <v>54220553427.362328</v>
      </c>
      <c r="S339">
        <f t="shared" si="972"/>
        <v>542205.53427362326</v>
      </c>
      <c r="T339">
        <f t="shared" si="973"/>
        <v>542.20553427362324</v>
      </c>
    </row>
    <row r="340" spans="1:20" x14ac:dyDescent="0.25">
      <c r="A340" s="5">
        <v>44253</v>
      </c>
      <c r="B340">
        <v>4.99157E-2</v>
      </c>
      <c r="C340">
        <v>5.2603200000000003E-2</v>
      </c>
      <c r="D340">
        <v>4.8399999999999999E-2</v>
      </c>
      <c r="E340">
        <v>5.0476800000000002E-2</v>
      </c>
      <c r="F340">
        <v>3147923785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-1.1800532927292735E-2</v>
      </c>
      <c r="Q340">
        <f t="shared" si="970"/>
        <v>-37147178.277500473</v>
      </c>
      <c r="R340">
        <f t="shared" si="971"/>
        <v>55018441971.60733</v>
      </c>
      <c r="S340">
        <f t="shared" si="972"/>
        <v>550184.41971607332</v>
      </c>
      <c r="T340">
        <f t="shared" si="973"/>
        <v>550.18441971607331</v>
      </c>
    </row>
    <row r="341" spans="1:20" x14ac:dyDescent="0.25">
      <c r="A341" s="5">
        <v>44252</v>
      </c>
      <c r="B341">
        <v>5.67907E-2</v>
      </c>
      <c r="C341">
        <v>5.8099999999999999E-2</v>
      </c>
      <c r="D341">
        <v>4.9500200000000001E-2</v>
      </c>
      <c r="E341">
        <v>4.9913800000000001E-2</v>
      </c>
      <c r="F341">
        <v>4913047375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-0.90381171655154768</v>
      </c>
      <c r="Q341">
        <f t="shared" si="970"/>
        <v>-4440469781.4978256</v>
      </c>
      <c r="R341">
        <f t="shared" si="971"/>
        <v>55055589149.884834</v>
      </c>
      <c r="S341">
        <f t="shared" si="972"/>
        <v>550555.89149884833</v>
      </c>
      <c r="T341">
        <f t="shared" si="973"/>
        <v>550.55589149884838</v>
      </c>
    </row>
    <row r="342" spans="1:20" x14ac:dyDescent="0.25">
      <c r="A342" s="5">
        <v>44251</v>
      </c>
      <c r="B342">
        <v>4.7691999999999998E-2</v>
      </c>
      <c r="C342">
        <v>6.0586000000000001E-2</v>
      </c>
      <c r="D342">
        <v>4.5903399999999997E-2</v>
      </c>
      <c r="E342">
        <v>5.6791099999999997E-2</v>
      </c>
      <c r="F342">
        <v>11172353520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0.48307520466402371</v>
      </c>
      <c r="Q342">
        <f t="shared" si="970"/>
        <v>5397086963.2528257</v>
      </c>
      <c r="R342">
        <f t="shared" si="971"/>
        <v>59496058931.38266</v>
      </c>
      <c r="S342">
        <f t="shared" si="972"/>
        <v>594960.58931382664</v>
      </c>
      <c r="T342">
        <f t="shared" si="973"/>
        <v>594.96058931382663</v>
      </c>
    </row>
    <row r="343" spans="1:20" x14ac:dyDescent="0.25">
      <c r="A343" s="5">
        <v>44250</v>
      </c>
      <c r="B343">
        <v>5.3609299999999999E-2</v>
      </c>
      <c r="C343">
        <v>5.3877599999999998E-2</v>
      </c>
      <c r="D343">
        <v>4.13332E-2</v>
      </c>
      <c r="E343">
        <v>4.7656200000000003E-2</v>
      </c>
      <c r="F343">
        <v>5958874372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8.0992315296074154E-3</v>
      </c>
      <c r="Q343">
        <f t="shared" si="970"/>
        <v>48262303.194671988</v>
      </c>
      <c r="R343">
        <f t="shared" si="971"/>
        <v>54098971968.129837</v>
      </c>
      <c r="S343">
        <f t="shared" si="972"/>
        <v>540989.71968129836</v>
      </c>
      <c r="T343">
        <f t="shared" si="973"/>
        <v>540.98971968129831</v>
      </c>
    </row>
    <row r="344" spans="1:20" x14ac:dyDescent="0.25">
      <c r="A344" s="5">
        <v>44249</v>
      </c>
      <c r="B344">
        <v>5.5992100000000003E-2</v>
      </c>
      <c r="C344">
        <v>6.0803700000000002E-2</v>
      </c>
      <c r="D344">
        <v>4.6100299999999997E-2</v>
      </c>
      <c r="E344">
        <v>5.3555699999999998E-2</v>
      </c>
      <c r="F344">
        <v>8420498923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1.4105581022076282E-2</v>
      </c>
      <c r="Q344">
        <f t="shared" si="970"/>
        <v>118776029.80468258</v>
      </c>
      <c r="R344">
        <f t="shared" si="971"/>
        <v>54050709664.935165</v>
      </c>
      <c r="S344">
        <f t="shared" si="972"/>
        <v>540507.09664935165</v>
      </c>
      <c r="T344">
        <f t="shared" si="973"/>
        <v>540.50709664935164</v>
      </c>
    </row>
    <row r="345" spans="1:20" x14ac:dyDescent="0.25">
      <c r="A345" s="5">
        <v>44248</v>
      </c>
      <c r="B345">
        <v>5.4156700000000002E-2</v>
      </c>
      <c r="C345">
        <v>0.06</v>
      </c>
      <c r="D345">
        <v>5.3249999999999999E-2</v>
      </c>
      <c r="E345">
        <v>5.60183E-2</v>
      </c>
      <c r="F345">
        <v>5548376495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-0.17976296296296246</v>
      </c>
      <c r="Q345">
        <f t="shared" si="970"/>
        <v>-997392598.37525642</v>
      </c>
      <c r="R345">
        <f t="shared" si="971"/>
        <v>53931933635.130486</v>
      </c>
      <c r="S345">
        <f t="shared" si="972"/>
        <v>539319.3363513049</v>
      </c>
      <c r="T345">
        <f t="shared" si="973"/>
        <v>539.31933635130486</v>
      </c>
    </row>
    <row r="346" spans="1:20" x14ac:dyDescent="0.25">
      <c r="A346" s="5">
        <v>44247</v>
      </c>
      <c r="B346">
        <v>5.5032999999999999E-2</v>
      </c>
      <c r="C346">
        <v>6.0699999999999997E-2</v>
      </c>
      <c r="D346">
        <v>5.0999999999999997E-2</v>
      </c>
      <c r="E346">
        <v>5.4170799999999998E-2</v>
      </c>
      <c r="F346">
        <v>7359009281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-0.3462268041237111</v>
      </c>
      <c r="Q346">
        <f t="shared" si="970"/>
        <v>-2547886264.8773589</v>
      </c>
      <c r="R346">
        <f t="shared" si="971"/>
        <v>54929326233.505745</v>
      </c>
      <c r="S346">
        <f t="shared" si="972"/>
        <v>549293.26233505749</v>
      </c>
      <c r="T346">
        <f t="shared" si="973"/>
        <v>549.29326233505753</v>
      </c>
    </row>
    <row r="347" spans="1:20" x14ac:dyDescent="0.25">
      <c r="A347" s="5">
        <v>44246</v>
      </c>
      <c r="B347">
        <v>5.87991E-2</v>
      </c>
      <c r="C347">
        <v>5.9719000000000001E-2</v>
      </c>
      <c r="D347">
        <v>5.36581E-2</v>
      </c>
      <c r="E347">
        <v>5.5032999999999999E-2</v>
      </c>
      <c r="F347">
        <v>6405564988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-0.54630500420729655</v>
      </c>
      <c r="Q347">
        <f t="shared" si="970"/>
        <v>-3499392207.7194514</v>
      </c>
      <c r="R347">
        <f t="shared" si="971"/>
        <v>57477212498.383102</v>
      </c>
      <c r="S347">
        <f t="shared" si="972"/>
        <v>574772.12498383108</v>
      </c>
      <c r="T347">
        <f t="shared" si="973"/>
        <v>574.77212498383108</v>
      </c>
    </row>
    <row r="348" spans="1:20" x14ac:dyDescent="0.25">
      <c r="A348" s="5">
        <v>44245</v>
      </c>
      <c r="B348">
        <v>4.94987E-2</v>
      </c>
      <c r="C348">
        <v>6.45617E-2</v>
      </c>
      <c r="D348">
        <v>4.8899999999999999E-2</v>
      </c>
      <c r="E348">
        <v>5.87991E-2</v>
      </c>
      <c r="F348">
        <v>13034098004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0.26411564517261865</v>
      </c>
      <c r="Q348">
        <f t="shared" si="970"/>
        <v>3442509203.5696011</v>
      </c>
      <c r="R348">
        <f t="shared" si="971"/>
        <v>60976604706.102554</v>
      </c>
      <c r="S348">
        <f t="shared" si="972"/>
        <v>609766.04706102551</v>
      </c>
      <c r="T348">
        <f t="shared" si="973"/>
        <v>609.76604706102546</v>
      </c>
    </row>
    <row r="349" spans="1:20" x14ac:dyDescent="0.25">
      <c r="A349" s="5">
        <v>44244</v>
      </c>
      <c r="B349">
        <v>5.3523099999999997E-2</v>
      </c>
      <c r="C349">
        <v>5.5108999999999998E-2</v>
      </c>
      <c r="D349">
        <v>4.7800000000000002E-2</v>
      </c>
      <c r="E349">
        <v>4.9518699999999999E-2</v>
      </c>
      <c r="F349">
        <v>6168131231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-0.52970310576002255</v>
      </c>
      <c r="Q349">
        <f t="shared" si="970"/>
        <v>-3267278269.7960911</v>
      </c>
      <c r="R349">
        <f t="shared" si="971"/>
        <v>57534095502.532951</v>
      </c>
      <c r="S349">
        <f t="shared" si="972"/>
        <v>575340.95502532949</v>
      </c>
      <c r="T349">
        <f t="shared" si="973"/>
        <v>575.34095502532944</v>
      </c>
    </row>
    <row r="350" spans="1:20" x14ac:dyDescent="0.25">
      <c r="A350" s="5">
        <v>44243</v>
      </c>
      <c r="B350">
        <v>5.6464300000000002E-2</v>
      </c>
      <c r="C350">
        <v>5.9845200000000001E-2</v>
      </c>
      <c r="D350">
        <v>5.0600300000000001E-2</v>
      </c>
      <c r="E350">
        <v>5.3476000000000003E-2</v>
      </c>
      <c r="F350">
        <v>6643077510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-0.37788402254215797</v>
      </c>
      <c r="Q350">
        <f t="shared" si="970"/>
        <v>-2510312851.5381427</v>
      </c>
      <c r="R350">
        <f t="shared" si="971"/>
        <v>60801373772.329041</v>
      </c>
      <c r="S350">
        <f t="shared" si="972"/>
        <v>608013.73772329045</v>
      </c>
      <c r="T350">
        <f t="shared" si="973"/>
        <v>608.01373772329043</v>
      </c>
    </row>
    <row r="351" spans="1:20" x14ac:dyDescent="0.25">
      <c r="A351" s="5">
        <v>44242</v>
      </c>
      <c r="B351">
        <v>6.2687800000000002E-2</v>
      </c>
      <c r="C351">
        <v>6.4199999999999993E-2</v>
      </c>
      <c r="D351">
        <v>4.7493500000000001E-2</v>
      </c>
      <c r="E351">
        <v>5.6500000000000002E-2</v>
      </c>
      <c r="F351">
        <v>11321001492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7.8203094603897266E-2</v>
      </c>
      <c r="Q351">
        <f t="shared" si="970"/>
        <v>885337350.68973815</v>
      </c>
      <c r="R351">
        <f t="shared" si="971"/>
        <v>63311686623.86718</v>
      </c>
      <c r="S351">
        <f t="shared" si="972"/>
        <v>633116.86623867182</v>
      </c>
      <c r="T351">
        <f t="shared" si="973"/>
        <v>633.11686623867183</v>
      </c>
    </row>
    <row r="352" spans="1:20" x14ac:dyDescent="0.25">
      <c r="A352" s="5">
        <v>44241</v>
      </c>
      <c r="B352">
        <v>6.6237199999999996E-2</v>
      </c>
      <c r="C352">
        <v>6.6466300000000006E-2</v>
      </c>
      <c r="D352">
        <v>5.5558000000000003E-2</v>
      </c>
      <c r="E352">
        <v>6.2678300000000006E-2</v>
      </c>
      <c r="F352">
        <v>8229158262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0.30548298084944514</v>
      </c>
      <c r="Q352">
        <f t="shared" si="970"/>
        <v>2513867795.7575994</v>
      </c>
      <c r="R352">
        <f t="shared" si="971"/>
        <v>62426349273.177444</v>
      </c>
      <c r="S352">
        <f t="shared" si="972"/>
        <v>624263.49273177446</v>
      </c>
      <c r="T352">
        <f t="shared" si="973"/>
        <v>624.26349273177448</v>
      </c>
    </row>
    <row r="353" spans="1:20" x14ac:dyDescent="0.25">
      <c r="A353" s="5">
        <v>44240</v>
      </c>
      <c r="B353">
        <v>6.9778000000000007E-2</v>
      </c>
      <c r="C353">
        <v>7.1708999999999995E-2</v>
      </c>
      <c r="D353">
        <v>6.5600000000000006E-2</v>
      </c>
      <c r="E353">
        <v>6.6240499999999994E-2</v>
      </c>
      <c r="F353">
        <v>3844449349</v>
      </c>
      <c r="G353">
        <v>0</v>
      </c>
      <c r="L353" t="s">
        <v>8</v>
      </c>
      <c r="M353" t="s">
        <v>7</v>
      </c>
      <c r="N353" t="s">
        <v>7</v>
      </c>
      <c r="P353">
        <f t="shared" si="969"/>
        <v>-0.7903093796038666</v>
      </c>
      <c r="Q353">
        <f t="shared" si="970"/>
        <v>-3038304379.9266787</v>
      </c>
      <c r="R353">
        <f t="shared" si="971"/>
        <v>59912481477.419846</v>
      </c>
      <c r="S353">
        <f t="shared" si="972"/>
        <v>599124.81477419846</v>
      </c>
      <c r="T353">
        <f t="shared" si="973"/>
        <v>599.12481477419851</v>
      </c>
    </row>
    <row r="354" spans="1:20" x14ac:dyDescent="0.25">
      <c r="A354" s="5">
        <v>44239</v>
      </c>
      <c r="B354">
        <v>6.9585300000000003E-2</v>
      </c>
      <c r="C354">
        <v>7.2980000000000003E-2</v>
      </c>
      <c r="D354">
        <v>6.08E-2</v>
      </c>
      <c r="E354">
        <v>6.9767499999999996E-2</v>
      </c>
      <c r="F354">
        <v>7517732599</v>
      </c>
      <c r="G354">
        <v>0</v>
      </c>
      <c r="L354" t="s">
        <v>7</v>
      </c>
      <c r="M354" t="s">
        <v>7</v>
      </c>
      <c r="N354" t="s">
        <v>7</v>
      </c>
      <c r="P354">
        <f t="shared" si="969"/>
        <v>0.47249589490968702</v>
      </c>
      <c r="Q354">
        <f t="shared" si="970"/>
        <v>3552097792.0562325</v>
      </c>
      <c r="R354">
        <f t="shared" si="971"/>
        <v>62950785857.346527</v>
      </c>
      <c r="S354">
        <f t="shared" si="972"/>
        <v>629507.85857346526</v>
      </c>
      <c r="T354">
        <f t="shared" si="973"/>
        <v>629.50785857346523</v>
      </c>
    </row>
    <row r="355" spans="1:20" x14ac:dyDescent="0.25">
      <c r="A355" s="5">
        <v>44238</v>
      </c>
      <c r="B355">
        <v>7.25523E-2</v>
      </c>
      <c r="C355">
        <v>7.5562199999999996E-2</v>
      </c>
      <c r="D355">
        <v>6.8000000000000005E-2</v>
      </c>
      <c r="E355">
        <v>6.9583000000000006E-2</v>
      </c>
      <c r="F355">
        <v>6327153991</v>
      </c>
      <c r="G355">
        <v>0</v>
      </c>
      <c r="L355" t="s">
        <v>8</v>
      </c>
      <c r="M355" t="s">
        <v>7</v>
      </c>
      <c r="N355" t="s">
        <v>7</v>
      </c>
      <c r="P355">
        <f t="shared" si="969"/>
        <v>-0.5813387638517884</v>
      </c>
      <c r="Q355">
        <f t="shared" si="970"/>
        <v>-3678219879.8278494</v>
      </c>
      <c r="R355">
        <f t="shared" si="971"/>
        <v>59398688065.290298</v>
      </c>
      <c r="S355">
        <f t="shared" si="972"/>
        <v>593986.880652903</v>
      </c>
      <c r="T355">
        <f t="shared" si="973"/>
        <v>593.98688065290298</v>
      </c>
    </row>
    <row r="356" spans="1:20" x14ac:dyDescent="0.25">
      <c r="A356" s="5">
        <v>44237</v>
      </c>
      <c r="B356">
        <v>7.0012199999999997E-2</v>
      </c>
      <c r="C356">
        <v>8.1649600000000003E-2</v>
      </c>
      <c r="D356">
        <v>6.6000000000000003E-2</v>
      </c>
      <c r="E356">
        <v>7.2552699999999998E-2</v>
      </c>
      <c r="F356">
        <v>14156312430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-0.16257284531234092</v>
      </c>
      <c r="Q356">
        <f t="shared" si="970"/>
        <v>-2301431990.8755589</v>
      </c>
      <c r="R356">
        <f t="shared" si="971"/>
        <v>63076907945.118149</v>
      </c>
      <c r="S356">
        <f t="shared" si="972"/>
        <v>630769.07945118146</v>
      </c>
      <c r="T356">
        <f t="shared" si="973"/>
        <v>630.76907945118148</v>
      </c>
    </row>
    <row r="357" spans="1:20" x14ac:dyDescent="0.25">
      <c r="A357" s="5">
        <v>44236</v>
      </c>
      <c r="B357">
        <v>7.87384E-2</v>
      </c>
      <c r="C357">
        <v>8.3800100000000002E-2</v>
      </c>
      <c r="D357">
        <v>6.3E-2</v>
      </c>
      <c r="E357">
        <v>7.0012099999999994E-2</v>
      </c>
      <c r="F357">
        <v>14602698981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-0.32576285690934248</v>
      </c>
      <c r="Q357">
        <f t="shared" si="970"/>
        <v>-4757016938.6377039</v>
      </c>
      <c r="R357">
        <f t="shared" si="971"/>
        <v>65378339935.993706</v>
      </c>
      <c r="S357">
        <f t="shared" si="972"/>
        <v>653783.39935993706</v>
      </c>
      <c r="T357">
        <f t="shared" si="973"/>
        <v>653.78339935993711</v>
      </c>
    </row>
    <row r="358" spans="1:20" x14ac:dyDescent="0.25">
      <c r="A358" s="5">
        <v>44235</v>
      </c>
      <c r="B358">
        <v>7.7985100000000002E-2</v>
      </c>
      <c r="C358">
        <v>8.5355500000000001E-2</v>
      </c>
      <c r="D358">
        <v>6.2221400000000003E-2</v>
      </c>
      <c r="E358">
        <v>7.8700000000000006E-2</v>
      </c>
      <c r="F358">
        <v>26387019347</v>
      </c>
      <c r="G358">
        <v>0</v>
      </c>
      <c r="L358" t="s">
        <v>7</v>
      </c>
      <c r="M358" t="s">
        <v>7</v>
      </c>
      <c r="N358" t="s">
        <v>7</v>
      </c>
      <c r="P358">
        <f t="shared" si="969"/>
        <v>0.42461561072183529</v>
      </c>
      <c r="Q358">
        <f t="shared" si="970"/>
        <v>11204340335.155289</v>
      </c>
      <c r="R358">
        <f t="shared" si="971"/>
        <v>70135356874.631409</v>
      </c>
      <c r="S358">
        <f t="shared" si="972"/>
        <v>701353.56874631403</v>
      </c>
      <c r="T358">
        <f t="shared" si="973"/>
        <v>701.35356874631407</v>
      </c>
    </row>
    <row r="359" spans="1:20" x14ac:dyDescent="0.25">
      <c r="A359" s="5">
        <v>44234</v>
      </c>
      <c r="B359">
        <v>5.7657899999999998E-2</v>
      </c>
      <c r="C359">
        <v>8.7297E-2</v>
      </c>
      <c r="D359">
        <v>5.31446E-2</v>
      </c>
      <c r="E359">
        <v>7.79247E-2</v>
      </c>
      <c r="F359">
        <v>38837846298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0.45114838195851537</v>
      </c>
      <c r="Q359">
        <f t="shared" si="970"/>
        <v>17521631516.096214</v>
      </c>
      <c r="R359">
        <f t="shared" si="971"/>
        <v>58931016539.47612</v>
      </c>
      <c r="S359">
        <f t="shared" si="972"/>
        <v>589310.16539476125</v>
      </c>
      <c r="T359">
        <f t="shared" si="973"/>
        <v>589.31016539476127</v>
      </c>
    </row>
    <row r="360" spans="1:20" x14ac:dyDescent="0.25">
      <c r="A360" s="5">
        <v>44233</v>
      </c>
      <c r="B360">
        <v>4.6752700000000001E-2</v>
      </c>
      <c r="C360">
        <v>5.8868299999999998E-2</v>
      </c>
      <c r="D360">
        <v>4.4419100000000003E-2</v>
      </c>
      <c r="E360">
        <v>5.7655900000000003E-2</v>
      </c>
      <c r="F360">
        <v>17252485844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0.83218448080170582</v>
      </c>
      <c r="Q360">
        <f t="shared" si="970"/>
        <v>14357250974.62792</v>
      </c>
      <c r="R360">
        <f t="shared" si="971"/>
        <v>41409385023.379906</v>
      </c>
      <c r="S360">
        <f t="shared" si="972"/>
        <v>414093.85023379908</v>
      </c>
      <c r="T360">
        <f t="shared" si="973"/>
        <v>414.09385023379906</v>
      </c>
    </row>
    <row r="361" spans="1:20" x14ac:dyDescent="0.25">
      <c r="A361" s="5">
        <v>44232</v>
      </c>
      <c r="B361">
        <v>5.2814899999999998E-2</v>
      </c>
      <c r="C361">
        <v>5.4339999999999999E-2</v>
      </c>
      <c r="D361">
        <v>4.3151599999999998E-2</v>
      </c>
      <c r="E361">
        <v>4.6719299999999998E-2</v>
      </c>
      <c r="F361">
        <v>16560079172</v>
      </c>
      <c r="G361">
        <v>0</v>
      </c>
      <c r="L361" t="s">
        <v>7</v>
      </c>
      <c r="M361" t="s">
        <v>7</v>
      </c>
      <c r="N361" t="s">
        <v>8</v>
      </c>
      <c r="P361">
        <f t="shared" si="969"/>
        <v>-0.36225018769439782</v>
      </c>
      <c r="Q361">
        <f t="shared" si="970"/>
        <v>-5998891788.2910881</v>
      </c>
      <c r="R361">
        <f t="shared" si="971"/>
        <v>27052134048.751987</v>
      </c>
      <c r="S361">
        <f t="shared" si="972"/>
        <v>270521.34048751986</v>
      </c>
      <c r="T361">
        <f t="shared" si="973"/>
        <v>270.52134048751986</v>
      </c>
    </row>
    <row r="362" spans="1:20" x14ac:dyDescent="0.25">
      <c r="A362" s="5">
        <v>44231</v>
      </c>
      <c r="B362">
        <v>3.7232700000000001E-2</v>
      </c>
      <c r="C362">
        <v>5.9799999999999999E-2</v>
      </c>
      <c r="D362">
        <v>3.5836699999999999E-2</v>
      </c>
      <c r="E362">
        <v>5.29081E-2</v>
      </c>
      <c r="F362">
        <v>48795642519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0.42479541632412904</v>
      </c>
      <c r="Q362">
        <f t="shared" si="970"/>
        <v>20728165278.661976</v>
      </c>
      <c r="R362">
        <f t="shared" si="971"/>
        <v>33051025837.043076</v>
      </c>
      <c r="S362">
        <f t="shared" si="972"/>
        <v>330510.25837043073</v>
      </c>
      <c r="T362">
        <f t="shared" si="973"/>
        <v>330.51025837043073</v>
      </c>
    </row>
    <row r="363" spans="1:20" x14ac:dyDescent="0.25">
      <c r="A363" s="5">
        <v>44230</v>
      </c>
      <c r="B363">
        <v>3.1348899999999999E-2</v>
      </c>
      <c r="C363">
        <v>3.9783600000000002E-2</v>
      </c>
      <c r="D363">
        <v>3.0791800000000001E-2</v>
      </c>
      <c r="E363">
        <v>3.72597E-2</v>
      </c>
      <c r="F363">
        <v>12960787222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0.43862185546831511</v>
      </c>
      <c r="Q363">
        <f t="shared" si="970"/>
        <v>5684884539.6436691</v>
      </c>
      <c r="R363">
        <f t="shared" si="971"/>
        <v>12322860558.3811</v>
      </c>
      <c r="S363">
        <f t="shared" si="972"/>
        <v>123228.605583811</v>
      </c>
      <c r="T363">
        <f t="shared" si="973"/>
        <v>123.228605583811</v>
      </c>
    </row>
    <row r="364" spans="1:20" x14ac:dyDescent="0.25">
      <c r="A364" s="5">
        <v>44229</v>
      </c>
      <c r="B364">
        <v>3.4823300000000001E-2</v>
      </c>
      <c r="C364">
        <v>3.5293999999999999E-2</v>
      </c>
      <c r="D364">
        <v>2.877E-2</v>
      </c>
      <c r="E364">
        <v>3.1348899999999999E-2</v>
      </c>
      <c r="F364">
        <v>11550248752</v>
      </c>
      <c r="G364">
        <v>0</v>
      </c>
      <c r="L364" t="s">
        <v>7</v>
      </c>
      <c r="M364" t="s">
        <v>7</v>
      </c>
      <c r="N364" t="s">
        <v>7</v>
      </c>
      <c r="P364">
        <f t="shared" si="969"/>
        <v>-0.20941140404659744</v>
      </c>
      <c r="Q364">
        <f t="shared" si="970"/>
        <v>-2418753808.2437797</v>
      </c>
      <c r="R364">
        <f t="shared" si="971"/>
        <v>6637976018.7374306</v>
      </c>
      <c r="S364">
        <f t="shared" si="972"/>
        <v>66379.760187374311</v>
      </c>
      <c r="T364">
        <f t="shared" si="973"/>
        <v>66.379760187374316</v>
      </c>
    </row>
    <row r="365" spans="1:20" x14ac:dyDescent="0.25">
      <c r="A365" s="5">
        <v>44228</v>
      </c>
      <c r="B365">
        <v>3.6962299999999997E-2</v>
      </c>
      <c r="C365">
        <v>4.3826799999999999E-2</v>
      </c>
      <c r="D365">
        <v>3.2861500000000002E-2</v>
      </c>
      <c r="E365">
        <v>3.4817300000000002E-2</v>
      </c>
      <c r="F365">
        <v>23868437622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-0.64327469380682678</v>
      </c>
      <c r="Q365">
        <f t="shared" si="970"/>
        <v>-15353961902.939394</v>
      </c>
      <c r="R365">
        <f t="shared" si="971"/>
        <v>9056729826.9812107</v>
      </c>
      <c r="S365">
        <f t="shared" si="972"/>
        <v>90567.298269812105</v>
      </c>
      <c r="T365">
        <f t="shared" si="973"/>
        <v>90.567298269812099</v>
      </c>
    </row>
    <row r="366" spans="1:20" x14ac:dyDescent="0.25">
      <c r="A366" s="5">
        <v>44227</v>
      </c>
      <c r="B366">
        <v>2.8242799999999998E-2</v>
      </c>
      <c r="C366">
        <v>4.9484300000000002E-2</v>
      </c>
      <c r="D366">
        <v>2.6766100000000001E-2</v>
      </c>
      <c r="E366">
        <v>3.6999999999999998E-2</v>
      </c>
      <c r="F366">
        <v>44577797729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-9.9057143611730084E-2</v>
      </c>
      <c r="Q366">
        <f t="shared" si="970"/>
        <v>-4415749311.5362082</v>
      </c>
      <c r="R366">
        <f t="shared" si="971"/>
        <v>24410691729.920605</v>
      </c>
      <c r="S366">
        <f t="shared" si="972"/>
        <v>244106.91729920605</v>
      </c>
      <c r="T366">
        <f t="shared" si="973"/>
        <v>244.10691729920606</v>
      </c>
    </row>
    <row r="367" spans="1:20" x14ac:dyDescent="0.25">
      <c r="A367" s="5">
        <v>44226</v>
      </c>
      <c r="B367">
        <v>4.5905899999999999E-2</v>
      </c>
      <c r="C367">
        <v>5.0880399999999999E-2</v>
      </c>
      <c r="D367">
        <v>2.22001E-2</v>
      </c>
      <c r="E367">
        <v>2.826E-2</v>
      </c>
      <c r="F367">
        <v>54559388569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-0.57741725156291945</v>
      </c>
      <c r="Q367">
        <f t="shared" si="970"/>
        <v>-31503532194.465343</v>
      </c>
      <c r="R367">
        <f t="shared" si="971"/>
        <v>28826441041.456814</v>
      </c>
      <c r="S367">
        <f t="shared" si="972"/>
        <v>288264.41041456815</v>
      </c>
      <c r="T367">
        <f t="shared" si="973"/>
        <v>288.26441041456815</v>
      </c>
    </row>
    <row r="368" spans="1:20" x14ac:dyDescent="0.25">
      <c r="A368" s="5">
        <v>44225</v>
      </c>
      <c r="B368">
        <v>3.6442000000000002E-2</v>
      </c>
      <c r="C368">
        <v>8.7499999999999994E-2</v>
      </c>
      <c r="D368">
        <v>3.1300000000000001E-2</v>
      </c>
      <c r="E368">
        <v>4.5905899999999999E-2</v>
      </c>
      <c r="F368">
        <v>109073693231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-0.4802170818505338</v>
      </c>
      <c r="Q368">
        <f t="shared" si="970"/>
        <v>-52379050670.05114</v>
      </c>
      <c r="R368">
        <f t="shared" si="971"/>
        <v>60329973235.922157</v>
      </c>
      <c r="S368">
        <f t="shared" si="972"/>
        <v>603299.73235922155</v>
      </c>
      <c r="T368">
        <f t="shared" si="973"/>
        <v>603.29973235922159</v>
      </c>
    </row>
    <row r="369" spans="1:20" x14ac:dyDescent="0.25">
      <c r="A369" s="5">
        <v>44224</v>
      </c>
      <c r="B369">
        <v>7.4104000000000001E-3</v>
      </c>
      <c r="C369">
        <v>3.7484900000000002E-2</v>
      </c>
      <c r="D369">
        <v>7.2880000000000002E-3</v>
      </c>
      <c r="E369">
        <v>3.6499499999999997E-2</v>
      </c>
      <c r="F369">
        <v>102989795103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0.9347350224691936</v>
      </c>
      <c r="Q369">
        <f t="shared" si="970"/>
        <v>96268168439.700348</v>
      </c>
      <c r="R369">
        <f t="shared" si="971"/>
        <v>112709023905.9733</v>
      </c>
      <c r="S369">
        <f t="shared" si="972"/>
        <v>1127090.239059733</v>
      </c>
      <c r="T369">
        <f t="shared" si="973"/>
        <v>1127.090239059733</v>
      </c>
    </row>
    <row r="370" spans="1:20" x14ac:dyDescent="0.25">
      <c r="A370" s="5">
        <v>44223</v>
      </c>
      <c r="B370">
        <v>8.2471999999999997E-3</v>
      </c>
      <c r="C370">
        <v>8.2482000000000007E-3</v>
      </c>
      <c r="D370">
        <v>7.2570000000000004E-3</v>
      </c>
      <c r="E370">
        <v>7.4124000000000004E-3</v>
      </c>
      <c r="F370">
        <v>1121405247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-0.68644067796610175</v>
      </c>
      <c r="Q370">
        <f t="shared" si="970"/>
        <v>-769778178.02542377</v>
      </c>
      <c r="R370">
        <f t="shared" si="971"/>
        <v>16440855466.272947</v>
      </c>
      <c r="S370">
        <f t="shared" si="972"/>
        <v>164408.55466272947</v>
      </c>
      <c r="T370">
        <f t="shared" si="973"/>
        <v>164.40855466272947</v>
      </c>
    </row>
    <row r="371" spans="1:20" x14ac:dyDescent="0.25">
      <c r="A371" s="5">
        <v>44222</v>
      </c>
      <c r="B371">
        <v>8.3341000000000005E-3</v>
      </c>
      <c r="C371">
        <v>8.4615000000000003E-3</v>
      </c>
      <c r="D371">
        <v>7.9523000000000007E-3</v>
      </c>
      <c r="E371">
        <v>8.2471999999999997E-3</v>
      </c>
      <c r="F371">
        <v>719489035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0.15828750981932138</v>
      </c>
      <c r="Q371">
        <f t="shared" si="970"/>
        <v>113886127.69245656</v>
      </c>
      <c r="R371">
        <f t="shared" si="971"/>
        <v>17210633644.29837</v>
      </c>
      <c r="S371">
        <f t="shared" si="972"/>
        <v>172106.33644298371</v>
      </c>
      <c r="T371">
        <f t="shared" si="973"/>
        <v>172.10633644298372</v>
      </c>
    </row>
    <row r="372" spans="1:20" x14ac:dyDescent="0.25">
      <c r="A372" s="5">
        <v>44221</v>
      </c>
      <c r="B372">
        <v>8.7206000000000002E-3</v>
      </c>
      <c r="C372">
        <v>8.9172000000000001E-3</v>
      </c>
      <c r="D372">
        <v>8.1794999999999993E-3</v>
      </c>
      <c r="E372">
        <v>8.3508999999999996E-3</v>
      </c>
      <c r="F372">
        <v>998144121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-0.53531245763860602</v>
      </c>
      <c r="Q372">
        <f t="shared" si="970"/>
        <v>-534318982.49003613</v>
      </c>
      <c r="R372">
        <f t="shared" si="971"/>
        <v>17096747516.605915</v>
      </c>
      <c r="S372">
        <f t="shared" si="972"/>
        <v>170967.47516605916</v>
      </c>
      <c r="T372">
        <f t="shared" si="973"/>
        <v>170.96747516605916</v>
      </c>
    </row>
    <row r="373" spans="1:20" x14ac:dyDescent="0.25">
      <c r="A373" s="5">
        <v>44220</v>
      </c>
      <c r="B373">
        <v>8.5821999999999999E-3</v>
      </c>
      <c r="C373">
        <v>8.9671999999999998E-3</v>
      </c>
      <c r="D373">
        <v>8.5000000000000006E-3</v>
      </c>
      <c r="E373">
        <v>8.7135000000000008E-3</v>
      </c>
      <c r="F373">
        <v>901503263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-8.6044520547943038E-2</v>
      </c>
      <c r="Q373">
        <f t="shared" si="970"/>
        <v>-77569416.037241191</v>
      </c>
      <c r="R373">
        <f t="shared" si="971"/>
        <v>17631066499.095951</v>
      </c>
      <c r="S373">
        <f t="shared" si="972"/>
        <v>176310.66499095951</v>
      </c>
      <c r="T373">
        <f t="shared" si="973"/>
        <v>176.31066499095951</v>
      </c>
    </row>
    <row r="374" spans="1:20" x14ac:dyDescent="0.25">
      <c r="A374" s="5">
        <v>44219</v>
      </c>
      <c r="B374">
        <v>8.5091999999999998E-3</v>
      </c>
      <c r="C374">
        <v>8.8324000000000007E-3</v>
      </c>
      <c r="D374">
        <v>8.3499999999999998E-3</v>
      </c>
      <c r="E374">
        <v>8.5778999999999994E-3</v>
      </c>
      <c r="F374">
        <v>718712164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-5.5140961857383028E-2</v>
      </c>
      <c r="Q374">
        <f t="shared" si="970"/>
        <v>-39630480.021561213</v>
      </c>
      <c r="R374">
        <f t="shared" si="971"/>
        <v>17708635915.133194</v>
      </c>
      <c r="S374">
        <f t="shared" si="972"/>
        <v>177086.35915133194</v>
      </c>
      <c r="T374">
        <f t="shared" si="973"/>
        <v>177.08635915133195</v>
      </c>
    </row>
    <row r="375" spans="1:20" x14ac:dyDescent="0.25">
      <c r="A375" s="5">
        <v>44218</v>
      </c>
      <c r="B375">
        <v>8.1580999999999997E-3</v>
      </c>
      <c r="C375">
        <v>8.7708000000000005E-3</v>
      </c>
      <c r="D375">
        <v>7.5639000000000001E-3</v>
      </c>
      <c r="E375">
        <v>8.5074999999999994E-3</v>
      </c>
      <c r="F375">
        <v>1152693965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0.56367553235562029</v>
      </c>
      <c r="Q375">
        <f t="shared" si="970"/>
        <v>649745384.36448574</v>
      </c>
      <c r="R375">
        <f t="shared" si="971"/>
        <v>17748266395.154755</v>
      </c>
      <c r="S375">
        <f t="shared" si="972"/>
        <v>177482.66395154755</v>
      </c>
      <c r="T375">
        <f t="shared" si="973"/>
        <v>177.48266395154755</v>
      </c>
    </row>
    <row r="376" spans="1:20" x14ac:dyDescent="0.25">
      <c r="A376" s="5">
        <v>44217</v>
      </c>
      <c r="B376">
        <v>9.0588999999999999E-3</v>
      </c>
      <c r="C376">
        <v>9.1000000000000004E-3</v>
      </c>
      <c r="D376">
        <v>8.0301000000000001E-3</v>
      </c>
      <c r="E376">
        <v>8.1580999999999997E-3</v>
      </c>
      <c r="F376">
        <v>1237702943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-0.76072530143004091</v>
      </c>
      <c r="Q376">
        <f t="shared" si="970"/>
        <v>-941551944.39452374</v>
      </c>
      <c r="R376">
        <f t="shared" si="971"/>
        <v>17098521010.790268</v>
      </c>
      <c r="S376">
        <f t="shared" si="972"/>
        <v>170985.21010790268</v>
      </c>
      <c r="T376">
        <f t="shared" si="973"/>
        <v>170.98521010790267</v>
      </c>
    </row>
    <row r="377" spans="1:20" x14ac:dyDescent="0.25">
      <c r="A377" s="5">
        <v>44216</v>
      </c>
      <c r="B377">
        <v>9.0428000000000001E-3</v>
      </c>
      <c r="C377">
        <v>9.1439999999999994E-3</v>
      </c>
      <c r="D377">
        <v>8.5000000000000006E-3</v>
      </c>
      <c r="E377">
        <v>9.0486999999999998E-3</v>
      </c>
      <c r="F377">
        <v>1162054114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0.70403726708074621</v>
      </c>
      <c r="Q377">
        <f t="shared" si="970"/>
        <v>818129402.62049794</v>
      </c>
      <c r="R377">
        <f t="shared" si="971"/>
        <v>18040072955.184792</v>
      </c>
      <c r="S377">
        <f t="shared" si="972"/>
        <v>180400.72955184791</v>
      </c>
      <c r="T377">
        <f t="shared" si="973"/>
        <v>180.40072955184792</v>
      </c>
    </row>
    <row r="378" spans="1:20" x14ac:dyDescent="0.25">
      <c r="A378" s="5">
        <v>44215</v>
      </c>
      <c r="B378">
        <v>9.1781999999999992E-3</v>
      </c>
      <c r="C378">
        <v>9.6757000000000006E-3</v>
      </c>
      <c r="D378">
        <v>8.9599999999999992E-3</v>
      </c>
      <c r="E378">
        <v>9.0428000000000001E-3</v>
      </c>
      <c r="F378">
        <v>1749440421</v>
      </c>
      <c r="G378">
        <v>0</v>
      </c>
      <c r="L378" t="s">
        <v>8</v>
      </c>
      <c r="M378" t="s">
        <v>7</v>
      </c>
      <c r="N378" t="s">
        <v>8</v>
      </c>
      <c r="P378">
        <f t="shared" si="969"/>
        <v>-0.76861813609053864</v>
      </c>
      <c r="Q378">
        <f t="shared" si="970"/>
        <v>-1344651635.5904672</v>
      </c>
      <c r="R378">
        <f t="shared" si="971"/>
        <v>17221943552.564293</v>
      </c>
      <c r="S378">
        <f t="shared" si="972"/>
        <v>172219.43552564294</v>
      </c>
      <c r="T378">
        <f t="shared" si="973"/>
        <v>172.21943552564295</v>
      </c>
    </row>
    <row r="379" spans="1:20" x14ac:dyDescent="0.25">
      <c r="A379" s="5">
        <v>44214</v>
      </c>
      <c r="B379">
        <v>9.0986999999999995E-3</v>
      </c>
      <c r="C379">
        <v>9.3200000000000002E-3</v>
      </c>
      <c r="D379">
        <v>8.9350000000000002E-3</v>
      </c>
      <c r="E379">
        <v>9.1781999999999992E-3</v>
      </c>
      <c r="F379">
        <v>1156154741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0.26337662337661827</v>
      </c>
      <c r="Q379">
        <f t="shared" si="970"/>
        <v>304504131.78544861</v>
      </c>
      <c r="R379">
        <f t="shared" si="971"/>
        <v>18566595188.154758</v>
      </c>
      <c r="S379">
        <f t="shared" si="972"/>
        <v>185665.95188154757</v>
      </c>
      <c r="T379">
        <f t="shared" si="973"/>
        <v>185.66595188154758</v>
      </c>
    </row>
    <row r="380" spans="1:20" x14ac:dyDescent="0.25">
      <c r="A380" s="5">
        <v>44213</v>
      </c>
      <c r="B380">
        <v>9.2373999999999998E-3</v>
      </c>
      <c r="C380">
        <v>9.3956999999999999E-3</v>
      </c>
      <c r="D380">
        <v>8.7790000000000003E-3</v>
      </c>
      <c r="E380">
        <v>9.0986999999999995E-3</v>
      </c>
      <c r="F380">
        <v>1438377582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3.6808821144801003E-2</v>
      </c>
      <c r="Q380">
        <f t="shared" si="970"/>
        <v>52944983.154529341</v>
      </c>
      <c r="R380">
        <f t="shared" si="971"/>
        <v>18262091056.369308</v>
      </c>
      <c r="S380">
        <f t="shared" si="972"/>
        <v>182620.91056369309</v>
      </c>
      <c r="T380">
        <f t="shared" si="973"/>
        <v>182.62091056369309</v>
      </c>
    </row>
    <row r="381" spans="1:20" x14ac:dyDescent="0.25">
      <c r="A381" s="5">
        <v>44212</v>
      </c>
      <c r="B381">
        <v>9.3568000000000002E-3</v>
      </c>
      <c r="C381">
        <v>9.5674999999999996E-3</v>
      </c>
      <c r="D381">
        <v>9.0726999999999995E-3</v>
      </c>
      <c r="E381">
        <v>9.2373999999999998E-3</v>
      </c>
      <c r="F381">
        <v>1640096206</v>
      </c>
      <c r="G381">
        <v>0</v>
      </c>
      <c r="L381" t="s">
        <v>8</v>
      </c>
      <c r="M381" t="s">
        <v>7</v>
      </c>
      <c r="N381" t="s">
        <v>8</v>
      </c>
      <c r="P381">
        <f t="shared" si="969"/>
        <v>-0.33427647534357224</v>
      </c>
      <c r="Q381">
        <f t="shared" si="970"/>
        <v>-548245578.96604538</v>
      </c>
      <c r="R381">
        <f t="shared" si="971"/>
        <v>18209146073.214779</v>
      </c>
      <c r="S381">
        <f t="shared" si="972"/>
        <v>182091.4607321478</v>
      </c>
      <c r="T381">
        <f t="shared" si="973"/>
        <v>182.09146073214779</v>
      </c>
    </row>
    <row r="382" spans="1:20" x14ac:dyDescent="0.25">
      <c r="A382" s="5">
        <v>44211</v>
      </c>
      <c r="B382">
        <v>9.3930999999999997E-3</v>
      </c>
      <c r="C382">
        <v>9.8443000000000003E-3</v>
      </c>
      <c r="D382">
        <v>8.3122999999999999E-3</v>
      </c>
      <c r="E382">
        <v>9.3524999999999997E-3</v>
      </c>
      <c r="F382">
        <v>3236586057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0.35796344647519523</v>
      </c>
      <c r="Q382">
        <f t="shared" si="970"/>
        <v>1158579499.7772827</v>
      </c>
      <c r="R382">
        <f t="shared" si="971"/>
        <v>18757391652.180824</v>
      </c>
      <c r="S382">
        <f t="shared" si="972"/>
        <v>187573.91652180825</v>
      </c>
      <c r="T382">
        <f t="shared" si="973"/>
        <v>187.57391652180826</v>
      </c>
    </row>
    <row r="383" spans="1:20" x14ac:dyDescent="0.25">
      <c r="A383" s="5">
        <v>44210</v>
      </c>
      <c r="B383">
        <v>8.6789999999999992E-3</v>
      </c>
      <c r="C383">
        <v>1.01E-2</v>
      </c>
      <c r="D383">
        <v>8.3105000000000002E-3</v>
      </c>
      <c r="E383">
        <v>9.3907000000000001E-3</v>
      </c>
      <c r="F383">
        <v>4000190243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0.20726459905001426</v>
      </c>
      <c r="Q383">
        <f t="shared" si="970"/>
        <v>829097826.83917415</v>
      </c>
      <c r="R383">
        <f t="shared" si="971"/>
        <v>17598812152.403542</v>
      </c>
      <c r="S383">
        <f t="shared" si="972"/>
        <v>175988.12152403541</v>
      </c>
      <c r="T383">
        <f t="shared" si="973"/>
        <v>175.98812152403542</v>
      </c>
    </row>
    <row r="384" spans="1:20" x14ac:dyDescent="0.25">
      <c r="A384" s="5">
        <v>44209</v>
      </c>
      <c r="B384">
        <v>8.0806000000000003E-3</v>
      </c>
      <c r="C384">
        <v>8.6999999999999994E-3</v>
      </c>
      <c r="D384">
        <v>7.77E-3</v>
      </c>
      <c r="E384">
        <v>8.6738000000000006E-3</v>
      </c>
      <c r="F384">
        <v>1818357046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0.94365591397849713</v>
      </c>
      <c r="Q384">
        <f t="shared" si="970"/>
        <v>1715903380.1823702</v>
      </c>
      <c r="R384">
        <f t="shared" si="971"/>
        <v>16769714325.564369</v>
      </c>
      <c r="S384">
        <f t="shared" si="972"/>
        <v>167697.14325564369</v>
      </c>
      <c r="T384">
        <f t="shared" si="973"/>
        <v>167.69714325564368</v>
      </c>
    </row>
    <row r="385" spans="1:20" x14ac:dyDescent="0.25">
      <c r="A385" s="5">
        <v>44208</v>
      </c>
      <c r="B385">
        <v>8.8103999999999995E-3</v>
      </c>
      <c r="C385">
        <v>9.1394000000000006E-3</v>
      </c>
      <c r="D385">
        <v>7.8216999999999991E-3</v>
      </c>
      <c r="E385">
        <v>8.0806999999999997E-3</v>
      </c>
      <c r="F385">
        <v>2526092815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-0.60689079456628936</v>
      </c>
      <c r="Q385">
        <f t="shared" si="970"/>
        <v>-1533062475.6435447</v>
      </c>
      <c r="R385">
        <f t="shared" si="971"/>
        <v>15053810945.381998</v>
      </c>
      <c r="S385">
        <f t="shared" si="972"/>
        <v>150538.10945381998</v>
      </c>
      <c r="T385">
        <f t="shared" si="973"/>
        <v>150.53810945381997</v>
      </c>
    </row>
    <row r="386" spans="1:20" x14ac:dyDescent="0.25">
      <c r="A386" s="5">
        <v>44207</v>
      </c>
      <c r="B386">
        <v>9.8162000000000006E-3</v>
      </c>
      <c r="C386">
        <v>9.8455000000000001E-3</v>
      </c>
      <c r="D386">
        <v>6.7093999999999999E-3</v>
      </c>
      <c r="E386">
        <v>8.8325999999999995E-3</v>
      </c>
      <c r="F386">
        <v>5827520561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0.35403845540639611</v>
      </c>
      <c r="Q386">
        <f t="shared" si="970"/>
        <v>2063166378.265455</v>
      </c>
      <c r="R386">
        <f t="shared" si="971"/>
        <v>16586873421.025543</v>
      </c>
      <c r="S386">
        <f t="shared" si="972"/>
        <v>165868.73421025544</v>
      </c>
      <c r="T386">
        <f t="shared" si="973"/>
        <v>165.86873421025544</v>
      </c>
    </row>
    <row r="387" spans="1:20" x14ac:dyDescent="0.25">
      <c r="A387" s="5">
        <v>44206</v>
      </c>
      <c r="B387">
        <v>1.0189E-2</v>
      </c>
      <c r="C387">
        <v>1.09155E-2</v>
      </c>
      <c r="D387">
        <v>8.9534000000000002E-3</v>
      </c>
      <c r="E387">
        <v>9.8200000000000006E-3</v>
      </c>
      <c r="F387">
        <v>3113405972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-0.116660720656439</v>
      </c>
      <c r="Q387">
        <f t="shared" si="970"/>
        <v>-363212184.38958091</v>
      </c>
      <c r="R387">
        <f t="shared" si="971"/>
        <v>14523707042.760088</v>
      </c>
      <c r="S387">
        <f t="shared" si="972"/>
        <v>145237.07042760088</v>
      </c>
      <c r="T387">
        <f t="shared" si="973"/>
        <v>145.23707042760088</v>
      </c>
    </row>
    <row r="388" spans="1:20" x14ac:dyDescent="0.25">
      <c r="A388" s="5">
        <v>44205</v>
      </c>
      <c r="B388">
        <v>9.7474999999999992E-3</v>
      </c>
      <c r="C388">
        <v>1.0789999999999999E-2</v>
      </c>
      <c r="D388">
        <v>9.6486000000000002E-3</v>
      </c>
      <c r="E388">
        <v>1.0178899999999999E-2</v>
      </c>
      <c r="F388">
        <v>3706408260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-7.0790257578413118E-2</v>
      </c>
      <c r="Q388">
        <f t="shared" si="970"/>
        <v>-262377595.41615799</v>
      </c>
      <c r="R388">
        <f t="shared" si="971"/>
        <v>14886919227.14967</v>
      </c>
      <c r="S388">
        <f t="shared" si="972"/>
        <v>148869.19227149669</v>
      </c>
      <c r="T388">
        <f t="shared" si="973"/>
        <v>148.8691922714967</v>
      </c>
    </row>
    <row r="389" spans="1:20" x14ac:dyDescent="0.25">
      <c r="A389" s="5">
        <v>44204</v>
      </c>
      <c r="B389">
        <v>9.7517000000000003E-3</v>
      </c>
      <c r="C389">
        <v>1.0318000000000001E-2</v>
      </c>
      <c r="D389">
        <v>8.8047000000000004E-3</v>
      </c>
      <c r="E389">
        <v>9.7400000000000004E-3</v>
      </c>
      <c r="F389">
        <v>2971766597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0.23610652217009154</v>
      </c>
      <c r="Q389">
        <f t="shared" si="970"/>
        <v>701653475.91891801</v>
      </c>
      <c r="R389">
        <f t="shared" si="971"/>
        <v>15149296822.565828</v>
      </c>
      <c r="S389">
        <f t="shared" si="972"/>
        <v>151492.96822565829</v>
      </c>
      <c r="T389">
        <f t="shared" si="973"/>
        <v>151.4929682256583</v>
      </c>
    </row>
    <row r="390" spans="1:20" x14ac:dyDescent="0.25">
      <c r="A390" s="5">
        <v>44203</v>
      </c>
      <c r="B390">
        <v>1.0418699999999999E-2</v>
      </c>
      <c r="C390">
        <v>1.05735E-2</v>
      </c>
      <c r="D390">
        <v>8.7998999999999994E-3</v>
      </c>
      <c r="E390">
        <v>9.7438999999999998E-3</v>
      </c>
      <c r="F390">
        <v>3523998014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6.4501578709968768E-2</v>
      </c>
      <c r="Q390">
        <f t="shared" ref="Q390:Q453" si="975">F390*P390</f>
        <v>227303435.27379462</v>
      </c>
      <c r="R390">
        <f t="shared" ref="R390:R453" si="976">R391+Q390</f>
        <v>14447643346.64691</v>
      </c>
      <c r="S390">
        <f t="shared" ref="S390:S453" si="977">R390/100000</f>
        <v>144476.43346646908</v>
      </c>
      <c r="T390">
        <f t="shared" ref="T390:T453" si="978">S390/1000</f>
        <v>144.47643346646908</v>
      </c>
    </row>
    <row r="391" spans="1:20" x14ac:dyDescent="0.25">
      <c r="A391" s="5">
        <v>44202</v>
      </c>
      <c r="B391">
        <v>9.9770999999999992E-3</v>
      </c>
      <c r="C391">
        <v>1.0999999999999999E-2</v>
      </c>
      <c r="D391">
        <v>9.5520999999999991E-3</v>
      </c>
      <c r="E391">
        <v>1.042E-2</v>
      </c>
      <c r="F391">
        <v>6108894506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0.19883969887423328</v>
      </c>
      <c r="Q391">
        <f t="shared" si="975"/>
        <v>1214690744.027498</v>
      </c>
      <c r="R391">
        <f t="shared" si="976"/>
        <v>14220339911.373116</v>
      </c>
      <c r="S391">
        <f t="shared" si="977"/>
        <v>142203.39911373117</v>
      </c>
      <c r="T391">
        <f t="shared" si="978"/>
        <v>142.20339911373117</v>
      </c>
    </row>
    <row r="392" spans="1:20" x14ac:dyDescent="0.25">
      <c r="A392" s="5">
        <v>44201</v>
      </c>
      <c r="B392">
        <v>9.7721000000000006E-3</v>
      </c>
      <c r="C392">
        <v>1.02822E-2</v>
      </c>
      <c r="D392">
        <v>8.8500999999999996E-3</v>
      </c>
      <c r="E392">
        <v>9.9699999999999997E-3</v>
      </c>
      <c r="F392">
        <v>5427135672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0.56399692758885522</v>
      </c>
      <c r="Q392">
        <f t="shared" si="975"/>
        <v>3060887844.6158772</v>
      </c>
      <c r="R392">
        <f t="shared" si="976"/>
        <v>13005649167.345617</v>
      </c>
      <c r="S392">
        <f t="shared" si="977"/>
        <v>130056.49167345617</v>
      </c>
      <c r="T392">
        <f t="shared" si="978"/>
        <v>130.05649167345618</v>
      </c>
    </row>
    <row r="393" spans="1:20" x14ac:dyDescent="0.25">
      <c r="A393" s="5">
        <v>44200</v>
      </c>
      <c r="B393">
        <v>9.8188000000000008E-3</v>
      </c>
      <c r="C393">
        <v>1.15198E-2</v>
      </c>
      <c r="D393">
        <v>7.6E-3</v>
      </c>
      <c r="E393">
        <v>9.7613000000000005E-3</v>
      </c>
      <c r="F393">
        <v>14328029441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0.10276034491555715</v>
      </c>
      <c r="Q393">
        <f t="shared" si="975"/>
        <v>1472353247.3174174</v>
      </c>
      <c r="R393">
        <f t="shared" si="976"/>
        <v>9944761322.7297401</v>
      </c>
      <c r="S393">
        <f t="shared" si="977"/>
        <v>99447.613227297406</v>
      </c>
      <c r="T393">
        <f t="shared" si="978"/>
        <v>99.44761322729741</v>
      </c>
    </row>
    <row r="394" spans="1:20" x14ac:dyDescent="0.25">
      <c r="A394" s="5">
        <v>44199</v>
      </c>
      <c r="B394">
        <v>1.0524499999999999E-2</v>
      </c>
      <c r="C394">
        <v>1.405E-2</v>
      </c>
      <c r="D394">
        <v>9.2692999999999994E-3</v>
      </c>
      <c r="E394">
        <v>9.8209000000000005E-3</v>
      </c>
      <c r="F394">
        <v>29648808916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-0.76923881439956454</v>
      </c>
      <c r="Q394">
        <f t="shared" si="975"/>
        <v>-22807014618.90308</v>
      </c>
      <c r="R394">
        <f t="shared" si="976"/>
        <v>8472408075.412323</v>
      </c>
      <c r="S394">
        <f t="shared" si="977"/>
        <v>84724.080754123235</v>
      </c>
      <c r="T394">
        <f t="shared" si="978"/>
        <v>84.724080754123236</v>
      </c>
    </row>
    <row r="395" spans="1:20" x14ac:dyDescent="0.25">
      <c r="A395" s="5">
        <v>44198</v>
      </c>
      <c r="B395">
        <v>5.6782999999999998E-3</v>
      </c>
      <c r="C395">
        <v>1.3988E-2</v>
      </c>
      <c r="D395">
        <v>5.5240000000000003E-3</v>
      </c>
      <c r="E395">
        <v>1.05264E-2</v>
      </c>
      <c r="F395">
        <v>46333347255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0.18204158790170125</v>
      </c>
      <c r="Q395">
        <f t="shared" si="975"/>
        <v>8434596107.1011305</v>
      </c>
      <c r="R395">
        <f t="shared" si="976"/>
        <v>31279422694.315403</v>
      </c>
      <c r="S395">
        <f t="shared" si="977"/>
        <v>312794.226943154</v>
      </c>
      <c r="T395">
        <f t="shared" si="978"/>
        <v>312.794226943154</v>
      </c>
    </row>
    <row r="396" spans="1:20" x14ac:dyDescent="0.25">
      <c r="A396" s="5">
        <v>44197</v>
      </c>
      <c r="B396">
        <v>4.6715999999999997E-3</v>
      </c>
      <c r="C396">
        <v>5.6969999999999998E-3</v>
      </c>
      <c r="D396">
        <v>4.6010000000000001E-3</v>
      </c>
      <c r="E396">
        <v>5.6800000000000002E-3</v>
      </c>
      <c r="F396">
        <v>3019717963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0.96897810218978164</v>
      </c>
      <c r="Q396">
        <f t="shared" si="975"/>
        <v>2926040580.9361334</v>
      </c>
      <c r="R396">
        <f t="shared" si="976"/>
        <v>22844826587.214272</v>
      </c>
      <c r="S396">
        <f t="shared" si="977"/>
        <v>228448.26587214271</v>
      </c>
      <c r="T396">
        <f t="shared" si="978"/>
        <v>228.44826587214271</v>
      </c>
    </row>
    <row r="397" spans="1:20" x14ac:dyDescent="0.25">
      <c r="A397" s="5">
        <v>44196</v>
      </c>
      <c r="B397">
        <v>4.6251E-3</v>
      </c>
      <c r="C397">
        <v>4.7593000000000002E-3</v>
      </c>
      <c r="D397">
        <v>4.5199999999999997E-3</v>
      </c>
      <c r="E397">
        <v>4.6709000000000004E-3</v>
      </c>
      <c r="F397">
        <v>929996060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0.26117843710823568</v>
      </c>
      <c r="Q397">
        <f t="shared" si="975"/>
        <v>242894917.46761698</v>
      </c>
      <c r="R397">
        <f t="shared" si="976"/>
        <v>19918786006.278137</v>
      </c>
      <c r="S397">
        <f t="shared" si="977"/>
        <v>199187.86006278137</v>
      </c>
      <c r="T397">
        <f t="shared" si="978"/>
        <v>199.18786006278137</v>
      </c>
    </row>
    <row r="398" spans="1:20" x14ac:dyDescent="0.25">
      <c r="A398" s="5">
        <v>44195</v>
      </c>
      <c r="B398">
        <v>4.4901000000000003E-3</v>
      </c>
      <c r="C398">
        <v>4.7400000000000003E-3</v>
      </c>
      <c r="D398">
        <v>4.4165000000000003E-3</v>
      </c>
      <c r="E398">
        <v>4.6251E-3</v>
      </c>
      <c r="F398">
        <v>1118987751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0.28964451313755646</v>
      </c>
      <c r="Q398">
        <f t="shared" si="975"/>
        <v>324108662.34528428</v>
      </c>
      <c r="R398">
        <f t="shared" si="976"/>
        <v>19675891088.81052</v>
      </c>
      <c r="S398">
        <f t="shared" si="977"/>
        <v>196758.91088810519</v>
      </c>
      <c r="T398">
        <f t="shared" si="978"/>
        <v>196.75891088810519</v>
      </c>
    </row>
    <row r="399" spans="1:20" x14ac:dyDescent="0.25">
      <c r="A399" s="5">
        <v>44194</v>
      </c>
      <c r="B399">
        <v>4.6014999999999997E-3</v>
      </c>
      <c r="C399">
        <v>4.6294999999999999E-3</v>
      </c>
      <c r="D399">
        <v>4.2411999999999997E-3</v>
      </c>
      <c r="E399">
        <v>4.5012000000000003E-3</v>
      </c>
      <c r="F399">
        <v>1071755865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0.33917074426989696</v>
      </c>
      <c r="Q399">
        <f t="shared" si="975"/>
        <v>363508234.40767723</v>
      </c>
      <c r="R399">
        <f t="shared" si="976"/>
        <v>19351782426.465237</v>
      </c>
      <c r="S399">
        <f t="shared" si="977"/>
        <v>193517.82426465236</v>
      </c>
      <c r="T399">
        <f t="shared" si="978"/>
        <v>193.51782426465235</v>
      </c>
    </row>
    <row r="400" spans="1:20" x14ac:dyDescent="0.25">
      <c r="A400" s="5">
        <v>44193</v>
      </c>
      <c r="B400">
        <v>4.5472000000000004E-3</v>
      </c>
      <c r="C400">
        <v>4.7355000000000001E-3</v>
      </c>
      <c r="D400">
        <v>4.4999999999999997E-3</v>
      </c>
      <c r="E400">
        <v>4.6014999999999997E-3</v>
      </c>
      <c r="F400">
        <v>1074600031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-0.13800424628450253</v>
      </c>
      <c r="Q400">
        <f t="shared" si="975"/>
        <v>-148299367.33545804</v>
      </c>
      <c r="R400">
        <f t="shared" si="976"/>
        <v>18988274192.05756</v>
      </c>
      <c r="S400">
        <f t="shared" si="977"/>
        <v>189882.74192057559</v>
      </c>
      <c r="T400">
        <f t="shared" si="978"/>
        <v>189.8827419205756</v>
      </c>
    </row>
    <row r="401" spans="1:20" x14ac:dyDescent="0.25">
      <c r="A401" s="5">
        <v>44192</v>
      </c>
      <c r="B401">
        <v>4.5129999999999997E-3</v>
      </c>
      <c r="C401">
        <v>4.8231000000000003E-3</v>
      </c>
      <c r="D401">
        <v>4.4000000000000003E-3</v>
      </c>
      <c r="E401">
        <v>4.5469999999999998E-3</v>
      </c>
      <c r="F401">
        <v>1843249775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-0.3051288111557573</v>
      </c>
      <c r="Q401">
        <f t="shared" si="975"/>
        <v>-562428612.50886714</v>
      </c>
      <c r="R401">
        <f t="shared" si="976"/>
        <v>19136573559.393017</v>
      </c>
      <c r="S401">
        <f t="shared" si="977"/>
        <v>191365.73559393018</v>
      </c>
      <c r="T401">
        <f t="shared" si="978"/>
        <v>191.36573559393017</v>
      </c>
    </row>
    <row r="402" spans="1:20" x14ac:dyDescent="0.25">
      <c r="A402" s="5">
        <v>44191</v>
      </c>
      <c r="B402">
        <v>4.5607E-3</v>
      </c>
      <c r="C402">
        <v>4.6879000000000001E-3</v>
      </c>
      <c r="D402">
        <v>4.3962999999999997E-3</v>
      </c>
      <c r="E402">
        <v>4.5130999999999999E-3</v>
      </c>
      <c r="F402">
        <v>1701026447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-0.19890260631001311</v>
      </c>
      <c r="Q402">
        <f t="shared" si="975"/>
        <v>-338338593.71056139</v>
      </c>
      <c r="R402">
        <f t="shared" si="976"/>
        <v>19699002171.901882</v>
      </c>
      <c r="S402">
        <f t="shared" si="977"/>
        <v>196990.02171901881</v>
      </c>
      <c r="T402">
        <f t="shared" si="978"/>
        <v>196.99002171901881</v>
      </c>
    </row>
    <row r="403" spans="1:20" x14ac:dyDescent="0.25">
      <c r="A403" s="5">
        <v>44190</v>
      </c>
      <c r="B403">
        <v>4.5753E-3</v>
      </c>
      <c r="C403">
        <v>4.6430000000000004E-3</v>
      </c>
      <c r="D403">
        <v>4.3661000000000004E-3</v>
      </c>
      <c r="E403">
        <v>4.5548999999999997E-3</v>
      </c>
      <c r="F403">
        <v>1664864616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0.36366919465510539</v>
      </c>
      <c r="Q403">
        <f t="shared" si="975"/>
        <v>605459974.11050129</v>
      </c>
      <c r="R403">
        <f t="shared" si="976"/>
        <v>20037340765.612442</v>
      </c>
      <c r="S403">
        <f t="shared" si="977"/>
        <v>200373.40765612441</v>
      </c>
      <c r="T403">
        <f t="shared" si="978"/>
        <v>200.37340765612441</v>
      </c>
    </row>
    <row r="404" spans="1:20" x14ac:dyDescent="0.25">
      <c r="A404" s="5">
        <v>44189</v>
      </c>
      <c r="B404">
        <v>3.7561000000000001E-3</v>
      </c>
      <c r="C404">
        <v>4.5998999999999996E-3</v>
      </c>
      <c r="D404">
        <v>3.6598999999999998E-3</v>
      </c>
      <c r="E404">
        <v>4.5731000000000001E-3</v>
      </c>
      <c r="F404">
        <v>1978566747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0.94297872340425626</v>
      </c>
      <c r="Q404">
        <f t="shared" si="975"/>
        <v>1865746345.2561722</v>
      </c>
      <c r="R404">
        <f t="shared" si="976"/>
        <v>19431880791.501942</v>
      </c>
      <c r="S404">
        <f t="shared" si="977"/>
        <v>194318.80791501942</v>
      </c>
      <c r="T404">
        <f t="shared" si="978"/>
        <v>194.31880791501942</v>
      </c>
    </row>
    <row r="405" spans="1:20" x14ac:dyDescent="0.25">
      <c r="A405" s="5">
        <v>44188</v>
      </c>
      <c r="B405">
        <v>4.5167999999999996E-3</v>
      </c>
      <c r="C405">
        <v>4.7999999999999996E-3</v>
      </c>
      <c r="D405">
        <v>3.6229999999999999E-3</v>
      </c>
      <c r="E405">
        <v>3.7448999999999998E-3</v>
      </c>
      <c r="F405">
        <v>2674249457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-0.79286321155480055</v>
      </c>
      <c r="Q405">
        <f t="shared" si="975"/>
        <v>-2120314012.9757016</v>
      </c>
      <c r="R405">
        <f t="shared" si="976"/>
        <v>17566134446.24577</v>
      </c>
      <c r="S405">
        <f t="shared" si="977"/>
        <v>175661.3444624577</v>
      </c>
      <c r="T405">
        <f t="shared" si="978"/>
        <v>175.66134446245769</v>
      </c>
    </row>
    <row r="406" spans="1:20" x14ac:dyDescent="0.25">
      <c r="A406" s="5">
        <v>44187</v>
      </c>
      <c r="B406">
        <v>4.7746999999999998E-3</v>
      </c>
      <c r="C406">
        <v>4.8478999999999996E-3</v>
      </c>
      <c r="D406">
        <v>4.3299999999999996E-3</v>
      </c>
      <c r="E406">
        <v>4.5158999999999998E-3</v>
      </c>
      <c r="F406">
        <v>2679851524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-0.28210079165862079</v>
      </c>
      <c r="Q406">
        <f t="shared" si="975"/>
        <v>-755988236.44796145</v>
      </c>
      <c r="R406">
        <f t="shared" si="976"/>
        <v>19686448459.22147</v>
      </c>
      <c r="S406">
        <f t="shared" si="977"/>
        <v>196864.48459221469</v>
      </c>
      <c r="T406">
        <f t="shared" si="978"/>
        <v>196.86448459221469</v>
      </c>
    </row>
    <row r="407" spans="1:20" x14ac:dyDescent="0.25">
      <c r="A407" s="5">
        <v>44186</v>
      </c>
      <c r="B407">
        <v>4.6404999999999997E-3</v>
      </c>
      <c r="C407">
        <v>5.4999999999999997E-3</v>
      </c>
      <c r="D407">
        <v>4.2550000000000001E-3</v>
      </c>
      <c r="E407">
        <v>4.7784000000000004E-3</v>
      </c>
      <c r="F407">
        <v>10363901378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-0.1591967871485937</v>
      </c>
      <c r="Q407">
        <f t="shared" si="975"/>
        <v>-1649899801.7024829</v>
      </c>
      <c r="R407">
        <f t="shared" si="976"/>
        <v>20442436695.66943</v>
      </c>
      <c r="S407">
        <f t="shared" si="977"/>
        <v>204424.36695669428</v>
      </c>
      <c r="T407">
        <f t="shared" si="978"/>
        <v>204.42436695669429</v>
      </c>
    </row>
    <row r="408" spans="1:20" x14ac:dyDescent="0.25">
      <c r="A408" s="5">
        <v>44185</v>
      </c>
      <c r="B408">
        <v>3.9264E-3</v>
      </c>
      <c r="C408">
        <v>4.7495999999999997E-3</v>
      </c>
      <c r="D408">
        <v>3.8E-3</v>
      </c>
      <c r="E408">
        <v>4.6381E-3</v>
      </c>
      <c r="F408">
        <v>10007395897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0.76516427969671508</v>
      </c>
      <c r="Q408">
        <f t="shared" si="975"/>
        <v>7657301873.1678667</v>
      </c>
      <c r="R408">
        <f t="shared" si="976"/>
        <v>22092336497.371914</v>
      </c>
      <c r="S408">
        <f t="shared" si="977"/>
        <v>220923.36497371914</v>
      </c>
      <c r="T408">
        <f t="shared" si="978"/>
        <v>220.92336497371915</v>
      </c>
    </row>
    <row r="409" spans="1:20" x14ac:dyDescent="0.25">
      <c r="A409" s="5">
        <v>44184</v>
      </c>
      <c r="B409">
        <v>3.8646000000000002E-3</v>
      </c>
      <c r="C409">
        <v>4.0378999999999996E-3</v>
      </c>
      <c r="D409">
        <v>3.7951999999999999E-3</v>
      </c>
      <c r="E409">
        <v>3.9290999999999996E-3</v>
      </c>
      <c r="F409">
        <v>1386297504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0.10341985990935193</v>
      </c>
      <c r="Q409">
        <f t="shared" si="975"/>
        <v>143370693.65636423</v>
      </c>
      <c r="R409">
        <f t="shared" si="976"/>
        <v>14435034624.204048</v>
      </c>
      <c r="S409">
        <f t="shared" si="977"/>
        <v>144350.34624204048</v>
      </c>
      <c r="T409">
        <f t="shared" si="978"/>
        <v>144.35034624204047</v>
      </c>
    </row>
    <row r="410" spans="1:20" x14ac:dyDescent="0.25">
      <c r="A410" s="5">
        <v>44183</v>
      </c>
      <c r="B410">
        <v>3.7182000000000001E-3</v>
      </c>
      <c r="C410">
        <v>3.9975999999999996E-3</v>
      </c>
      <c r="D410">
        <v>3.5975E-3</v>
      </c>
      <c r="E410">
        <v>3.8674999999999998E-3</v>
      </c>
      <c r="F410">
        <v>1409796634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0.34966258435391212</v>
      </c>
      <c r="Q410">
        <f t="shared" si="975"/>
        <v>492953134.4578864</v>
      </c>
      <c r="R410">
        <f t="shared" si="976"/>
        <v>14291663930.547684</v>
      </c>
      <c r="S410">
        <f t="shared" si="977"/>
        <v>142916.63930547683</v>
      </c>
      <c r="T410">
        <f t="shared" si="978"/>
        <v>142.91663930547682</v>
      </c>
    </row>
    <row r="411" spans="1:20" x14ac:dyDescent="0.25">
      <c r="A411" s="5">
        <v>44182</v>
      </c>
      <c r="B411">
        <v>3.4179000000000002E-3</v>
      </c>
      <c r="C411">
        <v>4.1457999999999998E-3</v>
      </c>
      <c r="D411">
        <v>3.4039999999999999E-3</v>
      </c>
      <c r="E411">
        <v>3.722E-3</v>
      </c>
      <c r="F411">
        <v>3421588199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-0.14262604475599847</v>
      </c>
      <c r="Q411">
        <f t="shared" si="975"/>
        <v>-488007591.60717016</v>
      </c>
      <c r="R411">
        <f t="shared" si="976"/>
        <v>13798710796.089798</v>
      </c>
      <c r="S411">
        <f t="shared" si="977"/>
        <v>137987.10796089799</v>
      </c>
      <c r="T411">
        <f t="shared" si="978"/>
        <v>137.98710796089799</v>
      </c>
    </row>
    <row r="412" spans="1:20" x14ac:dyDescent="0.25">
      <c r="A412" s="5">
        <v>44181</v>
      </c>
      <c r="B412">
        <v>3.2073000000000002E-3</v>
      </c>
      <c r="C412">
        <v>3.4448E-3</v>
      </c>
      <c r="D412">
        <v>3.1800000000000001E-3</v>
      </c>
      <c r="E412">
        <v>3.4183E-3</v>
      </c>
      <c r="F412">
        <v>547786094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0.79984894259818695</v>
      </c>
      <c r="Q412">
        <f t="shared" si="975"/>
        <v>438146128.05589104</v>
      </c>
      <c r="R412">
        <f t="shared" si="976"/>
        <v>14286718387.696968</v>
      </c>
      <c r="S412">
        <f t="shared" si="977"/>
        <v>142867.18387696968</v>
      </c>
      <c r="T412">
        <f t="shared" si="978"/>
        <v>142.86718387696968</v>
      </c>
    </row>
    <row r="413" spans="1:20" x14ac:dyDescent="0.25">
      <c r="A413" s="5">
        <v>44180</v>
      </c>
      <c r="B413">
        <v>3.225E-3</v>
      </c>
      <c r="C413">
        <v>3.2515999999999999E-3</v>
      </c>
      <c r="D413">
        <v>3.1611E-3</v>
      </c>
      <c r="E413">
        <v>3.2077999999999998E-3</v>
      </c>
      <c r="F413">
        <v>273863826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3.2044198895024259E-2</v>
      </c>
      <c r="Q413">
        <f t="shared" si="975"/>
        <v>8775746.9104963169</v>
      </c>
      <c r="R413">
        <f t="shared" si="976"/>
        <v>13848572259.641077</v>
      </c>
      <c r="S413">
        <f t="shared" si="977"/>
        <v>138485.72259641078</v>
      </c>
      <c r="T413">
        <f t="shared" si="978"/>
        <v>138.48572259641077</v>
      </c>
    </row>
    <row r="414" spans="1:20" x14ac:dyDescent="0.25">
      <c r="A414" s="5">
        <v>44179</v>
      </c>
      <c r="B414">
        <v>3.2604000000000001E-3</v>
      </c>
      <c r="C414">
        <v>3.2888000000000001E-3</v>
      </c>
      <c r="D414">
        <v>3.1909999999999998E-3</v>
      </c>
      <c r="E414">
        <v>3.2260000000000001E-3</v>
      </c>
      <c r="F414">
        <v>297347285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-0.28425357873210233</v>
      </c>
      <c r="Q414">
        <f t="shared" si="975"/>
        <v>-84522029.887524366</v>
      </c>
      <c r="R414">
        <f t="shared" si="976"/>
        <v>13839796512.730581</v>
      </c>
      <c r="S414">
        <f t="shared" si="977"/>
        <v>138397.96512730583</v>
      </c>
      <c r="T414">
        <f t="shared" si="978"/>
        <v>138.39796512730584</v>
      </c>
    </row>
    <row r="415" spans="1:20" x14ac:dyDescent="0.25">
      <c r="A415" s="5">
        <v>44178</v>
      </c>
      <c r="B415">
        <v>3.1630999999999999E-3</v>
      </c>
      <c r="C415">
        <v>3.2775999999999999E-3</v>
      </c>
      <c r="D415">
        <v>3.1478999999999999E-3</v>
      </c>
      <c r="E415">
        <v>3.2599999999999999E-3</v>
      </c>
      <c r="F415">
        <v>374401350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0.72860447185813415</v>
      </c>
      <c r="Q415">
        <f t="shared" si="975"/>
        <v>272790497.87972242</v>
      </c>
      <c r="R415">
        <f t="shared" si="976"/>
        <v>13924318542.618105</v>
      </c>
      <c r="S415">
        <f t="shared" si="977"/>
        <v>139243.18542618104</v>
      </c>
      <c r="T415">
        <f t="shared" si="978"/>
        <v>139.24318542618104</v>
      </c>
    </row>
    <row r="416" spans="1:20" x14ac:dyDescent="0.25">
      <c r="A416" s="5">
        <v>44177</v>
      </c>
      <c r="B416">
        <v>3.0731999999999999E-3</v>
      </c>
      <c r="C416">
        <v>3.1900000000000001E-3</v>
      </c>
      <c r="D416">
        <v>3.0731999999999999E-3</v>
      </c>
      <c r="E416">
        <v>3.1608999999999999E-3</v>
      </c>
      <c r="F416">
        <v>334526072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0.50171232876712057</v>
      </c>
      <c r="Q416">
        <f t="shared" si="975"/>
        <v>167835854.61643744</v>
      </c>
      <c r="R416">
        <f t="shared" si="976"/>
        <v>13651528044.738382</v>
      </c>
      <c r="S416">
        <f t="shared" si="977"/>
        <v>136515.28044738382</v>
      </c>
      <c r="T416">
        <f t="shared" si="978"/>
        <v>136.51528044738382</v>
      </c>
    </row>
    <row r="417" spans="1:20" x14ac:dyDescent="0.25">
      <c r="A417" s="5">
        <v>44176</v>
      </c>
      <c r="B417">
        <v>3.1091000000000001E-3</v>
      </c>
      <c r="C417">
        <v>3.1170999999999998E-3</v>
      </c>
      <c r="D417">
        <v>2.9968999999999998E-3</v>
      </c>
      <c r="E417">
        <v>3.0731999999999999E-3</v>
      </c>
      <c r="F417">
        <v>328458778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0.26955074875208102</v>
      </c>
      <c r="Q417">
        <f t="shared" si="975"/>
        <v>88536309.544093549</v>
      </c>
      <c r="R417">
        <f t="shared" si="976"/>
        <v>13483692190.121944</v>
      </c>
      <c r="S417">
        <f t="shared" si="977"/>
        <v>134836.92190121944</v>
      </c>
      <c r="T417">
        <f t="shared" si="978"/>
        <v>134.83692190121943</v>
      </c>
    </row>
    <row r="418" spans="1:20" x14ac:dyDescent="0.25">
      <c r="A418" s="5">
        <v>44175</v>
      </c>
      <c r="B418">
        <v>3.1562999999999999E-3</v>
      </c>
      <c r="C418">
        <v>3.1710000000000002E-3</v>
      </c>
      <c r="D418">
        <v>3.0590000000000001E-3</v>
      </c>
      <c r="E418">
        <v>3.1042999999999999E-3</v>
      </c>
      <c r="F418">
        <v>268351654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-0.19107142857143206</v>
      </c>
      <c r="Q418">
        <f t="shared" si="975"/>
        <v>-51274333.889286652</v>
      </c>
      <c r="R418">
        <f t="shared" si="976"/>
        <v>13395155880.57785</v>
      </c>
      <c r="S418">
        <f t="shared" si="977"/>
        <v>133951.55880577851</v>
      </c>
      <c r="T418">
        <f t="shared" si="978"/>
        <v>133.95155880577852</v>
      </c>
    </row>
    <row r="419" spans="1:20" x14ac:dyDescent="0.25">
      <c r="A419" s="5">
        <v>44174</v>
      </c>
      <c r="B419">
        <v>3.1725E-3</v>
      </c>
      <c r="C419">
        <v>3.1851000000000002E-3</v>
      </c>
      <c r="D419">
        <v>3.0037000000000002E-3</v>
      </c>
      <c r="E419">
        <v>3.1562000000000001E-3</v>
      </c>
      <c r="F419">
        <v>441109948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0.68136714443219282</v>
      </c>
      <c r="Q419">
        <f t="shared" si="975"/>
        <v>300557825.64939308</v>
      </c>
      <c r="R419">
        <f t="shared" si="976"/>
        <v>13446430214.467136</v>
      </c>
      <c r="S419">
        <f t="shared" si="977"/>
        <v>134464.30214467135</v>
      </c>
      <c r="T419">
        <f t="shared" si="978"/>
        <v>134.46430214467136</v>
      </c>
    </row>
    <row r="420" spans="1:20" x14ac:dyDescent="0.25">
      <c r="A420" s="5">
        <v>44173</v>
      </c>
      <c r="B420">
        <v>3.336E-3</v>
      </c>
      <c r="C420">
        <v>3.3624000000000002E-3</v>
      </c>
      <c r="D420">
        <v>3.1105E-3</v>
      </c>
      <c r="E420">
        <v>3.1722999999999999E-3</v>
      </c>
      <c r="F420">
        <v>521543481</v>
      </c>
      <c r="G420">
        <v>0</v>
      </c>
      <c r="L420" t="s">
        <v>7</v>
      </c>
      <c r="M420" t="s">
        <v>8</v>
      </c>
      <c r="N420" t="s">
        <v>7</v>
      </c>
      <c r="P420">
        <f t="shared" si="974"/>
        <v>-0.50932909884875088</v>
      </c>
      <c r="Q420">
        <f t="shared" si="975"/>
        <v>-265637271.18817064</v>
      </c>
      <c r="R420">
        <f t="shared" si="976"/>
        <v>13145872388.817743</v>
      </c>
      <c r="S420">
        <f t="shared" si="977"/>
        <v>131458.72388817742</v>
      </c>
      <c r="T420">
        <f t="shared" si="978"/>
        <v>131.45872388817742</v>
      </c>
    </row>
    <row r="421" spans="1:20" x14ac:dyDescent="0.25">
      <c r="A421" s="5">
        <v>44172</v>
      </c>
      <c r="B421">
        <v>3.3880999999999998E-3</v>
      </c>
      <c r="C421">
        <v>3.3985E-3</v>
      </c>
      <c r="D421">
        <v>3.3E-3</v>
      </c>
      <c r="E421">
        <v>3.336E-3</v>
      </c>
      <c r="F421">
        <v>312605787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-0.26903553299492416</v>
      </c>
      <c r="Q421">
        <f t="shared" si="975"/>
        <v>-84102064.522842735</v>
      </c>
      <c r="R421">
        <f t="shared" si="976"/>
        <v>13411509660.005915</v>
      </c>
      <c r="S421">
        <f t="shared" si="977"/>
        <v>134115.09660005916</v>
      </c>
      <c r="T421">
        <f t="shared" si="978"/>
        <v>134.11509660005916</v>
      </c>
    </row>
    <row r="422" spans="1:20" x14ac:dyDescent="0.25">
      <c r="A422" s="5">
        <v>44171</v>
      </c>
      <c r="B422">
        <v>3.392E-3</v>
      </c>
      <c r="C422">
        <v>3.4424E-3</v>
      </c>
      <c r="D422">
        <v>3.3460999999999999E-3</v>
      </c>
      <c r="E422">
        <v>3.3857000000000002E-3</v>
      </c>
      <c r="F422">
        <v>285729554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-0.17757009345793845</v>
      </c>
      <c r="Q422">
        <f t="shared" si="975"/>
        <v>-50737023.607475072</v>
      </c>
      <c r="R422">
        <f t="shared" si="976"/>
        <v>13495611724.528757</v>
      </c>
      <c r="S422">
        <f t="shared" si="977"/>
        <v>134956.11724528758</v>
      </c>
      <c r="T422">
        <f t="shared" si="978"/>
        <v>134.95611724528757</v>
      </c>
    </row>
    <row r="423" spans="1:20" x14ac:dyDescent="0.25">
      <c r="A423" s="5">
        <v>44170</v>
      </c>
      <c r="B423">
        <v>3.2821E-3</v>
      </c>
      <c r="C423">
        <v>3.4153E-3</v>
      </c>
      <c r="D423">
        <v>3.2499999999999999E-3</v>
      </c>
      <c r="E423">
        <v>3.3917000000000001E-3</v>
      </c>
      <c r="F423">
        <v>369424898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0.71445856019358867</v>
      </c>
      <c r="Q423">
        <f t="shared" si="975"/>
        <v>263938780.72474337</v>
      </c>
      <c r="R423">
        <f t="shared" si="976"/>
        <v>13546348748.136232</v>
      </c>
      <c r="S423">
        <f t="shared" si="977"/>
        <v>135463.48748136233</v>
      </c>
      <c r="T423">
        <f t="shared" si="978"/>
        <v>135.46348748136234</v>
      </c>
    </row>
    <row r="424" spans="1:20" x14ac:dyDescent="0.25">
      <c r="A424" s="5">
        <v>44169</v>
      </c>
      <c r="B424">
        <v>3.4229999999999998E-3</v>
      </c>
      <c r="C424">
        <v>3.4483999999999999E-3</v>
      </c>
      <c r="D424">
        <v>3.2705E-3</v>
      </c>
      <c r="E424">
        <v>3.2829999999999999E-3</v>
      </c>
      <c r="F424">
        <v>572169239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-0.85947161326588051</v>
      </c>
      <c r="Q424">
        <f t="shared" si="975"/>
        <v>-491763218.90444118</v>
      </c>
      <c r="R424">
        <f t="shared" si="976"/>
        <v>13282409967.411489</v>
      </c>
      <c r="S424">
        <f t="shared" si="977"/>
        <v>132824.0996741149</v>
      </c>
      <c r="T424">
        <f t="shared" si="978"/>
        <v>132.8240996741149</v>
      </c>
    </row>
    <row r="425" spans="1:20" x14ac:dyDescent="0.25">
      <c r="A425" s="5">
        <v>44168</v>
      </c>
      <c r="B425">
        <v>3.3649999999999999E-3</v>
      </c>
      <c r="C425">
        <v>3.5481000000000002E-3</v>
      </c>
      <c r="D425">
        <v>3.3449999999999999E-3</v>
      </c>
      <c r="E425">
        <v>3.4290000000000002E-3</v>
      </c>
      <c r="F425">
        <v>662685216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-0.17282127031019034</v>
      </c>
      <c r="Q425">
        <f t="shared" si="975"/>
        <v>-114526100.84490287</v>
      </c>
      <c r="R425">
        <f t="shared" si="976"/>
        <v>13774173186.315931</v>
      </c>
      <c r="S425">
        <f t="shared" si="977"/>
        <v>137741.73186315931</v>
      </c>
      <c r="T425">
        <f t="shared" si="978"/>
        <v>137.74173186315932</v>
      </c>
    </row>
    <row r="426" spans="1:20" x14ac:dyDescent="0.25">
      <c r="A426" s="5">
        <v>44167</v>
      </c>
      <c r="B426">
        <v>3.3240000000000001E-3</v>
      </c>
      <c r="C426">
        <v>3.4423000000000001E-3</v>
      </c>
      <c r="D426">
        <v>3.2642000000000001E-3</v>
      </c>
      <c r="E426">
        <v>3.3624000000000002E-3</v>
      </c>
      <c r="F426">
        <v>591501037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0.10275126333520589</v>
      </c>
      <c r="Q426">
        <f t="shared" si="975"/>
        <v>60777478.815834358</v>
      </c>
      <c r="R426">
        <f t="shared" si="976"/>
        <v>13888699287.160833</v>
      </c>
      <c r="S426">
        <f t="shared" si="977"/>
        <v>138886.99287160832</v>
      </c>
      <c r="T426">
        <f t="shared" si="978"/>
        <v>138.88699287160833</v>
      </c>
    </row>
    <row r="427" spans="1:20" x14ac:dyDescent="0.25">
      <c r="A427" s="5">
        <v>44166</v>
      </c>
      <c r="B427">
        <v>3.5596999999999998E-3</v>
      </c>
      <c r="C427">
        <v>3.5799999999999998E-3</v>
      </c>
      <c r="D427">
        <v>3.2276000000000002E-3</v>
      </c>
      <c r="E427">
        <v>3.3211E-3</v>
      </c>
      <c r="F427">
        <v>1033683299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-0.46935300794551693</v>
      </c>
      <c r="Q427">
        <f t="shared" si="975"/>
        <v>-485162365.64869517</v>
      </c>
      <c r="R427">
        <f t="shared" si="976"/>
        <v>13827921808.344999</v>
      </c>
      <c r="S427">
        <f t="shared" si="977"/>
        <v>138279.21808344999</v>
      </c>
      <c r="T427">
        <f t="shared" si="978"/>
        <v>138.27921808344999</v>
      </c>
    </row>
    <row r="428" spans="1:20" x14ac:dyDescent="0.25">
      <c r="A428" s="5">
        <v>44165</v>
      </c>
      <c r="B428">
        <v>3.4426999999999999E-3</v>
      </c>
      <c r="C428">
        <v>3.5955000000000002E-3</v>
      </c>
      <c r="D428">
        <v>3.4001000000000001E-3</v>
      </c>
      <c r="E428">
        <v>3.5609999999999999E-3</v>
      </c>
      <c r="F428">
        <v>847539304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0.64687819856703965</v>
      </c>
      <c r="Q428">
        <f t="shared" si="975"/>
        <v>548254698.18628263</v>
      </c>
      <c r="R428">
        <f t="shared" si="976"/>
        <v>14313084173.993694</v>
      </c>
      <c r="S428">
        <f t="shared" si="977"/>
        <v>143130.84173993694</v>
      </c>
      <c r="T428">
        <f t="shared" si="978"/>
        <v>143.13084173993693</v>
      </c>
    </row>
    <row r="429" spans="1:20" x14ac:dyDescent="0.25">
      <c r="A429" s="5">
        <v>44164</v>
      </c>
      <c r="B429">
        <v>3.3945999999999998E-3</v>
      </c>
      <c r="C429">
        <v>3.5384000000000001E-3</v>
      </c>
      <c r="D429">
        <v>3.3500000000000001E-3</v>
      </c>
      <c r="E429">
        <v>3.4364999999999999E-3</v>
      </c>
      <c r="F429">
        <v>577062454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-8.1740976645437793E-2</v>
      </c>
      <c r="Q429">
        <f t="shared" si="975"/>
        <v>-47169648.575373024</v>
      </c>
      <c r="R429">
        <f t="shared" si="976"/>
        <v>13764829475.807411</v>
      </c>
      <c r="S429">
        <f t="shared" si="977"/>
        <v>137648.2947580741</v>
      </c>
      <c r="T429">
        <f t="shared" si="978"/>
        <v>137.64829475807412</v>
      </c>
    </row>
    <row r="430" spans="1:20" x14ac:dyDescent="0.25">
      <c r="A430" s="5">
        <v>44163</v>
      </c>
      <c r="B430">
        <v>3.2751999999999998E-3</v>
      </c>
      <c r="C430">
        <v>3.4841E-3</v>
      </c>
      <c r="D430">
        <v>3.2360000000000002E-3</v>
      </c>
      <c r="E430">
        <v>3.3944999999999999E-3</v>
      </c>
      <c r="F430">
        <v>715333106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0.27771060056428792</v>
      </c>
      <c r="Q430">
        <f t="shared" si="975"/>
        <v>198655586.47077742</v>
      </c>
      <c r="R430">
        <f t="shared" si="976"/>
        <v>13811999124.382784</v>
      </c>
      <c r="S430">
        <f t="shared" si="977"/>
        <v>138119.99124382783</v>
      </c>
      <c r="T430">
        <f t="shared" si="978"/>
        <v>138.11999124382783</v>
      </c>
    </row>
    <row r="431" spans="1:20" x14ac:dyDescent="0.25">
      <c r="A431" s="5">
        <v>44162</v>
      </c>
      <c r="B431">
        <v>3.2560000000000002E-3</v>
      </c>
      <c r="C431">
        <v>3.3655999999999998E-3</v>
      </c>
      <c r="D431">
        <v>3.0763000000000001E-3</v>
      </c>
      <c r="E431">
        <v>3.2751999999999998E-3</v>
      </c>
      <c r="F431">
        <v>1019204144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0.37504320774282668</v>
      </c>
      <c r="Q431">
        <f t="shared" si="975"/>
        <v>382245591.51054186</v>
      </c>
      <c r="R431">
        <f t="shared" si="976"/>
        <v>13613343537.912006</v>
      </c>
      <c r="S431">
        <f t="shared" si="977"/>
        <v>136133.43537912006</v>
      </c>
      <c r="T431">
        <f t="shared" si="978"/>
        <v>136.13343537912004</v>
      </c>
    </row>
    <row r="432" spans="1:20" x14ac:dyDescent="0.25">
      <c r="A432" s="5">
        <v>44161</v>
      </c>
      <c r="B432">
        <v>3.7139E-3</v>
      </c>
      <c r="C432">
        <v>3.7978999999999999E-3</v>
      </c>
      <c r="D432">
        <v>2.9394999999999998E-3</v>
      </c>
      <c r="E432">
        <v>3.2491999999999998E-3</v>
      </c>
      <c r="F432">
        <v>3248357755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-0.27842497670083882</v>
      </c>
      <c r="Q432">
        <f t="shared" si="975"/>
        <v>-904423932.25186408</v>
      </c>
      <c r="R432">
        <f t="shared" si="976"/>
        <v>13231097946.401464</v>
      </c>
      <c r="S432">
        <f t="shared" si="977"/>
        <v>132310.97946401464</v>
      </c>
      <c r="T432">
        <f t="shared" si="978"/>
        <v>132.31097946401465</v>
      </c>
    </row>
    <row r="433" spans="1:20" x14ac:dyDescent="0.25">
      <c r="A433" s="5">
        <v>44160</v>
      </c>
      <c r="B433">
        <v>4.2589000000000004E-3</v>
      </c>
      <c r="C433">
        <v>4.2978000000000001E-3</v>
      </c>
      <c r="D433">
        <v>3.581E-3</v>
      </c>
      <c r="E433">
        <v>3.7081000000000002E-3</v>
      </c>
      <c r="F433">
        <v>2828578294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-0.64536830357142805</v>
      </c>
      <c r="Q433">
        <f t="shared" si="975"/>
        <v>-1825474775.117744</v>
      </c>
      <c r="R433">
        <f t="shared" si="976"/>
        <v>14135521878.653328</v>
      </c>
      <c r="S433">
        <f t="shared" si="977"/>
        <v>141355.21878653328</v>
      </c>
      <c r="T433">
        <f t="shared" si="978"/>
        <v>141.35521878653327</v>
      </c>
    </row>
    <row r="434" spans="1:20" x14ac:dyDescent="0.25">
      <c r="A434" s="5">
        <v>44159</v>
      </c>
      <c r="B434">
        <v>3.6893999999999998E-3</v>
      </c>
      <c r="C434">
        <v>4.2925000000000003E-3</v>
      </c>
      <c r="D434">
        <v>3.5000000000000001E-3</v>
      </c>
      <c r="E434">
        <v>4.2592000000000003E-3</v>
      </c>
      <c r="F434">
        <v>5893223305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0.91596214511041008</v>
      </c>
      <c r="Q434">
        <f t="shared" si="975"/>
        <v>5397969460.0624609</v>
      </c>
      <c r="R434">
        <f t="shared" si="976"/>
        <v>15960996653.771072</v>
      </c>
      <c r="S434">
        <f t="shared" si="977"/>
        <v>159609.96653771072</v>
      </c>
      <c r="T434">
        <f t="shared" si="978"/>
        <v>159.6099665377107</v>
      </c>
    </row>
    <row r="435" spans="1:20" x14ac:dyDescent="0.25">
      <c r="A435" s="5">
        <v>44158</v>
      </c>
      <c r="B435">
        <v>3.3416000000000001E-3</v>
      </c>
      <c r="C435">
        <v>3.7000000000000002E-3</v>
      </c>
      <c r="D435">
        <v>3.2201E-3</v>
      </c>
      <c r="E435">
        <v>3.6844999999999998E-3</v>
      </c>
      <c r="F435">
        <v>1981374929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0.93540320900187401</v>
      </c>
      <c r="Q435">
        <f t="shared" si="975"/>
        <v>1853384466.8224602</v>
      </c>
      <c r="R435">
        <f t="shared" si="976"/>
        <v>10563027193.708611</v>
      </c>
      <c r="S435">
        <f t="shared" si="977"/>
        <v>105630.2719370861</v>
      </c>
      <c r="T435">
        <f t="shared" si="978"/>
        <v>105.63027193708611</v>
      </c>
    </row>
    <row r="436" spans="1:20" x14ac:dyDescent="0.25">
      <c r="A436" s="5">
        <v>44157</v>
      </c>
      <c r="B436">
        <v>3.5090999999999998E-3</v>
      </c>
      <c r="C436">
        <v>3.6900000000000001E-3</v>
      </c>
      <c r="D436">
        <v>3.1507000000000002E-3</v>
      </c>
      <c r="E436">
        <v>3.3414999999999999E-3</v>
      </c>
      <c r="F436">
        <v>2121938713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-0.29241609493788367</v>
      </c>
      <c r="Q436">
        <f t="shared" si="975"/>
        <v>-620489032.15297866</v>
      </c>
      <c r="R436">
        <f t="shared" si="976"/>
        <v>8709642726.8861504</v>
      </c>
      <c r="S436">
        <f t="shared" si="977"/>
        <v>87096.427268861502</v>
      </c>
      <c r="T436">
        <f t="shared" si="978"/>
        <v>87.096427268861504</v>
      </c>
    </row>
    <row r="437" spans="1:20" x14ac:dyDescent="0.25">
      <c r="A437" s="5">
        <v>44156</v>
      </c>
      <c r="B437">
        <v>2.9872000000000002E-3</v>
      </c>
      <c r="C437">
        <v>3.6061999999999999E-3</v>
      </c>
      <c r="D437">
        <v>2.9795999999999998E-3</v>
      </c>
      <c r="E437">
        <v>3.5132000000000002E-3</v>
      </c>
      <c r="F437">
        <v>3288496045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0.70315991062879113</v>
      </c>
      <c r="Q437">
        <f t="shared" si="975"/>
        <v>2312338585.1053333</v>
      </c>
      <c r="R437">
        <f t="shared" si="976"/>
        <v>9330131759.0391293</v>
      </c>
      <c r="S437">
        <f t="shared" si="977"/>
        <v>93301.317590391292</v>
      </c>
      <c r="T437">
        <f t="shared" si="978"/>
        <v>93.301317590391292</v>
      </c>
    </row>
    <row r="438" spans="1:20" x14ac:dyDescent="0.25">
      <c r="A438" s="5">
        <v>44155</v>
      </c>
      <c r="B438">
        <v>2.9096E-3</v>
      </c>
      <c r="C438">
        <v>3.0244999999999998E-3</v>
      </c>
      <c r="D438">
        <v>2.9004999999999999E-3</v>
      </c>
      <c r="E438">
        <v>2.9870000000000001E-3</v>
      </c>
      <c r="F438">
        <v>880383945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0.39516129032258418</v>
      </c>
      <c r="Q438">
        <f t="shared" si="975"/>
        <v>347893655.68548697</v>
      </c>
      <c r="R438">
        <f t="shared" si="976"/>
        <v>7017793173.9337959</v>
      </c>
      <c r="S438">
        <f t="shared" si="977"/>
        <v>70177.931739337961</v>
      </c>
      <c r="T438">
        <f t="shared" si="978"/>
        <v>70.177931739337964</v>
      </c>
    </row>
    <row r="439" spans="1:20" x14ac:dyDescent="0.25">
      <c r="A439" s="5">
        <v>44154</v>
      </c>
      <c r="B439">
        <v>2.9090000000000001E-3</v>
      </c>
      <c r="C439">
        <v>2.9689E-3</v>
      </c>
      <c r="D439">
        <v>2.8549000000000001E-3</v>
      </c>
      <c r="E439">
        <v>2.9068000000000002E-3</v>
      </c>
      <c r="F439">
        <v>567308685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-8.9473684210523777E-2</v>
      </c>
      <c r="Q439">
        <f t="shared" si="975"/>
        <v>-50759198.131577507</v>
      </c>
      <c r="R439">
        <f t="shared" si="976"/>
        <v>6669899518.2483091</v>
      </c>
      <c r="S439">
        <f t="shared" si="977"/>
        <v>66698.995182483093</v>
      </c>
      <c r="T439">
        <f t="shared" si="978"/>
        <v>66.698995182483088</v>
      </c>
    </row>
    <row r="440" spans="1:20" x14ac:dyDescent="0.25">
      <c r="A440" s="5">
        <v>44153</v>
      </c>
      <c r="B440">
        <v>2.9385000000000001E-3</v>
      </c>
      <c r="C440">
        <v>3.0209999999999998E-3</v>
      </c>
      <c r="D440">
        <v>2.81E-3</v>
      </c>
      <c r="E440">
        <v>2.9085000000000001E-3</v>
      </c>
      <c r="F440">
        <v>1015668627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-6.6350710900472523E-2</v>
      </c>
      <c r="Q440">
        <f t="shared" si="975"/>
        <v>-67390335.440756857</v>
      </c>
      <c r="R440">
        <f t="shared" si="976"/>
        <v>6720658716.3798866</v>
      </c>
      <c r="S440">
        <f t="shared" si="977"/>
        <v>67206.58716379886</v>
      </c>
      <c r="T440">
        <f t="shared" si="978"/>
        <v>67.206587163798858</v>
      </c>
    </row>
    <row r="441" spans="1:20" x14ac:dyDescent="0.25">
      <c r="A441" s="5">
        <v>44152</v>
      </c>
      <c r="B441">
        <v>2.8936000000000001E-3</v>
      </c>
      <c r="C441">
        <v>3.0094000000000002E-3</v>
      </c>
      <c r="D441">
        <v>2.8831999999999998E-3</v>
      </c>
      <c r="E441">
        <v>2.9397999999999998E-3</v>
      </c>
      <c r="F441">
        <v>920887323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-0.10301109350238025</v>
      </c>
      <c r="Q441">
        <f t="shared" si="975"/>
        <v>-94861610.134709641</v>
      </c>
      <c r="R441">
        <f t="shared" si="976"/>
        <v>6788049051.8206434</v>
      </c>
      <c r="S441">
        <f t="shared" si="977"/>
        <v>67880.490518206439</v>
      </c>
      <c r="T441">
        <f t="shared" si="978"/>
        <v>67.880490518206443</v>
      </c>
    </row>
    <row r="442" spans="1:20" x14ac:dyDescent="0.25">
      <c r="A442" s="5">
        <v>44151</v>
      </c>
      <c r="B442">
        <v>2.7715000000000001E-3</v>
      </c>
      <c r="C442">
        <v>3.0452000000000001E-3</v>
      </c>
      <c r="D442">
        <v>2.7521999999999998E-3</v>
      </c>
      <c r="E442">
        <v>2.8900000000000002E-3</v>
      </c>
      <c r="F442">
        <v>1345726687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-5.9385665529008293E-2</v>
      </c>
      <c r="Q442">
        <f t="shared" si="975"/>
        <v>-79916874.927642435</v>
      </c>
      <c r="R442">
        <f t="shared" si="976"/>
        <v>6882910661.9553528</v>
      </c>
      <c r="S442">
        <f t="shared" si="977"/>
        <v>68829.106619553524</v>
      </c>
      <c r="T442">
        <f t="shared" si="978"/>
        <v>68.829106619553528</v>
      </c>
    </row>
    <row r="443" spans="1:20" x14ac:dyDescent="0.25">
      <c r="A443" s="5">
        <v>44150</v>
      </c>
      <c r="B443">
        <v>2.7731000000000001E-3</v>
      </c>
      <c r="C443">
        <v>2.8284999999999999E-3</v>
      </c>
      <c r="D443">
        <v>2.7220999999999999E-3</v>
      </c>
      <c r="E443">
        <v>2.7718E-3</v>
      </c>
      <c r="F443">
        <v>323892550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-6.5789473684207039E-2</v>
      </c>
      <c r="Q443">
        <f t="shared" si="975"/>
        <v>-21308720.394735713</v>
      </c>
      <c r="R443">
        <f t="shared" si="976"/>
        <v>6962827536.8829956</v>
      </c>
      <c r="S443">
        <f t="shared" si="977"/>
        <v>69628.275368829956</v>
      </c>
      <c r="T443">
        <f t="shared" si="978"/>
        <v>69.628275368829961</v>
      </c>
    </row>
    <row r="444" spans="1:20" x14ac:dyDescent="0.25">
      <c r="A444" s="5">
        <v>44149</v>
      </c>
      <c r="B444">
        <v>2.8156000000000001E-3</v>
      </c>
      <c r="C444">
        <v>2.8238999999999998E-3</v>
      </c>
      <c r="D444">
        <v>2.7079999999999999E-3</v>
      </c>
      <c r="E444">
        <v>2.7688999999999999E-3</v>
      </c>
      <c r="F444">
        <v>308002702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5.0905953408111236E-2</v>
      </c>
      <c r="Q444">
        <f t="shared" si="975"/>
        <v>15679171.19758437</v>
      </c>
      <c r="R444">
        <f t="shared" si="976"/>
        <v>6984136257.2777309</v>
      </c>
      <c r="S444">
        <f t="shared" si="977"/>
        <v>69841.362572777303</v>
      </c>
      <c r="T444">
        <f t="shared" si="978"/>
        <v>69.8413625727773</v>
      </c>
    </row>
    <row r="445" spans="1:20" x14ac:dyDescent="0.25">
      <c r="A445" s="5">
        <v>44148</v>
      </c>
      <c r="B445">
        <v>2.7791000000000001E-3</v>
      </c>
      <c r="C445">
        <v>2.8482999999999998E-3</v>
      </c>
      <c r="D445">
        <v>2.7666000000000001E-3</v>
      </c>
      <c r="E445">
        <v>2.8113999999999999E-3</v>
      </c>
      <c r="F445">
        <v>373289403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9.6695226438187939E-2</v>
      </c>
      <c r="Q445">
        <f t="shared" si="975"/>
        <v>36095303.350060992</v>
      </c>
      <c r="R445">
        <f t="shared" si="976"/>
        <v>6968457086.0801468</v>
      </c>
      <c r="S445">
        <f t="shared" si="977"/>
        <v>69684.570860801468</v>
      </c>
      <c r="T445">
        <f t="shared" si="978"/>
        <v>69.684570860801472</v>
      </c>
    </row>
    <row r="446" spans="1:20" x14ac:dyDescent="0.25">
      <c r="A446" s="5">
        <v>44147</v>
      </c>
      <c r="B446">
        <v>2.7599999999999999E-3</v>
      </c>
      <c r="C446">
        <v>2.8019999999999998E-3</v>
      </c>
      <c r="D446">
        <v>2.7252999999999999E-3</v>
      </c>
      <c r="E446">
        <v>2.7788000000000001E-3</v>
      </c>
      <c r="F446">
        <v>209777176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0.39504563233377471</v>
      </c>
      <c r="Q446">
        <f t="shared" si="975"/>
        <v>82871557.142113551</v>
      </c>
      <c r="R446">
        <f t="shared" si="976"/>
        <v>6932361782.7300854</v>
      </c>
      <c r="S446">
        <f t="shared" si="977"/>
        <v>69323.617827300855</v>
      </c>
      <c r="T446">
        <f t="shared" si="978"/>
        <v>69.323617827300851</v>
      </c>
    </row>
    <row r="447" spans="1:20" x14ac:dyDescent="0.25">
      <c r="A447" s="5">
        <v>44146</v>
      </c>
      <c r="B447">
        <v>2.7601000000000001E-3</v>
      </c>
      <c r="C447">
        <v>2.9499999999999999E-3</v>
      </c>
      <c r="D447">
        <v>2.7418999999999998E-3</v>
      </c>
      <c r="E447">
        <v>2.758E-3</v>
      </c>
      <c r="F447">
        <v>560505263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-0.84526669870254478</v>
      </c>
      <c r="Q447">
        <f t="shared" si="975"/>
        <v>-473776433.26141161</v>
      </c>
      <c r="R447">
        <f t="shared" si="976"/>
        <v>6849490225.5879717</v>
      </c>
      <c r="S447">
        <f t="shared" si="977"/>
        <v>68494.902255879715</v>
      </c>
      <c r="T447">
        <f t="shared" si="978"/>
        <v>68.494902255879708</v>
      </c>
    </row>
    <row r="448" spans="1:20" x14ac:dyDescent="0.25">
      <c r="A448" s="5">
        <v>44145</v>
      </c>
      <c r="B448">
        <v>2.6670999999999999E-3</v>
      </c>
      <c r="C448">
        <v>2.9198000000000002E-3</v>
      </c>
      <c r="D448">
        <v>2.6535999999999999E-3</v>
      </c>
      <c r="E448">
        <v>2.761E-3</v>
      </c>
      <c r="F448">
        <v>807091404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-0.19308790383170549</v>
      </c>
      <c r="Q448">
        <f t="shared" si="975"/>
        <v>-155839587.39894816</v>
      </c>
      <c r="R448">
        <f t="shared" si="976"/>
        <v>7323266658.8493834</v>
      </c>
      <c r="S448">
        <f t="shared" si="977"/>
        <v>73232.666588493827</v>
      </c>
      <c r="T448">
        <f t="shared" si="978"/>
        <v>73.232666588493828</v>
      </c>
    </row>
    <row r="449" spans="1:20" x14ac:dyDescent="0.25">
      <c r="A449" s="5">
        <v>44144</v>
      </c>
      <c r="B449">
        <v>2.7070000000000002E-3</v>
      </c>
      <c r="C449">
        <v>2.8094999999999999E-3</v>
      </c>
      <c r="D449">
        <v>2.6570000000000001E-3</v>
      </c>
      <c r="E449">
        <v>2.6719999999999999E-3</v>
      </c>
      <c r="F449">
        <v>438097273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-0.80327868852459228</v>
      </c>
      <c r="Q449">
        <f t="shared" si="975"/>
        <v>-351914202.9016403</v>
      </c>
      <c r="R449">
        <f t="shared" si="976"/>
        <v>7479106246.2483311</v>
      </c>
      <c r="S449">
        <f t="shared" si="977"/>
        <v>74791.062462483314</v>
      </c>
      <c r="T449">
        <f t="shared" si="978"/>
        <v>74.79106246248331</v>
      </c>
    </row>
    <row r="450" spans="1:20" x14ac:dyDescent="0.25">
      <c r="A450" s="5">
        <v>44143</v>
      </c>
      <c r="B450">
        <v>2.6724000000000001E-3</v>
      </c>
      <c r="C450">
        <v>2.7390000000000001E-3</v>
      </c>
      <c r="D450">
        <v>2.6513000000000001E-3</v>
      </c>
      <c r="E450">
        <v>2.7070000000000002E-3</v>
      </c>
      <c r="F450">
        <v>244213598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0.27023945267959171</v>
      </c>
      <c r="Q450">
        <f t="shared" si="975"/>
        <v>65996149.060433835</v>
      </c>
      <c r="R450">
        <f t="shared" si="976"/>
        <v>7831020449.149971</v>
      </c>
      <c r="S450">
        <f t="shared" si="977"/>
        <v>78310.20449149971</v>
      </c>
      <c r="T450">
        <f t="shared" si="978"/>
        <v>78.310204491499704</v>
      </c>
    </row>
    <row r="451" spans="1:20" x14ac:dyDescent="0.25">
      <c r="A451" s="5">
        <v>44142</v>
      </c>
      <c r="B451">
        <v>2.7577999999999999E-3</v>
      </c>
      <c r="C451">
        <v>2.8424000000000001E-3</v>
      </c>
      <c r="D451">
        <v>2.5920000000000001E-3</v>
      </c>
      <c r="E451">
        <v>2.6700000000000001E-3</v>
      </c>
      <c r="F451">
        <v>748360033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-0.37699680511182154</v>
      </c>
      <c r="Q451">
        <f t="shared" si="975"/>
        <v>-282129341.51437736</v>
      </c>
      <c r="R451">
        <f t="shared" si="976"/>
        <v>7765024300.0895376</v>
      </c>
      <c r="S451">
        <f t="shared" si="977"/>
        <v>77650.243000895382</v>
      </c>
      <c r="T451">
        <f t="shared" si="978"/>
        <v>77.650243000895387</v>
      </c>
    </row>
    <row r="452" spans="1:20" x14ac:dyDescent="0.25">
      <c r="A452" s="5">
        <v>44141</v>
      </c>
      <c r="B452">
        <v>2.6350000000000002E-3</v>
      </c>
      <c r="C452">
        <v>2.8200999999999999E-3</v>
      </c>
      <c r="D452">
        <v>2.6297999999999998E-3</v>
      </c>
      <c r="E452">
        <v>2.7569999999999999E-3</v>
      </c>
      <c r="F452">
        <v>922020782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0.33683657383079396</v>
      </c>
      <c r="Q452">
        <f t="shared" si="975"/>
        <v>310570321.20966941</v>
      </c>
      <c r="R452">
        <f t="shared" si="976"/>
        <v>8047153641.6039152</v>
      </c>
      <c r="S452">
        <f t="shared" si="977"/>
        <v>80471.536416039147</v>
      </c>
      <c r="T452">
        <f t="shared" si="978"/>
        <v>80.471536416039143</v>
      </c>
    </row>
    <row r="453" spans="1:20" x14ac:dyDescent="0.25">
      <c r="A453" s="5">
        <v>44140</v>
      </c>
      <c r="B453">
        <v>2.5466999999999998E-3</v>
      </c>
      <c r="C453">
        <v>2.6768999999999999E-3</v>
      </c>
      <c r="D453">
        <v>2.5466999999999998E-3</v>
      </c>
      <c r="E453">
        <v>2.6346999999999998E-3</v>
      </c>
      <c r="F453">
        <v>341107854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0.35176651305683498</v>
      </c>
      <c r="Q453">
        <f t="shared" si="975"/>
        <v>119990320.37787996</v>
      </c>
      <c r="R453">
        <f t="shared" si="976"/>
        <v>7736583320.3942461</v>
      </c>
      <c r="S453">
        <f t="shared" si="977"/>
        <v>77365.833203942457</v>
      </c>
      <c r="T453">
        <f t="shared" si="978"/>
        <v>77.365833203942458</v>
      </c>
    </row>
    <row r="454" spans="1:20" x14ac:dyDescent="0.25">
      <c r="A454" s="5">
        <v>44139</v>
      </c>
      <c r="B454">
        <v>2.5189000000000001E-3</v>
      </c>
      <c r="C454">
        <v>2.565E-3</v>
      </c>
      <c r="D454">
        <v>2.4859999999999999E-3</v>
      </c>
      <c r="E454">
        <v>2.5460000000000001E-3</v>
      </c>
      <c r="F454">
        <v>279402291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0.51898734177215444</v>
      </c>
      <c r="Q454">
        <f t="shared" ref="Q454:Q517" si="980">F454*P454</f>
        <v>145006252.29113996</v>
      </c>
      <c r="R454">
        <f t="shared" ref="R454:R517" si="981">R455+Q454</f>
        <v>7616593000.016366</v>
      </c>
      <c r="S454">
        <f t="shared" ref="S454:S517" si="982">R454/100000</f>
        <v>76165.930000163658</v>
      </c>
      <c r="T454">
        <f t="shared" ref="T454:T517" si="983">S454/1000</f>
        <v>76.165930000163655</v>
      </c>
    </row>
    <row r="455" spans="1:20" x14ac:dyDescent="0.25">
      <c r="A455" s="5">
        <v>44138</v>
      </c>
      <c r="B455">
        <v>2.5163999999999998E-3</v>
      </c>
      <c r="C455">
        <v>2.5309999999999998E-3</v>
      </c>
      <c r="D455">
        <v>2.4518999999999999E-3</v>
      </c>
      <c r="E455">
        <v>2.5141E-3</v>
      </c>
      <c r="F455">
        <v>332644991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0.57269279393173622</v>
      </c>
      <c r="Q455">
        <f t="shared" si="980"/>
        <v>190503389.28318724</v>
      </c>
      <c r="R455">
        <f t="shared" si="981"/>
        <v>7471586747.7252264</v>
      </c>
      <c r="S455">
        <f t="shared" si="982"/>
        <v>74715.867477252265</v>
      </c>
      <c r="T455">
        <f t="shared" si="983"/>
        <v>74.71586747725226</v>
      </c>
    </row>
    <row r="456" spans="1:20" x14ac:dyDescent="0.25">
      <c r="A456" s="5">
        <v>44137</v>
      </c>
      <c r="B456">
        <v>2.5764999999999998E-3</v>
      </c>
      <c r="C456">
        <v>2.5887000000000002E-3</v>
      </c>
      <c r="D456">
        <v>2.5065E-3</v>
      </c>
      <c r="E456">
        <v>2.5162000000000001E-3</v>
      </c>
      <c r="F456">
        <v>291742975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-0.7639902676399013</v>
      </c>
      <c r="Q456">
        <f t="shared" si="980"/>
        <v>-222888793.55231103</v>
      </c>
      <c r="R456">
        <f t="shared" si="981"/>
        <v>7281083358.4420395</v>
      </c>
      <c r="S456">
        <f t="shared" si="982"/>
        <v>72810.833584420398</v>
      </c>
      <c r="T456">
        <f t="shared" si="983"/>
        <v>72.810833584420394</v>
      </c>
    </row>
    <row r="457" spans="1:20" x14ac:dyDescent="0.25">
      <c r="A457" s="5">
        <v>44136</v>
      </c>
      <c r="B457">
        <v>2.5676000000000002E-3</v>
      </c>
      <c r="C457">
        <v>2.5860000000000002E-3</v>
      </c>
      <c r="D457">
        <v>2.5520999999999999E-3</v>
      </c>
      <c r="E457">
        <v>2.5745E-3</v>
      </c>
      <c r="F457">
        <v>132635410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0.32153392330382824</v>
      </c>
      <c r="Q457">
        <f t="shared" si="980"/>
        <v>42646783.746311814</v>
      </c>
      <c r="R457">
        <f t="shared" si="981"/>
        <v>7503972151.9943504</v>
      </c>
      <c r="S457">
        <f t="shared" si="982"/>
        <v>75039.721519943501</v>
      </c>
      <c r="T457">
        <f t="shared" si="983"/>
        <v>75.039721519943498</v>
      </c>
    </row>
    <row r="458" spans="1:20" x14ac:dyDescent="0.25">
      <c r="A458" s="5">
        <v>44135</v>
      </c>
      <c r="B458">
        <v>2.5833000000000002E-3</v>
      </c>
      <c r="C458">
        <v>2.6004000000000001E-3</v>
      </c>
      <c r="D458">
        <v>2.5500000000000002E-3</v>
      </c>
      <c r="E458">
        <v>2.5666E-3</v>
      </c>
      <c r="F458">
        <v>260150933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-0.34126984126984578</v>
      </c>
      <c r="Q458">
        <f t="shared" si="980"/>
        <v>-88781667.611112282</v>
      </c>
      <c r="R458">
        <f t="shared" si="981"/>
        <v>7461325368.2480383</v>
      </c>
      <c r="S458">
        <f t="shared" si="982"/>
        <v>74613.253682480383</v>
      </c>
      <c r="T458">
        <f t="shared" si="983"/>
        <v>74.613253682480376</v>
      </c>
    </row>
    <row r="459" spans="1:20" x14ac:dyDescent="0.25">
      <c r="A459" s="5">
        <v>44134</v>
      </c>
      <c r="B459">
        <v>2.5726E-3</v>
      </c>
      <c r="C459">
        <v>2.6002E-3</v>
      </c>
      <c r="D459">
        <v>2.5010000000000002E-3</v>
      </c>
      <c r="E459">
        <v>2.5833000000000002E-3</v>
      </c>
      <c r="F459">
        <v>440794399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0.65927419354839023</v>
      </c>
      <c r="Q459">
        <f t="shared" si="980"/>
        <v>290604371.92137235</v>
      </c>
      <c r="R459">
        <f t="shared" si="981"/>
        <v>7550107035.8591509</v>
      </c>
      <c r="S459">
        <f t="shared" si="982"/>
        <v>75501.070358591503</v>
      </c>
      <c r="T459">
        <f t="shared" si="983"/>
        <v>75.501070358591505</v>
      </c>
    </row>
    <row r="460" spans="1:20" x14ac:dyDescent="0.25">
      <c r="A460" s="5">
        <v>44133</v>
      </c>
      <c r="B460">
        <v>2.5799999999999998E-3</v>
      </c>
      <c r="C460">
        <v>2.6116999999999998E-3</v>
      </c>
      <c r="D460">
        <v>2.5060999999999998E-3</v>
      </c>
      <c r="E460">
        <v>2.5733000000000002E-3</v>
      </c>
      <c r="F460">
        <v>289596529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0.27272727272727942</v>
      </c>
      <c r="Q460">
        <f t="shared" si="980"/>
        <v>78980871.545456484</v>
      </c>
      <c r="R460">
        <f t="shared" si="981"/>
        <v>7259502663.9377785</v>
      </c>
      <c r="S460">
        <f t="shared" si="982"/>
        <v>72595.026639377786</v>
      </c>
      <c r="T460">
        <f t="shared" si="983"/>
        <v>72.595026639377792</v>
      </c>
    </row>
    <row r="461" spans="1:20" x14ac:dyDescent="0.25">
      <c r="A461" s="5">
        <v>44132</v>
      </c>
      <c r="B461">
        <v>2.6719000000000001E-3</v>
      </c>
      <c r="C461">
        <v>2.6906999999999999E-3</v>
      </c>
      <c r="D461">
        <v>2.5628000000000001E-3</v>
      </c>
      <c r="E461">
        <v>2.5801000000000001E-3</v>
      </c>
      <c r="F461">
        <v>437955580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-0.72947615324472137</v>
      </c>
      <c r="Q461">
        <f t="shared" si="980"/>
        <v>-319478151.79046082</v>
      </c>
      <c r="R461">
        <f t="shared" si="981"/>
        <v>7180521792.3923216</v>
      </c>
      <c r="S461">
        <f t="shared" si="982"/>
        <v>71805.217923923221</v>
      </c>
      <c r="T461">
        <f t="shared" si="983"/>
        <v>71.805217923923223</v>
      </c>
    </row>
    <row r="462" spans="1:20" x14ac:dyDescent="0.25">
      <c r="A462" s="5">
        <v>44131</v>
      </c>
      <c r="B462">
        <v>2.6657999999999999E-3</v>
      </c>
      <c r="C462">
        <v>2.7076000000000001E-3</v>
      </c>
      <c r="D462">
        <v>2.6150000000000001E-3</v>
      </c>
      <c r="E462">
        <v>2.6702000000000002E-3</v>
      </c>
      <c r="F462">
        <v>577965198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0.1922246220302388</v>
      </c>
      <c r="Q462">
        <f t="shared" si="980"/>
        <v>111099141.73218213</v>
      </c>
      <c r="R462">
        <f t="shared" si="981"/>
        <v>7499999944.1827822</v>
      </c>
      <c r="S462">
        <f t="shared" si="982"/>
        <v>74999.999441827822</v>
      </c>
      <c r="T462">
        <f t="shared" si="983"/>
        <v>74.999999441827825</v>
      </c>
    </row>
    <row r="463" spans="1:20" x14ac:dyDescent="0.25">
      <c r="A463" s="5">
        <v>44130</v>
      </c>
      <c r="B463">
        <v>2.6529000000000001E-3</v>
      </c>
      <c r="C463">
        <v>2.9115E-3</v>
      </c>
      <c r="D463">
        <v>2.6319999999999998E-3</v>
      </c>
      <c r="E463">
        <v>2.6649999999999998E-3</v>
      </c>
      <c r="F463">
        <v>1878752405</v>
      </c>
      <c r="G463">
        <v>0</v>
      </c>
      <c r="L463" t="s">
        <v>8</v>
      </c>
      <c r="M463" t="s">
        <v>7</v>
      </c>
      <c r="N463" t="s">
        <v>7</v>
      </c>
      <c r="P463">
        <f t="shared" si="979"/>
        <v>-0.76386404293381027</v>
      </c>
      <c r="Q463">
        <f t="shared" si="980"/>
        <v>-1435111407.7549193</v>
      </c>
      <c r="R463">
        <f t="shared" si="981"/>
        <v>7388900802.4505997</v>
      </c>
      <c r="S463">
        <f t="shared" si="982"/>
        <v>73889.008024505994</v>
      </c>
      <c r="T463">
        <f t="shared" si="983"/>
        <v>73.889008024505998</v>
      </c>
    </row>
    <row r="464" spans="1:20" x14ac:dyDescent="0.25">
      <c r="A464" s="5">
        <v>44129</v>
      </c>
      <c r="B464">
        <v>2.6354E-3</v>
      </c>
      <c r="C464">
        <v>2.6749E-3</v>
      </c>
      <c r="D464">
        <v>2.617E-3</v>
      </c>
      <c r="E464">
        <v>2.6527999999999999E-3</v>
      </c>
      <c r="F464">
        <v>297054117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0.23661485319515932</v>
      </c>
      <c r="Q464">
        <f t="shared" si="980"/>
        <v>70287416.284972683</v>
      </c>
      <c r="R464">
        <f t="shared" si="981"/>
        <v>8824012210.2055187</v>
      </c>
      <c r="S464">
        <f t="shared" si="982"/>
        <v>88240.122102055189</v>
      </c>
      <c r="T464">
        <f t="shared" si="983"/>
        <v>88.240122102055196</v>
      </c>
    </row>
    <row r="465" spans="1:20" x14ac:dyDescent="0.25">
      <c r="A465" s="5">
        <v>44128</v>
      </c>
      <c r="B465">
        <v>2.6423000000000002E-3</v>
      </c>
      <c r="C465">
        <v>2.647E-3</v>
      </c>
      <c r="D465">
        <v>2.6099999999999999E-3</v>
      </c>
      <c r="E465">
        <v>2.6365E-3</v>
      </c>
      <c r="F465">
        <v>212440872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0.43243243243242957</v>
      </c>
      <c r="Q465">
        <f t="shared" si="980"/>
        <v>91866323.027026415</v>
      </c>
      <c r="R465">
        <f t="shared" si="981"/>
        <v>8753724793.9205456</v>
      </c>
      <c r="S465">
        <f t="shared" si="982"/>
        <v>87537.247939205452</v>
      </c>
      <c r="T465">
        <f t="shared" si="983"/>
        <v>87.537247939205457</v>
      </c>
    </row>
    <row r="466" spans="1:20" x14ac:dyDescent="0.25">
      <c r="A466" s="5">
        <v>44127</v>
      </c>
      <c r="B466">
        <v>2.6453000000000002E-3</v>
      </c>
      <c r="C466">
        <v>2.6889000000000001E-3</v>
      </c>
      <c r="D466">
        <v>2.6224999999999998E-3</v>
      </c>
      <c r="E466">
        <v>2.6423000000000002E-3</v>
      </c>
      <c r="F466">
        <v>242563993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-0.40361445783131689</v>
      </c>
      <c r="Q466">
        <f t="shared" si="980"/>
        <v>-97902334.524094343</v>
      </c>
      <c r="R466">
        <f t="shared" si="981"/>
        <v>8661858470.8935184</v>
      </c>
      <c r="S466">
        <f t="shared" si="982"/>
        <v>86618.584708935188</v>
      </c>
      <c r="T466">
        <f t="shared" si="983"/>
        <v>86.618584708935188</v>
      </c>
    </row>
    <row r="467" spans="1:20" x14ac:dyDescent="0.25">
      <c r="A467" s="5">
        <v>44126</v>
      </c>
      <c r="B467">
        <v>2.6229999999999999E-3</v>
      </c>
      <c r="C467">
        <v>2.6930000000000001E-3</v>
      </c>
      <c r="D467">
        <v>2.6159E-3</v>
      </c>
      <c r="E467">
        <v>2.6459999999999999E-3</v>
      </c>
      <c r="F467">
        <v>323059048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-0.21919584954604707</v>
      </c>
      <c r="Q467">
        <f t="shared" si="980"/>
        <v>-70813202.479897201</v>
      </c>
      <c r="R467">
        <f t="shared" si="981"/>
        <v>8759760805.4176121</v>
      </c>
      <c r="S467">
        <f t="shared" si="982"/>
        <v>87597.608054176118</v>
      </c>
      <c r="T467">
        <f t="shared" si="983"/>
        <v>87.597608054176121</v>
      </c>
    </row>
    <row r="468" spans="1:20" x14ac:dyDescent="0.25">
      <c r="A468" s="5">
        <v>44125</v>
      </c>
      <c r="B468">
        <v>2.5956E-3</v>
      </c>
      <c r="C468">
        <v>2.66E-3</v>
      </c>
      <c r="D468">
        <v>2.5929999999999998E-3</v>
      </c>
      <c r="E468">
        <v>2.6229999999999999E-3</v>
      </c>
      <c r="F468">
        <v>436248066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-0.10447761194029909</v>
      </c>
      <c r="Q468">
        <f t="shared" si="980"/>
        <v>-45578156.149253987</v>
      </c>
      <c r="R468">
        <f t="shared" si="981"/>
        <v>8830574007.8975086</v>
      </c>
      <c r="S468">
        <f t="shared" si="982"/>
        <v>88305.740078975083</v>
      </c>
      <c r="T468">
        <f t="shared" si="983"/>
        <v>88.305740078975077</v>
      </c>
    </row>
    <row r="469" spans="1:20" x14ac:dyDescent="0.25">
      <c r="A469" s="5">
        <v>44124</v>
      </c>
      <c r="B469">
        <v>2.5920000000000001E-3</v>
      </c>
      <c r="C469">
        <v>2.6251999999999998E-3</v>
      </c>
      <c r="D469">
        <v>2.5791999999999998E-3</v>
      </c>
      <c r="E469">
        <v>2.5944000000000002E-3</v>
      </c>
      <c r="F469">
        <v>417212777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-0.33913043478259314</v>
      </c>
      <c r="Q469">
        <f t="shared" si="980"/>
        <v>-141489550.46086308</v>
      </c>
      <c r="R469">
        <f t="shared" si="981"/>
        <v>8876152164.0467625</v>
      </c>
      <c r="S469">
        <f t="shared" si="982"/>
        <v>88761.521640467618</v>
      </c>
      <c r="T469">
        <f t="shared" si="983"/>
        <v>88.76152164046762</v>
      </c>
    </row>
    <row r="470" spans="1:20" x14ac:dyDescent="0.25">
      <c r="A470" s="5">
        <v>44123</v>
      </c>
      <c r="B470">
        <v>2.5883999999999998E-3</v>
      </c>
      <c r="C470">
        <v>2.6220000000000002E-3</v>
      </c>
      <c r="D470">
        <v>2.5690000000000001E-3</v>
      </c>
      <c r="E470">
        <v>2.5921E-3</v>
      </c>
      <c r="F470">
        <v>477390409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-0.1283018867924598</v>
      </c>
      <c r="Q470">
        <f t="shared" si="980"/>
        <v>-61250090.211324081</v>
      </c>
      <c r="R470">
        <f t="shared" si="981"/>
        <v>9017641714.5076256</v>
      </c>
      <c r="S470">
        <f t="shared" si="982"/>
        <v>90176.417145076251</v>
      </c>
      <c r="T470">
        <f t="shared" si="983"/>
        <v>90.176417145076257</v>
      </c>
    </row>
    <row r="471" spans="1:20" x14ac:dyDescent="0.25">
      <c r="A471" s="5">
        <v>44122</v>
      </c>
      <c r="B471">
        <v>2.5842E-3</v>
      </c>
      <c r="C471">
        <v>2.6055000000000002E-3</v>
      </c>
      <c r="D471">
        <v>2.5799999999999998E-3</v>
      </c>
      <c r="E471">
        <v>2.5874000000000001E-3</v>
      </c>
      <c r="F471">
        <v>159785875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-0.41960784313724026</v>
      </c>
      <c r="Q471">
        <f t="shared" si="980"/>
        <v>-67047406.37254668</v>
      </c>
      <c r="R471">
        <f t="shared" si="981"/>
        <v>9078891804.7189503</v>
      </c>
      <c r="S471">
        <f t="shared" si="982"/>
        <v>90788.918047189509</v>
      </c>
      <c r="T471">
        <f t="shared" si="983"/>
        <v>90.788918047189512</v>
      </c>
    </row>
    <row r="472" spans="1:20" x14ac:dyDescent="0.25">
      <c r="A472" s="5">
        <v>44121</v>
      </c>
      <c r="B472">
        <v>2.6029E-3</v>
      </c>
      <c r="C472">
        <v>2.6091E-3</v>
      </c>
      <c r="D472">
        <v>2.5733000000000002E-3</v>
      </c>
      <c r="E472">
        <v>2.5834E-3</v>
      </c>
      <c r="F472">
        <v>142653202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-0.43575418994413989</v>
      </c>
      <c r="Q472">
        <f t="shared" si="980"/>
        <v>-62161730.480447754</v>
      </c>
      <c r="R472">
        <f t="shared" si="981"/>
        <v>9145939211.0914974</v>
      </c>
      <c r="S472">
        <f t="shared" si="982"/>
        <v>91459.392110914981</v>
      </c>
      <c r="T472">
        <f t="shared" si="983"/>
        <v>91.459392110914976</v>
      </c>
    </row>
    <row r="473" spans="1:20" x14ac:dyDescent="0.25">
      <c r="A473" s="5">
        <v>44120</v>
      </c>
      <c r="B473">
        <v>2.5953E-3</v>
      </c>
      <c r="C473">
        <v>2.6243E-3</v>
      </c>
      <c r="D473">
        <v>2.5511000000000002E-3</v>
      </c>
      <c r="E473">
        <v>2.604E-3</v>
      </c>
      <c r="F473">
        <v>445955018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0.44535519125682915</v>
      </c>
      <c r="Q473">
        <f t="shared" si="980"/>
        <v>198608382.33333269</v>
      </c>
      <c r="R473">
        <f t="shared" si="981"/>
        <v>9208100941.5719452</v>
      </c>
      <c r="S473">
        <f t="shared" si="982"/>
        <v>92081.009415719454</v>
      </c>
      <c r="T473">
        <f t="shared" si="983"/>
        <v>92.08100941571945</v>
      </c>
    </row>
    <row r="474" spans="1:20" x14ac:dyDescent="0.25">
      <c r="A474" s="5">
        <v>44119</v>
      </c>
      <c r="B474">
        <v>2.6389999999999999E-3</v>
      </c>
      <c r="C474">
        <v>2.6391000000000001E-3</v>
      </c>
      <c r="D474">
        <v>2.5647999999999999E-3</v>
      </c>
      <c r="E474">
        <v>2.5953E-3</v>
      </c>
      <c r="F474">
        <v>311443948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-0.17900403768505924</v>
      </c>
      <c r="Q474">
        <f t="shared" si="980"/>
        <v>-55749724.204575628</v>
      </c>
      <c r="R474">
        <f t="shared" si="981"/>
        <v>9009492559.2386131</v>
      </c>
      <c r="S474">
        <f t="shared" si="982"/>
        <v>90094.925592386135</v>
      </c>
      <c r="T474">
        <f t="shared" si="983"/>
        <v>90.094925592386133</v>
      </c>
    </row>
    <row r="475" spans="1:20" x14ac:dyDescent="0.25">
      <c r="A475" s="5">
        <v>44118</v>
      </c>
      <c r="B475">
        <v>2.6353000000000001E-3</v>
      </c>
      <c r="C475">
        <v>2.6608999999999999E-3</v>
      </c>
      <c r="D475">
        <v>2.6172999999999999E-3</v>
      </c>
      <c r="E475">
        <v>2.6389999999999999E-3</v>
      </c>
      <c r="F475">
        <v>216681797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-4.5871559633053529E-3</v>
      </c>
      <c r="Q475">
        <f t="shared" si="980"/>
        <v>-993953.19724826992</v>
      </c>
      <c r="R475">
        <f t="shared" si="981"/>
        <v>9065242283.4431896</v>
      </c>
      <c r="S475">
        <f t="shared" si="982"/>
        <v>90652.422834431898</v>
      </c>
      <c r="T475">
        <f t="shared" si="983"/>
        <v>90.652422834431903</v>
      </c>
    </row>
    <row r="476" spans="1:20" x14ac:dyDescent="0.25">
      <c r="A476" s="5">
        <v>44117</v>
      </c>
      <c r="B476">
        <v>2.6668999999999998E-3</v>
      </c>
      <c r="C476">
        <v>2.6744999999999998E-3</v>
      </c>
      <c r="D476">
        <v>2.6285000000000002E-3</v>
      </c>
      <c r="E476">
        <v>2.6384999999999998E-3</v>
      </c>
      <c r="F476">
        <v>283366623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-0.56521739130436177</v>
      </c>
      <c r="Q476">
        <f t="shared" si="980"/>
        <v>-160163743.43478656</v>
      </c>
      <c r="R476">
        <f t="shared" si="981"/>
        <v>9066236236.6404381</v>
      </c>
      <c r="S476">
        <f t="shared" si="982"/>
        <v>90662.362366404384</v>
      </c>
      <c r="T476">
        <f t="shared" si="983"/>
        <v>90.662362366404381</v>
      </c>
    </row>
    <row r="477" spans="1:20" x14ac:dyDescent="0.25">
      <c r="A477" s="5">
        <v>44116</v>
      </c>
      <c r="B477">
        <v>2.6711E-3</v>
      </c>
      <c r="C477">
        <v>2.7068999999999999E-3</v>
      </c>
      <c r="D477">
        <v>2.6251E-3</v>
      </c>
      <c r="E477">
        <v>2.6670000000000001E-3</v>
      </c>
      <c r="F477">
        <v>421633283</v>
      </c>
      <c r="G477">
        <v>0</v>
      </c>
      <c r="L477" t="s">
        <v>7</v>
      </c>
      <c r="M477" t="s">
        <v>7</v>
      </c>
      <c r="N477" t="s">
        <v>7</v>
      </c>
      <c r="P477">
        <f t="shared" si="979"/>
        <v>2.4449877750614513E-2</v>
      </c>
      <c r="Q477">
        <f t="shared" si="980"/>
        <v>10308882.224940253</v>
      </c>
      <c r="R477">
        <f t="shared" si="981"/>
        <v>9226399980.0752239</v>
      </c>
      <c r="S477">
        <f t="shared" si="982"/>
        <v>92263.999800752237</v>
      </c>
      <c r="T477">
        <f t="shared" si="983"/>
        <v>92.263999800752231</v>
      </c>
    </row>
    <row r="478" spans="1:20" x14ac:dyDescent="0.25">
      <c r="A478" s="5">
        <v>44115</v>
      </c>
      <c r="B478">
        <v>2.6583000000000002E-3</v>
      </c>
      <c r="C478">
        <v>2.7065000000000001E-3</v>
      </c>
      <c r="D478">
        <v>2.6499000000000002E-3</v>
      </c>
      <c r="E478">
        <v>2.6700999999999999E-3</v>
      </c>
      <c r="F478">
        <v>251041495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-0.28621908127209383</v>
      </c>
      <c r="Q478">
        <f t="shared" si="980"/>
        <v>-71852866.060072944</v>
      </c>
      <c r="R478">
        <f t="shared" si="981"/>
        <v>9216091097.8502846</v>
      </c>
      <c r="S478">
        <f t="shared" si="982"/>
        <v>92160.910978502841</v>
      </c>
      <c r="T478">
        <f t="shared" si="983"/>
        <v>92.160910978502841</v>
      </c>
    </row>
    <row r="479" spans="1:20" x14ac:dyDescent="0.25">
      <c r="A479" s="5">
        <v>44114</v>
      </c>
      <c r="B479">
        <v>2.6570000000000001E-3</v>
      </c>
      <c r="C479">
        <v>2.7290999999999999E-3</v>
      </c>
      <c r="D479">
        <v>2.6472000000000002E-3</v>
      </c>
      <c r="E479">
        <v>2.6621000000000001E-3</v>
      </c>
      <c r="F479">
        <v>445615862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-0.63614163614163555</v>
      </c>
      <c r="Q479">
        <f t="shared" si="980"/>
        <v>-283474803.54334527</v>
      </c>
      <c r="R479">
        <f t="shared" si="981"/>
        <v>9287943963.9103584</v>
      </c>
      <c r="S479">
        <f t="shared" si="982"/>
        <v>92879.439639103584</v>
      </c>
      <c r="T479">
        <f t="shared" si="983"/>
        <v>92.87943963910358</v>
      </c>
    </row>
    <row r="480" spans="1:20" x14ac:dyDescent="0.25">
      <c r="A480" s="5">
        <v>44113</v>
      </c>
      <c r="B480">
        <v>2.6097E-3</v>
      </c>
      <c r="C480">
        <v>2.6700999999999999E-3</v>
      </c>
      <c r="D480">
        <v>2.5891E-3</v>
      </c>
      <c r="E480">
        <v>2.6556000000000001E-3</v>
      </c>
      <c r="F480">
        <v>497901615</v>
      </c>
      <c r="G480">
        <v>0</v>
      </c>
      <c r="L480" t="s">
        <v>7</v>
      </c>
      <c r="M480" t="s">
        <v>7</v>
      </c>
      <c r="N480" t="s">
        <v>7</v>
      </c>
      <c r="P480">
        <f t="shared" si="979"/>
        <v>0.64197530864198094</v>
      </c>
      <c r="Q480">
        <f t="shared" si="980"/>
        <v>319640542.96296579</v>
      </c>
      <c r="R480">
        <f t="shared" si="981"/>
        <v>9571418767.4537029</v>
      </c>
      <c r="S480">
        <f t="shared" si="982"/>
        <v>95714.187674537025</v>
      </c>
      <c r="T480">
        <f t="shared" si="983"/>
        <v>95.71418767453703</v>
      </c>
    </row>
    <row r="481" spans="1:20" x14ac:dyDescent="0.25">
      <c r="A481" s="5">
        <v>44112</v>
      </c>
      <c r="B481">
        <v>2.5880999999999999E-3</v>
      </c>
      <c r="C481">
        <v>2.63E-3</v>
      </c>
      <c r="D481">
        <v>2.5409999999999999E-3</v>
      </c>
      <c r="E481">
        <v>2.6097999999999998E-3</v>
      </c>
      <c r="F481">
        <v>612786395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0.5460674157303339</v>
      </c>
      <c r="Q481">
        <f t="shared" si="980"/>
        <v>334622683.11235762</v>
      </c>
      <c r="R481">
        <f t="shared" si="981"/>
        <v>9251778224.4907379</v>
      </c>
      <c r="S481">
        <f t="shared" si="982"/>
        <v>92517.782244907372</v>
      </c>
      <c r="T481">
        <f t="shared" si="983"/>
        <v>92.517782244907366</v>
      </c>
    </row>
    <row r="482" spans="1:20" x14ac:dyDescent="0.25">
      <c r="A482" s="5">
        <v>44111</v>
      </c>
      <c r="B482">
        <v>2.5969000000000001E-3</v>
      </c>
      <c r="C482">
        <v>2.6110999999999999E-3</v>
      </c>
      <c r="D482">
        <v>2.5560000000000001E-3</v>
      </c>
      <c r="E482">
        <v>2.5894999999999998E-3</v>
      </c>
      <c r="F482">
        <v>748742886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0.2159709618874707</v>
      </c>
      <c r="Q482">
        <f t="shared" si="980"/>
        <v>161706721.2958208</v>
      </c>
      <c r="R482">
        <f t="shared" si="981"/>
        <v>8917155541.3783798</v>
      </c>
      <c r="S482">
        <f t="shared" si="982"/>
        <v>89171.555413783804</v>
      </c>
      <c r="T482">
        <f t="shared" si="983"/>
        <v>89.171555413783807</v>
      </c>
    </row>
    <row r="483" spans="1:20" x14ac:dyDescent="0.25">
      <c r="A483" s="5">
        <v>44110</v>
      </c>
      <c r="B483">
        <v>2.6199999999999999E-3</v>
      </c>
      <c r="C483">
        <v>2.6285000000000002E-3</v>
      </c>
      <c r="D483">
        <v>2.5687000000000001E-3</v>
      </c>
      <c r="E483">
        <v>2.5969999999999999E-3</v>
      </c>
      <c r="F483">
        <v>535191865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-5.3511705685627242E-2</v>
      </c>
      <c r="Q483">
        <f t="shared" si="980"/>
        <v>-28639029.565221947</v>
      </c>
      <c r="R483">
        <f t="shared" si="981"/>
        <v>8755448820.0825596</v>
      </c>
      <c r="S483">
        <f t="shared" si="982"/>
        <v>87554.488200825595</v>
      </c>
      <c r="T483">
        <f t="shared" si="983"/>
        <v>87.554488200825602</v>
      </c>
    </row>
    <row r="484" spans="1:20" x14ac:dyDescent="0.25">
      <c r="A484" s="5">
        <v>44109</v>
      </c>
      <c r="B484">
        <v>2.6327999999999998E-3</v>
      </c>
      <c r="C484">
        <v>2.6576999999999998E-3</v>
      </c>
      <c r="D484">
        <v>2.5983E-3</v>
      </c>
      <c r="E484">
        <v>2.6182000000000002E-3</v>
      </c>
      <c r="F484">
        <v>293823603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-0.32996632996632075</v>
      </c>
      <c r="Q484">
        <f t="shared" si="980"/>
        <v>-96951895.939391226</v>
      </c>
      <c r="R484">
        <f t="shared" si="981"/>
        <v>8784087849.6477814</v>
      </c>
      <c r="S484">
        <f t="shared" si="982"/>
        <v>87840.878496477817</v>
      </c>
      <c r="T484">
        <f t="shared" si="983"/>
        <v>87.840878496477814</v>
      </c>
    </row>
    <row r="485" spans="1:20" x14ac:dyDescent="0.25">
      <c r="A485" s="5">
        <v>44108</v>
      </c>
      <c r="B485">
        <v>2.5964E-3</v>
      </c>
      <c r="C485">
        <v>2.6800000000000001E-3</v>
      </c>
      <c r="D485">
        <v>2.5893000000000001E-3</v>
      </c>
      <c r="E485">
        <v>2.6329999999999999E-3</v>
      </c>
      <c r="F485">
        <v>362664249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-3.6383682469684146E-2</v>
      </c>
      <c r="Q485">
        <f t="shared" si="980"/>
        <v>-13195060.878722467</v>
      </c>
      <c r="R485">
        <f t="shared" si="981"/>
        <v>8881039745.5871735</v>
      </c>
      <c r="S485">
        <f t="shared" si="982"/>
        <v>88810.397455871731</v>
      </c>
      <c r="T485">
        <f t="shared" si="983"/>
        <v>88.810397455871737</v>
      </c>
    </row>
    <row r="486" spans="1:20" x14ac:dyDescent="0.25">
      <c r="A486" s="5">
        <v>44107</v>
      </c>
      <c r="B486">
        <v>2.5902E-3</v>
      </c>
      <c r="C486">
        <v>2.637E-3</v>
      </c>
      <c r="D486">
        <v>2.5736999999999999E-3</v>
      </c>
      <c r="E486">
        <v>2.5955000000000002E-3</v>
      </c>
      <c r="F486">
        <v>344780813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-0.31121642969983637</v>
      </c>
      <c r="Q486">
        <f t="shared" si="980"/>
        <v>-107301453.65086693</v>
      </c>
      <c r="R486">
        <f t="shared" si="981"/>
        <v>8894234806.4658966</v>
      </c>
      <c r="S486">
        <f t="shared" si="982"/>
        <v>88942.34806465896</v>
      </c>
      <c r="T486">
        <f t="shared" si="983"/>
        <v>88.942348064658958</v>
      </c>
    </row>
    <row r="487" spans="1:20" x14ac:dyDescent="0.25">
      <c r="A487" s="5">
        <v>44106</v>
      </c>
      <c r="B487">
        <v>2.6272000000000001E-3</v>
      </c>
      <c r="C487">
        <v>2.6272999999999999E-3</v>
      </c>
      <c r="D487">
        <v>2.5306999999999999E-3</v>
      </c>
      <c r="E487">
        <v>2.5902E-3</v>
      </c>
      <c r="F487">
        <v>1051902545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0.23188405797101547</v>
      </c>
      <c r="Q487">
        <f t="shared" si="980"/>
        <v>243919430.7246387</v>
      </c>
      <c r="R487">
        <f t="shared" si="981"/>
        <v>9001536260.1167641</v>
      </c>
      <c r="S487">
        <f t="shared" si="982"/>
        <v>90015.362601167639</v>
      </c>
      <c r="T487">
        <f t="shared" si="983"/>
        <v>90.015362601167638</v>
      </c>
    </row>
    <row r="488" spans="1:20" x14ac:dyDescent="0.25">
      <c r="A488" s="5">
        <v>44105</v>
      </c>
      <c r="B488">
        <v>2.6361000000000002E-3</v>
      </c>
      <c r="C488">
        <v>2.6819999999999999E-3</v>
      </c>
      <c r="D488">
        <v>2.5574999999999999E-3</v>
      </c>
      <c r="E488">
        <v>2.6245999999999999E-3</v>
      </c>
      <c r="F488">
        <v>647138169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7.7911646586345945E-2</v>
      </c>
      <c r="Q488">
        <f t="shared" si="980"/>
        <v>50419600.315663017</v>
      </c>
      <c r="R488">
        <f t="shared" si="981"/>
        <v>8757616829.3921261</v>
      </c>
      <c r="S488">
        <f t="shared" si="982"/>
        <v>87576.168293921262</v>
      </c>
      <c r="T488">
        <f t="shared" si="983"/>
        <v>87.576168293921256</v>
      </c>
    </row>
    <row r="489" spans="1:20" x14ac:dyDescent="0.25">
      <c r="A489" s="5">
        <v>44104</v>
      </c>
      <c r="B489">
        <v>2.6725999999999998E-3</v>
      </c>
      <c r="C489">
        <v>2.6767000000000002E-3</v>
      </c>
      <c r="D489">
        <v>2.6158000000000002E-3</v>
      </c>
      <c r="E489">
        <v>2.6350000000000002E-3</v>
      </c>
      <c r="F489">
        <v>347857639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-0.36945812807881684</v>
      </c>
      <c r="Q489">
        <f t="shared" si="980"/>
        <v>-128518832.14285684</v>
      </c>
      <c r="R489">
        <f t="shared" si="981"/>
        <v>8707197229.0764637</v>
      </c>
      <c r="S489">
        <f t="shared" si="982"/>
        <v>87071.972290764636</v>
      </c>
      <c r="T489">
        <f t="shared" si="983"/>
        <v>87.071972290764634</v>
      </c>
    </row>
    <row r="490" spans="1:20" x14ac:dyDescent="0.25">
      <c r="A490" s="5">
        <v>44103</v>
      </c>
      <c r="B490">
        <v>2.6473999999999998E-3</v>
      </c>
      <c r="C490">
        <v>2.7049000000000001E-3</v>
      </c>
      <c r="D490">
        <v>2.6307000000000001E-3</v>
      </c>
      <c r="E490">
        <v>2.6727000000000001E-3</v>
      </c>
      <c r="F490">
        <v>412130695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0.1320754716981121</v>
      </c>
      <c r="Q490">
        <f t="shared" si="980"/>
        <v>54432355.943395771</v>
      </c>
      <c r="R490">
        <f t="shared" si="981"/>
        <v>8835716061.2193203</v>
      </c>
      <c r="S490">
        <f t="shared" si="982"/>
        <v>88357.160612193198</v>
      </c>
      <c r="T490">
        <f t="shared" si="983"/>
        <v>88.357160612193198</v>
      </c>
    </row>
    <row r="491" spans="1:20" x14ac:dyDescent="0.25">
      <c r="A491" s="5">
        <v>44102</v>
      </c>
      <c r="B491">
        <v>2.6989000000000002E-3</v>
      </c>
      <c r="C491">
        <v>2.7439999999999999E-3</v>
      </c>
      <c r="D491">
        <v>2.6183000000000001E-3</v>
      </c>
      <c r="E491">
        <v>2.6503999999999998E-3</v>
      </c>
      <c r="F491">
        <v>360127848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-0.48926014319809408</v>
      </c>
      <c r="Q491">
        <f t="shared" si="980"/>
        <v>-176196202.48210147</v>
      </c>
      <c r="R491">
        <f t="shared" si="981"/>
        <v>8781283705.2759247</v>
      </c>
      <c r="S491">
        <f t="shared" si="982"/>
        <v>87812.837052759249</v>
      </c>
      <c r="T491">
        <f t="shared" si="983"/>
        <v>87.812837052759249</v>
      </c>
    </row>
    <row r="492" spans="1:20" x14ac:dyDescent="0.25">
      <c r="A492" s="5">
        <v>44101</v>
      </c>
      <c r="B492">
        <v>2.6973000000000001E-3</v>
      </c>
      <c r="C492">
        <v>2.7350999999999999E-3</v>
      </c>
      <c r="D492">
        <v>2.6581E-3</v>
      </c>
      <c r="E492">
        <v>2.6954000000000001E-3</v>
      </c>
      <c r="F492">
        <v>236020657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-3.1168831168826371E-2</v>
      </c>
      <c r="Q492">
        <f t="shared" si="980"/>
        <v>-7356488.0103884777</v>
      </c>
      <c r="R492">
        <f t="shared" si="981"/>
        <v>8957479907.7580261</v>
      </c>
      <c r="S492">
        <f t="shared" si="982"/>
        <v>89574.799077580261</v>
      </c>
      <c r="T492">
        <f t="shared" si="983"/>
        <v>89.574799077580266</v>
      </c>
    </row>
    <row r="493" spans="1:20" x14ac:dyDescent="0.25">
      <c r="A493" s="5">
        <v>44100</v>
      </c>
      <c r="B493">
        <v>2.7044E-3</v>
      </c>
      <c r="C493">
        <v>2.761E-3</v>
      </c>
      <c r="D493">
        <v>2.6724000000000001E-3</v>
      </c>
      <c r="E493">
        <v>2.6971999999999999E-3</v>
      </c>
      <c r="F493">
        <v>311169397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-0.44018058690745443</v>
      </c>
      <c r="Q493">
        <f t="shared" si="980"/>
        <v>-136970727.7990987</v>
      </c>
      <c r="R493">
        <f t="shared" si="981"/>
        <v>8964836395.7684155</v>
      </c>
      <c r="S493">
        <f t="shared" si="982"/>
        <v>89648.363957684152</v>
      </c>
      <c r="T493">
        <f t="shared" si="983"/>
        <v>89.648363957684154</v>
      </c>
    </row>
    <row r="494" spans="1:20" x14ac:dyDescent="0.25">
      <c r="A494" s="5">
        <v>44099</v>
      </c>
      <c r="B494">
        <v>2.6297E-3</v>
      </c>
      <c r="C494">
        <v>2.7192000000000002E-3</v>
      </c>
      <c r="D494">
        <v>2.6145999999999999E-3</v>
      </c>
      <c r="E494">
        <v>2.7014999999999999E-3</v>
      </c>
      <c r="F494">
        <v>513362397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0.66156787762905889</v>
      </c>
      <c r="Q494">
        <f t="shared" si="980"/>
        <v>339624071.43785638</v>
      </c>
      <c r="R494">
        <f t="shared" si="981"/>
        <v>9101807123.5675144</v>
      </c>
      <c r="S494">
        <f t="shared" si="982"/>
        <v>91018.071235675146</v>
      </c>
      <c r="T494">
        <f t="shared" si="983"/>
        <v>91.018071235675151</v>
      </c>
    </row>
    <row r="495" spans="1:20" x14ac:dyDescent="0.25">
      <c r="A495" s="5">
        <v>44098</v>
      </c>
      <c r="B495">
        <v>2.5403000000000001E-3</v>
      </c>
      <c r="C495">
        <v>2.6611999999999999E-3</v>
      </c>
      <c r="D495">
        <v>2.5276999999999999E-3</v>
      </c>
      <c r="E495">
        <v>2.6297E-3</v>
      </c>
      <c r="F495">
        <v>388768314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0.52808988764045151</v>
      </c>
      <c r="Q495">
        <f t="shared" si="980"/>
        <v>205304615.25842777</v>
      </c>
      <c r="R495">
        <f t="shared" si="981"/>
        <v>8762183052.1296577</v>
      </c>
      <c r="S495">
        <f t="shared" si="982"/>
        <v>87621.830521296579</v>
      </c>
      <c r="T495">
        <f t="shared" si="983"/>
        <v>87.621830521296573</v>
      </c>
    </row>
    <row r="496" spans="1:20" x14ac:dyDescent="0.25">
      <c r="A496" s="5">
        <v>44097</v>
      </c>
      <c r="B496">
        <v>2.6410000000000001E-3</v>
      </c>
      <c r="C496">
        <v>2.6492999999999998E-3</v>
      </c>
      <c r="D496">
        <v>2.5363999999999999E-3</v>
      </c>
      <c r="E496">
        <v>2.5444E-3</v>
      </c>
      <c r="F496">
        <v>499113155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-0.85828166519043059</v>
      </c>
      <c r="Q496">
        <f t="shared" si="980"/>
        <v>-428379669.79184949</v>
      </c>
      <c r="R496">
        <f t="shared" si="981"/>
        <v>8556878436.8712292</v>
      </c>
      <c r="S496">
        <f t="shared" si="982"/>
        <v>85568.784368712295</v>
      </c>
      <c r="T496">
        <f t="shared" si="983"/>
        <v>85.568784368712301</v>
      </c>
    </row>
    <row r="497" spans="1:20" x14ac:dyDescent="0.25">
      <c r="A497" s="5">
        <v>44096</v>
      </c>
      <c r="B497">
        <v>2.5945999999999999E-3</v>
      </c>
      <c r="C497">
        <v>2.6587999999999998E-3</v>
      </c>
      <c r="D497">
        <v>2.5801999999999999E-3</v>
      </c>
      <c r="E497">
        <v>2.6432000000000001E-3</v>
      </c>
      <c r="F497">
        <v>695672800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0.60305343511450993</v>
      </c>
      <c r="Q497">
        <f t="shared" si="980"/>
        <v>419527871.75572944</v>
      </c>
      <c r="R497">
        <f t="shared" si="981"/>
        <v>8985258106.6630783</v>
      </c>
      <c r="S497">
        <f t="shared" si="982"/>
        <v>89852.581066630781</v>
      </c>
      <c r="T497">
        <f t="shared" si="983"/>
        <v>89.852581066630776</v>
      </c>
    </row>
    <row r="498" spans="1:20" x14ac:dyDescent="0.25">
      <c r="A498" s="5">
        <v>44095</v>
      </c>
      <c r="B498">
        <v>2.7732E-3</v>
      </c>
      <c r="C498">
        <v>2.8035E-3</v>
      </c>
      <c r="D498">
        <v>2.5688E-3</v>
      </c>
      <c r="E498">
        <v>2.5972E-3</v>
      </c>
      <c r="F498">
        <v>1374012637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-0.75798892202812063</v>
      </c>
      <c r="Q498">
        <f t="shared" si="980"/>
        <v>-1041486357.5726454</v>
      </c>
      <c r="R498">
        <f t="shared" si="981"/>
        <v>8565730234.9073486</v>
      </c>
      <c r="S498">
        <f t="shared" si="982"/>
        <v>85657.302349073492</v>
      </c>
      <c r="T498">
        <f t="shared" si="983"/>
        <v>85.65730234907349</v>
      </c>
    </row>
    <row r="499" spans="1:20" x14ac:dyDescent="0.25">
      <c r="A499" s="5">
        <v>44094</v>
      </c>
      <c r="B499">
        <v>2.7918000000000001E-3</v>
      </c>
      <c r="C499">
        <v>2.8008999999999998E-3</v>
      </c>
      <c r="D499">
        <v>2.7234E-3</v>
      </c>
      <c r="E499">
        <v>2.7729E-3</v>
      </c>
      <c r="F499">
        <v>893231406</v>
      </c>
      <c r="G499">
        <v>0</v>
      </c>
      <c r="L499" t="s">
        <v>8</v>
      </c>
      <c r="M499" t="s">
        <v>7</v>
      </c>
      <c r="N499" t="s">
        <v>7</v>
      </c>
      <c r="P499">
        <f t="shared" si="979"/>
        <v>0.27741935483871338</v>
      </c>
      <c r="Q499">
        <f t="shared" si="980"/>
        <v>247799680.37419686</v>
      </c>
      <c r="R499">
        <f t="shared" si="981"/>
        <v>9607216592.4799938</v>
      </c>
      <c r="S499">
        <f t="shared" si="982"/>
        <v>96072.165924799934</v>
      </c>
      <c r="T499">
        <f t="shared" si="983"/>
        <v>96.072165924799933</v>
      </c>
    </row>
    <row r="500" spans="1:20" x14ac:dyDescent="0.25">
      <c r="A500" s="5">
        <v>44093</v>
      </c>
      <c r="B500">
        <v>2.7875999999999999E-3</v>
      </c>
      <c r="C500">
        <v>2.8099000000000002E-3</v>
      </c>
      <c r="D500">
        <v>2.7634999999999999E-3</v>
      </c>
      <c r="E500">
        <v>2.7900999999999998E-3</v>
      </c>
      <c r="F500">
        <v>896333697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0.14655172413791975</v>
      </c>
      <c r="Q500">
        <f t="shared" si="980"/>
        <v>131359248.69826575</v>
      </c>
      <c r="R500">
        <f t="shared" si="981"/>
        <v>9359416912.1057968</v>
      </c>
      <c r="S500">
        <f t="shared" si="982"/>
        <v>93594.169121057974</v>
      </c>
      <c r="T500">
        <f t="shared" si="983"/>
        <v>93.594169121057973</v>
      </c>
    </row>
    <row r="501" spans="1:20" x14ac:dyDescent="0.25">
      <c r="A501" s="5">
        <v>44092</v>
      </c>
      <c r="B501">
        <v>2.8046999999999998E-3</v>
      </c>
      <c r="C501">
        <v>2.8149999999999998E-3</v>
      </c>
      <c r="D501">
        <v>2.7468000000000002E-3</v>
      </c>
      <c r="E501">
        <v>2.7891999999999999E-3</v>
      </c>
      <c r="F501">
        <v>596841059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0.24340175953079118</v>
      </c>
      <c r="Q501">
        <f t="shared" si="980"/>
        <v>145272163.92082074</v>
      </c>
      <c r="R501">
        <f t="shared" si="981"/>
        <v>9228057663.4075317</v>
      </c>
      <c r="S501">
        <f t="shared" si="982"/>
        <v>92280.576634075318</v>
      </c>
      <c r="T501">
        <f t="shared" si="983"/>
        <v>92.280576634075317</v>
      </c>
    </row>
    <row r="502" spans="1:20" x14ac:dyDescent="0.25">
      <c r="A502" s="5">
        <v>44091</v>
      </c>
      <c r="B502">
        <v>2.8078999999999999E-3</v>
      </c>
      <c r="C502">
        <v>2.8576999999999999E-3</v>
      </c>
      <c r="D502">
        <v>2.7625000000000002E-3</v>
      </c>
      <c r="E502">
        <v>2.8078000000000001E-3</v>
      </c>
      <c r="F502">
        <v>708422584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-4.8319327731092619E-2</v>
      </c>
      <c r="Q502">
        <f t="shared" si="980"/>
        <v>-34230503.008403488</v>
      </c>
      <c r="R502">
        <f t="shared" si="981"/>
        <v>9082785499.4867115</v>
      </c>
      <c r="S502">
        <f t="shared" si="982"/>
        <v>90827.854994867113</v>
      </c>
      <c r="T502">
        <f t="shared" si="983"/>
        <v>90.82785499486711</v>
      </c>
    </row>
    <row r="503" spans="1:20" x14ac:dyDescent="0.25">
      <c r="A503" s="5">
        <v>44090</v>
      </c>
      <c r="B503">
        <v>2.8270000000000001E-3</v>
      </c>
      <c r="C503">
        <v>2.8500000000000001E-3</v>
      </c>
      <c r="D503">
        <v>2.7799999999999999E-3</v>
      </c>
      <c r="E503">
        <v>2.8053000000000002E-3</v>
      </c>
      <c r="F503">
        <v>718768350</v>
      </c>
      <c r="G503">
        <v>0</v>
      </c>
      <c r="L503" t="s">
        <v>8</v>
      </c>
      <c r="M503" t="s">
        <v>7</v>
      </c>
      <c r="N503" t="s">
        <v>7</v>
      </c>
      <c r="P503">
        <f t="shared" si="979"/>
        <v>-0.27714285714285231</v>
      </c>
      <c r="Q503">
        <f t="shared" si="980"/>
        <v>-199201514.14285368</v>
      </c>
      <c r="R503">
        <f t="shared" si="981"/>
        <v>9117016002.4951153</v>
      </c>
      <c r="S503">
        <f t="shared" si="982"/>
        <v>91170.160024951154</v>
      </c>
      <c r="T503">
        <f t="shared" si="983"/>
        <v>91.170160024951159</v>
      </c>
    </row>
    <row r="504" spans="1:20" x14ac:dyDescent="0.25">
      <c r="A504" s="5">
        <v>44089</v>
      </c>
      <c r="B504">
        <v>2.7875999999999999E-3</v>
      </c>
      <c r="C504">
        <v>2.8698999999999999E-3</v>
      </c>
      <c r="D504">
        <v>2.7751E-3</v>
      </c>
      <c r="E504">
        <v>2.8278000000000001E-3</v>
      </c>
      <c r="F504">
        <v>837946931</v>
      </c>
      <c r="G504">
        <v>0</v>
      </c>
      <c r="L504" t="s">
        <v>8</v>
      </c>
      <c r="M504" t="s">
        <v>7</v>
      </c>
      <c r="N504" t="s">
        <v>7</v>
      </c>
      <c r="P504">
        <f t="shared" si="979"/>
        <v>0.11181434599156514</v>
      </c>
      <c r="Q504">
        <f t="shared" si="980"/>
        <v>93694488.065404162</v>
      </c>
      <c r="R504">
        <f t="shared" si="981"/>
        <v>9316217516.6379681</v>
      </c>
      <c r="S504">
        <f t="shared" si="982"/>
        <v>93162.175166379675</v>
      </c>
      <c r="T504">
        <f t="shared" si="983"/>
        <v>93.162175166379669</v>
      </c>
    </row>
    <row r="505" spans="1:20" x14ac:dyDescent="0.25">
      <c r="A505" s="5">
        <v>44088</v>
      </c>
      <c r="B505">
        <v>2.7835999999999998E-3</v>
      </c>
      <c r="C505">
        <v>2.8143E-3</v>
      </c>
      <c r="D505">
        <v>2.7334E-3</v>
      </c>
      <c r="E505">
        <v>2.7851E-3</v>
      </c>
      <c r="F505">
        <v>622069203</v>
      </c>
      <c r="G505">
        <v>0</v>
      </c>
      <c r="L505" t="s">
        <v>8</v>
      </c>
      <c r="M505" t="s">
        <v>7</v>
      </c>
      <c r="N505" t="s">
        <v>7</v>
      </c>
      <c r="P505">
        <f t="shared" si="979"/>
        <v>0.27812113720642684</v>
      </c>
      <c r="Q505">
        <f t="shared" si="980"/>
        <v>173010594.1594556</v>
      </c>
      <c r="R505">
        <f t="shared" si="981"/>
        <v>9222523028.5725632</v>
      </c>
      <c r="S505">
        <f t="shared" si="982"/>
        <v>92225.230285725629</v>
      </c>
      <c r="T505">
        <f t="shared" si="983"/>
        <v>92.22523028572563</v>
      </c>
    </row>
    <row r="506" spans="1:20" x14ac:dyDescent="0.25">
      <c r="A506" s="5">
        <v>44087</v>
      </c>
      <c r="B506">
        <v>2.8140000000000001E-3</v>
      </c>
      <c r="C506">
        <v>2.8199000000000002E-3</v>
      </c>
      <c r="D506">
        <v>2.7403000000000002E-3</v>
      </c>
      <c r="E506">
        <v>2.7829999999999999E-3</v>
      </c>
      <c r="F506">
        <v>736932793</v>
      </c>
      <c r="G506">
        <v>0</v>
      </c>
      <c r="L506" t="s">
        <v>8</v>
      </c>
      <c r="M506" t="s">
        <v>7</v>
      </c>
      <c r="N506" t="s">
        <v>7</v>
      </c>
      <c r="P506">
        <f t="shared" si="979"/>
        <v>7.2864321608032454E-2</v>
      </c>
      <c r="Q506">
        <f t="shared" si="980"/>
        <v>53696108.032657608</v>
      </c>
      <c r="R506">
        <f t="shared" si="981"/>
        <v>9049512434.4131069</v>
      </c>
      <c r="S506">
        <f t="shared" si="982"/>
        <v>90495.124344131065</v>
      </c>
      <c r="T506">
        <f t="shared" si="983"/>
        <v>90.495124344131071</v>
      </c>
    </row>
    <row r="507" spans="1:20" x14ac:dyDescent="0.25">
      <c r="A507" s="5">
        <v>44086</v>
      </c>
      <c r="B507">
        <v>2.7951999999999999E-3</v>
      </c>
      <c r="C507">
        <v>2.8321000000000002E-3</v>
      </c>
      <c r="D507">
        <v>2.7599999999999999E-3</v>
      </c>
      <c r="E507">
        <v>2.8140999999999999E-3</v>
      </c>
      <c r="F507">
        <v>538072324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0.50069348127600144</v>
      </c>
      <c r="Q507">
        <f t="shared" si="980"/>
        <v>269409305.08182859</v>
      </c>
      <c r="R507">
        <f t="shared" si="981"/>
        <v>8995816326.3804493</v>
      </c>
      <c r="S507">
        <f t="shared" si="982"/>
        <v>89958.163263804498</v>
      </c>
      <c r="T507">
        <f t="shared" si="983"/>
        <v>89.958163263804494</v>
      </c>
    </row>
    <row r="508" spans="1:20" x14ac:dyDescent="0.25">
      <c r="A508" s="5">
        <v>44085</v>
      </c>
      <c r="B508">
        <v>2.8059999999999999E-3</v>
      </c>
      <c r="C508">
        <v>2.82E-3</v>
      </c>
      <c r="D508">
        <v>2.7363999999999999E-3</v>
      </c>
      <c r="E508">
        <v>2.7956000000000001E-3</v>
      </c>
      <c r="F508">
        <v>633511688</v>
      </c>
      <c r="G508">
        <v>0</v>
      </c>
      <c r="L508" t="s">
        <v>8</v>
      </c>
      <c r="M508" t="s">
        <v>7</v>
      </c>
      <c r="N508" t="s">
        <v>7</v>
      </c>
      <c r="P508">
        <f t="shared" si="979"/>
        <v>0.41626794258373401</v>
      </c>
      <c r="Q508">
        <f t="shared" si="980"/>
        <v>263710606.96650842</v>
      </c>
      <c r="R508">
        <f t="shared" si="981"/>
        <v>8726407021.2986202</v>
      </c>
      <c r="S508">
        <f t="shared" si="982"/>
        <v>87264.070212986204</v>
      </c>
      <c r="T508">
        <f t="shared" si="983"/>
        <v>87.264070212986198</v>
      </c>
    </row>
    <row r="509" spans="1:20" x14ac:dyDescent="0.25">
      <c r="A509" s="5">
        <v>44084</v>
      </c>
      <c r="B509">
        <v>2.7778999999999998E-3</v>
      </c>
      <c r="C509">
        <v>2.8479999999999998E-3</v>
      </c>
      <c r="D509">
        <v>2.7521999999999998E-3</v>
      </c>
      <c r="E509">
        <v>2.8077000000000002E-3</v>
      </c>
      <c r="F509">
        <v>589054621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0.15866388308977866</v>
      </c>
      <c r="Q509">
        <f t="shared" si="980"/>
        <v>93461693.519837886</v>
      </c>
      <c r="R509">
        <f t="shared" si="981"/>
        <v>8462696414.3321123</v>
      </c>
      <c r="S509">
        <f t="shared" si="982"/>
        <v>84626.964143321122</v>
      </c>
      <c r="T509">
        <f t="shared" si="983"/>
        <v>84.626964143321118</v>
      </c>
    </row>
    <row r="510" spans="1:20" x14ac:dyDescent="0.25">
      <c r="A510" s="5">
        <v>44083</v>
      </c>
      <c r="B510">
        <v>2.7455000000000001E-3</v>
      </c>
      <c r="C510">
        <v>2.8050000000000002E-3</v>
      </c>
      <c r="D510">
        <v>2.6863E-3</v>
      </c>
      <c r="E510">
        <v>2.7789999999999998E-3</v>
      </c>
      <c r="F510">
        <v>603901405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0.56192080876157768</v>
      </c>
      <c r="Q510">
        <f t="shared" si="980"/>
        <v>339344765.9098531</v>
      </c>
      <c r="R510">
        <f t="shared" si="981"/>
        <v>8369234720.812274</v>
      </c>
      <c r="S510">
        <f t="shared" si="982"/>
        <v>83692.347208122737</v>
      </c>
      <c r="T510">
        <f t="shared" si="983"/>
        <v>83.69234720812274</v>
      </c>
    </row>
    <row r="511" spans="1:20" x14ac:dyDescent="0.25">
      <c r="A511" s="5">
        <v>44082</v>
      </c>
      <c r="B511">
        <v>2.8188000000000002E-3</v>
      </c>
      <c r="C511">
        <v>2.8386000000000002E-3</v>
      </c>
      <c r="D511">
        <v>2.6741999999999998E-3</v>
      </c>
      <c r="E511">
        <v>2.7469999999999999E-3</v>
      </c>
      <c r="F511">
        <v>602845165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-0.11435523114355356</v>
      </c>
      <c r="Q511">
        <f t="shared" si="980"/>
        <v>-68938498.187348679</v>
      </c>
      <c r="R511">
        <f t="shared" si="981"/>
        <v>8029889954.902421</v>
      </c>
      <c r="S511">
        <f t="shared" si="982"/>
        <v>80298.899549024209</v>
      </c>
      <c r="T511">
        <f t="shared" si="983"/>
        <v>80.298899549024213</v>
      </c>
    </row>
    <row r="512" spans="1:20" x14ac:dyDescent="0.25">
      <c r="A512" s="5">
        <v>44081</v>
      </c>
      <c r="B512">
        <v>2.7813999999999998E-3</v>
      </c>
      <c r="C512">
        <v>2.8373000000000001E-3</v>
      </c>
      <c r="D512">
        <v>2.6879999999999999E-3</v>
      </c>
      <c r="E512">
        <v>2.8151000000000001E-3</v>
      </c>
      <c r="F512">
        <v>930536034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0.70261219022103194</v>
      </c>
      <c r="Q512">
        <f t="shared" si="980"/>
        <v>653805960.92833269</v>
      </c>
      <c r="R512">
        <f t="shared" si="981"/>
        <v>8098828453.0897694</v>
      </c>
      <c r="S512">
        <f t="shared" si="982"/>
        <v>80988.284530897698</v>
      </c>
      <c r="T512">
        <f t="shared" si="983"/>
        <v>80.988284530897701</v>
      </c>
    </row>
    <row r="513" spans="1:20" x14ac:dyDescent="0.25">
      <c r="A513" s="5">
        <v>44080</v>
      </c>
      <c r="B513">
        <v>2.7504999999999999E-3</v>
      </c>
      <c r="C513">
        <v>2.8067999999999999E-3</v>
      </c>
      <c r="D513">
        <v>2.6874999999999998E-3</v>
      </c>
      <c r="E513">
        <v>2.7859E-3</v>
      </c>
      <c r="F513">
        <v>1165434272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0.6496227996647127</v>
      </c>
      <c r="Q513">
        <f t="shared" si="980"/>
        <v>757092674.60184634</v>
      </c>
      <c r="R513">
        <f t="shared" si="981"/>
        <v>7445022492.161437</v>
      </c>
      <c r="S513">
        <f t="shared" si="982"/>
        <v>74450.224921614368</v>
      </c>
      <c r="T513">
        <f t="shared" si="983"/>
        <v>74.450224921614364</v>
      </c>
    </row>
    <row r="514" spans="1:20" x14ac:dyDescent="0.25">
      <c r="A514" s="5">
        <v>44079</v>
      </c>
      <c r="B514">
        <v>2.8789000000000002E-3</v>
      </c>
      <c r="C514">
        <v>2.9269000000000001E-3</v>
      </c>
      <c r="D514">
        <v>2.6786000000000002E-3</v>
      </c>
      <c r="E514">
        <v>2.764E-3</v>
      </c>
      <c r="F514">
        <v>1058743832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-0.31212243254128208</v>
      </c>
      <c r="Q514">
        <f t="shared" si="980"/>
        <v>-330457700.28191847</v>
      </c>
      <c r="R514">
        <f t="shared" si="981"/>
        <v>6687929817.5595903</v>
      </c>
      <c r="S514">
        <f t="shared" si="982"/>
        <v>66879.298175595904</v>
      </c>
      <c r="T514">
        <f t="shared" si="983"/>
        <v>66.879298175595906</v>
      </c>
    </row>
    <row r="515" spans="1:20" x14ac:dyDescent="0.25">
      <c r="A515" s="5">
        <v>44078</v>
      </c>
      <c r="B515">
        <v>2.7704000000000001E-3</v>
      </c>
      <c r="C515">
        <v>2.9632E-3</v>
      </c>
      <c r="D515">
        <v>2.7006E-3</v>
      </c>
      <c r="E515">
        <v>2.8796999999999998E-3</v>
      </c>
      <c r="F515">
        <v>1128781264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0.3640517897943622</v>
      </c>
      <c r="Q515">
        <f t="shared" si="980"/>
        <v>410934839.44554245</v>
      </c>
      <c r="R515">
        <f t="shared" si="981"/>
        <v>7018387517.8415089</v>
      </c>
      <c r="S515">
        <f t="shared" si="982"/>
        <v>70183.875178415095</v>
      </c>
      <c r="T515">
        <f t="shared" si="983"/>
        <v>70.183875178415093</v>
      </c>
    </row>
    <row r="516" spans="1:20" x14ac:dyDescent="0.25">
      <c r="A516" s="5">
        <v>44077</v>
      </c>
      <c r="B516">
        <v>3.1185000000000002E-3</v>
      </c>
      <c r="C516">
        <v>3.1264999999999999E-3</v>
      </c>
      <c r="D516">
        <v>2.7000000000000001E-3</v>
      </c>
      <c r="E516">
        <v>2.7691999999999999E-3</v>
      </c>
      <c r="F516">
        <v>1202524192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-0.67549824150058724</v>
      </c>
      <c r="Q516">
        <f t="shared" si="980"/>
        <v>-812302977.0579145</v>
      </c>
      <c r="R516">
        <f t="shared" si="981"/>
        <v>6607452678.3959665</v>
      </c>
      <c r="S516">
        <f t="shared" si="982"/>
        <v>66074.526783959664</v>
      </c>
      <c r="T516">
        <f t="shared" si="983"/>
        <v>66.074526783959669</v>
      </c>
    </row>
    <row r="517" spans="1:20" x14ac:dyDescent="0.25">
      <c r="A517" s="5">
        <v>44076</v>
      </c>
      <c r="B517">
        <v>3.2398000000000001E-3</v>
      </c>
      <c r="C517">
        <v>3.2626E-3</v>
      </c>
      <c r="D517">
        <v>3.0100999999999999E-3</v>
      </c>
      <c r="E517">
        <v>3.1161000000000001E-3</v>
      </c>
      <c r="F517">
        <v>758139570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-0.16039603960395929</v>
      </c>
      <c r="Q517">
        <f t="shared" si="980"/>
        <v>-121602584.49504867</v>
      </c>
      <c r="R517">
        <f t="shared" si="981"/>
        <v>7419755655.4538813</v>
      </c>
      <c r="S517">
        <f t="shared" si="982"/>
        <v>74197.556554538809</v>
      </c>
      <c r="T517">
        <f t="shared" si="983"/>
        <v>74.197556554538806</v>
      </c>
    </row>
    <row r="518" spans="1:20" x14ac:dyDescent="0.25">
      <c r="A518" s="5">
        <v>44075</v>
      </c>
      <c r="B518">
        <v>3.2060999999999999E-3</v>
      </c>
      <c r="C518">
        <v>3.2783999999999999E-3</v>
      </c>
      <c r="D518">
        <v>3.1519E-3</v>
      </c>
      <c r="E518">
        <v>3.2410999999999998E-3</v>
      </c>
      <c r="F518">
        <v>728992095</v>
      </c>
      <c r="G518">
        <v>0</v>
      </c>
      <c r="L518" t="s">
        <v>8</v>
      </c>
      <c r="M518" t="s">
        <v>7</v>
      </c>
      <c r="N518" t="s">
        <v>7</v>
      </c>
      <c r="P518">
        <f t="shared" ref="P518:P581" si="984">IF(C518=D518,0,((E518-D518)-(C518-E518))/(C518-D518))</f>
        <v>0.4102766798418952</v>
      </c>
      <c r="Q518">
        <f t="shared" ref="Q518:Q581" si="985">F518*P518</f>
        <v>299088456.36758745</v>
      </c>
      <c r="R518">
        <f t="shared" ref="R518:R581" si="986">R519+Q518</f>
        <v>7541358239.9489298</v>
      </c>
      <c r="S518">
        <f t="shared" ref="S518:S581" si="987">R518/100000</f>
        <v>75413.5823994893</v>
      </c>
      <c r="T518">
        <f t="shared" ref="T518:T581" si="988">S518/1000</f>
        <v>75.4135823994893</v>
      </c>
    </row>
    <row r="519" spans="1:20" x14ac:dyDescent="0.25">
      <c r="A519" s="5">
        <v>44074</v>
      </c>
      <c r="B519">
        <v>3.2981E-3</v>
      </c>
      <c r="C519">
        <v>3.3054E-3</v>
      </c>
      <c r="D519">
        <v>3.1841E-3</v>
      </c>
      <c r="E519">
        <v>3.2073000000000002E-3</v>
      </c>
      <c r="F519">
        <v>792397030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-0.61747732893651874</v>
      </c>
      <c r="Q519">
        <f t="shared" si="985"/>
        <v>-489287201.54163051</v>
      </c>
      <c r="R519">
        <f t="shared" si="986"/>
        <v>7242269783.5813427</v>
      </c>
      <c r="S519">
        <f t="shared" si="987"/>
        <v>72422.697835813422</v>
      </c>
      <c r="T519">
        <f t="shared" si="988"/>
        <v>72.422697835813423</v>
      </c>
    </row>
    <row r="520" spans="1:20" x14ac:dyDescent="0.25">
      <c r="A520" s="5">
        <v>44073</v>
      </c>
      <c r="B520">
        <v>3.2751E-3</v>
      </c>
      <c r="C520">
        <v>3.3479999999999998E-3</v>
      </c>
      <c r="D520">
        <v>3.261E-3</v>
      </c>
      <c r="E520">
        <v>3.2981E-3</v>
      </c>
      <c r="F520">
        <v>456619299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-0.14712643678160806</v>
      </c>
      <c r="Q520">
        <f t="shared" si="985"/>
        <v>-67180770.427585691</v>
      </c>
      <c r="R520">
        <f t="shared" si="986"/>
        <v>7731556985.1229734</v>
      </c>
      <c r="S520">
        <f t="shared" si="987"/>
        <v>77315.569851229739</v>
      </c>
      <c r="T520">
        <f t="shared" si="988"/>
        <v>77.315569851229739</v>
      </c>
    </row>
    <row r="521" spans="1:20" x14ac:dyDescent="0.25">
      <c r="A521" s="5">
        <v>44072</v>
      </c>
      <c r="B521">
        <v>3.2636000000000002E-3</v>
      </c>
      <c r="C521">
        <v>3.2973E-3</v>
      </c>
      <c r="D521">
        <v>3.2285E-3</v>
      </c>
      <c r="E521">
        <v>3.2748999999999999E-3</v>
      </c>
      <c r="F521">
        <v>443081651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0.34883720930232176</v>
      </c>
      <c r="Q521">
        <f t="shared" si="985"/>
        <v>154563366.62790528</v>
      </c>
      <c r="R521">
        <f t="shared" si="986"/>
        <v>7798737755.550559</v>
      </c>
      <c r="S521">
        <f t="shared" si="987"/>
        <v>77987.377555505591</v>
      </c>
      <c r="T521">
        <f t="shared" si="988"/>
        <v>77.987377555505589</v>
      </c>
    </row>
    <row r="522" spans="1:20" x14ac:dyDescent="0.25">
      <c r="A522" s="5">
        <v>44071</v>
      </c>
      <c r="B522">
        <v>3.2017E-3</v>
      </c>
      <c r="C522">
        <v>3.2686999999999998E-3</v>
      </c>
      <c r="D522">
        <v>3.1678000000000001E-3</v>
      </c>
      <c r="E522">
        <v>3.2637E-3</v>
      </c>
      <c r="F522">
        <v>414648220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0.90089197224975592</v>
      </c>
      <c r="Q522">
        <f t="shared" si="985"/>
        <v>373553252.70565069</v>
      </c>
      <c r="R522">
        <f t="shared" si="986"/>
        <v>7644174388.9226542</v>
      </c>
      <c r="S522">
        <f t="shared" si="987"/>
        <v>76441.743889226535</v>
      </c>
      <c r="T522">
        <f t="shared" si="988"/>
        <v>76.44174388922653</v>
      </c>
    </row>
    <row r="523" spans="1:20" x14ac:dyDescent="0.25">
      <c r="A523" s="5">
        <v>44070</v>
      </c>
      <c r="B523">
        <v>3.2916E-3</v>
      </c>
      <c r="C523">
        <v>3.3078000000000001E-3</v>
      </c>
      <c r="D523">
        <v>3.1427E-3</v>
      </c>
      <c r="E523">
        <v>3.1997000000000002E-3</v>
      </c>
      <c r="F523">
        <v>811879341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-0.3095093882495436</v>
      </c>
      <c r="Q523">
        <f t="shared" si="985"/>
        <v>-251284278.16535261</v>
      </c>
      <c r="R523">
        <f t="shared" si="986"/>
        <v>7270621136.2170038</v>
      </c>
      <c r="S523">
        <f t="shared" si="987"/>
        <v>72706.211362170041</v>
      </c>
      <c r="T523">
        <f t="shared" si="988"/>
        <v>72.706211362170038</v>
      </c>
    </row>
    <row r="524" spans="1:20" x14ac:dyDescent="0.25">
      <c r="A524" s="5">
        <v>44069</v>
      </c>
      <c r="B524">
        <v>3.2896000000000002E-3</v>
      </c>
      <c r="C524">
        <v>3.3460999999999999E-3</v>
      </c>
      <c r="D524">
        <v>3.2323E-3</v>
      </c>
      <c r="E524">
        <v>3.2939000000000002E-3</v>
      </c>
      <c r="F524">
        <v>573094887</v>
      </c>
      <c r="G524">
        <v>0</v>
      </c>
      <c r="L524" t="s">
        <v>7</v>
      </c>
      <c r="M524" t="s">
        <v>8</v>
      </c>
      <c r="N524" t="s">
        <v>7</v>
      </c>
      <c r="P524">
        <f t="shared" si="984"/>
        <v>8.2601054481551556E-2</v>
      </c>
      <c r="Q524">
        <f t="shared" si="985"/>
        <v>47338241.984185636</v>
      </c>
      <c r="R524">
        <f t="shared" si="986"/>
        <v>7521905414.3823566</v>
      </c>
      <c r="S524">
        <f t="shared" si="987"/>
        <v>75219.054143823567</v>
      </c>
      <c r="T524">
        <f t="shared" si="988"/>
        <v>75.21905414382357</v>
      </c>
    </row>
    <row r="525" spans="1:20" x14ac:dyDescent="0.25">
      <c r="A525" s="5">
        <v>44068</v>
      </c>
      <c r="B525">
        <v>3.4069999999999999E-3</v>
      </c>
      <c r="C525">
        <v>3.4261000000000001E-3</v>
      </c>
      <c r="D525">
        <v>3.2092000000000002E-3</v>
      </c>
      <c r="E525">
        <v>3.2907000000000001E-3</v>
      </c>
      <c r="F525">
        <v>804352786</v>
      </c>
      <c r="G525">
        <v>0</v>
      </c>
      <c r="L525" t="s">
        <v>7</v>
      </c>
      <c r="M525" t="s">
        <v>8</v>
      </c>
      <c r="N525" t="s">
        <v>7</v>
      </c>
      <c r="P525">
        <f t="shared" si="984"/>
        <v>-0.24850161364684176</v>
      </c>
      <c r="Q525">
        <f t="shared" si="985"/>
        <v>-199882965.2623328</v>
      </c>
      <c r="R525">
        <f t="shared" si="986"/>
        <v>7474567172.3981714</v>
      </c>
      <c r="S525">
        <f t="shared" si="987"/>
        <v>74745.671723981708</v>
      </c>
      <c r="T525">
        <f t="shared" si="988"/>
        <v>74.745671723981701</v>
      </c>
    </row>
    <row r="526" spans="1:20" x14ac:dyDescent="0.25">
      <c r="A526" s="5">
        <v>44067</v>
      </c>
      <c r="B526">
        <v>3.3977E-3</v>
      </c>
      <c r="C526">
        <v>3.4689E-3</v>
      </c>
      <c r="D526">
        <v>3.3714999999999999E-3</v>
      </c>
      <c r="E526">
        <v>3.4115999999999999E-3</v>
      </c>
      <c r="F526">
        <v>697239432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-0.17659137577002243</v>
      </c>
      <c r="Q526">
        <f t="shared" si="985"/>
        <v>-123126470.53798901</v>
      </c>
      <c r="R526">
        <f t="shared" si="986"/>
        <v>7674450137.6605043</v>
      </c>
      <c r="S526">
        <f t="shared" si="987"/>
        <v>76744.50137660504</v>
      </c>
      <c r="T526">
        <f t="shared" si="988"/>
        <v>76.744501376605044</v>
      </c>
    </row>
    <row r="527" spans="1:20" x14ac:dyDescent="0.25">
      <c r="A527" s="5">
        <v>44066</v>
      </c>
      <c r="B527">
        <v>3.431E-3</v>
      </c>
      <c r="C527">
        <v>3.4562E-3</v>
      </c>
      <c r="D527">
        <v>3.3606999999999999E-3</v>
      </c>
      <c r="E527">
        <v>3.3955000000000001E-3</v>
      </c>
      <c r="F527">
        <v>449353268</v>
      </c>
      <c r="G527">
        <v>0</v>
      </c>
      <c r="L527" t="s">
        <v>7</v>
      </c>
      <c r="M527" t="s">
        <v>8</v>
      </c>
      <c r="N527" t="s">
        <v>7</v>
      </c>
      <c r="P527">
        <f t="shared" si="984"/>
        <v>-0.27120418848167205</v>
      </c>
      <c r="Q527">
        <f t="shared" si="985"/>
        <v>-121866488.38952729</v>
      </c>
      <c r="R527">
        <f t="shared" si="986"/>
        <v>7797576608.198493</v>
      </c>
      <c r="S527">
        <f t="shared" si="987"/>
        <v>77975.766081984926</v>
      </c>
      <c r="T527">
        <f t="shared" si="988"/>
        <v>77.975766081984929</v>
      </c>
    </row>
    <row r="528" spans="1:20" x14ac:dyDescent="0.25">
      <c r="A528" s="5">
        <v>44065</v>
      </c>
      <c r="B528">
        <v>3.3808000000000002E-3</v>
      </c>
      <c r="C528">
        <v>3.4605E-3</v>
      </c>
      <c r="D528">
        <v>3.3200999999999999E-3</v>
      </c>
      <c r="E528">
        <v>3.4331000000000001E-3</v>
      </c>
      <c r="F528">
        <v>663901289</v>
      </c>
      <c r="G528">
        <v>0</v>
      </c>
      <c r="L528" t="s">
        <v>7</v>
      </c>
      <c r="M528" t="s">
        <v>8</v>
      </c>
      <c r="N528" t="s">
        <v>7</v>
      </c>
      <c r="P528">
        <f t="shared" si="984"/>
        <v>0.60968660968661148</v>
      </c>
      <c r="Q528">
        <f t="shared" si="985"/>
        <v>404771726.05698127</v>
      </c>
      <c r="R528">
        <f t="shared" si="986"/>
        <v>7919443096.5880203</v>
      </c>
      <c r="S528">
        <f t="shared" si="987"/>
        <v>79194.430965880209</v>
      </c>
      <c r="T528">
        <f t="shared" si="988"/>
        <v>79.194430965880215</v>
      </c>
    </row>
    <row r="529" spans="1:20" x14ac:dyDescent="0.25">
      <c r="A529" s="5">
        <v>44064</v>
      </c>
      <c r="B529">
        <v>3.4386E-3</v>
      </c>
      <c r="C529">
        <v>3.5650999999999999E-3</v>
      </c>
      <c r="D529">
        <v>3.3622000000000001E-3</v>
      </c>
      <c r="E529">
        <v>3.3776000000000001E-3</v>
      </c>
      <c r="F529">
        <v>1082335183</v>
      </c>
      <c r="G529">
        <v>0</v>
      </c>
      <c r="L529" t="s">
        <v>8</v>
      </c>
      <c r="M529" t="s">
        <v>8</v>
      </c>
      <c r="N529" t="s">
        <v>7</v>
      </c>
      <c r="P529">
        <f t="shared" si="984"/>
        <v>-0.84820108427796881</v>
      </c>
      <c r="Q529">
        <f t="shared" si="985"/>
        <v>-918037875.77279377</v>
      </c>
      <c r="R529">
        <f t="shared" si="986"/>
        <v>7514671370.5310392</v>
      </c>
      <c r="S529">
        <f t="shared" si="987"/>
        <v>75146.713705310394</v>
      </c>
      <c r="T529">
        <f t="shared" si="988"/>
        <v>75.14671370531039</v>
      </c>
    </row>
    <row r="530" spans="1:20" x14ac:dyDescent="0.25">
      <c r="A530" s="5">
        <v>44063</v>
      </c>
      <c r="B530">
        <v>3.4196999999999999E-3</v>
      </c>
      <c r="C530">
        <v>3.5043000000000001E-3</v>
      </c>
      <c r="D530">
        <v>3.3711000000000001E-3</v>
      </c>
      <c r="E530">
        <v>3.4399000000000001E-3</v>
      </c>
      <c r="F530">
        <v>483184322</v>
      </c>
      <c r="G530">
        <v>0</v>
      </c>
      <c r="L530" t="s">
        <v>7</v>
      </c>
      <c r="M530" t="s">
        <v>8</v>
      </c>
      <c r="N530" t="s">
        <v>7</v>
      </c>
      <c r="P530">
        <f t="shared" si="984"/>
        <v>3.3033033033032212E-2</v>
      </c>
      <c r="Q530">
        <f t="shared" si="985"/>
        <v>15961043.669669272</v>
      </c>
      <c r="R530">
        <f t="shared" si="986"/>
        <v>8432709246.303833</v>
      </c>
      <c r="S530">
        <f t="shared" si="987"/>
        <v>84327.092463038323</v>
      </c>
      <c r="T530">
        <f t="shared" si="988"/>
        <v>84.327092463038326</v>
      </c>
    </row>
    <row r="531" spans="1:20" x14ac:dyDescent="0.25">
      <c r="A531" s="5">
        <v>44062</v>
      </c>
      <c r="B531">
        <v>3.4795E-3</v>
      </c>
      <c r="C531">
        <v>3.5374E-3</v>
      </c>
      <c r="D531">
        <v>3.3341E-3</v>
      </c>
      <c r="E531">
        <v>3.4196000000000001E-3</v>
      </c>
      <c r="F531">
        <v>865075768</v>
      </c>
      <c r="G531">
        <v>0</v>
      </c>
      <c r="L531" t="s">
        <v>7</v>
      </c>
      <c r="M531" t="s">
        <v>8</v>
      </c>
      <c r="N531" t="s">
        <v>7</v>
      </c>
      <c r="P531">
        <f t="shared" si="984"/>
        <v>-0.15887850467289652</v>
      </c>
      <c r="Q531">
        <f t="shared" si="985"/>
        <v>-137441944.44859755</v>
      </c>
      <c r="R531">
        <f t="shared" si="986"/>
        <v>8416748202.6341639</v>
      </c>
      <c r="S531">
        <f t="shared" si="987"/>
        <v>84167.482026341633</v>
      </c>
      <c r="T531">
        <f t="shared" si="988"/>
        <v>84.167482026341631</v>
      </c>
    </row>
    <row r="532" spans="1:20" x14ac:dyDescent="0.25">
      <c r="A532" s="5">
        <v>44061</v>
      </c>
      <c r="B532">
        <v>3.5821E-3</v>
      </c>
      <c r="C532">
        <v>3.7165000000000002E-3</v>
      </c>
      <c r="D532">
        <v>3.4296999999999999E-3</v>
      </c>
      <c r="E532">
        <v>3.4759999999999999E-3</v>
      </c>
      <c r="F532">
        <v>1122350625</v>
      </c>
      <c r="G532">
        <v>0</v>
      </c>
      <c r="L532" t="s">
        <v>7</v>
      </c>
      <c r="M532" t="s">
        <v>8</v>
      </c>
      <c r="N532" t="s">
        <v>7</v>
      </c>
      <c r="P532">
        <f t="shared" si="984"/>
        <v>-0.67712691771269218</v>
      </c>
      <c r="Q532">
        <f t="shared" si="985"/>
        <v>-759973819.29916358</v>
      </c>
      <c r="R532">
        <f t="shared" si="986"/>
        <v>8554190147.0827618</v>
      </c>
      <c r="S532">
        <f t="shared" si="987"/>
        <v>85541.901470827623</v>
      </c>
      <c r="T532">
        <f t="shared" si="988"/>
        <v>85.541901470827625</v>
      </c>
    </row>
    <row r="533" spans="1:20" x14ac:dyDescent="0.25">
      <c r="A533" s="5">
        <v>44060</v>
      </c>
      <c r="B533">
        <v>3.5260000000000001E-3</v>
      </c>
      <c r="C533">
        <v>3.7238000000000002E-3</v>
      </c>
      <c r="D533">
        <v>3.4927000000000001E-3</v>
      </c>
      <c r="E533">
        <v>3.5877000000000001E-3</v>
      </c>
      <c r="F533">
        <v>1596549440</v>
      </c>
      <c r="G533">
        <v>0</v>
      </c>
      <c r="L533" t="s">
        <v>8</v>
      </c>
      <c r="M533" t="s">
        <v>8</v>
      </c>
      <c r="N533" t="s">
        <v>7</v>
      </c>
      <c r="P533">
        <f t="shared" si="984"/>
        <v>-0.17784508870618804</v>
      </c>
      <c r="Q533">
        <f t="shared" si="985"/>
        <v>-283938476.78061485</v>
      </c>
      <c r="R533">
        <f t="shared" si="986"/>
        <v>9314163966.3819256</v>
      </c>
      <c r="S533">
        <f t="shared" si="987"/>
        <v>93141.639663819253</v>
      </c>
      <c r="T533">
        <f t="shared" si="988"/>
        <v>93.141639663819248</v>
      </c>
    </row>
    <row r="534" spans="1:20" x14ac:dyDescent="0.25">
      <c r="A534" s="5">
        <v>44059</v>
      </c>
      <c r="B534">
        <v>3.5319000000000001E-3</v>
      </c>
      <c r="C534">
        <v>3.5582999999999999E-3</v>
      </c>
      <c r="D534">
        <v>3.4382000000000002E-3</v>
      </c>
      <c r="E534">
        <v>3.5301999999999998E-3</v>
      </c>
      <c r="F534">
        <v>756283319</v>
      </c>
      <c r="G534">
        <v>0</v>
      </c>
      <c r="L534" t="s">
        <v>8</v>
      </c>
      <c r="M534" t="s">
        <v>7</v>
      </c>
      <c r="N534" t="s">
        <v>7</v>
      </c>
      <c r="P534">
        <f t="shared" si="984"/>
        <v>0.53205661948376104</v>
      </c>
      <c r="Q534">
        <f t="shared" si="985"/>
        <v>402385546.07909888</v>
      </c>
      <c r="R534">
        <f t="shared" si="986"/>
        <v>9598102443.1625404</v>
      </c>
      <c r="S534">
        <f t="shared" si="987"/>
        <v>95981.02443162541</v>
      </c>
      <c r="T534">
        <f t="shared" si="988"/>
        <v>95.981024431625414</v>
      </c>
    </row>
    <row r="535" spans="1:20" x14ac:dyDescent="0.25">
      <c r="A535" s="5">
        <v>44058</v>
      </c>
      <c r="B535">
        <v>3.5736000000000001E-3</v>
      </c>
      <c r="C535">
        <v>3.6243E-3</v>
      </c>
      <c r="D535">
        <v>3.4616999999999998E-3</v>
      </c>
      <c r="E535">
        <v>3.5328E-3</v>
      </c>
      <c r="F535">
        <v>1065565878</v>
      </c>
      <c r="G535">
        <v>0</v>
      </c>
      <c r="L535" t="s">
        <v>8</v>
      </c>
      <c r="M535" t="s">
        <v>7</v>
      </c>
      <c r="N535" t="s">
        <v>7</v>
      </c>
      <c r="P535">
        <f t="shared" si="984"/>
        <v>-0.12546125461254506</v>
      </c>
      <c r="Q535">
        <f t="shared" si="985"/>
        <v>-133687231.92619812</v>
      </c>
      <c r="R535">
        <f t="shared" si="986"/>
        <v>9195716897.0834408</v>
      </c>
      <c r="S535">
        <f t="shared" si="987"/>
        <v>91957.168970834406</v>
      </c>
      <c r="T535">
        <f t="shared" si="988"/>
        <v>91.957168970834402</v>
      </c>
    </row>
    <row r="536" spans="1:20" x14ac:dyDescent="0.25">
      <c r="A536" s="5">
        <v>44057</v>
      </c>
      <c r="B536">
        <v>3.4876999999999998E-3</v>
      </c>
      <c r="C536">
        <v>3.5899999999999999E-3</v>
      </c>
      <c r="D536">
        <v>3.4334000000000001E-3</v>
      </c>
      <c r="E536">
        <v>3.5731000000000001E-3</v>
      </c>
      <c r="F536">
        <v>852114289</v>
      </c>
      <c r="G536">
        <v>0</v>
      </c>
      <c r="L536" t="s">
        <v>8</v>
      </c>
      <c r="M536" t="s">
        <v>7</v>
      </c>
      <c r="N536" t="s">
        <v>7</v>
      </c>
      <c r="P536">
        <f t="shared" si="984"/>
        <v>0.78416347381864837</v>
      </c>
      <c r="Q536">
        <f t="shared" si="985"/>
        <v>668196900.9527477</v>
      </c>
      <c r="R536">
        <f t="shared" si="986"/>
        <v>9329404129.0096397</v>
      </c>
      <c r="S536">
        <f t="shared" si="987"/>
        <v>93294.0412900964</v>
      </c>
      <c r="T536">
        <f t="shared" si="988"/>
        <v>93.294041290096402</v>
      </c>
    </row>
    <row r="537" spans="1:20" x14ac:dyDescent="0.25">
      <c r="A537" s="5">
        <v>44056</v>
      </c>
      <c r="B537">
        <v>3.4599000000000001E-3</v>
      </c>
      <c r="C537">
        <v>3.5208000000000001E-3</v>
      </c>
      <c r="D537">
        <v>3.3349999999999999E-3</v>
      </c>
      <c r="E537">
        <v>3.4876999999999998E-3</v>
      </c>
      <c r="F537">
        <v>1141424689</v>
      </c>
      <c r="G537">
        <v>0</v>
      </c>
      <c r="L537" t="s">
        <v>7</v>
      </c>
      <c r="M537" t="s">
        <v>7</v>
      </c>
      <c r="N537" t="s">
        <v>7</v>
      </c>
      <c r="P537">
        <f t="shared" si="984"/>
        <v>0.6437029063509121</v>
      </c>
      <c r="Q537">
        <f t="shared" si="985"/>
        <v>734738389.68998599</v>
      </c>
      <c r="R537">
        <f t="shared" si="986"/>
        <v>8661207228.0568924</v>
      </c>
      <c r="S537">
        <f t="shared" si="987"/>
        <v>86612.072280568929</v>
      </c>
      <c r="T537">
        <f t="shared" si="988"/>
        <v>86.612072280568924</v>
      </c>
    </row>
    <row r="538" spans="1:20" x14ac:dyDescent="0.25">
      <c r="A538" s="5">
        <v>44055</v>
      </c>
      <c r="B538">
        <v>3.3873000000000002E-3</v>
      </c>
      <c r="C538">
        <v>3.4965E-3</v>
      </c>
      <c r="D538">
        <v>3.3165E-3</v>
      </c>
      <c r="E538">
        <v>3.4605999999999999E-3</v>
      </c>
      <c r="F538">
        <v>829060692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0.60111111111110938</v>
      </c>
      <c r="Q538">
        <f t="shared" si="985"/>
        <v>498357593.74666524</v>
      </c>
      <c r="R538">
        <f t="shared" si="986"/>
        <v>7926468838.3669071</v>
      </c>
      <c r="S538">
        <f t="shared" si="987"/>
        <v>79264.688383669069</v>
      </c>
      <c r="T538">
        <f t="shared" si="988"/>
        <v>79.264688383669068</v>
      </c>
    </row>
    <row r="539" spans="1:20" x14ac:dyDescent="0.25">
      <c r="A539" s="5">
        <v>44054</v>
      </c>
      <c r="B539">
        <v>3.4946999999999999E-3</v>
      </c>
      <c r="C539">
        <v>3.5777999999999999E-3</v>
      </c>
      <c r="D539">
        <v>3.3168E-3</v>
      </c>
      <c r="E539">
        <v>3.3906000000000001E-3</v>
      </c>
      <c r="F539">
        <v>1215986149</v>
      </c>
      <c r="G539">
        <v>0</v>
      </c>
      <c r="L539" t="s">
        <v>7</v>
      </c>
      <c r="M539" t="s">
        <v>7</v>
      </c>
      <c r="N539" t="s">
        <v>7</v>
      </c>
      <c r="P539">
        <f t="shared" si="984"/>
        <v>-0.43448275862068825</v>
      </c>
      <c r="Q539">
        <f t="shared" si="985"/>
        <v>-528325016.46206725</v>
      </c>
      <c r="R539">
        <f t="shared" si="986"/>
        <v>7428111244.6202421</v>
      </c>
      <c r="S539">
        <f t="shared" si="987"/>
        <v>74281.112446202416</v>
      </c>
      <c r="T539">
        <f t="shared" si="988"/>
        <v>74.281112446202414</v>
      </c>
    </row>
    <row r="540" spans="1:20" x14ac:dyDescent="0.25">
      <c r="A540" s="5">
        <v>44053</v>
      </c>
      <c r="B540">
        <v>3.4677000000000002E-3</v>
      </c>
      <c r="C540">
        <v>3.5558999999999999E-3</v>
      </c>
      <c r="D540">
        <v>3.4088999999999999E-3</v>
      </c>
      <c r="E540">
        <v>3.4952E-3</v>
      </c>
      <c r="F540">
        <v>826540351</v>
      </c>
      <c r="G540">
        <v>0</v>
      </c>
      <c r="L540" t="s">
        <v>8</v>
      </c>
      <c r="M540" t="s">
        <v>7</v>
      </c>
      <c r="N540" t="s">
        <v>7</v>
      </c>
      <c r="P540">
        <f t="shared" si="984"/>
        <v>0.17414965986394687</v>
      </c>
      <c r="Q540">
        <f t="shared" si="985"/>
        <v>143941720.99047726</v>
      </c>
      <c r="R540">
        <f t="shared" si="986"/>
        <v>7956436261.0823097</v>
      </c>
      <c r="S540">
        <f t="shared" si="987"/>
        <v>79564.362610823096</v>
      </c>
      <c r="T540">
        <f t="shared" si="988"/>
        <v>79.564362610823096</v>
      </c>
    </row>
    <row r="541" spans="1:20" x14ac:dyDescent="0.25">
      <c r="A541" s="5">
        <v>44052</v>
      </c>
      <c r="B541">
        <v>3.5179E-3</v>
      </c>
      <c r="C541">
        <v>3.5300000000000002E-3</v>
      </c>
      <c r="D541">
        <v>3.4102999999999998E-3</v>
      </c>
      <c r="E541">
        <v>3.4664000000000001E-3</v>
      </c>
      <c r="F541">
        <v>587442093</v>
      </c>
      <c r="G541">
        <v>0</v>
      </c>
      <c r="L541" t="s">
        <v>7</v>
      </c>
      <c r="M541" t="s">
        <v>7</v>
      </c>
      <c r="N541" t="s">
        <v>7</v>
      </c>
      <c r="P541">
        <f t="shared" si="984"/>
        <v>-6.2656641604007288E-2</v>
      </c>
      <c r="Q541">
        <f t="shared" si="985"/>
        <v>-36807148.684208915</v>
      </c>
      <c r="R541">
        <f t="shared" si="986"/>
        <v>7812494540.0918322</v>
      </c>
      <c r="S541">
        <f t="shared" si="987"/>
        <v>78124.945400918325</v>
      </c>
      <c r="T541">
        <f t="shared" si="988"/>
        <v>78.124945400918321</v>
      </c>
    </row>
    <row r="542" spans="1:20" x14ac:dyDescent="0.25">
      <c r="A542" s="5">
        <v>44051</v>
      </c>
      <c r="B542">
        <v>3.4960999999999998E-3</v>
      </c>
      <c r="C542">
        <v>3.5249000000000001E-3</v>
      </c>
      <c r="D542">
        <v>3.3980999999999998E-3</v>
      </c>
      <c r="E542">
        <v>3.5133999999999999E-3</v>
      </c>
      <c r="F542">
        <v>624969060</v>
      </c>
      <c r="G542">
        <v>0</v>
      </c>
      <c r="L542" t="s">
        <v>7</v>
      </c>
      <c r="M542" t="s">
        <v>7</v>
      </c>
      <c r="N542" t="s">
        <v>7</v>
      </c>
      <c r="P542">
        <f t="shared" si="984"/>
        <v>0.81861198738170027</v>
      </c>
      <c r="Q542">
        <f t="shared" si="985"/>
        <v>511607164.25867307</v>
      </c>
      <c r="R542">
        <f t="shared" si="986"/>
        <v>7849301688.776041</v>
      </c>
      <c r="S542">
        <f t="shared" si="987"/>
        <v>78493.016887760416</v>
      </c>
      <c r="T542">
        <f t="shared" si="988"/>
        <v>78.493016887760419</v>
      </c>
    </row>
    <row r="543" spans="1:20" x14ac:dyDescent="0.25">
      <c r="A543" s="5">
        <v>44050</v>
      </c>
      <c r="B543">
        <v>3.5601999999999999E-3</v>
      </c>
      <c r="C543">
        <v>3.617E-3</v>
      </c>
      <c r="D543">
        <v>3.3170000000000001E-3</v>
      </c>
      <c r="E543">
        <v>3.496E-3</v>
      </c>
      <c r="F543">
        <v>886076044</v>
      </c>
      <c r="G543">
        <v>0</v>
      </c>
      <c r="L543" t="s">
        <v>7</v>
      </c>
      <c r="M543" t="s">
        <v>7</v>
      </c>
      <c r="N543" t="s">
        <v>7</v>
      </c>
      <c r="P543">
        <f t="shared" si="984"/>
        <v>0.19333333333333302</v>
      </c>
      <c r="Q543">
        <f t="shared" si="985"/>
        <v>171308035.17333305</v>
      </c>
      <c r="R543">
        <f t="shared" si="986"/>
        <v>7337694524.5173683</v>
      </c>
      <c r="S543">
        <f t="shared" si="987"/>
        <v>73376.945245173687</v>
      </c>
      <c r="T543">
        <f t="shared" si="988"/>
        <v>73.376945245173687</v>
      </c>
    </row>
    <row r="544" spans="1:20" x14ac:dyDescent="0.25">
      <c r="A544" s="5">
        <v>44049</v>
      </c>
      <c r="B544">
        <v>3.5024000000000001E-3</v>
      </c>
      <c r="C544">
        <v>3.65E-3</v>
      </c>
      <c r="D544">
        <v>3.4499999999999999E-3</v>
      </c>
      <c r="E544">
        <v>3.5599999999999998E-3</v>
      </c>
      <c r="F544">
        <v>908946142</v>
      </c>
      <c r="G544">
        <v>0</v>
      </c>
      <c r="L544" t="s">
        <v>8</v>
      </c>
      <c r="M544" t="s">
        <v>7</v>
      </c>
      <c r="N544" t="s">
        <v>7</v>
      </c>
      <c r="P544">
        <f t="shared" si="984"/>
        <v>9.9999999999998049E-2</v>
      </c>
      <c r="Q544">
        <f t="shared" si="985"/>
        <v>90894614.19999823</v>
      </c>
      <c r="R544">
        <f t="shared" si="986"/>
        <v>7166386489.3440351</v>
      </c>
      <c r="S544">
        <f t="shared" si="987"/>
        <v>71663.864893440346</v>
      </c>
      <c r="T544">
        <f t="shared" si="988"/>
        <v>71.663864893440348</v>
      </c>
    </row>
    <row r="545" spans="1:20" x14ac:dyDescent="0.25">
      <c r="A545" s="5">
        <v>44048</v>
      </c>
      <c r="B545">
        <v>3.5458999999999998E-3</v>
      </c>
      <c r="C545">
        <v>3.5871000000000002E-3</v>
      </c>
      <c r="D545">
        <v>3.4489999999999998E-3</v>
      </c>
      <c r="E545">
        <v>3.5027999999999999E-3</v>
      </c>
      <c r="F545">
        <v>1099317757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-0.22085445329471443</v>
      </c>
      <c r="Q545">
        <f t="shared" si="985"/>
        <v>-242789222.21940672</v>
      </c>
      <c r="R545">
        <f t="shared" si="986"/>
        <v>7075491875.1440372</v>
      </c>
      <c r="S545">
        <f t="shared" si="987"/>
        <v>70754.918751440375</v>
      </c>
      <c r="T545">
        <f t="shared" si="988"/>
        <v>70.754918751440371</v>
      </c>
    </row>
    <row r="546" spans="1:20" x14ac:dyDescent="0.25">
      <c r="A546" s="5">
        <v>44047</v>
      </c>
      <c r="B546">
        <v>3.3828E-3</v>
      </c>
      <c r="C546">
        <v>3.5745999999999998E-3</v>
      </c>
      <c r="D546">
        <v>3.3608000000000002E-3</v>
      </c>
      <c r="E546">
        <v>3.5458E-3</v>
      </c>
      <c r="F546">
        <v>1247440791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0.73058933582787766</v>
      </c>
      <c r="Q546">
        <f t="shared" si="985"/>
        <v>911366938.98129237</v>
      </c>
      <c r="R546">
        <f t="shared" si="986"/>
        <v>7318281097.3634443</v>
      </c>
      <c r="S546">
        <f t="shared" si="987"/>
        <v>73182.810973634449</v>
      </c>
      <c r="T546">
        <f t="shared" si="988"/>
        <v>73.182810973634446</v>
      </c>
    </row>
    <row r="547" spans="1:20" x14ac:dyDescent="0.25">
      <c r="A547" s="5">
        <v>44046</v>
      </c>
      <c r="B547">
        <v>3.3351000000000001E-3</v>
      </c>
      <c r="C547">
        <v>3.4467999999999999E-3</v>
      </c>
      <c r="D547">
        <v>3.2994999999999999E-3</v>
      </c>
      <c r="E547">
        <v>3.3817999999999999E-3</v>
      </c>
      <c r="F547">
        <v>859800460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0.11744738628649047</v>
      </c>
      <c r="Q547">
        <f t="shared" si="985"/>
        <v>100981316.7549222</v>
      </c>
      <c r="R547">
        <f t="shared" si="986"/>
        <v>6406914158.3821516</v>
      </c>
      <c r="S547">
        <f t="shared" si="987"/>
        <v>64069.141583821518</v>
      </c>
      <c r="T547">
        <f t="shared" si="988"/>
        <v>64.069141583821519</v>
      </c>
    </row>
    <row r="548" spans="1:20" x14ac:dyDescent="0.25">
      <c r="A548" s="5">
        <v>44045</v>
      </c>
      <c r="B548">
        <v>3.7096E-3</v>
      </c>
      <c r="C548">
        <v>3.7753999999999999E-3</v>
      </c>
      <c r="D548">
        <v>3.0999999999999999E-3</v>
      </c>
      <c r="E548">
        <v>3.3311999999999999E-3</v>
      </c>
      <c r="F548">
        <v>2337347018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-0.31536867041753047</v>
      </c>
      <c r="Q548">
        <f t="shared" si="985"/>
        <v>-737126021.37103963</v>
      </c>
      <c r="R548">
        <f t="shared" si="986"/>
        <v>6305932841.6272297</v>
      </c>
      <c r="S548">
        <f t="shared" si="987"/>
        <v>63059.328416272299</v>
      </c>
      <c r="T548">
        <f t="shared" si="988"/>
        <v>63.059328416272301</v>
      </c>
    </row>
    <row r="549" spans="1:20" x14ac:dyDescent="0.25">
      <c r="A549" s="5">
        <v>44044</v>
      </c>
      <c r="B549">
        <v>3.2204E-3</v>
      </c>
      <c r="C549">
        <v>3.8999999999999998E-3</v>
      </c>
      <c r="D549">
        <v>3.2001E-3</v>
      </c>
      <c r="E549">
        <v>3.7144000000000001E-3</v>
      </c>
      <c r="F549">
        <v>4298724372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0.46963851978854182</v>
      </c>
      <c r="Q549">
        <f t="shared" si="985"/>
        <v>2018846551.0450089</v>
      </c>
      <c r="R549">
        <f t="shared" si="986"/>
        <v>7043058862.9982691</v>
      </c>
      <c r="S549">
        <f t="shared" si="987"/>
        <v>70430.588629982696</v>
      </c>
      <c r="T549">
        <f t="shared" si="988"/>
        <v>70.430588629982694</v>
      </c>
    </row>
    <row r="550" spans="1:20" x14ac:dyDescent="0.25">
      <c r="A550" s="5">
        <v>44043</v>
      </c>
      <c r="B550">
        <v>3.2304E-3</v>
      </c>
      <c r="C550">
        <v>3.2412000000000001E-3</v>
      </c>
      <c r="D550">
        <v>3.1713000000000002E-3</v>
      </c>
      <c r="E550">
        <v>3.2239999999999999E-3</v>
      </c>
      <c r="F550">
        <v>632319202</v>
      </c>
      <c r="G550">
        <v>0</v>
      </c>
      <c r="L550" t="s">
        <v>8</v>
      </c>
      <c r="M550" t="s">
        <v>7</v>
      </c>
      <c r="N550" t="s">
        <v>7</v>
      </c>
      <c r="P550">
        <f t="shared" si="984"/>
        <v>0.50786838340485774</v>
      </c>
      <c r="Q550">
        <f t="shared" si="985"/>
        <v>321134930.91558969</v>
      </c>
      <c r="R550">
        <f t="shared" si="986"/>
        <v>5024212311.9532604</v>
      </c>
      <c r="S550">
        <f t="shared" si="987"/>
        <v>50242.123119532604</v>
      </c>
      <c r="T550">
        <f t="shared" si="988"/>
        <v>50.2421231195326</v>
      </c>
    </row>
    <row r="551" spans="1:20" x14ac:dyDescent="0.25">
      <c r="A551" s="5">
        <v>44042</v>
      </c>
      <c r="B551">
        <v>3.1706999999999998E-3</v>
      </c>
      <c r="C551">
        <v>3.2499999999999999E-3</v>
      </c>
      <c r="D551">
        <v>3.1334000000000002E-3</v>
      </c>
      <c r="E551">
        <v>3.2280999999999998E-3</v>
      </c>
      <c r="F551">
        <v>523325865</v>
      </c>
      <c r="G551">
        <v>0</v>
      </c>
      <c r="L551" t="s">
        <v>8</v>
      </c>
      <c r="M551" t="s">
        <v>7</v>
      </c>
      <c r="N551" t="s">
        <v>7</v>
      </c>
      <c r="P551">
        <f t="shared" si="984"/>
        <v>0.62435677530016975</v>
      </c>
      <c r="Q551">
        <f t="shared" si="985"/>
        <v>326742049.502572</v>
      </c>
      <c r="R551">
        <f t="shared" si="986"/>
        <v>4703077381.0376711</v>
      </c>
      <c r="S551">
        <f t="shared" si="987"/>
        <v>47030.773810376711</v>
      </c>
      <c r="T551">
        <f t="shared" si="988"/>
        <v>47.030773810376715</v>
      </c>
    </row>
    <row r="552" spans="1:20" x14ac:dyDescent="0.25">
      <c r="A552" s="5">
        <v>44041</v>
      </c>
      <c r="B552">
        <v>3.1886000000000002E-3</v>
      </c>
      <c r="C552">
        <v>3.3E-3</v>
      </c>
      <c r="D552">
        <v>3.1541999999999998E-3</v>
      </c>
      <c r="E552">
        <v>3.1662999999999999E-3</v>
      </c>
      <c r="F552">
        <v>675383829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-0.83401920438957311</v>
      </c>
      <c r="Q552">
        <f t="shared" si="985"/>
        <v>-563283083.72016346</v>
      </c>
      <c r="R552">
        <f t="shared" si="986"/>
        <v>4376335331.535099</v>
      </c>
      <c r="S552">
        <f t="shared" si="987"/>
        <v>43763.353315350992</v>
      </c>
      <c r="T552">
        <f t="shared" si="988"/>
        <v>43.76335331535099</v>
      </c>
    </row>
    <row r="553" spans="1:20" x14ac:dyDescent="0.25">
      <c r="A553" s="5">
        <v>44040</v>
      </c>
      <c r="B553">
        <v>3.1700000000000001E-3</v>
      </c>
      <c r="C553">
        <v>3.225E-3</v>
      </c>
      <c r="D553">
        <v>3.1237999999999999E-3</v>
      </c>
      <c r="E553">
        <v>3.1879999999999999E-3</v>
      </c>
      <c r="F553">
        <v>649930752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0.26877470355731004</v>
      </c>
      <c r="Q553">
        <f t="shared" si="985"/>
        <v>174684945.2015796</v>
      </c>
      <c r="R553">
        <f t="shared" si="986"/>
        <v>4939618415.2552624</v>
      </c>
      <c r="S553">
        <f t="shared" si="987"/>
        <v>49396.184152552625</v>
      </c>
      <c r="T553">
        <f t="shared" si="988"/>
        <v>49.396184152552628</v>
      </c>
    </row>
    <row r="554" spans="1:20" x14ac:dyDescent="0.25">
      <c r="A554" s="5">
        <v>44039</v>
      </c>
      <c r="B554">
        <v>3.2374000000000001E-3</v>
      </c>
      <c r="C554">
        <v>3.2441000000000002E-3</v>
      </c>
      <c r="D554">
        <v>3.0019000000000001E-3</v>
      </c>
      <c r="E554">
        <v>3.1694000000000002E-3</v>
      </c>
      <c r="F554">
        <v>1339892681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0.3831544178364989</v>
      </c>
      <c r="Q554">
        <f t="shared" si="985"/>
        <v>513385800.1519407</v>
      </c>
      <c r="R554">
        <f t="shared" si="986"/>
        <v>4764933470.0536823</v>
      </c>
      <c r="S554">
        <f t="shared" si="987"/>
        <v>47649.334700536827</v>
      </c>
      <c r="T554">
        <f t="shared" si="988"/>
        <v>47.649334700536826</v>
      </c>
    </row>
    <row r="555" spans="1:20" x14ac:dyDescent="0.25">
      <c r="A555" s="5">
        <v>44038</v>
      </c>
      <c r="B555">
        <v>3.2490000000000002E-3</v>
      </c>
      <c r="C555">
        <v>3.2897999999999998E-3</v>
      </c>
      <c r="D555">
        <v>3.1727999999999999E-3</v>
      </c>
      <c r="E555">
        <v>3.2323E-3</v>
      </c>
      <c r="F555">
        <v>888157925</v>
      </c>
      <c r="G555">
        <v>0</v>
      </c>
      <c r="L555" t="s">
        <v>8</v>
      </c>
      <c r="M555" t="s">
        <v>7</v>
      </c>
      <c r="N555" t="s">
        <v>7</v>
      </c>
      <c r="P555">
        <f t="shared" si="984"/>
        <v>1.7094017094019375E-2</v>
      </c>
      <c r="Q555">
        <f t="shared" si="985"/>
        <v>15182186.752138779</v>
      </c>
      <c r="R555">
        <f t="shared" si="986"/>
        <v>4251547669.9017415</v>
      </c>
      <c r="S555">
        <f t="shared" si="987"/>
        <v>42515.476699017418</v>
      </c>
      <c r="T555">
        <f t="shared" si="988"/>
        <v>42.51547669901742</v>
      </c>
    </row>
    <row r="556" spans="1:20" x14ac:dyDescent="0.25">
      <c r="A556" s="5">
        <v>44037</v>
      </c>
      <c r="B556">
        <v>3.2173000000000002E-3</v>
      </c>
      <c r="C556">
        <v>3.3433E-3</v>
      </c>
      <c r="D556">
        <v>3.1760999999999998E-3</v>
      </c>
      <c r="E556">
        <v>3.2475E-3</v>
      </c>
      <c r="F556">
        <v>867588133</v>
      </c>
      <c r="G556">
        <v>0</v>
      </c>
      <c r="L556" t="s">
        <v>8</v>
      </c>
      <c r="M556" t="s">
        <v>7</v>
      </c>
      <c r="N556" t="s">
        <v>7</v>
      </c>
      <c r="P556">
        <f t="shared" si="984"/>
        <v>-0.1459330143540665</v>
      </c>
      <c r="Q556">
        <f t="shared" si="985"/>
        <v>-126609751.46650675</v>
      </c>
      <c r="R556">
        <f t="shared" si="986"/>
        <v>4236365483.1496029</v>
      </c>
      <c r="S556">
        <f t="shared" si="987"/>
        <v>42363.654831496031</v>
      </c>
      <c r="T556">
        <f t="shared" si="988"/>
        <v>42.363654831496028</v>
      </c>
    </row>
    <row r="557" spans="1:20" x14ac:dyDescent="0.25">
      <c r="A557" s="5">
        <v>44036</v>
      </c>
      <c r="B557">
        <v>3.3035E-3</v>
      </c>
      <c r="C557">
        <v>3.3113999999999999E-3</v>
      </c>
      <c r="D557">
        <v>3.1465E-3</v>
      </c>
      <c r="E557">
        <v>3.2112999999999998E-3</v>
      </c>
      <c r="F557">
        <v>824558980</v>
      </c>
      <c r="G557">
        <v>0</v>
      </c>
      <c r="L557" t="s">
        <v>8</v>
      </c>
      <c r="M557" t="s">
        <v>7</v>
      </c>
      <c r="N557" t="s">
        <v>7</v>
      </c>
      <c r="P557">
        <f t="shared" si="984"/>
        <v>-0.21406913280776393</v>
      </c>
      <c r="Q557">
        <f t="shared" si="985"/>
        <v>-176512625.79745436</v>
      </c>
      <c r="R557">
        <f t="shared" si="986"/>
        <v>4362975234.6161098</v>
      </c>
      <c r="S557">
        <f t="shared" si="987"/>
        <v>43629.752346161098</v>
      </c>
      <c r="T557">
        <f t="shared" si="988"/>
        <v>43.629752346161098</v>
      </c>
    </row>
    <row r="558" spans="1:20" x14ac:dyDescent="0.25">
      <c r="A558" s="5">
        <v>44035</v>
      </c>
      <c r="B558">
        <v>3.2916999999999998E-3</v>
      </c>
      <c r="C558">
        <v>3.3370000000000001E-3</v>
      </c>
      <c r="D558">
        <v>3.2598000000000002E-3</v>
      </c>
      <c r="E558">
        <v>3.2997E-3</v>
      </c>
      <c r="F558">
        <v>792908063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3.3678756476680574E-2</v>
      </c>
      <c r="Q558">
        <f t="shared" si="985"/>
        <v>26704157.562173497</v>
      </c>
      <c r="R558">
        <f t="shared" si="986"/>
        <v>4539487860.4135637</v>
      </c>
      <c r="S558">
        <f t="shared" si="987"/>
        <v>45394.878604135636</v>
      </c>
      <c r="T558">
        <f t="shared" si="988"/>
        <v>45.394878604135634</v>
      </c>
    </row>
    <row r="559" spans="1:20" x14ac:dyDescent="0.25">
      <c r="A559" s="5">
        <v>44034</v>
      </c>
      <c r="B559">
        <v>3.2978E-3</v>
      </c>
      <c r="C559">
        <v>3.3050000000000002E-3</v>
      </c>
      <c r="D559">
        <v>3.2089000000000002E-3</v>
      </c>
      <c r="E559">
        <v>3.2867999999999999E-3</v>
      </c>
      <c r="F559">
        <v>591711751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0.62122788761705861</v>
      </c>
      <c r="Q559">
        <f t="shared" si="985"/>
        <v>367587841.15192097</v>
      </c>
      <c r="R559">
        <f t="shared" si="986"/>
        <v>4512783702.8513899</v>
      </c>
      <c r="S559">
        <f t="shared" si="987"/>
        <v>45127.837028513895</v>
      </c>
      <c r="T559">
        <f t="shared" si="988"/>
        <v>45.127837028513895</v>
      </c>
    </row>
    <row r="560" spans="1:20" x14ac:dyDescent="0.25">
      <c r="A560" s="5">
        <v>44033</v>
      </c>
      <c r="B560">
        <v>3.2192000000000002E-3</v>
      </c>
      <c r="C560">
        <v>3.3658999999999998E-3</v>
      </c>
      <c r="D560">
        <v>3.1377000000000002E-3</v>
      </c>
      <c r="E560">
        <v>3.2978999999999999E-3</v>
      </c>
      <c r="F560">
        <v>1188848956</v>
      </c>
      <c r="G560">
        <v>0</v>
      </c>
      <c r="L560" t="s">
        <v>8</v>
      </c>
      <c r="M560" t="s">
        <v>7</v>
      </c>
      <c r="N560" t="s">
        <v>7</v>
      </c>
      <c r="P560">
        <f t="shared" si="984"/>
        <v>0.40403155127081469</v>
      </c>
      <c r="Q560">
        <f t="shared" si="985"/>
        <v>480332487.91936851</v>
      </c>
      <c r="R560">
        <f t="shared" si="986"/>
        <v>4145195861.6994686</v>
      </c>
      <c r="S560">
        <f t="shared" si="987"/>
        <v>41451.958616994685</v>
      </c>
      <c r="T560">
        <f t="shared" si="988"/>
        <v>41.451958616994688</v>
      </c>
    </row>
    <row r="561" spans="1:104" x14ac:dyDescent="0.25">
      <c r="A561" s="5">
        <v>44032</v>
      </c>
      <c r="B561">
        <v>3.3811000000000002E-3</v>
      </c>
      <c r="C561">
        <v>3.4315000000000001E-3</v>
      </c>
      <c r="D561">
        <v>3.14E-3</v>
      </c>
      <c r="E561">
        <v>3.2201E-3</v>
      </c>
      <c r="F561">
        <v>1636615889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-0.45042881646655214</v>
      </c>
      <c r="Q561">
        <f t="shared" si="985"/>
        <v>-737178957.89262402</v>
      </c>
      <c r="R561">
        <f t="shared" si="986"/>
        <v>3664863373.7800999</v>
      </c>
      <c r="S561">
        <f t="shared" si="987"/>
        <v>36648.633737800999</v>
      </c>
      <c r="T561">
        <f t="shared" si="988"/>
        <v>36.648633737800999</v>
      </c>
      <c r="CZ561" t="s">
        <v>7</v>
      </c>
    </row>
    <row r="562" spans="1:104" x14ac:dyDescent="0.25">
      <c r="A562" s="5">
        <v>44031</v>
      </c>
      <c r="B562">
        <v>3.4488000000000001E-3</v>
      </c>
      <c r="C562">
        <v>3.7789E-3</v>
      </c>
      <c r="D562">
        <v>3.3103999999999998E-3</v>
      </c>
      <c r="E562">
        <v>3.3811000000000002E-3</v>
      </c>
      <c r="F562">
        <v>3659586603</v>
      </c>
      <c r="G562">
        <v>0</v>
      </c>
      <c r="L562" t="s">
        <v>8</v>
      </c>
      <c r="M562" t="s">
        <v>8</v>
      </c>
      <c r="N562" t="s">
        <v>7</v>
      </c>
      <c r="P562">
        <f t="shared" si="984"/>
        <v>-0.69818569903948624</v>
      </c>
      <c r="Q562">
        <f t="shared" si="985"/>
        <v>-2555071030.611094</v>
      </c>
      <c r="R562">
        <f t="shared" si="986"/>
        <v>4402042331.6727238</v>
      </c>
      <c r="S562">
        <f t="shared" si="987"/>
        <v>44020.42331672724</v>
      </c>
      <c r="T562">
        <f t="shared" si="988"/>
        <v>44.020423316727239</v>
      </c>
      <c r="CZ562" t="s">
        <v>7</v>
      </c>
    </row>
    <row r="563" spans="1:104" x14ac:dyDescent="0.25">
      <c r="A563" s="5">
        <v>44030</v>
      </c>
      <c r="B563">
        <v>3.0528E-3</v>
      </c>
      <c r="C563">
        <v>3.6800000000000001E-3</v>
      </c>
      <c r="D563">
        <v>3.0130000000000001E-3</v>
      </c>
      <c r="E563">
        <v>3.4489999999999998E-3</v>
      </c>
      <c r="F563">
        <v>8332776850</v>
      </c>
      <c r="G563">
        <v>0</v>
      </c>
      <c r="L563" t="s">
        <v>8</v>
      </c>
      <c r="M563" t="s">
        <v>8</v>
      </c>
      <c r="N563" t="s">
        <v>7</v>
      </c>
      <c r="P563">
        <f t="shared" si="984"/>
        <v>0.30734632683658086</v>
      </c>
      <c r="Q563">
        <f t="shared" si="985"/>
        <v>2561048357.1963949</v>
      </c>
      <c r="R563">
        <f t="shared" si="986"/>
        <v>6957113362.2838173</v>
      </c>
      <c r="S563">
        <f t="shared" si="987"/>
        <v>69571.13362283817</v>
      </c>
      <c r="T563">
        <f t="shared" si="988"/>
        <v>69.571133622838175</v>
      </c>
      <c r="CZ563" t="s">
        <v>7</v>
      </c>
    </row>
    <row r="564" spans="1:104" x14ac:dyDescent="0.25">
      <c r="A564" s="5">
        <v>44029</v>
      </c>
      <c r="B564">
        <v>2.9808E-3</v>
      </c>
      <c r="C564">
        <v>3.0899999999999999E-3</v>
      </c>
      <c r="D564">
        <v>2.9169E-3</v>
      </c>
      <c r="E564">
        <v>3.0528E-3</v>
      </c>
      <c r="F564">
        <v>1885382230</v>
      </c>
      <c r="G564">
        <v>0</v>
      </c>
      <c r="L564" t="s">
        <v>8</v>
      </c>
      <c r="M564" t="s">
        <v>7</v>
      </c>
      <c r="N564" t="s">
        <v>7</v>
      </c>
      <c r="P564">
        <f t="shared" si="984"/>
        <v>0.57019064124783525</v>
      </c>
      <c r="Q564">
        <f t="shared" si="985"/>
        <v>1075027302.7209735</v>
      </c>
      <c r="R564">
        <f t="shared" si="986"/>
        <v>4396065005.0874224</v>
      </c>
      <c r="S564">
        <f t="shared" si="987"/>
        <v>43960.650050874225</v>
      </c>
      <c r="T564">
        <f t="shared" si="988"/>
        <v>43.960650050874222</v>
      </c>
    </row>
    <row r="565" spans="1:104" x14ac:dyDescent="0.25">
      <c r="A565" s="5">
        <v>44028</v>
      </c>
      <c r="B565">
        <v>3.0953999999999999E-3</v>
      </c>
      <c r="C565">
        <v>3.0959999999999998E-3</v>
      </c>
      <c r="D565">
        <v>2.8525E-3</v>
      </c>
      <c r="E565">
        <v>2.9808E-3</v>
      </c>
      <c r="F565">
        <v>2070197756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5.3798767967146922E-2</v>
      </c>
      <c r="Q565">
        <f t="shared" si="985"/>
        <v>111374088.72115225</v>
      </c>
      <c r="R565">
        <f t="shared" si="986"/>
        <v>3321037702.3664489</v>
      </c>
      <c r="S565">
        <f t="shared" si="987"/>
        <v>33210.377023664492</v>
      </c>
      <c r="T565">
        <f t="shared" si="988"/>
        <v>33.210377023664492</v>
      </c>
    </row>
    <row r="566" spans="1:104" x14ac:dyDescent="0.25">
      <c r="A566" s="5">
        <v>44027</v>
      </c>
      <c r="B566">
        <v>3.2910999999999999E-3</v>
      </c>
      <c r="C566">
        <v>3.2910999999999999E-3</v>
      </c>
      <c r="D566">
        <v>3.0560000000000001E-3</v>
      </c>
      <c r="E566">
        <v>3.0867999999999998E-3</v>
      </c>
      <c r="F566">
        <v>1386310052</v>
      </c>
      <c r="G566">
        <v>0</v>
      </c>
      <c r="L566" t="s">
        <v>7</v>
      </c>
      <c r="M566" t="s">
        <v>7</v>
      </c>
      <c r="N566" t="s">
        <v>7</v>
      </c>
      <c r="P566">
        <f t="shared" si="984"/>
        <v>-0.73798383666525147</v>
      </c>
      <c r="Q566">
        <f t="shared" si="985"/>
        <v>-1023074410.9825643</v>
      </c>
      <c r="R566">
        <f t="shared" si="986"/>
        <v>3209663613.6452966</v>
      </c>
      <c r="S566">
        <f t="shared" si="987"/>
        <v>32096.636136452966</v>
      </c>
      <c r="T566">
        <f t="shared" si="988"/>
        <v>32.096636136452965</v>
      </c>
    </row>
    <row r="567" spans="1:104" x14ac:dyDescent="0.25">
      <c r="A567" s="5">
        <v>44026</v>
      </c>
      <c r="B567">
        <v>3.1587E-3</v>
      </c>
      <c r="C567">
        <v>3.3899999999999998E-3</v>
      </c>
      <c r="D567">
        <v>3.0301999999999998E-3</v>
      </c>
      <c r="E567">
        <v>3.2888000000000001E-3</v>
      </c>
      <c r="F567">
        <v>2316802022</v>
      </c>
      <c r="G567">
        <v>0</v>
      </c>
      <c r="L567" t="s">
        <v>8</v>
      </c>
      <c r="M567" t="s">
        <v>7</v>
      </c>
      <c r="N567" t="s">
        <v>7</v>
      </c>
      <c r="P567">
        <f t="shared" si="984"/>
        <v>0.43746525847693357</v>
      </c>
      <c r="Q567">
        <f t="shared" si="985"/>
        <v>1013520395.3941123</v>
      </c>
      <c r="R567">
        <f t="shared" si="986"/>
        <v>4232738024.627861</v>
      </c>
      <c r="S567">
        <f t="shared" si="987"/>
        <v>42327.380246278612</v>
      </c>
      <c r="T567">
        <f t="shared" si="988"/>
        <v>42.327380246278615</v>
      </c>
    </row>
    <row r="568" spans="1:104" x14ac:dyDescent="0.25">
      <c r="A568" s="5">
        <v>44025</v>
      </c>
      <c r="B568">
        <v>3.6357E-3</v>
      </c>
      <c r="C568">
        <v>3.6408E-3</v>
      </c>
      <c r="D568">
        <v>2.9767000000000001E-3</v>
      </c>
      <c r="E568">
        <v>3.1676999999999999E-3</v>
      </c>
      <c r="F568">
        <v>4007164536</v>
      </c>
      <c r="G568">
        <v>0</v>
      </c>
      <c r="L568" t="s">
        <v>7</v>
      </c>
      <c r="M568" t="s">
        <v>7</v>
      </c>
      <c r="N568" t="s">
        <v>7</v>
      </c>
      <c r="P568">
        <f t="shared" si="984"/>
        <v>-0.42478542388194612</v>
      </c>
      <c r="Q568">
        <f t="shared" si="985"/>
        <v>-1702185085.9894619</v>
      </c>
      <c r="R568">
        <f t="shared" si="986"/>
        <v>3219217629.2337484</v>
      </c>
      <c r="S568">
        <f t="shared" si="987"/>
        <v>32192.176292337484</v>
      </c>
      <c r="T568">
        <f t="shared" si="988"/>
        <v>32.192176292337486</v>
      </c>
    </row>
    <row r="569" spans="1:104" x14ac:dyDescent="0.25">
      <c r="A569" s="5">
        <v>44024</v>
      </c>
      <c r="B569">
        <v>3.8108999999999999E-3</v>
      </c>
      <c r="C569">
        <v>3.8501E-3</v>
      </c>
      <c r="D569">
        <v>3.5799E-3</v>
      </c>
      <c r="E569">
        <v>3.6357999999999998E-3</v>
      </c>
      <c r="F569">
        <v>1546255634</v>
      </c>
      <c r="G569">
        <v>0</v>
      </c>
      <c r="L569" t="s">
        <v>7</v>
      </c>
      <c r="M569" t="s">
        <v>7</v>
      </c>
      <c r="N569" t="s">
        <v>7</v>
      </c>
      <c r="P569">
        <f t="shared" si="984"/>
        <v>-0.58623242042931312</v>
      </c>
      <c r="Q569">
        <f t="shared" si="985"/>
        <v>-906465182.9222821</v>
      </c>
      <c r="R569">
        <f t="shared" si="986"/>
        <v>4921402715.2232103</v>
      </c>
      <c r="S569">
        <f t="shared" si="987"/>
        <v>49214.027152232105</v>
      </c>
      <c r="T569">
        <f t="shared" si="988"/>
        <v>49.214027152232106</v>
      </c>
    </row>
    <row r="570" spans="1:104" x14ac:dyDescent="0.25">
      <c r="A570" s="5">
        <v>44023</v>
      </c>
      <c r="B570">
        <v>3.5312999999999998E-3</v>
      </c>
      <c r="C570">
        <v>3.9633999999999997E-3</v>
      </c>
      <c r="D570">
        <v>3.4554999999999998E-3</v>
      </c>
      <c r="E570">
        <v>3.8040999999999999E-3</v>
      </c>
      <c r="F570">
        <v>3661361202</v>
      </c>
      <c r="G570">
        <v>0</v>
      </c>
      <c r="L570" t="s">
        <v>8</v>
      </c>
      <c r="M570" t="s">
        <v>7</v>
      </c>
      <c r="N570" t="s">
        <v>7</v>
      </c>
      <c r="P570">
        <f t="shared" si="984"/>
        <v>0.37271116361488549</v>
      </c>
      <c r="Q570">
        <f t="shared" si="985"/>
        <v>1364630194.0118158</v>
      </c>
      <c r="R570">
        <f t="shared" si="986"/>
        <v>5827867898.1454926</v>
      </c>
      <c r="S570">
        <f t="shared" si="987"/>
        <v>58278.678981454927</v>
      </c>
      <c r="T570">
        <f t="shared" si="988"/>
        <v>58.278678981454924</v>
      </c>
    </row>
    <row r="571" spans="1:104" x14ac:dyDescent="0.25">
      <c r="A571" s="5">
        <v>44022</v>
      </c>
      <c r="B571">
        <v>4.3225E-3</v>
      </c>
      <c r="C571">
        <v>4.3334000000000003E-3</v>
      </c>
      <c r="D571">
        <v>3.4001000000000001E-3</v>
      </c>
      <c r="E571">
        <v>3.5312999999999998E-3</v>
      </c>
      <c r="F571">
        <v>7536784753</v>
      </c>
      <c r="G571">
        <v>0</v>
      </c>
      <c r="L571" t="s">
        <v>7</v>
      </c>
      <c r="M571" t="s">
        <v>7</v>
      </c>
      <c r="N571" t="s">
        <v>7</v>
      </c>
      <c r="P571">
        <f t="shared" si="984"/>
        <v>-0.71884710168220356</v>
      </c>
      <c r="Q571">
        <f t="shared" si="985"/>
        <v>-5417795875.6966724</v>
      </c>
      <c r="R571">
        <f t="shared" si="986"/>
        <v>4463237704.1336765</v>
      </c>
      <c r="S571">
        <f t="shared" si="987"/>
        <v>44632.377041336767</v>
      </c>
      <c r="T571">
        <f t="shared" si="988"/>
        <v>44.632377041336767</v>
      </c>
    </row>
    <row r="572" spans="1:104" x14ac:dyDescent="0.25">
      <c r="A572" s="5">
        <v>44021</v>
      </c>
      <c r="B572">
        <v>4.7625999999999996E-3</v>
      </c>
      <c r="C572">
        <v>5.0594000000000004E-3</v>
      </c>
      <c r="D572">
        <v>4.0499999999999998E-3</v>
      </c>
      <c r="E572">
        <v>4.3214000000000004E-3</v>
      </c>
      <c r="F572">
        <v>8645375967</v>
      </c>
      <c r="G572">
        <v>0</v>
      </c>
      <c r="L572" t="s">
        <v>7</v>
      </c>
      <c r="M572" t="s">
        <v>7</v>
      </c>
      <c r="N572" t="s">
        <v>8</v>
      </c>
      <c r="P572">
        <f t="shared" si="984"/>
        <v>-0.46225480483455422</v>
      </c>
      <c r="Q572">
        <f t="shared" si="985"/>
        <v>-3996366580.3469305</v>
      </c>
      <c r="R572">
        <f t="shared" si="986"/>
        <v>9881033579.830349</v>
      </c>
      <c r="S572">
        <f t="shared" si="987"/>
        <v>98810.335798303495</v>
      </c>
      <c r="T572">
        <f t="shared" si="988"/>
        <v>98.810335798303498</v>
      </c>
    </row>
    <row r="573" spans="1:104" x14ac:dyDescent="0.25">
      <c r="A573" s="5">
        <v>44020</v>
      </c>
      <c r="B573">
        <v>3.1359999999999999E-3</v>
      </c>
      <c r="C573">
        <v>5.5998999999999997E-3</v>
      </c>
      <c r="D573">
        <v>2.9099999999999998E-3</v>
      </c>
      <c r="E573">
        <v>4.7657000000000003E-3</v>
      </c>
      <c r="F573">
        <v>23657008079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0.37975389419681072</v>
      </c>
      <c r="Q573">
        <f t="shared" si="985"/>
        <v>8983840943.0456619</v>
      </c>
      <c r="R573">
        <f t="shared" si="986"/>
        <v>13877400160.177279</v>
      </c>
      <c r="S573">
        <f t="shared" si="987"/>
        <v>138774.00160177279</v>
      </c>
      <c r="T573">
        <f t="shared" si="988"/>
        <v>138.7740016017728</v>
      </c>
    </row>
    <row r="574" spans="1:104" x14ac:dyDescent="0.25">
      <c r="A574" s="5">
        <v>44019</v>
      </c>
      <c r="B574">
        <v>2.6191000000000001E-3</v>
      </c>
      <c r="C574">
        <v>3.2953000000000001E-3</v>
      </c>
      <c r="D574">
        <v>2.5999E-3</v>
      </c>
      <c r="E574">
        <v>3.1359999999999999E-3</v>
      </c>
      <c r="F574">
        <v>3965388549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0.54184641932700539</v>
      </c>
      <c r="Q574">
        <f t="shared" si="985"/>
        <v>2148631586.5159593</v>
      </c>
      <c r="R574">
        <f t="shared" si="986"/>
        <v>4893559217.1316166</v>
      </c>
      <c r="S574">
        <f t="shared" si="987"/>
        <v>48935.592171316166</v>
      </c>
      <c r="T574">
        <f t="shared" si="988"/>
        <v>48.935592171316166</v>
      </c>
    </row>
    <row r="575" spans="1:104" x14ac:dyDescent="0.25">
      <c r="A575" s="5">
        <v>44018</v>
      </c>
      <c r="B575">
        <v>2.2988000000000001E-3</v>
      </c>
      <c r="C575">
        <v>2.6220000000000002E-3</v>
      </c>
      <c r="D575">
        <v>2.2929999999999999E-3</v>
      </c>
      <c r="E575">
        <v>2.6193000000000002E-3</v>
      </c>
      <c r="F575">
        <v>461294907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0.98358662613981762</v>
      </c>
      <c r="Q575">
        <f t="shared" si="985"/>
        <v>453723501.23161095</v>
      </c>
      <c r="R575">
        <f t="shared" si="986"/>
        <v>2744927630.6156578</v>
      </c>
      <c r="S575">
        <f t="shared" si="987"/>
        <v>27449.276306156578</v>
      </c>
      <c r="T575">
        <f t="shared" si="988"/>
        <v>27.449276306156577</v>
      </c>
    </row>
    <row r="576" spans="1:104" x14ac:dyDescent="0.25">
      <c r="A576" s="5">
        <v>44017</v>
      </c>
      <c r="B576">
        <v>2.3032999999999999E-3</v>
      </c>
      <c r="C576">
        <v>2.3189999999999999E-3</v>
      </c>
      <c r="D576">
        <v>2.2786999999999998E-3</v>
      </c>
      <c r="E576">
        <v>2.3029000000000001E-3</v>
      </c>
      <c r="F576">
        <v>88706470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0.20099255583127684</v>
      </c>
      <c r="Q576">
        <f t="shared" si="985"/>
        <v>17829340.124070484</v>
      </c>
      <c r="R576">
        <f t="shared" si="986"/>
        <v>2291204129.384047</v>
      </c>
      <c r="S576">
        <f t="shared" si="987"/>
        <v>22912.04129384047</v>
      </c>
      <c r="T576">
        <f t="shared" si="988"/>
        <v>22.912041293840471</v>
      </c>
    </row>
    <row r="577" spans="1:20" x14ac:dyDescent="0.25">
      <c r="A577" s="5">
        <v>44016</v>
      </c>
      <c r="B577">
        <v>2.3154999999999999E-3</v>
      </c>
      <c r="C577">
        <v>2.3311999999999999E-3</v>
      </c>
      <c r="D577">
        <v>2.2993000000000002E-3</v>
      </c>
      <c r="E577">
        <v>2.3012000000000002E-3</v>
      </c>
      <c r="F577">
        <v>60368775</v>
      </c>
      <c r="G577">
        <v>0</v>
      </c>
      <c r="L577" t="s">
        <v>7</v>
      </c>
      <c r="M577" t="s">
        <v>8</v>
      </c>
      <c r="N577" t="s">
        <v>8</v>
      </c>
      <c r="P577">
        <f t="shared" si="984"/>
        <v>-0.88087774294670762</v>
      </c>
      <c r="Q577">
        <f t="shared" si="985"/>
        <v>-53177510.266457632</v>
      </c>
      <c r="R577">
        <f t="shared" si="986"/>
        <v>2273374789.2599764</v>
      </c>
      <c r="S577">
        <f t="shared" si="987"/>
        <v>22733.747892599764</v>
      </c>
      <c r="T577">
        <f t="shared" si="988"/>
        <v>22.733747892599762</v>
      </c>
    </row>
    <row r="578" spans="1:20" x14ac:dyDescent="0.25">
      <c r="A578" s="5">
        <v>44015</v>
      </c>
      <c r="B578">
        <v>2.3172000000000002E-3</v>
      </c>
      <c r="C578">
        <v>2.3345000000000002E-3</v>
      </c>
      <c r="D578">
        <v>2.2882000000000002E-3</v>
      </c>
      <c r="E578">
        <v>2.3138999999999998E-3</v>
      </c>
      <c r="F578">
        <v>76387879</v>
      </c>
      <c r="G578">
        <v>0</v>
      </c>
      <c r="L578" t="s">
        <v>7</v>
      </c>
      <c r="M578" t="s">
        <v>8</v>
      </c>
      <c r="N578" t="s">
        <v>8</v>
      </c>
      <c r="P578">
        <f t="shared" si="984"/>
        <v>0.1101511879049504</v>
      </c>
      <c r="Q578">
        <f t="shared" si="985"/>
        <v>8414215.613389615</v>
      </c>
      <c r="R578">
        <f t="shared" si="986"/>
        <v>2326552299.5264339</v>
      </c>
      <c r="S578">
        <f t="shared" si="987"/>
        <v>23265.522995264339</v>
      </c>
      <c r="T578">
        <f t="shared" si="988"/>
        <v>23.265522995264337</v>
      </c>
    </row>
    <row r="579" spans="1:20" x14ac:dyDescent="0.25">
      <c r="A579" s="5">
        <v>44014</v>
      </c>
      <c r="B579">
        <v>2.3251000000000001E-3</v>
      </c>
      <c r="C579">
        <v>2.3498E-3</v>
      </c>
      <c r="D579">
        <v>2.2839000000000002E-3</v>
      </c>
      <c r="E579">
        <v>2.3219999999999998E-3</v>
      </c>
      <c r="F579">
        <v>97986311</v>
      </c>
      <c r="G579">
        <v>0</v>
      </c>
      <c r="L579" t="s">
        <v>7</v>
      </c>
      <c r="M579" t="s">
        <v>8</v>
      </c>
      <c r="N579" t="s">
        <v>8</v>
      </c>
      <c r="P579">
        <f t="shared" si="984"/>
        <v>0.1562974203338327</v>
      </c>
      <c r="Q579">
        <f t="shared" si="985"/>
        <v>15315007.637328655</v>
      </c>
      <c r="R579">
        <f t="shared" si="986"/>
        <v>2318138083.9130445</v>
      </c>
      <c r="S579">
        <f t="shared" si="987"/>
        <v>23181.380839130445</v>
      </c>
      <c r="T579">
        <f t="shared" si="988"/>
        <v>23.181380839130444</v>
      </c>
    </row>
    <row r="580" spans="1:20" x14ac:dyDescent="0.25">
      <c r="A580" s="5">
        <v>44013</v>
      </c>
      <c r="B580">
        <v>2.3100999999999998E-3</v>
      </c>
      <c r="C580">
        <v>2.3709E-3</v>
      </c>
      <c r="D580">
        <v>2.3E-3</v>
      </c>
      <c r="E580">
        <v>2.3203E-3</v>
      </c>
      <c r="F580">
        <v>120676078</v>
      </c>
      <c r="G580">
        <v>0</v>
      </c>
      <c r="L580" t="s">
        <v>7</v>
      </c>
      <c r="M580" t="s">
        <v>8</v>
      </c>
      <c r="N580" t="s">
        <v>8</v>
      </c>
      <c r="P580">
        <f t="shared" si="984"/>
        <v>-0.42736248236953472</v>
      </c>
      <c r="Q580">
        <f t="shared" si="985"/>
        <v>-51572428.256699599</v>
      </c>
      <c r="R580">
        <f t="shared" si="986"/>
        <v>2302823076.2757158</v>
      </c>
      <c r="S580">
        <f t="shared" si="987"/>
        <v>23028.230762757157</v>
      </c>
      <c r="T580">
        <f t="shared" si="988"/>
        <v>23.028230762757158</v>
      </c>
    </row>
    <row r="581" spans="1:20" x14ac:dyDescent="0.25">
      <c r="A581" s="5">
        <v>44012</v>
      </c>
      <c r="B581">
        <v>2.3029999999999999E-3</v>
      </c>
      <c r="C581">
        <v>2.3257E-3</v>
      </c>
      <c r="D581">
        <v>2.2821E-3</v>
      </c>
      <c r="E581">
        <v>2.3184999999999998E-3</v>
      </c>
      <c r="F581">
        <v>58330225</v>
      </c>
      <c r="G581">
        <v>0</v>
      </c>
      <c r="L581" t="s">
        <v>7</v>
      </c>
      <c r="M581" t="s">
        <v>8</v>
      </c>
      <c r="N581" t="s">
        <v>8</v>
      </c>
      <c r="P581">
        <f t="shared" si="984"/>
        <v>0.6697247706421936</v>
      </c>
      <c r="Q581">
        <f t="shared" si="985"/>
        <v>39065196.559632547</v>
      </c>
      <c r="R581">
        <f t="shared" si="986"/>
        <v>2354395504.5324154</v>
      </c>
      <c r="S581">
        <f t="shared" si="987"/>
        <v>23543.955045324154</v>
      </c>
      <c r="T581">
        <f t="shared" si="988"/>
        <v>23.543955045324154</v>
      </c>
    </row>
    <row r="582" spans="1:20" x14ac:dyDescent="0.25">
      <c r="A582" s="5">
        <v>44011</v>
      </c>
      <c r="B582">
        <v>2.3194000000000001E-3</v>
      </c>
      <c r="C582">
        <v>2.33E-3</v>
      </c>
      <c r="D582">
        <v>2.2908E-3</v>
      </c>
      <c r="E582">
        <v>2.3077000000000002E-3</v>
      </c>
      <c r="F582">
        <v>85385099</v>
      </c>
      <c r="G582">
        <v>0</v>
      </c>
      <c r="L582" t="s">
        <v>7</v>
      </c>
      <c r="M582" t="s">
        <v>8</v>
      </c>
      <c r="N582" t="s">
        <v>8</v>
      </c>
      <c r="P582">
        <f t="shared" ref="P582:P645" si="989">IF(C582=D582,0,((E582-D582)-(C582-E582))/(C582-D582))</f>
        <v>-0.13775510204080554</v>
      </c>
      <c r="Q582">
        <f t="shared" ref="Q582:Q645" si="990">F582*P582</f>
        <v>-11762233.025509283</v>
      </c>
      <c r="R582">
        <f t="shared" ref="R582:R645" si="991">R583+Q582</f>
        <v>2315330307.9727826</v>
      </c>
      <c r="S582">
        <f t="shared" ref="S582:S645" si="992">R582/100000</f>
        <v>23153.303079727826</v>
      </c>
      <c r="T582">
        <f t="shared" ref="T582:T645" si="993">S582/1000</f>
        <v>23.153303079727827</v>
      </c>
    </row>
    <row r="583" spans="1:20" x14ac:dyDescent="0.25">
      <c r="A583" s="5">
        <v>44010</v>
      </c>
      <c r="B583">
        <v>2.3040999999999999E-3</v>
      </c>
      <c r="C583">
        <v>2.3459000000000002E-3</v>
      </c>
      <c r="D583">
        <v>2.2783999999999999E-3</v>
      </c>
      <c r="E583">
        <v>2.3142000000000002E-3</v>
      </c>
      <c r="F583">
        <v>116394661</v>
      </c>
      <c r="G583">
        <v>0</v>
      </c>
      <c r="L583" t="s">
        <v>7</v>
      </c>
      <c r="M583" t="s">
        <v>8</v>
      </c>
      <c r="N583" t="s">
        <v>8</v>
      </c>
      <c r="P583">
        <f t="shared" si="989"/>
        <v>6.0740740740745973E-2</v>
      </c>
      <c r="Q583">
        <f t="shared" si="990"/>
        <v>7069897.9274080163</v>
      </c>
      <c r="R583">
        <f t="shared" si="991"/>
        <v>2327092540.998292</v>
      </c>
      <c r="S583">
        <f t="shared" si="992"/>
        <v>23270.92540998292</v>
      </c>
      <c r="T583">
        <f t="shared" si="993"/>
        <v>23.270925409982919</v>
      </c>
    </row>
    <row r="584" spans="1:20" x14ac:dyDescent="0.25">
      <c r="A584" s="5">
        <v>44009</v>
      </c>
      <c r="B584">
        <v>2.3514999999999999E-3</v>
      </c>
      <c r="C584">
        <v>2.3635000000000001E-3</v>
      </c>
      <c r="D584">
        <v>2.2699999999999999E-3</v>
      </c>
      <c r="E584">
        <v>2.3045000000000001E-3</v>
      </c>
      <c r="F584">
        <v>94867690</v>
      </c>
      <c r="G584">
        <v>0</v>
      </c>
      <c r="L584" t="s">
        <v>7</v>
      </c>
      <c r="M584" t="s">
        <v>8</v>
      </c>
      <c r="N584" t="s">
        <v>8</v>
      </c>
      <c r="P584">
        <f t="shared" si="989"/>
        <v>-0.26203208556149427</v>
      </c>
      <c r="Q584">
        <f t="shared" si="990"/>
        <v>-24858378.663101315</v>
      </c>
      <c r="R584">
        <f t="shared" si="991"/>
        <v>2320022643.0708838</v>
      </c>
      <c r="S584">
        <f t="shared" si="992"/>
        <v>23200.226430708837</v>
      </c>
      <c r="T584">
        <f t="shared" si="993"/>
        <v>23.200226430708838</v>
      </c>
    </row>
    <row r="585" spans="1:20" x14ac:dyDescent="0.25">
      <c r="A585" s="5">
        <v>44008</v>
      </c>
      <c r="B585">
        <v>2.4110999999999998E-3</v>
      </c>
      <c r="C585">
        <v>2.4169999999999999E-3</v>
      </c>
      <c r="D585">
        <v>2.3465000000000001E-3</v>
      </c>
      <c r="E585">
        <v>2.3592999999999999E-3</v>
      </c>
      <c r="F585">
        <v>69665977</v>
      </c>
      <c r="G585">
        <v>0</v>
      </c>
      <c r="L585" t="s">
        <v>7</v>
      </c>
      <c r="M585" t="s">
        <v>8</v>
      </c>
      <c r="N585" t="s">
        <v>8</v>
      </c>
      <c r="P585">
        <f t="shared" si="989"/>
        <v>-0.63687943262411606</v>
      </c>
      <c r="Q585">
        <f t="shared" si="990"/>
        <v>-44368827.904964723</v>
      </c>
      <c r="R585">
        <f t="shared" si="991"/>
        <v>2344881021.7339849</v>
      </c>
      <c r="S585">
        <f t="shared" si="992"/>
        <v>23448.810217339851</v>
      </c>
      <c r="T585">
        <f t="shared" si="993"/>
        <v>23.448810217339851</v>
      </c>
    </row>
    <row r="586" spans="1:20" x14ac:dyDescent="0.25">
      <c r="A586" s="5">
        <v>44007</v>
      </c>
      <c r="B586">
        <v>2.4247000000000001E-3</v>
      </c>
      <c r="C586">
        <v>2.4288000000000001E-3</v>
      </c>
      <c r="D586">
        <v>2.3779999999999999E-3</v>
      </c>
      <c r="E586">
        <v>2.4080999999999998E-3</v>
      </c>
      <c r="F586">
        <v>73502899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0.18503937007873345</v>
      </c>
      <c r="Q586">
        <f t="shared" si="990"/>
        <v>13600930.129920766</v>
      </c>
      <c r="R586">
        <f t="shared" si="991"/>
        <v>2389249849.6389499</v>
      </c>
      <c r="S586">
        <f t="shared" si="992"/>
        <v>23892.4984963895</v>
      </c>
      <c r="T586">
        <f t="shared" si="993"/>
        <v>23.8924984963895</v>
      </c>
    </row>
    <row r="587" spans="1:20" x14ac:dyDescent="0.25">
      <c r="A587" s="5">
        <v>44006</v>
      </c>
      <c r="B587">
        <v>2.4775000000000001E-3</v>
      </c>
      <c r="C587">
        <v>2.4867000000000001E-3</v>
      </c>
      <c r="D587">
        <v>2.3771999999999999E-3</v>
      </c>
      <c r="E587">
        <v>2.4193000000000001E-3</v>
      </c>
      <c r="F587">
        <v>124832546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-0.23105022831050001</v>
      </c>
      <c r="Q587">
        <f t="shared" si="990"/>
        <v>-28842588.253880996</v>
      </c>
      <c r="R587">
        <f t="shared" si="991"/>
        <v>2375648919.5090289</v>
      </c>
      <c r="S587">
        <f t="shared" si="992"/>
        <v>23756.489195090289</v>
      </c>
      <c r="T587">
        <f t="shared" si="993"/>
        <v>23.756489195090289</v>
      </c>
    </row>
    <row r="588" spans="1:20" x14ac:dyDescent="0.25">
      <c r="A588" s="5">
        <v>44005</v>
      </c>
      <c r="B588">
        <v>2.4827999999999999E-3</v>
      </c>
      <c r="C588">
        <v>2.4908999999999999E-3</v>
      </c>
      <c r="D588">
        <v>2.4615000000000001E-3</v>
      </c>
      <c r="E588">
        <v>2.4686E-3</v>
      </c>
      <c r="F588">
        <v>96686433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-0.5170068027210909</v>
      </c>
      <c r="Q588">
        <f t="shared" si="990"/>
        <v>-49987543.591836974</v>
      </c>
      <c r="R588">
        <f t="shared" si="991"/>
        <v>2404491507.7629099</v>
      </c>
      <c r="S588">
        <f t="shared" si="992"/>
        <v>24044.915077629099</v>
      </c>
      <c r="T588">
        <f t="shared" si="993"/>
        <v>24.044915077629099</v>
      </c>
    </row>
    <row r="589" spans="1:20" x14ac:dyDescent="0.25">
      <c r="A589" s="5">
        <v>44004</v>
      </c>
      <c r="B589">
        <v>2.4356999999999998E-3</v>
      </c>
      <c r="C589">
        <v>2.5000999999999999E-3</v>
      </c>
      <c r="D589">
        <v>2.4320000000000001E-3</v>
      </c>
      <c r="E589">
        <v>2.4731000000000002E-3</v>
      </c>
      <c r="F589">
        <v>118270150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0.20704845814978631</v>
      </c>
      <c r="Q589">
        <f t="shared" si="990"/>
        <v>24487652.20264395</v>
      </c>
      <c r="R589">
        <f t="shared" si="991"/>
        <v>2454479051.3547468</v>
      </c>
      <c r="S589">
        <f t="shared" si="992"/>
        <v>24544.790513547468</v>
      </c>
      <c r="T589">
        <f t="shared" si="993"/>
        <v>24.544790513547468</v>
      </c>
    </row>
    <row r="590" spans="1:20" x14ac:dyDescent="0.25">
      <c r="A590" s="5">
        <v>44003</v>
      </c>
      <c r="B590">
        <v>2.4466000000000002E-3</v>
      </c>
      <c r="C590">
        <v>2.4658000000000002E-3</v>
      </c>
      <c r="D590">
        <v>2.4277000000000001E-3</v>
      </c>
      <c r="E590">
        <v>2.4294999999999998E-3</v>
      </c>
      <c r="F590">
        <v>84555177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-0.90551181102363709</v>
      </c>
      <c r="Q590">
        <f t="shared" si="990"/>
        <v>-76565711.456694186</v>
      </c>
      <c r="R590">
        <f t="shared" si="991"/>
        <v>2429991399.1521029</v>
      </c>
      <c r="S590">
        <f t="shared" si="992"/>
        <v>24299.913991521029</v>
      </c>
      <c r="T590">
        <f t="shared" si="993"/>
        <v>24.299913991521031</v>
      </c>
    </row>
    <row r="591" spans="1:20" x14ac:dyDescent="0.25">
      <c r="A591" s="5">
        <v>44002</v>
      </c>
      <c r="B591">
        <v>2.4399000000000001E-3</v>
      </c>
      <c r="C591">
        <v>2.4516E-3</v>
      </c>
      <c r="D591">
        <v>2.3920999999999999E-3</v>
      </c>
      <c r="E591">
        <v>2.4418999999999999E-3</v>
      </c>
      <c r="F591">
        <v>59266072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0.67394957983193082</v>
      </c>
      <c r="Q591">
        <f t="shared" si="990"/>
        <v>39942344.32268896</v>
      </c>
      <c r="R591">
        <f t="shared" si="991"/>
        <v>2506557110.6087971</v>
      </c>
      <c r="S591">
        <f t="shared" si="992"/>
        <v>25065.571106087969</v>
      </c>
      <c r="T591">
        <f t="shared" si="993"/>
        <v>25.065571106087969</v>
      </c>
    </row>
    <row r="592" spans="1:20" x14ac:dyDescent="0.25">
      <c r="A592" s="5">
        <v>44001</v>
      </c>
      <c r="B592">
        <v>2.457E-3</v>
      </c>
      <c r="C592">
        <v>2.4680000000000001E-3</v>
      </c>
      <c r="D592">
        <v>2.4256E-3</v>
      </c>
      <c r="E592">
        <v>2.4399000000000001E-3</v>
      </c>
      <c r="F592">
        <v>84566591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-0.32547169811320653</v>
      </c>
      <c r="Q592">
        <f t="shared" si="990"/>
        <v>-27524031.976415008</v>
      </c>
      <c r="R592">
        <f t="shared" si="991"/>
        <v>2466614766.286108</v>
      </c>
      <c r="S592">
        <f t="shared" si="992"/>
        <v>24666.14766286108</v>
      </c>
      <c r="T592">
        <f t="shared" si="993"/>
        <v>24.666147662861079</v>
      </c>
    </row>
    <row r="593" spans="1:20" x14ac:dyDescent="0.25">
      <c r="A593" s="5">
        <v>44000</v>
      </c>
      <c r="B593">
        <v>2.4788000000000002E-3</v>
      </c>
      <c r="C593">
        <v>2.4919E-3</v>
      </c>
      <c r="D593">
        <v>2.4321999999999998E-3</v>
      </c>
      <c r="E593">
        <v>2.4575E-3</v>
      </c>
      <c r="F593">
        <v>59137982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-0.15242881072026301</v>
      </c>
      <c r="Q593">
        <f t="shared" si="990"/>
        <v>-9014332.2646563221</v>
      </c>
      <c r="R593">
        <f t="shared" si="991"/>
        <v>2494138798.2625232</v>
      </c>
      <c r="S593">
        <f t="shared" si="992"/>
        <v>24941.387982625231</v>
      </c>
      <c r="T593">
        <f t="shared" si="993"/>
        <v>24.94138798262523</v>
      </c>
    </row>
    <row r="594" spans="1:20" x14ac:dyDescent="0.25">
      <c r="A594" s="5">
        <v>43999</v>
      </c>
      <c r="B594">
        <v>2.4856000000000001E-3</v>
      </c>
      <c r="C594">
        <v>2.5024000000000001E-3</v>
      </c>
      <c r="D594">
        <v>2.4445000000000001E-3</v>
      </c>
      <c r="E594">
        <v>2.4805999999999999E-3</v>
      </c>
      <c r="F594">
        <v>136091681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0.24697754749567583</v>
      </c>
      <c r="Q594">
        <f t="shared" si="990"/>
        <v>33611589.607943863</v>
      </c>
      <c r="R594">
        <f t="shared" si="991"/>
        <v>2503153130.5271797</v>
      </c>
      <c r="S594">
        <f t="shared" si="992"/>
        <v>25031.531305271797</v>
      </c>
      <c r="T594">
        <f t="shared" si="993"/>
        <v>25.031531305271798</v>
      </c>
    </row>
    <row r="595" spans="1:20" x14ac:dyDescent="0.25">
      <c r="A595" s="5">
        <v>43998</v>
      </c>
      <c r="B595">
        <v>2.4700999999999998E-3</v>
      </c>
      <c r="C595">
        <v>2.4999000000000002E-3</v>
      </c>
      <c r="D595">
        <v>2.4087000000000002E-3</v>
      </c>
      <c r="E595">
        <v>2.4854999999999999E-3</v>
      </c>
      <c r="F595">
        <v>219496367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0.68421052631578194</v>
      </c>
      <c r="Q595">
        <f t="shared" si="990"/>
        <v>150181724.78947204</v>
      </c>
      <c r="R595">
        <f t="shared" si="991"/>
        <v>2469541540.9192357</v>
      </c>
      <c r="S595">
        <f t="shared" si="992"/>
        <v>24695.415409192356</v>
      </c>
      <c r="T595">
        <f t="shared" si="993"/>
        <v>24.695415409192357</v>
      </c>
    </row>
    <row r="596" spans="1:20" x14ac:dyDescent="0.25">
      <c r="A596" s="5">
        <v>43997</v>
      </c>
      <c r="B596">
        <v>2.4886000000000001E-3</v>
      </c>
      <c r="C596">
        <v>2.4941E-3</v>
      </c>
      <c r="D596">
        <v>2.3963000000000001E-3</v>
      </c>
      <c r="E596">
        <v>2.4743E-3</v>
      </c>
      <c r="F596">
        <v>147058752</v>
      </c>
      <c r="G596">
        <v>0</v>
      </c>
      <c r="L596" t="s">
        <v>8</v>
      </c>
      <c r="M596" t="s">
        <v>8</v>
      </c>
      <c r="N596" t="s">
        <v>8</v>
      </c>
      <c r="P596">
        <f t="shared" si="989"/>
        <v>0.59509202453987808</v>
      </c>
      <c r="Q596">
        <f t="shared" si="990"/>
        <v>87513490.453987852</v>
      </c>
      <c r="R596">
        <f t="shared" si="991"/>
        <v>2319359816.1297636</v>
      </c>
      <c r="S596">
        <f t="shared" si="992"/>
        <v>23193.598161297636</v>
      </c>
      <c r="T596">
        <f t="shared" si="993"/>
        <v>23.193598161297636</v>
      </c>
    </row>
    <row r="597" spans="1:20" x14ac:dyDescent="0.25">
      <c r="A597" s="5">
        <v>43996</v>
      </c>
      <c r="B597">
        <v>2.5135000000000001E-3</v>
      </c>
      <c r="C597">
        <v>2.5319000000000001E-3</v>
      </c>
      <c r="D597">
        <v>2.4819999999999998E-3</v>
      </c>
      <c r="E597">
        <v>2.4972000000000002E-3</v>
      </c>
      <c r="F597">
        <v>65658290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-0.39078156312624124</v>
      </c>
      <c r="Q597">
        <f t="shared" si="990"/>
        <v>-25658049.198396053</v>
      </c>
      <c r="R597">
        <f t="shared" si="991"/>
        <v>2231846325.6757755</v>
      </c>
      <c r="S597">
        <f t="shared" si="992"/>
        <v>22318.463256757754</v>
      </c>
      <c r="T597">
        <f t="shared" si="993"/>
        <v>22.318463256757752</v>
      </c>
    </row>
    <row r="598" spans="1:20" x14ac:dyDescent="0.25">
      <c r="A598" s="5">
        <v>43995</v>
      </c>
      <c r="B598">
        <v>2.5140000000000002E-3</v>
      </c>
      <c r="C598">
        <v>2.5338000000000001E-3</v>
      </c>
      <c r="D598">
        <v>2.4868999999999998E-3</v>
      </c>
      <c r="E598">
        <v>2.5241E-3</v>
      </c>
      <c r="F598">
        <v>93631744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0.58635394456289958</v>
      </c>
      <c r="Q598">
        <f t="shared" si="990"/>
        <v>54901342.430703603</v>
      </c>
      <c r="R598">
        <f t="shared" si="991"/>
        <v>2257504374.8741717</v>
      </c>
      <c r="S598">
        <f t="shared" si="992"/>
        <v>22575.043748741718</v>
      </c>
      <c r="T598">
        <f t="shared" si="993"/>
        <v>22.57504374874172</v>
      </c>
    </row>
    <row r="599" spans="1:20" x14ac:dyDescent="0.25">
      <c r="A599" s="5">
        <v>43994</v>
      </c>
      <c r="B599">
        <v>2.4463000000000002E-3</v>
      </c>
      <c r="C599">
        <v>2.5249999999999999E-3</v>
      </c>
      <c r="D599">
        <v>2.4350999999999999E-3</v>
      </c>
      <c r="E599">
        <v>2.5000000000000001E-3</v>
      </c>
      <c r="F599">
        <v>133287436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0.44382647385984741</v>
      </c>
      <c r="Q599">
        <f t="shared" si="990"/>
        <v>59156492.729700089</v>
      </c>
      <c r="R599">
        <f t="shared" si="991"/>
        <v>2202603032.4434681</v>
      </c>
      <c r="S599">
        <f t="shared" si="992"/>
        <v>22026.03032443468</v>
      </c>
      <c r="T599">
        <f t="shared" si="993"/>
        <v>22.026030324434679</v>
      </c>
    </row>
    <row r="600" spans="1:20" x14ac:dyDescent="0.25">
      <c r="A600" s="5">
        <v>43993</v>
      </c>
      <c r="B600">
        <v>2.5799999999999998E-3</v>
      </c>
      <c r="C600">
        <v>2.5937999999999998E-3</v>
      </c>
      <c r="D600">
        <v>2.3801E-3</v>
      </c>
      <c r="E600">
        <v>2.4463000000000002E-3</v>
      </c>
      <c r="F600">
        <v>169023974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-0.38043986897519649</v>
      </c>
      <c r="Q600">
        <f t="shared" si="990"/>
        <v>-64303458.522227019</v>
      </c>
      <c r="R600">
        <f t="shared" si="991"/>
        <v>2143446539.7137678</v>
      </c>
      <c r="S600">
        <f t="shared" si="992"/>
        <v>21434.465397137679</v>
      </c>
      <c r="T600">
        <f t="shared" si="993"/>
        <v>21.434465397137679</v>
      </c>
    </row>
    <row r="601" spans="1:20" x14ac:dyDescent="0.25">
      <c r="A601" s="5">
        <v>43992</v>
      </c>
      <c r="B601">
        <v>2.5585999999999999E-3</v>
      </c>
      <c r="C601">
        <v>2.5953E-3</v>
      </c>
      <c r="D601">
        <v>2.5409E-3</v>
      </c>
      <c r="E601">
        <v>2.5761E-3</v>
      </c>
      <c r="F601">
        <v>113128228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0.2941176470588226</v>
      </c>
      <c r="Q601">
        <f t="shared" si="990"/>
        <v>33273008.23529401</v>
      </c>
      <c r="R601">
        <f t="shared" si="991"/>
        <v>2207749998.2359948</v>
      </c>
      <c r="S601">
        <f t="shared" si="992"/>
        <v>22077.499982359946</v>
      </c>
      <c r="T601">
        <f t="shared" si="993"/>
        <v>22.077499982359946</v>
      </c>
    </row>
    <row r="602" spans="1:20" x14ac:dyDescent="0.25">
      <c r="A602" s="5">
        <v>43991</v>
      </c>
      <c r="B602">
        <v>2.5847999999999999E-3</v>
      </c>
      <c r="C602">
        <v>2.5888E-3</v>
      </c>
      <c r="D602">
        <v>2.49E-3</v>
      </c>
      <c r="E602">
        <v>2.5585999999999999E-3</v>
      </c>
      <c r="F602">
        <v>116938419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0.38866396761133226</v>
      </c>
      <c r="Q602">
        <f t="shared" si="990"/>
        <v>45449749.894736402</v>
      </c>
      <c r="R602">
        <f t="shared" si="991"/>
        <v>2174476990.000701</v>
      </c>
      <c r="S602">
        <f t="shared" si="992"/>
        <v>21744.76990000701</v>
      </c>
      <c r="T602">
        <f t="shared" si="993"/>
        <v>21.744769900007011</v>
      </c>
    </row>
    <row r="603" spans="1:20" x14ac:dyDescent="0.25">
      <c r="A603" s="5">
        <v>43990</v>
      </c>
      <c r="B603">
        <v>2.5912000000000001E-3</v>
      </c>
      <c r="C603">
        <v>2.6037999999999999E-3</v>
      </c>
      <c r="D603">
        <v>2.5504999999999998E-3</v>
      </c>
      <c r="E603">
        <v>2.5785999999999999E-3</v>
      </c>
      <c r="F603">
        <v>121989865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5.4409005628520114E-2</v>
      </c>
      <c r="Q603">
        <f t="shared" si="990"/>
        <v>6637347.2514074091</v>
      </c>
      <c r="R603">
        <f t="shared" si="991"/>
        <v>2129027240.1059647</v>
      </c>
      <c r="S603">
        <f t="shared" si="992"/>
        <v>21290.272401059647</v>
      </c>
      <c r="T603">
        <f t="shared" si="993"/>
        <v>21.290272401059646</v>
      </c>
    </row>
    <row r="604" spans="1:20" x14ac:dyDescent="0.25">
      <c r="A604" s="5">
        <v>43989</v>
      </c>
      <c r="B604">
        <v>2.5899E-3</v>
      </c>
      <c r="C604">
        <v>2.6134999999999999E-3</v>
      </c>
      <c r="D604">
        <v>2.5500000000000002E-3</v>
      </c>
      <c r="E604">
        <v>2.5986999999999998E-3</v>
      </c>
      <c r="F604">
        <v>132911616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0.53385826771652911</v>
      </c>
      <c r="Q604">
        <f t="shared" si="990"/>
        <v>70955965.077164516</v>
      </c>
      <c r="R604">
        <f t="shared" si="991"/>
        <v>2122389892.8545573</v>
      </c>
      <c r="S604">
        <f t="shared" si="992"/>
        <v>21223.898928545572</v>
      </c>
      <c r="T604">
        <f t="shared" si="993"/>
        <v>21.223898928545573</v>
      </c>
    </row>
    <row r="605" spans="1:20" x14ac:dyDescent="0.25">
      <c r="A605" s="5">
        <v>43988</v>
      </c>
      <c r="B605">
        <v>2.5834E-3</v>
      </c>
      <c r="C605">
        <v>2.5999E-3</v>
      </c>
      <c r="D605">
        <v>2.5506999999999999E-3</v>
      </c>
      <c r="E605">
        <v>2.5926E-3</v>
      </c>
      <c r="F605">
        <v>101549796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0.70325203252032531</v>
      </c>
      <c r="Q605">
        <f t="shared" si="990"/>
        <v>71415100.439024404</v>
      </c>
      <c r="R605">
        <f t="shared" si="991"/>
        <v>2051433927.7773929</v>
      </c>
      <c r="S605">
        <f t="shared" si="992"/>
        <v>20514.339277773928</v>
      </c>
      <c r="T605">
        <f t="shared" si="993"/>
        <v>20.514339277773928</v>
      </c>
    </row>
    <row r="606" spans="1:20" x14ac:dyDescent="0.25">
      <c r="A606" s="5">
        <v>43987</v>
      </c>
      <c r="B606">
        <v>2.6229999999999999E-3</v>
      </c>
      <c r="C606">
        <v>2.6288000000000001E-3</v>
      </c>
      <c r="D606">
        <v>2.5799999999999998E-3</v>
      </c>
      <c r="E606">
        <v>2.5907E-3</v>
      </c>
      <c r="F606">
        <v>114071897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-0.56147540983606004</v>
      </c>
      <c r="Q606">
        <f t="shared" si="990"/>
        <v>-64048565.118851826</v>
      </c>
      <c r="R606">
        <f t="shared" si="991"/>
        <v>1980018827.3383684</v>
      </c>
      <c r="S606">
        <f t="shared" si="992"/>
        <v>19800.188273383683</v>
      </c>
      <c r="T606">
        <f t="shared" si="993"/>
        <v>19.800188273383682</v>
      </c>
    </row>
    <row r="607" spans="1:20" x14ac:dyDescent="0.25">
      <c r="A607" s="5">
        <v>43986</v>
      </c>
      <c r="B607">
        <v>2.5804999999999999E-3</v>
      </c>
      <c r="C607">
        <v>2.6679E-3</v>
      </c>
      <c r="D607">
        <v>2.5655999999999999E-3</v>
      </c>
      <c r="E607">
        <v>2.6229999999999999E-3</v>
      </c>
      <c r="F607">
        <v>326193437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0.12218963831866977</v>
      </c>
      <c r="Q607">
        <f t="shared" si="990"/>
        <v>39857458.088953793</v>
      </c>
      <c r="R607">
        <f t="shared" si="991"/>
        <v>2044067392.4572203</v>
      </c>
      <c r="S607">
        <f t="shared" si="992"/>
        <v>20440.673924572202</v>
      </c>
      <c r="T607">
        <f t="shared" si="993"/>
        <v>20.440673924572202</v>
      </c>
    </row>
    <row r="608" spans="1:20" x14ac:dyDescent="0.25">
      <c r="A608" s="5">
        <v>43985</v>
      </c>
      <c r="B608">
        <v>2.5609999999999999E-3</v>
      </c>
      <c r="C608">
        <v>2.5959999999999998E-3</v>
      </c>
      <c r="D608">
        <v>2.5176999999999999E-3</v>
      </c>
      <c r="E608">
        <v>2.5866999999999999E-3</v>
      </c>
      <c r="F608">
        <v>130101538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0.76245210727969714</v>
      </c>
      <c r="Q608">
        <f t="shared" si="990"/>
        <v>99196191.808429599</v>
      </c>
      <c r="R608">
        <f t="shared" si="991"/>
        <v>2004209934.3682666</v>
      </c>
      <c r="S608">
        <f t="shared" si="992"/>
        <v>20042.099343682665</v>
      </c>
      <c r="T608">
        <f t="shared" si="993"/>
        <v>20.042099343682665</v>
      </c>
    </row>
    <row r="609" spans="1:20" x14ac:dyDescent="0.25">
      <c r="A609" s="5">
        <v>43984</v>
      </c>
      <c r="B609">
        <v>2.6565E-3</v>
      </c>
      <c r="C609">
        <v>2.6646999999999999E-3</v>
      </c>
      <c r="D609">
        <v>2.4696000000000002E-3</v>
      </c>
      <c r="E609">
        <v>2.5666E-3</v>
      </c>
      <c r="F609">
        <v>325981114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-5.6381342901075052E-3</v>
      </c>
      <c r="Q609">
        <f t="shared" si="990"/>
        <v>-1837925.2967708437</v>
      </c>
      <c r="R609">
        <f t="shared" si="991"/>
        <v>1905013742.5598371</v>
      </c>
      <c r="S609">
        <f t="shared" si="992"/>
        <v>19050.137425598372</v>
      </c>
      <c r="T609">
        <f t="shared" si="993"/>
        <v>19.050137425598372</v>
      </c>
    </row>
    <row r="610" spans="1:20" x14ac:dyDescent="0.25">
      <c r="A610" s="5">
        <v>43983</v>
      </c>
      <c r="B610">
        <v>2.5492000000000002E-3</v>
      </c>
      <c r="C610">
        <v>2.7000000000000001E-3</v>
      </c>
      <c r="D610">
        <v>2.4997000000000001E-3</v>
      </c>
      <c r="E610">
        <v>2.6451999999999999E-3</v>
      </c>
      <c r="F610">
        <v>291813951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0.45282076884672756</v>
      </c>
      <c r="Q610">
        <f t="shared" si="990"/>
        <v>132139417.65202129</v>
      </c>
      <c r="R610">
        <f t="shared" si="991"/>
        <v>1906851667.8566079</v>
      </c>
      <c r="S610">
        <f t="shared" si="992"/>
        <v>19068.51667856608</v>
      </c>
      <c r="T610">
        <f t="shared" si="993"/>
        <v>19.06851667856608</v>
      </c>
    </row>
    <row r="611" spans="1:20" x14ac:dyDescent="0.25">
      <c r="A611" s="5">
        <v>43982</v>
      </c>
      <c r="B611">
        <v>2.6180999999999999E-3</v>
      </c>
      <c r="C611">
        <v>2.6822E-3</v>
      </c>
      <c r="D611">
        <v>2.5430000000000001E-3</v>
      </c>
      <c r="E611">
        <v>2.5598999999999999E-3</v>
      </c>
      <c r="F611">
        <v>164715811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-0.75718390804597957</v>
      </c>
      <c r="Q611">
        <f t="shared" si="990"/>
        <v>-124720161.48994295</v>
      </c>
      <c r="R611">
        <f t="shared" si="991"/>
        <v>1774712250.2045865</v>
      </c>
      <c r="S611">
        <f t="shared" si="992"/>
        <v>17747.122502045866</v>
      </c>
      <c r="T611">
        <f t="shared" si="993"/>
        <v>17.747122502045865</v>
      </c>
    </row>
    <row r="612" spans="1:20" x14ac:dyDescent="0.25">
      <c r="A612" s="5">
        <v>43981</v>
      </c>
      <c r="B612">
        <v>2.5301999999999998E-3</v>
      </c>
      <c r="C612">
        <v>2.6299000000000001E-3</v>
      </c>
      <c r="D612">
        <v>2.526E-3</v>
      </c>
      <c r="E612">
        <v>2.6180000000000001E-3</v>
      </c>
      <c r="F612">
        <v>217499962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0.7709335899903752</v>
      </c>
      <c r="Q612">
        <f t="shared" si="990"/>
        <v>167678026.52743018</v>
      </c>
      <c r="R612">
        <f t="shared" si="991"/>
        <v>1899432411.6945295</v>
      </c>
      <c r="S612">
        <f t="shared" si="992"/>
        <v>18994.324116945296</v>
      </c>
      <c r="T612">
        <f t="shared" si="993"/>
        <v>18.994324116945297</v>
      </c>
    </row>
    <row r="613" spans="1:20" x14ac:dyDescent="0.25">
      <c r="A613" s="5">
        <v>43980</v>
      </c>
      <c r="B613">
        <v>2.5265000000000001E-3</v>
      </c>
      <c r="C613">
        <v>2.5533000000000001E-3</v>
      </c>
      <c r="D613">
        <v>2.4995E-3</v>
      </c>
      <c r="E613">
        <v>2.5303000000000001E-3</v>
      </c>
      <c r="F613">
        <v>142622163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0.14498141263940639</v>
      </c>
      <c r="Q613">
        <f t="shared" si="990"/>
        <v>20677562.665427677</v>
      </c>
      <c r="R613">
        <f t="shared" si="991"/>
        <v>1731754385.1670995</v>
      </c>
      <c r="S613">
        <f t="shared" si="992"/>
        <v>17317.543851670995</v>
      </c>
      <c r="T613">
        <f t="shared" si="993"/>
        <v>17.317543851670994</v>
      </c>
    </row>
    <row r="614" spans="1:20" x14ac:dyDescent="0.25">
      <c r="A614" s="5">
        <v>43979</v>
      </c>
      <c r="B614">
        <v>2.4997999999999999E-3</v>
      </c>
      <c r="C614">
        <v>2.5598999999999999E-3</v>
      </c>
      <c r="D614">
        <v>2.4816E-3</v>
      </c>
      <c r="E614">
        <v>2.5230000000000001E-3</v>
      </c>
      <c r="F614">
        <v>256317241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5.7471264367818256E-2</v>
      </c>
      <c r="Q614">
        <f t="shared" si="990"/>
        <v>14730875.919540785</v>
      </c>
      <c r="R614">
        <f t="shared" si="991"/>
        <v>1711076822.5016718</v>
      </c>
      <c r="S614">
        <f t="shared" si="992"/>
        <v>17110.768225016716</v>
      </c>
      <c r="T614">
        <f t="shared" si="993"/>
        <v>17.110768225016717</v>
      </c>
    </row>
    <row r="615" spans="1:20" x14ac:dyDescent="0.25">
      <c r="A615" s="5">
        <v>43978</v>
      </c>
      <c r="B615">
        <v>2.4780000000000002E-3</v>
      </c>
      <c r="C615">
        <v>2.5186000000000002E-3</v>
      </c>
      <c r="D615">
        <v>2.4499000000000001E-3</v>
      </c>
      <c r="E615">
        <v>2.4997999999999999E-3</v>
      </c>
      <c r="F615">
        <v>176177359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0.45269286754002291</v>
      </c>
      <c r="Q615">
        <f t="shared" si="990"/>
        <v>79754233.841338068</v>
      </c>
      <c r="R615">
        <f t="shared" si="991"/>
        <v>1696345946.5821309</v>
      </c>
      <c r="S615">
        <f t="shared" si="992"/>
        <v>16963.45946582131</v>
      </c>
      <c r="T615">
        <f t="shared" si="993"/>
        <v>16.963459465821309</v>
      </c>
    </row>
    <row r="616" spans="1:20" x14ac:dyDescent="0.25">
      <c r="A616" s="5">
        <v>43977</v>
      </c>
      <c r="B616">
        <v>2.5251000000000002E-3</v>
      </c>
      <c r="C616">
        <v>2.5328999999999998E-3</v>
      </c>
      <c r="D616">
        <v>2.4570999999999998E-3</v>
      </c>
      <c r="E616">
        <v>2.4781E-3</v>
      </c>
      <c r="F616">
        <v>186936703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-0.44591029023746215</v>
      </c>
      <c r="Q616">
        <f t="shared" si="990"/>
        <v>-83356999.49076426</v>
      </c>
      <c r="R616">
        <f t="shared" si="991"/>
        <v>1616591712.7407928</v>
      </c>
      <c r="S616">
        <f t="shared" si="992"/>
        <v>16165.917127407927</v>
      </c>
      <c r="T616">
        <f t="shared" si="993"/>
        <v>16.165917127407926</v>
      </c>
    </row>
    <row r="617" spans="1:20" x14ac:dyDescent="0.25">
      <c r="A617" s="5">
        <v>43976</v>
      </c>
      <c r="B617">
        <v>2.4378999999999998E-3</v>
      </c>
      <c r="C617">
        <v>2.5479999999999999E-3</v>
      </c>
      <c r="D617">
        <v>2.4199999999999998E-3</v>
      </c>
      <c r="E617">
        <v>2.5324000000000002E-3</v>
      </c>
      <c r="F617">
        <v>280489252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0.75625000000000442</v>
      </c>
      <c r="Q617">
        <f t="shared" si="990"/>
        <v>212119996.82500124</v>
      </c>
      <c r="R617">
        <f t="shared" si="991"/>
        <v>1699948712.2315571</v>
      </c>
      <c r="S617">
        <f t="shared" si="992"/>
        <v>16999.487122315571</v>
      </c>
      <c r="T617">
        <f t="shared" si="993"/>
        <v>16.999487122315571</v>
      </c>
    </row>
    <row r="618" spans="1:20" x14ac:dyDescent="0.25">
      <c r="A618" s="5">
        <v>43975</v>
      </c>
      <c r="B618">
        <v>2.5355999999999998E-3</v>
      </c>
      <c r="C618">
        <v>2.5630000000000002E-3</v>
      </c>
      <c r="D618">
        <v>2.4350000000000001E-3</v>
      </c>
      <c r="E618">
        <v>2.4461000000000001E-3</v>
      </c>
      <c r="F618">
        <v>160499199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-0.82656250000000009</v>
      </c>
      <c r="Q618">
        <f t="shared" si="990"/>
        <v>-132662619.17343752</v>
      </c>
      <c r="R618">
        <f t="shared" si="991"/>
        <v>1487828715.4065559</v>
      </c>
      <c r="S618">
        <f t="shared" si="992"/>
        <v>14878.28715406556</v>
      </c>
      <c r="T618">
        <f t="shared" si="993"/>
        <v>14.878287154065559</v>
      </c>
    </row>
    <row r="619" spans="1:20" x14ac:dyDescent="0.25">
      <c r="A619" s="5">
        <v>43974</v>
      </c>
      <c r="B619">
        <v>2.5198999999999998E-3</v>
      </c>
      <c r="C619">
        <v>2.5631E-3</v>
      </c>
      <c r="D619">
        <v>2.4935999999999999E-3</v>
      </c>
      <c r="E619">
        <v>2.5271E-3</v>
      </c>
      <c r="F619">
        <v>160030526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-3.5971223021581206E-2</v>
      </c>
      <c r="Q619">
        <f t="shared" si="990"/>
        <v>-5756493.7410069499</v>
      </c>
      <c r="R619">
        <f t="shared" si="991"/>
        <v>1620491334.5799935</v>
      </c>
      <c r="S619">
        <f t="shared" si="992"/>
        <v>16204.913345799934</v>
      </c>
      <c r="T619">
        <f t="shared" si="993"/>
        <v>16.204913345799934</v>
      </c>
    </row>
    <row r="620" spans="1:20" x14ac:dyDescent="0.25">
      <c r="A620" s="5">
        <v>43973</v>
      </c>
      <c r="B620">
        <v>2.477E-3</v>
      </c>
      <c r="C620">
        <v>2.5500000000000002E-3</v>
      </c>
      <c r="D620">
        <v>2.4627E-3</v>
      </c>
      <c r="E620">
        <v>2.5175000000000002E-3</v>
      </c>
      <c r="F620">
        <v>107093984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0.25544100801833003</v>
      </c>
      <c r="Q620">
        <f t="shared" si="990"/>
        <v>27356195.225658908</v>
      </c>
      <c r="R620">
        <f t="shared" si="991"/>
        <v>1626247828.3210003</v>
      </c>
      <c r="S620">
        <f t="shared" si="992"/>
        <v>16262.478283210003</v>
      </c>
      <c r="T620">
        <f t="shared" si="993"/>
        <v>16.262478283210001</v>
      </c>
    </row>
    <row r="621" spans="1:20" x14ac:dyDescent="0.25">
      <c r="A621" s="5">
        <v>43972</v>
      </c>
      <c r="B621">
        <v>2.5011999999999999E-3</v>
      </c>
      <c r="C621">
        <v>2.5514000000000001E-3</v>
      </c>
      <c r="D621">
        <v>2.4215E-3</v>
      </c>
      <c r="E621">
        <v>2.4773999999999998E-3</v>
      </c>
      <c r="F621">
        <v>205051270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-0.13933795227098142</v>
      </c>
      <c r="Q621">
        <f t="shared" si="990"/>
        <v>-28571424.072364125</v>
      </c>
      <c r="R621">
        <f t="shared" si="991"/>
        <v>1598891633.0953414</v>
      </c>
      <c r="S621">
        <f t="shared" si="992"/>
        <v>15988.916330953414</v>
      </c>
      <c r="T621">
        <f t="shared" si="993"/>
        <v>15.988916330953414</v>
      </c>
    </row>
    <row r="622" spans="1:20" x14ac:dyDescent="0.25">
      <c r="A622" s="5">
        <v>43971</v>
      </c>
      <c r="B622">
        <v>2.5393999999999998E-3</v>
      </c>
      <c r="C622">
        <v>2.5660000000000001E-3</v>
      </c>
      <c r="D622">
        <v>2.4588000000000001E-3</v>
      </c>
      <c r="E622">
        <v>2.5002000000000002E-3</v>
      </c>
      <c r="F622">
        <v>152417725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-0.22761194029850693</v>
      </c>
      <c r="Q622">
        <f t="shared" si="990"/>
        <v>-34692094.123134248</v>
      </c>
      <c r="R622">
        <f t="shared" si="991"/>
        <v>1627463057.1677055</v>
      </c>
      <c r="S622">
        <f t="shared" si="992"/>
        <v>16274.630571677055</v>
      </c>
      <c r="T622">
        <f t="shared" si="993"/>
        <v>16.274630571677054</v>
      </c>
    </row>
    <row r="623" spans="1:20" x14ac:dyDescent="0.25">
      <c r="A623" s="5">
        <v>43970</v>
      </c>
      <c r="B623">
        <v>2.5400000000000002E-3</v>
      </c>
      <c r="C623">
        <v>2.5774999999999999E-3</v>
      </c>
      <c r="D623">
        <v>2.4903E-3</v>
      </c>
      <c r="E623">
        <v>2.5487000000000001E-3</v>
      </c>
      <c r="F623">
        <v>90146889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0.33944954128440713</v>
      </c>
      <c r="Q623">
        <f t="shared" si="990"/>
        <v>30600320.119266368</v>
      </c>
      <c r="R623">
        <f t="shared" si="991"/>
        <v>1662155151.2908397</v>
      </c>
      <c r="S623">
        <f t="shared" si="992"/>
        <v>16621.551512908398</v>
      </c>
      <c r="T623">
        <f t="shared" si="993"/>
        <v>16.621551512908397</v>
      </c>
    </row>
    <row r="624" spans="1:20" x14ac:dyDescent="0.25">
      <c r="A624" s="5">
        <v>43969</v>
      </c>
      <c r="B624">
        <v>2.5249999999999999E-3</v>
      </c>
      <c r="C624">
        <v>2.5899E-3</v>
      </c>
      <c r="D624">
        <v>2.4987E-3</v>
      </c>
      <c r="E624">
        <v>2.5379000000000001E-3</v>
      </c>
      <c r="F624">
        <v>93527053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-0.14035087719298103</v>
      </c>
      <c r="Q624">
        <f t="shared" si="990"/>
        <v>-13126603.929824429</v>
      </c>
      <c r="R624">
        <f t="shared" si="991"/>
        <v>1631554831.1715734</v>
      </c>
      <c r="S624">
        <f t="shared" si="992"/>
        <v>16315.548311715735</v>
      </c>
      <c r="T624">
        <f t="shared" si="993"/>
        <v>16.315548311715734</v>
      </c>
    </row>
    <row r="625" spans="1:20" x14ac:dyDescent="0.25">
      <c r="A625" s="5">
        <v>43968</v>
      </c>
      <c r="B625">
        <v>2.5084E-3</v>
      </c>
      <c r="C625">
        <v>2.5799999999999998E-3</v>
      </c>
      <c r="D625">
        <v>2.5019999999999999E-3</v>
      </c>
      <c r="E625">
        <v>2.5330999999999999E-3</v>
      </c>
      <c r="F625">
        <v>103697263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-0.20256410256410068</v>
      </c>
      <c r="Q625">
        <f t="shared" si="990"/>
        <v>-21005343.017948523</v>
      </c>
      <c r="R625">
        <f t="shared" si="991"/>
        <v>1644681435.1013978</v>
      </c>
      <c r="S625">
        <f t="shared" si="992"/>
        <v>16446.814351013978</v>
      </c>
      <c r="T625">
        <f t="shared" si="993"/>
        <v>16.446814351013977</v>
      </c>
    </row>
    <row r="626" spans="1:20" x14ac:dyDescent="0.25">
      <c r="A626" s="5">
        <v>43967</v>
      </c>
      <c r="B626">
        <v>2.5005000000000001E-3</v>
      </c>
      <c r="C626">
        <v>2.5344999999999999E-3</v>
      </c>
      <c r="D626">
        <v>2.4727999999999998E-3</v>
      </c>
      <c r="E626">
        <v>2.5098E-3</v>
      </c>
      <c r="F626">
        <v>82487862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0.19935170178282394</v>
      </c>
      <c r="Q626">
        <f t="shared" si="990"/>
        <v>16444095.666126736</v>
      </c>
      <c r="R626">
        <f t="shared" si="991"/>
        <v>1665686778.1193464</v>
      </c>
      <c r="S626">
        <f t="shared" si="992"/>
        <v>16656.867781193465</v>
      </c>
      <c r="T626">
        <f t="shared" si="993"/>
        <v>16.656867781193466</v>
      </c>
    </row>
    <row r="627" spans="1:20" x14ac:dyDescent="0.25">
      <c r="A627" s="5">
        <v>43966</v>
      </c>
      <c r="B627">
        <v>2.5726999999999998E-3</v>
      </c>
      <c r="C627">
        <v>2.5828000000000001E-3</v>
      </c>
      <c r="D627">
        <v>2.4599999999999999E-3</v>
      </c>
      <c r="E627">
        <v>2.4888000000000002E-3</v>
      </c>
      <c r="F627">
        <v>126538135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-0.53094462540716247</v>
      </c>
      <c r="Q627">
        <f t="shared" si="990"/>
        <v>-67184742.687295958</v>
      </c>
      <c r="R627">
        <f t="shared" si="991"/>
        <v>1649242682.4532197</v>
      </c>
      <c r="S627">
        <f t="shared" si="992"/>
        <v>16492.426824532198</v>
      </c>
      <c r="T627">
        <f t="shared" si="993"/>
        <v>16.492426824532199</v>
      </c>
    </row>
    <row r="628" spans="1:20" x14ac:dyDescent="0.25">
      <c r="A628" s="5">
        <v>43965</v>
      </c>
      <c r="B628">
        <v>2.5190999999999998E-3</v>
      </c>
      <c r="C628">
        <v>2.65E-3</v>
      </c>
      <c r="D628">
        <v>2.5000000000000001E-3</v>
      </c>
      <c r="E628">
        <v>2.5812999999999999E-3</v>
      </c>
      <c r="F628">
        <v>315454837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8.3999999999998451E-2</v>
      </c>
      <c r="Q628">
        <f t="shared" si="990"/>
        <v>26498206.30799951</v>
      </c>
      <c r="R628">
        <f t="shared" si="991"/>
        <v>1716427425.1405156</v>
      </c>
      <c r="S628">
        <f t="shared" si="992"/>
        <v>17164.274251405157</v>
      </c>
      <c r="T628">
        <f t="shared" si="993"/>
        <v>17.164274251405157</v>
      </c>
    </row>
    <row r="629" spans="1:20" x14ac:dyDescent="0.25">
      <c r="A629" s="5">
        <v>43964</v>
      </c>
      <c r="B629">
        <v>2.4605E-3</v>
      </c>
      <c r="C629">
        <v>2.5425000000000001E-3</v>
      </c>
      <c r="D629">
        <v>2.4432999999999998E-3</v>
      </c>
      <c r="E629">
        <v>2.5244999999999998E-3</v>
      </c>
      <c r="F629">
        <v>168041623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0.63709677419354482</v>
      </c>
      <c r="Q629">
        <f t="shared" si="990"/>
        <v>107058775.94354779</v>
      </c>
      <c r="R629">
        <f t="shared" si="991"/>
        <v>1689929218.832516</v>
      </c>
      <c r="S629">
        <f t="shared" si="992"/>
        <v>16899.292188325158</v>
      </c>
      <c r="T629">
        <f t="shared" si="993"/>
        <v>16.899292188325159</v>
      </c>
    </row>
    <row r="630" spans="1:20" x14ac:dyDescent="0.25">
      <c r="A630" s="5">
        <v>43963</v>
      </c>
      <c r="B630">
        <v>2.4045E-3</v>
      </c>
      <c r="C630">
        <v>2.5132000000000002E-3</v>
      </c>
      <c r="D630">
        <v>2.3993E-3</v>
      </c>
      <c r="E630">
        <v>2.4605999999999999E-3</v>
      </c>
      <c r="F630">
        <v>107312600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7.6382791922734838E-2</v>
      </c>
      <c r="Q630">
        <f t="shared" si="990"/>
        <v>8196835.9964876743</v>
      </c>
      <c r="R630">
        <f t="shared" si="991"/>
        <v>1582870442.8889682</v>
      </c>
      <c r="S630">
        <f t="shared" si="992"/>
        <v>15828.704428889683</v>
      </c>
      <c r="T630">
        <f t="shared" si="993"/>
        <v>15.828704428889683</v>
      </c>
    </row>
    <row r="631" spans="1:20" x14ac:dyDescent="0.25">
      <c r="A631" s="5">
        <v>43962</v>
      </c>
      <c r="B631">
        <v>2.4432E-3</v>
      </c>
      <c r="C631">
        <v>2.5373000000000001E-3</v>
      </c>
      <c r="D631">
        <v>2.2956999999999999E-3</v>
      </c>
      <c r="E631">
        <v>2.4125000000000001E-3</v>
      </c>
      <c r="F631">
        <v>192928752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-3.3112582781455929E-2</v>
      </c>
      <c r="Q631">
        <f t="shared" si="990"/>
        <v>-6388369.2715229811</v>
      </c>
      <c r="R631">
        <f t="shared" si="991"/>
        <v>1574673606.8924806</v>
      </c>
      <c r="S631">
        <f t="shared" si="992"/>
        <v>15746.736068924805</v>
      </c>
      <c r="T631">
        <f t="shared" si="993"/>
        <v>15.746736068924806</v>
      </c>
    </row>
    <row r="632" spans="1:20" x14ac:dyDescent="0.25">
      <c r="A632" s="5">
        <v>43961</v>
      </c>
      <c r="B632">
        <v>2.5986E-3</v>
      </c>
      <c r="C632">
        <v>2.5986E-3</v>
      </c>
      <c r="D632">
        <v>2.2425000000000001E-3</v>
      </c>
      <c r="E632">
        <v>2.4602000000000001E-3</v>
      </c>
      <c r="F632">
        <v>321215093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0.22269025554619509</v>
      </c>
      <c r="Q632">
        <f t="shared" si="990"/>
        <v>71531471.145464823</v>
      </c>
      <c r="R632">
        <f t="shared" si="991"/>
        <v>1581061976.1640036</v>
      </c>
      <c r="S632">
        <f t="shared" si="992"/>
        <v>15810.619761640037</v>
      </c>
      <c r="T632">
        <f t="shared" si="993"/>
        <v>15.810619761640037</v>
      </c>
    </row>
    <row r="633" spans="1:20" x14ac:dyDescent="0.25">
      <c r="A633" s="5">
        <v>43960</v>
      </c>
      <c r="B633">
        <v>2.6156999999999999E-3</v>
      </c>
      <c r="C633">
        <v>2.6453000000000002E-3</v>
      </c>
      <c r="D633">
        <v>2.5100000000000001E-3</v>
      </c>
      <c r="E633">
        <v>2.6075E-3</v>
      </c>
      <c r="F633">
        <v>216543474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0.44124168514412215</v>
      </c>
      <c r="Q633">
        <f t="shared" si="990"/>
        <v>95548007.374722406</v>
      </c>
      <c r="R633">
        <f t="shared" si="991"/>
        <v>1509530505.0185387</v>
      </c>
      <c r="S633">
        <f t="shared" si="992"/>
        <v>15095.305050185387</v>
      </c>
      <c r="T633">
        <f t="shared" si="993"/>
        <v>15.095305050185386</v>
      </c>
    </row>
    <row r="634" spans="1:20" x14ac:dyDescent="0.25">
      <c r="A634" s="5">
        <v>43959</v>
      </c>
      <c r="B634">
        <v>2.6632000000000001E-3</v>
      </c>
      <c r="C634">
        <v>2.6894000000000002E-3</v>
      </c>
      <c r="D634">
        <v>2.5699999999999998E-3</v>
      </c>
      <c r="E634">
        <v>2.6051999999999998E-3</v>
      </c>
      <c r="F634">
        <v>259386572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-0.41038525963149303</v>
      </c>
      <c r="Q634">
        <f t="shared" si="990"/>
        <v>-106448425.69514295</v>
      </c>
      <c r="R634">
        <f t="shared" si="991"/>
        <v>1413982497.6438162</v>
      </c>
      <c r="S634">
        <f t="shared" si="992"/>
        <v>14139.824976438162</v>
      </c>
      <c r="T634">
        <f t="shared" si="993"/>
        <v>14.139824976438161</v>
      </c>
    </row>
    <row r="635" spans="1:20" x14ac:dyDescent="0.25">
      <c r="A635" s="5">
        <v>43958</v>
      </c>
      <c r="B635">
        <v>2.48E-3</v>
      </c>
      <c r="C635">
        <v>2.6974999999999998E-3</v>
      </c>
      <c r="D635">
        <v>2.4589999999999998E-3</v>
      </c>
      <c r="E635">
        <v>2.6627E-3</v>
      </c>
      <c r="F635">
        <v>366483103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0.70817610062893277</v>
      </c>
      <c r="Q635">
        <f t="shared" si="990"/>
        <v>259534574.82893154</v>
      </c>
      <c r="R635">
        <f t="shared" si="991"/>
        <v>1520430923.3389592</v>
      </c>
      <c r="S635">
        <f t="shared" si="992"/>
        <v>15204.309233389593</v>
      </c>
      <c r="T635">
        <f t="shared" si="993"/>
        <v>15.204309233389592</v>
      </c>
    </row>
    <row r="636" spans="1:20" x14ac:dyDescent="0.25">
      <c r="A636" s="5">
        <v>43957</v>
      </c>
      <c r="B636">
        <v>2.4775999999999999E-3</v>
      </c>
      <c r="C636">
        <v>2.5623E-3</v>
      </c>
      <c r="D636">
        <v>2.4572000000000001E-3</v>
      </c>
      <c r="E636">
        <v>2.4800999999999998E-3</v>
      </c>
      <c r="F636">
        <v>180927494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-0.56422454804948119</v>
      </c>
      <c r="Q636">
        <f t="shared" si="990"/>
        <v>-102083733.53187522</v>
      </c>
      <c r="R636">
        <f t="shared" si="991"/>
        <v>1260896348.5100276</v>
      </c>
      <c r="S636">
        <f t="shared" si="992"/>
        <v>12608.963485100276</v>
      </c>
      <c r="T636">
        <f t="shared" si="993"/>
        <v>12.608963485100276</v>
      </c>
    </row>
    <row r="637" spans="1:20" x14ac:dyDescent="0.25">
      <c r="A637" s="5">
        <v>43956</v>
      </c>
      <c r="B637">
        <v>2.4716999999999999E-3</v>
      </c>
      <c r="C637">
        <v>2.5182999999999998E-3</v>
      </c>
      <c r="D637">
        <v>2.4266000000000001E-3</v>
      </c>
      <c r="E637">
        <v>2.4738E-3</v>
      </c>
      <c r="F637">
        <v>83336304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2.9443838604144176E-2</v>
      </c>
      <c r="Q637">
        <f t="shared" si="990"/>
        <v>2453740.6848418945</v>
      </c>
      <c r="R637">
        <f t="shared" si="991"/>
        <v>1362980082.0419028</v>
      </c>
      <c r="S637">
        <f t="shared" si="992"/>
        <v>13629.800820419028</v>
      </c>
      <c r="T637">
        <f t="shared" si="993"/>
        <v>13.629800820419028</v>
      </c>
    </row>
    <row r="638" spans="1:20" x14ac:dyDescent="0.25">
      <c r="A638" s="5">
        <v>43955</v>
      </c>
      <c r="B638">
        <v>2.5011E-3</v>
      </c>
      <c r="C638">
        <v>2.5094000000000002E-3</v>
      </c>
      <c r="D638">
        <v>2.3375000000000002E-3</v>
      </c>
      <c r="E638">
        <v>2.4605E-3</v>
      </c>
      <c r="F638">
        <v>151515338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0.43106457242582713</v>
      </c>
      <c r="Q638">
        <f t="shared" si="990"/>
        <v>65312894.390924677</v>
      </c>
      <c r="R638">
        <f t="shared" si="991"/>
        <v>1360526341.3570609</v>
      </c>
      <c r="S638">
        <f t="shared" si="992"/>
        <v>13605.263413570608</v>
      </c>
      <c r="T638">
        <f t="shared" si="993"/>
        <v>13.605263413570608</v>
      </c>
    </row>
    <row r="639" spans="1:20" x14ac:dyDescent="0.25">
      <c r="A639" s="5">
        <v>43954</v>
      </c>
      <c r="B639">
        <v>2.5393E-3</v>
      </c>
      <c r="C639">
        <v>2.5799999999999998E-3</v>
      </c>
      <c r="D639">
        <v>2.4599999999999999E-3</v>
      </c>
      <c r="E639">
        <v>2.5000999999999999E-3</v>
      </c>
      <c r="F639">
        <v>167590125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-0.33166666666666694</v>
      </c>
      <c r="Q639">
        <f t="shared" si="990"/>
        <v>-55584058.125000045</v>
      </c>
      <c r="R639">
        <f t="shared" si="991"/>
        <v>1295213446.9661362</v>
      </c>
      <c r="S639">
        <f t="shared" si="992"/>
        <v>12952.134469661361</v>
      </c>
      <c r="T639">
        <f t="shared" si="993"/>
        <v>12.952134469661361</v>
      </c>
    </row>
    <row r="640" spans="1:20" x14ac:dyDescent="0.25">
      <c r="A640" s="5">
        <v>43953</v>
      </c>
      <c r="B640">
        <v>2.4781999999999998E-3</v>
      </c>
      <c r="C640">
        <v>2.5574E-3</v>
      </c>
      <c r="D640">
        <v>2.4501000000000002E-3</v>
      </c>
      <c r="E640">
        <v>2.542E-3</v>
      </c>
      <c r="F640">
        <v>148558121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0.71295433364398753</v>
      </c>
      <c r="Q640">
        <f t="shared" si="990"/>
        <v>105915156.16495787</v>
      </c>
      <c r="R640">
        <f t="shared" si="991"/>
        <v>1350797505.0911362</v>
      </c>
      <c r="S640">
        <f t="shared" si="992"/>
        <v>13507.975050911362</v>
      </c>
      <c r="T640">
        <f t="shared" si="993"/>
        <v>13.507975050911362</v>
      </c>
    </row>
    <row r="641" spans="1:20" x14ac:dyDescent="0.25">
      <c r="A641" s="5">
        <v>43952</v>
      </c>
      <c r="B641">
        <v>2.4225000000000002E-3</v>
      </c>
      <c r="C641">
        <v>2.5466E-3</v>
      </c>
      <c r="D641">
        <v>2.4175999999999998E-3</v>
      </c>
      <c r="E641">
        <v>2.4748999999999999E-3</v>
      </c>
      <c r="F641">
        <v>220229951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-0.11162790697674335</v>
      </c>
      <c r="Q641">
        <f t="shared" si="990"/>
        <v>-24583808.483720746</v>
      </c>
      <c r="R641">
        <f t="shared" si="991"/>
        <v>1244882348.9261785</v>
      </c>
      <c r="S641">
        <f t="shared" si="992"/>
        <v>12448.823489261784</v>
      </c>
      <c r="T641">
        <f t="shared" si="993"/>
        <v>12.448823489261784</v>
      </c>
    </row>
    <row r="642" spans="1:20" x14ac:dyDescent="0.25">
      <c r="A642" s="5">
        <v>43951</v>
      </c>
      <c r="B642">
        <v>2.4911999999999998E-3</v>
      </c>
      <c r="C642">
        <v>2.6903999999999999E-3</v>
      </c>
      <c r="D642">
        <v>2.3584999999999999E-3</v>
      </c>
      <c r="E642">
        <v>2.4329999999999998E-3</v>
      </c>
      <c r="F642">
        <v>551825570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-0.55106959927689114</v>
      </c>
      <c r="Q642">
        <f t="shared" si="990"/>
        <v>-304094295.73064202</v>
      </c>
      <c r="R642">
        <f t="shared" si="991"/>
        <v>1269466157.4098992</v>
      </c>
      <c r="S642">
        <f t="shared" si="992"/>
        <v>12694.661574098993</v>
      </c>
      <c r="T642">
        <f t="shared" si="993"/>
        <v>12.694661574098992</v>
      </c>
    </row>
    <row r="643" spans="1:20" x14ac:dyDescent="0.25">
      <c r="A643" s="5">
        <v>43950</v>
      </c>
      <c r="B643">
        <v>2.3178000000000001E-3</v>
      </c>
      <c r="C643">
        <v>2.542E-3</v>
      </c>
      <c r="D643">
        <v>2.3065999999999998E-3</v>
      </c>
      <c r="E643">
        <v>2.4911999999999998E-3</v>
      </c>
      <c r="F643">
        <v>354821868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0.56839422259982919</v>
      </c>
      <c r="Q643">
        <f t="shared" si="990"/>
        <v>201678699.8232792</v>
      </c>
      <c r="R643">
        <f t="shared" si="991"/>
        <v>1573560453.1405413</v>
      </c>
      <c r="S643">
        <f t="shared" si="992"/>
        <v>15735.604531405414</v>
      </c>
      <c r="T643">
        <f t="shared" si="993"/>
        <v>15.735604531405414</v>
      </c>
    </row>
    <row r="644" spans="1:20" x14ac:dyDescent="0.25">
      <c r="A644" s="5">
        <v>43949</v>
      </c>
      <c r="B644">
        <v>2.3459000000000002E-3</v>
      </c>
      <c r="C644">
        <v>2.3565000000000001E-3</v>
      </c>
      <c r="D644">
        <v>2.3E-3</v>
      </c>
      <c r="E644">
        <v>2.3270000000000001E-3</v>
      </c>
      <c r="F644">
        <v>168260399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-4.4247787610617567E-2</v>
      </c>
      <c r="Q644">
        <f t="shared" si="990"/>
        <v>-7445150.3982297685</v>
      </c>
      <c r="R644">
        <f t="shared" si="991"/>
        <v>1371881753.3172622</v>
      </c>
      <c r="S644">
        <f t="shared" si="992"/>
        <v>13718.817533172622</v>
      </c>
      <c r="T644">
        <f t="shared" si="993"/>
        <v>13.718817533172622</v>
      </c>
    </row>
    <row r="645" spans="1:20" x14ac:dyDescent="0.25">
      <c r="A645" s="5">
        <v>43948</v>
      </c>
      <c r="B645">
        <v>2.4031999999999999E-3</v>
      </c>
      <c r="C645">
        <v>2.4137E-3</v>
      </c>
      <c r="D645">
        <v>2.2821E-3</v>
      </c>
      <c r="E645">
        <v>2.3456000000000002E-3</v>
      </c>
      <c r="F645">
        <v>475335023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-3.495440729482957E-2</v>
      </c>
      <c r="Q645">
        <f t="shared" si="990"/>
        <v>-16615053.995439181</v>
      </c>
      <c r="R645">
        <f t="shared" si="991"/>
        <v>1379326903.715492</v>
      </c>
      <c r="S645">
        <f t="shared" si="992"/>
        <v>13793.26903715492</v>
      </c>
      <c r="T645">
        <f t="shared" si="993"/>
        <v>13.79326903715492</v>
      </c>
    </row>
    <row r="646" spans="1:20" x14ac:dyDescent="0.25">
      <c r="A646" s="5">
        <v>43947</v>
      </c>
      <c r="B646">
        <v>2.1302999999999999E-3</v>
      </c>
      <c r="C646">
        <v>2.4478999999999998E-3</v>
      </c>
      <c r="D646">
        <v>2.1283000000000001E-3</v>
      </c>
      <c r="E646">
        <v>2.4076000000000002E-3</v>
      </c>
      <c r="F646">
        <v>804586311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0.74780976220275563</v>
      </c>
      <c r="Q646">
        <f t="shared" ref="Q646:Q709" si="995">F646*P646</f>
        <v>601677497.90050244</v>
      </c>
      <c r="R646">
        <f t="shared" ref="R646:R709" si="996">R647+Q646</f>
        <v>1395941957.7109313</v>
      </c>
      <c r="S646">
        <f t="shared" ref="S646:S709" si="997">R646/100000</f>
        <v>13959.419577109313</v>
      </c>
      <c r="T646">
        <f t="shared" ref="T646:T709" si="998">S646/1000</f>
        <v>13.959419577109312</v>
      </c>
    </row>
    <row r="647" spans="1:20" x14ac:dyDescent="0.25">
      <c r="A647" s="5">
        <v>43946</v>
      </c>
      <c r="B647">
        <v>2.0830000000000002E-3</v>
      </c>
      <c r="C647">
        <v>2.1532999999999999E-3</v>
      </c>
      <c r="D647">
        <v>2.0682000000000001E-3</v>
      </c>
      <c r="E647">
        <v>2.1245000000000001E-3</v>
      </c>
      <c r="F647">
        <v>173120551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0.32314923619271718</v>
      </c>
      <c r="Q647">
        <f t="shared" si="995"/>
        <v>55943773.824912339</v>
      </c>
      <c r="R647">
        <f t="shared" si="996"/>
        <v>794264459.81042898</v>
      </c>
      <c r="S647">
        <f t="shared" si="997"/>
        <v>7942.6445981042898</v>
      </c>
      <c r="T647">
        <f t="shared" si="998"/>
        <v>7.9426445981042901</v>
      </c>
    </row>
    <row r="648" spans="1:20" x14ac:dyDescent="0.25">
      <c r="A648" s="5">
        <v>43945</v>
      </c>
      <c r="B648">
        <v>2.0449000000000001E-3</v>
      </c>
      <c r="C648">
        <v>2.1075E-3</v>
      </c>
      <c r="D648">
        <v>2.0431E-3</v>
      </c>
      <c r="E648">
        <v>2.0831999999999999E-3</v>
      </c>
      <c r="F648">
        <v>75266362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0.24534161490682965</v>
      </c>
      <c r="Q648">
        <f t="shared" si="995"/>
        <v>18465970.801242039</v>
      </c>
      <c r="R648">
        <f t="shared" si="996"/>
        <v>738320685.98551667</v>
      </c>
      <c r="S648">
        <f t="shared" si="997"/>
        <v>7383.2068598551668</v>
      </c>
      <c r="T648">
        <f t="shared" si="998"/>
        <v>7.383206859855167</v>
      </c>
    </row>
    <row r="649" spans="1:20" x14ac:dyDescent="0.25">
      <c r="A649" s="5">
        <v>43944</v>
      </c>
      <c r="B649">
        <v>2E-3</v>
      </c>
      <c r="C649">
        <v>2.1611999999999998E-3</v>
      </c>
      <c r="D649">
        <v>1.9886000000000001E-3</v>
      </c>
      <c r="E649">
        <v>2.0512E-3</v>
      </c>
      <c r="F649">
        <v>243115927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-0.27462340672074176</v>
      </c>
      <c r="Q649">
        <f t="shared" si="995"/>
        <v>-66765324.100811161</v>
      </c>
      <c r="R649">
        <f t="shared" si="996"/>
        <v>719854715.18427467</v>
      </c>
      <c r="S649">
        <f t="shared" si="997"/>
        <v>7198.5471518427466</v>
      </c>
      <c r="T649">
        <f t="shared" si="998"/>
        <v>7.1985471518427468</v>
      </c>
    </row>
    <row r="650" spans="1:20" x14ac:dyDescent="0.25">
      <c r="A650" s="5">
        <v>43943</v>
      </c>
      <c r="B650">
        <v>1.9497E-3</v>
      </c>
      <c r="C650">
        <v>2.0500000000000002E-3</v>
      </c>
      <c r="D650">
        <v>1.9425E-3</v>
      </c>
      <c r="E650">
        <v>1.9957E-3</v>
      </c>
      <c r="F650">
        <v>72581197</v>
      </c>
      <c r="G650">
        <v>0</v>
      </c>
      <c r="L650" t="s">
        <v>7</v>
      </c>
      <c r="M650" t="s">
        <v>8</v>
      </c>
      <c r="N650" t="s">
        <v>8</v>
      </c>
      <c r="P650">
        <f t="shared" si="994"/>
        <v>-1.0232558139536628E-2</v>
      </c>
      <c r="Q650">
        <f t="shared" si="995"/>
        <v>-742691.31813966145</v>
      </c>
      <c r="R650">
        <f t="shared" si="996"/>
        <v>786620039.2850858</v>
      </c>
      <c r="S650">
        <f t="shared" si="997"/>
        <v>7866.2003928508584</v>
      </c>
      <c r="T650">
        <f t="shared" si="998"/>
        <v>7.8662003928508586</v>
      </c>
    </row>
    <row r="651" spans="1:20" x14ac:dyDescent="0.25">
      <c r="A651" s="5">
        <v>43942</v>
      </c>
      <c r="B651">
        <v>1.9688000000000002E-3</v>
      </c>
      <c r="C651">
        <v>2E-3</v>
      </c>
      <c r="D651">
        <v>1.9300000000000001E-3</v>
      </c>
      <c r="E651">
        <v>1.9499999999999999E-3</v>
      </c>
      <c r="F651">
        <v>85730979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-0.42857142857143299</v>
      </c>
      <c r="Q651">
        <f t="shared" si="995"/>
        <v>-36741848.142857522</v>
      </c>
      <c r="R651">
        <f t="shared" si="996"/>
        <v>787362730.60322547</v>
      </c>
      <c r="S651">
        <f t="shared" si="997"/>
        <v>7873.6273060322546</v>
      </c>
      <c r="T651">
        <f t="shared" si="998"/>
        <v>7.8736273060322546</v>
      </c>
    </row>
    <row r="652" spans="1:20" x14ac:dyDescent="0.25">
      <c r="A652" s="5">
        <v>43941</v>
      </c>
      <c r="B652">
        <v>2.0311000000000001E-3</v>
      </c>
      <c r="C652">
        <v>2.0498999999999999E-3</v>
      </c>
      <c r="D652">
        <v>1.9354000000000001E-3</v>
      </c>
      <c r="E652">
        <v>1.9786999999999999E-3</v>
      </c>
      <c r="F652">
        <v>180876115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-0.24366812227074444</v>
      </c>
      <c r="Q652">
        <f t="shared" si="995"/>
        <v>-44073743.305677235</v>
      </c>
      <c r="R652">
        <f t="shared" si="996"/>
        <v>824104578.74608302</v>
      </c>
      <c r="S652">
        <f t="shared" si="997"/>
        <v>8241.045787460831</v>
      </c>
      <c r="T652">
        <f t="shared" si="998"/>
        <v>8.2410457874608305</v>
      </c>
    </row>
    <row r="653" spans="1:20" x14ac:dyDescent="0.25">
      <c r="A653" s="5">
        <v>43940</v>
      </c>
      <c r="B653">
        <v>2.0463E-3</v>
      </c>
      <c r="C653">
        <v>2.0722000000000002E-3</v>
      </c>
      <c r="D653">
        <v>1.9976999999999998E-3</v>
      </c>
      <c r="E653">
        <v>2.0313000000000002E-3</v>
      </c>
      <c r="F653">
        <v>70450538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-9.7986577181201975E-2</v>
      </c>
      <c r="Q653">
        <f t="shared" si="995"/>
        <v>-6903207.079194203</v>
      </c>
      <c r="R653">
        <f t="shared" si="996"/>
        <v>868178322.05176032</v>
      </c>
      <c r="S653">
        <f t="shared" si="997"/>
        <v>8681.7832205176037</v>
      </c>
      <c r="T653">
        <f t="shared" si="998"/>
        <v>8.6817832205176035</v>
      </c>
    </row>
    <row r="654" spans="1:20" x14ac:dyDescent="0.25">
      <c r="A654" s="5">
        <v>43939</v>
      </c>
      <c r="B654">
        <v>1.9886000000000001E-3</v>
      </c>
      <c r="C654">
        <v>2.0961999999999999E-3</v>
      </c>
      <c r="D654">
        <v>1.98E-3</v>
      </c>
      <c r="E654">
        <v>2.0444999999999999E-3</v>
      </c>
      <c r="F654">
        <v>92775767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0.11015490533562727</v>
      </c>
      <c r="Q654">
        <f t="shared" si="995"/>
        <v>10219705.831325212</v>
      </c>
      <c r="R654">
        <f t="shared" si="996"/>
        <v>875081529.1309545</v>
      </c>
      <c r="S654">
        <f t="shared" si="997"/>
        <v>8750.8152913095455</v>
      </c>
      <c r="T654">
        <f t="shared" si="998"/>
        <v>8.7508152913095447</v>
      </c>
    </row>
    <row r="655" spans="1:20" x14ac:dyDescent="0.25">
      <c r="A655" s="5">
        <v>43938</v>
      </c>
      <c r="B655">
        <v>2.0002000000000002E-3</v>
      </c>
      <c r="C655">
        <v>2.0046999999999999E-3</v>
      </c>
      <c r="D655">
        <v>1.9740000000000001E-3</v>
      </c>
      <c r="E655">
        <v>1.983E-3</v>
      </c>
      <c r="F655">
        <v>55401970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-0.41368078175896122</v>
      </c>
      <c r="Q655">
        <f t="shared" si="995"/>
        <v>-22918730.260586519</v>
      </c>
      <c r="R655">
        <f t="shared" si="996"/>
        <v>864861823.29962933</v>
      </c>
      <c r="S655">
        <f t="shared" si="997"/>
        <v>8648.618232996294</v>
      </c>
      <c r="T655">
        <f t="shared" si="998"/>
        <v>8.6486182329962933</v>
      </c>
    </row>
    <row r="656" spans="1:20" x14ac:dyDescent="0.25">
      <c r="A656" s="5">
        <v>43937</v>
      </c>
      <c r="B656">
        <v>1.903E-3</v>
      </c>
      <c r="C656">
        <v>2.0300000000000001E-3</v>
      </c>
      <c r="D656">
        <v>1.8722000000000001E-3</v>
      </c>
      <c r="E656">
        <v>1.9949999999999998E-3</v>
      </c>
      <c r="F656">
        <v>151063706</v>
      </c>
      <c r="G656">
        <v>0</v>
      </c>
      <c r="L656" t="s">
        <v>8</v>
      </c>
      <c r="M656" t="s">
        <v>8</v>
      </c>
      <c r="N656" t="s">
        <v>8</v>
      </c>
      <c r="P656">
        <f t="shared" si="994"/>
        <v>0.55640050697084542</v>
      </c>
      <c r="Q656">
        <f t="shared" si="995"/>
        <v>84051922.603294745</v>
      </c>
      <c r="R656">
        <f t="shared" si="996"/>
        <v>887780553.56021583</v>
      </c>
      <c r="S656">
        <f t="shared" si="997"/>
        <v>8877.8055356021578</v>
      </c>
      <c r="T656">
        <f t="shared" si="998"/>
        <v>8.8778055356021586</v>
      </c>
    </row>
    <row r="657" spans="1:20" x14ac:dyDescent="0.25">
      <c r="A657" s="5">
        <v>43936</v>
      </c>
      <c r="B657">
        <v>1.9645999999999999E-3</v>
      </c>
      <c r="C657">
        <v>1.9731000000000002E-3</v>
      </c>
      <c r="D657">
        <v>1.89E-3</v>
      </c>
      <c r="E657">
        <v>1.9061E-3</v>
      </c>
      <c r="F657">
        <v>143735234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-0.61251504211793095</v>
      </c>
      <c r="Q657">
        <f t="shared" si="995"/>
        <v>-88039992.907340661</v>
      </c>
      <c r="R657">
        <f t="shared" si="996"/>
        <v>803728630.9569211</v>
      </c>
      <c r="S657">
        <f t="shared" si="997"/>
        <v>8037.286309569211</v>
      </c>
      <c r="T657">
        <f t="shared" si="998"/>
        <v>8.0372863095692111</v>
      </c>
    </row>
    <row r="658" spans="1:20" x14ac:dyDescent="0.25">
      <c r="A658" s="5">
        <v>43935</v>
      </c>
      <c r="B658">
        <v>1.9532999999999998E-3</v>
      </c>
      <c r="C658">
        <v>1.977E-3</v>
      </c>
      <c r="D658">
        <v>1.9315000000000001E-3</v>
      </c>
      <c r="E658">
        <v>1.9656000000000001E-3</v>
      </c>
      <c r="F658">
        <v>67401911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0.49890109890110068</v>
      </c>
      <c r="Q658">
        <f t="shared" si="995"/>
        <v>33626887.465934187</v>
      </c>
      <c r="R658">
        <f t="shared" si="996"/>
        <v>891768623.86426175</v>
      </c>
      <c r="S658">
        <f t="shared" si="997"/>
        <v>8917.6862386426183</v>
      </c>
      <c r="T658">
        <f t="shared" si="998"/>
        <v>8.9176862386426183</v>
      </c>
    </row>
    <row r="659" spans="1:20" x14ac:dyDescent="0.25">
      <c r="A659" s="5">
        <v>43934</v>
      </c>
      <c r="B659">
        <v>1.9640999999999999E-3</v>
      </c>
      <c r="C659">
        <v>1.9759999999999999E-3</v>
      </c>
      <c r="D659">
        <v>1.8598E-3</v>
      </c>
      <c r="E659">
        <v>1.9532999999999998E-3</v>
      </c>
      <c r="F659">
        <v>185252284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0.60929432013769214</v>
      </c>
      <c r="Q659">
        <f t="shared" si="995"/>
        <v>112873164.43373466</v>
      </c>
      <c r="R659">
        <f t="shared" si="996"/>
        <v>858141736.39832759</v>
      </c>
      <c r="S659">
        <f t="shared" si="997"/>
        <v>8581.4173639832752</v>
      </c>
      <c r="T659">
        <f t="shared" si="998"/>
        <v>8.5814173639832756</v>
      </c>
    </row>
    <row r="660" spans="1:20" x14ac:dyDescent="0.25">
      <c r="A660" s="5">
        <v>43933</v>
      </c>
      <c r="B660">
        <v>1.9680000000000001E-3</v>
      </c>
      <c r="C660">
        <v>2.0119999999999999E-3</v>
      </c>
      <c r="D660">
        <v>1.9392000000000001E-3</v>
      </c>
      <c r="E660">
        <v>1.9673E-3</v>
      </c>
      <c r="F660">
        <v>114627907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-0.22802197802197965</v>
      </c>
      <c r="Q660">
        <f t="shared" si="995"/>
        <v>-26137682.090659529</v>
      </c>
      <c r="R660">
        <f t="shared" si="996"/>
        <v>745268571.96459293</v>
      </c>
      <c r="S660">
        <f t="shared" si="997"/>
        <v>7452.6857196459296</v>
      </c>
      <c r="T660">
        <f t="shared" si="998"/>
        <v>7.4526857196459293</v>
      </c>
    </row>
    <row r="661" spans="1:20" x14ac:dyDescent="0.25">
      <c r="A661" s="5">
        <v>43932</v>
      </c>
      <c r="B661">
        <v>1.9654E-3</v>
      </c>
      <c r="C661">
        <v>2.0100000000000001E-3</v>
      </c>
      <c r="D661">
        <v>1.9349E-3</v>
      </c>
      <c r="E661">
        <v>1.9645000000000001E-3</v>
      </c>
      <c r="F661">
        <v>76732837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-0.21171770972037138</v>
      </c>
      <c r="Q661">
        <f t="shared" si="995"/>
        <v>-16245700.509986572</v>
      </c>
      <c r="R661">
        <f t="shared" si="996"/>
        <v>771406254.05525243</v>
      </c>
      <c r="S661">
        <f t="shared" si="997"/>
        <v>7714.0625405525243</v>
      </c>
      <c r="T661">
        <f t="shared" si="998"/>
        <v>7.7140625405525247</v>
      </c>
    </row>
    <row r="662" spans="1:20" x14ac:dyDescent="0.25">
      <c r="A662" s="5">
        <v>43931</v>
      </c>
      <c r="B662">
        <v>2.0225999999999998E-3</v>
      </c>
      <c r="C662">
        <v>2.0355999999999998E-3</v>
      </c>
      <c r="D662">
        <v>1.8730000000000001E-3</v>
      </c>
      <c r="E662">
        <v>1.9650000000000002E-3</v>
      </c>
      <c r="F662">
        <v>212989247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0.1316113161131639</v>
      </c>
      <c r="Q662">
        <f t="shared" si="995"/>
        <v>28031795.115621746</v>
      </c>
      <c r="R662">
        <f t="shared" si="996"/>
        <v>787651954.56523895</v>
      </c>
      <c r="S662">
        <f t="shared" si="997"/>
        <v>7876.5195456523898</v>
      </c>
      <c r="T662">
        <f t="shared" si="998"/>
        <v>7.87651954565239</v>
      </c>
    </row>
    <row r="663" spans="1:20" x14ac:dyDescent="0.25">
      <c r="A663" s="5">
        <v>43930</v>
      </c>
      <c r="B663">
        <v>2.0037000000000002E-3</v>
      </c>
      <c r="C663">
        <v>2.0454000000000002E-3</v>
      </c>
      <c r="D663">
        <v>1.9851999999999999E-3</v>
      </c>
      <c r="E663">
        <v>2.0151000000000001E-3</v>
      </c>
      <c r="F663">
        <v>89094012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-6.644518272421779E-3</v>
      </c>
      <c r="Q663">
        <f t="shared" si="995"/>
        <v>-591986.7906973653</v>
      </c>
      <c r="R663">
        <f t="shared" si="996"/>
        <v>759620159.44961727</v>
      </c>
      <c r="S663">
        <f t="shared" si="997"/>
        <v>7596.2015944961722</v>
      </c>
      <c r="T663">
        <f t="shared" si="998"/>
        <v>7.596201594496172</v>
      </c>
    </row>
    <row r="664" spans="1:20" x14ac:dyDescent="0.25">
      <c r="A664" s="5">
        <v>43929</v>
      </c>
      <c r="B664">
        <v>1.9965999999999999E-3</v>
      </c>
      <c r="C664">
        <v>2.0425999999999999E-3</v>
      </c>
      <c r="D664">
        <v>1.967E-3</v>
      </c>
      <c r="E664">
        <v>2.0038E-3</v>
      </c>
      <c r="F664">
        <v>90384907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-2.6455026455024271E-2</v>
      </c>
      <c r="Q664">
        <f t="shared" si="995"/>
        <v>-2391135.1058199084</v>
      </c>
      <c r="R664">
        <f t="shared" si="996"/>
        <v>760212146.2403146</v>
      </c>
      <c r="S664">
        <f t="shared" si="997"/>
        <v>7602.1214624031463</v>
      </c>
      <c r="T664">
        <f t="shared" si="998"/>
        <v>7.6021214624031463</v>
      </c>
    </row>
    <row r="665" spans="1:20" x14ac:dyDescent="0.25">
      <c r="A665" s="5">
        <v>43928</v>
      </c>
      <c r="B665">
        <v>1.9894000000000001E-3</v>
      </c>
      <c r="C665">
        <v>2.0209E-3</v>
      </c>
      <c r="D665">
        <v>1.9501E-3</v>
      </c>
      <c r="E665">
        <v>1.9943000000000001E-3</v>
      </c>
      <c r="F665">
        <v>202961221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0.24858757062147196</v>
      </c>
      <c r="Q665">
        <f t="shared" si="995"/>
        <v>50453636.858757682</v>
      </c>
      <c r="R665">
        <f t="shared" si="996"/>
        <v>762603281.34613454</v>
      </c>
      <c r="S665">
        <f t="shared" si="997"/>
        <v>7626.0328134613455</v>
      </c>
      <c r="T665">
        <f t="shared" si="998"/>
        <v>7.6260328134613458</v>
      </c>
    </row>
    <row r="666" spans="1:20" x14ac:dyDescent="0.25">
      <c r="A666" s="5">
        <v>43927</v>
      </c>
      <c r="B666">
        <v>1.8469000000000001E-3</v>
      </c>
      <c r="C666">
        <v>1.9900999999999999E-3</v>
      </c>
      <c r="D666">
        <v>1.8443000000000001E-3</v>
      </c>
      <c r="E666">
        <v>1.9895999999999998E-3</v>
      </c>
      <c r="F666">
        <v>210552139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0.99314128943758484</v>
      </c>
      <c r="Q666">
        <f t="shared" si="995"/>
        <v>209108022.82030159</v>
      </c>
      <c r="R666">
        <f t="shared" si="996"/>
        <v>712149644.48737681</v>
      </c>
      <c r="S666">
        <f t="shared" si="997"/>
        <v>7121.4964448737683</v>
      </c>
      <c r="T666">
        <f t="shared" si="998"/>
        <v>7.1214964448737685</v>
      </c>
    </row>
    <row r="667" spans="1:20" x14ac:dyDescent="0.25">
      <c r="A667" s="5">
        <v>43926</v>
      </c>
      <c r="B667">
        <v>1.8745000000000001E-3</v>
      </c>
      <c r="C667">
        <v>1.8817E-3</v>
      </c>
      <c r="D667">
        <v>1.8381000000000001E-3</v>
      </c>
      <c r="E667">
        <v>1.8500000000000001E-3</v>
      </c>
      <c r="F667">
        <v>55344996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-0.45412844036697131</v>
      </c>
      <c r="Q667">
        <f t="shared" si="995"/>
        <v>-25133736.715596266</v>
      </c>
      <c r="R667">
        <f t="shared" si="996"/>
        <v>503041621.66707522</v>
      </c>
      <c r="S667">
        <f t="shared" si="997"/>
        <v>5030.416216670752</v>
      </c>
      <c r="T667">
        <f t="shared" si="998"/>
        <v>5.0304162166707522</v>
      </c>
    </row>
    <row r="668" spans="1:20" x14ac:dyDescent="0.25">
      <c r="A668" s="5">
        <v>43925</v>
      </c>
      <c r="B668">
        <v>1.8466999999999999E-3</v>
      </c>
      <c r="C668">
        <v>1.9085E-3</v>
      </c>
      <c r="D668">
        <v>1.828E-3</v>
      </c>
      <c r="E668">
        <v>1.8697E-3</v>
      </c>
      <c r="F668">
        <v>92364705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3.6024844720495726E-2</v>
      </c>
      <c r="Q668">
        <f t="shared" si="995"/>
        <v>3327424.1552793952</v>
      </c>
      <c r="R668">
        <f t="shared" si="996"/>
        <v>528175358.38267148</v>
      </c>
      <c r="S668">
        <f t="shared" si="997"/>
        <v>5281.7535838267149</v>
      </c>
      <c r="T668">
        <f t="shared" si="998"/>
        <v>5.2817535838267151</v>
      </c>
    </row>
    <row r="669" spans="1:20" x14ac:dyDescent="0.25">
      <c r="A669" s="5">
        <v>43924</v>
      </c>
      <c r="B669">
        <v>1.8701E-3</v>
      </c>
      <c r="C669">
        <v>1.9047999999999999E-3</v>
      </c>
      <c r="D669">
        <v>1.8205000000000001E-3</v>
      </c>
      <c r="E669">
        <v>1.8466999999999999E-3</v>
      </c>
      <c r="F669">
        <v>97617758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-0.37841043890866116</v>
      </c>
      <c r="Q669">
        <f t="shared" si="995"/>
        <v>-36939578.650059469</v>
      </c>
      <c r="R669">
        <f t="shared" si="996"/>
        <v>524847934.22739208</v>
      </c>
      <c r="S669">
        <f t="shared" si="997"/>
        <v>5248.4793422739203</v>
      </c>
      <c r="T669">
        <f t="shared" si="998"/>
        <v>5.24847934227392</v>
      </c>
    </row>
    <row r="670" spans="1:20" x14ac:dyDescent="0.25">
      <c r="A670" s="5">
        <v>43923</v>
      </c>
      <c r="B670">
        <v>1.8637E-3</v>
      </c>
      <c r="C670">
        <v>1.9499999999999999E-3</v>
      </c>
      <c r="D670">
        <v>1.8404999999999999E-3</v>
      </c>
      <c r="E670">
        <v>1.8776999999999999E-3</v>
      </c>
      <c r="F670">
        <v>146749302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-0.3205479452054788</v>
      </c>
      <c r="Q670">
        <f t="shared" si="995"/>
        <v>-47040187.216438264</v>
      </c>
      <c r="R670">
        <f t="shared" si="996"/>
        <v>561787512.87745154</v>
      </c>
      <c r="S670">
        <f t="shared" si="997"/>
        <v>5617.8751287745154</v>
      </c>
      <c r="T670">
        <f t="shared" si="998"/>
        <v>5.6178751287745152</v>
      </c>
    </row>
    <row r="671" spans="1:20" x14ac:dyDescent="0.25">
      <c r="A671" s="5">
        <v>43922</v>
      </c>
      <c r="B671">
        <v>1.8E-3</v>
      </c>
      <c r="C671">
        <v>1.8743E-3</v>
      </c>
      <c r="D671">
        <v>1.7658999999999999E-3</v>
      </c>
      <c r="E671">
        <v>1.8630999999999999E-3</v>
      </c>
      <c r="F671">
        <v>152034474</v>
      </c>
      <c r="G671">
        <v>0</v>
      </c>
      <c r="L671" t="s">
        <v>7</v>
      </c>
      <c r="M671" t="s">
        <v>8</v>
      </c>
      <c r="N671" t="s">
        <v>8</v>
      </c>
      <c r="P671">
        <f t="shared" si="994"/>
        <v>0.79335793357933482</v>
      </c>
      <c r="Q671">
        <f t="shared" si="995"/>
        <v>120617756.1254611</v>
      </c>
      <c r="R671">
        <f t="shared" si="996"/>
        <v>608827700.09388983</v>
      </c>
      <c r="S671">
        <f t="shared" si="997"/>
        <v>6088.2770009388987</v>
      </c>
      <c r="T671">
        <f t="shared" si="998"/>
        <v>6.0882770009388985</v>
      </c>
    </row>
    <row r="672" spans="1:20" x14ac:dyDescent="0.25">
      <c r="A672" s="5">
        <v>43921</v>
      </c>
      <c r="B672">
        <v>1.7994E-3</v>
      </c>
      <c r="C672">
        <v>1.8286000000000001E-3</v>
      </c>
      <c r="D672">
        <v>1.792E-3</v>
      </c>
      <c r="E672">
        <v>1.8041000000000001E-3</v>
      </c>
      <c r="F672">
        <v>67786701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-0.33879781420764543</v>
      </c>
      <c r="Q672">
        <f t="shared" si="995"/>
        <v>-22965986.131147213</v>
      </c>
      <c r="R672">
        <f t="shared" si="996"/>
        <v>488209943.96842873</v>
      </c>
      <c r="S672">
        <f t="shared" si="997"/>
        <v>4882.0994396842871</v>
      </c>
      <c r="T672">
        <f t="shared" si="998"/>
        <v>4.8820994396842874</v>
      </c>
    </row>
    <row r="673" spans="1:20" x14ac:dyDescent="0.25">
      <c r="A673" s="5">
        <v>43920</v>
      </c>
      <c r="B673">
        <v>1.7202000000000001E-3</v>
      </c>
      <c r="C673">
        <v>1.9E-3</v>
      </c>
      <c r="D673">
        <v>1.709E-3</v>
      </c>
      <c r="E673">
        <v>1.7956999999999999E-3</v>
      </c>
      <c r="F673">
        <v>116199882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-9.2146596858639851E-2</v>
      </c>
      <c r="Q673">
        <f t="shared" si="995"/>
        <v>-10707423.681675522</v>
      </c>
      <c r="R673">
        <f t="shared" si="996"/>
        <v>511175930.09957594</v>
      </c>
      <c r="S673">
        <f t="shared" si="997"/>
        <v>5111.7593009957591</v>
      </c>
      <c r="T673">
        <f t="shared" si="998"/>
        <v>5.1117593009957591</v>
      </c>
    </row>
    <row r="674" spans="1:20" x14ac:dyDescent="0.25">
      <c r="A674" s="5">
        <v>43919</v>
      </c>
      <c r="B674">
        <v>1.7930000000000001E-3</v>
      </c>
      <c r="C674">
        <v>1.8001E-3</v>
      </c>
      <c r="D674">
        <v>1.7018000000000001E-3</v>
      </c>
      <c r="E674">
        <v>1.7099000000000001E-3</v>
      </c>
      <c r="F674">
        <v>156054263</v>
      </c>
      <c r="G674">
        <v>0</v>
      </c>
      <c r="L674" t="s">
        <v>7</v>
      </c>
      <c r="M674" t="s">
        <v>8</v>
      </c>
      <c r="N674" t="s">
        <v>8</v>
      </c>
      <c r="P674">
        <f t="shared" si="994"/>
        <v>-0.83519837232960248</v>
      </c>
      <c r="Q674">
        <f t="shared" si="995"/>
        <v>-130336266.45269571</v>
      </c>
      <c r="R674">
        <f t="shared" si="996"/>
        <v>521883353.78125143</v>
      </c>
      <c r="S674">
        <f t="shared" si="997"/>
        <v>5218.8335378125139</v>
      </c>
      <c r="T674">
        <f t="shared" si="998"/>
        <v>5.2188335378125137</v>
      </c>
    </row>
    <row r="675" spans="1:20" x14ac:dyDescent="0.25">
      <c r="A675" s="5">
        <v>43918</v>
      </c>
      <c r="B675">
        <v>1.7753999999999999E-3</v>
      </c>
      <c r="C675">
        <v>1.8090000000000001E-3</v>
      </c>
      <c r="D675">
        <v>1.6980999999999999E-3</v>
      </c>
      <c r="E675">
        <v>1.7830000000000001E-3</v>
      </c>
      <c r="F675">
        <v>314932329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0.53110910730387828</v>
      </c>
      <c r="Q675">
        <f t="shared" si="995"/>
        <v>167263428.1163213</v>
      </c>
      <c r="R675">
        <f t="shared" si="996"/>
        <v>652219620.23394716</v>
      </c>
      <c r="S675">
        <f t="shared" si="997"/>
        <v>6522.1962023394717</v>
      </c>
      <c r="T675">
        <f t="shared" si="998"/>
        <v>6.5221962023394715</v>
      </c>
    </row>
    <row r="676" spans="1:20" x14ac:dyDescent="0.25">
      <c r="A676" s="5">
        <v>43917</v>
      </c>
      <c r="B676">
        <v>1.8469999999999999E-3</v>
      </c>
      <c r="C676">
        <v>1.8699999999999999E-3</v>
      </c>
      <c r="D676">
        <v>1.7408E-3</v>
      </c>
      <c r="E676">
        <v>1.7765999999999999E-3</v>
      </c>
      <c r="F676">
        <v>195811269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-0.44582043343653366</v>
      </c>
      <c r="Q676">
        <f t="shared" si="995"/>
        <v>-87296664.817337692</v>
      </c>
      <c r="R676">
        <f t="shared" si="996"/>
        <v>484956192.11762589</v>
      </c>
      <c r="S676">
        <f t="shared" si="997"/>
        <v>4849.5619211762587</v>
      </c>
      <c r="T676">
        <f t="shared" si="998"/>
        <v>4.8495619211762584</v>
      </c>
    </row>
    <row r="677" spans="1:20" x14ac:dyDescent="0.25">
      <c r="A677" s="5">
        <v>43916</v>
      </c>
      <c r="B677">
        <v>1.8296E-3</v>
      </c>
      <c r="C677">
        <v>1.8672999999999999E-3</v>
      </c>
      <c r="D677">
        <v>1.8110999999999999E-3</v>
      </c>
      <c r="E677">
        <v>1.8519000000000001E-3</v>
      </c>
      <c r="F677">
        <v>151160373</v>
      </c>
      <c r="G677">
        <v>0</v>
      </c>
      <c r="L677" t="s">
        <v>7</v>
      </c>
      <c r="M677" t="s">
        <v>8</v>
      </c>
      <c r="N677" t="s">
        <v>8</v>
      </c>
      <c r="P677">
        <f t="shared" si="994"/>
        <v>0.45195729537367102</v>
      </c>
      <c r="Q677">
        <f t="shared" si="995"/>
        <v>68318033.348755285</v>
      </c>
      <c r="R677">
        <f t="shared" si="996"/>
        <v>572252856.93496358</v>
      </c>
      <c r="S677">
        <f t="shared" si="997"/>
        <v>5722.5285693496362</v>
      </c>
      <c r="T677">
        <f t="shared" si="998"/>
        <v>5.7225285693496364</v>
      </c>
    </row>
    <row r="678" spans="1:20" x14ac:dyDescent="0.25">
      <c r="A678" s="5">
        <v>43915</v>
      </c>
      <c r="B678">
        <v>1.8511000000000001E-3</v>
      </c>
      <c r="C678">
        <v>1.8947E-3</v>
      </c>
      <c r="D678">
        <v>1.7899999999999999E-3</v>
      </c>
      <c r="E678">
        <v>1.8296E-3</v>
      </c>
      <c r="F678">
        <v>170824524</v>
      </c>
      <c r="G678">
        <v>0</v>
      </c>
      <c r="L678" t="s">
        <v>7</v>
      </c>
      <c r="M678" t="s">
        <v>8</v>
      </c>
      <c r="N678" t="s">
        <v>8</v>
      </c>
      <c r="P678">
        <f t="shared" si="994"/>
        <v>-0.24355300859598747</v>
      </c>
      <c r="Q678">
        <f t="shared" si="995"/>
        <v>-41604826.762177467</v>
      </c>
      <c r="R678">
        <f t="shared" si="996"/>
        <v>503934823.58620834</v>
      </c>
      <c r="S678">
        <f t="shared" si="997"/>
        <v>5039.3482358620831</v>
      </c>
      <c r="T678">
        <f t="shared" si="998"/>
        <v>5.0393482358620831</v>
      </c>
    </row>
    <row r="679" spans="1:20" x14ac:dyDescent="0.25">
      <c r="A679" s="5">
        <v>43914</v>
      </c>
      <c r="B679">
        <v>1.8259999999999999E-3</v>
      </c>
      <c r="C679">
        <v>1.916E-3</v>
      </c>
      <c r="D679">
        <v>1.8047E-3</v>
      </c>
      <c r="E679">
        <v>1.8641E-3</v>
      </c>
      <c r="F679">
        <v>283137113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6.7385444743936498E-2</v>
      </c>
      <c r="Q679">
        <f t="shared" si="995"/>
        <v>19079320.283019204</v>
      </c>
      <c r="R679">
        <f t="shared" si="996"/>
        <v>545539650.34838581</v>
      </c>
      <c r="S679">
        <f t="shared" si="997"/>
        <v>5455.3965034838584</v>
      </c>
      <c r="T679">
        <f t="shared" si="998"/>
        <v>5.4553965034838585</v>
      </c>
    </row>
    <row r="680" spans="1:20" x14ac:dyDescent="0.25">
      <c r="A680" s="5">
        <v>43913</v>
      </c>
      <c r="B680">
        <v>1.7221999999999999E-3</v>
      </c>
      <c r="C680">
        <v>1.8576E-3</v>
      </c>
      <c r="D680">
        <v>1.6842999999999999E-3</v>
      </c>
      <c r="E680">
        <v>1.8192E-3</v>
      </c>
      <c r="F680">
        <v>180308460</v>
      </c>
      <c r="G680">
        <v>0</v>
      </c>
      <c r="L680" t="s">
        <v>7</v>
      </c>
      <c r="M680" t="s">
        <v>8</v>
      </c>
      <c r="N680" t="s">
        <v>8</v>
      </c>
      <c r="P680">
        <f t="shared" si="994"/>
        <v>0.55683785343335213</v>
      </c>
      <c r="Q680">
        <f t="shared" si="995"/>
        <v>100402575.82227343</v>
      </c>
      <c r="R680">
        <f t="shared" si="996"/>
        <v>526460330.06536657</v>
      </c>
      <c r="S680">
        <f t="shared" si="997"/>
        <v>5264.6033006536654</v>
      </c>
      <c r="T680">
        <f t="shared" si="998"/>
        <v>5.2646033006536657</v>
      </c>
    </row>
    <row r="681" spans="1:20" x14ac:dyDescent="0.25">
      <c r="A681" s="5">
        <v>43912</v>
      </c>
      <c r="B681">
        <v>1.7897E-3</v>
      </c>
      <c r="C681">
        <v>1.8446999999999999E-3</v>
      </c>
      <c r="D681">
        <v>1.7155E-3</v>
      </c>
      <c r="E681">
        <v>1.7263999999999999E-3</v>
      </c>
      <c r="F681">
        <v>156027627</v>
      </c>
      <c r="G681">
        <v>0</v>
      </c>
      <c r="L681" t="s">
        <v>8</v>
      </c>
      <c r="M681" t="s">
        <v>8</v>
      </c>
      <c r="N681" t="s">
        <v>8</v>
      </c>
      <c r="P681">
        <f t="shared" si="994"/>
        <v>-0.83126934984520284</v>
      </c>
      <c r="Q681">
        <f t="shared" si="995"/>
        <v>-129700984.05417982</v>
      </c>
      <c r="R681">
        <f t="shared" si="996"/>
        <v>426057754.24309313</v>
      </c>
      <c r="S681">
        <f t="shared" si="997"/>
        <v>4260.5775424309313</v>
      </c>
      <c r="T681">
        <f t="shared" si="998"/>
        <v>4.2605775424309309</v>
      </c>
    </row>
    <row r="682" spans="1:20" x14ac:dyDescent="0.25">
      <c r="A682" s="5">
        <v>43911</v>
      </c>
      <c r="B682">
        <v>1.7757999999999999E-3</v>
      </c>
      <c r="C682">
        <v>1.8533E-3</v>
      </c>
      <c r="D682">
        <v>1.6964E-3</v>
      </c>
      <c r="E682">
        <v>1.7849000000000001E-3</v>
      </c>
      <c r="F682">
        <v>120948576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0.1281070745697904</v>
      </c>
      <c r="Q682">
        <f t="shared" si="995"/>
        <v>15494368.244741961</v>
      </c>
      <c r="R682">
        <f t="shared" si="996"/>
        <v>555758738.29727292</v>
      </c>
      <c r="S682">
        <f t="shared" si="997"/>
        <v>5557.5873829727288</v>
      </c>
      <c r="T682">
        <f t="shared" si="998"/>
        <v>5.5575873829727289</v>
      </c>
    </row>
    <row r="683" spans="1:20" x14ac:dyDescent="0.25">
      <c r="A683" s="5">
        <v>43910</v>
      </c>
      <c r="B683">
        <v>1.7600000000000001E-3</v>
      </c>
      <c r="C683">
        <v>1.9361000000000001E-3</v>
      </c>
      <c r="D683">
        <v>1.6412E-3</v>
      </c>
      <c r="E683">
        <v>1.7802E-3</v>
      </c>
      <c r="F683">
        <v>301406598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-5.7307561885384967E-2</v>
      </c>
      <c r="Q683">
        <f t="shared" si="995"/>
        <v>-17272877.267548349</v>
      </c>
      <c r="R683">
        <f t="shared" si="996"/>
        <v>540264370.052531</v>
      </c>
      <c r="S683">
        <f t="shared" si="997"/>
        <v>5402.6437005253101</v>
      </c>
      <c r="T683">
        <f t="shared" si="998"/>
        <v>5.4026437005253101</v>
      </c>
    </row>
    <row r="684" spans="1:20" x14ac:dyDescent="0.25">
      <c r="A684" s="5">
        <v>43909</v>
      </c>
      <c r="B684">
        <v>1.6002E-3</v>
      </c>
      <c r="C684">
        <v>1.8395E-3</v>
      </c>
      <c r="D684">
        <v>1.565E-3</v>
      </c>
      <c r="E684">
        <v>1.7700000000000001E-3</v>
      </c>
      <c r="F684">
        <v>315677300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0.49362477231329766</v>
      </c>
      <c r="Q684">
        <f t="shared" si="995"/>
        <v>155826135.33697656</v>
      </c>
      <c r="R684">
        <f t="shared" si="996"/>
        <v>557537247.32007933</v>
      </c>
      <c r="S684">
        <f t="shared" si="997"/>
        <v>5575.3724732007931</v>
      </c>
      <c r="T684">
        <f t="shared" si="998"/>
        <v>5.575372473200793</v>
      </c>
    </row>
    <row r="685" spans="1:20" x14ac:dyDescent="0.25">
      <c r="A685" s="5">
        <v>43908</v>
      </c>
      <c r="B685">
        <v>1.6218999999999999E-3</v>
      </c>
      <c r="C685">
        <v>1.6428E-3</v>
      </c>
      <c r="D685">
        <v>1.5441999999999999E-3</v>
      </c>
      <c r="E685">
        <v>1.6002E-3</v>
      </c>
      <c r="F685">
        <v>153194705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0.13590263691683555</v>
      </c>
      <c r="Q685">
        <f t="shared" si="995"/>
        <v>20819564.371196732</v>
      </c>
      <c r="R685">
        <f t="shared" si="996"/>
        <v>401711111.9831028</v>
      </c>
      <c r="S685">
        <f t="shared" si="997"/>
        <v>4017.1111198310282</v>
      </c>
      <c r="T685">
        <f t="shared" si="998"/>
        <v>4.0171111198310285</v>
      </c>
    </row>
    <row r="686" spans="1:20" x14ac:dyDescent="0.25">
      <c r="A686" s="5">
        <v>43907</v>
      </c>
      <c r="B686">
        <v>1.5927000000000001E-3</v>
      </c>
      <c r="C686">
        <v>1.6873000000000001E-3</v>
      </c>
      <c r="D686">
        <v>1.5460000000000001E-3</v>
      </c>
      <c r="E686">
        <v>1.6218999999999999E-3</v>
      </c>
      <c r="F686">
        <v>120269653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7.4309978768575077E-2</v>
      </c>
      <c r="Q686">
        <f t="shared" si="995"/>
        <v>8937235.3609338924</v>
      </c>
      <c r="R686">
        <f t="shared" si="996"/>
        <v>380891547.61190605</v>
      </c>
      <c r="S686">
        <f t="shared" si="997"/>
        <v>3808.9154761190607</v>
      </c>
      <c r="T686">
        <f t="shared" si="998"/>
        <v>3.8089154761190609</v>
      </c>
    </row>
    <row r="687" spans="1:20" x14ac:dyDescent="0.25">
      <c r="A687" s="5">
        <v>43906</v>
      </c>
      <c r="B687">
        <v>1.6903E-3</v>
      </c>
      <c r="C687">
        <v>1.6999999999999999E-3</v>
      </c>
      <c r="D687">
        <v>1.3477999999999999E-3</v>
      </c>
      <c r="E687">
        <v>1.5816999999999999E-3</v>
      </c>
      <c r="F687">
        <v>232810549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0.32822260079500282</v>
      </c>
      <c r="Q687">
        <f t="shared" si="995"/>
        <v>76413683.885292441</v>
      </c>
      <c r="R687">
        <f t="shared" si="996"/>
        <v>371954312.25097215</v>
      </c>
      <c r="S687">
        <f t="shared" si="997"/>
        <v>3719.5431225097213</v>
      </c>
      <c r="T687">
        <f t="shared" si="998"/>
        <v>3.7195431225097213</v>
      </c>
    </row>
    <row r="688" spans="1:20" x14ac:dyDescent="0.25">
      <c r="A688" s="5">
        <v>43905</v>
      </c>
      <c r="B688">
        <v>1.6603E-3</v>
      </c>
      <c r="C688">
        <v>1.8328999999999999E-3</v>
      </c>
      <c r="D688">
        <v>1.6295000000000001E-3</v>
      </c>
      <c r="E688">
        <v>1.6932E-3</v>
      </c>
      <c r="F688">
        <v>183272920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-0.3736479842674541</v>
      </c>
      <c r="Q688">
        <f t="shared" si="995"/>
        <v>-68479557.128810376</v>
      </c>
      <c r="R688">
        <f t="shared" si="996"/>
        <v>295540628.36567974</v>
      </c>
      <c r="S688">
        <f t="shared" si="997"/>
        <v>2955.4062836567973</v>
      </c>
      <c r="T688">
        <f t="shared" si="998"/>
        <v>2.9554062836567971</v>
      </c>
    </row>
    <row r="689" spans="1:20" x14ac:dyDescent="0.25">
      <c r="A689" s="5">
        <v>43904</v>
      </c>
      <c r="B689">
        <v>1.7225999999999999E-3</v>
      </c>
      <c r="C689">
        <v>1.7771E-3</v>
      </c>
      <c r="D689">
        <v>1.6329999999999999E-3</v>
      </c>
      <c r="E689">
        <v>1.6632000000000001E-3</v>
      </c>
      <c r="F689">
        <v>224230347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-0.58084663428174632</v>
      </c>
      <c r="Q689">
        <f t="shared" si="995"/>
        <v>-130243442.35877807</v>
      </c>
      <c r="R689">
        <f t="shared" si="996"/>
        <v>364020185.49449015</v>
      </c>
      <c r="S689">
        <f t="shared" si="997"/>
        <v>3640.2018549449012</v>
      </c>
      <c r="T689">
        <f t="shared" si="998"/>
        <v>3.6402018549449013</v>
      </c>
    </row>
    <row r="690" spans="1:20" x14ac:dyDescent="0.25">
      <c r="A690" s="5">
        <v>43903</v>
      </c>
      <c r="B690">
        <v>1.4970999999999999E-3</v>
      </c>
      <c r="C690">
        <v>1.7956999999999999E-3</v>
      </c>
      <c r="D690">
        <v>1.1345000000000001E-3</v>
      </c>
      <c r="E690">
        <v>1.7459999999999999E-3</v>
      </c>
      <c r="F690">
        <v>372647948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0.84966727162734434</v>
      </c>
      <c r="Q690">
        <f t="shared" si="995"/>
        <v>316626765.2546885</v>
      </c>
      <c r="R690">
        <f t="shared" si="996"/>
        <v>494263627.85326821</v>
      </c>
      <c r="S690">
        <f t="shared" si="997"/>
        <v>4942.6362785326819</v>
      </c>
      <c r="T690">
        <f t="shared" si="998"/>
        <v>4.9426362785326816</v>
      </c>
    </row>
    <row r="691" spans="1:20" x14ac:dyDescent="0.25">
      <c r="A691" s="5">
        <v>43902</v>
      </c>
      <c r="B691">
        <v>2.1759000000000001E-3</v>
      </c>
      <c r="C691">
        <v>2.1805000000000001E-3</v>
      </c>
      <c r="D691">
        <v>1.4002999999999999E-3</v>
      </c>
      <c r="E691">
        <v>1.5996000000000001E-3</v>
      </c>
      <c r="F691">
        <v>770809996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-0.48910535760061502</v>
      </c>
      <c r="Q691">
        <f t="shared" si="995"/>
        <v>-377007298.73570865</v>
      </c>
      <c r="R691">
        <f t="shared" si="996"/>
        <v>177636862.5985797</v>
      </c>
      <c r="S691">
        <f t="shared" si="997"/>
        <v>1776.3686259857971</v>
      </c>
      <c r="T691">
        <f t="shared" si="998"/>
        <v>1.7763686259857971</v>
      </c>
    </row>
    <row r="692" spans="1:20" x14ac:dyDescent="0.25">
      <c r="A692" s="5">
        <v>43901</v>
      </c>
      <c r="B692">
        <v>2.2020999999999998E-3</v>
      </c>
      <c r="C692">
        <v>2.2181000000000002E-3</v>
      </c>
      <c r="D692">
        <v>2.0910999999999998E-3</v>
      </c>
      <c r="E692">
        <v>2.1716000000000001E-3</v>
      </c>
      <c r="F692">
        <v>128060172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0.26771653543307145</v>
      </c>
      <c r="Q692">
        <f t="shared" si="995"/>
        <v>34283825.574803226</v>
      </c>
      <c r="R692">
        <f t="shared" si="996"/>
        <v>554644161.33428836</v>
      </c>
      <c r="S692">
        <f t="shared" si="997"/>
        <v>5546.441613342884</v>
      </c>
      <c r="T692">
        <f t="shared" si="998"/>
        <v>5.5464416133428838</v>
      </c>
    </row>
    <row r="693" spans="1:20" x14ac:dyDescent="0.25">
      <c r="A693" s="5">
        <v>43900</v>
      </c>
      <c r="B693">
        <v>2.2261E-3</v>
      </c>
      <c r="C693">
        <v>2.2640999999999998E-3</v>
      </c>
      <c r="D693">
        <v>2.1532999999999999E-3</v>
      </c>
      <c r="E693">
        <v>2.2052999999999999E-3</v>
      </c>
      <c r="F693">
        <v>225779527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-6.1371841155234259E-2</v>
      </c>
      <c r="Q693">
        <f t="shared" si="995"/>
        <v>-13856505.267147925</v>
      </c>
      <c r="R693">
        <f t="shared" si="996"/>
        <v>520360335.75948513</v>
      </c>
      <c r="S693">
        <f t="shared" si="997"/>
        <v>5203.6033575948513</v>
      </c>
      <c r="T693">
        <f t="shared" si="998"/>
        <v>5.2036033575948517</v>
      </c>
    </row>
    <row r="694" spans="1:20" x14ac:dyDescent="0.25">
      <c r="A694" s="5">
        <v>43899</v>
      </c>
      <c r="B694">
        <v>2.1714E-3</v>
      </c>
      <c r="C694">
        <v>2.2269E-3</v>
      </c>
      <c r="D694">
        <v>2.0799999999999998E-3</v>
      </c>
      <c r="E694">
        <v>2.2203000000000001E-3</v>
      </c>
      <c r="F694">
        <v>229780847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0.91014295439074433</v>
      </c>
      <c r="Q694">
        <f t="shared" si="995"/>
        <v>209133418.95098761</v>
      </c>
      <c r="R694">
        <f t="shared" si="996"/>
        <v>534216841.02663302</v>
      </c>
      <c r="S694">
        <f t="shared" si="997"/>
        <v>5342.1684102663303</v>
      </c>
      <c r="T694">
        <f t="shared" si="998"/>
        <v>5.3421684102663303</v>
      </c>
    </row>
    <row r="695" spans="1:20" x14ac:dyDescent="0.25">
      <c r="A695" s="5">
        <v>43898</v>
      </c>
      <c r="B695">
        <v>2.4028999999999999E-3</v>
      </c>
      <c r="C695">
        <v>2.4039E-3</v>
      </c>
      <c r="D695">
        <v>2.15E-3</v>
      </c>
      <c r="E695">
        <v>2.1670999999999999E-3</v>
      </c>
      <c r="F695">
        <v>181080658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-0.86530129972430148</v>
      </c>
      <c r="Q695">
        <f t="shared" si="995"/>
        <v>-156689328.72233173</v>
      </c>
      <c r="R695">
        <f t="shared" si="996"/>
        <v>325083422.07564545</v>
      </c>
      <c r="S695">
        <f t="shared" si="997"/>
        <v>3250.8342207564547</v>
      </c>
      <c r="T695">
        <f t="shared" si="998"/>
        <v>3.2508342207564547</v>
      </c>
    </row>
    <row r="696" spans="1:20" x14ac:dyDescent="0.25">
      <c r="A696" s="5">
        <v>43897</v>
      </c>
      <c r="B696">
        <v>2.4862E-3</v>
      </c>
      <c r="C696">
        <v>2.4940000000000001E-3</v>
      </c>
      <c r="D696">
        <v>2.3922000000000001E-3</v>
      </c>
      <c r="E696">
        <v>2.4066000000000001E-3</v>
      </c>
      <c r="F696">
        <v>112331024</v>
      </c>
      <c r="G696">
        <v>0</v>
      </c>
      <c r="L696" t="s">
        <v>8</v>
      </c>
      <c r="M696" t="s">
        <v>7</v>
      </c>
      <c r="N696" t="s">
        <v>7</v>
      </c>
      <c r="P696">
        <f t="shared" si="994"/>
        <v>-0.71709233791748683</v>
      </c>
      <c r="Q696">
        <f t="shared" si="995"/>
        <v>-80551716.62082532</v>
      </c>
      <c r="R696">
        <f t="shared" si="996"/>
        <v>481772750.79797721</v>
      </c>
      <c r="S696">
        <f t="shared" si="997"/>
        <v>4817.7275079797719</v>
      </c>
      <c r="T696">
        <f t="shared" si="998"/>
        <v>4.8177275079797717</v>
      </c>
    </row>
    <row r="697" spans="1:20" x14ac:dyDescent="0.25">
      <c r="A697" s="5">
        <v>43896</v>
      </c>
      <c r="B697">
        <v>2.4773E-3</v>
      </c>
      <c r="C697">
        <v>2.4999000000000002E-3</v>
      </c>
      <c r="D697">
        <v>2.4374000000000002E-3</v>
      </c>
      <c r="E697">
        <v>2.4862E-3</v>
      </c>
      <c r="F697">
        <v>63303104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0.56159999999999499</v>
      </c>
      <c r="Q697">
        <f t="shared" si="995"/>
        <v>35551023.206399687</v>
      </c>
      <c r="R697">
        <f t="shared" si="996"/>
        <v>562324467.4188025</v>
      </c>
      <c r="S697">
        <f t="shared" si="997"/>
        <v>5623.2446741880249</v>
      </c>
      <c r="T697">
        <f t="shared" si="998"/>
        <v>5.6232446741880251</v>
      </c>
    </row>
    <row r="698" spans="1:20" x14ac:dyDescent="0.25">
      <c r="A698" s="5">
        <v>43895</v>
      </c>
      <c r="B698">
        <v>2.4250999999999999E-3</v>
      </c>
      <c r="C698">
        <v>2.5300000000000001E-3</v>
      </c>
      <c r="D698">
        <v>2.4221999999999998E-3</v>
      </c>
      <c r="E698">
        <v>2.4770999999999999E-3</v>
      </c>
      <c r="F698">
        <v>122219349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1.8552875695731219E-2</v>
      </c>
      <c r="Q698">
        <f t="shared" si="995"/>
        <v>2267520.3896101918</v>
      </c>
      <c r="R698">
        <f t="shared" si="996"/>
        <v>526773444.21240282</v>
      </c>
      <c r="S698">
        <f t="shared" si="997"/>
        <v>5267.7344421240286</v>
      </c>
      <c r="T698">
        <f t="shared" si="998"/>
        <v>5.2677344421240289</v>
      </c>
    </row>
    <row r="699" spans="1:20" x14ac:dyDescent="0.25">
      <c r="A699" s="5">
        <v>43894</v>
      </c>
      <c r="B699">
        <v>2.5030999999999999E-3</v>
      </c>
      <c r="C699">
        <v>2.5033E-3</v>
      </c>
      <c r="D699">
        <v>2.3700000000000001E-3</v>
      </c>
      <c r="E699">
        <v>2.4187000000000002E-3</v>
      </c>
      <c r="F699">
        <v>201587827</v>
      </c>
      <c r="G699">
        <v>0</v>
      </c>
      <c r="L699" t="s">
        <v>7</v>
      </c>
      <c r="M699" t="s">
        <v>7</v>
      </c>
      <c r="N699" t="s">
        <v>7</v>
      </c>
      <c r="P699">
        <f t="shared" si="994"/>
        <v>-0.26931732933233143</v>
      </c>
      <c r="Q699">
        <f t="shared" si="995"/>
        <v>-54291095.193548054</v>
      </c>
      <c r="R699">
        <f t="shared" si="996"/>
        <v>524505923.82279265</v>
      </c>
      <c r="S699">
        <f t="shared" si="997"/>
        <v>5245.0592382279265</v>
      </c>
      <c r="T699">
        <f t="shared" si="998"/>
        <v>5.2450592382279266</v>
      </c>
    </row>
    <row r="700" spans="1:20" x14ac:dyDescent="0.25">
      <c r="A700" s="5">
        <v>43893</v>
      </c>
      <c r="B700">
        <v>2.3579999999999999E-3</v>
      </c>
      <c r="C700">
        <v>2.5355E-3</v>
      </c>
      <c r="D700">
        <v>2.3081999999999998E-3</v>
      </c>
      <c r="E700">
        <v>2.4984999999999999E-3</v>
      </c>
      <c r="F700">
        <v>276081118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0.6744390673119216</v>
      </c>
      <c r="Q700">
        <f t="shared" si="995"/>
        <v>186199891.72635257</v>
      </c>
      <c r="R700">
        <f t="shared" si="996"/>
        <v>578797019.01634073</v>
      </c>
      <c r="S700">
        <f t="shared" si="997"/>
        <v>5787.9701901634071</v>
      </c>
      <c r="T700">
        <f t="shared" si="998"/>
        <v>5.7879701901634073</v>
      </c>
    </row>
    <row r="701" spans="1:20" x14ac:dyDescent="0.25">
      <c r="A701" s="5">
        <v>43892</v>
      </c>
      <c r="B701">
        <v>2.2688000000000001E-3</v>
      </c>
      <c r="C701">
        <v>2.3792000000000002E-3</v>
      </c>
      <c r="D701">
        <v>2.2204999999999998E-3</v>
      </c>
      <c r="E701">
        <v>2.3471E-3</v>
      </c>
      <c r="F701">
        <v>96449244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0.59546313799621786</v>
      </c>
      <c r="Q701">
        <f t="shared" si="995"/>
        <v>57431969.489602886</v>
      </c>
      <c r="R701">
        <f t="shared" si="996"/>
        <v>392597127.28998816</v>
      </c>
      <c r="S701">
        <f t="shared" si="997"/>
        <v>3925.9712728998816</v>
      </c>
      <c r="T701">
        <f t="shared" si="998"/>
        <v>3.9259712728998815</v>
      </c>
    </row>
    <row r="702" spans="1:20" x14ac:dyDescent="0.25">
      <c r="A702" s="5">
        <v>43891</v>
      </c>
      <c r="B702">
        <v>2.2201999999999999E-3</v>
      </c>
      <c r="C702">
        <v>2.31E-3</v>
      </c>
      <c r="D702">
        <v>2.2003999999999999E-3</v>
      </c>
      <c r="E702">
        <v>2.2794E-3</v>
      </c>
      <c r="F702">
        <v>116810334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0.44160583941605897</v>
      </c>
      <c r="Q702">
        <f t="shared" si="995"/>
        <v>51584125.598540209</v>
      </c>
      <c r="R702">
        <f t="shared" si="996"/>
        <v>335165157.8003853</v>
      </c>
      <c r="S702">
        <f t="shared" si="997"/>
        <v>3351.651578003853</v>
      </c>
      <c r="T702">
        <f t="shared" si="998"/>
        <v>3.3516515780038532</v>
      </c>
    </row>
    <row r="703" spans="1:20" x14ac:dyDescent="0.25">
      <c r="A703" s="5">
        <v>43890</v>
      </c>
      <c r="B703">
        <v>2.2823000000000001E-3</v>
      </c>
      <c r="C703">
        <v>2.3197000000000001E-3</v>
      </c>
      <c r="D703">
        <v>2.2112E-3</v>
      </c>
      <c r="E703">
        <v>2.2152999999999999E-3</v>
      </c>
      <c r="F703">
        <v>84399218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-0.92442396313364172</v>
      </c>
      <c r="Q703">
        <f t="shared" si="995"/>
        <v>-78020659.588940188</v>
      </c>
      <c r="R703">
        <f t="shared" si="996"/>
        <v>283581032.20184511</v>
      </c>
      <c r="S703">
        <f t="shared" si="997"/>
        <v>2835.8103220184512</v>
      </c>
      <c r="T703">
        <f t="shared" si="998"/>
        <v>2.8358103220184514</v>
      </c>
    </row>
    <row r="704" spans="1:20" x14ac:dyDescent="0.25">
      <c r="A704" s="5">
        <v>43889</v>
      </c>
      <c r="B704">
        <v>2.3254999999999999E-3</v>
      </c>
      <c r="C704">
        <v>2.3700000000000001E-3</v>
      </c>
      <c r="D704">
        <v>2.2160999999999999E-3</v>
      </c>
      <c r="E704">
        <v>2.2823000000000001E-3</v>
      </c>
      <c r="F704">
        <v>99076087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-0.13970110461338395</v>
      </c>
      <c r="Q704">
        <f t="shared" si="995"/>
        <v>-13841038.794671729</v>
      </c>
      <c r="R704">
        <f t="shared" si="996"/>
        <v>361601691.79078531</v>
      </c>
      <c r="S704">
        <f t="shared" si="997"/>
        <v>3616.016917907853</v>
      </c>
      <c r="T704">
        <f t="shared" si="998"/>
        <v>3.616016917907853</v>
      </c>
    </row>
    <row r="705" spans="1:20" x14ac:dyDescent="0.25">
      <c r="A705" s="5">
        <v>43888</v>
      </c>
      <c r="B705">
        <v>2.3406E-3</v>
      </c>
      <c r="C705">
        <v>2.4164E-3</v>
      </c>
      <c r="D705">
        <v>2.3E-3</v>
      </c>
      <c r="E705">
        <v>2.3254999999999999E-3</v>
      </c>
      <c r="F705">
        <v>164177168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-0.56185567010309423</v>
      </c>
      <c r="Q705">
        <f t="shared" si="995"/>
        <v>-92243872.742268279</v>
      </c>
      <c r="R705">
        <f t="shared" si="996"/>
        <v>375442730.58545703</v>
      </c>
      <c r="S705">
        <f t="shared" si="997"/>
        <v>3754.4273058545705</v>
      </c>
      <c r="T705">
        <f t="shared" si="998"/>
        <v>3.7544273058545703</v>
      </c>
    </row>
    <row r="706" spans="1:20" x14ac:dyDescent="0.25">
      <c r="A706" s="5">
        <v>43887</v>
      </c>
      <c r="B706">
        <v>2.4732999999999999E-3</v>
      </c>
      <c r="C706">
        <v>2.4864000000000002E-3</v>
      </c>
      <c r="D706">
        <v>2.1862000000000001E-3</v>
      </c>
      <c r="E706">
        <v>2.3438999999999999E-3</v>
      </c>
      <c r="F706">
        <v>305716693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5.0632911392403397E-2</v>
      </c>
      <c r="Q706">
        <f t="shared" si="995"/>
        <v>15479326.227847591</v>
      </c>
      <c r="R706">
        <f t="shared" si="996"/>
        <v>467686603.32772529</v>
      </c>
      <c r="S706">
        <f t="shared" si="997"/>
        <v>4676.8660332772533</v>
      </c>
      <c r="T706">
        <f t="shared" si="998"/>
        <v>4.6768660332772534</v>
      </c>
    </row>
    <row r="707" spans="1:20" x14ac:dyDescent="0.25">
      <c r="A707" s="5">
        <v>43886</v>
      </c>
      <c r="B707">
        <v>2.5831000000000001E-3</v>
      </c>
      <c r="C707">
        <v>2.5831000000000001E-3</v>
      </c>
      <c r="D707">
        <v>2.3977E-3</v>
      </c>
      <c r="E707">
        <v>2.4734000000000002E-3</v>
      </c>
      <c r="F707">
        <v>256619298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-0.1833872707659101</v>
      </c>
      <c r="Q707">
        <f t="shared" si="995"/>
        <v>-47060712.686083771</v>
      </c>
      <c r="R707">
        <f t="shared" si="996"/>
        <v>452207277.09987772</v>
      </c>
      <c r="S707">
        <f t="shared" si="997"/>
        <v>4522.0727709987768</v>
      </c>
      <c r="T707">
        <f t="shared" si="998"/>
        <v>4.5220727709987765</v>
      </c>
    </row>
    <row r="708" spans="1:20" x14ac:dyDescent="0.25">
      <c r="A708" s="5">
        <v>43885</v>
      </c>
      <c r="B708">
        <v>2.6744E-3</v>
      </c>
      <c r="C708">
        <v>2.6822E-3</v>
      </c>
      <c r="D708">
        <v>2.5436E-3</v>
      </c>
      <c r="E708">
        <v>2.5769E-3</v>
      </c>
      <c r="F708">
        <v>123771852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-0.51948051948051954</v>
      </c>
      <c r="Q708">
        <f t="shared" si="995"/>
        <v>-64297065.97402598</v>
      </c>
      <c r="R708">
        <f t="shared" si="996"/>
        <v>499267989.78596151</v>
      </c>
      <c r="S708">
        <f t="shared" si="997"/>
        <v>4992.6798978596153</v>
      </c>
      <c r="T708">
        <f t="shared" si="998"/>
        <v>4.992679897859615</v>
      </c>
    </row>
    <row r="709" spans="1:20" x14ac:dyDescent="0.25">
      <c r="A709" s="5">
        <v>43884</v>
      </c>
      <c r="B709">
        <v>2.5904999999999999E-3</v>
      </c>
      <c r="C709">
        <v>2.6800000000000001E-3</v>
      </c>
      <c r="D709">
        <v>2.5904999999999999E-3</v>
      </c>
      <c r="E709">
        <v>2.6771999999999998E-3</v>
      </c>
      <c r="F709">
        <v>85158189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0.9374301675977591</v>
      </c>
      <c r="Q709">
        <f t="shared" si="995"/>
        <v>79829855.386591643</v>
      </c>
      <c r="R709">
        <f t="shared" si="996"/>
        <v>563565055.75998747</v>
      </c>
      <c r="S709">
        <f t="shared" si="997"/>
        <v>5635.6505575998744</v>
      </c>
      <c r="T709">
        <f t="shared" si="998"/>
        <v>5.6356505575998748</v>
      </c>
    </row>
    <row r="710" spans="1:20" x14ac:dyDescent="0.25">
      <c r="A710" s="5">
        <v>43883</v>
      </c>
      <c r="B710">
        <v>2.6469000000000002E-3</v>
      </c>
      <c r="C710">
        <v>2.6532999999999999E-3</v>
      </c>
      <c r="D710">
        <v>2.5718999999999998E-3</v>
      </c>
      <c r="E710">
        <v>2.5887000000000002E-3</v>
      </c>
      <c r="F710">
        <v>107733066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-0.58722358722357793</v>
      </c>
      <c r="Q710">
        <f t="shared" ref="Q710:Q766" si="1000">F710*P710</f>
        <v>-63263397.47911448</v>
      </c>
      <c r="R710">
        <f t="shared" ref="R710:R766" si="1001">R711+Q710</f>
        <v>483735200.37339586</v>
      </c>
      <c r="S710">
        <f t="shared" ref="S710:S766" si="1002">R710/100000</f>
        <v>4837.3520037339586</v>
      </c>
      <c r="T710">
        <f t="shared" ref="T710:T766" si="1003">S710/1000</f>
        <v>4.8373520037339581</v>
      </c>
    </row>
    <row r="711" spans="1:20" x14ac:dyDescent="0.25">
      <c r="A711" s="5">
        <v>43882</v>
      </c>
      <c r="B711">
        <v>2.65E-3</v>
      </c>
      <c r="C711">
        <v>2.712E-3</v>
      </c>
      <c r="D711">
        <v>2.5891E-3</v>
      </c>
      <c r="E711">
        <v>2.6481E-3</v>
      </c>
      <c r="F711">
        <v>153113913</v>
      </c>
      <c r="G711">
        <v>0</v>
      </c>
      <c r="L711" t="s">
        <v>7</v>
      </c>
      <c r="M711" t="s">
        <v>7</v>
      </c>
      <c r="N711" t="s">
        <v>7</v>
      </c>
      <c r="P711">
        <f t="shared" si="999"/>
        <v>-3.9869812855980118E-2</v>
      </c>
      <c r="Q711">
        <f t="shared" si="1000"/>
        <v>-6104623.0569568211</v>
      </c>
      <c r="R711">
        <f t="shared" si="1001"/>
        <v>546998597.85251033</v>
      </c>
      <c r="S711">
        <f t="shared" si="1002"/>
        <v>5469.9859785251037</v>
      </c>
      <c r="T711">
        <f t="shared" si="1003"/>
        <v>5.4699859785251039</v>
      </c>
    </row>
    <row r="712" spans="1:20" x14ac:dyDescent="0.25">
      <c r="A712" s="5">
        <v>43881</v>
      </c>
      <c r="B712">
        <v>2.6029999999999998E-3</v>
      </c>
      <c r="C712">
        <v>2.9908999999999999E-3</v>
      </c>
      <c r="D712">
        <v>2.5414999999999999E-3</v>
      </c>
      <c r="E712">
        <v>2.653E-3</v>
      </c>
      <c r="F712">
        <v>268076623</v>
      </c>
      <c r="G712">
        <v>0</v>
      </c>
      <c r="L712" t="s">
        <v>8</v>
      </c>
      <c r="M712" t="s">
        <v>7</v>
      </c>
      <c r="N712" t="s">
        <v>7</v>
      </c>
      <c r="P712">
        <f t="shared" si="999"/>
        <v>-0.50378282153983056</v>
      </c>
      <c r="Q712">
        <f t="shared" si="1000"/>
        <v>-135052397.52380943</v>
      </c>
      <c r="R712">
        <f t="shared" si="1001"/>
        <v>553103220.9094671</v>
      </c>
      <c r="S712">
        <f t="shared" si="1002"/>
        <v>5531.0322090946711</v>
      </c>
      <c r="T712">
        <f t="shared" si="1003"/>
        <v>5.5310322090946711</v>
      </c>
    </row>
    <row r="713" spans="1:20" x14ac:dyDescent="0.25">
      <c r="A713" s="5">
        <v>43880</v>
      </c>
      <c r="B713">
        <v>2.8349E-3</v>
      </c>
      <c r="C713">
        <v>2.8614999999999999E-3</v>
      </c>
      <c r="D713">
        <v>2.5623E-3</v>
      </c>
      <c r="E713">
        <v>2.6085000000000001E-3</v>
      </c>
      <c r="F713">
        <v>156007562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-0.69117647058823417</v>
      </c>
      <c r="Q713">
        <f t="shared" si="1000"/>
        <v>-107828756.08823512</v>
      </c>
      <c r="R713">
        <f t="shared" si="1001"/>
        <v>688155618.43327653</v>
      </c>
      <c r="S713">
        <f t="shared" si="1002"/>
        <v>6881.556184332765</v>
      </c>
      <c r="T713">
        <f t="shared" si="1003"/>
        <v>6.8815561843327648</v>
      </c>
    </row>
    <row r="714" spans="1:20" x14ac:dyDescent="0.25">
      <c r="A714" s="5">
        <v>43879</v>
      </c>
      <c r="B714">
        <v>2.6819000000000001E-3</v>
      </c>
      <c r="C714">
        <v>2.8655999999999998E-3</v>
      </c>
      <c r="D714">
        <v>2.6538E-3</v>
      </c>
      <c r="E714">
        <v>2.8286000000000001E-3</v>
      </c>
      <c r="F714">
        <v>344021674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0.65061378659112623</v>
      </c>
      <c r="Q714">
        <f t="shared" si="1000"/>
        <v>223825243.990558</v>
      </c>
      <c r="R714">
        <f t="shared" si="1001"/>
        <v>795984374.52151167</v>
      </c>
      <c r="S714">
        <f t="shared" si="1002"/>
        <v>7959.8437452151165</v>
      </c>
      <c r="T714">
        <f t="shared" si="1003"/>
        <v>7.9598437452151165</v>
      </c>
    </row>
    <row r="715" spans="1:20" x14ac:dyDescent="0.25">
      <c r="A715" s="5">
        <v>43878</v>
      </c>
      <c r="B715">
        <v>2.7474999999999999E-3</v>
      </c>
      <c r="C715">
        <v>2.7561E-3</v>
      </c>
      <c r="D715">
        <v>2.5241E-3</v>
      </c>
      <c r="E715">
        <v>2.6998999999999999E-3</v>
      </c>
      <c r="F715">
        <v>273787797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0.51551724137930888</v>
      </c>
      <c r="Q715">
        <f t="shared" si="1000"/>
        <v>141142329.83275822</v>
      </c>
      <c r="R715">
        <f t="shared" si="1001"/>
        <v>572159130.53095365</v>
      </c>
      <c r="S715">
        <f t="shared" si="1002"/>
        <v>5721.5913053095364</v>
      </c>
      <c r="T715">
        <f t="shared" si="1003"/>
        <v>5.7215913053095369</v>
      </c>
    </row>
    <row r="716" spans="1:20" x14ac:dyDescent="0.25">
      <c r="A716" s="5">
        <v>43877</v>
      </c>
      <c r="B716">
        <v>2.8980999999999998E-3</v>
      </c>
      <c r="C716">
        <v>2.9621000000000001E-3</v>
      </c>
      <c r="D716">
        <v>2.6023000000000001E-3</v>
      </c>
      <c r="E716">
        <v>2.7521999999999998E-3</v>
      </c>
      <c r="F716">
        <v>417846263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-0.16675931072818398</v>
      </c>
      <c r="Q716">
        <f t="shared" si="1000"/>
        <v>-69679754.808227479</v>
      </c>
      <c r="R716">
        <f t="shared" si="1001"/>
        <v>431016800.6981954</v>
      </c>
      <c r="S716">
        <f t="shared" si="1002"/>
        <v>4310.168006981954</v>
      </c>
      <c r="T716">
        <f t="shared" si="1003"/>
        <v>4.3101680069819537</v>
      </c>
    </row>
    <row r="717" spans="1:20" x14ac:dyDescent="0.25">
      <c r="A717" s="5">
        <v>43876</v>
      </c>
      <c r="B717">
        <v>3.1099000000000001E-3</v>
      </c>
      <c r="C717">
        <v>3.1768999999999999E-3</v>
      </c>
      <c r="D717">
        <v>2.8400000000000001E-3</v>
      </c>
      <c r="E717">
        <v>2.9031E-3</v>
      </c>
      <c r="F717">
        <v>320372009</v>
      </c>
      <c r="G717">
        <v>0</v>
      </c>
      <c r="L717" t="s">
        <v>7</v>
      </c>
      <c r="M717" t="s">
        <v>7</v>
      </c>
      <c r="N717" t="s">
        <v>7</v>
      </c>
      <c r="P717">
        <f t="shared" si="999"/>
        <v>-0.62540813297714459</v>
      </c>
      <c r="Q717">
        <f t="shared" si="1000"/>
        <v>-200363260.00682697</v>
      </c>
      <c r="R717">
        <f t="shared" si="1001"/>
        <v>500696555.50642288</v>
      </c>
      <c r="S717">
        <f t="shared" si="1002"/>
        <v>5006.9655550642292</v>
      </c>
      <c r="T717">
        <f t="shared" si="1003"/>
        <v>5.0069655550642294</v>
      </c>
    </row>
    <row r="718" spans="1:20" x14ac:dyDescent="0.25">
      <c r="A718" s="5">
        <v>43875</v>
      </c>
      <c r="B718">
        <v>3.0098E-3</v>
      </c>
      <c r="C718">
        <v>3.1383000000000001E-3</v>
      </c>
      <c r="D718">
        <v>2.9756000000000001E-3</v>
      </c>
      <c r="E718">
        <v>3.1067E-3</v>
      </c>
      <c r="F718">
        <v>305515579</v>
      </c>
      <c r="G718">
        <v>0</v>
      </c>
      <c r="L718" t="s">
        <v>7</v>
      </c>
      <c r="M718" t="s">
        <v>7</v>
      </c>
      <c r="N718" t="s">
        <v>7</v>
      </c>
      <c r="P718">
        <f t="shared" si="999"/>
        <v>0.61155500921942085</v>
      </c>
      <c r="Q718">
        <f t="shared" si="1000"/>
        <v>186839582.73202169</v>
      </c>
      <c r="R718">
        <f t="shared" si="1001"/>
        <v>701059815.51324987</v>
      </c>
      <c r="S718">
        <f t="shared" si="1002"/>
        <v>7010.5981551324985</v>
      </c>
      <c r="T718">
        <f t="shared" si="1003"/>
        <v>7.0105981551324987</v>
      </c>
    </row>
    <row r="719" spans="1:20" x14ac:dyDescent="0.25">
      <c r="A719" s="5">
        <v>43874</v>
      </c>
      <c r="B719">
        <v>3.0598999999999999E-3</v>
      </c>
      <c r="C719">
        <v>3.2100000000000002E-3</v>
      </c>
      <c r="D719">
        <v>2.9443E-3</v>
      </c>
      <c r="E719">
        <v>3.0132000000000002E-3</v>
      </c>
      <c r="F719">
        <v>570152846</v>
      </c>
      <c r="G719">
        <v>0</v>
      </c>
      <c r="L719" t="s">
        <v>8</v>
      </c>
      <c r="M719" t="s">
        <v>7</v>
      </c>
      <c r="N719" t="s">
        <v>7</v>
      </c>
      <c r="P719">
        <f t="shared" si="999"/>
        <v>-0.48136996612721</v>
      </c>
      <c r="Q719">
        <f t="shared" si="1000"/>
        <v>-274454456.16635239</v>
      </c>
      <c r="R719">
        <f t="shared" si="1001"/>
        <v>514220232.78122818</v>
      </c>
      <c r="S719">
        <f t="shared" si="1002"/>
        <v>5142.2023278122815</v>
      </c>
      <c r="T719">
        <f t="shared" si="1003"/>
        <v>5.1422023278122815</v>
      </c>
    </row>
    <row r="720" spans="1:20" x14ac:dyDescent="0.25">
      <c r="A720" s="5">
        <v>43873</v>
      </c>
      <c r="B720">
        <v>3.0300000000000001E-3</v>
      </c>
      <c r="C720">
        <v>3.1568E-3</v>
      </c>
      <c r="D720">
        <v>3.0000000000000001E-3</v>
      </c>
      <c r="E720">
        <v>3.0588999999999998E-3</v>
      </c>
      <c r="F720">
        <v>621222834</v>
      </c>
      <c r="G720">
        <v>0</v>
      </c>
      <c r="L720" t="s">
        <v>8</v>
      </c>
      <c r="M720" t="s">
        <v>7</v>
      </c>
      <c r="N720" t="s">
        <v>7</v>
      </c>
      <c r="P720">
        <f t="shared" si="999"/>
        <v>-0.2487244897959211</v>
      </c>
      <c r="Q720">
        <f t="shared" si="1000"/>
        <v>-154513332.43622619</v>
      </c>
      <c r="R720">
        <f t="shared" si="1001"/>
        <v>788674688.94758058</v>
      </c>
      <c r="S720">
        <f t="shared" si="1002"/>
        <v>7886.7468894758058</v>
      </c>
      <c r="T720">
        <f t="shared" si="1003"/>
        <v>7.8867468894758055</v>
      </c>
    </row>
    <row r="721" spans="1:20" x14ac:dyDescent="0.25">
      <c r="A721" s="5">
        <v>43872</v>
      </c>
      <c r="B721">
        <v>2.9618000000000001E-3</v>
      </c>
      <c r="C721">
        <v>3.0945999999999999E-3</v>
      </c>
      <c r="D721">
        <v>2.8387999999999998E-3</v>
      </c>
      <c r="E721">
        <v>3.0300000000000001E-3</v>
      </c>
      <c r="F721">
        <v>584824864</v>
      </c>
      <c r="G721">
        <v>0</v>
      </c>
      <c r="L721" t="s">
        <v>8</v>
      </c>
      <c r="M721" t="s">
        <v>7</v>
      </c>
      <c r="N721" t="s">
        <v>7</v>
      </c>
      <c r="P721">
        <f t="shared" si="999"/>
        <v>0.49491790461298107</v>
      </c>
      <c r="Q721">
        <f t="shared" si="1000"/>
        <v>289440296.25645161</v>
      </c>
      <c r="R721">
        <f t="shared" si="1001"/>
        <v>943188021.38380671</v>
      </c>
      <c r="S721">
        <f t="shared" si="1002"/>
        <v>9431.880213838067</v>
      </c>
      <c r="T721">
        <f t="shared" si="1003"/>
        <v>9.4318802138380669</v>
      </c>
    </row>
    <row r="722" spans="1:20" x14ac:dyDescent="0.25">
      <c r="A722" s="5">
        <v>43871</v>
      </c>
      <c r="B722">
        <v>3.2155E-3</v>
      </c>
      <c r="C722">
        <v>3.2818999999999999E-3</v>
      </c>
      <c r="D722">
        <v>2.8417E-3</v>
      </c>
      <c r="E722">
        <v>2.9662999999999998E-3</v>
      </c>
      <c r="F722">
        <v>810781064</v>
      </c>
      <c r="G722">
        <v>0</v>
      </c>
      <c r="L722" t="s">
        <v>7</v>
      </c>
      <c r="M722" t="s">
        <v>7</v>
      </c>
      <c r="N722" t="s">
        <v>7</v>
      </c>
      <c r="P722">
        <f t="shared" si="999"/>
        <v>-0.43389368468877831</v>
      </c>
      <c r="Q722">
        <f t="shared" si="1000"/>
        <v>-351792783.33484817</v>
      </c>
      <c r="R722">
        <f t="shared" si="1001"/>
        <v>653747725.1273551</v>
      </c>
      <c r="S722">
        <f t="shared" si="1002"/>
        <v>6537.4772512735508</v>
      </c>
      <c r="T722">
        <f t="shared" si="1003"/>
        <v>6.5374772512735504</v>
      </c>
    </row>
    <row r="723" spans="1:20" x14ac:dyDescent="0.25">
      <c r="A723" s="5">
        <v>43870</v>
      </c>
      <c r="B723">
        <v>3.1744999999999998E-3</v>
      </c>
      <c r="C723">
        <v>4.8900000000000002E-3</v>
      </c>
      <c r="D723">
        <v>3.078E-3</v>
      </c>
      <c r="E723">
        <v>3.2234999999999998E-3</v>
      </c>
      <c r="F723">
        <v>1307461248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-0.83940397350993401</v>
      </c>
      <c r="Q723">
        <f t="shared" si="1000"/>
        <v>-1097488166.7814572</v>
      </c>
      <c r="R723">
        <f t="shared" si="1001"/>
        <v>1005540508.4622033</v>
      </c>
      <c r="S723">
        <f t="shared" si="1002"/>
        <v>10055.405084622033</v>
      </c>
      <c r="T723">
        <f t="shared" si="1003"/>
        <v>10.055405084622032</v>
      </c>
    </row>
    <row r="724" spans="1:20" x14ac:dyDescent="0.25">
      <c r="A724" s="5">
        <v>43869</v>
      </c>
      <c r="B724">
        <v>2.7997E-3</v>
      </c>
      <c r="C724">
        <v>3.2674000000000002E-3</v>
      </c>
      <c r="D724">
        <v>2.7214000000000001E-3</v>
      </c>
      <c r="E724">
        <v>3.1710000000000002E-3</v>
      </c>
      <c r="F724">
        <v>1122954168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0.64688644688644703</v>
      </c>
      <c r="Q724">
        <f t="shared" si="1000"/>
        <v>726423831.75384629</v>
      </c>
      <c r="R724">
        <f t="shared" si="1001"/>
        <v>2103028675.2436604</v>
      </c>
      <c r="S724">
        <f t="shared" si="1002"/>
        <v>21030.286752436605</v>
      </c>
      <c r="T724">
        <f t="shared" si="1003"/>
        <v>21.030286752436606</v>
      </c>
    </row>
    <row r="725" spans="1:20" x14ac:dyDescent="0.25">
      <c r="A725" s="5">
        <v>43868</v>
      </c>
      <c r="B725">
        <v>2.6641999999999998E-3</v>
      </c>
      <c r="C725">
        <v>2.8E-3</v>
      </c>
      <c r="D725">
        <v>2.65E-3</v>
      </c>
      <c r="E725">
        <v>2.7888000000000001E-3</v>
      </c>
      <c r="F725">
        <v>266969073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0.85066666666666879</v>
      </c>
      <c r="Q725">
        <f t="shared" si="1000"/>
        <v>227101691.43200058</v>
      </c>
      <c r="R725">
        <f t="shared" si="1001"/>
        <v>1376604843.4898143</v>
      </c>
      <c r="S725">
        <f t="shared" si="1002"/>
        <v>13766.048434898143</v>
      </c>
      <c r="T725">
        <f t="shared" si="1003"/>
        <v>13.766048434898142</v>
      </c>
    </row>
    <row r="726" spans="1:20" x14ac:dyDescent="0.25">
      <c r="A726" s="5">
        <v>43867</v>
      </c>
      <c r="B726">
        <v>2.5823E-3</v>
      </c>
      <c r="C726">
        <v>2.6895999999999999E-3</v>
      </c>
      <c r="D726">
        <v>2.5696E-3</v>
      </c>
      <c r="E726">
        <v>2.6654000000000001E-3</v>
      </c>
      <c r="F726">
        <v>245310854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0.59666666666666912</v>
      </c>
      <c r="Q726">
        <f t="shared" si="1000"/>
        <v>146368809.55333394</v>
      </c>
      <c r="R726">
        <f t="shared" si="1001"/>
        <v>1149503152.0578136</v>
      </c>
      <c r="S726">
        <f t="shared" si="1002"/>
        <v>11495.031520578137</v>
      </c>
      <c r="T726">
        <f t="shared" si="1003"/>
        <v>11.495031520578138</v>
      </c>
    </row>
    <row r="727" spans="1:20" x14ac:dyDescent="0.25">
      <c r="A727" s="5">
        <v>43866</v>
      </c>
      <c r="B727">
        <v>2.5168999999999999E-3</v>
      </c>
      <c r="C727">
        <v>2.6334000000000002E-3</v>
      </c>
      <c r="D727">
        <v>2.4723000000000002E-3</v>
      </c>
      <c r="E727">
        <v>2.5826E-3</v>
      </c>
      <c r="F727">
        <v>456737744</v>
      </c>
      <c r="G727">
        <v>0</v>
      </c>
      <c r="L727" t="s">
        <v>8</v>
      </c>
      <c r="M727" t="s">
        <v>8</v>
      </c>
      <c r="N727" t="s">
        <v>7</v>
      </c>
      <c r="P727">
        <f t="shared" si="999"/>
        <v>0.36933581626318851</v>
      </c>
      <c r="Q727">
        <f t="shared" si="1000"/>
        <v>168689607.49844724</v>
      </c>
      <c r="R727">
        <f t="shared" si="1001"/>
        <v>1003134342.5044796</v>
      </c>
      <c r="S727">
        <f t="shared" si="1002"/>
        <v>10031.343425044797</v>
      </c>
      <c r="T727">
        <f t="shared" si="1003"/>
        <v>10.031343425044797</v>
      </c>
    </row>
    <row r="728" spans="1:20" x14ac:dyDescent="0.25">
      <c r="A728" s="5">
        <v>43865</v>
      </c>
      <c r="B728">
        <v>2.4166999999999999E-3</v>
      </c>
      <c r="C728">
        <v>2.5178000000000002E-3</v>
      </c>
      <c r="D728">
        <v>2.398E-3</v>
      </c>
      <c r="E728">
        <v>2.5168999999999999E-3</v>
      </c>
      <c r="F728">
        <v>243323349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0.98497495826376813</v>
      </c>
      <c r="Q728">
        <f t="shared" si="1000"/>
        <v>239667405.5258753</v>
      </c>
      <c r="R728">
        <f t="shared" si="1001"/>
        <v>834444735.00603247</v>
      </c>
      <c r="S728">
        <f t="shared" si="1002"/>
        <v>8344.4473500603253</v>
      </c>
      <c r="T728">
        <f t="shared" si="1003"/>
        <v>8.3444473500603245</v>
      </c>
    </row>
    <row r="729" spans="1:20" x14ac:dyDescent="0.25">
      <c r="A729" s="5">
        <v>43864</v>
      </c>
      <c r="B729">
        <v>2.4396999999999999E-3</v>
      </c>
      <c r="C729">
        <v>2.4999000000000002E-3</v>
      </c>
      <c r="D729">
        <v>2.4133000000000002E-3</v>
      </c>
      <c r="E729">
        <v>2.4156E-3</v>
      </c>
      <c r="F729">
        <v>147181393</v>
      </c>
      <c r="G729">
        <v>0</v>
      </c>
      <c r="L729" t="s">
        <v>8</v>
      </c>
      <c r="M729" t="s">
        <v>8</v>
      </c>
      <c r="N729" t="s">
        <v>7</v>
      </c>
      <c r="P729">
        <f t="shared" si="999"/>
        <v>-0.94688221709007425</v>
      </c>
      <c r="Q729">
        <f t="shared" si="1000"/>
        <v>-139363443.71824554</v>
      </c>
      <c r="R729">
        <f t="shared" si="1001"/>
        <v>594777329.48015714</v>
      </c>
      <c r="S729">
        <f t="shared" si="1002"/>
        <v>5947.773294801571</v>
      </c>
      <c r="T729">
        <f t="shared" si="1003"/>
        <v>5.9477732948015714</v>
      </c>
    </row>
    <row r="730" spans="1:20" x14ac:dyDescent="0.25">
      <c r="A730" s="5">
        <v>43863</v>
      </c>
      <c r="B730">
        <v>2.4118E-3</v>
      </c>
      <c r="C730">
        <v>2.5018000000000002E-3</v>
      </c>
      <c r="D730">
        <v>2.3985E-3</v>
      </c>
      <c r="E730">
        <v>2.4405999999999998E-3</v>
      </c>
      <c r="F730">
        <v>140214787</v>
      </c>
      <c r="G730">
        <v>0</v>
      </c>
      <c r="L730" t="s">
        <v>8</v>
      </c>
      <c r="M730" t="s">
        <v>8</v>
      </c>
      <c r="N730" t="s">
        <v>7</v>
      </c>
      <c r="P730">
        <f t="shared" si="999"/>
        <v>-0.18489835430784698</v>
      </c>
      <c r="Q730">
        <f t="shared" si="1000"/>
        <v>-25925483.365925297</v>
      </c>
      <c r="R730">
        <f t="shared" si="1001"/>
        <v>734140773.19840264</v>
      </c>
      <c r="S730">
        <f t="shared" si="1002"/>
        <v>7341.4077319840262</v>
      </c>
      <c r="T730">
        <f t="shared" si="1003"/>
        <v>7.3414077319840265</v>
      </c>
    </row>
    <row r="731" spans="1:20" x14ac:dyDescent="0.25">
      <c r="A731" s="5">
        <v>43862</v>
      </c>
      <c r="B731">
        <v>2.3776000000000001E-3</v>
      </c>
      <c r="C731">
        <v>2.4169999999999999E-3</v>
      </c>
      <c r="D731">
        <v>2.3730000000000001E-3</v>
      </c>
      <c r="E731">
        <v>2.4169999999999999E-3</v>
      </c>
      <c r="F731">
        <v>69780779</v>
      </c>
      <c r="G731">
        <v>0</v>
      </c>
      <c r="L731" t="s">
        <v>8</v>
      </c>
      <c r="M731" t="s">
        <v>8</v>
      </c>
      <c r="N731" t="s">
        <v>7</v>
      </c>
      <c r="P731">
        <f t="shared" si="999"/>
        <v>1</v>
      </c>
      <c r="Q731">
        <f t="shared" si="1000"/>
        <v>69780779</v>
      </c>
      <c r="R731">
        <f t="shared" si="1001"/>
        <v>760066256.56432796</v>
      </c>
      <c r="S731">
        <f t="shared" si="1002"/>
        <v>7600.6625656432798</v>
      </c>
      <c r="T731">
        <f t="shared" si="1003"/>
        <v>7.6006625656432796</v>
      </c>
    </row>
    <row r="732" spans="1:20" x14ac:dyDescent="0.25">
      <c r="A732" s="5">
        <v>43861</v>
      </c>
      <c r="B732">
        <v>2.4164E-3</v>
      </c>
      <c r="C732">
        <v>2.4450000000000001E-3</v>
      </c>
      <c r="D732">
        <v>2.362E-3</v>
      </c>
      <c r="E732">
        <v>2.3776000000000001E-3</v>
      </c>
      <c r="F732">
        <v>106455643</v>
      </c>
      <c r="G732">
        <v>0</v>
      </c>
      <c r="L732" t="s">
        <v>8</v>
      </c>
      <c r="M732" t="s">
        <v>8</v>
      </c>
      <c r="N732" t="s">
        <v>7</v>
      </c>
      <c r="P732">
        <f t="shared" si="999"/>
        <v>-0.62409638554216551</v>
      </c>
      <c r="Q732">
        <f t="shared" si="1000"/>
        <v>-66438582.016867131</v>
      </c>
      <c r="R732">
        <f t="shared" si="1001"/>
        <v>690285477.56432796</v>
      </c>
      <c r="S732">
        <f t="shared" si="1002"/>
        <v>6902.8547756432799</v>
      </c>
      <c r="T732">
        <f t="shared" si="1003"/>
        <v>6.9028547756432799</v>
      </c>
    </row>
    <row r="733" spans="1:20" x14ac:dyDescent="0.25">
      <c r="A733" s="5">
        <v>43860</v>
      </c>
      <c r="B733">
        <v>2.3865000000000002E-3</v>
      </c>
      <c r="C733">
        <v>2.4242999999999999E-3</v>
      </c>
      <c r="D733">
        <v>2.3544E-3</v>
      </c>
      <c r="E733">
        <v>2.4139999999999999E-3</v>
      </c>
      <c r="F733">
        <v>78294104</v>
      </c>
      <c r="G733">
        <v>0</v>
      </c>
      <c r="L733" t="s">
        <v>8</v>
      </c>
      <c r="M733" t="s">
        <v>8</v>
      </c>
      <c r="N733" t="s">
        <v>7</v>
      </c>
      <c r="P733">
        <f t="shared" si="999"/>
        <v>0.70529327610872694</v>
      </c>
      <c r="Q733">
        <f t="shared" si="1000"/>
        <v>55220305.110157385</v>
      </c>
      <c r="R733">
        <f t="shared" si="1001"/>
        <v>756724059.58119512</v>
      </c>
      <c r="S733">
        <f t="shared" si="1002"/>
        <v>7567.2405958119516</v>
      </c>
      <c r="T733">
        <f t="shared" si="1003"/>
        <v>7.5672405958119517</v>
      </c>
    </row>
    <row r="734" spans="1:20" x14ac:dyDescent="0.25">
      <c r="A734" s="5">
        <v>43859</v>
      </c>
      <c r="B734">
        <v>2.4426999999999999E-3</v>
      </c>
      <c r="C734">
        <v>2.4477000000000001E-3</v>
      </c>
      <c r="D734">
        <v>2.3709999999999998E-3</v>
      </c>
      <c r="E734">
        <v>2.3865000000000002E-3</v>
      </c>
      <c r="F734">
        <v>113185519</v>
      </c>
      <c r="G734">
        <v>0</v>
      </c>
      <c r="L734" t="s">
        <v>8</v>
      </c>
      <c r="M734" t="s">
        <v>8</v>
      </c>
      <c r="N734" t="s">
        <v>7</v>
      </c>
      <c r="P734">
        <f t="shared" si="999"/>
        <v>-0.59582790091263982</v>
      </c>
      <c r="Q734">
        <f t="shared" si="1000"/>
        <v>-67439090.199477717</v>
      </c>
      <c r="R734">
        <f t="shared" si="1001"/>
        <v>701503754.47103775</v>
      </c>
      <c r="S734">
        <f t="shared" si="1002"/>
        <v>7015.037544710377</v>
      </c>
      <c r="T734">
        <f t="shared" si="1003"/>
        <v>7.0150375447103768</v>
      </c>
    </row>
    <row r="735" spans="1:20" x14ac:dyDescent="0.25">
      <c r="A735" s="5">
        <v>43858</v>
      </c>
      <c r="B735">
        <v>2.3594000000000002E-3</v>
      </c>
      <c r="C735">
        <v>2.4437E-3</v>
      </c>
      <c r="D735">
        <v>2.3500000000000001E-3</v>
      </c>
      <c r="E735">
        <v>2.4412000000000001E-3</v>
      </c>
      <c r="F735">
        <v>132996335</v>
      </c>
      <c r="G735">
        <v>0</v>
      </c>
      <c r="L735" t="s">
        <v>8</v>
      </c>
      <c r="M735" t="s">
        <v>8</v>
      </c>
      <c r="N735" t="s">
        <v>7</v>
      </c>
      <c r="P735">
        <f t="shared" si="999"/>
        <v>0.94663820704375878</v>
      </c>
      <c r="Q735">
        <f t="shared" si="1000"/>
        <v>125899412.1077911</v>
      </c>
      <c r="R735">
        <f t="shared" si="1001"/>
        <v>768942844.67051542</v>
      </c>
      <c r="S735">
        <f t="shared" si="1002"/>
        <v>7689.4284467051539</v>
      </c>
      <c r="T735">
        <f t="shared" si="1003"/>
        <v>7.6894284467051541</v>
      </c>
    </row>
    <row r="736" spans="1:20" x14ac:dyDescent="0.25">
      <c r="A736" s="5">
        <v>43857</v>
      </c>
      <c r="B736">
        <v>2.2910000000000001E-3</v>
      </c>
      <c r="C736">
        <v>2.4271000000000002E-3</v>
      </c>
      <c r="D736">
        <v>2.2560000000000002E-3</v>
      </c>
      <c r="E736">
        <v>2.3594000000000002E-3</v>
      </c>
      <c r="F736">
        <v>189983953</v>
      </c>
      <c r="G736">
        <v>0</v>
      </c>
      <c r="L736" t="s">
        <v>8</v>
      </c>
      <c r="M736" t="s">
        <v>8</v>
      </c>
      <c r="N736" t="s">
        <v>7</v>
      </c>
      <c r="P736">
        <f t="shared" si="999"/>
        <v>0.20864991233196994</v>
      </c>
      <c r="Q736">
        <f t="shared" si="1000"/>
        <v>39640135.137931101</v>
      </c>
      <c r="R736">
        <f t="shared" si="1001"/>
        <v>643043432.56272435</v>
      </c>
      <c r="S736">
        <f t="shared" si="1002"/>
        <v>6430.4343256272432</v>
      </c>
      <c r="T736">
        <f t="shared" si="1003"/>
        <v>6.4304343256272434</v>
      </c>
    </row>
    <row r="737" spans="1:20" x14ac:dyDescent="0.25">
      <c r="A737" s="5">
        <v>43856</v>
      </c>
      <c r="B737">
        <v>2.2496999999999999E-3</v>
      </c>
      <c r="C737">
        <v>2.3091000000000001E-3</v>
      </c>
      <c r="D737">
        <v>2.2363999999999999E-3</v>
      </c>
      <c r="E737">
        <v>2.2853999999999999E-3</v>
      </c>
      <c r="F737">
        <v>62787676</v>
      </c>
      <c r="G737">
        <v>0</v>
      </c>
      <c r="L737" t="s">
        <v>7</v>
      </c>
      <c r="M737" t="s">
        <v>8</v>
      </c>
      <c r="N737" t="s">
        <v>7</v>
      </c>
      <c r="P737">
        <f t="shared" si="999"/>
        <v>0.34800550206327008</v>
      </c>
      <c r="Q737">
        <f t="shared" si="1000"/>
        <v>21850456.709765933</v>
      </c>
      <c r="R737">
        <f t="shared" si="1001"/>
        <v>603403297.42479324</v>
      </c>
      <c r="S737">
        <f t="shared" si="1002"/>
        <v>6034.0329742479325</v>
      </c>
      <c r="T737">
        <f t="shared" si="1003"/>
        <v>6.0340329742479328</v>
      </c>
    </row>
    <row r="738" spans="1:20" x14ac:dyDescent="0.25">
      <c r="A738" s="5">
        <v>43855</v>
      </c>
      <c r="B738">
        <v>2.2705999999999998E-3</v>
      </c>
      <c r="C738">
        <v>2.2707999999999999E-3</v>
      </c>
      <c r="D738">
        <v>2.2265000000000002E-3</v>
      </c>
      <c r="E738">
        <v>2.251E-3</v>
      </c>
      <c r="F738">
        <v>74227952</v>
      </c>
      <c r="G738">
        <v>0</v>
      </c>
      <c r="L738" t="s">
        <v>7</v>
      </c>
      <c r="M738" t="s">
        <v>8</v>
      </c>
      <c r="N738" t="s">
        <v>7</v>
      </c>
      <c r="P738">
        <f t="shared" si="999"/>
        <v>0.10609480812640797</v>
      </c>
      <c r="Q738">
        <f t="shared" si="1000"/>
        <v>7875200.3250562204</v>
      </c>
      <c r="R738">
        <f t="shared" si="1001"/>
        <v>581552840.71502733</v>
      </c>
      <c r="S738">
        <f t="shared" si="1002"/>
        <v>5815.5284071502729</v>
      </c>
      <c r="T738">
        <f t="shared" si="1003"/>
        <v>5.8155284071502731</v>
      </c>
    </row>
    <row r="739" spans="1:20" x14ac:dyDescent="0.25">
      <c r="A739" s="5">
        <v>43854</v>
      </c>
      <c r="B739">
        <v>2.2550000000000001E-3</v>
      </c>
      <c r="C739">
        <v>2.2885000000000002E-3</v>
      </c>
      <c r="D739">
        <v>2.1968000000000001E-3</v>
      </c>
      <c r="E739">
        <v>2.2698000000000002E-3</v>
      </c>
      <c r="F739">
        <v>72913429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0.59214830970556287</v>
      </c>
      <c r="Q739">
        <f t="shared" si="1000"/>
        <v>43175563.737186566</v>
      </c>
      <c r="R739">
        <f t="shared" si="1001"/>
        <v>573677640.38997114</v>
      </c>
      <c r="S739">
        <f t="shared" si="1002"/>
        <v>5736.7764038997111</v>
      </c>
      <c r="T739">
        <f t="shared" si="1003"/>
        <v>5.7367764038997109</v>
      </c>
    </row>
    <row r="740" spans="1:20" x14ac:dyDescent="0.25">
      <c r="A740" s="5">
        <v>43853</v>
      </c>
      <c r="B740">
        <v>2.343E-3</v>
      </c>
      <c r="C740">
        <v>2.3478000000000001E-3</v>
      </c>
      <c r="D740">
        <v>2.225E-3</v>
      </c>
      <c r="E740">
        <v>2.2514000000000002E-3</v>
      </c>
      <c r="F740">
        <v>120187526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-0.57003257328989942</v>
      </c>
      <c r="Q740">
        <f t="shared" si="1000"/>
        <v>-68510804.723126695</v>
      </c>
      <c r="R740">
        <f t="shared" si="1001"/>
        <v>530502076.65278453</v>
      </c>
      <c r="S740">
        <f t="shared" si="1002"/>
        <v>5305.0207665278449</v>
      </c>
      <c r="T740">
        <f t="shared" si="1003"/>
        <v>5.3050207665278446</v>
      </c>
    </row>
    <row r="741" spans="1:20" x14ac:dyDescent="0.25">
      <c r="A741" s="5">
        <v>43852</v>
      </c>
      <c r="B741">
        <v>2.3582999999999998E-3</v>
      </c>
      <c r="C741">
        <v>2.3904E-3</v>
      </c>
      <c r="D741">
        <v>2.3352999999999998E-3</v>
      </c>
      <c r="E741">
        <v>2.3433999999999998E-3</v>
      </c>
      <c r="F741">
        <v>72204081</v>
      </c>
      <c r="G741">
        <v>0</v>
      </c>
      <c r="L741" t="s">
        <v>7</v>
      </c>
      <c r="M741" t="s">
        <v>8</v>
      </c>
      <c r="N741" t="s">
        <v>7</v>
      </c>
      <c r="P741">
        <f t="shared" si="999"/>
        <v>-0.70598911070780379</v>
      </c>
      <c r="Q741">
        <f t="shared" si="1000"/>
        <v>-50975294.934664235</v>
      </c>
      <c r="R741">
        <f t="shared" si="1001"/>
        <v>599012881.37591124</v>
      </c>
      <c r="S741">
        <f t="shared" si="1002"/>
        <v>5990.1288137591127</v>
      </c>
      <c r="T741">
        <f t="shared" si="1003"/>
        <v>5.9901288137591129</v>
      </c>
    </row>
    <row r="742" spans="1:20" x14ac:dyDescent="0.25">
      <c r="A742" s="5">
        <v>43851</v>
      </c>
      <c r="B742">
        <v>2.3760000000000001E-3</v>
      </c>
      <c r="C742">
        <v>2.3952000000000001E-3</v>
      </c>
      <c r="D742">
        <v>2.3205999999999999E-3</v>
      </c>
      <c r="E742">
        <v>2.3673000000000001E-3</v>
      </c>
      <c r="F742">
        <v>130661575</v>
      </c>
      <c r="G742">
        <v>0</v>
      </c>
      <c r="L742" t="s">
        <v>7</v>
      </c>
      <c r="M742" t="s">
        <v>8</v>
      </c>
      <c r="N742" t="s">
        <v>7</v>
      </c>
      <c r="P742">
        <f t="shared" si="999"/>
        <v>0.25201072386059242</v>
      </c>
      <c r="Q742">
        <f t="shared" si="1000"/>
        <v>32928118.096515086</v>
      </c>
      <c r="R742">
        <f t="shared" si="1001"/>
        <v>649988176.31057549</v>
      </c>
      <c r="S742">
        <f t="shared" si="1002"/>
        <v>6499.8817631057545</v>
      </c>
      <c r="T742">
        <f t="shared" si="1003"/>
        <v>6.4998817631057548</v>
      </c>
    </row>
    <row r="743" spans="1:20" x14ac:dyDescent="0.25">
      <c r="A743" s="5">
        <v>43850</v>
      </c>
      <c r="B743">
        <v>2.3998999999999999E-3</v>
      </c>
      <c r="C743">
        <v>2.4269999999999999E-3</v>
      </c>
      <c r="D743">
        <v>2.3468E-3</v>
      </c>
      <c r="E743">
        <v>2.3760000000000001E-3</v>
      </c>
      <c r="F743">
        <v>95126694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-0.27182044887780299</v>
      </c>
      <c r="Q743">
        <f t="shared" si="1000"/>
        <v>-25857380.663341407</v>
      </c>
      <c r="R743">
        <f t="shared" si="1001"/>
        <v>617060058.21406043</v>
      </c>
      <c r="S743">
        <f t="shared" si="1002"/>
        <v>6170.6005821406043</v>
      </c>
      <c r="T743">
        <f t="shared" si="1003"/>
        <v>6.1706005821406045</v>
      </c>
    </row>
    <row r="744" spans="1:20" x14ac:dyDescent="0.25">
      <c r="A744" s="5">
        <v>43849</v>
      </c>
      <c r="B744">
        <v>2.5136999999999998E-3</v>
      </c>
      <c r="C744">
        <v>2.5833000000000002E-3</v>
      </c>
      <c r="D744">
        <v>2.3268999999999998E-3</v>
      </c>
      <c r="E744">
        <v>2.3982000000000001E-3</v>
      </c>
      <c r="F744">
        <v>161012185</v>
      </c>
      <c r="G744">
        <v>0</v>
      </c>
      <c r="L744" t="s">
        <v>8</v>
      </c>
      <c r="M744" t="s">
        <v>8</v>
      </c>
      <c r="N744" t="s">
        <v>7</v>
      </c>
      <c r="P744">
        <f t="shared" si="999"/>
        <v>-0.4438377535101391</v>
      </c>
      <c r="Q744">
        <f t="shared" si="1000"/>
        <v>-71463286.478158921</v>
      </c>
      <c r="R744">
        <f t="shared" si="1001"/>
        <v>642917438.87740183</v>
      </c>
      <c r="S744">
        <f t="shared" si="1002"/>
        <v>6429.1743887740186</v>
      </c>
      <c r="T744">
        <f t="shared" si="1003"/>
        <v>6.4291743887740189</v>
      </c>
    </row>
    <row r="745" spans="1:20" x14ac:dyDescent="0.25">
      <c r="A745" s="5">
        <v>43848</v>
      </c>
      <c r="B745">
        <v>2.4854999999999999E-3</v>
      </c>
      <c r="C745">
        <v>2.5225E-3</v>
      </c>
      <c r="D745">
        <v>2.4440999999999998E-3</v>
      </c>
      <c r="E745">
        <v>2.5114999999999998E-3</v>
      </c>
      <c r="F745">
        <v>191378707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0.71938775510203734</v>
      </c>
      <c r="Q745">
        <f t="shared" si="1000"/>
        <v>137675498.40306056</v>
      </c>
      <c r="R745">
        <f t="shared" si="1001"/>
        <v>714380725.35556078</v>
      </c>
      <c r="S745">
        <f t="shared" si="1002"/>
        <v>7143.8072535556075</v>
      </c>
      <c r="T745">
        <f t="shared" si="1003"/>
        <v>7.1438072535556074</v>
      </c>
    </row>
    <row r="746" spans="1:20" x14ac:dyDescent="0.25">
      <c r="A746" s="5">
        <v>43847</v>
      </c>
      <c r="B746">
        <v>2.3343000000000001E-3</v>
      </c>
      <c r="C746">
        <v>2.5035000000000001E-3</v>
      </c>
      <c r="D746">
        <v>2.3159000000000001E-3</v>
      </c>
      <c r="E746">
        <v>2.4867999999999999E-3</v>
      </c>
      <c r="F746">
        <v>280388650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0.82196162046908172</v>
      </c>
      <c r="Q746">
        <f t="shared" si="1000"/>
        <v>230468709.1151382</v>
      </c>
      <c r="R746">
        <f t="shared" si="1001"/>
        <v>576705226.95250022</v>
      </c>
      <c r="S746">
        <f t="shared" si="1002"/>
        <v>5767.052269525002</v>
      </c>
      <c r="T746">
        <f t="shared" si="1003"/>
        <v>5.7670522695250019</v>
      </c>
    </row>
    <row r="747" spans="1:20" x14ac:dyDescent="0.25">
      <c r="A747" s="5">
        <v>43846</v>
      </c>
      <c r="B747">
        <v>2.3760000000000001E-3</v>
      </c>
      <c r="C747">
        <v>2.3768000000000001E-3</v>
      </c>
      <c r="D747">
        <v>2.2870999999999998E-3</v>
      </c>
      <c r="E747">
        <v>2.3276E-3</v>
      </c>
      <c r="F747">
        <v>98583989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-9.698996655518298E-2</v>
      </c>
      <c r="Q747">
        <f t="shared" si="1000"/>
        <v>-9561657.7959865276</v>
      </c>
      <c r="R747">
        <f t="shared" si="1001"/>
        <v>346236517.83736205</v>
      </c>
      <c r="S747">
        <f t="shared" si="1002"/>
        <v>3462.3651783736204</v>
      </c>
      <c r="T747">
        <f t="shared" si="1003"/>
        <v>3.4623651783736205</v>
      </c>
    </row>
    <row r="748" spans="1:20" x14ac:dyDescent="0.25">
      <c r="A748" s="5">
        <v>43845</v>
      </c>
      <c r="B748">
        <v>2.3492999999999999E-3</v>
      </c>
      <c r="C748">
        <v>2.4913000000000001E-3</v>
      </c>
      <c r="D748">
        <v>2.3203999999999998E-3</v>
      </c>
      <c r="E748">
        <v>2.3668999999999999E-3</v>
      </c>
      <c r="F748">
        <v>262905054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-0.45582211819777629</v>
      </c>
      <c r="Q748">
        <f t="shared" si="1000"/>
        <v>-119837938.59918076</v>
      </c>
      <c r="R748">
        <f t="shared" si="1001"/>
        <v>355798175.63334858</v>
      </c>
      <c r="S748">
        <f t="shared" si="1002"/>
        <v>3557.9817563334859</v>
      </c>
      <c r="T748">
        <f t="shared" si="1003"/>
        <v>3.5579817563334859</v>
      </c>
    </row>
    <row r="749" spans="1:20" x14ac:dyDescent="0.25">
      <c r="A749" s="5">
        <v>43844</v>
      </c>
      <c r="B749">
        <v>2.1656000000000002E-3</v>
      </c>
      <c r="C749">
        <v>2.3955000000000001E-3</v>
      </c>
      <c r="D749">
        <v>2.1653000000000002E-3</v>
      </c>
      <c r="E749">
        <v>2.3581000000000001E-3</v>
      </c>
      <c r="F749">
        <v>297610208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0.6750651607298005</v>
      </c>
      <c r="Q749">
        <f t="shared" si="1000"/>
        <v>200906282.89834934</v>
      </c>
      <c r="R749">
        <f t="shared" si="1001"/>
        <v>475636114.23252934</v>
      </c>
      <c r="S749">
        <f t="shared" si="1002"/>
        <v>4756.3611423252933</v>
      </c>
      <c r="T749">
        <f t="shared" si="1003"/>
        <v>4.7563611423252929</v>
      </c>
    </row>
    <row r="750" spans="1:20" x14ac:dyDescent="0.25">
      <c r="A750" s="5">
        <v>43843</v>
      </c>
      <c r="B750">
        <v>2.2025999999999999E-3</v>
      </c>
      <c r="C750">
        <v>2.2049000000000001E-3</v>
      </c>
      <c r="D750">
        <v>2.1651999999999999E-3</v>
      </c>
      <c r="E750">
        <v>2.1703999999999998E-3</v>
      </c>
      <c r="F750">
        <v>66668055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-0.73803526448363277</v>
      </c>
      <c r="Q750">
        <f t="shared" si="1000"/>
        <v>-49203375.604534373</v>
      </c>
      <c r="R750">
        <f t="shared" si="1001"/>
        <v>274729831.33418</v>
      </c>
      <c r="S750">
        <f t="shared" si="1002"/>
        <v>2747.2983133418002</v>
      </c>
      <c r="T750">
        <f t="shared" si="1003"/>
        <v>2.7472983133418003</v>
      </c>
    </row>
    <row r="751" spans="1:20" x14ac:dyDescent="0.25">
      <c r="A751" s="5">
        <v>43842</v>
      </c>
      <c r="B751">
        <v>2.1670999999999999E-3</v>
      </c>
      <c r="C751">
        <v>2.2133000000000001E-3</v>
      </c>
      <c r="D751">
        <v>2.1549999999999998E-3</v>
      </c>
      <c r="E751">
        <v>2.1963E-3</v>
      </c>
      <c r="F751">
        <v>49775170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0.41680960548885054</v>
      </c>
      <c r="Q751">
        <f t="shared" si="1000"/>
        <v>20746768.970840469</v>
      </c>
      <c r="R751">
        <f t="shared" si="1001"/>
        <v>323933206.93871439</v>
      </c>
      <c r="S751">
        <f t="shared" si="1002"/>
        <v>3239.3320693871437</v>
      </c>
      <c r="T751">
        <f t="shared" si="1003"/>
        <v>3.2393320693871437</v>
      </c>
    </row>
    <row r="752" spans="1:20" x14ac:dyDescent="0.25">
      <c r="A752" s="5">
        <v>43841</v>
      </c>
      <c r="B752">
        <v>2.2006999999999999E-3</v>
      </c>
      <c r="C752">
        <v>2.225E-3</v>
      </c>
      <c r="D752">
        <v>2.1651000000000001E-3</v>
      </c>
      <c r="E752">
        <v>2.1754000000000001E-3</v>
      </c>
      <c r="F752">
        <v>94223943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-0.65609348914858101</v>
      </c>
      <c r="Q752">
        <f t="shared" si="1000"/>
        <v>-61819715.524207018</v>
      </c>
      <c r="R752">
        <f t="shared" si="1001"/>
        <v>303186437.96787393</v>
      </c>
      <c r="S752">
        <f t="shared" si="1002"/>
        <v>3031.8643796787392</v>
      </c>
      <c r="T752">
        <f t="shared" si="1003"/>
        <v>3.0318643796787392</v>
      </c>
    </row>
    <row r="753" spans="1:20" x14ac:dyDescent="0.25">
      <c r="A753" s="5">
        <v>43840</v>
      </c>
      <c r="B753">
        <v>2.1323000000000002E-3</v>
      </c>
      <c r="C753">
        <v>2.2024000000000002E-3</v>
      </c>
      <c r="D753">
        <v>2.0983E-3</v>
      </c>
      <c r="E753">
        <v>2.1973000000000001E-3</v>
      </c>
      <c r="F753">
        <v>222205607</v>
      </c>
      <c r="G753">
        <v>0</v>
      </c>
      <c r="L753" t="s">
        <v>8</v>
      </c>
      <c r="M753" t="s">
        <v>7</v>
      </c>
      <c r="N753" t="s">
        <v>7</v>
      </c>
      <c r="P753">
        <f t="shared" si="999"/>
        <v>0.90201729106628126</v>
      </c>
      <c r="Q753">
        <f t="shared" si="1000"/>
        <v>200433299.68587869</v>
      </c>
      <c r="R753">
        <f t="shared" si="1001"/>
        <v>365006153.49208093</v>
      </c>
      <c r="S753">
        <f t="shared" si="1002"/>
        <v>3650.0615349208092</v>
      </c>
      <c r="T753">
        <f t="shared" si="1003"/>
        <v>3.6500615349208094</v>
      </c>
    </row>
    <row r="754" spans="1:20" x14ac:dyDescent="0.25">
      <c r="A754" s="5">
        <v>43839</v>
      </c>
      <c r="B754">
        <v>2.0934E-3</v>
      </c>
      <c r="C754">
        <v>2.1632999999999999E-3</v>
      </c>
      <c r="D754">
        <v>2.0642E-3</v>
      </c>
      <c r="E754">
        <v>2.1281999999999998E-3</v>
      </c>
      <c r="F754">
        <v>80515080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0.29162462159434593</v>
      </c>
      <c r="Q754">
        <f t="shared" si="1000"/>
        <v>23480179.737638492</v>
      </c>
      <c r="R754">
        <f t="shared" si="1001"/>
        <v>164572853.80620223</v>
      </c>
      <c r="S754">
        <f t="shared" si="1002"/>
        <v>1645.7285380620224</v>
      </c>
      <c r="T754">
        <f t="shared" si="1003"/>
        <v>1.6457285380620224</v>
      </c>
    </row>
    <row r="755" spans="1:20" x14ac:dyDescent="0.25">
      <c r="A755" s="5">
        <v>43838</v>
      </c>
      <c r="B755">
        <v>2.1687E-3</v>
      </c>
      <c r="C755">
        <v>2.2263000000000001E-3</v>
      </c>
      <c r="D755">
        <v>2.0701000000000001E-3</v>
      </c>
      <c r="E755">
        <v>2.0885999999999999E-3</v>
      </c>
      <c r="F755">
        <v>205791636</v>
      </c>
      <c r="G755">
        <v>0</v>
      </c>
      <c r="L755" t="s">
        <v>8</v>
      </c>
      <c r="M755" t="s">
        <v>7</v>
      </c>
      <c r="N755" t="s">
        <v>7</v>
      </c>
      <c r="P755">
        <f t="shared" si="999"/>
        <v>-0.76312419974391998</v>
      </c>
      <c r="Q755">
        <f t="shared" si="1000"/>
        <v>-157044577.53649208</v>
      </c>
      <c r="R755">
        <f t="shared" si="1001"/>
        <v>141092674.06856373</v>
      </c>
      <c r="S755">
        <f t="shared" si="1002"/>
        <v>1410.9267406856372</v>
      </c>
      <c r="T755">
        <f t="shared" si="1003"/>
        <v>1.4109267406856372</v>
      </c>
    </row>
    <row r="756" spans="1:20" x14ac:dyDescent="0.25">
      <c r="A756" s="5">
        <v>43837</v>
      </c>
      <c r="B756">
        <v>2.1332999999999999E-3</v>
      </c>
      <c r="C756">
        <v>2.1846999999999999E-3</v>
      </c>
      <c r="D756">
        <v>2.0777E-3</v>
      </c>
      <c r="E756">
        <v>2.1749999999999999E-3</v>
      </c>
      <c r="F756">
        <v>121470207</v>
      </c>
      <c r="G756">
        <v>0</v>
      </c>
      <c r="L756" t="s">
        <v>8</v>
      </c>
      <c r="M756" t="s">
        <v>7</v>
      </c>
      <c r="N756" t="s">
        <v>7</v>
      </c>
      <c r="P756">
        <f t="shared" si="999"/>
        <v>0.81869158878504522</v>
      </c>
      <c r="Q756">
        <f t="shared" si="1000"/>
        <v>99446636.75887832</v>
      </c>
      <c r="R756">
        <f t="shared" si="1001"/>
        <v>298137251.60505581</v>
      </c>
      <c r="S756">
        <f t="shared" si="1002"/>
        <v>2981.3725160505583</v>
      </c>
      <c r="T756">
        <f t="shared" si="1003"/>
        <v>2.9813725160505582</v>
      </c>
    </row>
    <row r="757" spans="1:20" x14ac:dyDescent="0.25">
      <c r="A757" s="5">
        <v>43836</v>
      </c>
      <c r="B757">
        <v>2.0722000000000002E-3</v>
      </c>
      <c r="C757">
        <v>2.1345000000000001E-3</v>
      </c>
      <c r="D757">
        <v>2.0692000000000002E-3</v>
      </c>
      <c r="E757">
        <v>2.1343999999999998E-3</v>
      </c>
      <c r="F757">
        <v>108507039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0.99693721286369763</v>
      </c>
      <c r="Q757">
        <f t="shared" si="1000"/>
        <v>108174705.03675254</v>
      </c>
      <c r="R757">
        <f t="shared" si="1001"/>
        <v>198690614.84617746</v>
      </c>
      <c r="S757">
        <f t="shared" si="1002"/>
        <v>1986.9061484617746</v>
      </c>
      <c r="T757">
        <f t="shared" si="1003"/>
        <v>1.9869061484617745</v>
      </c>
    </row>
    <row r="758" spans="1:20" x14ac:dyDescent="0.25">
      <c r="A758" s="5">
        <v>43835</v>
      </c>
      <c r="B758">
        <v>2.0588999999999998E-3</v>
      </c>
      <c r="C758">
        <v>2.0921999999999998E-3</v>
      </c>
      <c r="D758">
        <v>2.0360999999999999E-3</v>
      </c>
      <c r="E758">
        <v>2.0696E-3</v>
      </c>
      <c r="F758">
        <v>66437147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0.19429590017825915</v>
      </c>
      <c r="Q758">
        <f t="shared" si="1000"/>
        <v>12908465.28164033</v>
      </c>
      <c r="R758">
        <f t="shared" si="1001"/>
        <v>90515909.809424922</v>
      </c>
      <c r="S758">
        <f t="shared" si="1002"/>
        <v>905.1590980942492</v>
      </c>
      <c r="T758">
        <f t="shared" si="1003"/>
        <v>0.90515909809424921</v>
      </c>
    </row>
    <row r="759" spans="1:20" x14ac:dyDescent="0.25">
      <c r="A759" s="5">
        <v>43834</v>
      </c>
      <c r="B759">
        <v>2.0184999999999999E-3</v>
      </c>
      <c r="C759">
        <v>2.1034999999999999E-3</v>
      </c>
      <c r="D759">
        <v>2.0149999999999999E-3</v>
      </c>
      <c r="E759">
        <v>2.0579000000000001E-3</v>
      </c>
      <c r="F759">
        <v>123468609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-3.0508474576266403E-2</v>
      </c>
      <c r="Q759">
        <f t="shared" si="1000"/>
        <v>-3766838.9186434774</v>
      </c>
      <c r="R759">
        <f t="shared" si="1001"/>
        <v>77607444.527784586</v>
      </c>
      <c r="S759">
        <f t="shared" si="1002"/>
        <v>776.07444527784583</v>
      </c>
      <c r="T759">
        <f t="shared" si="1003"/>
        <v>0.77607444527784586</v>
      </c>
    </row>
    <row r="760" spans="1:20" x14ac:dyDescent="0.25">
      <c r="A760" s="5">
        <v>43833</v>
      </c>
      <c r="B760">
        <v>1.9986000000000001E-3</v>
      </c>
      <c r="C760">
        <v>2.0359000000000002E-3</v>
      </c>
      <c r="D760">
        <v>1.9675000000000001E-3</v>
      </c>
      <c r="E760">
        <v>2.0236E-3</v>
      </c>
      <c r="F760">
        <v>109005714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0.64035087719297601</v>
      </c>
      <c r="Q760">
        <f t="shared" si="1000"/>
        <v>69801904.578946665</v>
      </c>
      <c r="R760">
        <f t="shared" si="1001"/>
        <v>81374283.446428061</v>
      </c>
      <c r="S760">
        <f t="shared" si="1002"/>
        <v>813.74283446428058</v>
      </c>
      <c r="T760">
        <f t="shared" si="1003"/>
        <v>0.81374283446428053</v>
      </c>
    </row>
    <row r="761" spans="1:20" x14ac:dyDescent="0.25">
      <c r="A761" s="5">
        <v>43832</v>
      </c>
      <c r="B761">
        <v>2.0244999999999998E-3</v>
      </c>
      <c r="C761">
        <v>2.0400000000000001E-3</v>
      </c>
      <c r="D761">
        <v>1.9484999999999999E-3</v>
      </c>
      <c r="E761">
        <v>1.9951000000000001E-3</v>
      </c>
      <c r="F761">
        <v>191887309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1.8579234972678594E-2</v>
      </c>
      <c r="Q761">
        <f t="shared" si="1000"/>
        <v>3565119.402185984</v>
      </c>
      <c r="R761">
        <f t="shared" si="1001"/>
        <v>11572378.867481388</v>
      </c>
      <c r="S761">
        <f t="shared" si="1002"/>
        <v>115.72378867481387</v>
      </c>
      <c r="T761">
        <f t="shared" si="1003"/>
        <v>0.11572378867481388</v>
      </c>
    </row>
    <row r="762" spans="1:20" x14ac:dyDescent="0.25">
      <c r="A762" s="5">
        <v>43831</v>
      </c>
      <c r="B762">
        <v>2.0135999999999999E-3</v>
      </c>
      <c r="C762">
        <v>2.039E-3</v>
      </c>
      <c r="D762">
        <v>2.0000999999999999E-3</v>
      </c>
      <c r="E762">
        <v>2.0244999999999998E-3</v>
      </c>
      <c r="F762">
        <v>31462868</v>
      </c>
      <c r="G762">
        <v>0</v>
      </c>
      <c r="P762">
        <f t="shared" si="999"/>
        <v>0.2544987146529491</v>
      </c>
      <c r="Q762">
        <f t="shared" si="1000"/>
        <v>8007259.4652954033</v>
      </c>
      <c r="R762">
        <f t="shared" si="1001"/>
        <v>8007259.4652954033</v>
      </c>
      <c r="S762">
        <f t="shared" si="1002"/>
        <v>80.072594652954038</v>
      </c>
      <c r="T762">
        <f t="shared" si="1003"/>
        <v>8.0072594652954035E-2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KT686" sqref="KT68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$A$685</v>
      </c>
      <c r="D111" s="1" t="str">
        <f>ADDRESS(C121-1,D121,1,1)</f>
        <v>$KT$685</v>
      </c>
      <c r="E111"/>
    </row>
    <row r="112" spans="1:5" x14ac:dyDescent="0.25">
      <c r="A112" s="7">
        <v>12164.144957890772</v>
      </c>
      <c r="C112" s="1" t="str">
        <f>ADDRESS(C121,1,1,1)</f>
        <v>$A$686</v>
      </c>
      <c r="D112" s="1" t="str">
        <f>ADDRESS(C121,D121-1,1,1)</f>
        <v>$KS$686</v>
      </c>
      <c r="E112"/>
    </row>
    <row r="113" spans="1:5" x14ac:dyDescent="0.25">
      <c r="A113" s="7">
        <v>11925.63231165762</v>
      </c>
      <c r="C113" s="1" t="str">
        <f>ADDRESS(C121+1,1,1,1)</f>
        <v>$A$687</v>
      </c>
      <c r="D113" s="1" t="str">
        <f>ADDRESS(C121-1,D121+1,1,1)</f>
        <v>$KU$685</v>
      </c>
    </row>
    <row r="114" spans="1:5" x14ac:dyDescent="0.25">
      <c r="A114" s="7">
        <v>11691.796383978059</v>
      </c>
      <c r="C114" s="1" t="str">
        <f>ADDRESS(C121,D121,1,1)</f>
        <v>$KT$686</v>
      </c>
      <c r="D114" s="1" t="str">
        <f>ADDRESS(C121+1,D121+1,1,1)</f>
        <v>$KU$687</v>
      </c>
    </row>
    <row r="115" spans="1:5" x14ac:dyDescent="0.25">
      <c r="A115" s="7">
        <v>11462.545474488292</v>
      </c>
      <c r="C115" s="1" t="str">
        <f>ADDRESS(C121+1,D121,1,1)</f>
        <v>$KT$687</v>
      </c>
    </row>
    <row r="116" spans="1:5" x14ac:dyDescent="0.25">
      <c r="A116" s="7">
        <v>11237.789680870874</v>
      </c>
      <c r="C116" s="1">
        <f>C117-1</f>
        <v>685</v>
      </c>
    </row>
    <row r="117" spans="1:5" x14ac:dyDescent="0.25">
      <c r="A117" s="7">
        <v>11017.440863598895</v>
      </c>
      <c r="C117" s="1">
        <f>C121</f>
        <v>686</v>
      </c>
      <c r="D117" s="1">
        <f>D121</f>
        <v>306</v>
      </c>
    </row>
    <row r="118" spans="1:5" x14ac:dyDescent="0.25">
      <c r="A118" s="7">
        <v>10801.412611371465</v>
      </c>
      <c r="C118" s="1">
        <f>C117+1</f>
        <v>687</v>
      </c>
      <c r="D118" s="1">
        <f>D117+1</f>
        <v>307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686</v>
      </c>
      <c r="D121" s="19">
        <v>306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R686</v>
      </c>
      <c r="D123" s="1" t="str">
        <f>"C"&amp;D121</f>
        <v>C306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0.14079362654170066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182" x14ac:dyDescent="0.25">
      <c r="A593" s="7">
        <v>0.8879713821861922</v>
      </c>
      <c r="B593"/>
      <c r="C593"/>
      <c r="D593"/>
      <c r="E593"/>
      <c r="F593" s="27" t="s">
        <v>7</v>
      </c>
    </row>
    <row r="594" spans="1:182" x14ac:dyDescent="0.25">
      <c r="A594" s="7">
        <v>0.87056017861391399</v>
      </c>
      <c r="B594"/>
      <c r="C594"/>
      <c r="D594"/>
      <c r="E594"/>
      <c r="F594" s="27" t="s">
        <v>7</v>
      </c>
    </row>
    <row r="595" spans="1:182" x14ac:dyDescent="0.25">
      <c r="A595" s="7">
        <v>0.85349037119011173</v>
      </c>
      <c r="B595"/>
      <c r="C595"/>
      <c r="D595"/>
      <c r="E595"/>
      <c r="F595" s="27" t="s">
        <v>7</v>
      </c>
    </row>
    <row r="596" spans="1:182" x14ac:dyDescent="0.25">
      <c r="A596" s="7">
        <v>0.83675526587265858</v>
      </c>
      <c r="B596"/>
      <c r="C596"/>
      <c r="D596"/>
      <c r="E596"/>
      <c r="F596" s="27" t="s">
        <v>7</v>
      </c>
    </row>
    <row r="597" spans="1:182" x14ac:dyDescent="0.25">
      <c r="A597" s="7">
        <v>0.82034829987515545</v>
      </c>
      <c r="B597"/>
      <c r="C597"/>
      <c r="D597"/>
      <c r="E597"/>
      <c r="F597" s="27" t="s">
        <v>7</v>
      </c>
    </row>
    <row r="598" spans="1:182" x14ac:dyDescent="0.25">
      <c r="A598" s="7">
        <v>0.80426303909328967</v>
      </c>
      <c r="B598"/>
      <c r="C598"/>
      <c r="D598"/>
      <c r="E598"/>
      <c r="F598" s="27" t="s">
        <v>7</v>
      </c>
    </row>
    <row r="599" spans="1:182" x14ac:dyDescent="0.25">
      <c r="A599" s="7">
        <v>0.78849317558165644</v>
      </c>
      <c r="B599"/>
      <c r="C599"/>
      <c r="D599"/>
      <c r="E599"/>
      <c r="F599" s="27" t="s">
        <v>7</v>
      </c>
    </row>
    <row r="600" spans="1:182" x14ac:dyDescent="0.25">
      <c r="A600" s="7">
        <v>0.77303252508005538</v>
      </c>
      <c r="B600"/>
      <c r="C600"/>
      <c r="D600"/>
      <c r="E600"/>
      <c r="F600" s="27" t="s">
        <v>7</v>
      </c>
    </row>
    <row r="601" spans="1:182" x14ac:dyDescent="0.25">
      <c r="A601" s="7">
        <v>0.75787502458828959</v>
      </c>
      <c r="B601"/>
      <c r="C601"/>
      <c r="D601"/>
      <c r="E601"/>
      <c r="F601" s="27" t="s">
        <v>7</v>
      </c>
    </row>
    <row r="602" spans="1:182" x14ac:dyDescent="0.25">
      <c r="A602" s="7">
        <v>0.74301472998851925</v>
      </c>
      <c r="B602"/>
      <c r="C602"/>
      <c r="D602"/>
      <c r="E602"/>
      <c r="F602" s="27" t="s">
        <v>7</v>
      </c>
    </row>
    <row r="603" spans="1:182" x14ac:dyDescent="0.25">
      <c r="A603" s="7">
        <v>0.72844581371423456</v>
      </c>
      <c r="B603"/>
      <c r="C603"/>
      <c r="D603"/>
      <c r="E603"/>
      <c r="F603" s="27" t="s">
        <v>7</v>
      </c>
      <c r="FY603" s="27" t="s">
        <v>8</v>
      </c>
    </row>
    <row r="604" spans="1:182" x14ac:dyDescent="0.25">
      <c r="A604" s="7">
        <v>0.71416256246493581</v>
      </c>
      <c r="B604"/>
      <c r="C604"/>
      <c r="D604"/>
      <c r="E604"/>
      <c r="F604" s="27" t="s">
        <v>7</v>
      </c>
      <c r="FY604" s="27" t="s">
        <v>8</v>
      </c>
      <c r="FZ604" s="27" t="s">
        <v>7</v>
      </c>
    </row>
    <row r="605" spans="1:182" x14ac:dyDescent="0.25">
      <c r="A605" s="7">
        <v>0.7001593749656233</v>
      </c>
      <c r="B605"/>
      <c r="C605"/>
      <c r="D605"/>
      <c r="E605"/>
      <c r="F605" s="27" t="s">
        <v>7</v>
      </c>
      <c r="FY605" s="27" t="s">
        <v>8</v>
      </c>
      <c r="FZ605" s="27" t="s">
        <v>7</v>
      </c>
    </row>
    <row r="606" spans="1:182" x14ac:dyDescent="0.25">
      <c r="A606" s="7">
        <v>0.68643075977021883</v>
      </c>
      <c r="B606"/>
      <c r="C606"/>
      <c r="D606"/>
      <c r="E606"/>
      <c r="F606" s="27" t="s">
        <v>7</v>
      </c>
      <c r="FW606" s="27" t="s">
        <v>8</v>
      </c>
      <c r="FY606" s="27" t="s">
        <v>8</v>
      </c>
      <c r="FZ606" s="27" t="s">
        <v>7</v>
      </c>
    </row>
    <row r="607" spans="1:182" x14ac:dyDescent="0.25">
      <c r="A607" s="7">
        <v>0.67297133310805768</v>
      </c>
      <c r="B607"/>
      <c r="C607"/>
      <c r="D607"/>
      <c r="E607"/>
      <c r="F607" s="27" t="s">
        <v>7</v>
      </c>
      <c r="FW607" s="27" t="s">
        <v>8</v>
      </c>
      <c r="FX607" s="27" t="s">
        <v>7</v>
      </c>
      <c r="FY607" s="27" t="s">
        <v>8</v>
      </c>
      <c r="FZ607" s="27" t="s">
        <v>7</v>
      </c>
    </row>
    <row r="608" spans="1:182" x14ac:dyDescent="0.25">
      <c r="A608" s="7">
        <v>0.65977581677260566</v>
      </c>
      <c r="B608"/>
      <c r="C608"/>
      <c r="D608"/>
      <c r="E608"/>
      <c r="F608" s="27" t="s">
        <v>7</v>
      </c>
      <c r="FW608" s="27" t="s">
        <v>8</v>
      </c>
      <c r="FX608" s="27" t="s">
        <v>7</v>
      </c>
      <c r="FY608" s="27" t="s">
        <v>8</v>
      </c>
      <c r="FZ608" s="27" t="s">
        <v>7</v>
      </c>
    </row>
    <row r="609" spans="1:188" x14ac:dyDescent="0.25">
      <c r="A609" s="7">
        <v>0.64683903605157422</v>
      </c>
      <c r="B609"/>
      <c r="C609"/>
      <c r="D609"/>
      <c r="E609"/>
      <c r="F609" s="27" t="s">
        <v>7</v>
      </c>
      <c r="FW609" s="27" t="s">
        <v>8</v>
      </c>
      <c r="FX609" s="27" t="s">
        <v>7</v>
      </c>
      <c r="FY609" s="27" t="s">
        <v>8</v>
      </c>
      <c r="FZ609" s="27" t="s">
        <v>7</v>
      </c>
    </row>
    <row r="610" spans="1:188" x14ac:dyDescent="0.25">
      <c r="A610" s="7">
        <v>0.63415591769762181</v>
      </c>
      <c r="B610"/>
      <c r="C610"/>
      <c r="D610"/>
      <c r="E610"/>
      <c r="F610" s="27" t="s">
        <v>7</v>
      </c>
      <c r="FW610" s="27" t="s">
        <v>8</v>
      </c>
      <c r="FX610" s="27" t="s">
        <v>7</v>
      </c>
      <c r="FY610" s="27" t="s">
        <v>8</v>
      </c>
      <c r="FZ610" s="27" t="s">
        <v>7</v>
      </c>
    </row>
    <row r="611" spans="1:188" x14ac:dyDescent="0.25">
      <c r="A611" s="7">
        <v>0.62172148793884496</v>
      </c>
      <c r="B611"/>
      <c r="C611"/>
      <c r="D611"/>
      <c r="E611"/>
      <c r="F611" s="27" t="s">
        <v>7</v>
      </c>
      <c r="FW611" s="27" t="s">
        <v>8</v>
      </c>
      <c r="FX611" s="27" t="s">
        <v>7</v>
      </c>
      <c r="FY611" s="27" t="s">
        <v>8</v>
      </c>
      <c r="FZ611" s="27" t="s">
        <v>7</v>
      </c>
    </row>
    <row r="612" spans="1:188" x14ac:dyDescent="0.25">
      <c r="A612" s="7">
        <v>0.60953087052827937</v>
      </c>
      <c r="B612"/>
      <c r="C612"/>
      <c r="D612"/>
      <c r="E612"/>
      <c r="F612" s="27" t="s">
        <v>7</v>
      </c>
      <c r="FW612" s="27" t="s">
        <v>8</v>
      </c>
      <c r="FX612" s="27" t="s">
        <v>7</v>
      </c>
      <c r="FY612" s="27" t="s">
        <v>8</v>
      </c>
      <c r="FZ612" s="27" t="s">
        <v>7</v>
      </c>
    </row>
    <row r="613" spans="1:188" x14ac:dyDescent="0.25">
      <c r="A613" s="7">
        <v>0.59757928483164646</v>
      </c>
      <c r="B613"/>
      <c r="C613"/>
      <c r="D613"/>
      <c r="E613"/>
      <c r="F613" s="27" t="s">
        <v>7</v>
      </c>
      <c r="FW613" s="27" t="s">
        <v>8</v>
      </c>
      <c r="FX613" s="27" t="s">
        <v>7</v>
      </c>
      <c r="FY613" s="27" t="s">
        <v>8</v>
      </c>
      <c r="FZ613" s="27" t="s">
        <v>7</v>
      </c>
    </row>
    <row r="614" spans="1:188" x14ac:dyDescent="0.25">
      <c r="A614" s="7">
        <v>0.58586204395259456</v>
      </c>
      <c r="B614"/>
      <c r="C614"/>
      <c r="D614"/>
      <c r="E614"/>
      <c r="F614" s="27" t="s">
        <v>7</v>
      </c>
      <c r="FW614" s="27" t="s">
        <v>8</v>
      </c>
      <c r="FX614" s="27" t="s">
        <v>7</v>
      </c>
      <c r="FY614" s="27" t="s">
        <v>8</v>
      </c>
      <c r="FZ614" s="27" t="s">
        <v>7</v>
      </c>
      <c r="GC614" s="27" t="s">
        <v>8</v>
      </c>
    </row>
    <row r="615" spans="1:188" x14ac:dyDescent="0.25">
      <c r="A615" s="7">
        <v>0.57437455289470052</v>
      </c>
      <c r="B615"/>
      <c r="C615"/>
      <c r="D615"/>
      <c r="E615"/>
      <c r="F615" s="27" t="s">
        <v>7</v>
      </c>
      <c r="FW615" s="27" t="s">
        <v>8</v>
      </c>
      <c r="FX615" s="27" t="s">
        <v>7</v>
      </c>
      <c r="FY615" s="27" t="s">
        <v>8</v>
      </c>
      <c r="FZ615" s="27" t="s">
        <v>7</v>
      </c>
      <c r="GC615" s="27" t="s">
        <v>8</v>
      </c>
      <c r="GD615" s="27" t="s">
        <v>7</v>
      </c>
    </row>
    <row r="616" spans="1:188" x14ac:dyDescent="0.25">
      <c r="A616" s="7">
        <v>0.56311230675951029</v>
      </c>
      <c r="B616"/>
      <c r="C616"/>
      <c r="D616"/>
      <c r="E616"/>
      <c r="F616" s="27" t="s">
        <v>7</v>
      </c>
      <c r="FW616" s="27" t="s">
        <v>8</v>
      </c>
      <c r="FX616" s="27" t="s">
        <v>7</v>
      </c>
      <c r="FY616" s="27" t="s">
        <v>8</v>
      </c>
      <c r="FZ616" s="27" t="s">
        <v>7</v>
      </c>
      <c r="GA616" s="27" t="s">
        <v>8</v>
      </c>
      <c r="GC616" s="27" t="s">
        <v>8</v>
      </c>
      <c r="GD616" s="27" t="s">
        <v>7</v>
      </c>
    </row>
    <row r="617" spans="1:188" x14ac:dyDescent="0.25">
      <c r="A617" s="7">
        <v>0.55207088897991208</v>
      </c>
      <c r="B617"/>
      <c r="C617"/>
      <c r="D617"/>
      <c r="E617"/>
      <c r="F617" s="27" t="s">
        <v>7</v>
      </c>
      <c r="FW617" s="27" t="s">
        <v>8</v>
      </c>
      <c r="FX617" s="27" t="s">
        <v>7</v>
      </c>
      <c r="FY617" s="27" t="s">
        <v>8</v>
      </c>
      <c r="FZ617" s="27" t="s">
        <v>7</v>
      </c>
      <c r="GA617" s="27" t="s">
        <v>8</v>
      </c>
      <c r="GB617" s="27" t="s">
        <v>7</v>
      </c>
      <c r="GC617" s="27" t="s">
        <v>8</v>
      </c>
      <c r="GD617" s="27" t="s">
        <v>7</v>
      </c>
    </row>
    <row r="618" spans="1:188" x14ac:dyDescent="0.25">
      <c r="A618" s="7">
        <v>0.54124596958814908</v>
      </c>
      <c r="B618"/>
      <c r="C618"/>
      <c r="D618"/>
      <c r="E618"/>
      <c r="F618" s="27" t="s">
        <v>7</v>
      </c>
      <c r="FW618" s="27" t="s">
        <v>8</v>
      </c>
      <c r="FX618" s="27" t="s">
        <v>7</v>
      </c>
      <c r="FY618" s="27" t="s">
        <v>8</v>
      </c>
      <c r="FZ618" s="27" t="s">
        <v>7</v>
      </c>
      <c r="GA618" s="27" t="s">
        <v>8</v>
      </c>
      <c r="GB618" s="27" t="s">
        <v>7</v>
      </c>
      <c r="GC618" s="27" t="s">
        <v>8</v>
      </c>
      <c r="GD618" s="27" t="s">
        <v>7</v>
      </c>
    </row>
    <row r="619" spans="1:188" x14ac:dyDescent="0.25">
      <c r="A619" s="7">
        <v>0.53063330351779314</v>
      </c>
      <c r="B619"/>
      <c r="C619"/>
      <c r="D619"/>
      <c r="E619"/>
      <c r="F619" s="27" t="s">
        <v>7</v>
      </c>
      <c r="FW619" s="27" t="s">
        <v>8</v>
      </c>
      <c r="FX619" s="27" t="s">
        <v>7</v>
      </c>
      <c r="FY619" s="27" t="s">
        <v>8</v>
      </c>
      <c r="FZ619" s="27" t="s">
        <v>7</v>
      </c>
      <c r="GA619" s="27" t="s">
        <v>8</v>
      </c>
      <c r="GB619" s="27" t="s">
        <v>7</v>
      </c>
      <c r="GC619" s="27" t="s">
        <v>8</v>
      </c>
      <c r="GD619" s="27" t="s">
        <v>7</v>
      </c>
    </row>
    <row r="620" spans="1:188" x14ac:dyDescent="0.25">
      <c r="A620" s="7">
        <v>0.52022872893901284</v>
      </c>
      <c r="B620"/>
      <c r="C620"/>
      <c r="D620"/>
      <c r="E620"/>
      <c r="F620" s="27" t="s">
        <v>7</v>
      </c>
      <c r="FW620" s="27" t="s">
        <v>8</v>
      </c>
      <c r="FX620" s="27" t="s">
        <v>7</v>
      </c>
      <c r="FZ620" s="27" t="s">
        <v>7</v>
      </c>
      <c r="GA620" s="27" t="s">
        <v>8</v>
      </c>
      <c r="GB620" s="27" t="s">
        <v>7</v>
      </c>
      <c r="GC620" s="27" t="s">
        <v>8</v>
      </c>
      <c r="GD620" s="27" t="s">
        <v>7</v>
      </c>
    </row>
    <row r="621" spans="1:188" x14ac:dyDescent="0.25">
      <c r="A621" s="7">
        <v>0.51002816562648323</v>
      </c>
      <c r="B621"/>
      <c r="C621"/>
      <c r="D621"/>
      <c r="E621"/>
      <c r="F621" s="27" t="s">
        <v>7</v>
      </c>
      <c r="FW621" s="27" t="s">
        <v>8</v>
      </c>
      <c r="FZ621" s="27" t="s">
        <v>7</v>
      </c>
      <c r="GA621" s="27" t="s">
        <v>8</v>
      </c>
      <c r="GB621" s="27" t="s">
        <v>7</v>
      </c>
      <c r="GC621" s="27" t="s">
        <v>8</v>
      </c>
      <c r="GD621" s="27" t="s">
        <v>7</v>
      </c>
      <c r="GE621" s="27" t="s">
        <v>8</v>
      </c>
    </row>
    <row r="622" spans="1:188" x14ac:dyDescent="0.25">
      <c r="A622" s="7">
        <v>0.50002761335929735</v>
      </c>
      <c r="B622"/>
      <c r="C622"/>
      <c r="D622"/>
      <c r="E622"/>
      <c r="F622" s="27" t="s">
        <v>7</v>
      </c>
      <c r="FW622" s="27" t="s">
        <v>8</v>
      </c>
      <c r="FZ622" s="27" t="s">
        <v>7</v>
      </c>
      <c r="GA622" s="27" t="s">
        <v>8</v>
      </c>
      <c r="GB622" s="27" t="s">
        <v>7</v>
      </c>
      <c r="GC622" s="27" t="s">
        <v>8</v>
      </c>
      <c r="GD622" s="27" t="s">
        <v>7</v>
      </c>
      <c r="GE622" s="27" t="s">
        <v>8</v>
      </c>
      <c r="GF622" s="27" t="s">
        <v>7</v>
      </c>
    </row>
    <row r="623" spans="1:188" x14ac:dyDescent="0.25">
      <c r="A623" s="7">
        <v>0.49022315035225228</v>
      </c>
      <c r="B623"/>
      <c r="C623"/>
      <c r="D623"/>
      <c r="E623"/>
      <c r="F623" s="27" t="s">
        <v>7</v>
      </c>
      <c r="FW623" s="27" t="s">
        <v>8</v>
      </c>
      <c r="FZ623" s="27" t="s">
        <v>7</v>
      </c>
      <c r="GA623" s="27" t="s">
        <v>8</v>
      </c>
      <c r="GB623" s="27" t="s">
        <v>7</v>
      </c>
      <c r="GC623" s="27" t="s">
        <v>8</v>
      </c>
      <c r="GD623" s="27" t="s">
        <v>7</v>
      </c>
      <c r="GE623" s="27" t="s">
        <v>8</v>
      </c>
      <c r="GF623" s="27" t="s">
        <v>7</v>
      </c>
    </row>
    <row r="624" spans="1:188" x14ac:dyDescent="0.25">
      <c r="A624" s="7">
        <v>0.48061093171789437</v>
      </c>
      <c r="B624"/>
      <c r="C624"/>
      <c r="D624"/>
      <c r="E624"/>
      <c r="F624" s="27" t="s">
        <v>7</v>
      </c>
      <c r="FW624" s="27" t="s">
        <v>8</v>
      </c>
      <c r="FZ624" s="27" t="s">
        <v>7</v>
      </c>
      <c r="GA624" s="27" t="s">
        <v>8</v>
      </c>
      <c r="GB624" s="27" t="s">
        <v>7</v>
      </c>
      <c r="GC624" s="27" t="s">
        <v>8</v>
      </c>
      <c r="GD624" s="27" t="s">
        <v>7</v>
      </c>
      <c r="GE624" s="27" t="s">
        <v>8</v>
      </c>
      <c r="GF624" s="27" t="s">
        <v>7</v>
      </c>
    </row>
    <row r="625" spans="1:227" x14ac:dyDescent="0.25">
      <c r="A625" s="7">
        <v>0.47118718795871994</v>
      </c>
      <c r="B625"/>
      <c r="C625"/>
      <c r="D625"/>
      <c r="E625"/>
      <c r="F625" s="27" t="s">
        <v>7</v>
      </c>
      <c r="FW625" s="27" t="s">
        <v>8</v>
      </c>
      <c r="FZ625" s="27" t="s">
        <v>7</v>
      </c>
      <c r="GA625" s="27" t="s">
        <v>8</v>
      </c>
      <c r="GB625" s="27" t="s">
        <v>7</v>
      </c>
      <c r="GC625" s="27" t="s">
        <v>8</v>
      </c>
      <c r="GD625" s="27" t="s">
        <v>7</v>
      </c>
      <c r="GE625" s="27" t="s">
        <v>8</v>
      </c>
      <c r="GF625" s="27" t="s">
        <v>7</v>
      </c>
    </row>
    <row r="626" spans="1:227" x14ac:dyDescent="0.25">
      <c r="A626" s="7">
        <v>0.46194822348894116</v>
      </c>
      <c r="B626"/>
      <c r="C626"/>
      <c r="D626"/>
      <c r="E626"/>
      <c r="F626" s="27" t="s">
        <v>7</v>
      </c>
      <c r="FW626" s="27" t="s">
        <v>8</v>
      </c>
      <c r="FZ626" s="27" t="s">
        <v>7</v>
      </c>
      <c r="GA626" s="27" t="s">
        <v>8</v>
      </c>
      <c r="GB626" s="27" t="s">
        <v>7</v>
      </c>
      <c r="GC626" s="27" t="s">
        <v>8</v>
      </c>
      <c r="GD626" s="27" t="s">
        <v>7</v>
      </c>
      <c r="GE626" s="27" t="s">
        <v>8</v>
      </c>
      <c r="GF626" s="27" t="s">
        <v>7</v>
      </c>
    </row>
    <row r="627" spans="1:227" x14ac:dyDescent="0.25">
      <c r="A627" s="7">
        <v>0.45289041518523643</v>
      </c>
      <c r="B627"/>
      <c r="C627"/>
      <c r="D627"/>
      <c r="E627"/>
      <c r="F627" s="27" t="s">
        <v>7</v>
      </c>
      <c r="FW627" s="27" t="s">
        <v>8</v>
      </c>
      <c r="FZ627" s="27" t="s">
        <v>7</v>
      </c>
      <c r="GA627" s="27" t="s">
        <v>8</v>
      </c>
      <c r="GB627" s="27" t="s">
        <v>7</v>
      </c>
      <c r="GC627" s="27" t="s">
        <v>8</v>
      </c>
      <c r="GD627" s="27" t="s">
        <v>7</v>
      </c>
      <c r="GF627" s="27" t="s">
        <v>7</v>
      </c>
    </row>
    <row r="628" spans="1:227" x14ac:dyDescent="0.25">
      <c r="A628" s="7">
        <v>0.44401021096591808</v>
      </c>
      <c r="B628"/>
      <c r="C628"/>
      <c r="D628"/>
      <c r="E628"/>
      <c r="F628" s="27" t="s">
        <v>7</v>
      </c>
      <c r="FK628" s="27" t="s">
        <v>8</v>
      </c>
      <c r="FW628" s="27" t="s">
        <v>8</v>
      </c>
      <c r="FZ628" s="27" t="s">
        <v>7</v>
      </c>
      <c r="GA628" s="27" t="s">
        <v>8</v>
      </c>
      <c r="GB628" s="27" t="s">
        <v>7</v>
      </c>
      <c r="GC628" s="27" t="s">
        <v>8</v>
      </c>
      <c r="GF628" s="27" t="s">
        <v>7</v>
      </c>
      <c r="GM628" s="27" t="s">
        <v>8</v>
      </c>
    </row>
    <row r="629" spans="1:227" x14ac:dyDescent="0.25">
      <c r="A629" s="7">
        <v>0.4353041283979589</v>
      </c>
      <c r="B629"/>
      <c r="C629"/>
      <c r="D629"/>
      <c r="E629"/>
      <c r="F629" s="27" t="s">
        <v>7</v>
      </c>
      <c r="FK629" s="27" t="s">
        <v>8</v>
      </c>
      <c r="FL629" s="27" t="s">
        <v>7</v>
      </c>
      <c r="FM629" s="27" t="s">
        <v>8</v>
      </c>
      <c r="FW629" s="27" t="s">
        <v>8</v>
      </c>
      <c r="FZ629" s="27" t="s">
        <v>7</v>
      </c>
      <c r="GA629" s="27" t="s">
        <v>8</v>
      </c>
      <c r="GB629" s="27" t="s">
        <v>7</v>
      </c>
      <c r="GC629" s="27" t="s">
        <v>8</v>
      </c>
      <c r="GF629" s="27" t="s">
        <v>7</v>
      </c>
      <c r="GM629" s="27" t="s">
        <v>8</v>
      </c>
      <c r="GN629" s="27" t="s">
        <v>7</v>
      </c>
    </row>
    <row r="630" spans="1:227" x14ac:dyDescent="0.25">
      <c r="A630" s="7">
        <v>0.4267687533313323</v>
      </c>
      <c r="B630"/>
      <c r="C630"/>
      <c r="D630"/>
      <c r="E630"/>
      <c r="F630" s="27" t="s">
        <v>7</v>
      </c>
      <c r="FK630" s="27" t="s">
        <v>8</v>
      </c>
      <c r="FL630" s="27" t="s">
        <v>7</v>
      </c>
      <c r="FM630" s="27" t="s">
        <v>8</v>
      </c>
      <c r="FN630" s="27" t="s">
        <v>7</v>
      </c>
      <c r="FW630" s="27" t="s">
        <v>8</v>
      </c>
      <c r="FZ630" s="27" t="s">
        <v>7</v>
      </c>
      <c r="GA630" s="27" t="s">
        <v>8</v>
      </c>
      <c r="GB630" s="27" t="s">
        <v>7</v>
      </c>
      <c r="GC630" s="27" t="s">
        <v>8</v>
      </c>
      <c r="GF630" s="27" t="s">
        <v>7</v>
      </c>
      <c r="GG630" s="27" t="s">
        <v>8</v>
      </c>
      <c r="GM630" s="27" t="s">
        <v>8</v>
      </c>
      <c r="GN630" s="27" t="s">
        <v>7</v>
      </c>
    </row>
    <row r="631" spans="1:227" x14ac:dyDescent="0.25">
      <c r="A631" s="7">
        <v>0.41840073856012971</v>
      </c>
      <c r="B631"/>
      <c r="C631"/>
      <c r="D631"/>
      <c r="E631"/>
      <c r="F631" s="27" t="s">
        <v>7</v>
      </c>
      <c r="FK631" s="27" t="s">
        <v>8</v>
      </c>
      <c r="FL631" s="27" t="s">
        <v>7</v>
      </c>
      <c r="FM631" s="27" t="s">
        <v>8</v>
      </c>
      <c r="FN631" s="27" t="s">
        <v>7</v>
      </c>
      <c r="FW631" s="27" t="s">
        <v>8</v>
      </c>
      <c r="FZ631" s="27" t="s">
        <v>7</v>
      </c>
      <c r="GB631" s="27" t="s">
        <v>7</v>
      </c>
      <c r="GC631" s="27" t="s">
        <v>8</v>
      </c>
      <c r="GF631" s="27" t="s">
        <v>7</v>
      </c>
      <c r="GG631" s="27" t="s">
        <v>8</v>
      </c>
      <c r="GH631" s="27" t="s">
        <v>7</v>
      </c>
      <c r="GM631" s="27" t="s">
        <v>8</v>
      </c>
      <c r="GN631" s="27" t="s">
        <v>7</v>
      </c>
    </row>
    <row r="632" spans="1:227" x14ac:dyDescent="0.25">
      <c r="A632" s="7">
        <v>0.41019680250993112</v>
      </c>
      <c r="B632"/>
      <c r="C632"/>
      <c r="D632"/>
      <c r="E632"/>
      <c r="F632" s="27" t="s">
        <v>7</v>
      </c>
      <c r="FK632" s="27" t="s">
        <v>8</v>
      </c>
      <c r="FL632" s="27" t="s">
        <v>7</v>
      </c>
      <c r="FM632" s="27" t="s">
        <v>8</v>
      </c>
      <c r="FN632" s="27" t="s">
        <v>7</v>
      </c>
      <c r="FW632" s="27" t="s">
        <v>8</v>
      </c>
      <c r="GB632" s="27" t="s">
        <v>7</v>
      </c>
      <c r="GC632" s="27" t="s">
        <v>8</v>
      </c>
      <c r="GF632" s="27" t="s">
        <v>7</v>
      </c>
      <c r="GG632" s="27" t="s">
        <v>8</v>
      </c>
      <c r="GH632" s="27" t="s">
        <v>7</v>
      </c>
      <c r="GM632" s="27" t="s">
        <v>8</v>
      </c>
      <c r="GN632" s="27" t="s">
        <v>7</v>
      </c>
    </row>
    <row r="633" spans="1:227" x14ac:dyDescent="0.25">
      <c r="A633" s="7">
        <v>0.40215372795091286</v>
      </c>
      <c r="B633"/>
      <c r="C633"/>
      <c r="D633"/>
      <c r="E633"/>
      <c r="F633" s="27" t="s">
        <v>7</v>
      </c>
      <c r="FK633" s="27" t="s">
        <v>8</v>
      </c>
      <c r="FL633" s="27" t="s">
        <v>7</v>
      </c>
      <c r="FM633" s="27" t="s">
        <v>8</v>
      </c>
      <c r="FN633" s="27" t="s">
        <v>7</v>
      </c>
      <c r="FW633" s="27" t="s">
        <v>8</v>
      </c>
      <c r="GB633" s="27" t="s">
        <v>7</v>
      </c>
      <c r="GC633" s="27" t="s">
        <v>8</v>
      </c>
      <c r="GF633" s="27" t="s">
        <v>7</v>
      </c>
      <c r="GG633" s="27" t="s">
        <v>8</v>
      </c>
      <c r="GH633" s="27" t="s">
        <v>7</v>
      </c>
      <c r="GM633" s="27" t="s">
        <v>8</v>
      </c>
      <c r="GN633" s="27" t="s">
        <v>7</v>
      </c>
    </row>
    <row r="634" spans="1:227" x14ac:dyDescent="0.25">
      <c r="A634" s="7">
        <v>0.39426836073618904</v>
      </c>
      <c r="B634"/>
      <c r="C634"/>
      <c r="D634"/>
      <c r="E634"/>
      <c r="F634" s="27" t="s">
        <v>7</v>
      </c>
      <c r="FK634" s="27" t="s">
        <v>8</v>
      </c>
      <c r="FL634" s="27" t="s">
        <v>7</v>
      </c>
      <c r="FM634" s="27" t="s">
        <v>8</v>
      </c>
      <c r="FN634" s="27" t="s">
        <v>7</v>
      </c>
      <c r="FU634" s="27" t="s">
        <v>8</v>
      </c>
      <c r="FW634" s="27" t="s">
        <v>8</v>
      </c>
      <c r="GB634" s="27" t="s">
        <v>7</v>
      </c>
      <c r="GC634" s="27" t="s">
        <v>8</v>
      </c>
      <c r="GF634" s="27" t="s">
        <v>7</v>
      </c>
      <c r="GG634" s="27" t="s">
        <v>8</v>
      </c>
      <c r="GH634" s="27" t="s">
        <v>7</v>
      </c>
      <c r="GM634" s="27" t="s">
        <v>8</v>
      </c>
      <c r="GN634" s="27" t="s">
        <v>7</v>
      </c>
      <c r="GO634" s="27" t="s">
        <v>8</v>
      </c>
    </row>
    <row r="635" spans="1:227" x14ac:dyDescent="0.25">
      <c r="A635" s="7">
        <v>0.38653760856489122</v>
      </c>
      <c r="B635"/>
      <c r="C635"/>
      <c r="D635"/>
      <c r="E635"/>
      <c r="F635" s="27" t="s">
        <v>7</v>
      </c>
      <c r="FK635" s="27" t="s">
        <v>8</v>
      </c>
      <c r="FL635" s="27" t="s">
        <v>7</v>
      </c>
      <c r="FM635" s="27" t="s">
        <v>8</v>
      </c>
      <c r="FN635" s="27" t="s">
        <v>7</v>
      </c>
      <c r="FU635" s="27" t="s">
        <v>8</v>
      </c>
      <c r="FV635" s="27" t="s">
        <v>7</v>
      </c>
      <c r="FW635" s="27" t="s">
        <v>8</v>
      </c>
      <c r="GB635" s="27" t="s">
        <v>7</v>
      </c>
      <c r="GC635" s="27" t="s">
        <v>8</v>
      </c>
      <c r="GF635" s="27" t="s">
        <v>7</v>
      </c>
      <c r="GG635" s="27" t="s">
        <v>8</v>
      </c>
      <c r="GH635" s="27" t="s">
        <v>7</v>
      </c>
      <c r="GM635" s="27" t="s">
        <v>8</v>
      </c>
      <c r="GN635" s="27" t="s">
        <v>7</v>
      </c>
      <c r="GO635" s="27" t="s">
        <v>8</v>
      </c>
      <c r="GP635" s="27" t="s">
        <v>7</v>
      </c>
    </row>
    <row r="636" spans="1:227" x14ac:dyDescent="0.25">
      <c r="A636" s="7">
        <v>0.37895843976950117</v>
      </c>
      <c r="B636"/>
      <c r="C636"/>
      <c r="D636"/>
      <c r="E636"/>
      <c r="F636" s="27" t="s">
        <v>7</v>
      </c>
      <c r="FK636" s="27" t="s">
        <v>8</v>
      </c>
      <c r="FL636" s="27" t="s">
        <v>7</v>
      </c>
      <c r="FM636" s="27" t="s">
        <v>8</v>
      </c>
      <c r="FN636" s="27" t="s">
        <v>7</v>
      </c>
      <c r="FU636" s="27" t="s">
        <v>8</v>
      </c>
      <c r="FV636" s="27" t="s">
        <v>7</v>
      </c>
      <c r="FW636" s="27" t="s">
        <v>8</v>
      </c>
      <c r="GB636" s="27" t="s">
        <v>7</v>
      </c>
      <c r="GC636" s="27" t="s">
        <v>8</v>
      </c>
      <c r="GF636" s="27" t="s">
        <v>7</v>
      </c>
      <c r="GG636" s="27" t="s">
        <v>8</v>
      </c>
      <c r="GH636" s="27" t="s">
        <v>7</v>
      </c>
      <c r="GK636" s="27" t="s">
        <v>8</v>
      </c>
      <c r="GM636" s="27" t="s">
        <v>8</v>
      </c>
      <c r="GN636" s="27" t="s">
        <v>7</v>
      </c>
      <c r="GO636" s="27" t="s">
        <v>8</v>
      </c>
      <c r="GP636" s="27" t="s">
        <v>7</v>
      </c>
    </row>
    <row r="637" spans="1:227" x14ac:dyDescent="0.25">
      <c r="A637" s="7">
        <v>0.37152788212696197</v>
      </c>
      <c r="B637"/>
      <c r="C637"/>
      <c r="D637"/>
      <c r="E637"/>
      <c r="F637" s="27" t="s">
        <v>7</v>
      </c>
      <c r="FK637" s="27" t="s">
        <v>8</v>
      </c>
      <c r="FL637" s="27" t="s">
        <v>7</v>
      </c>
      <c r="FM637" s="27" t="s">
        <v>8</v>
      </c>
      <c r="FN637" s="27" t="s">
        <v>7</v>
      </c>
      <c r="FU637" s="27" t="s">
        <v>8</v>
      </c>
      <c r="FV637" s="27" t="s">
        <v>7</v>
      </c>
      <c r="FW637" s="27" t="s">
        <v>8</v>
      </c>
      <c r="GB637" s="27" t="s">
        <v>7</v>
      </c>
      <c r="GC637" s="27" t="s">
        <v>8</v>
      </c>
      <c r="GF637" s="27" t="s">
        <v>7</v>
      </c>
      <c r="GG637" s="27" t="s">
        <v>8</v>
      </c>
      <c r="GH637" s="27" t="s">
        <v>7</v>
      </c>
      <c r="GK637" s="27" t="s">
        <v>8</v>
      </c>
      <c r="GL637" s="27" t="s">
        <v>7</v>
      </c>
      <c r="GM637" s="27" t="s">
        <v>8</v>
      </c>
      <c r="GN637" s="27" t="s">
        <v>7</v>
      </c>
      <c r="GO637" s="27" t="s">
        <v>8</v>
      </c>
      <c r="GP637" s="27" t="s">
        <v>7</v>
      </c>
    </row>
    <row r="638" spans="1:227" x14ac:dyDescent="0.25">
      <c r="A638" s="7">
        <v>0.36424302169310002</v>
      </c>
      <c r="B638"/>
      <c r="C638"/>
      <c r="D638"/>
      <c r="E638"/>
      <c r="F638" s="27" t="s">
        <v>7</v>
      </c>
      <c r="FK638" s="27" t="s">
        <v>8</v>
      </c>
      <c r="FL638" s="27" t="s">
        <v>7</v>
      </c>
      <c r="FM638" s="27" t="s">
        <v>8</v>
      </c>
      <c r="FN638" s="27" t="s">
        <v>7</v>
      </c>
      <c r="FU638" s="27" t="s">
        <v>8</v>
      </c>
      <c r="FV638" s="27" t="s">
        <v>7</v>
      </c>
      <c r="GB638" s="27" t="s">
        <v>7</v>
      </c>
      <c r="GC638" s="27" t="s">
        <v>8</v>
      </c>
      <c r="GF638" s="27" t="s">
        <v>7</v>
      </c>
      <c r="GG638" s="27" t="s">
        <v>8</v>
      </c>
      <c r="GH638" s="27" t="s">
        <v>7</v>
      </c>
      <c r="GK638" s="27" t="s">
        <v>8</v>
      </c>
      <c r="GL638" s="27" t="s">
        <v>7</v>
      </c>
      <c r="GM638" s="27" t="s">
        <v>8</v>
      </c>
      <c r="GN638" s="27" t="s">
        <v>7</v>
      </c>
      <c r="GO638" s="27" t="s">
        <v>8</v>
      </c>
      <c r="GP638" s="27" t="s">
        <v>7</v>
      </c>
    </row>
    <row r="639" spans="1:227" x14ac:dyDescent="0.25">
      <c r="A639" s="7">
        <v>0.35710100165990194</v>
      </c>
      <c r="B639"/>
      <c r="C639"/>
      <c r="D639"/>
      <c r="E639"/>
      <c r="F639" s="27" t="s">
        <v>7</v>
      </c>
      <c r="FK639" s="27" t="s">
        <v>8</v>
      </c>
      <c r="FL639" s="27" t="s">
        <v>7</v>
      </c>
      <c r="FM639" s="27" t="s">
        <v>8</v>
      </c>
      <c r="FN639" s="27" t="s">
        <v>7</v>
      </c>
      <c r="FU639" s="27" t="s">
        <v>8</v>
      </c>
      <c r="GB639" s="27" t="s">
        <v>7</v>
      </c>
      <c r="GF639" s="27" t="s">
        <v>7</v>
      </c>
      <c r="GG639" s="27" t="s">
        <v>8</v>
      </c>
      <c r="GH639" s="27" t="s">
        <v>7</v>
      </c>
      <c r="GI639" s="27" t="s">
        <v>8</v>
      </c>
      <c r="GK639" s="27" t="s">
        <v>8</v>
      </c>
      <c r="GL639" s="27" t="s">
        <v>7</v>
      </c>
      <c r="GM639" s="27" t="s">
        <v>8</v>
      </c>
      <c r="GN639" s="27" t="s">
        <v>7</v>
      </c>
      <c r="GO639" s="27" t="s">
        <v>8</v>
      </c>
      <c r="GP639" s="27" t="s">
        <v>7</v>
      </c>
    </row>
    <row r="640" spans="1:227" x14ac:dyDescent="0.25">
      <c r="A640" s="7">
        <v>0.35009902123519804</v>
      </c>
      <c r="B640"/>
      <c r="C640"/>
      <c r="D640"/>
      <c r="E640"/>
      <c r="F640" s="27" t="s">
        <v>7</v>
      </c>
      <c r="FK640" s="27" t="s">
        <v>8</v>
      </c>
      <c r="FL640" s="27" t="s">
        <v>7</v>
      </c>
      <c r="FM640" s="27" t="s">
        <v>8</v>
      </c>
      <c r="FN640" s="27" t="s">
        <v>7</v>
      </c>
      <c r="FU640" s="27" t="s">
        <v>8</v>
      </c>
      <c r="GF640" s="27" t="s">
        <v>7</v>
      </c>
      <c r="GG640" s="27" t="s">
        <v>8</v>
      </c>
      <c r="GH640" s="27" t="s">
        <v>7</v>
      </c>
      <c r="GI640" s="27" t="s">
        <v>8</v>
      </c>
      <c r="GJ640" s="27" t="s">
        <v>7</v>
      </c>
      <c r="GK640" s="27" t="s">
        <v>8</v>
      </c>
      <c r="GL640" s="27" t="s">
        <v>7</v>
      </c>
      <c r="GM640" s="27" t="s">
        <v>8</v>
      </c>
      <c r="GN640" s="27" t="s">
        <v>7</v>
      </c>
      <c r="GP640" s="27" t="s">
        <v>7</v>
      </c>
      <c r="GQ640" s="27" t="s">
        <v>8</v>
      </c>
      <c r="HS640" s="27" t="s">
        <v>8</v>
      </c>
    </row>
    <row r="641" spans="1:272" x14ac:dyDescent="0.25">
      <c r="A641" s="7">
        <v>0.34323433454431179</v>
      </c>
      <c r="B641"/>
      <c r="C641"/>
      <c r="D641"/>
      <c r="E641"/>
      <c r="F641" s="27" t="s">
        <v>7</v>
      </c>
      <c r="FK641" s="27" t="s">
        <v>8</v>
      </c>
      <c r="FL641" s="27" t="s">
        <v>7</v>
      </c>
      <c r="FM641" s="27" t="s">
        <v>8</v>
      </c>
      <c r="FN641" s="27" t="s">
        <v>7</v>
      </c>
      <c r="FO641" s="27" t="s">
        <v>8</v>
      </c>
      <c r="FS641" s="27" t="s">
        <v>8</v>
      </c>
      <c r="FU641" s="27" t="s">
        <v>8</v>
      </c>
      <c r="GF641" s="27" t="s">
        <v>7</v>
      </c>
      <c r="GG641" s="27" t="s">
        <v>8</v>
      </c>
      <c r="GH641" s="27" t="s">
        <v>7</v>
      </c>
      <c r="GI641" s="27" t="s">
        <v>8</v>
      </c>
      <c r="GJ641" s="27" t="s">
        <v>7</v>
      </c>
      <c r="GK641" s="27" t="s">
        <v>8</v>
      </c>
      <c r="GL641" s="27" t="s">
        <v>7</v>
      </c>
      <c r="GM641" s="27" t="s">
        <v>8</v>
      </c>
      <c r="GP641" s="27" t="s">
        <v>7</v>
      </c>
      <c r="GQ641" s="27" t="s">
        <v>8</v>
      </c>
      <c r="GR641" s="27" t="s">
        <v>7</v>
      </c>
      <c r="HS641" s="27" t="s">
        <v>8</v>
      </c>
      <c r="HT641" s="27" t="s">
        <v>7</v>
      </c>
    </row>
    <row r="642" spans="1:272" x14ac:dyDescent="0.25">
      <c r="A642" s="7">
        <v>0.33650424955324681</v>
      </c>
      <c r="B642"/>
      <c r="C642"/>
      <c r="D642"/>
      <c r="E642"/>
      <c r="F642" s="27" t="s">
        <v>7</v>
      </c>
      <c r="FK642" s="27" t="s">
        <v>8</v>
      </c>
      <c r="FL642" s="27" t="s">
        <v>7</v>
      </c>
      <c r="FM642" s="27" t="s">
        <v>8</v>
      </c>
      <c r="FN642" s="27" t="s">
        <v>7</v>
      </c>
      <c r="FO642" s="27" t="s">
        <v>8</v>
      </c>
      <c r="FP642" s="27" t="s">
        <v>7</v>
      </c>
      <c r="FS642" s="27" t="s">
        <v>8</v>
      </c>
      <c r="FT642" s="27" t="s">
        <v>7</v>
      </c>
      <c r="FU642" s="27" t="s">
        <v>8</v>
      </c>
      <c r="GF642" s="27" t="s">
        <v>7</v>
      </c>
      <c r="GG642" s="27" t="s">
        <v>8</v>
      </c>
      <c r="GH642" s="27" t="s">
        <v>7</v>
      </c>
      <c r="GI642" s="27" t="s">
        <v>8</v>
      </c>
      <c r="GJ642" s="27" t="s">
        <v>7</v>
      </c>
      <c r="GK642" s="27" t="s">
        <v>8</v>
      </c>
      <c r="GL642" s="27" t="s">
        <v>7</v>
      </c>
      <c r="GM642" s="27" t="s">
        <v>8</v>
      </c>
      <c r="GP642" s="27" t="s">
        <v>7</v>
      </c>
      <c r="GQ642" s="27" t="s">
        <v>8</v>
      </c>
      <c r="GR642" s="27" t="s">
        <v>7</v>
      </c>
      <c r="GS642" s="27" t="s">
        <v>8</v>
      </c>
      <c r="HS642" s="27" t="s">
        <v>8</v>
      </c>
      <c r="HT642" s="27" t="s">
        <v>7</v>
      </c>
      <c r="JA642" s="27" t="s">
        <v>8</v>
      </c>
    </row>
    <row r="643" spans="1:272" x14ac:dyDescent="0.25">
      <c r="A643" s="7">
        <v>0.3299061270129871</v>
      </c>
      <c r="B643"/>
      <c r="C643"/>
      <c r="D643"/>
      <c r="E643"/>
      <c r="F643" s="27" t="s">
        <v>7</v>
      </c>
      <c r="FK643" s="27" t="s">
        <v>8</v>
      </c>
      <c r="FL643" s="27" t="s">
        <v>7</v>
      </c>
      <c r="FM643" s="27" t="s">
        <v>8</v>
      </c>
      <c r="FN643" s="27" t="s">
        <v>7</v>
      </c>
      <c r="FO643" s="27" t="s">
        <v>8</v>
      </c>
      <c r="FP643" s="27" t="s">
        <v>7</v>
      </c>
      <c r="FS643" s="27" t="s">
        <v>8</v>
      </c>
      <c r="FT643" s="27" t="s">
        <v>7</v>
      </c>
      <c r="FU643" s="27" t="s">
        <v>8</v>
      </c>
      <c r="GF643" s="27" t="s">
        <v>7</v>
      </c>
      <c r="GG643" s="27" t="s">
        <v>8</v>
      </c>
      <c r="GH643" s="27" t="s">
        <v>7</v>
      </c>
      <c r="GI643" s="27" t="s">
        <v>8</v>
      </c>
      <c r="GJ643" s="27" t="s">
        <v>7</v>
      </c>
      <c r="GK643" s="27" t="s">
        <v>8</v>
      </c>
      <c r="GL643" s="27" t="s">
        <v>7</v>
      </c>
      <c r="GM643" s="27" t="s">
        <v>8</v>
      </c>
      <c r="GP643" s="27" t="s">
        <v>7</v>
      </c>
      <c r="GQ643" s="27" t="s">
        <v>8</v>
      </c>
      <c r="GR643" s="27" t="s">
        <v>7</v>
      </c>
      <c r="GS643" s="27" t="s">
        <v>8</v>
      </c>
      <c r="GT643" s="27" t="s">
        <v>7</v>
      </c>
      <c r="HS643" s="27" t="s">
        <v>8</v>
      </c>
      <c r="HT643" s="27" t="s">
        <v>7</v>
      </c>
      <c r="HU643" s="27" t="s">
        <v>8</v>
      </c>
      <c r="JA643" s="27" t="s">
        <v>8</v>
      </c>
      <c r="JB643" s="27" t="s">
        <v>7</v>
      </c>
    </row>
    <row r="644" spans="1:272" x14ac:dyDescent="0.25">
      <c r="A644" s="7">
        <v>0.32343737942449713</v>
      </c>
      <c r="B644"/>
      <c r="C644"/>
      <c r="D644"/>
      <c r="E644"/>
      <c r="F644" s="27" t="s">
        <v>7</v>
      </c>
      <c r="FK644" s="27" t="s">
        <v>8</v>
      </c>
      <c r="FL644" s="27" t="s">
        <v>7</v>
      </c>
      <c r="FM644" s="27" t="s">
        <v>8</v>
      </c>
      <c r="FN644" s="27" t="s">
        <v>7</v>
      </c>
      <c r="FO644" s="27" t="s">
        <v>8</v>
      </c>
      <c r="FP644" s="27" t="s">
        <v>7</v>
      </c>
      <c r="FS644" s="27" t="s">
        <v>8</v>
      </c>
      <c r="FT644" s="27" t="s">
        <v>7</v>
      </c>
      <c r="FU644" s="27" t="s">
        <v>8</v>
      </c>
      <c r="GF644" s="27" t="s">
        <v>7</v>
      </c>
      <c r="GG644" s="27" t="s">
        <v>8</v>
      </c>
      <c r="GH644" s="27" t="s">
        <v>7</v>
      </c>
      <c r="GI644" s="27" t="s">
        <v>8</v>
      </c>
      <c r="GJ644" s="27" t="s">
        <v>7</v>
      </c>
      <c r="GK644" s="27" t="s">
        <v>8</v>
      </c>
      <c r="GL644" s="27" t="s">
        <v>7</v>
      </c>
      <c r="GM644" s="27" t="s">
        <v>8</v>
      </c>
      <c r="GP644" s="27" t="s">
        <v>7</v>
      </c>
      <c r="GQ644" s="27" t="s">
        <v>8</v>
      </c>
      <c r="GR644" s="27" t="s">
        <v>7</v>
      </c>
      <c r="GS644" s="27" t="s">
        <v>8</v>
      </c>
      <c r="GT644" s="27" t="s">
        <v>7</v>
      </c>
      <c r="HS644" s="27" t="s">
        <v>8</v>
      </c>
      <c r="HT644" s="27" t="s">
        <v>7</v>
      </c>
      <c r="HU644" s="27" t="s">
        <v>8</v>
      </c>
      <c r="HV644" s="27" t="s">
        <v>7</v>
      </c>
      <c r="JA644" s="27" t="s">
        <v>8</v>
      </c>
      <c r="JB644" s="27" t="s">
        <v>7</v>
      </c>
    </row>
    <row r="645" spans="1:272" x14ac:dyDescent="0.25">
      <c r="A645" s="7">
        <v>0.31709547002401678</v>
      </c>
      <c r="B645"/>
      <c r="C645"/>
      <c r="D645"/>
      <c r="E645"/>
      <c r="F645" s="27" t="s">
        <v>7</v>
      </c>
      <c r="FK645" s="27" t="s">
        <v>8</v>
      </c>
      <c r="FL645" s="27" t="s">
        <v>7</v>
      </c>
      <c r="FM645" s="27" t="s">
        <v>8</v>
      </c>
      <c r="FN645" s="27" t="s">
        <v>7</v>
      </c>
      <c r="FO645" s="27" t="s">
        <v>8</v>
      </c>
      <c r="FP645" s="27" t="s">
        <v>7</v>
      </c>
      <c r="FS645" s="27" t="s">
        <v>8</v>
      </c>
      <c r="FT645" s="27" t="s">
        <v>7</v>
      </c>
      <c r="FU645" s="27" t="s">
        <v>8</v>
      </c>
      <c r="GF645" s="27" t="s">
        <v>7</v>
      </c>
      <c r="GG645" s="27" t="s">
        <v>8</v>
      </c>
      <c r="GH645" s="27" t="s">
        <v>7</v>
      </c>
      <c r="GJ645" s="27" t="s">
        <v>7</v>
      </c>
      <c r="GK645" s="27" t="s">
        <v>8</v>
      </c>
      <c r="GL645" s="27" t="s">
        <v>7</v>
      </c>
      <c r="GM645" s="27" t="s">
        <v>8</v>
      </c>
      <c r="GP645" s="27" t="s">
        <v>7</v>
      </c>
      <c r="GQ645" s="27" t="s">
        <v>8</v>
      </c>
      <c r="GR645" s="27" t="s">
        <v>7</v>
      </c>
      <c r="GS645" s="27" t="s">
        <v>8</v>
      </c>
      <c r="GT645" s="27" t="s">
        <v>7</v>
      </c>
      <c r="HS645" s="27" t="s">
        <v>8</v>
      </c>
      <c r="HT645" s="27" t="s">
        <v>7</v>
      </c>
      <c r="HU645" s="27" t="s">
        <v>8</v>
      </c>
      <c r="HV645" s="27" t="s">
        <v>7</v>
      </c>
      <c r="IC645" s="27" t="s">
        <v>8</v>
      </c>
      <c r="JA645" s="27" t="s">
        <v>8</v>
      </c>
      <c r="JB645" s="27" t="s">
        <v>7</v>
      </c>
    </row>
    <row r="646" spans="1:272" x14ac:dyDescent="0.25">
      <c r="A646" s="7">
        <v>0.31087791178825175</v>
      </c>
      <c r="B646"/>
      <c r="C646"/>
      <c r="D646"/>
      <c r="E646"/>
      <c r="F646" s="27" t="s">
        <v>7</v>
      </c>
      <c r="FK646" s="27" t="s">
        <v>8</v>
      </c>
      <c r="FL646" s="27" t="s">
        <v>7</v>
      </c>
      <c r="FM646" s="27" t="s">
        <v>8</v>
      </c>
      <c r="FN646" s="27" t="s">
        <v>7</v>
      </c>
      <c r="FO646" s="27" t="s">
        <v>8</v>
      </c>
      <c r="FP646" s="27" t="s">
        <v>7</v>
      </c>
      <c r="FS646" s="27" t="s">
        <v>8</v>
      </c>
      <c r="FT646" s="27" t="s">
        <v>7</v>
      </c>
      <c r="FU646" s="27" t="s">
        <v>8</v>
      </c>
      <c r="GF646" s="27" t="s">
        <v>7</v>
      </c>
      <c r="GG646" s="27" t="s">
        <v>8</v>
      </c>
      <c r="GJ646" s="27" t="s">
        <v>7</v>
      </c>
      <c r="GK646" s="27" t="s">
        <v>8</v>
      </c>
      <c r="GL646" s="27" t="s">
        <v>7</v>
      </c>
      <c r="GM646" s="27" t="s">
        <v>8</v>
      </c>
      <c r="GP646" s="27" t="s">
        <v>7</v>
      </c>
      <c r="GQ646" s="27" t="s">
        <v>8</v>
      </c>
      <c r="GR646" s="27" t="s">
        <v>7</v>
      </c>
      <c r="GS646" s="27" t="s">
        <v>8</v>
      </c>
      <c r="GT646" s="27" t="s">
        <v>7</v>
      </c>
      <c r="HS646" s="27" t="s">
        <v>8</v>
      </c>
      <c r="HT646" s="27" t="s">
        <v>7</v>
      </c>
      <c r="HU646" s="27" t="s">
        <v>8</v>
      </c>
      <c r="HV646" s="27" t="s">
        <v>7</v>
      </c>
      <c r="IC646" s="27" t="s">
        <v>8</v>
      </c>
      <c r="ID646" s="27" t="s">
        <v>7</v>
      </c>
      <c r="JA646" s="27" t="s">
        <v>8</v>
      </c>
      <c r="JB646" s="27" t="s">
        <v>7</v>
      </c>
    </row>
    <row r="647" spans="1:272" x14ac:dyDescent="0.25">
      <c r="A647" s="7">
        <v>0.30478226645907036</v>
      </c>
      <c r="B647"/>
      <c r="C647"/>
      <c r="D647"/>
      <c r="E647"/>
      <c r="F647" s="27" t="s">
        <v>7</v>
      </c>
      <c r="FK647" s="27" t="s">
        <v>8</v>
      </c>
      <c r="FL647" s="27" t="s">
        <v>7</v>
      </c>
      <c r="FM647" s="27" t="s">
        <v>8</v>
      </c>
      <c r="FN647" s="27" t="s">
        <v>7</v>
      </c>
      <c r="FO647" s="27" t="s">
        <v>8</v>
      </c>
      <c r="FP647" s="27" t="s">
        <v>7</v>
      </c>
      <c r="FS647" s="27" t="s">
        <v>8</v>
      </c>
      <c r="FT647" s="27" t="s">
        <v>7</v>
      </c>
      <c r="FU647" s="27" t="s">
        <v>8</v>
      </c>
      <c r="GF647" s="27" t="s">
        <v>7</v>
      </c>
      <c r="GG647" s="27" t="s">
        <v>8</v>
      </c>
      <c r="GJ647" s="27" t="s">
        <v>7</v>
      </c>
      <c r="GK647" s="27" t="s">
        <v>8</v>
      </c>
      <c r="GL647" s="27" t="s">
        <v>7</v>
      </c>
      <c r="GM647" s="27" t="s">
        <v>8</v>
      </c>
      <c r="GP647" s="27" t="s">
        <v>7</v>
      </c>
      <c r="GQ647" s="27" t="s">
        <v>8</v>
      </c>
      <c r="GR647" s="27" t="s">
        <v>7</v>
      </c>
      <c r="GT647" s="27" t="s">
        <v>7</v>
      </c>
      <c r="HS647" s="27" t="s">
        <v>8</v>
      </c>
      <c r="HT647" s="27" t="s">
        <v>7</v>
      </c>
      <c r="HU647" s="27" t="s">
        <v>8</v>
      </c>
      <c r="HV647" s="27" t="s">
        <v>7</v>
      </c>
      <c r="IA647" s="27" t="s">
        <v>8</v>
      </c>
      <c r="IC647" s="27" t="s">
        <v>8</v>
      </c>
      <c r="ID647" s="27" t="s">
        <v>7</v>
      </c>
      <c r="JA647" s="27" t="s">
        <v>8</v>
      </c>
      <c r="JB647" s="27" t="s">
        <v>7</v>
      </c>
    </row>
    <row r="648" spans="1:272" x14ac:dyDescent="0.25">
      <c r="A648" s="7">
        <v>0.29880614358732388</v>
      </c>
      <c r="B648"/>
      <c r="C648"/>
      <c r="D648"/>
      <c r="E648"/>
      <c r="F648" s="27" t="s">
        <v>7</v>
      </c>
      <c r="FK648" s="27" t="s">
        <v>8</v>
      </c>
      <c r="FL648" s="27" t="s">
        <v>7</v>
      </c>
      <c r="FM648" s="27" t="s">
        <v>8</v>
      </c>
      <c r="FN648" s="27" t="s">
        <v>7</v>
      </c>
      <c r="FO648" s="27" t="s">
        <v>8</v>
      </c>
      <c r="FP648" s="27" t="s">
        <v>7</v>
      </c>
      <c r="FS648" s="27" t="s">
        <v>8</v>
      </c>
      <c r="FT648" s="27" t="s">
        <v>7</v>
      </c>
      <c r="GF648" s="27" t="s">
        <v>7</v>
      </c>
      <c r="GG648" s="27" t="s">
        <v>8</v>
      </c>
      <c r="GJ648" s="27" t="s">
        <v>7</v>
      </c>
      <c r="GK648" s="27" t="s">
        <v>8</v>
      </c>
      <c r="GL648" s="27" t="s">
        <v>7</v>
      </c>
      <c r="GM648" s="27" t="s">
        <v>8</v>
      </c>
      <c r="GP648" s="27" t="s">
        <v>7</v>
      </c>
      <c r="GT648" s="27" t="s">
        <v>7</v>
      </c>
      <c r="HS648" s="27" t="s">
        <v>8</v>
      </c>
      <c r="HT648" s="27" t="s">
        <v>7</v>
      </c>
      <c r="HU648" s="27" t="s">
        <v>8</v>
      </c>
      <c r="HV648" s="27" t="s">
        <v>7</v>
      </c>
      <c r="HY648" s="27" t="s">
        <v>8</v>
      </c>
      <c r="IA648" s="27" t="s">
        <v>8</v>
      </c>
      <c r="IB648" s="27" t="s">
        <v>7</v>
      </c>
      <c r="IC648" s="27" t="s">
        <v>8</v>
      </c>
      <c r="ID648" s="27" t="s">
        <v>7</v>
      </c>
      <c r="JA648" s="27" t="s">
        <v>8</v>
      </c>
      <c r="JB648" s="27" t="s">
        <v>7</v>
      </c>
    </row>
    <row r="649" spans="1:272" x14ac:dyDescent="0.25">
      <c r="A649" s="7">
        <v>0.2929471995954156</v>
      </c>
      <c r="B649"/>
      <c r="C649"/>
      <c r="D649"/>
      <c r="E649"/>
      <c r="F649" s="27" t="s">
        <v>7</v>
      </c>
      <c r="FK649" s="27" t="s">
        <v>8</v>
      </c>
      <c r="FL649" s="27" t="s">
        <v>7</v>
      </c>
      <c r="FM649" s="27" t="s">
        <v>8</v>
      </c>
      <c r="FN649" s="27" t="s">
        <v>7</v>
      </c>
      <c r="FO649" s="27" t="s">
        <v>8</v>
      </c>
      <c r="FP649" s="27" t="s">
        <v>7</v>
      </c>
      <c r="FS649" s="27" t="s">
        <v>8</v>
      </c>
      <c r="GF649" s="27" t="s">
        <v>7</v>
      </c>
      <c r="GG649" s="27" t="s">
        <v>8</v>
      </c>
      <c r="GJ649" s="27" t="s">
        <v>7</v>
      </c>
      <c r="GK649" s="27" t="s">
        <v>8</v>
      </c>
      <c r="GL649" s="27" t="s">
        <v>7</v>
      </c>
      <c r="GM649" s="27" t="s">
        <v>8</v>
      </c>
      <c r="GT649" s="27" t="s">
        <v>7</v>
      </c>
      <c r="HQ649" s="27" t="s">
        <v>8</v>
      </c>
      <c r="HS649" s="27" t="s">
        <v>8</v>
      </c>
      <c r="HT649" s="27" t="s">
        <v>7</v>
      </c>
      <c r="HU649" s="27" t="s">
        <v>8</v>
      </c>
      <c r="HV649" s="27" t="s">
        <v>7</v>
      </c>
      <c r="HW649" s="27" t="s">
        <v>8</v>
      </c>
      <c r="HY649" s="27" t="s">
        <v>8</v>
      </c>
      <c r="HZ649" s="27" t="s">
        <v>7</v>
      </c>
      <c r="IA649" s="27" t="s">
        <v>8</v>
      </c>
      <c r="IB649" s="27" t="s">
        <v>7</v>
      </c>
      <c r="IC649" s="27" t="s">
        <v>8</v>
      </c>
      <c r="ID649" s="27" t="s">
        <v>7</v>
      </c>
      <c r="JA649" s="27" t="s">
        <v>8</v>
      </c>
      <c r="JB649" s="27" t="s">
        <v>7</v>
      </c>
      <c r="JG649" s="27" t="s">
        <v>8</v>
      </c>
    </row>
    <row r="650" spans="1:272" x14ac:dyDescent="0.25">
      <c r="A650" s="7">
        <v>0.28720313685825055</v>
      </c>
      <c r="B650"/>
      <c r="C650"/>
      <c r="D650"/>
      <c r="E650"/>
      <c r="F650" s="27" t="s">
        <v>7</v>
      </c>
      <c r="FK650" s="27" t="s">
        <v>8</v>
      </c>
      <c r="FL650" s="27" t="s">
        <v>7</v>
      </c>
      <c r="FM650" s="27" t="s">
        <v>8</v>
      </c>
      <c r="FN650" s="27" t="s">
        <v>7</v>
      </c>
      <c r="FO650" s="27" t="s">
        <v>8</v>
      </c>
      <c r="FP650" s="27" t="s">
        <v>7</v>
      </c>
      <c r="FQ650" s="27" t="s">
        <v>8</v>
      </c>
      <c r="FS650" s="27" t="s">
        <v>8</v>
      </c>
      <c r="GF650" s="27" t="s">
        <v>7</v>
      </c>
      <c r="GG650" s="27" t="s">
        <v>8</v>
      </c>
      <c r="GJ650" s="27" t="s">
        <v>7</v>
      </c>
      <c r="GK650" s="27" t="s">
        <v>8</v>
      </c>
      <c r="GL650" s="27" t="s">
        <v>7</v>
      </c>
      <c r="GM650" s="27" t="s">
        <v>8</v>
      </c>
      <c r="GT650" s="27" t="s">
        <v>7</v>
      </c>
      <c r="GU650" s="27" t="s">
        <v>8</v>
      </c>
      <c r="HQ650" s="27" t="s">
        <v>8</v>
      </c>
      <c r="HR650" s="27" t="s">
        <v>7</v>
      </c>
      <c r="HS650" s="27" t="s">
        <v>8</v>
      </c>
      <c r="HT650" s="27" t="s">
        <v>7</v>
      </c>
      <c r="HU650" s="27" t="s">
        <v>8</v>
      </c>
      <c r="HV650" s="27" t="s">
        <v>7</v>
      </c>
      <c r="HW650" s="27" t="s">
        <v>8</v>
      </c>
      <c r="HX650" s="27" t="s">
        <v>7</v>
      </c>
      <c r="HY650" s="27" t="s">
        <v>8</v>
      </c>
      <c r="HZ650" s="27" t="s">
        <v>7</v>
      </c>
      <c r="IA650" s="27" t="s">
        <v>8</v>
      </c>
      <c r="IB650" s="27" t="s">
        <v>7</v>
      </c>
      <c r="ID650" s="27" t="s">
        <v>7</v>
      </c>
      <c r="JA650" s="27" t="s">
        <v>8</v>
      </c>
      <c r="JB650" s="27" t="s">
        <v>7</v>
      </c>
      <c r="JG650" s="27" t="s">
        <v>8</v>
      </c>
      <c r="JH650" s="27" t="s">
        <v>7</v>
      </c>
    </row>
    <row r="651" spans="1:272" x14ac:dyDescent="0.25">
      <c r="A651" s="7">
        <v>0.28157170280220645</v>
      </c>
      <c r="B651"/>
      <c r="C651"/>
      <c r="D651"/>
      <c r="E651"/>
      <c r="F651" s="27" t="s">
        <v>7</v>
      </c>
      <c r="FK651" s="27" t="s">
        <v>8</v>
      </c>
      <c r="FL651" s="27" t="s">
        <v>7</v>
      </c>
      <c r="FM651" s="27" t="s">
        <v>8</v>
      </c>
      <c r="FN651" s="27" t="s">
        <v>7</v>
      </c>
      <c r="FO651" s="27" t="s">
        <v>8</v>
      </c>
      <c r="FP651" s="27" t="s">
        <v>7</v>
      </c>
      <c r="FQ651" s="27" t="s">
        <v>8</v>
      </c>
      <c r="FR651" s="27" t="s">
        <v>7</v>
      </c>
      <c r="FS651" s="27" t="s">
        <v>8</v>
      </c>
      <c r="GF651" s="27" t="s">
        <v>7</v>
      </c>
      <c r="GG651" s="27" t="s">
        <v>8</v>
      </c>
      <c r="GJ651" s="27" t="s">
        <v>7</v>
      </c>
      <c r="GK651" s="27" t="s">
        <v>8</v>
      </c>
      <c r="GL651" s="27" t="s">
        <v>7</v>
      </c>
      <c r="GT651" s="27" t="s">
        <v>7</v>
      </c>
      <c r="GU651" s="27" t="s">
        <v>8</v>
      </c>
      <c r="GV651" s="27" t="s">
        <v>7</v>
      </c>
      <c r="HO651" s="27" t="s">
        <v>8</v>
      </c>
      <c r="HQ651" s="27" t="s">
        <v>8</v>
      </c>
      <c r="HR651" s="27" t="s">
        <v>7</v>
      </c>
      <c r="HS651" s="27" t="s">
        <v>8</v>
      </c>
      <c r="HT651" s="27" t="s">
        <v>7</v>
      </c>
      <c r="HV651" s="27" t="s">
        <v>7</v>
      </c>
      <c r="HW651" s="27" t="s">
        <v>8</v>
      </c>
      <c r="HX651" s="27" t="s">
        <v>7</v>
      </c>
      <c r="HY651" s="27" t="s">
        <v>8</v>
      </c>
      <c r="HZ651" s="27" t="s">
        <v>7</v>
      </c>
      <c r="IA651" s="27" t="s">
        <v>8</v>
      </c>
      <c r="ID651" s="27" t="s">
        <v>7</v>
      </c>
      <c r="IY651" s="27" t="s">
        <v>8</v>
      </c>
      <c r="JA651" s="27" t="s">
        <v>8</v>
      </c>
      <c r="JB651" s="27" t="s">
        <v>7</v>
      </c>
      <c r="JC651" s="27" t="s">
        <v>8</v>
      </c>
      <c r="JG651" s="27" t="s">
        <v>8</v>
      </c>
      <c r="JH651" s="27" t="s">
        <v>7</v>
      </c>
    </row>
    <row r="652" spans="1:272" x14ac:dyDescent="0.25">
      <c r="A652" s="7">
        <v>0.27605068902177105</v>
      </c>
      <c r="B652"/>
      <c r="C652"/>
      <c r="D652"/>
      <c r="E652"/>
      <c r="F652" s="27" t="s">
        <v>7</v>
      </c>
      <c r="FK652" s="27" t="s">
        <v>8</v>
      </c>
      <c r="FL652" s="27" t="s">
        <v>7</v>
      </c>
      <c r="FM652" s="27" t="s">
        <v>8</v>
      </c>
      <c r="FN652" s="27" t="s">
        <v>7</v>
      </c>
      <c r="FO652" s="27" t="s">
        <v>8</v>
      </c>
      <c r="FP652" s="27" t="s">
        <v>7</v>
      </c>
      <c r="FQ652" s="27" t="s">
        <v>8</v>
      </c>
      <c r="FR652" s="27" t="s">
        <v>7</v>
      </c>
      <c r="FS652" s="27" t="s">
        <v>8</v>
      </c>
      <c r="GF652" s="27" t="s">
        <v>7</v>
      </c>
      <c r="GG652" s="27" t="s">
        <v>8</v>
      </c>
      <c r="GJ652" s="27" t="s">
        <v>7</v>
      </c>
      <c r="GK652" s="27" t="s">
        <v>8</v>
      </c>
      <c r="GT652" s="27" t="s">
        <v>7</v>
      </c>
      <c r="GU652" s="27" t="s">
        <v>8</v>
      </c>
      <c r="GV652" s="27" t="s">
        <v>7</v>
      </c>
      <c r="HO652" s="27" t="s">
        <v>8</v>
      </c>
      <c r="HP652" s="27" t="s">
        <v>7</v>
      </c>
      <c r="HQ652" s="27" t="s">
        <v>8</v>
      </c>
      <c r="HR652" s="27" t="s">
        <v>7</v>
      </c>
      <c r="HS652" s="27" t="s">
        <v>8</v>
      </c>
      <c r="HV652" s="27" t="s">
        <v>7</v>
      </c>
      <c r="HX652" s="27" t="s">
        <v>7</v>
      </c>
      <c r="HY652" s="27" t="s">
        <v>8</v>
      </c>
      <c r="HZ652" s="27" t="s">
        <v>7</v>
      </c>
      <c r="IA652" s="27" t="s">
        <v>8</v>
      </c>
      <c r="ID652" s="27" t="s">
        <v>7</v>
      </c>
      <c r="IY652" s="27" t="s">
        <v>8</v>
      </c>
      <c r="IZ652" s="27" t="s">
        <v>7</v>
      </c>
      <c r="JA652" s="27" t="s">
        <v>8</v>
      </c>
      <c r="JB652" s="27" t="s">
        <v>7</v>
      </c>
      <c r="JC652" s="27" t="s">
        <v>8</v>
      </c>
      <c r="JD652" s="27" t="s">
        <v>7</v>
      </c>
      <c r="JG652" s="27" t="s">
        <v>8</v>
      </c>
      <c r="JH652" s="27" t="s">
        <v>7</v>
      </c>
    </row>
    <row r="653" spans="1:272" x14ac:dyDescent="0.25">
      <c r="A653" s="7">
        <v>0.27063793041350104</v>
      </c>
      <c r="B653"/>
      <c r="C653"/>
      <c r="D653"/>
      <c r="E653"/>
      <c r="F653" s="27" t="s">
        <v>7</v>
      </c>
      <c r="FK653" s="27" t="s">
        <v>8</v>
      </c>
      <c r="FL653" s="27" t="s">
        <v>7</v>
      </c>
      <c r="FM653" s="27" t="s">
        <v>8</v>
      </c>
      <c r="FN653" s="27" t="s">
        <v>7</v>
      </c>
      <c r="FP653" s="27" t="s">
        <v>7</v>
      </c>
      <c r="FQ653" s="27" t="s">
        <v>8</v>
      </c>
      <c r="FR653" s="27" t="s">
        <v>7</v>
      </c>
      <c r="FS653" s="27" t="s">
        <v>8</v>
      </c>
      <c r="GF653" s="27" t="s">
        <v>7</v>
      </c>
      <c r="GG653" s="27" t="s">
        <v>8</v>
      </c>
      <c r="GJ653" s="27" t="s">
        <v>7</v>
      </c>
      <c r="GK653" s="27" t="s">
        <v>8</v>
      </c>
      <c r="GT653" s="27" t="s">
        <v>7</v>
      </c>
      <c r="GU653" s="27" t="s">
        <v>8</v>
      </c>
      <c r="GV653" s="27" t="s">
        <v>7</v>
      </c>
      <c r="GW653" s="27" t="s">
        <v>8</v>
      </c>
      <c r="HO653" s="27" t="s">
        <v>8</v>
      </c>
      <c r="HP653" s="27" t="s">
        <v>7</v>
      </c>
      <c r="HQ653" s="27" t="s">
        <v>8</v>
      </c>
      <c r="HR653" s="27" t="s">
        <v>7</v>
      </c>
      <c r="HS653" s="27" t="s">
        <v>8</v>
      </c>
      <c r="HX653" s="27" t="s">
        <v>7</v>
      </c>
      <c r="HY653" s="27" t="s">
        <v>8</v>
      </c>
      <c r="HZ653" s="27" t="s">
        <v>7</v>
      </c>
      <c r="ID653" s="27" t="s">
        <v>7</v>
      </c>
      <c r="IQ653" s="27" t="s">
        <v>8</v>
      </c>
      <c r="IU653" s="27" t="s">
        <v>8</v>
      </c>
      <c r="IY653" s="27" t="s">
        <v>8</v>
      </c>
      <c r="IZ653" s="27" t="s">
        <v>7</v>
      </c>
      <c r="JA653" s="27" t="s">
        <v>8</v>
      </c>
      <c r="JB653" s="27" t="s">
        <v>7</v>
      </c>
      <c r="JC653" s="27" t="s">
        <v>8</v>
      </c>
      <c r="JD653" s="27" t="s">
        <v>7</v>
      </c>
      <c r="JE653" s="27" t="s">
        <v>8</v>
      </c>
      <c r="JG653" s="27" t="s">
        <v>8</v>
      </c>
      <c r="JH653" s="27" t="s">
        <v>7</v>
      </c>
      <c r="JI653" s="27" t="s">
        <v>8</v>
      </c>
      <c r="JK653" s="27" t="s">
        <v>8</v>
      </c>
    </row>
    <row r="654" spans="1:272" x14ac:dyDescent="0.25">
      <c r="A654" s="7">
        <v>0.26533130432696184</v>
      </c>
      <c r="B654"/>
      <c r="C654"/>
      <c r="D654"/>
      <c r="E654"/>
      <c r="F654" s="27" t="s">
        <v>7</v>
      </c>
      <c r="FK654" s="27" t="s">
        <v>8</v>
      </c>
      <c r="FL654" s="27" t="s">
        <v>7</v>
      </c>
      <c r="FM654" s="27" t="s">
        <v>8</v>
      </c>
      <c r="FP654" s="27" t="s">
        <v>7</v>
      </c>
      <c r="FQ654" s="27" t="s">
        <v>8</v>
      </c>
      <c r="FR654" s="27" t="s">
        <v>7</v>
      </c>
      <c r="FS654" s="27" t="s">
        <v>8</v>
      </c>
      <c r="GF654" s="27" t="s">
        <v>7</v>
      </c>
      <c r="GG654" s="27" t="s">
        <v>8</v>
      </c>
      <c r="GJ654" s="27" t="s">
        <v>7</v>
      </c>
      <c r="GK654" s="27" t="s">
        <v>8</v>
      </c>
      <c r="GT654" s="27" t="s">
        <v>7</v>
      </c>
      <c r="GU654" s="27" t="s">
        <v>8</v>
      </c>
      <c r="GV654" s="27" t="s">
        <v>7</v>
      </c>
      <c r="GW654" s="27" t="s">
        <v>8</v>
      </c>
      <c r="GX654" s="27" t="s">
        <v>7</v>
      </c>
      <c r="HO654" s="27" t="s">
        <v>8</v>
      </c>
      <c r="HP654" s="27" t="s">
        <v>7</v>
      </c>
      <c r="HQ654" s="27" t="s">
        <v>8</v>
      </c>
      <c r="HR654" s="27" t="s">
        <v>7</v>
      </c>
      <c r="HX654" s="27" t="s">
        <v>7</v>
      </c>
      <c r="ID654" s="27" t="s">
        <v>7</v>
      </c>
      <c r="IQ654" s="27" t="s">
        <v>8</v>
      </c>
      <c r="IR654" s="27" t="s">
        <v>7</v>
      </c>
      <c r="IU654" s="27" t="s">
        <v>8</v>
      </c>
      <c r="IV654" s="27" t="s">
        <v>7</v>
      </c>
      <c r="IY654" s="27" t="s">
        <v>8</v>
      </c>
      <c r="IZ654" s="27" t="s">
        <v>7</v>
      </c>
      <c r="JA654" s="27" t="s">
        <v>8</v>
      </c>
      <c r="JB654" s="27" t="s">
        <v>7</v>
      </c>
      <c r="JC654" s="27" t="s">
        <v>8</v>
      </c>
      <c r="JD654" s="27" t="s">
        <v>7</v>
      </c>
      <c r="JE654" s="27" t="s">
        <v>8</v>
      </c>
      <c r="JF654" s="27" t="s">
        <v>7</v>
      </c>
      <c r="JG654" s="27" t="s">
        <v>8</v>
      </c>
      <c r="JH654" s="27" t="s">
        <v>7</v>
      </c>
      <c r="JI654" s="27" t="s">
        <v>8</v>
      </c>
      <c r="JJ654" s="27" t="s">
        <v>7</v>
      </c>
      <c r="JK654" s="27" t="s">
        <v>8</v>
      </c>
      <c r="JL654" s="27" t="s">
        <v>7</v>
      </c>
    </row>
    <row r="655" spans="1:272" x14ac:dyDescent="0.25">
      <c r="A655" s="7">
        <v>0.26012872973231554</v>
      </c>
      <c r="B655"/>
      <c r="C655"/>
      <c r="D655"/>
      <c r="E655"/>
      <c r="F655" s="27" t="s">
        <v>7</v>
      </c>
      <c r="FK655" s="27" t="s">
        <v>8</v>
      </c>
      <c r="FL655" s="27" t="s">
        <v>7</v>
      </c>
      <c r="FM655" s="27" t="s">
        <v>8</v>
      </c>
      <c r="FP655" s="27" t="s">
        <v>7</v>
      </c>
      <c r="FQ655" s="27" t="s">
        <v>8</v>
      </c>
      <c r="FR655" s="27" t="s">
        <v>7</v>
      </c>
      <c r="FS655" s="27" t="s">
        <v>8</v>
      </c>
      <c r="GF655" s="27" t="s">
        <v>7</v>
      </c>
      <c r="GG655" s="27" t="s">
        <v>8</v>
      </c>
      <c r="GJ655" s="27" t="s">
        <v>7</v>
      </c>
      <c r="GK655" s="27" t="s">
        <v>8</v>
      </c>
      <c r="GT655" s="27" t="s">
        <v>7</v>
      </c>
      <c r="GU655" s="27" t="s">
        <v>8</v>
      </c>
      <c r="GV655" s="27" t="s">
        <v>7</v>
      </c>
      <c r="GW655" s="27" t="s">
        <v>8</v>
      </c>
      <c r="GX655" s="27" t="s">
        <v>7</v>
      </c>
      <c r="GY655" s="27" t="s">
        <v>8</v>
      </c>
      <c r="HO655" s="27" t="s">
        <v>8</v>
      </c>
      <c r="HP655" s="27" t="s">
        <v>7</v>
      </c>
      <c r="HQ655" s="27" t="s">
        <v>8</v>
      </c>
      <c r="ID655" s="27" t="s">
        <v>7</v>
      </c>
      <c r="IE655" s="27" t="s">
        <v>8</v>
      </c>
      <c r="IQ655" s="27" t="s">
        <v>8</v>
      </c>
      <c r="IR655" s="27" t="s">
        <v>7</v>
      </c>
      <c r="IU655" s="27" t="s">
        <v>8</v>
      </c>
      <c r="IV655" s="27" t="s">
        <v>7</v>
      </c>
      <c r="IW655" s="27" t="s">
        <v>8</v>
      </c>
      <c r="IY655" s="27" t="s">
        <v>8</v>
      </c>
      <c r="IZ655" s="27" t="s">
        <v>7</v>
      </c>
      <c r="JA655" s="27" t="s">
        <v>8</v>
      </c>
      <c r="JB655" s="27" t="s">
        <v>7</v>
      </c>
      <c r="JC655" s="27" t="s">
        <v>8</v>
      </c>
      <c r="JD655" s="27" t="s">
        <v>7</v>
      </c>
      <c r="JE655" s="27" t="s">
        <v>8</v>
      </c>
      <c r="JF655" s="27" t="s">
        <v>7</v>
      </c>
      <c r="JG655" s="27" t="s">
        <v>8</v>
      </c>
      <c r="JH655" s="27" t="s">
        <v>7</v>
      </c>
      <c r="JI655" s="27" t="s">
        <v>8</v>
      </c>
      <c r="JJ655" s="27" t="s">
        <v>7</v>
      </c>
      <c r="JK655" s="27" t="s">
        <v>8</v>
      </c>
      <c r="JL655" s="27" t="s">
        <v>7</v>
      </c>
    </row>
    <row r="656" spans="1:272" x14ac:dyDescent="0.25">
      <c r="A656" s="7">
        <v>0.25502816640423093</v>
      </c>
      <c r="B656"/>
      <c r="C656"/>
      <c r="D656"/>
      <c r="E656"/>
      <c r="F656" s="27" t="s">
        <v>7</v>
      </c>
      <c r="FK656" s="27" t="s">
        <v>8</v>
      </c>
      <c r="FL656" s="27" t="s">
        <v>7</v>
      </c>
      <c r="FM656" s="27" t="s">
        <v>8</v>
      </c>
      <c r="FP656" s="27" t="s">
        <v>7</v>
      </c>
      <c r="FQ656" s="27" t="s">
        <v>8</v>
      </c>
      <c r="FR656" s="27" t="s">
        <v>7</v>
      </c>
      <c r="FS656" s="27" t="s">
        <v>8</v>
      </c>
      <c r="GF656" s="27" t="s">
        <v>7</v>
      </c>
      <c r="GG656" s="27" t="s">
        <v>8</v>
      </c>
      <c r="GJ656" s="27" t="s">
        <v>7</v>
      </c>
      <c r="GK656" s="27" t="s">
        <v>8</v>
      </c>
      <c r="GT656" s="27" t="s">
        <v>7</v>
      </c>
      <c r="GU656" s="27" t="s">
        <v>8</v>
      </c>
      <c r="GV656" s="27" t="s">
        <v>7</v>
      </c>
      <c r="GW656" s="27" t="s">
        <v>8</v>
      </c>
      <c r="GX656" s="27" t="s">
        <v>7</v>
      </c>
      <c r="GY656" s="27" t="s">
        <v>8</v>
      </c>
      <c r="GZ656" s="27" t="s">
        <v>7</v>
      </c>
      <c r="HO656" s="27" t="s">
        <v>8</v>
      </c>
      <c r="HP656" s="27" t="s">
        <v>7</v>
      </c>
      <c r="HQ656" s="27" t="s">
        <v>8</v>
      </c>
      <c r="ID656" s="27" t="s">
        <v>7</v>
      </c>
      <c r="IE656" s="27" t="s">
        <v>8</v>
      </c>
      <c r="IF656" s="27" t="s">
        <v>7</v>
      </c>
      <c r="IG656" s="27" t="s">
        <v>8</v>
      </c>
      <c r="II656" s="27" t="s">
        <v>8</v>
      </c>
      <c r="IQ656" s="27" t="s">
        <v>8</v>
      </c>
      <c r="IR656" s="27" t="s">
        <v>7</v>
      </c>
      <c r="IU656" s="27" t="s">
        <v>8</v>
      </c>
      <c r="IV656" s="27" t="s">
        <v>7</v>
      </c>
      <c r="IW656" s="27" t="s">
        <v>8</v>
      </c>
      <c r="IX656" s="27" t="s">
        <v>7</v>
      </c>
      <c r="IY656" s="27" t="s">
        <v>8</v>
      </c>
      <c r="IZ656" s="27" t="s">
        <v>7</v>
      </c>
      <c r="JA656" s="27" t="s">
        <v>8</v>
      </c>
      <c r="JB656" s="27" t="s">
        <v>7</v>
      </c>
      <c r="JD656" s="27" t="s">
        <v>7</v>
      </c>
      <c r="JF656" s="27" t="s">
        <v>7</v>
      </c>
      <c r="JG656" s="27" t="s">
        <v>8</v>
      </c>
      <c r="JH656" s="27" t="s">
        <v>7</v>
      </c>
      <c r="JI656" s="27" t="s">
        <v>8</v>
      </c>
      <c r="JJ656" s="27" t="s">
        <v>7</v>
      </c>
      <c r="JK656" s="27" t="s">
        <v>8</v>
      </c>
      <c r="JL656" s="27" t="s">
        <v>7</v>
      </c>
    </row>
    <row r="657" spans="1:302" x14ac:dyDescent="0.25">
      <c r="A657" s="7">
        <v>0.25002761412179503</v>
      </c>
      <c r="B657"/>
      <c r="C657"/>
      <c r="D657"/>
      <c r="E657"/>
      <c r="F657" s="27" t="s">
        <v>7</v>
      </c>
      <c r="FK657" s="27" t="s">
        <v>8</v>
      </c>
      <c r="FL657" s="27" t="s">
        <v>7</v>
      </c>
      <c r="FM657" s="27" t="s">
        <v>8</v>
      </c>
      <c r="FP657" s="27" t="s">
        <v>7</v>
      </c>
      <c r="FQ657" s="27" t="s">
        <v>8</v>
      </c>
      <c r="FR657" s="27" t="s">
        <v>7</v>
      </c>
      <c r="FS657" s="27" t="s">
        <v>8</v>
      </c>
      <c r="GF657" s="27" t="s">
        <v>7</v>
      </c>
      <c r="GG657" s="27" t="s">
        <v>8</v>
      </c>
      <c r="GJ657" s="27" t="s">
        <v>7</v>
      </c>
      <c r="GT657" s="27" t="s">
        <v>7</v>
      </c>
      <c r="GU657" s="27" t="s">
        <v>8</v>
      </c>
      <c r="GV657" s="27" t="s">
        <v>7</v>
      </c>
      <c r="GW657" s="27" t="s">
        <v>8</v>
      </c>
      <c r="GX657" s="27" t="s">
        <v>7</v>
      </c>
      <c r="GY657" s="27" t="s">
        <v>8</v>
      </c>
      <c r="GZ657" s="27" t="s">
        <v>7</v>
      </c>
      <c r="HO657" s="27" t="s">
        <v>8</v>
      </c>
      <c r="HP657" s="27" t="s">
        <v>7</v>
      </c>
      <c r="HQ657" s="27" t="s">
        <v>8</v>
      </c>
      <c r="ID657" s="27" t="s">
        <v>7</v>
      </c>
      <c r="IE657" s="27" t="s">
        <v>8</v>
      </c>
      <c r="IF657" s="27" t="s">
        <v>7</v>
      </c>
      <c r="IG657" s="27" t="s">
        <v>8</v>
      </c>
      <c r="IH657" s="27" t="s">
        <v>7</v>
      </c>
      <c r="II657" s="27" t="s">
        <v>8</v>
      </c>
      <c r="IJ657" s="27" t="s">
        <v>7</v>
      </c>
      <c r="IQ657" s="27" t="s">
        <v>8</v>
      </c>
      <c r="IR657" s="27" t="s">
        <v>7</v>
      </c>
      <c r="IU657" s="27" t="s">
        <v>8</v>
      </c>
      <c r="IV657" s="27" t="s">
        <v>7</v>
      </c>
      <c r="IW657" s="27" t="s">
        <v>8</v>
      </c>
      <c r="IX657" s="27" t="s">
        <v>7</v>
      </c>
      <c r="IY657" s="27" t="s">
        <v>8</v>
      </c>
      <c r="IZ657" s="27" t="s">
        <v>7</v>
      </c>
      <c r="JA657" s="27" t="s">
        <v>8</v>
      </c>
      <c r="JF657" s="27" t="s">
        <v>7</v>
      </c>
      <c r="JH657" s="27" t="s">
        <v>7</v>
      </c>
      <c r="JI657" s="27" t="s">
        <v>8</v>
      </c>
      <c r="JJ657" s="27" t="s">
        <v>7</v>
      </c>
      <c r="JL657" s="27" t="s">
        <v>7</v>
      </c>
    </row>
    <row r="658" spans="1:302" x14ac:dyDescent="0.25">
      <c r="A658" s="7">
        <v>0.24512511188411276</v>
      </c>
      <c r="B658"/>
      <c r="C658"/>
      <c r="D658"/>
      <c r="E658"/>
      <c r="F658" s="27" t="s">
        <v>7</v>
      </c>
      <c r="FK658" s="27" t="s">
        <v>8</v>
      </c>
      <c r="FL658" s="27" t="s">
        <v>7</v>
      </c>
      <c r="FM658" s="27" t="s">
        <v>8</v>
      </c>
      <c r="FP658" s="27" t="s">
        <v>7</v>
      </c>
      <c r="FQ658" s="27" t="s">
        <v>8</v>
      </c>
      <c r="FR658" s="27" t="s">
        <v>7</v>
      </c>
      <c r="FS658" s="27" t="s">
        <v>8</v>
      </c>
      <c r="GF658" s="27" t="s">
        <v>7</v>
      </c>
      <c r="GG658" s="27" t="s">
        <v>8</v>
      </c>
      <c r="GT658" s="27" t="s">
        <v>7</v>
      </c>
      <c r="GU658" s="27" t="s">
        <v>8</v>
      </c>
      <c r="GV658" s="27" t="s">
        <v>7</v>
      </c>
      <c r="GW658" s="27" t="s">
        <v>8</v>
      </c>
      <c r="GX658" s="27" t="s">
        <v>7</v>
      </c>
      <c r="GY658" s="27" t="s">
        <v>8</v>
      </c>
      <c r="GZ658" s="27" t="s">
        <v>7</v>
      </c>
      <c r="HO658" s="27" t="s">
        <v>8</v>
      </c>
      <c r="HP658" s="27" t="s">
        <v>7</v>
      </c>
      <c r="HQ658" s="27" t="s">
        <v>8</v>
      </c>
      <c r="ID658" s="27" t="s">
        <v>7</v>
      </c>
      <c r="IE658" s="27" t="s">
        <v>8</v>
      </c>
      <c r="IF658" s="27" t="s">
        <v>7</v>
      </c>
      <c r="IG658" s="27" t="s">
        <v>8</v>
      </c>
      <c r="IH658" s="27" t="s">
        <v>7</v>
      </c>
      <c r="II658" s="27" t="s">
        <v>8</v>
      </c>
      <c r="IJ658" s="27" t="s">
        <v>7</v>
      </c>
      <c r="IQ658" s="27" t="s">
        <v>8</v>
      </c>
      <c r="IR658" s="27" t="s">
        <v>7</v>
      </c>
      <c r="IS658" s="27" t="s">
        <v>8</v>
      </c>
      <c r="IU658" s="27" t="s">
        <v>8</v>
      </c>
      <c r="IV658" s="27" t="s">
        <v>7</v>
      </c>
      <c r="IW658" s="27" t="s">
        <v>8</v>
      </c>
      <c r="IX658" s="27" t="s">
        <v>7</v>
      </c>
      <c r="IY658" s="27" t="s">
        <v>8</v>
      </c>
      <c r="IZ658" s="27" t="s">
        <v>7</v>
      </c>
      <c r="JA658" s="27" t="s">
        <v>8</v>
      </c>
      <c r="JH658" s="27" t="s">
        <v>7</v>
      </c>
      <c r="JI658" s="27" t="s">
        <v>8</v>
      </c>
      <c r="JL658" s="27" t="s">
        <v>7</v>
      </c>
    </row>
    <row r="659" spans="1:302" x14ac:dyDescent="0.25">
      <c r="A659" s="7">
        <v>0.24031873714128701</v>
      </c>
      <c r="B659"/>
      <c r="C659"/>
      <c r="D659"/>
      <c r="E659"/>
      <c r="F659" s="27" t="s">
        <v>7</v>
      </c>
      <c r="FK659" s="27" t="s">
        <v>8</v>
      </c>
      <c r="FL659" s="27" t="s">
        <v>7</v>
      </c>
      <c r="FM659" s="27" t="s">
        <v>8</v>
      </c>
      <c r="FP659" s="27" t="s">
        <v>7</v>
      </c>
      <c r="FQ659" s="27" t="s">
        <v>8</v>
      </c>
      <c r="FR659" s="27" t="s">
        <v>7</v>
      </c>
      <c r="FS659" s="27" t="s">
        <v>8</v>
      </c>
      <c r="GF659" s="27" t="s">
        <v>7</v>
      </c>
      <c r="GG659" s="27" t="s">
        <v>8</v>
      </c>
      <c r="GT659" s="27" t="s">
        <v>7</v>
      </c>
      <c r="GU659" s="27" t="s">
        <v>8</v>
      </c>
      <c r="GV659" s="27" t="s">
        <v>7</v>
      </c>
      <c r="GW659" s="27" t="s">
        <v>8</v>
      </c>
      <c r="GX659" s="27" t="s">
        <v>7</v>
      </c>
      <c r="GZ659" s="27" t="s">
        <v>7</v>
      </c>
      <c r="HA659" s="27" t="s">
        <v>8</v>
      </c>
      <c r="HO659" s="27" t="s">
        <v>8</v>
      </c>
      <c r="HP659" s="27" t="s">
        <v>7</v>
      </c>
      <c r="HQ659" s="27" t="s">
        <v>8</v>
      </c>
      <c r="ID659" s="27" t="s">
        <v>7</v>
      </c>
      <c r="IE659" s="27" t="s">
        <v>8</v>
      </c>
      <c r="IF659" s="27" t="s">
        <v>7</v>
      </c>
      <c r="IG659" s="27" t="s">
        <v>8</v>
      </c>
      <c r="IH659" s="27" t="s">
        <v>7</v>
      </c>
      <c r="II659" s="27" t="s">
        <v>8</v>
      </c>
      <c r="IJ659" s="27" t="s">
        <v>7</v>
      </c>
      <c r="IQ659" s="27" t="s">
        <v>8</v>
      </c>
      <c r="IR659" s="27" t="s">
        <v>7</v>
      </c>
      <c r="IS659" s="27" t="s">
        <v>8</v>
      </c>
      <c r="IT659" s="27" t="s">
        <v>7</v>
      </c>
      <c r="IU659" s="27" t="s">
        <v>8</v>
      </c>
      <c r="IV659" s="27" t="s">
        <v>7</v>
      </c>
      <c r="IX659" s="27" t="s">
        <v>7</v>
      </c>
      <c r="IY659" s="27" t="s">
        <v>8</v>
      </c>
      <c r="IZ659" s="27" t="s">
        <v>7</v>
      </c>
      <c r="JA659" s="27" t="s">
        <v>8</v>
      </c>
      <c r="JH659" s="27" t="s">
        <v>7</v>
      </c>
      <c r="JI659" s="27" t="s">
        <v>8</v>
      </c>
      <c r="JL659" s="27" t="s">
        <v>7</v>
      </c>
      <c r="JM659" s="27" t="s">
        <v>8</v>
      </c>
    </row>
    <row r="660" spans="1:302" x14ac:dyDescent="0.25">
      <c r="A660" s="7">
        <v>0.23560660504047748</v>
      </c>
      <c r="B660"/>
      <c r="C660"/>
      <c r="D660"/>
      <c r="E660"/>
      <c r="F660" s="27" t="s">
        <v>7</v>
      </c>
      <c r="FK660" s="27" t="s">
        <v>8</v>
      </c>
      <c r="FL660" s="27" t="s">
        <v>7</v>
      </c>
      <c r="FP660" s="27" t="s">
        <v>7</v>
      </c>
      <c r="FQ660" s="27" t="s">
        <v>8</v>
      </c>
      <c r="FR660" s="27" t="s">
        <v>7</v>
      </c>
      <c r="FS660" s="27" t="s">
        <v>8</v>
      </c>
      <c r="GF660" s="27" t="s">
        <v>7</v>
      </c>
      <c r="GG660" s="27" t="s">
        <v>8</v>
      </c>
      <c r="GT660" s="27" t="s">
        <v>7</v>
      </c>
      <c r="GU660" s="27" t="s">
        <v>8</v>
      </c>
      <c r="GV660" s="27" t="s">
        <v>7</v>
      </c>
      <c r="GW660" s="27" t="s">
        <v>8</v>
      </c>
      <c r="GZ660" s="27" t="s">
        <v>7</v>
      </c>
      <c r="HA660" s="27" t="s">
        <v>8</v>
      </c>
      <c r="HB660" s="27" t="s">
        <v>7</v>
      </c>
      <c r="HO660" s="27" t="s">
        <v>8</v>
      </c>
      <c r="HP660" s="27" t="s">
        <v>7</v>
      </c>
      <c r="HQ660" s="27" t="s">
        <v>8</v>
      </c>
      <c r="ID660" s="27" t="s">
        <v>7</v>
      </c>
      <c r="IE660" s="27" t="s">
        <v>8</v>
      </c>
      <c r="IF660" s="27" t="s">
        <v>7</v>
      </c>
      <c r="IH660" s="27" t="s">
        <v>7</v>
      </c>
      <c r="II660" s="27" t="s">
        <v>8</v>
      </c>
      <c r="IJ660" s="27" t="s">
        <v>7</v>
      </c>
      <c r="IQ660" s="27" t="s">
        <v>8</v>
      </c>
      <c r="IR660" s="27" t="s">
        <v>7</v>
      </c>
      <c r="IS660" s="27" t="s">
        <v>8</v>
      </c>
      <c r="IT660" s="27" t="s">
        <v>7</v>
      </c>
      <c r="IU660" s="27" t="s">
        <v>8</v>
      </c>
      <c r="IX660" s="27" t="s">
        <v>7</v>
      </c>
      <c r="IZ660" s="27" t="s">
        <v>7</v>
      </c>
      <c r="JA660" s="27" t="s">
        <v>8</v>
      </c>
      <c r="JH660" s="27" t="s">
        <v>7</v>
      </c>
      <c r="JL660" s="27" t="s">
        <v>7</v>
      </c>
      <c r="JM660" s="27" t="s">
        <v>8</v>
      </c>
      <c r="JN660" s="27" t="s">
        <v>7</v>
      </c>
      <c r="JO660" s="27" t="s">
        <v>8</v>
      </c>
    </row>
    <row r="661" spans="1:302" x14ac:dyDescent="0.25">
      <c r="A661" s="7">
        <v>0.23098686768674265</v>
      </c>
      <c r="B661"/>
      <c r="C661"/>
      <c r="D661"/>
      <c r="E661"/>
      <c r="F661" s="27" t="s">
        <v>7</v>
      </c>
      <c r="FK661" s="27" t="s">
        <v>8</v>
      </c>
      <c r="FP661" s="27" t="s">
        <v>7</v>
      </c>
      <c r="FQ661" s="27" t="s">
        <v>8</v>
      </c>
      <c r="FR661" s="27" t="s">
        <v>7</v>
      </c>
      <c r="FS661" s="27" t="s">
        <v>8</v>
      </c>
      <c r="GF661" s="27" t="s">
        <v>7</v>
      </c>
      <c r="GG661" s="27" t="s">
        <v>8</v>
      </c>
      <c r="GT661" s="27" t="s">
        <v>7</v>
      </c>
      <c r="GU661" s="27" t="s">
        <v>8</v>
      </c>
      <c r="GV661" s="27" t="s">
        <v>7</v>
      </c>
      <c r="GZ661" s="27" t="s">
        <v>7</v>
      </c>
      <c r="HA661" s="27" t="s">
        <v>8</v>
      </c>
      <c r="HB661" s="27" t="s">
        <v>7</v>
      </c>
      <c r="HI661" s="27" t="s">
        <v>8</v>
      </c>
      <c r="HO661" s="27" t="s">
        <v>8</v>
      </c>
      <c r="HP661" s="27" t="s">
        <v>7</v>
      </c>
      <c r="ID661" s="27" t="s">
        <v>7</v>
      </c>
      <c r="IE661" s="27" t="s">
        <v>8</v>
      </c>
      <c r="IH661" s="27" t="s">
        <v>7</v>
      </c>
      <c r="IJ661" s="27" t="s">
        <v>7</v>
      </c>
      <c r="IQ661" s="27" t="s">
        <v>8</v>
      </c>
      <c r="IR661" s="27" t="s">
        <v>7</v>
      </c>
      <c r="IS661" s="27" t="s">
        <v>8</v>
      </c>
      <c r="IT661" s="27" t="s">
        <v>7</v>
      </c>
      <c r="IU661" s="27" t="s">
        <v>8</v>
      </c>
      <c r="IZ661" s="27" t="s">
        <v>7</v>
      </c>
      <c r="JA661" s="27" t="s">
        <v>8</v>
      </c>
      <c r="JL661" s="27" t="s">
        <v>7</v>
      </c>
      <c r="JM661" s="27" t="s">
        <v>8</v>
      </c>
      <c r="JN661" s="27" t="s">
        <v>7</v>
      </c>
      <c r="JO661" s="27" t="s">
        <v>8</v>
      </c>
      <c r="JP661" s="27" t="s">
        <v>7</v>
      </c>
    </row>
    <row r="662" spans="1:302" x14ac:dyDescent="0.25">
      <c r="A662" s="7">
        <v>0.22645771341837515</v>
      </c>
      <c r="B662"/>
      <c r="C662"/>
      <c r="D662"/>
      <c r="E662"/>
      <c r="F662" s="27" t="s">
        <v>7</v>
      </c>
      <c r="FK662" s="27" t="s">
        <v>8</v>
      </c>
      <c r="FP662" s="27" t="s">
        <v>7</v>
      </c>
      <c r="FQ662" s="27" t="s">
        <v>8</v>
      </c>
      <c r="FR662" s="27" t="s">
        <v>7</v>
      </c>
      <c r="GF662" s="27" t="s">
        <v>7</v>
      </c>
      <c r="GG662" s="27" t="s">
        <v>8</v>
      </c>
      <c r="GT662" s="27" t="s">
        <v>7</v>
      </c>
      <c r="GU662" s="27" t="s">
        <v>8</v>
      </c>
      <c r="GZ662" s="27" t="s">
        <v>7</v>
      </c>
      <c r="HB662" s="27" t="s">
        <v>7</v>
      </c>
      <c r="HC662" s="27" t="s">
        <v>8</v>
      </c>
      <c r="HI662" s="27" t="s">
        <v>8</v>
      </c>
      <c r="HJ662" s="27" t="s">
        <v>7</v>
      </c>
      <c r="HO662" s="27" t="s">
        <v>8</v>
      </c>
      <c r="ID662" s="27" t="s">
        <v>7</v>
      </c>
      <c r="IE662" s="27" t="s">
        <v>8</v>
      </c>
      <c r="IJ662" s="27" t="s">
        <v>7</v>
      </c>
      <c r="IK662" s="27" t="s">
        <v>8</v>
      </c>
      <c r="IQ662" s="27" t="s">
        <v>8</v>
      </c>
      <c r="IR662" s="27" t="s">
        <v>7</v>
      </c>
      <c r="IS662" s="27" t="s">
        <v>8</v>
      </c>
      <c r="IT662" s="27" t="s">
        <v>7</v>
      </c>
      <c r="IZ662" s="27" t="s">
        <v>7</v>
      </c>
      <c r="JA662" s="27" t="s">
        <v>8</v>
      </c>
      <c r="JL662" s="27" t="s">
        <v>7</v>
      </c>
      <c r="JN662" s="27" t="s">
        <v>7</v>
      </c>
      <c r="JO662" s="27" t="s">
        <v>8</v>
      </c>
      <c r="JP662" s="27" t="s">
        <v>7</v>
      </c>
      <c r="JQ662" s="27" t="s">
        <v>8</v>
      </c>
      <c r="JU662" s="27" t="s">
        <v>8</v>
      </c>
    </row>
    <row r="663" spans="1:302" x14ac:dyDescent="0.25">
      <c r="A663" s="7">
        <v>0.22201736609644623</v>
      </c>
      <c r="B663"/>
      <c r="C663"/>
      <c r="D663"/>
      <c r="E663"/>
      <c r="F663" s="27" t="s">
        <v>7</v>
      </c>
      <c r="FK663" s="27" t="s">
        <v>8</v>
      </c>
      <c r="FP663" s="27" t="s">
        <v>7</v>
      </c>
      <c r="FQ663" s="27" t="s">
        <v>8</v>
      </c>
      <c r="GF663" s="27" t="s">
        <v>7</v>
      </c>
      <c r="GG663" s="27" t="s">
        <v>8</v>
      </c>
      <c r="GT663" s="27" t="s">
        <v>7</v>
      </c>
      <c r="GU663" s="27" t="s">
        <v>8</v>
      </c>
      <c r="HB663" s="27" t="s">
        <v>7</v>
      </c>
      <c r="HC663" s="27" t="s">
        <v>8</v>
      </c>
      <c r="HD663" s="27" t="s">
        <v>7</v>
      </c>
      <c r="HI663" s="27" t="s">
        <v>8</v>
      </c>
      <c r="HJ663" s="27" t="s">
        <v>7</v>
      </c>
      <c r="HO663" s="27" t="s">
        <v>8</v>
      </c>
      <c r="ID663" s="27" t="s">
        <v>7</v>
      </c>
      <c r="IE663" s="27" t="s">
        <v>8</v>
      </c>
      <c r="IJ663" s="27" t="s">
        <v>7</v>
      </c>
      <c r="IK663" s="27" t="s">
        <v>8</v>
      </c>
      <c r="IL663" s="27" t="s">
        <v>7</v>
      </c>
      <c r="IQ663" s="27" t="s">
        <v>8</v>
      </c>
      <c r="IR663" s="27" t="s">
        <v>7</v>
      </c>
      <c r="IS663" s="27" t="s">
        <v>8</v>
      </c>
      <c r="IZ663" s="27" t="s">
        <v>7</v>
      </c>
      <c r="JA663" s="27" t="s">
        <v>8</v>
      </c>
      <c r="JN663" s="27" t="s">
        <v>7</v>
      </c>
      <c r="JO663" s="27" t="s">
        <v>8</v>
      </c>
      <c r="JP663" s="27" t="s">
        <v>7</v>
      </c>
      <c r="JQ663" s="27" t="s">
        <v>8</v>
      </c>
      <c r="JR663" s="27" t="s">
        <v>7</v>
      </c>
      <c r="JU663" s="27" t="s">
        <v>8</v>
      </c>
      <c r="JV663" s="27" t="s">
        <v>7</v>
      </c>
    </row>
    <row r="664" spans="1:302" x14ac:dyDescent="0.25">
      <c r="A664" s="7">
        <v>0.21766408440828061</v>
      </c>
      <c r="B664"/>
      <c r="C664"/>
      <c r="D664"/>
      <c r="E664"/>
      <c r="F664" s="27" t="s">
        <v>7</v>
      </c>
      <c r="FK664" s="27" t="s">
        <v>8</v>
      </c>
      <c r="FP664" s="27" t="s">
        <v>7</v>
      </c>
      <c r="FQ664" s="27" t="s">
        <v>8</v>
      </c>
      <c r="GF664" s="27" t="s">
        <v>7</v>
      </c>
      <c r="GG664" s="27" t="s">
        <v>8</v>
      </c>
      <c r="GT664" s="27" t="s">
        <v>7</v>
      </c>
      <c r="GU664" s="27" t="s">
        <v>8</v>
      </c>
      <c r="HB664" s="27" t="s">
        <v>7</v>
      </c>
      <c r="HC664" s="27" t="s">
        <v>8</v>
      </c>
      <c r="HD664" s="27" t="s">
        <v>7</v>
      </c>
      <c r="HI664" s="27" t="s">
        <v>8</v>
      </c>
      <c r="HJ664" s="27" t="s">
        <v>7</v>
      </c>
      <c r="HM664" s="27" t="s">
        <v>8</v>
      </c>
      <c r="HO664" s="27" t="s">
        <v>8</v>
      </c>
      <c r="ID664" s="27" t="s">
        <v>7</v>
      </c>
      <c r="IJ664" s="27" t="s">
        <v>7</v>
      </c>
      <c r="IK664" s="27" t="s">
        <v>8</v>
      </c>
      <c r="IL664" s="27" t="s">
        <v>7</v>
      </c>
      <c r="IQ664" s="27" t="s">
        <v>8</v>
      </c>
      <c r="IR664" s="27" t="s">
        <v>7</v>
      </c>
      <c r="IZ664" s="27" t="s">
        <v>7</v>
      </c>
      <c r="JN664" s="27" t="s">
        <v>7</v>
      </c>
      <c r="JP664" s="27" t="s">
        <v>7</v>
      </c>
      <c r="JQ664" s="27" t="s">
        <v>8</v>
      </c>
      <c r="JR664" s="27" t="s">
        <v>7</v>
      </c>
      <c r="JU664" s="27" t="s">
        <v>8</v>
      </c>
      <c r="JV664" s="27" t="s">
        <v>7</v>
      </c>
      <c r="KC664" s="27" t="s">
        <v>8</v>
      </c>
    </row>
    <row r="665" spans="1:302" x14ac:dyDescent="0.25">
      <c r="A665" s="7">
        <v>0.21339616118458882</v>
      </c>
      <c r="B665"/>
      <c r="C665"/>
      <c r="D665"/>
      <c r="E665"/>
      <c r="F665" s="27" t="s">
        <v>7</v>
      </c>
      <c r="FK665" s="27" t="s">
        <v>8</v>
      </c>
      <c r="FP665" s="27" t="s">
        <v>7</v>
      </c>
      <c r="FQ665" s="27" t="s">
        <v>8</v>
      </c>
      <c r="GF665" s="27" t="s">
        <v>7</v>
      </c>
      <c r="GT665" s="27" t="s">
        <v>7</v>
      </c>
      <c r="GU665" s="27" t="s">
        <v>8</v>
      </c>
      <c r="HB665" s="27" t="s">
        <v>7</v>
      </c>
      <c r="HC665" s="27" t="s">
        <v>8</v>
      </c>
      <c r="HD665" s="27" t="s">
        <v>7</v>
      </c>
      <c r="HG665" s="27" t="s">
        <v>8</v>
      </c>
      <c r="HI665" s="27" t="s">
        <v>8</v>
      </c>
      <c r="HJ665" s="27" t="s">
        <v>7</v>
      </c>
      <c r="HK665" s="27" t="s">
        <v>8</v>
      </c>
      <c r="HM665" s="27" t="s">
        <v>8</v>
      </c>
      <c r="HN665" s="27" t="s">
        <v>7</v>
      </c>
      <c r="HO665" s="27" t="s">
        <v>8</v>
      </c>
      <c r="IJ665" s="27" t="s">
        <v>7</v>
      </c>
      <c r="IK665" s="27" t="s">
        <v>8</v>
      </c>
      <c r="IL665" s="27" t="s">
        <v>7</v>
      </c>
      <c r="IM665" s="27" t="s">
        <v>8</v>
      </c>
      <c r="IQ665" s="27" t="s">
        <v>8</v>
      </c>
      <c r="JP665" s="27" t="s">
        <v>7</v>
      </c>
      <c r="JR665" s="27" t="s">
        <v>7</v>
      </c>
      <c r="JU665" s="27" t="s">
        <v>8</v>
      </c>
      <c r="JV665" s="27" t="s">
        <v>7</v>
      </c>
      <c r="KC665" s="27" t="s">
        <v>8</v>
      </c>
      <c r="KD665" s="27" t="s">
        <v>7</v>
      </c>
      <c r="KO665" s="27" t="s">
        <v>8</v>
      </c>
    </row>
    <row r="666" spans="1:302" x14ac:dyDescent="0.25">
      <c r="A666" s="7">
        <v>0.20921192272998904</v>
      </c>
      <c r="B666"/>
      <c r="C666"/>
      <c r="D666"/>
      <c r="E666"/>
      <c r="F666" s="27" t="s">
        <v>7</v>
      </c>
      <c r="FK666" s="27" t="s">
        <v>8</v>
      </c>
      <c r="FP666" s="27" t="s">
        <v>7</v>
      </c>
      <c r="FQ666" s="27" t="s">
        <v>8</v>
      </c>
      <c r="GT666" s="27" t="s">
        <v>7</v>
      </c>
      <c r="GU666" s="27" t="s">
        <v>8</v>
      </c>
      <c r="HB666" s="27" t="s">
        <v>7</v>
      </c>
      <c r="HC666" s="27" t="s">
        <v>8</v>
      </c>
      <c r="HD666" s="27" t="s">
        <v>7</v>
      </c>
      <c r="HG666" s="27" t="s">
        <v>8</v>
      </c>
      <c r="HH666" s="27" t="s">
        <v>7</v>
      </c>
      <c r="HI666" s="27" t="s">
        <v>8</v>
      </c>
      <c r="HJ666" s="27" t="s">
        <v>7</v>
      </c>
      <c r="HK666" s="27" t="s">
        <v>8</v>
      </c>
      <c r="HL666" s="27" t="s">
        <v>7</v>
      </c>
      <c r="HM666" s="27" t="s">
        <v>8</v>
      </c>
      <c r="HN666" s="27" t="s">
        <v>7</v>
      </c>
      <c r="HO666" s="27" t="s">
        <v>8</v>
      </c>
      <c r="IJ666" s="27" t="s">
        <v>7</v>
      </c>
      <c r="IK666" s="27" t="s">
        <v>8</v>
      </c>
      <c r="IL666" s="27" t="s">
        <v>7</v>
      </c>
      <c r="IM666" s="27" t="s">
        <v>8</v>
      </c>
      <c r="IN666" s="27" t="s">
        <v>7</v>
      </c>
      <c r="IO666" s="27" t="s">
        <v>8</v>
      </c>
      <c r="IQ666" s="27" t="s">
        <v>8</v>
      </c>
      <c r="JR666" s="27" t="s">
        <v>7</v>
      </c>
      <c r="JS666" s="27" t="s">
        <v>8</v>
      </c>
      <c r="JU666" s="27" t="s">
        <v>8</v>
      </c>
      <c r="JV666" s="27" t="s">
        <v>7</v>
      </c>
      <c r="KC666" s="27" t="s">
        <v>8</v>
      </c>
      <c r="KD666" s="27" t="s">
        <v>7</v>
      </c>
      <c r="KO666" s="27" t="s">
        <v>8</v>
      </c>
      <c r="KP666" s="27" t="s">
        <v>7</v>
      </c>
    </row>
    <row r="667" spans="1:302" x14ac:dyDescent="0.25">
      <c r="A667" s="7">
        <v>0.20510972816665593</v>
      </c>
      <c r="B667"/>
      <c r="C667"/>
      <c r="D667"/>
      <c r="E667"/>
      <c r="F667" s="27" t="s">
        <v>7</v>
      </c>
      <c r="FK667" s="27" t="s">
        <v>8</v>
      </c>
      <c r="FP667" s="27" t="s">
        <v>7</v>
      </c>
      <c r="FQ667" s="27" t="s">
        <v>8</v>
      </c>
      <c r="GT667" s="27" t="s">
        <v>7</v>
      </c>
      <c r="GU667" s="27" t="s">
        <v>8</v>
      </c>
      <c r="HB667" s="27" t="s">
        <v>7</v>
      </c>
      <c r="HC667" s="27" t="s">
        <v>8</v>
      </c>
      <c r="HD667" s="27" t="s">
        <v>7</v>
      </c>
      <c r="HE667" s="27" t="s">
        <v>8</v>
      </c>
      <c r="HG667" s="27" t="s">
        <v>8</v>
      </c>
      <c r="HH667" s="27" t="s">
        <v>7</v>
      </c>
      <c r="HI667" s="27" t="s">
        <v>8</v>
      </c>
      <c r="HJ667" s="27" t="s">
        <v>7</v>
      </c>
      <c r="HK667" s="27" t="s">
        <v>8</v>
      </c>
      <c r="HL667" s="27" t="s">
        <v>7</v>
      </c>
      <c r="HM667" s="27" t="s">
        <v>8</v>
      </c>
      <c r="HN667" s="27" t="s">
        <v>7</v>
      </c>
      <c r="HO667" s="27" t="s">
        <v>8</v>
      </c>
      <c r="IJ667" s="27" t="s">
        <v>7</v>
      </c>
      <c r="IK667" s="27" t="s">
        <v>8</v>
      </c>
      <c r="IL667" s="27" t="s">
        <v>7</v>
      </c>
      <c r="IM667" s="27" t="s">
        <v>8</v>
      </c>
      <c r="IN667" s="27" t="s">
        <v>7</v>
      </c>
      <c r="IO667" s="27" t="s">
        <v>8</v>
      </c>
      <c r="IP667" s="27" t="s">
        <v>7</v>
      </c>
      <c r="IQ667" s="27" t="s">
        <v>8</v>
      </c>
      <c r="JR667" s="27" t="s">
        <v>7</v>
      </c>
      <c r="JS667" s="27" t="s">
        <v>8</v>
      </c>
      <c r="JT667" s="27" t="s">
        <v>7</v>
      </c>
      <c r="JU667" s="27" t="s">
        <v>8</v>
      </c>
      <c r="JV667" s="27" t="s">
        <v>7</v>
      </c>
      <c r="KC667" s="27" t="s">
        <v>8</v>
      </c>
      <c r="KD667" s="27" t="s">
        <v>7</v>
      </c>
      <c r="KO667" s="27" t="s">
        <v>8</v>
      </c>
      <c r="KP667" s="27" t="s">
        <v>7</v>
      </c>
    </row>
    <row r="668" spans="1:302" x14ac:dyDescent="0.25">
      <c r="A668" s="7">
        <v>0.20108796879083912</v>
      </c>
      <c r="B668"/>
      <c r="C668"/>
      <c r="D668"/>
      <c r="E668"/>
      <c r="F668" s="27" t="s">
        <v>7</v>
      </c>
      <c r="FK668" s="27" t="s">
        <v>8</v>
      </c>
      <c r="FP668" s="27" t="s">
        <v>7</v>
      </c>
      <c r="FQ668" s="27" t="s">
        <v>8</v>
      </c>
      <c r="GT668" s="27" t="s">
        <v>7</v>
      </c>
      <c r="GU668" s="27" t="s">
        <v>8</v>
      </c>
      <c r="HB668" s="27" t="s">
        <v>7</v>
      </c>
      <c r="HC668" s="27" t="s">
        <v>8</v>
      </c>
      <c r="HD668" s="27" t="s">
        <v>7</v>
      </c>
      <c r="HE668" s="27" t="s">
        <v>8</v>
      </c>
      <c r="HF668" s="27" t="s">
        <v>7</v>
      </c>
      <c r="HG668" s="27" t="s">
        <v>8</v>
      </c>
      <c r="HH668" s="27" t="s">
        <v>7</v>
      </c>
      <c r="HI668" s="27" t="s">
        <v>8</v>
      </c>
      <c r="HJ668" s="27" t="s">
        <v>7</v>
      </c>
      <c r="HK668" s="27" t="s">
        <v>8</v>
      </c>
      <c r="HL668" s="27" t="s">
        <v>7</v>
      </c>
      <c r="HM668" s="27" t="s">
        <v>8</v>
      </c>
      <c r="HN668" s="27" t="s">
        <v>7</v>
      </c>
      <c r="HO668" s="27" t="s">
        <v>8</v>
      </c>
      <c r="IJ668" s="27" t="s">
        <v>7</v>
      </c>
      <c r="IL668" s="27" t="s">
        <v>7</v>
      </c>
      <c r="IM668" s="27" t="s">
        <v>8</v>
      </c>
      <c r="IN668" s="27" t="s">
        <v>7</v>
      </c>
      <c r="IO668" s="27" t="s">
        <v>8</v>
      </c>
      <c r="IP668" s="27" t="s">
        <v>7</v>
      </c>
      <c r="IQ668" s="27" t="s">
        <v>8</v>
      </c>
      <c r="JR668" s="27" t="s">
        <v>7</v>
      </c>
      <c r="JS668" s="27" t="s">
        <v>8</v>
      </c>
      <c r="JT668" s="27" t="s">
        <v>7</v>
      </c>
      <c r="JU668" s="27" t="s">
        <v>8</v>
      </c>
      <c r="JV668" s="27" t="s">
        <v>7</v>
      </c>
      <c r="KC668" s="27" t="s">
        <v>8</v>
      </c>
      <c r="KD668" s="27" t="s">
        <v>7</v>
      </c>
      <c r="KO668" s="27" t="s">
        <v>8</v>
      </c>
      <c r="KP668" s="27" t="s">
        <v>7</v>
      </c>
    </row>
    <row r="669" spans="1:302" x14ac:dyDescent="0.25">
      <c r="A669" s="7">
        <v>0.19714506744199917</v>
      </c>
      <c r="B669"/>
      <c r="C669"/>
      <c r="D669"/>
      <c r="E669"/>
      <c r="F669" s="27" t="s">
        <v>7</v>
      </c>
      <c r="FK669" s="27" t="s">
        <v>8</v>
      </c>
      <c r="FP669" s="27" t="s">
        <v>7</v>
      </c>
      <c r="FQ669" s="27" t="s">
        <v>8</v>
      </c>
      <c r="GT669" s="27" t="s">
        <v>7</v>
      </c>
      <c r="GU669" s="27" t="s">
        <v>8</v>
      </c>
      <c r="HB669" s="27" t="s">
        <v>7</v>
      </c>
      <c r="HD669" s="27" t="s">
        <v>7</v>
      </c>
      <c r="HE669" s="27" t="s">
        <v>8</v>
      </c>
      <c r="HF669" s="27" t="s">
        <v>7</v>
      </c>
      <c r="HG669" s="27" t="s">
        <v>8</v>
      </c>
      <c r="HH669" s="27" t="s">
        <v>7</v>
      </c>
      <c r="HI669" s="27" t="s">
        <v>8</v>
      </c>
      <c r="HJ669" s="27" t="s">
        <v>7</v>
      </c>
      <c r="HL669" s="27" t="s">
        <v>7</v>
      </c>
      <c r="HN669" s="27" t="s">
        <v>7</v>
      </c>
      <c r="HO669" s="27" t="s">
        <v>8</v>
      </c>
      <c r="IL669" s="27" t="s">
        <v>7</v>
      </c>
      <c r="IN669" s="27" t="s">
        <v>7</v>
      </c>
      <c r="IP669" s="27" t="s">
        <v>7</v>
      </c>
      <c r="JR669" s="27" t="s">
        <v>7</v>
      </c>
      <c r="JS669" s="27" t="s">
        <v>8</v>
      </c>
      <c r="JT669" s="27" t="s">
        <v>7</v>
      </c>
      <c r="JU669" s="27" t="s">
        <v>8</v>
      </c>
      <c r="JV669" s="27" t="s">
        <v>7</v>
      </c>
      <c r="KC669" s="27" t="s">
        <v>8</v>
      </c>
      <c r="KD669" s="27" t="s">
        <v>7</v>
      </c>
      <c r="KO669" s="27" t="s">
        <v>8</v>
      </c>
      <c r="KP669" s="27" t="s">
        <v>7</v>
      </c>
    </row>
    <row r="670" spans="1:302" x14ac:dyDescent="0.25">
      <c r="A670" s="7">
        <v>0.19327947788431293</v>
      </c>
      <c r="B670"/>
      <c r="C670"/>
      <c r="D670"/>
      <c r="E670"/>
      <c r="F670" s="27" t="s">
        <v>7</v>
      </c>
      <c r="FK670" s="27" t="s">
        <v>8</v>
      </c>
      <c r="FP670" s="27" t="s">
        <v>7</v>
      </c>
      <c r="FQ670" s="27" t="s">
        <v>8</v>
      </c>
      <c r="GT670" s="27" t="s">
        <v>7</v>
      </c>
      <c r="GU670" s="27" t="s">
        <v>8</v>
      </c>
      <c r="HD670" s="27" t="s">
        <v>7</v>
      </c>
      <c r="HE670" s="27" t="s">
        <v>8</v>
      </c>
      <c r="HF670" s="27" t="s">
        <v>7</v>
      </c>
      <c r="HG670" s="27" t="s">
        <v>8</v>
      </c>
      <c r="HH670" s="27" t="s">
        <v>7</v>
      </c>
      <c r="HI670" s="27" t="s">
        <v>8</v>
      </c>
      <c r="HN670" s="27" t="s">
        <v>7</v>
      </c>
      <c r="JR670" s="27" t="s">
        <v>7</v>
      </c>
      <c r="JS670" s="27" t="s">
        <v>8</v>
      </c>
      <c r="JT670" s="27" t="s">
        <v>7</v>
      </c>
      <c r="JV670" s="27" t="s">
        <v>7</v>
      </c>
      <c r="KC670" s="27" t="s">
        <v>8</v>
      </c>
      <c r="KD670" s="27" t="s">
        <v>7</v>
      </c>
      <c r="KI670" s="27" t="s">
        <v>8</v>
      </c>
      <c r="KO670" s="27" t="s">
        <v>8</v>
      </c>
      <c r="KP670" s="27" t="s">
        <v>7</v>
      </c>
    </row>
    <row r="671" spans="1:302" x14ac:dyDescent="0.25">
      <c r="A671" s="7">
        <v>0.18948968420030682</v>
      </c>
      <c r="B671"/>
      <c r="C671"/>
      <c r="D671"/>
      <c r="E671"/>
      <c r="F671" s="27" t="s">
        <v>7</v>
      </c>
      <c r="FK671" s="27" t="s">
        <v>8</v>
      </c>
      <c r="FP671" s="27" t="s">
        <v>7</v>
      </c>
      <c r="FQ671" s="27" t="s">
        <v>8</v>
      </c>
      <c r="GT671" s="27" t="s">
        <v>7</v>
      </c>
      <c r="GU671" s="27" t="s">
        <v>8</v>
      </c>
      <c r="HD671" s="27" t="s">
        <v>7</v>
      </c>
      <c r="HE671" s="27" t="s">
        <v>8</v>
      </c>
      <c r="HF671" s="27" t="s">
        <v>7</v>
      </c>
      <c r="HG671" s="27" t="s">
        <v>8</v>
      </c>
      <c r="HH671" s="27" t="s">
        <v>7</v>
      </c>
      <c r="HI671" s="27" t="s">
        <v>8</v>
      </c>
      <c r="JR671" s="27" t="s">
        <v>7</v>
      </c>
      <c r="JV671" s="27" t="s">
        <v>7</v>
      </c>
      <c r="KC671" s="27" t="s">
        <v>8</v>
      </c>
      <c r="KD671" s="27" t="s">
        <v>7</v>
      </c>
      <c r="KI671" s="27" t="s">
        <v>8</v>
      </c>
      <c r="KJ671" s="27" t="s">
        <v>7</v>
      </c>
      <c r="KO671" s="27" t="s">
        <v>8</v>
      </c>
      <c r="KP671" s="27" t="s">
        <v>7</v>
      </c>
    </row>
    <row r="672" spans="1:302" x14ac:dyDescent="0.25">
      <c r="A672" s="7">
        <v>0.18577420019637925</v>
      </c>
      <c r="B672"/>
      <c r="C672"/>
      <c r="D672"/>
      <c r="E672"/>
      <c r="F672" s="27" t="s">
        <v>7</v>
      </c>
      <c r="FK672" s="27" t="s">
        <v>8</v>
      </c>
      <c r="FP672" s="27" t="s">
        <v>7</v>
      </c>
      <c r="FQ672" s="27" t="s">
        <v>8</v>
      </c>
      <c r="GT672" s="27" t="s">
        <v>7</v>
      </c>
      <c r="GU672" s="27" t="s">
        <v>8</v>
      </c>
      <c r="HD672" s="27" t="s">
        <v>7</v>
      </c>
      <c r="HE672" s="27" t="s">
        <v>8</v>
      </c>
      <c r="HF672" s="27" t="s">
        <v>7</v>
      </c>
      <c r="HG672" s="27" t="s">
        <v>8</v>
      </c>
      <c r="HH672" s="27" t="s">
        <v>7</v>
      </c>
      <c r="JV672" s="27" t="s">
        <v>7</v>
      </c>
      <c r="KC672" s="27" t="s">
        <v>8</v>
      </c>
      <c r="KD672" s="27" t="s">
        <v>7</v>
      </c>
      <c r="KI672" s="27" t="s">
        <v>8</v>
      </c>
      <c r="KJ672" s="27" t="s">
        <v>7</v>
      </c>
      <c r="KO672" s="27" t="s">
        <v>8</v>
      </c>
      <c r="KP672" s="27" t="s">
        <v>7</v>
      </c>
    </row>
    <row r="673" spans="1:306" x14ac:dyDescent="0.25">
      <c r="A673" s="7">
        <v>0.18213156881997963</v>
      </c>
      <c r="B673"/>
      <c r="C673"/>
      <c r="D673"/>
      <c r="E673"/>
      <c r="F673" s="27" t="s">
        <v>7</v>
      </c>
      <c r="FK673" s="27" t="s">
        <v>8</v>
      </c>
      <c r="FP673" s="27" t="s">
        <v>7</v>
      </c>
      <c r="FQ673" s="27" t="s">
        <v>8</v>
      </c>
      <c r="GT673" s="27" t="s">
        <v>7</v>
      </c>
      <c r="GU673" s="27" t="s">
        <v>8</v>
      </c>
      <c r="HD673" s="27" t="s">
        <v>7</v>
      </c>
      <c r="HE673" s="27" t="s">
        <v>8</v>
      </c>
      <c r="HF673" s="27" t="s">
        <v>7</v>
      </c>
      <c r="HG673" s="27" t="s">
        <v>8</v>
      </c>
      <c r="JV673" s="27" t="s">
        <v>7</v>
      </c>
      <c r="JY673" s="27" t="s">
        <v>8</v>
      </c>
      <c r="KC673" s="27" t="s">
        <v>8</v>
      </c>
      <c r="KD673" s="27" t="s">
        <v>7</v>
      </c>
      <c r="KE673" s="27" t="s">
        <v>8</v>
      </c>
      <c r="KI673" s="27" t="s">
        <v>8</v>
      </c>
      <c r="KJ673" s="27" t="s">
        <v>7</v>
      </c>
      <c r="KO673" s="27" t="s">
        <v>8</v>
      </c>
      <c r="KP673" s="27" t="s">
        <v>7</v>
      </c>
    </row>
    <row r="674" spans="1:306" x14ac:dyDescent="0.25">
      <c r="A674" s="7">
        <v>0.17856036158821534</v>
      </c>
      <c r="B674"/>
      <c r="C674"/>
      <c r="D674"/>
      <c r="E674"/>
      <c r="F674" s="27" t="s">
        <v>7</v>
      </c>
      <c r="FK674" s="27" t="s">
        <v>8</v>
      </c>
      <c r="FP674" s="27" t="s">
        <v>7</v>
      </c>
      <c r="FQ674" s="27" t="s">
        <v>8</v>
      </c>
      <c r="GT674" s="27" t="s">
        <v>7</v>
      </c>
      <c r="GU674" s="27" t="s">
        <v>8</v>
      </c>
      <c r="HD674" s="27" t="s">
        <v>7</v>
      </c>
      <c r="HE674" s="27" t="s">
        <v>8</v>
      </c>
      <c r="HF674" s="27" t="s">
        <v>7</v>
      </c>
      <c r="HG674" s="27" t="s">
        <v>8</v>
      </c>
      <c r="JV674" s="27" t="s">
        <v>7</v>
      </c>
      <c r="JW674" s="27" t="s">
        <v>8</v>
      </c>
      <c r="JY674" s="27" t="s">
        <v>8</v>
      </c>
      <c r="JZ674" s="27" t="s">
        <v>7</v>
      </c>
      <c r="KC674" s="27" t="s">
        <v>8</v>
      </c>
      <c r="KD674" s="27" t="s">
        <v>7</v>
      </c>
      <c r="KE674" s="27" t="s">
        <v>8</v>
      </c>
      <c r="KF674" s="27" t="s">
        <v>7</v>
      </c>
      <c r="KI674" s="27" t="s">
        <v>8</v>
      </c>
      <c r="KJ674" s="27" t="s">
        <v>7</v>
      </c>
      <c r="KO674" s="27" t="s">
        <v>8</v>
      </c>
      <c r="KP674" s="27" t="s">
        <v>7</v>
      </c>
    </row>
    <row r="675" spans="1:306" x14ac:dyDescent="0.25">
      <c r="A675" s="7">
        <v>0.17505917802766208</v>
      </c>
      <c r="B675"/>
      <c r="C675"/>
      <c r="D675"/>
      <c r="E675"/>
      <c r="F675" s="27" t="s">
        <v>7</v>
      </c>
      <c r="FK675" s="27" t="s">
        <v>8</v>
      </c>
      <c r="FP675" s="27" t="s">
        <v>7</v>
      </c>
      <c r="FQ675" s="27" t="s">
        <v>8</v>
      </c>
      <c r="GT675" s="27" t="s">
        <v>7</v>
      </c>
      <c r="GU675" s="27" t="s">
        <v>8</v>
      </c>
      <c r="HD675" s="27" t="s">
        <v>7</v>
      </c>
      <c r="HE675" s="27" t="s">
        <v>8</v>
      </c>
      <c r="HF675" s="27" t="s">
        <v>7</v>
      </c>
      <c r="HG675" s="27" t="s">
        <v>8</v>
      </c>
      <c r="JV675" s="27" t="s">
        <v>7</v>
      </c>
      <c r="JW675" s="27" t="s">
        <v>8</v>
      </c>
      <c r="JX675" s="27" t="s">
        <v>7</v>
      </c>
      <c r="JY675" s="27" t="s">
        <v>8</v>
      </c>
      <c r="JZ675" s="27" t="s">
        <v>7</v>
      </c>
      <c r="KC675" s="27" t="s">
        <v>8</v>
      </c>
      <c r="KD675" s="27" t="s">
        <v>7</v>
      </c>
      <c r="KE675" s="27" t="s">
        <v>8</v>
      </c>
      <c r="KF675" s="27" t="s">
        <v>7</v>
      </c>
      <c r="KG675" s="27" t="s">
        <v>8</v>
      </c>
      <c r="KI675" s="27" t="s">
        <v>8</v>
      </c>
      <c r="KJ675" s="27" t="s">
        <v>7</v>
      </c>
      <c r="KO675" s="27" t="s">
        <v>8</v>
      </c>
      <c r="KP675" s="27" t="s">
        <v>7</v>
      </c>
    </row>
    <row r="676" spans="1:306" x14ac:dyDescent="0.25">
      <c r="A676" s="7">
        <v>0.17162664512515888</v>
      </c>
      <c r="B676"/>
      <c r="C676"/>
      <c r="D676"/>
      <c r="E676"/>
      <c r="F676" s="27" t="s">
        <v>7</v>
      </c>
      <c r="FK676" s="27" t="s">
        <v>8</v>
      </c>
      <c r="FP676" s="27" t="s">
        <v>7</v>
      </c>
      <c r="FQ676" s="27" t="s">
        <v>8</v>
      </c>
      <c r="GT676" s="27" t="s">
        <v>7</v>
      </c>
      <c r="GU676" s="27" t="s">
        <v>8</v>
      </c>
      <c r="HD676" s="27" t="s">
        <v>7</v>
      </c>
      <c r="HF676" s="18" t="s">
        <v>7</v>
      </c>
      <c r="HG676" s="27" t="s">
        <v>8</v>
      </c>
      <c r="JV676" s="27" t="s">
        <v>7</v>
      </c>
      <c r="JW676" s="27" t="s">
        <v>8</v>
      </c>
      <c r="JX676" s="27" t="s">
        <v>7</v>
      </c>
      <c r="JY676" s="27" t="s">
        <v>8</v>
      </c>
      <c r="JZ676" s="27" t="s">
        <v>7</v>
      </c>
      <c r="KA676" s="27" t="s">
        <v>8</v>
      </c>
      <c r="KC676" s="27" t="s">
        <v>8</v>
      </c>
      <c r="KD676" s="27" t="s">
        <v>7</v>
      </c>
      <c r="KF676" s="27" t="s">
        <v>7</v>
      </c>
      <c r="KG676" s="27" t="s">
        <v>8</v>
      </c>
      <c r="KH676" s="27" t="s">
        <v>7</v>
      </c>
      <c r="KI676" s="27" t="s">
        <v>8</v>
      </c>
      <c r="KJ676" s="27" t="s">
        <v>7</v>
      </c>
      <c r="KO676" s="27" t="s">
        <v>8</v>
      </c>
      <c r="KP676" s="27" t="s">
        <v>7</v>
      </c>
    </row>
    <row r="677" spans="1:306" x14ac:dyDescent="0.25">
      <c r="A677" s="7">
        <v>0.16826141678937145</v>
      </c>
      <c r="B677"/>
      <c r="C677"/>
      <c r="D677"/>
      <c r="E677"/>
      <c r="F677" s="27" t="s">
        <v>7</v>
      </c>
      <c r="FK677" s="27" t="s">
        <v>8</v>
      </c>
      <c r="FP677" s="27" t="s">
        <v>7</v>
      </c>
      <c r="FQ677" s="27" t="s">
        <v>8</v>
      </c>
      <c r="GT677" s="27" t="s">
        <v>7</v>
      </c>
      <c r="GU677" s="27" t="s">
        <v>8</v>
      </c>
      <c r="HF677" s="27" t="s">
        <v>7</v>
      </c>
      <c r="HG677" s="27" t="s">
        <v>8</v>
      </c>
      <c r="JV677" s="27" t="s">
        <v>7</v>
      </c>
      <c r="JW677" s="27" t="s">
        <v>8</v>
      </c>
      <c r="JX677" s="27" t="s">
        <v>7</v>
      </c>
      <c r="JY677" s="27" t="s">
        <v>8</v>
      </c>
      <c r="JZ677" s="27" t="s">
        <v>7</v>
      </c>
      <c r="KA677" s="27" t="s">
        <v>8</v>
      </c>
      <c r="KB677" s="27" t="s">
        <v>7</v>
      </c>
      <c r="KC677" s="27" t="s">
        <v>8</v>
      </c>
      <c r="KF677" s="27" t="s">
        <v>7</v>
      </c>
      <c r="KG677" s="27" t="s">
        <v>8</v>
      </c>
      <c r="KH677" s="27" t="s">
        <v>7</v>
      </c>
      <c r="KI677" s="27" t="s">
        <v>8</v>
      </c>
      <c r="KJ677" s="27" t="s">
        <v>7</v>
      </c>
      <c r="KO677" s="27" t="s">
        <v>8</v>
      </c>
      <c r="KP677" s="27" t="s">
        <v>7</v>
      </c>
    </row>
    <row r="678" spans="1:306" x14ac:dyDescent="0.25">
      <c r="A678" s="7">
        <v>0.16496217332291319</v>
      </c>
      <c r="B678"/>
      <c r="C678"/>
      <c r="D678"/>
      <c r="E678"/>
      <c r="F678" s="27" t="s">
        <v>7</v>
      </c>
      <c r="FK678" s="27" t="s">
        <v>8</v>
      </c>
      <c r="FP678" s="27" t="s">
        <v>7</v>
      </c>
      <c r="FQ678" s="27" t="s">
        <v>8</v>
      </c>
      <c r="GT678" s="27" t="s">
        <v>7</v>
      </c>
      <c r="HF678" s="27" t="s">
        <v>7</v>
      </c>
      <c r="HG678" s="27" t="s">
        <v>8</v>
      </c>
      <c r="JV678" s="27" t="s">
        <v>7</v>
      </c>
      <c r="JW678" s="27" t="s">
        <v>8</v>
      </c>
      <c r="JX678" s="27" t="s">
        <v>7</v>
      </c>
      <c r="JY678" s="27" t="s">
        <v>8</v>
      </c>
      <c r="JZ678" s="27" t="s">
        <v>7</v>
      </c>
      <c r="KA678" s="27" t="s">
        <v>8</v>
      </c>
      <c r="KB678" s="27" t="s">
        <v>7</v>
      </c>
      <c r="KC678" s="27" t="s">
        <v>8</v>
      </c>
      <c r="KF678" s="27" t="s">
        <v>7</v>
      </c>
      <c r="KG678" s="27" t="s">
        <v>8</v>
      </c>
      <c r="KH678" s="27" t="s">
        <v>7</v>
      </c>
      <c r="KI678" s="27" t="s">
        <v>8</v>
      </c>
      <c r="KJ678" s="27" t="s">
        <v>7</v>
      </c>
      <c r="KM678" s="27" t="s">
        <v>8</v>
      </c>
      <c r="KO678" s="27" t="s">
        <v>8</v>
      </c>
      <c r="KP678" s="27" t="s">
        <v>7</v>
      </c>
    </row>
    <row r="679" spans="1:306" x14ac:dyDescent="0.25">
      <c r="A679" s="7">
        <v>0.16172762090481685</v>
      </c>
      <c r="B679"/>
      <c r="C679"/>
      <c r="D679"/>
      <c r="E679"/>
      <c r="F679" s="27" t="s">
        <v>7</v>
      </c>
      <c r="FK679" s="27" t="s">
        <v>8</v>
      </c>
      <c r="FP679" s="27" t="s">
        <v>7</v>
      </c>
      <c r="HF679" s="27" t="s">
        <v>7</v>
      </c>
      <c r="JV679" s="27" t="s">
        <v>7</v>
      </c>
      <c r="JW679" s="27" t="s">
        <v>8</v>
      </c>
      <c r="JX679" s="27" t="s">
        <v>7</v>
      </c>
      <c r="JZ679" s="27" t="s">
        <v>7</v>
      </c>
      <c r="KB679" s="27" t="s">
        <v>7</v>
      </c>
      <c r="KC679" s="27" t="s">
        <v>8</v>
      </c>
      <c r="KF679" s="27" t="s">
        <v>7</v>
      </c>
      <c r="KH679" s="27" t="s">
        <v>7</v>
      </c>
      <c r="KJ679" s="27" t="s">
        <v>7</v>
      </c>
      <c r="KK679" s="27" t="s">
        <v>8</v>
      </c>
      <c r="KM679" s="27" t="s">
        <v>8</v>
      </c>
      <c r="KN679" s="27" t="s">
        <v>7</v>
      </c>
      <c r="KO679" s="27" t="s">
        <v>8</v>
      </c>
      <c r="KP679" s="27" t="s">
        <v>7</v>
      </c>
    </row>
    <row r="680" spans="1:306" x14ac:dyDescent="0.25">
      <c r="A680" s="7">
        <v>0.15855649108315376</v>
      </c>
      <c r="B680"/>
      <c r="C680"/>
      <c r="D680"/>
      <c r="E680"/>
      <c r="F680" s="27" t="s">
        <v>7</v>
      </c>
      <c r="FK680" s="27" t="s">
        <v>8</v>
      </c>
      <c r="JV680" s="27" t="s">
        <v>7</v>
      </c>
      <c r="JW680" s="27" t="s">
        <v>8</v>
      </c>
      <c r="KB680" s="27" t="s">
        <v>7</v>
      </c>
      <c r="KC680" s="27" t="s">
        <v>8</v>
      </c>
      <c r="KJ680" s="27" t="s">
        <v>7</v>
      </c>
      <c r="KK680" s="27" t="s">
        <v>8</v>
      </c>
      <c r="KL680" s="27" t="s">
        <v>7</v>
      </c>
      <c r="KM680" s="27" t="s">
        <v>8</v>
      </c>
      <c r="KN680" s="27" t="s">
        <v>7</v>
      </c>
      <c r="KO680" s="27" t="s">
        <v>8</v>
      </c>
      <c r="KP680" s="27" t="s">
        <v>7</v>
      </c>
    </row>
    <row r="681" spans="1:306" x14ac:dyDescent="0.25">
      <c r="A681" s="7">
        <v>0.15544754027760171</v>
      </c>
      <c r="B681"/>
      <c r="C681"/>
      <c r="D681"/>
      <c r="E681"/>
      <c r="F681" s="27" t="s">
        <v>7</v>
      </c>
      <c r="FK681" s="27" t="s">
        <v>8</v>
      </c>
      <c r="JV681" s="27" t="s">
        <v>7</v>
      </c>
      <c r="JW681" s="27" t="s">
        <v>8</v>
      </c>
      <c r="KB681" s="27" t="s">
        <v>7</v>
      </c>
      <c r="KC681" s="27" t="s">
        <v>8</v>
      </c>
      <c r="KJ681" s="27" t="s">
        <v>7</v>
      </c>
      <c r="KK681" s="27" t="s">
        <v>8</v>
      </c>
      <c r="KL681" s="27" t="s">
        <v>7</v>
      </c>
      <c r="KM681" s="27" t="s">
        <v>8</v>
      </c>
      <c r="KN681" s="27" t="s">
        <v>7</v>
      </c>
      <c r="KO681" s="27" t="s">
        <v>8</v>
      </c>
      <c r="KP681" s="27" t="s">
        <v>7</v>
      </c>
    </row>
    <row r="682" spans="1:306" x14ac:dyDescent="0.25">
      <c r="A682" s="7">
        <v>0.15239954929176638</v>
      </c>
      <c r="B682"/>
      <c r="C682"/>
      <c r="D682"/>
      <c r="E682"/>
      <c r="F682" s="27" t="s">
        <v>7</v>
      </c>
      <c r="FK682" s="27" t="s">
        <v>8</v>
      </c>
      <c r="JV682" s="27" t="s">
        <v>7</v>
      </c>
      <c r="JW682" s="27" t="s">
        <v>8</v>
      </c>
      <c r="KB682" s="27" t="s">
        <v>7</v>
      </c>
      <c r="KJ682" s="27" t="s">
        <v>7</v>
      </c>
      <c r="KK682" s="27" t="s">
        <v>8</v>
      </c>
      <c r="KL682" s="27" t="s">
        <v>7</v>
      </c>
      <c r="KM682" s="27" t="s">
        <v>8</v>
      </c>
      <c r="KN682" s="27" t="s">
        <v>7</v>
      </c>
      <c r="KP682" s="27" t="s">
        <v>7</v>
      </c>
      <c r="KS682" s="27" t="s">
        <v>8</v>
      </c>
    </row>
    <row r="683" spans="1:306" x14ac:dyDescent="0.25">
      <c r="A683" s="7">
        <v>0.14941132283506509</v>
      </c>
      <c r="B683"/>
      <c r="C683"/>
      <c r="D683"/>
      <c r="E683"/>
      <c r="F683" s="27" t="s">
        <v>7</v>
      </c>
      <c r="FK683" s="27" t="s">
        <v>8</v>
      </c>
      <c r="JV683" s="27" t="s">
        <v>7</v>
      </c>
      <c r="JW683" s="27" t="s">
        <v>8</v>
      </c>
      <c r="KJ683" s="27" t="s">
        <v>7</v>
      </c>
      <c r="KL683" s="27" t="s">
        <v>7</v>
      </c>
      <c r="KM683" s="27" t="s">
        <v>8</v>
      </c>
      <c r="KP683" s="27" t="s">
        <v>7</v>
      </c>
      <c r="KS683" s="27" t="s">
        <v>8</v>
      </c>
      <c r="KT683" s="27" t="s">
        <v>7</v>
      </c>
    </row>
    <row r="684" spans="1:306" x14ac:dyDescent="0.25">
      <c r="A684" s="7">
        <v>0.14648168905398537</v>
      </c>
      <c r="B684"/>
      <c r="C684"/>
      <c r="D684"/>
      <c r="E684"/>
      <c r="F684" s="27" t="s">
        <v>7</v>
      </c>
      <c r="FK684" s="27" t="s">
        <v>8</v>
      </c>
      <c r="JV684" s="27" t="s">
        <v>7</v>
      </c>
      <c r="JW684" s="27" t="s">
        <v>8</v>
      </c>
      <c r="KL684" s="27" t="s">
        <v>7</v>
      </c>
      <c r="KM684" s="27" t="s">
        <v>8</v>
      </c>
      <c r="KP684" s="27" t="s">
        <v>7</v>
      </c>
      <c r="KS684" s="27" t="s">
        <v>8</v>
      </c>
      <c r="KT684" s="27" t="s">
        <v>7</v>
      </c>
    </row>
    <row r="685" spans="1:306" x14ac:dyDescent="0.25">
      <c r="A685" s="7">
        <v>0.14360949907253467</v>
      </c>
      <c r="B685"/>
      <c r="C685"/>
      <c r="D685"/>
      <c r="E685"/>
      <c r="F685" s="27" t="s">
        <v>7</v>
      </c>
      <c r="FK685" s="27" t="s">
        <v>8</v>
      </c>
      <c r="JV685" s="27" t="s">
        <v>7</v>
      </c>
      <c r="JW685" s="27" t="s">
        <v>8</v>
      </c>
      <c r="KL685" s="27" t="s">
        <v>7</v>
      </c>
      <c r="KM685" s="27" t="s">
        <v>8</v>
      </c>
      <c r="KP685" s="27" t="s">
        <v>7</v>
      </c>
      <c r="KQ685" s="27" t="s">
        <v>8</v>
      </c>
      <c r="KS685" s="27" t="s">
        <v>8</v>
      </c>
      <c r="KT685" s="27" t="s">
        <v>7</v>
      </c>
    </row>
    <row r="686" spans="1:306" x14ac:dyDescent="0.25">
      <c r="A686" s="7">
        <v>0.14079362654170066</v>
      </c>
      <c r="B686"/>
      <c r="C686"/>
      <c r="D686"/>
      <c r="E686"/>
      <c r="F686" s="27" t="s">
        <v>7</v>
      </c>
      <c r="FK686" s="27" t="s">
        <v>8</v>
      </c>
      <c r="JV686" s="27" t="s">
        <v>7</v>
      </c>
      <c r="JW686" s="27" t="s">
        <v>8</v>
      </c>
      <c r="KL686" s="27" t="s">
        <v>7</v>
      </c>
      <c r="KM686" s="27" t="s">
        <v>8</v>
      </c>
      <c r="KP686" s="27" t="s">
        <v>7</v>
      </c>
      <c r="KQ686" s="27" t="s">
        <v>8</v>
      </c>
      <c r="KR686" s="27" t="s">
        <v>7</v>
      </c>
      <c r="KS686" s="27" t="s">
        <v>8</v>
      </c>
      <c r="KT686" s="27" t="s">
        <v>7</v>
      </c>
    </row>
    <row r="687" spans="1:306" x14ac:dyDescent="0.25">
      <c r="A687" s="7">
        <v>0.13803296719774574</v>
      </c>
      <c r="B687"/>
      <c r="C687"/>
      <c r="D687"/>
      <c r="E687"/>
      <c r="F687" s="27" t="s">
        <v>7</v>
      </c>
      <c r="FK687" s="27" t="s">
        <v>8</v>
      </c>
      <c r="JV687" s="27" t="s">
        <v>7</v>
      </c>
      <c r="JW687" s="27" t="s">
        <v>8</v>
      </c>
      <c r="KL687" s="27" t="s">
        <v>7</v>
      </c>
      <c r="KP687" s="27" t="s">
        <v>7</v>
      </c>
      <c r="KQ687" s="27" t="s">
        <v>8</v>
      </c>
      <c r="KR687" s="27" t="s">
        <v>7</v>
      </c>
      <c r="KS687" s="27" t="s">
        <v>8</v>
      </c>
    </row>
    <row r="688" spans="1:306" x14ac:dyDescent="0.25">
      <c r="A688" s="7">
        <v>0.1353264384291625</v>
      </c>
      <c r="B688"/>
      <c r="C688"/>
      <c r="D688"/>
      <c r="E688"/>
      <c r="F688" s="27" t="s">
        <v>7</v>
      </c>
      <c r="FK688" s="27" t="s">
        <v>8</v>
      </c>
      <c r="JV688" s="27" t="s">
        <v>7</v>
      </c>
      <c r="JW688" s="27" t="s">
        <v>8</v>
      </c>
      <c r="KP688" s="27" t="s">
        <v>7</v>
      </c>
      <c r="KQ688" s="27" t="s">
        <v>8</v>
      </c>
      <c r="KR688" s="27" t="s">
        <v>7</v>
      </c>
      <c r="KS688" s="27" t="s">
        <v>8</v>
      </c>
    </row>
    <row r="689" spans="1:305" x14ac:dyDescent="0.25">
      <c r="A689" s="7">
        <v>0.13267297885212009</v>
      </c>
      <c r="B689"/>
      <c r="C689"/>
      <c r="D689"/>
      <c r="E689"/>
      <c r="F689" s="27" t="s">
        <v>7</v>
      </c>
      <c r="FK689" s="27" t="s">
        <v>8</v>
      </c>
      <c r="JV689" s="27" t="s">
        <v>7</v>
      </c>
      <c r="KP689" s="27" t="s">
        <v>7</v>
      </c>
      <c r="KQ689" s="27" t="s">
        <v>8</v>
      </c>
      <c r="KR689" s="27" t="s">
        <v>7</v>
      </c>
      <c r="KS689" s="27" t="s">
        <v>8</v>
      </c>
    </row>
    <row r="690" spans="1:305" x14ac:dyDescent="0.25">
      <c r="A690" s="7">
        <v>0.13007154789423539</v>
      </c>
      <c r="B690"/>
      <c r="C690"/>
      <c r="D690"/>
      <c r="E690"/>
      <c r="F690" s="27" t="s">
        <v>7</v>
      </c>
      <c r="FK690" s="27" t="s">
        <v>8</v>
      </c>
      <c r="KP690" s="27" t="s">
        <v>7</v>
      </c>
      <c r="KQ690" s="27" t="s">
        <v>8</v>
      </c>
      <c r="KR690" s="27" t="s">
        <v>7</v>
      </c>
      <c r="KS690" s="27" t="s">
        <v>8</v>
      </c>
    </row>
    <row r="691" spans="1:305" x14ac:dyDescent="0.25">
      <c r="A691" s="7">
        <v>0.12752112538650529</v>
      </c>
      <c r="B691"/>
      <c r="C691"/>
      <c r="D691"/>
      <c r="E691"/>
      <c r="F691" s="27" t="s">
        <v>7</v>
      </c>
      <c r="FK691" s="27" t="s">
        <v>8</v>
      </c>
      <c r="KP691" s="27" t="s">
        <v>7</v>
      </c>
      <c r="KQ691" s="27" t="s">
        <v>8</v>
      </c>
      <c r="KR691" s="27" t="s">
        <v>7</v>
      </c>
    </row>
    <row r="692" spans="1:305" x14ac:dyDescent="0.25">
      <c r="A692" s="7">
        <v>0.12502071116324048</v>
      </c>
      <c r="B692"/>
      <c r="C692"/>
      <c r="D692"/>
      <c r="E692"/>
      <c r="F692" s="27" t="s">
        <v>7</v>
      </c>
      <c r="FK692" s="27" t="s">
        <v>8</v>
      </c>
      <c r="KP692" s="27" t="s">
        <v>7</v>
      </c>
      <c r="KQ692" s="27" t="s">
        <v>8</v>
      </c>
    </row>
    <row r="693" spans="1:305" x14ac:dyDescent="0.25">
      <c r="A693" s="7">
        <v>0.1225693246698436</v>
      </c>
      <c r="B693"/>
      <c r="C693"/>
      <c r="D693"/>
      <c r="E693"/>
      <c r="F693" s="27" t="s">
        <v>7</v>
      </c>
      <c r="FK693" s="27" t="s">
        <v>8</v>
      </c>
      <c r="KP693" s="27" t="s">
        <v>7</v>
      </c>
      <c r="KQ693" s="27" t="s">
        <v>8</v>
      </c>
    </row>
    <row r="694" spans="1:305" x14ac:dyDescent="0.25">
      <c r="A694" s="7">
        <v>0.12016600457827803</v>
      </c>
      <c r="B694"/>
      <c r="C694"/>
      <c r="D694"/>
      <c r="E694"/>
      <c r="F694" s="27" t="s">
        <v>7</v>
      </c>
      <c r="FK694" s="27" t="s">
        <v>8</v>
      </c>
      <c r="KP694" s="27" t="s">
        <v>7</v>
      </c>
    </row>
    <row r="695" spans="1:305" x14ac:dyDescent="0.25">
      <c r="A695" s="7">
        <v>0.1178098084100765</v>
      </c>
      <c r="B695"/>
      <c r="C695"/>
      <c r="D695"/>
      <c r="E695"/>
      <c r="F695" s="27" t="s">
        <v>7</v>
      </c>
      <c r="FK695" s="27" t="s">
        <v>8</v>
      </c>
    </row>
    <row r="696" spans="1:305" x14ac:dyDescent="0.25">
      <c r="A696" s="7">
        <v>0.11549981216674166</v>
      </c>
      <c r="B696"/>
      <c r="C696"/>
      <c r="D696"/>
      <c r="E696"/>
      <c r="F696" s="27" t="s">
        <v>7</v>
      </c>
      <c r="FK696" s="27" t="s">
        <v>8</v>
      </c>
    </row>
    <row r="697" spans="1:305" x14ac:dyDescent="0.25">
      <c r="A697" s="7">
        <v>0.11323510996739378</v>
      </c>
      <c r="B697"/>
      <c r="C697"/>
      <c r="D697"/>
      <c r="E697"/>
      <c r="F697" s="27" t="s">
        <v>7</v>
      </c>
      <c r="FK697" s="27" t="s">
        <v>8</v>
      </c>
    </row>
    <row r="698" spans="1:305" x14ac:dyDescent="0.25">
      <c r="A698" s="7">
        <v>0.11101481369352331</v>
      </c>
      <c r="B698"/>
      <c r="C698"/>
      <c r="D698"/>
      <c r="E698"/>
      <c r="F698" s="27" t="s">
        <v>7</v>
      </c>
      <c r="FK698" s="27" t="s">
        <v>8</v>
      </c>
    </row>
    <row r="699" spans="1:305" x14ac:dyDescent="0.25">
      <c r="A699" s="7">
        <v>0.10883805264070913</v>
      </c>
      <c r="B699"/>
      <c r="C699"/>
      <c r="D699"/>
      <c r="E699"/>
      <c r="F699" s="27" t="s">
        <v>7</v>
      </c>
      <c r="FK699" s="27" t="s">
        <v>8</v>
      </c>
    </row>
    <row r="700" spans="1:305" x14ac:dyDescent="0.25">
      <c r="A700" s="7">
        <v>0.10670397317716582</v>
      </c>
      <c r="B700"/>
      <c r="C700"/>
      <c r="D700"/>
      <c r="E700"/>
      <c r="F700" s="27" t="s">
        <v>7</v>
      </c>
      <c r="FK700" s="27" t="s">
        <v>8</v>
      </c>
    </row>
    <row r="701" spans="1:305" x14ac:dyDescent="0.25">
      <c r="A701" s="7">
        <v>0.1046117384089861</v>
      </c>
      <c r="B701"/>
      <c r="C701"/>
      <c r="D701"/>
      <c r="E701"/>
      <c r="F701" s="27" t="s">
        <v>7</v>
      </c>
      <c r="FK701" s="27" t="s">
        <v>8</v>
      </c>
    </row>
    <row r="702" spans="1:305" x14ac:dyDescent="0.25">
      <c r="A702" s="7">
        <v>0.10256052785194716</v>
      </c>
      <c r="B702"/>
      <c r="C702"/>
      <c r="D702"/>
      <c r="E702"/>
      <c r="F702" s="27" t="s">
        <v>7</v>
      </c>
      <c r="FK702" s="27" t="s">
        <v>8</v>
      </c>
    </row>
    <row r="703" spans="1:305" x14ac:dyDescent="0.25">
      <c r="A703" s="7">
        <v>0.10054953710975212</v>
      </c>
      <c r="B703"/>
      <c r="C703"/>
      <c r="D703"/>
      <c r="E703"/>
      <c r="F703" s="27" t="s">
        <v>7</v>
      </c>
      <c r="FK703" s="27" t="s">
        <v>8</v>
      </c>
    </row>
    <row r="704" spans="1:305" x14ac:dyDescent="0.25">
      <c r="A704" s="7">
        <v>9.8577977558580512E-2</v>
      </c>
      <c r="B704"/>
      <c r="C704"/>
      <c r="D704"/>
      <c r="E704"/>
      <c r="F704" s="27" t="s">
        <v>7</v>
      </c>
      <c r="FK704" s="27" t="s">
        <v>8</v>
      </c>
    </row>
    <row r="705" spans="1:167" x14ac:dyDescent="0.25">
      <c r="A705" s="7">
        <v>9.6645076037824032E-2</v>
      </c>
      <c r="B705"/>
      <c r="C705"/>
      <c r="D705"/>
      <c r="E705"/>
      <c r="F705" s="27" t="s">
        <v>7</v>
      </c>
      <c r="FK705" s="27" t="s">
        <v>8</v>
      </c>
    </row>
    <row r="706" spans="1:167" x14ac:dyDescent="0.25">
      <c r="A706" s="7">
        <v>9.4750074546886304E-2</v>
      </c>
      <c r="B706"/>
      <c r="C706"/>
      <c r="D706"/>
      <c r="E706"/>
      <c r="F706" s="27" t="s">
        <v>7</v>
      </c>
      <c r="FK706" s="27" t="s">
        <v>8</v>
      </c>
    </row>
    <row r="707" spans="1:167" x14ac:dyDescent="0.25">
      <c r="A707" s="7">
        <v>9.2892229947927743E-2</v>
      </c>
      <c r="B707"/>
      <c r="C707"/>
      <c r="D707"/>
      <c r="E707"/>
      <c r="F707" s="27" t="s">
        <v>7</v>
      </c>
      <c r="FK707" s="27" t="s">
        <v>8</v>
      </c>
    </row>
    <row r="708" spans="1:167" x14ac:dyDescent="0.25">
      <c r="A708" s="7">
        <v>9.1070813674438963E-2</v>
      </c>
      <c r="B708"/>
      <c r="C708"/>
      <c r="D708"/>
      <c r="E708"/>
      <c r="F708" s="27" t="s">
        <v>7</v>
      </c>
      <c r="FK708" s="27" t="s">
        <v>8</v>
      </c>
    </row>
    <row r="709" spans="1:167" x14ac:dyDescent="0.25">
      <c r="A709" s="7">
        <v>8.9285111445528392E-2</v>
      </c>
      <c r="B709"/>
      <c r="C709"/>
      <c r="D709"/>
      <c r="E709"/>
      <c r="F709" s="27" t="s">
        <v>7</v>
      </c>
      <c r="FK709" s="27" t="s">
        <v>8</v>
      </c>
    </row>
    <row r="710" spans="1:167" x14ac:dyDescent="0.25">
      <c r="A710" s="7">
        <v>8.7534422985812155E-2</v>
      </c>
      <c r="B710"/>
      <c r="C710"/>
      <c r="D710"/>
      <c r="E710"/>
      <c r="F710" s="27" t="s">
        <v>7</v>
      </c>
      <c r="FK710" s="27" t="s">
        <v>8</v>
      </c>
    </row>
    <row r="711" spans="1:167" x14ac:dyDescent="0.25">
      <c r="A711" s="7">
        <v>8.5818061750796232E-2</v>
      </c>
      <c r="B711"/>
      <c r="C711"/>
      <c r="D711"/>
      <c r="E711"/>
      <c r="F711" s="27" t="s">
        <v>7</v>
      </c>
      <c r="DY711" s="27" t="s">
        <v>8</v>
      </c>
      <c r="EE711" s="27" t="s">
        <v>8</v>
      </c>
      <c r="FK711" s="27" t="s">
        <v>8</v>
      </c>
    </row>
    <row r="712" spans="1:167" x14ac:dyDescent="0.25">
      <c r="A712" s="7">
        <v>8.4135354657643366E-2</v>
      </c>
      <c r="B712"/>
      <c r="C712"/>
      <c r="D712"/>
      <c r="E712"/>
      <c r="F712" s="27" t="s">
        <v>7</v>
      </c>
      <c r="DY712" s="27" t="s">
        <v>8</v>
      </c>
      <c r="DZ712" s="27" t="s">
        <v>7</v>
      </c>
      <c r="EE712" s="27" t="s">
        <v>8</v>
      </c>
      <c r="EF712" s="27" t="s">
        <v>7</v>
      </c>
      <c r="FK712" s="27" t="s">
        <v>8</v>
      </c>
    </row>
    <row r="713" spans="1:167" x14ac:dyDescent="0.25">
      <c r="A713" s="7">
        <v>8.248564182121898E-2</v>
      </c>
      <c r="B713"/>
      <c r="C713"/>
      <c r="D713"/>
      <c r="E713"/>
      <c r="F713" s="27" t="s">
        <v>7</v>
      </c>
      <c r="DY713" s="27" t="s">
        <v>8</v>
      </c>
      <c r="DZ713" s="27" t="s">
        <v>7</v>
      </c>
      <c r="EE713" s="27" t="s">
        <v>8</v>
      </c>
      <c r="EF713" s="27" t="s">
        <v>7</v>
      </c>
      <c r="EG713" s="27" t="s">
        <v>8</v>
      </c>
      <c r="FK713" s="27" t="s">
        <v>8</v>
      </c>
    </row>
    <row r="714" spans="1:167" x14ac:dyDescent="0.25">
      <c r="A714" s="7">
        <v>8.0868276295312735E-2</v>
      </c>
      <c r="B714"/>
      <c r="C714"/>
      <c r="D714"/>
      <c r="E714"/>
      <c r="F714" s="27" t="s">
        <v>7</v>
      </c>
      <c r="DY714" s="27" t="s">
        <v>8</v>
      </c>
      <c r="DZ714" s="27" t="s">
        <v>7</v>
      </c>
      <c r="EE714" s="27" t="s">
        <v>8</v>
      </c>
      <c r="EF714" s="27" t="s">
        <v>7</v>
      </c>
      <c r="EG714" s="27" t="s">
        <v>8</v>
      </c>
      <c r="EH714" s="27" t="s">
        <v>7</v>
      </c>
      <c r="FK714" s="27" t="s">
        <v>8</v>
      </c>
    </row>
    <row r="715" spans="1:167" x14ac:dyDescent="0.25">
      <c r="A715" s="7">
        <v>7.9282623818934056E-2</v>
      </c>
      <c r="B715"/>
      <c r="C715"/>
      <c r="D715"/>
      <c r="E715"/>
      <c r="F715" s="27" t="s">
        <v>7</v>
      </c>
      <c r="DY715" s="27" t="s">
        <v>8</v>
      </c>
      <c r="DZ715" s="27" t="s">
        <v>7</v>
      </c>
      <c r="EE715" s="27" t="s">
        <v>8</v>
      </c>
      <c r="EF715" s="27" t="s">
        <v>7</v>
      </c>
      <c r="EG715" s="27" t="s">
        <v>8</v>
      </c>
      <c r="EH715" s="27" t="s">
        <v>7</v>
      </c>
      <c r="FI715" s="27" t="s">
        <v>8</v>
      </c>
      <c r="FK715" s="27" t="s">
        <v>8</v>
      </c>
    </row>
    <row r="716" spans="1:167" x14ac:dyDescent="0.25">
      <c r="A716" s="7">
        <v>7.7728062567582412E-2</v>
      </c>
      <c r="B716"/>
      <c r="C716"/>
      <c r="D716"/>
      <c r="E716"/>
      <c r="F716" s="27" t="s">
        <v>7</v>
      </c>
      <c r="DY716" s="27" t="s">
        <v>8</v>
      </c>
      <c r="DZ716" s="27" t="s">
        <v>7</v>
      </c>
      <c r="EE716" s="27" t="s">
        <v>8</v>
      </c>
      <c r="EF716" s="27" t="s">
        <v>7</v>
      </c>
      <c r="EG716" s="27" t="s">
        <v>8</v>
      </c>
      <c r="EH716" s="27" t="s">
        <v>7</v>
      </c>
      <c r="FI716" s="27" t="s">
        <v>8</v>
      </c>
      <c r="FJ716" s="27" t="s">
        <v>7</v>
      </c>
      <c r="FK716" s="27" t="s">
        <v>8</v>
      </c>
    </row>
    <row r="717" spans="1:167" x14ac:dyDescent="0.25">
      <c r="A717" s="7">
        <v>7.6203982909394521E-2</v>
      </c>
      <c r="B717"/>
      <c r="C717"/>
      <c r="D717"/>
      <c r="E717"/>
      <c r="F717" s="27" t="s">
        <v>7</v>
      </c>
      <c r="DY717" s="27" t="s">
        <v>8</v>
      </c>
      <c r="DZ717" s="27" t="s">
        <v>7</v>
      </c>
      <c r="EE717" s="27" t="s">
        <v>8</v>
      </c>
      <c r="EF717" s="27" t="s">
        <v>7</v>
      </c>
      <c r="EG717" s="27" t="s">
        <v>8</v>
      </c>
      <c r="EH717" s="27" t="s">
        <v>7</v>
      </c>
      <c r="FI717" s="27" t="s">
        <v>8</v>
      </c>
      <c r="FJ717" s="27" t="s">
        <v>7</v>
      </c>
      <c r="FK717" s="27" t="s">
        <v>8</v>
      </c>
    </row>
    <row r="718" spans="1:167" x14ac:dyDescent="0.25">
      <c r="A718" s="7">
        <v>7.4709787166073058E-2</v>
      </c>
      <c r="B718"/>
      <c r="C718"/>
      <c r="D718"/>
      <c r="E718"/>
      <c r="F718" s="27" t="s">
        <v>7</v>
      </c>
      <c r="DY718" s="27" t="s">
        <v>8</v>
      </c>
      <c r="DZ718" s="27" t="s">
        <v>7</v>
      </c>
      <c r="EE718" s="27" t="s">
        <v>8</v>
      </c>
      <c r="EF718" s="27" t="s">
        <v>7</v>
      </c>
      <c r="EG718" s="27" t="s">
        <v>8</v>
      </c>
      <c r="EH718" s="27" t="s">
        <v>7</v>
      </c>
      <c r="EI718" s="27" t="s">
        <v>8</v>
      </c>
      <c r="FI718" s="27" t="s">
        <v>8</v>
      </c>
      <c r="FJ718" s="27" t="s">
        <v>7</v>
      </c>
      <c r="FK718" s="27" t="s">
        <v>8</v>
      </c>
    </row>
    <row r="719" spans="1:167" x14ac:dyDescent="0.25">
      <c r="A719" s="7">
        <v>7.3244889378503E-2</v>
      </c>
      <c r="B719"/>
      <c r="C719"/>
      <c r="D719"/>
      <c r="E719"/>
      <c r="F719" s="27" t="s">
        <v>7</v>
      </c>
      <c r="DY719" s="27" t="s">
        <v>8</v>
      </c>
      <c r="DZ719" s="27" t="s">
        <v>7</v>
      </c>
      <c r="EE719" s="27" t="s">
        <v>8</v>
      </c>
      <c r="EF719" s="27" t="s">
        <v>7</v>
      </c>
      <c r="EG719" s="27" t="s">
        <v>8</v>
      </c>
      <c r="EH719" s="27" t="s">
        <v>7</v>
      </c>
      <c r="EI719" s="27" t="s">
        <v>8</v>
      </c>
      <c r="EJ719" s="27" t="s">
        <v>7</v>
      </c>
      <c r="FI719" s="27" t="s">
        <v>8</v>
      </c>
      <c r="FJ719" s="27" t="s">
        <v>7</v>
      </c>
      <c r="FK719" s="27" t="s">
        <v>8</v>
      </c>
    </row>
    <row r="720" spans="1:167" x14ac:dyDescent="0.25">
      <c r="A720" s="7">
        <v>7.1808715076963722E-2</v>
      </c>
      <c r="B720"/>
      <c r="C720"/>
      <c r="D720"/>
      <c r="E720"/>
      <c r="F720" s="27" t="s">
        <v>7</v>
      </c>
      <c r="DY720" s="27" t="s">
        <v>8</v>
      </c>
      <c r="DZ720" s="27" t="s">
        <v>7</v>
      </c>
      <c r="EE720" s="27" t="s">
        <v>8</v>
      </c>
      <c r="EF720" s="27" t="s">
        <v>7</v>
      </c>
      <c r="EG720" s="27" t="s">
        <v>8</v>
      </c>
      <c r="EH720" s="27" t="s">
        <v>7</v>
      </c>
      <c r="EI720" s="27" t="s">
        <v>8</v>
      </c>
      <c r="EJ720" s="27" t="s">
        <v>7</v>
      </c>
      <c r="FI720" s="27" t="s">
        <v>8</v>
      </c>
      <c r="FJ720" s="27" t="s">
        <v>7</v>
      </c>
      <c r="FK720" s="27" t="s">
        <v>8</v>
      </c>
    </row>
    <row r="721" spans="1:167" x14ac:dyDescent="0.25">
      <c r="A721" s="7">
        <v>7.0400701055846782E-2</v>
      </c>
      <c r="B721"/>
      <c r="C721"/>
      <c r="D721"/>
      <c r="E721"/>
      <c r="F721" s="27" t="s">
        <v>7</v>
      </c>
      <c r="DY721" s="27" t="s">
        <v>8</v>
      </c>
      <c r="DZ721" s="27" t="s">
        <v>7</v>
      </c>
      <c r="EE721" s="27" t="s">
        <v>8</v>
      </c>
      <c r="EF721" s="27" t="s">
        <v>7</v>
      </c>
      <c r="EG721" s="27" t="s">
        <v>8</v>
      </c>
      <c r="EH721" s="27" t="s">
        <v>7</v>
      </c>
      <c r="EI721" s="27" t="s">
        <v>8</v>
      </c>
      <c r="EJ721" s="27" t="s">
        <v>7</v>
      </c>
      <c r="EK721" s="27" t="s">
        <v>8</v>
      </c>
      <c r="FE721" s="27" t="s">
        <v>8</v>
      </c>
      <c r="FI721" s="27" t="s">
        <v>8</v>
      </c>
      <c r="FJ721" s="27" t="s">
        <v>7</v>
      </c>
      <c r="FK721" s="27" t="s">
        <v>8</v>
      </c>
    </row>
    <row r="722" spans="1:167" x14ac:dyDescent="0.25">
      <c r="A722" s="7">
        <v>6.9020295152790956E-2</v>
      </c>
      <c r="B722"/>
      <c r="C722"/>
      <c r="D722"/>
      <c r="E722"/>
      <c r="F722" s="27" t="s">
        <v>7</v>
      </c>
      <c r="DY722" s="27" t="s">
        <v>8</v>
      </c>
      <c r="DZ722" s="27" t="s">
        <v>7</v>
      </c>
      <c r="EE722" s="27" t="s">
        <v>8</v>
      </c>
      <c r="EF722" s="27" t="s">
        <v>7</v>
      </c>
      <c r="EG722" s="27" t="s">
        <v>8</v>
      </c>
      <c r="EH722" s="27" t="s">
        <v>7</v>
      </c>
      <c r="EI722" s="27" t="s">
        <v>8</v>
      </c>
      <c r="EJ722" s="27" t="s">
        <v>7</v>
      </c>
      <c r="EK722" s="27" t="s">
        <v>8</v>
      </c>
      <c r="EL722" s="27" t="s">
        <v>7</v>
      </c>
      <c r="FE722" s="27" t="s">
        <v>8</v>
      </c>
      <c r="FF722" s="27" t="s">
        <v>7</v>
      </c>
      <c r="FI722" s="27" t="s">
        <v>8</v>
      </c>
      <c r="FJ722" s="27" t="s">
        <v>7</v>
      </c>
    </row>
    <row r="723" spans="1:167" x14ac:dyDescent="0.25">
      <c r="A723" s="7">
        <v>6.7666956032147993E-2</v>
      </c>
      <c r="B723"/>
      <c r="C723"/>
      <c r="D723"/>
      <c r="E723"/>
      <c r="F723" s="27" t="s">
        <v>7</v>
      </c>
      <c r="DY723" s="27" t="s">
        <v>8</v>
      </c>
      <c r="DZ723" s="27" t="s">
        <v>7</v>
      </c>
      <c r="EE723" s="27" t="s">
        <v>8</v>
      </c>
      <c r="EF723" s="27" t="s">
        <v>7</v>
      </c>
      <c r="EG723" s="27" t="s">
        <v>8</v>
      </c>
      <c r="EH723" s="27" t="s">
        <v>7</v>
      </c>
      <c r="EI723" s="27" t="s">
        <v>8</v>
      </c>
      <c r="EJ723" s="27" t="s">
        <v>7</v>
      </c>
      <c r="EK723" s="27" t="s">
        <v>8</v>
      </c>
      <c r="EL723" s="27" t="s">
        <v>7</v>
      </c>
      <c r="FE723" s="27" t="s">
        <v>8</v>
      </c>
      <c r="FF723" s="27" t="s">
        <v>7</v>
      </c>
      <c r="FI723" s="27" t="s">
        <v>8</v>
      </c>
    </row>
    <row r="724" spans="1:167" x14ac:dyDescent="0.25">
      <c r="A724" s="7">
        <v>6.6340152972694105E-2</v>
      </c>
      <c r="B724"/>
      <c r="C724"/>
      <c r="D724"/>
      <c r="E724"/>
      <c r="F724" s="27" t="s">
        <v>7</v>
      </c>
      <c r="DY724" s="27" t="s">
        <v>8</v>
      </c>
      <c r="DZ724" s="27" t="s">
        <v>7</v>
      </c>
      <c r="EE724" s="27" t="s">
        <v>8</v>
      </c>
      <c r="EF724" s="27" t="s">
        <v>7</v>
      </c>
      <c r="EG724" s="27" t="s">
        <v>8</v>
      </c>
      <c r="EH724" s="27" t="s">
        <v>7</v>
      </c>
      <c r="EJ724" s="27" t="s">
        <v>7</v>
      </c>
      <c r="EK724" s="27" t="s">
        <v>8</v>
      </c>
      <c r="EL724" s="27" t="s">
        <v>7</v>
      </c>
      <c r="FE724" s="27" t="s">
        <v>8</v>
      </c>
      <c r="FF724" s="27" t="s">
        <v>7</v>
      </c>
      <c r="FG724" s="27" t="s">
        <v>8</v>
      </c>
      <c r="FI724" s="27" t="s">
        <v>8</v>
      </c>
    </row>
    <row r="725" spans="1:167" x14ac:dyDescent="0.25">
      <c r="A725" s="7">
        <v>6.5039365659504023E-2</v>
      </c>
      <c r="B725"/>
      <c r="C725"/>
      <c r="D725"/>
      <c r="E725"/>
      <c r="F725" s="27" t="s">
        <v>7</v>
      </c>
      <c r="DY725" s="27" t="s">
        <v>8</v>
      </c>
      <c r="DZ725" s="27" t="s">
        <v>7</v>
      </c>
      <c r="EE725" s="27" t="s">
        <v>8</v>
      </c>
      <c r="EF725" s="27" t="s">
        <v>7</v>
      </c>
      <c r="EG725" s="27" t="s">
        <v>8</v>
      </c>
      <c r="EJ725" s="27" t="s">
        <v>7</v>
      </c>
      <c r="EK725" s="27" t="s">
        <v>8</v>
      </c>
      <c r="EL725" s="27" t="s">
        <v>7</v>
      </c>
      <c r="FE725" s="27" t="s">
        <v>8</v>
      </c>
      <c r="FF725" s="27" t="s">
        <v>7</v>
      </c>
      <c r="FG725" s="27" t="s">
        <v>8</v>
      </c>
      <c r="FH725" s="27" t="s">
        <v>7</v>
      </c>
      <c r="FI725" s="27" t="s">
        <v>8</v>
      </c>
    </row>
    <row r="726" spans="1:167" x14ac:dyDescent="0.25">
      <c r="A726" s="7">
        <v>6.3764083979905906E-2</v>
      </c>
      <c r="B726"/>
      <c r="C726"/>
      <c r="D726"/>
      <c r="E726"/>
      <c r="F726" s="27" t="s">
        <v>7</v>
      </c>
      <c r="DY726" s="27" t="s">
        <v>8</v>
      </c>
      <c r="DZ726" s="27" t="s">
        <v>7</v>
      </c>
      <c r="EE726" s="27" t="s">
        <v>8</v>
      </c>
      <c r="EF726" s="27" t="s">
        <v>7</v>
      </c>
      <c r="EG726" s="27" t="s">
        <v>8</v>
      </c>
      <c r="EJ726" s="27" t="s">
        <v>7</v>
      </c>
      <c r="EK726" s="27" t="s">
        <v>8</v>
      </c>
      <c r="EL726" s="27" t="s">
        <v>7</v>
      </c>
      <c r="EO726" s="27" t="s">
        <v>8</v>
      </c>
      <c r="FE726" s="27" t="s">
        <v>8</v>
      </c>
      <c r="FF726" s="27" t="s">
        <v>7</v>
      </c>
      <c r="FG726" s="27" t="s">
        <v>8</v>
      </c>
      <c r="FH726" s="27" t="s">
        <v>7</v>
      </c>
      <c r="FI726" s="27" t="s">
        <v>8</v>
      </c>
    </row>
    <row r="727" spans="1:167" x14ac:dyDescent="0.25">
      <c r="A727" s="7">
        <v>6.251380782343717E-2</v>
      </c>
      <c r="B727"/>
      <c r="C727"/>
      <c r="D727"/>
      <c r="E727"/>
      <c r="F727" s="27" t="s">
        <v>7</v>
      </c>
      <c r="DY727" s="27" t="s">
        <v>8</v>
      </c>
      <c r="DZ727" s="27" t="s">
        <v>7</v>
      </c>
      <c r="EE727" s="27" t="s">
        <v>8</v>
      </c>
      <c r="EF727" s="27" t="s">
        <v>7</v>
      </c>
      <c r="EJ727" s="27" t="s">
        <v>7</v>
      </c>
      <c r="EK727" s="27" t="s">
        <v>8</v>
      </c>
      <c r="EL727" s="27" t="s">
        <v>7</v>
      </c>
      <c r="EO727" s="27" t="s">
        <v>8</v>
      </c>
      <c r="EP727" s="27" t="s">
        <v>7</v>
      </c>
      <c r="EW727" s="27" t="s">
        <v>8</v>
      </c>
      <c r="EY727" s="27" t="s">
        <v>8</v>
      </c>
      <c r="FE727" s="27" t="s">
        <v>8</v>
      </c>
      <c r="FF727" s="27" t="s">
        <v>7</v>
      </c>
      <c r="FG727" s="27" t="s">
        <v>8</v>
      </c>
      <c r="FH727" s="27" t="s">
        <v>7</v>
      </c>
      <c r="FI727" s="27" t="s">
        <v>8</v>
      </c>
    </row>
    <row r="728" spans="1:167" x14ac:dyDescent="0.25">
      <c r="A728" s="7">
        <v>6.1288046885722716E-2</v>
      </c>
      <c r="B728"/>
      <c r="C728"/>
      <c r="D728"/>
      <c r="E728"/>
      <c r="F728" s="27" t="s">
        <v>7</v>
      </c>
      <c r="DY728" s="27" t="s">
        <v>8</v>
      </c>
      <c r="DZ728" s="27" t="s">
        <v>7</v>
      </c>
      <c r="EE728" s="27" t="s">
        <v>8</v>
      </c>
      <c r="EJ728" s="27" t="s">
        <v>7</v>
      </c>
      <c r="EL728" s="27" t="s">
        <v>7</v>
      </c>
      <c r="EO728" s="27" t="s">
        <v>8</v>
      </c>
      <c r="EP728" s="27" t="s">
        <v>7</v>
      </c>
      <c r="EW728" s="27" t="s">
        <v>8</v>
      </c>
      <c r="EX728" s="27" t="s">
        <v>7</v>
      </c>
      <c r="EY728" s="27" t="s">
        <v>8</v>
      </c>
      <c r="EZ728" s="27" t="s">
        <v>7</v>
      </c>
      <c r="FE728" s="27" t="s">
        <v>8</v>
      </c>
      <c r="FF728" s="27" t="s">
        <v>7</v>
      </c>
      <c r="FG728" s="27" t="s">
        <v>8</v>
      </c>
      <c r="FH728" s="27" t="s">
        <v>7</v>
      </c>
      <c r="FI728" s="27" t="s">
        <v>8</v>
      </c>
    </row>
    <row r="729" spans="1:167" x14ac:dyDescent="0.25">
      <c r="A729" s="7">
        <v>6.0086320476198739E-2</v>
      </c>
      <c r="B729"/>
      <c r="C729"/>
      <c r="D729"/>
      <c r="E729"/>
      <c r="F729" s="27" t="s">
        <v>7</v>
      </c>
      <c r="DY729" s="27" t="s">
        <v>8</v>
      </c>
      <c r="DZ729" s="27" t="s">
        <v>7</v>
      </c>
      <c r="EE729" s="27" t="s">
        <v>8</v>
      </c>
      <c r="EL729" s="27" t="s">
        <v>7</v>
      </c>
      <c r="EO729" s="27" t="s">
        <v>8</v>
      </c>
      <c r="EP729" s="27" t="s">
        <v>7</v>
      </c>
      <c r="EQ729" s="27" t="s">
        <v>8</v>
      </c>
      <c r="ES729" s="27" t="s">
        <v>8</v>
      </c>
      <c r="EW729" s="27" t="s">
        <v>8</v>
      </c>
      <c r="EX729" s="27" t="s">
        <v>7</v>
      </c>
      <c r="EY729" s="27" t="s">
        <v>8</v>
      </c>
      <c r="EZ729" s="27" t="s">
        <v>7</v>
      </c>
      <c r="FA729" s="27" t="s">
        <v>8</v>
      </c>
      <c r="FE729" s="27" t="s">
        <v>8</v>
      </c>
      <c r="FF729" s="27" t="s">
        <v>7</v>
      </c>
      <c r="FG729" s="27" t="s">
        <v>8</v>
      </c>
      <c r="FH729" s="27" t="s">
        <v>7</v>
      </c>
      <c r="FI729" s="27" t="s">
        <v>8</v>
      </c>
    </row>
    <row r="730" spans="1:167" x14ac:dyDescent="0.25">
      <c r="A730" s="7">
        <v>5.8908157329606609E-2</v>
      </c>
      <c r="B730"/>
      <c r="C730"/>
      <c r="D730"/>
      <c r="E730"/>
      <c r="F730" s="27" t="s">
        <v>7</v>
      </c>
      <c r="DY730" s="27" t="s">
        <v>8</v>
      </c>
      <c r="DZ730" s="27" t="s">
        <v>7</v>
      </c>
      <c r="EC730" s="27" t="s">
        <v>8</v>
      </c>
      <c r="EE730" s="27" t="s">
        <v>8</v>
      </c>
      <c r="EL730" s="27" t="s">
        <v>7</v>
      </c>
      <c r="EM730" s="27" t="s">
        <v>8</v>
      </c>
      <c r="EO730" s="27" t="s">
        <v>8</v>
      </c>
      <c r="EP730" s="27" t="s">
        <v>7</v>
      </c>
      <c r="EQ730" s="27" t="s">
        <v>8</v>
      </c>
      <c r="ER730" s="27" t="s">
        <v>7</v>
      </c>
      <c r="ES730" s="27" t="s">
        <v>8</v>
      </c>
      <c r="ET730" s="27" t="s">
        <v>7</v>
      </c>
      <c r="EW730" s="27" t="s">
        <v>8</v>
      </c>
      <c r="EX730" s="27" t="s">
        <v>7</v>
      </c>
      <c r="EY730" s="27" t="s">
        <v>8</v>
      </c>
      <c r="EZ730" s="27" t="s">
        <v>7</v>
      </c>
      <c r="FA730" s="27" t="s">
        <v>8</v>
      </c>
      <c r="FB730" s="27" t="s">
        <v>7</v>
      </c>
      <c r="FE730" s="27" t="s">
        <v>8</v>
      </c>
      <c r="FF730" s="27" t="s">
        <v>7</v>
      </c>
      <c r="FG730" s="27" t="s">
        <v>8</v>
      </c>
      <c r="FH730" s="27" t="s">
        <v>7</v>
      </c>
    </row>
    <row r="731" spans="1:167" x14ac:dyDescent="0.25">
      <c r="A731" s="7">
        <v>5.7753095421182947E-2</v>
      </c>
      <c r="B731"/>
      <c r="C731"/>
      <c r="D731"/>
      <c r="E731"/>
      <c r="F731" s="27" t="s">
        <v>7</v>
      </c>
      <c r="DY731" s="27" t="s">
        <v>8</v>
      </c>
      <c r="DZ731" s="27" t="s">
        <v>7</v>
      </c>
      <c r="EC731" s="27" t="s">
        <v>8</v>
      </c>
      <c r="ED731" s="27" t="s">
        <v>7</v>
      </c>
      <c r="EE731" s="27" t="s">
        <v>8</v>
      </c>
      <c r="EL731" s="27" t="s">
        <v>7</v>
      </c>
      <c r="EM731" s="27" t="s">
        <v>8</v>
      </c>
      <c r="EN731" s="27" t="s">
        <v>7</v>
      </c>
      <c r="EO731" s="27" t="s">
        <v>8</v>
      </c>
      <c r="EP731" s="27" t="s">
        <v>7</v>
      </c>
      <c r="EQ731" s="27" t="s">
        <v>8</v>
      </c>
      <c r="ER731" s="27" t="s">
        <v>7</v>
      </c>
      <c r="ES731" s="27" t="s">
        <v>8</v>
      </c>
      <c r="ET731" s="27" t="s">
        <v>7</v>
      </c>
      <c r="EW731" s="27" t="s">
        <v>8</v>
      </c>
      <c r="EX731" s="27" t="s">
        <v>7</v>
      </c>
      <c r="EY731" s="27" t="s">
        <v>8</v>
      </c>
      <c r="EZ731" s="27" t="s">
        <v>7</v>
      </c>
      <c r="FA731" s="27" t="s">
        <v>8</v>
      </c>
      <c r="FB731" s="27" t="s">
        <v>7</v>
      </c>
      <c r="FE731" s="27" t="s">
        <v>8</v>
      </c>
      <c r="FF731" s="27" t="s">
        <v>7</v>
      </c>
      <c r="FG731" s="27" t="s">
        <v>8</v>
      </c>
    </row>
    <row r="732" spans="1:167" x14ac:dyDescent="0.25">
      <c r="A732" s="7">
        <v>5.6620681785473484E-2</v>
      </c>
      <c r="B732"/>
      <c r="C732"/>
      <c r="D732"/>
      <c r="E732"/>
      <c r="F732" s="27" t="s">
        <v>7</v>
      </c>
      <c r="DY732" s="27" t="s">
        <v>8</v>
      </c>
      <c r="DZ732" s="27" t="s">
        <v>7</v>
      </c>
      <c r="EC732" s="27" t="s">
        <v>8</v>
      </c>
      <c r="ED732" s="27" t="s">
        <v>7</v>
      </c>
      <c r="EE732" s="27" t="s">
        <v>8</v>
      </c>
      <c r="EL732" s="27" t="s">
        <v>7</v>
      </c>
      <c r="EM732" s="27" t="s">
        <v>8</v>
      </c>
      <c r="EN732" s="27" t="s">
        <v>7</v>
      </c>
      <c r="EO732" s="27" t="s">
        <v>8</v>
      </c>
      <c r="EP732" s="27" t="s">
        <v>7</v>
      </c>
      <c r="EQ732" s="27" t="s">
        <v>8</v>
      </c>
      <c r="ER732" s="27" t="s">
        <v>7</v>
      </c>
      <c r="ES732" s="27" t="s">
        <v>8</v>
      </c>
      <c r="ET732" s="27" t="s">
        <v>7</v>
      </c>
      <c r="EW732" s="27" t="s">
        <v>8</v>
      </c>
      <c r="EX732" s="27" t="s">
        <v>7</v>
      </c>
      <c r="EY732" s="27" t="s">
        <v>8</v>
      </c>
      <c r="EZ732" s="27" t="s">
        <v>7</v>
      </c>
      <c r="FA732" s="27" t="s">
        <v>8</v>
      </c>
      <c r="FB732" s="27" t="s">
        <v>7</v>
      </c>
      <c r="FE732" s="27" t="s">
        <v>8</v>
      </c>
      <c r="FF732" s="27" t="s">
        <v>7</v>
      </c>
      <c r="FG732" s="27" t="s">
        <v>8</v>
      </c>
    </row>
    <row r="733" spans="1:167" x14ac:dyDescent="0.25">
      <c r="A733" s="7">
        <v>5.5510472338699497E-2</v>
      </c>
      <c r="B733"/>
      <c r="C733"/>
      <c r="D733"/>
      <c r="E733"/>
      <c r="F733" s="27" t="s">
        <v>7</v>
      </c>
      <c r="DY733" s="27" t="s">
        <v>8</v>
      </c>
      <c r="DZ733" s="27" t="s">
        <v>7</v>
      </c>
      <c r="EC733" s="27" t="s">
        <v>8</v>
      </c>
      <c r="ED733" s="27" t="s">
        <v>7</v>
      </c>
      <c r="EE733" s="27" t="s">
        <v>8</v>
      </c>
      <c r="EL733" s="27" t="s">
        <v>7</v>
      </c>
      <c r="EM733" s="27" t="s">
        <v>8</v>
      </c>
      <c r="EN733" s="27" t="s">
        <v>7</v>
      </c>
      <c r="EO733" s="27" t="s">
        <v>8</v>
      </c>
      <c r="EP733" s="27" t="s">
        <v>7</v>
      </c>
      <c r="EQ733" s="27" t="s">
        <v>8</v>
      </c>
      <c r="ER733" s="27" t="s">
        <v>7</v>
      </c>
      <c r="ES733" s="27" t="s">
        <v>8</v>
      </c>
      <c r="ET733" s="27" t="s">
        <v>7</v>
      </c>
      <c r="EW733" s="27" t="s">
        <v>8</v>
      </c>
      <c r="EX733" s="27" t="s">
        <v>7</v>
      </c>
      <c r="EY733" s="27" t="s">
        <v>8</v>
      </c>
      <c r="EZ733" s="27" t="s">
        <v>7</v>
      </c>
      <c r="FB733" s="27" t="s">
        <v>7</v>
      </c>
      <c r="FC733" s="27" t="s">
        <v>8</v>
      </c>
      <c r="FE733" s="27" t="s">
        <v>8</v>
      </c>
      <c r="FF733" s="27" t="s">
        <v>7</v>
      </c>
    </row>
    <row r="734" spans="1:167" x14ac:dyDescent="0.25">
      <c r="A734" s="7">
        <v>5.4422031704607354E-2</v>
      </c>
      <c r="B734"/>
      <c r="C734"/>
      <c r="D734"/>
      <c r="E734"/>
      <c r="F734" s="27" t="s">
        <v>7</v>
      </c>
      <c r="DY734" s="27" t="s">
        <v>8</v>
      </c>
      <c r="DZ734" s="27" t="s">
        <v>7</v>
      </c>
      <c r="EC734" s="27" t="s">
        <v>8</v>
      </c>
      <c r="ED734" s="27" t="s">
        <v>7</v>
      </c>
      <c r="EE734" s="27" t="s">
        <v>8</v>
      </c>
      <c r="EL734" s="27" t="s">
        <v>7</v>
      </c>
      <c r="EM734" s="27" t="s">
        <v>8</v>
      </c>
      <c r="EN734" s="27" t="s">
        <v>7</v>
      </c>
      <c r="EO734" s="27" t="s">
        <v>8</v>
      </c>
      <c r="EP734" s="27" t="s">
        <v>7</v>
      </c>
      <c r="EQ734" s="27" t="s">
        <v>8</v>
      </c>
      <c r="ER734" s="27" t="s">
        <v>7</v>
      </c>
      <c r="ES734" s="27" t="s">
        <v>8</v>
      </c>
      <c r="ET734" s="27" t="s">
        <v>7</v>
      </c>
      <c r="EW734" s="27" t="s">
        <v>8</v>
      </c>
      <c r="EX734" s="27" t="s">
        <v>7</v>
      </c>
      <c r="FB734" s="27" t="s">
        <v>7</v>
      </c>
      <c r="FC734" s="27" t="s">
        <v>8</v>
      </c>
      <c r="FD734" s="27" t="s">
        <v>7</v>
      </c>
      <c r="FE734" s="27" t="s">
        <v>8</v>
      </c>
    </row>
    <row r="735" spans="1:167" x14ac:dyDescent="0.25">
      <c r="A735" s="7">
        <v>5.3354933043732705E-2</v>
      </c>
      <c r="B735"/>
      <c r="C735"/>
      <c r="D735"/>
      <c r="E735"/>
      <c r="F735" s="27" t="s">
        <v>7</v>
      </c>
      <c r="DY735" s="27" t="s">
        <v>8</v>
      </c>
      <c r="DZ735" s="27" t="s">
        <v>7</v>
      </c>
      <c r="EC735" s="27" t="s">
        <v>8</v>
      </c>
      <c r="ED735" s="27" t="s">
        <v>7</v>
      </c>
      <c r="EE735" s="27" t="s">
        <v>8</v>
      </c>
      <c r="EL735" s="27" t="s">
        <v>7</v>
      </c>
      <c r="EM735" s="27" t="s">
        <v>8</v>
      </c>
      <c r="EN735" s="27" t="s">
        <v>7</v>
      </c>
      <c r="EO735" s="27" t="s">
        <v>8</v>
      </c>
      <c r="EP735" s="27" t="s">
        <v>7</v>
      </c>
      <c r="EQ735" s="27" t="s">
        <v>8</v>
      </c>
      <c r="ER735" s="27" t="s">
        <v>7</v>
      </c>
      <c r="ES735" s="27" t="s">
        <v>8</v>
      </c>
      <c r="ET735" s="27" t="s">
        <v>7</v>
      </c>
      <c r="EW735" s="27" t="s">
        <v>8</v>
      </c>
      <c r="FB735" s="27" t="s">
        <v>7</v>
      </c>
      <c r="FC735" s="27" t="s">
        <v>8</v>
      </c>
      <c r="FD735" s="27" t="s">
        <v>7</v>
      </c>
      <c r="FE735" s="27" t="s">
        <v>8</v>
      </c>
    </row>
    <row r="736" spans="1:167" x14ac:dyDescent="0.25">
      <c r="A736" s="7">
        <v>5.2308757886012455E-2</v>
      </c>
      <c r="B736"/>
      <c r="C736"/>
      <c r="D736"/>
      <c r="E736"/>
      <c r="F736" s="27" t="s">
        <v>7</v>
      </c>
      <c r="DY736" s="27" t="s">
        <v>8</v>
      </c>
      <c r="DZ736" s="27" t="s">
        <v>7</v>
      </c>
      <c r="EC736" s="27" t="s">
        <v>8</v>
      </c>
      <c r="ED736" s="27" t="s">
        <v>7</v>
      </c>
      <c r="EE736" s="27" t="s">
        <v>8</v>
      </c>
      <c r="EL736" s="27" t="s">
        <v>7</v>
      </c>
      <c r="EM736" s="27" t="s">
        <v>8</v>
      </c>
      <c r="EN736" s="27" t="s">
        <v>7</v>
      </c>
      <c r="EO736" s="27" t="s">
        <v>8</v>
      </c>
      <c r="EP736" s="27" t="s">
        <v>7</v>
      </c>
      <c r="EQ736" s="27" t="s">
        <v>8</v>
      </c>
      <c r="ER736" s="27" t="s">
        <v>7</v>
      </c>
      <c r="ES736" s="27" t="s">
        <v>8</v>
      </c>
      <c r="ET736" s="27" t="s">
        <v>7</v>
      </c>
      <c r="EU736" s="27" t="s">
        <v>8</v>
      </c>
      <c r="EW736" s="27" t="s">
        <v>8</v>
      </c>
      <c r="FB736" s="27" t="s">
        <v>7</v>
      </c>
      <c r="FC736" s="27" t="s">
        <v>8</v>
      </c>
      <c r="FD736" s="27" t="s">
        <v>7</v>
      </c>
    </row>
    <row r="737" spans="1:159" x14ac:dyDescent="0.25">
      <c r="A737" s="7">
        <v>5.1283095966678877E-2</v>
      </c>
      <c r="B737"/>
      <c r="C737"/>
      <c r="D737"/>
      <c r="E737"/>
      <c r="F737" s="27" t="s">
        <v>7</v>
      </c>
      <c r="DY737" s="27" t="s">
        <v>8</v>
      </c>
      <c r="DZ737" s="27" t="s">
        <v>7</v>
      </c>
      <c r="EC737" s="27" t="s">
        <v>8</v>
      </c>
      <c r="ED737" s="27" t="s">
        <v>7</v>
      </c>
      <c r="EE737" s="27" t="s">
        <v>8</v>
      </c>
      <c r="EL737" s="27" t="s">
        <v>7</v>
      </c>
      <c r="EM737" s="27" t="s">
        <v>8</v>
      </c>
      <c r="EN737" s="27" t="s">
        <v>7</v>
      </c>
      <c r="EO737" s="27" t="s">
        <v>8</v>
      </c>
      <c r="EP737" s="27" t="s">
        <v>7</v>
      </c>
      <c r="ER737" s="27" t="s">
        <v>7</v>
      </c>
      <c r="ES737" s="27" t="s">
        <v>8</v>
      </c>
      <c r="ET737" s="27" t="s">
        <v>7</v>
      </c>
      <c r="EU737" s="27" t="s">
        <v>8</v>
      </c>
      <c r="EV737" s="27" t="s">
        <v>7</v>
      </c>
      <c r="EW737" s="27" t="s">
        <v>8</v>
      </c>
      <c r="FB737" s="27" t="s">
        <v>7</v>
      </c>
      <c r="FC737" s="27" t="s">
        <v>8</v>
      </c>
    </row>
    <row r="738" spans="1:159" x14ac:dyDescent="0.25">
      <c r="A738" s="7">
        <v>5.0277545065371444E-2</v>
      </c>
      <c r="B738"/>
      <c r="C738"/>
      <c r="D738"/>
      <c r="E738"/>
      <c r="F738" s="27" t="s">
        <v>7</v>
      </c>
      <c r="DY738" s="27" t="s">
        <v>8</v>
      </c>
      <c r="DZ738" s="27" t="s">
        <v>7</v>
      </c>
      <c r="EC738" s="27" t="s">
        <v>8</v>
      </c>
      <c r="ED738" s="27" t="s">
        <v>7</v>
      </c>
      <c r="EE738" s="27" t="s">
        <v>8</v>
      </c>
      <c r="EL738" s="27" t="s">
        <v>7</v>
      </c>
      <c r="EM738" s="27" t="s">
        <v>8</v>
      </c>
      <c r="EN738" s="27" t="s">
        <v>7</v>
      </c>
      <c r="EO738" s="27" t="s">
        <v>8</v>
      </c>
      <c r="ER738" s="27" t="s">
        <v>7</v>
      </c>
      <c r="ES738" s="27" t="s">
        <v>8</v>
      </c>
      <c r="ET738" s="27" t="s">
        <v>7</v>
      </c>
      <c r="EU738" s="27" t="s">
        <v>8</v>
      </c>
      <c r="EV738" s="27" t="s">
        <v>7</v>
      </c>
      <c r="EW738" s="27" t="s">
        <v>8</v>
      </c>
      <c r="FB738" s="27" t="s">
        <v>7</v>
      </c>
    </row>
    <row r="739" spans="1:159" x14ac:dyDescent="0.25">
      <c r="A739" s="7">
        <v>4.9291710848403378E-2</v>
      </c>
      <c r="B739"/>
      <c r="C739"/>
      <c r="D739"/>
      <c r="E739"/>
      <c r="F739" s="27" t="s">
        <v>7</v>
      </c>
      <c r="DY739" s="27" t="s">
        <v>8</v>
      </c>
      <c r="DZ739" s="27" t="s">
        <v>7</v>
      </c>
      <c r="EA739" s="27" t="s">
        <v>8</v>
      </c>
      <c r="EC739" s="27" t="s">
        <v>8</v>
      </c>
      <c r="ED739" s="27" t="s">
        <v>7</v>
      </c>
      <c r="EE739" s="27" t="s">
        <v>8</v>
      </c>
      <c r="EL739" s="27" t="s">
        <v>7</v>
      </c>
      <c r="EM739" s="27" t="s">
        <v>8</v>
      </c>
      <c r="EN739" s="27" t="s">
        <v>7</v>
      </c>
      <c r="EO739" s="27" t="s">
        <v>8</v>
      </c>
      <c r="ER739" s="27" t="s">
        <v>7</v>
      </c>
      <c r="ES739" s="27" t="s">
        <v>8</v>
      </c>
      <c r="ET739" s="27" t="s">
        <v>7</v>
      </c>
      <c r="EU739" s="27" t="s">
        <v>8</v>
      </c>
      <c r="EV739" s="27" t="s">
        <v>7</v>
      </c>
      <c r="EW739" s="27" t="s">
        <v>8</v>
      </c>
    </row>
    <row r="740" spans="1:159" x14ac:dyDescent="0.25">
      <c r="A740" s="7">
        <v>4.8325206714120959E-2</v>
      </c>
      <c r="B740"/>
      <c r="C740"/>
      <c r="D740"/>
      <c r="E740"/>
      <c r="F740" s="27" t="s">
        <v>7</v>
      </c>
      <c r="DY740" s="27" t="s">
        <v>8</v>
      </c>
      <c r="DZ740" s="27" t="s">
        <v>7</v>
      </c>
      <c r="EA740" s="27" t="s">
        <v>8</v>
      </c>
      <c r="EB740" s="27" t="s">
        <v>7</v>
      </c>
      <c r="EC740" s="27" t="s">
        <v>8</v>
      </c>
      <c r="ED740" s="27" t="s">
        <v>7</v>
      </c>
      <c r="EE740" s="27" t="s">
        <v>8</v>
      </c>
      <c r="EL740" s="27" t="s">
        <v>7</v>
      </c>
      <c r="EN740" s="27" t="s">
        <v>7</v>
      </c>
      <c r="ER740" s="27" t="s">
        <v>7</v>
      </c>
      <c r="ES740" s="27" t="s">
        <v>8</v>
      </c>
      <c r="ET740" s="27" t="s">
        <v>7</v>
      </c>
      <c r="EU740" s="27" t="s">
        <v>8</v>
      </c>
      <c r="EV740" s="27" t="s">
        <v>7</v>
      </c>
    </row>
    <row r="741" spans="1:159" x14ac:dyDescent="0.25">
      <c r="A741" s="7">
        <v>4.7377653641295057E-2</v>
      </c>
      <c r="B741"/>
      <c r="C741"/>
      <c r="D741"/>
      <c r="E741"/>
      <c r="F741" s="27" t="s">
        <v>7</v>
      </c>
      <c r="DY741" s="27" t="s">
        <v>8</v>
      </c>
      <c r="DZ741" s="27" t="s">
        <v>7</v>
      </c>
      <c r="EA741" s="27" t="s">
        <v>8</v>
      </c>
      <c r="EB741" s="27" t="s">
        <v>7</v>
      </c>
      <c r="EC741" s="27" t="s">
        <v>8</v>
      </c>
      <c r="ED741" s="27" t="s">
        <v>7</v>
      </c>
      <c r="EE741" s="27" t="s">
        <v>8</v>
      </c>
      <c r="ER741" s="27" t="s">
        <v>7</v>
      </c>
      <c r="ES741" s="27" t="s">
        <v>8</v>
      </c>
      <c r="ET741" s="27" t="s">
        <v>7</v>
      </c>
      <c r="EU741" s="27" t="s">
        <v>8</v>
      </c>
    </row>
    <row r="742" spans="1:159" x14ac:dyDescent="0.25">
      <c r="A742" s="7">
        <v>4.644868004048535E-2</v>
      </c>
      <c r="B742"/>
      <c r="C742"/>
      <c r="D742"/>
      <c r="E742"/>
      <c r="F742" s="27" t="s">
        <v>7</v>
      </c>
      <c r="DY742" s="27" t="s">
        <v>8</v>
      </c>
      <c r="DZ742" s="27" t="s">
        <v>7</v>
      </c>
      <c r="EA742" s="27" t="s">
        <v>8</v>
      </c>
      <c r="EB742" s="27" t="s">
        <v>7</v>
      </c>
      <c r="EC742" s="27" t="s">
        <v>8</v>
      </c>
      <c r="ED742" s="27" t="s">
        <v>7</v>
      </c>
      <c r="EE742" s="27" t="s">
        <v>8</v>
      </c>
      <c r="ER742" s="27" t="s">
        <v>7</v>
      </c>
      <c r="ES742" s="27" t="s">
        <v>8</v>
      </c>
      <c r="ET742" s="27" t="s">
        <v>7</v>
      </c>
      <c r="EU742" s="27" t="s">
        <v>8</v>
      </c>
    </row>
    <row r="743" spans="1:159" x14ac:dyDescent="0.25">
      <c r="A743" s="7">
        <v>4.5537921608318974E-2</v>
      </c>
      <c r="B743"/>
      <c r="C743"/>
      <c r="D743"/>
      <c r="E743"/>
      <c r="F743" s="27" t="s">
        <v>7</v>
      </c>
      <c r="DY743" s="27" t="s">
        <v>8</v>
      </c>
      <c r="DZ743" s="27" t="s">
        <v>7</v>
      </c>
      <c r="EA743" s="27" t="s">
        <v>8</v>
      </c>
      <c r="EB743" s="27" t="s">
        <v>7</v>
      </c>
      <c r="EC743" s="27" t="s">
        <v>8</v>
      </c>
      <c r="ED743" s="27" t="s">
        <v>7</v>
      </c>
      <c r="EE743" s="27" t="s">
        <v>8</v>
      </c>
      <c r="ER743" s="27" t="s">
        <v>7</v>
      </c>
      <c r="ES743" s="27" t="s">
        <v>8</v>
      </c>
      <c r="ET743" s="27" t="s">
        <v>7</v>
      </c>
    </row>
    <row r="744" spans="1:159" x14ac:dyDescent="0.25">
      <c r="A744" s="7">
        <v>4.4645021184626446E-2</v>
      </c>
      <c r="B744"/>
      <c r="C744"/>
      <c r="D744"/>
      <c r="E744"/>
      <c r="F744" s="27" t="s">
        <v>7</v>
      </c>
      <c r="DY744" s="27" t="s">
        <v>8</v>
      </c>
      <c r="DZ744" s="27" t="s">
        <v>7</v>
      </c>
      <c r="EA744" s="27" t="s">
        <v>8</v>
      </c>
      <c r="EB744" s="27" t="s">
        <v>7</v>
      </c>
      <c r="EC744" s="27" t="s">
        <v>8</v>
      </c>
      <c r="ED744" s="27" t="s">
        <v>7</v>
      </c>
      <c r="EE744" s="27" t="s">
        <v>8</v>
      </c>
      <c r="ER744" s="27" t="s">
        <v>7</v>
      </c>
      <c r="ES744" s="27" t="s">
        <v>8</v>
      </c>
    </row>
    <row r="745" spans="1:159" x14ac:dyDescent="0.25">
      <c r="A745" s="7">
        <v>4.3769628612378868E-2</v>
      </c>
      <c r="B745"/>
      <c r="C745"/>
      <c r="D745"/>
      <c r="E745"/>
      <c r="F745" s="27" t="s">
        <v>7</v>
      </c>
      <c r="DY745" s="27" t="s">
        <v>8</v>
      </c>
      <c r="DZ745" s="27" t="s">
        <v>7</v>
      </c>
      <c r="EA745" s="27" t="s">
        <v>8</v>
      </c>
      <c r="EB745" s="27" t="s">
        <v>7</v>
      </c>
      <c r="EC745" s="27" t="s">
        <v>8</v>
      </c>
      <c r="ED745" s="27" t="s">
        <v>7</v>
      </c>
      <c r="ER745" s="27" t="s">
        <v>7</v>
      </c>
      <c r="ES745" s="27" t="s">
        <v>8</v>
      </c>
    </row>
    <row r="746" spans="1:159" x14ac:dyDescent="0.25">
      <c r="A746" s="7">
        <v>4.2911400600371442E-2</v>
      </c>
      <c r="B746"/>
      <c r="C746"/>
      <c r="D746"/>
      <c r="E746"/>
      <c r="F746" s="27" t="s">
        <v>7</v>
      </c>
      <c r="DY746" s="27" t="s">
        <v>8</v>
      </c>
      <c r="DZ746" s="27" t="s">
        <v>7</v>
      </c>
      <c r="EA746" s="27" t="s">
        <v>8</v>
      </c>
      <c r="EB746" s="27" t="s">
        <v>7</v>
      </c>
      <c r="EC746" s="27" t="s">
        <v>8</v>
      </c>
      <c r="ER746" s="27" t="s">
        <v>7</v>
      </c>
      <c r="ES746" s="27" t="s">
        <v>8</v>
      </c>
    </row>
    <row r="747" spans="1:159" x14ac:dyDescent="0.25">
      <c r="A747" s="7">
        <v>4.2070000588599457E-2</v>
      </c>
      <c r="B747"/>
      <c r="C747"/>
      <c r="D747"/>
      <c r="E747"/>
      <c r="F747" s="27" t="s">
        <v>7</v>
      </c>
      <c r="DY747" s="27" t="s">
        <v>8</v>
      </c>
      <c r="DZ747" s="27" t="s">
        <v>7</v>
      </c>
      <c r="EA747" s="27" t="s">
        <v>8</v>
      </c>
      <c r="EB747" s="27" t="s">
        <v>7</v>
      </c>
      <c r="EC747" s="27" t="s">
        <v>8</v>
      </c>
      <c r="ER747" s="27" t="s">
        <v>7</v>
      </c>
    </row>
    <row r="748" spans="1:159" x14ac:dyDescent="0.25">
      <c r="A748" s="7">
        <v>4.1245098616273977E-2</v>
      </c>
      <c r="B748"/>
      <c r="C748"/>
      <c r="D748"/>
      <c r="E748"/>
      <c r="F748" s="27" t="s">
        <v>7</v>
      </c>
      <c r="DY748" s="27" t="s">
        <v>8</v>
      </c>
      <c r="DZ748" s="27" t="s">
        <v>7</v>
      </c>
      <c r="EA748" s="27" t="s">
        <v>8</v>
      </c>
      <c r="EB748" s="27" t="s">
        <v>7</v>
      </c>
      <c r="EC748" s="27" t="s">
        <v>8</v>
      </c>
    </row>
    <row r="749" spans="1:159" x14ac:dyDescent="0.25">
      <c r="A749" s="7">
        <v>4.043637119242547E-2</v>
      </c>
      <c r="B749"/>
      <c r="C749"/>
      <c r="D749"/>
      <c r="E749"/>
      <c r="F749" s="27" t="s">
        <v>7</v>
      </c>
      <c r="DY749" s="27" t="s">
        <v>8</v>
      </c>
      <c r="DZ749" s="27" t="s">
        <v>7</v>
      </c>
      <c r="EA749" s="27" t="s">
        <v>8</v>
      </c>
      <c r="EB749" s="27" t="s">
        <v>7</v>
      </c>
      <c r="EC749" s="27" t="s">
        <v>8</v>
      </c>
    </row>
    <row r="750" spans="1:159" x14ac:dyDescent="0.25">
      <c r="A750" s="7">
        <v>3.9643501169044582E-2</v>
      </c>
      <c r="B750"/>
      <c r="C750"/>
      <c r="D750"/>
      <c r="E750"/>
      <c r="F750" s="27" t="s">
        <v>7</v>
      </c>
      <c r="DY750" s="27" t="s">
        <v>8</v>
      </c>
      <c r="DZ750" s="27" t="s">
        <v>7</v>
      </c>
      <c r="EA750" s="27" t="s">
        <v>8</v>
      </c>
      <c r="EB750" s="27" t="s">
        <v>7</v>
      </c>
      <c r="EC750" s="27" t="s">
        <v>8</v>
      </c>
    </row>
    <row r="751" spans="1:159" x14ac:dyDescent="0.25">
      <c r="A751" s="7">
        <v>3.8866177616710372E-2</v>
      </c>
      <c r="B751"/>
      <c r="C751"/>
      <c r="D751"/>
      <c r="E751"/>
      <c r="F751" s="27" t="s">
        <v>7</v>
      </c>
      <c r="DY751" s="27" t="s">
        <v>8</v>
      </c>
      <c r="DZ751" s="27" t="s">
        <v>7</v>
      </c>
      <c r="EA751" s="27" t="s">
        <v>8</v>
      </c>
      <c r="EB751" s="27" t="s">
        <v>7</v>
      </c>
      <c r="EC751" s="27" t="s">
        <v>8</v>
      </c>
    </row>
    <row r="752" spans="1:159" x14ac:dyDescent="0.25">
      <c r="A752" s="7">
        <v>3.8104095702657229E-2</v>
      </c>
      <c r="B752"/>
      <c r="C752"/>
      <c r="D752"/>
      <c r="E752"/>
      <c r="F752" s="27" t="s">
        <v>7</v>
      </c>
      <c r="DY752" s="27" t="s">
        <v>8</v>
      </c>
      <c r="DZ752" s="27" t="s">
        <v>7</v>
      </c>
      <c r="EA752" s="27" t="s">
        <v>8</v>
      </c>
      <c r="EB752" s="27" t="s">
        <v>7</v>
      </c>
      <c r="EC752" s="27" t="s">
        <v>8</v>
      </c>
    </row>
    <row r="753" spans="1:133" x14ac:dyDescent="0.25">
      <c r="A753" s="7">
        <v>3.7356956571232579E-2</v>
      </c>
      <c r="B753"/>
      <c r="C753"/>
      <c r="D753"/>
      <c r="E753"/>
      <c r="F753" s="27" t="s">
        <v>7</v>
      </c>
      <c r="DY753" s="27" t="s">
        <v>8</v>
      </c>
      <c r="DZ753" s="27" t="s">
        <v>7</v>
      </c>
      <c r="EA753" s="27" t="s">
        <v>8</v>
      </c>
      <c r="EB753" s="27" t="s">
        <v>7</v>
      </c>
      <c r="EC753" s="27" t="s">
        <v>8</v>
      </c>
    </row>
    <row r="754" spans="1:133" x14ac:dyDescent="0.25">
      <c r="A754" s="7">
        <v>3.6624467226698605E-2</v>
      </c>
      <c r="B754"/>
      <c r="C754"/>
      <c r="D754"/>
      <c r="E754"/>
      <c r="F754" s="27" t="s">
        <v>7</v>
      </c>
      <c r="DY754" s="27" t="s">
        <v>8</v>
      </c>
      <c r="DZ754" s="27" t="s">
        <v>7</v>
      </c>
      <c r="EA754" s="27" t="s">
        <v>8</v>
      </c>
      <c r="EB754" s="27" t="s">
        <v>7</v>
      </c>
      <c r="EC754" s="27" t="s">
        <v>8</v>
      </c>
    </row>
    <row r="755" spans="1:133" x14ac:dyDescent="0.25">
      <c r="A755" s="7">
        <v>3.5906340418331961E-2</v>
      </c>
      <c r="B755"/>
      <c r="C755"/>
      <c r="D755"/>
      <c r="E755"/>
      <c r="F755" s="27" t="s">
        <v>7</v>
      </c>
      <c r="DY755" s="27" t="s">
        <v>8</v>
      </c>
      <c r="DZ755" s="27" t="s">
        <v>7</v>
      </c>
      <c r="EA755" s="27" t="s">
        <v>8</v>
      </c>
      <c r="EB755" s="27" t="s">
        <v>7</v>
      </c>
      <c r="EC755" s="27" t="s">
        <v>8</v>
      </c>
    </row>
    <row r="756" spans="1:133" x14ac:dyDescent="0.25">
      <c r="A756" s="7">
        <v>3.5202294527776436E-2</v>
      </c>
      <c r="B756"/>
      <c r="C756"/>
      <c r="D756"/>
      <c r="E756"/>
      <c r="F756" s="27" t="s">
        <v>7</v>
      </c>
      <c r="DY756" s="27" t="s">
        <v>8</v>
      </c>
      <c r="DZ756" s="27" t="s">
        <v>7</v>
      </c>
      <c r="EA756" s="27" t="s">
        <v>8</v>
      </c>
      <c r="EB756" s="27" t="s">
        <v>7</v>
      </c>
      <c r="EC756" s="27" t="s">
        <v>8</v>
      </c>
    </row>
    <row r="757" spans="1:133" x14ac:dyDescent="0.25">
      <c r="A757" s="7">
        <v>3.451205345860435E-2</v>
      </c>
      <c r="B757"/>
      <c r="C757"/>
      <c r="D757"/>
      <c r="E757"/>
      <c r="F757" s="27" t="s">
        <v>7</v>
      </c>
      <c r="DY757" s="27" t="s">
        <v>8</v>
      </c>
      <c r="DZ757" s="27" t="s">
        <v>7</v>
      </c>
      <c r="EA757" s="27" t="s">
        <v>8</v>
      </c>
      <c r="EB757" s="27" t="s">
        <v>7</v>
      </c>
      <c r="EC757" s="27" t="s">
        <v>8</v>
      </c>
    </row>
    <row r="758" spans="1:133" x14ac:dyDescent="0.25">
      <c r="A758" s="7">
        <v>3.3835346528043479E-2</v>
      </c>
      <c r="B758"/>
      <c r="C758"/>
      <c r="D758"/>
      <c r="E758"/>
      <c r="F758" s="27" t="s">
        <v>7</v>
      </c>
      <c r="DY758" s="27" t="s">
        <v>8</v>
      </c>
      <c r="DZ758" s="27" t="s">
        <v>7</v>
      </c>
      <c r="EA758" s="27" t="s">
        <v>8</v>
      </c>
      <c r="EB758" s="27" t="s">
        <v>7</v>
      </c>
      <c r="EC758" s="27" t="s">
        <v>8</v>
      </c>
    </row>
    <row r="759" spans="1:133" x14ac:dyDescent="0.25">
      <c r="A759" s="7">
        <v>3.3171908360826938E-2</v>
      </c>
      <c r="B759"/>
      <c r="C759"/>
      <c r="D759"/>
      <c r="E759"/>
      <c r="F759" s="27" t="s">
        <v>7</v>
      </c>
      <c r="DY759" s="27" t="s">
        <v>8</v>
      </c>
      <c r="DZ759" s="27" t="s">
        <v>7</v>
      </c>
      <c r="EA759" s="27" t="s">
        <v>8</v>
      </c>
      <c r="EB759" s="27" t="s">
        <v>7</v>
      </c>
      <c r="EC759" s="27" t="s">
        <v>8</v>
      </c>
    </row>
    <row r="760" spans="1:133" x14ac:dyDescent="0.25">
      <c r="A760" s="7">
        <v>3.2521478785124451E-2</v>
      </c>
      <c r="B760"/>
      <c r="C760"/>
      <c r="D760"/>
      <c r="E760"/>
      <c r="F760" s="27" t="s">
        <v>7</v>
      </c>
      <c r="DY760" s="27" t="s">
        <v>8</v>
      </c>
      <c r="DZ760" s="27" t="s">
        <v>7</v>
      </c>
      <c r="EA760" s="27" t="s">
        <v>8</v>
      </c>
      <c r="EB760" s="27" t="s">
        <v>7</v>
      </c>
      <c r="EC760" s="27" t="s">
        <v>8</v>
      </c>
    </row>
    <row r="761" spans="1:133" x14ac:dyDescent="0.25">
      <c r="A761" s="7">
        <v>3.1883802730514173E-2</v>
      </c>
      <c r="B761"/>
      <c r="C761"/>
      <c r="D761"/>
      <c r="E761"/>
      <c r="F761" s="27" t="s">
        <v>7</v>
      </c>
      <c r="DY761" s="27" t="s">
        <v>8</v>
      </c>
      <c r="DZ761" s="27" t="s">
        <v>7</v>
      </c>
      <c r="EA761" s="27" t="s">
        <v>8</v>
      </c>
      <c r="EB761" s="27" t="s">
        <v>7</v>
      </c>
      <c r="EC761" s="27" t="s">
        <v>8</v>
      </c>
    </row>
    <row r="762" spans="1:133" x14ac:dyDescent="0.25">
      <c r="A762" s="7">
        <v>3.1258630127955073E-2</v>
      </c>
      <c r="B762"/>
      <c r="C762"/>
      <c r="D762"/>
      <c r="E762"/>
      <c r="F762" s="27" t="s">
        <v>7</v>
      </c>
      <c r="DY762" s="27" t="s">
        <v>8</v>
      </c>
      <c r="DZ762" s="27" t="s">
        <v>7</v>
      </c>
      <c r="EA762" s="27" t="s">
        <v>8</v>
      </c>
      <c r="EB762" s="27" t="s">
        <v>7</v>
      </c>
      <c r="EC762" s="27" t="s">
        <v>8</v>
      </c>
    </row>
    <row r="763" spans="1:133" x14ac:dyDescent="0.25">
      <c r="A763" s="7">
        <v>3.064571581172066E-2</v>
      </c>
      <c r="B763"/>
      <c r="C763"/>
      <c r="D763"/>
      <c r="E763"/>
      <c r="F763" s="27" t="s">
        <v>7</v>
      </c>
      <c r="DY763" s="27" t="s">
        <v>8</v>
      </c>
      <c r="DZ763" s="27" t="s">
        <v>7</v>
      </c>
      <c r="EA763" s="27" t="s">
        <v>8</v>
      </c>
      <c r="EB763" s="27" t="s">
        <v>7</v>
      </c>
      <c r="EC763" s="27" t="s">
        <v>8</v>
      </c>
    </row>
    <row r="764" spans="1:133" x14ac:dyDescent="0.25">
      <c r="A764" s="7">
        <v>3.0044819423255549E-2</v>
      </c>
      <c r="B764"/>
      <c r="C764"/>
      <c r="D764"/>
      <c r="E764"/>
      <c r="F764" s="27" t="s">
        <v>7</v>
      </c>
      <c r="DY764" s="27" t="s">
        <v>8</v>
      </c>
      <c r="DZ764" s="27" t="s">
        <v>7</v>
      </c>
      <c r="EA764" s="27" t="s">
        <v>8</v>
      </c>
      <c r="EB764" s="27" t="s">
        <v>7</v>
      </c>
      <c r="EC764" s="27" t="s">
        <v>8</v>
      </c>
    </row>
    <row r="765" spans="1:133" x14ac:dyDescent="0.25">
      <c r="A765" s="7">
        <v>2.9455705316917203E-2</v>
      </c>
      <c r="B765"/>
      <c r="C765"/>
      <c r="D765"/>
      <c r="E765"/>
      <c r="F765" s="27" t="s">
        <v>7</v>
      </c>
      <c r="DY765" s="27" t="s">
        <v>8</v>
      </c>
      <c r="DZ765" s="27" t="s">
        <v>7</v>
      </c>
      <c r="EA765" s="27" t="s">
        <v>8</v>
      </c>
      <c r="EB765" s="27" t="s">
        <v>7</v>
      </c>
      <c r="EC765" s="27" t="s">
        <v>8</v>
      </c>
    </row>
    <row r="766" spans="1:133" x14ac:dyDescent="0.25">
      <c r="A766" s="7">
        <v>2.8878142467565884E-2</v>
      </c>
      <c r="B766"/>
      <c r="C766"/>
      <c r="D766"/>
      <c r="E766"/>
      <c r="F766" s="27" t="s">
        <v>7</v>
      </c>
      <c r="DY766" s="27" t="s">
        <v>8</v>
      </c>
      <c r="DZ766" s="27" t="s">
        <v>7</v>
      </c>
      <c r="EA766" s="27" t="s">
        <v>8</v>
      </c>
      <c r="EB766" s="27" t="s">
        <v>7</v>
      </c>
    </row>
    <row r="767" spans="1:133" x14ac:dyDescent="0.25">
      <c r="A767" s="7">
        <v>2.8311904379966554E-2</v>
      </c>
      <c r="B767"/>
      <c r="C767"/>
      <c r="D767"/>
      <c r="E767"/>
      <c r="F767" s="27" t="s">
        <v>7</v>
      </c>
      <c r="DY767" s="27" t="s">
        <v>8</v>
      </c>
      <c r="DZ767" s="27" t="s">
        <v>7</v>
      </c>
      <c r="EA767" s="27" t="s">
        <v>8</v>
      </c>
    </row>
    <row r="768" spans="1:133" x14ac:dyDescent="0.25">
      <c r="A768" s="7">
        <v>2.7756768999967207E-2</v>
      </c>
      <c r="B768"/>
      <c r="C768"/>
      <c r="D768"/>
      <c r="E768"/>
      <c r="F768" s="27" t="s">
        <v>7</v>
      </c>
      <c r="DY768" s="27" t="s">
        <v>8</v>
      </c>
      <c r="DZ768" s="27" t="s">
        <v>7</v>
      </c>
      <c r="EA768" s="27" t="s">
        <v>8</v>
      </c>
    </row>
    <row r="769" spans="1:131" x14ac:dyDescent="0.25">
      <c r="A769" s="7">
        <v>2.7212518627418834E-2</v>
      </c>
      <c r="B769"/>
      <c r="C769"/>
      <c r="D769"/>
      <c r="E769"/>
      <c r="F769" s="27" t="s">
        <v>7</v>
      </c>
      <c r="DY769" s="27" t="s">
        <v>8</v>
      </c>
      <c r="DZ769" s="27" t="s">
        <v>7</v>
      </c>
      <c r="EA769" s="27" t="s">
        <v>8</v>
      </c>
    </row>
    <row r="770" spans="1:131" x14ac:dyDescent="0.25">
      <c r="A770" s="7">
        <v>2.6678939830802779E-2</v>
      </c>
      <c r="B770"/>
      <c r="C770"/>
      <c r="D770"/>
      <c r="E770"/>
      <c r="F770" s="27" t="s">
        <v>7</v>
      </c>
      <c r="DY770" s="27" t="s">
        <v>8</v>
      </c>
      <c r="DZ770" s="27" t="s">
        <v>7</v>
      </c>
      <c r="EA770" s="27" t="s">
        <v>8</v>
      </c>
    </row>
    <row r="771" spans="1:131" x14ac:dyDescent="0.25">
      <c r="A771" s="7">
        <v>2.615582336353214E-2</v>
      </c>
      <c r="B771"/>
      <c r="C771"/>
      <c r="D771"/>
      <c r="E771"/>
      <c r="F771" s="27" t="s">
        <v>7</v>
      </c>
      <c r="DY771" s="27" t="s">
        <v>8</v>
      </c>
      <c r="DZ771" s="27" t="s">
        <v>7</v>
      </c>
      <c r="EA771" s="27" t="s">
        <v>8</v>
      </c>
    </row>
    <row r="772" spans="1:131" x14ac:dyDescent="0.25">
      <c r="A772" s="7">
        <v>2.5642964081894253E-2</v>
      </c>
      <c r="B772"/>
      <c r="C772"/>
      <c r="D772"/>
      <c r="E772"/>
      <c r="F772" s="27" t="s">
        <v>7</v>
      </c>
      <c r="DY772" s="27" t="s">
        <v>8</v>
      </c>
      <c r="DZ772" s="27" t="s">
        <v>7</v>
      </c>
      <c r="EA772" s="27" t="s">
        <v>8</v>
      </c>
    </row>
    <row r="773" spans="1:131" x14ac:dyDescent="0.25">
      <c r="A773" s="7">
        <v>2.5140160864602207E-2</v>
      </c>
      <c r="B773"/>
      <c r="C773"/>
      <c r="D773"/>
      <c r="E773"/>
      <c r="F773" s="27" t="s">
        <v>7</v>
      </c>
      <c r="DY773" s="27" t="s">
        <v>8</v>
      </c>
      <c r="DZ773" s="27" t="s">
        <v>7</v>
      </c>
      <c r="EA773" s="27" t="s">
        <v>8</v>
      </c>
    </row>
    <row r="774" spans="1:131" x14ac:dyDescent="0.25">
      <c r="A774" s="7">
        <v>2.4647216533923735E-2</v>
      </c>
      <c r="B774"/>
      <c r="C774"/>
      <c r="D774"/>
      <c r="E774"/>
      <c r="F774" s="27" t="s">
        <v>7</v>
      </c>
      <c r="DY774" s="27" t="s">
        <v>8</v>
      </c>
      <c r="DZ774" s="27" t="s">
        <v>7</v>
      </c>
      <c r="EA774" s="27" t="s">
        <v>8</v>
      </c>
    </row>
    <row r="775" spans="1:131" x14ac:dyDescent="0.25">
      <c r="A775" s="7">
        <v>2.4163937778356601E-2</v>
      </c>
      <c r="B775"/>
      <c r="C775"/>
      <c r="D775"/>
      <c r="E775"/>
      <c r="F775" s="27" t="s">
        <v>7</v>
      </c>
      <c r="DY775" s="27" t="s">
        <v>8</v>
      </c>
      <c r="DZ775" s="27" t="s">
        <v>7</v>
      </c>
      <c r="EA775" s="27" t="s">
        <v>8</v>
      </c>
    </row>
    <row r="776" spans="1:131" x14ac:dyDescent="0.25">
      <c r="A776" s="7">
        <v>2.3690135076820197E-2</v>
      </c>
      <c r="B776"/>
      <c r="C776"/>
      <c r="D776"/>
      <c r="E776"/>
      <c r="F776" s="27" t="s">
        <v>7</v>
      </c>
      <c r="DY776" s="27" t="s">
        <v>8</v>
      </c>
      <c r="DZ776" s="27" t="s">
        <v>7</v>
      </c>
      <c r="EA776" s="27" t="s">
        <v>8</v>
      </c>
    </row>
    <row r="777" spans="1:131" x14ac:dyDescent="0.25">
      <c r="A777" s="7">
        <v>2.3225622624333527E-2</v>
      </c>
      <c r="B777"/>
      <c r="C777"/>
      <c r="D777"/>
      <c r="E777"/>
      <c r="F777" s="27" t="s">
        <v>7</v>
      </c>
      <c r="DY777" s="27" t="s">
        <v>8</v>
      </c>
      <c r="DZ777" s="27" t="s">
        <v>7</v>
      </c>
      <c r="EA777" s="27" t="s">
        <v>8</v>
      </c>
    </row>
    <row r="778" spans="1:131" x14ac:dyDescent="0.25">
      <c r="A778" s="7">
        <v>2.2770218259150519E-2</v>
      </c>
      <c r="B778"/>
      <c r="C778"/>
      <c r="D778"/>
      <c r="E778"/>
      <c r="F778" s="27" t="s">
        <v>7</v>
      </c>
      <c r="DY778" s="27" t="s">
        <v>8</v>
      </c>
      <c r="DZ778" s="27" t="s">
        <v>7</v>
      </c>
      <c r="EA778" s="27" t="s">
        <v>8</v>
      </c>
    </row>
    <row r="779" spans="1:131" x14ac:dyDescent="0.25">
      <c r="A779" s="7">
        <v>2.2323743391324039E-2</v>
      </c>
      <c r="B779"/>
      <c r="C779"/>
      <c r="D779"/>
      <c r="E779"/>
      <c r="F779" s="27" t="s">
        <v>7</v>
      </c>
      <c r="DY779" s="27" t="s">
        <v>8</v>
      </c>
      <c r="DZ779" s="27" t="s">
        <v>7</v>
      </c>
    </row>
    <row r="780" spans="1:131" x14ac:dyDescent="0.25">
      <c r="A780" s="7">
        <v>2.188602293267063E-2</v>
      </c>
      <c r="B780"/>
      <c r="C780"/>
      <c r="D780"/>
      <c r="E780"/>
      <c r="F780" s="27" t="s">
        <v>7</v>
      </c>
      <c r="DY780" s="27" t="s">
        <v>8</v>
      </c>
    </row>
    <row r="781" spans="1:131" x14ac:dyDescent="0.25">
      <c r="A781" s="7">
        <v>2.1456885228108461E-2</v>
      </c>
      <c r="B781"/>
      <c r="C781"/>
      <c r="D781"/>
      <c r="E781"/>
      <c r="F781" s="27" t="s">
        <v>7</v>
      </c>
      <c r="DY781" s="27" t="s">
        <v>8</v>
      </c>
    </row>
    <row r="782" spans="1:131" x14ac:dyDescent="0.25">
      <c r="A782" s="7">
        <v>2.1036161988341632E-2</v>
      </c>
      <c r="B782"/>
      <c r="C782"/>
      <c r="D782"/>
      <c r="E782"/>
      <c r="F782" s="27" t="s">
        <v>7</v>
      </c>
      <c r="DY782" s="27" t="s">
        <v>8</v>
      </c>
    </row>
    <row r="783" spans="1:131" x14ac:dyDescent="0.25">
      <c r="A783" s="7">
        <v>2.0623688223864345E-2</v>
      </c>
      <c r="B783"/>
      <c r="C783"/>
      <c r="D783"/>
      <c r="E783"/>
      <c r="F783" s="27" t="s">
        <v>7</v>
      </c>
      <c r="DY783" s="27" t="s">
        <v>8</v>
      </c>
    </row>
    <row r="784" spans="1:131" x14ac:dyDescent="0.25">
      <c r="A784" s="7">
        <v>2.021930218025916E-2</v>
      </c>
      <c r="B784"/>
      <c r="C784"/>
      <c r="D784"/>
      <c r="E784"/>
      <c r="F784" s="27" t="s">
        <v>7</v>
      </c>
      <c r="DY784" s="27" t="s">
        <v>8</v>
      </c>
    </row>
    <row r="785" spans="1:129" x14ac:dyDescent="0.25">
      <c r="A785" s="7">
        <v>1.9822845274763884E-2</v>
      </c>
      <c r="B785"/>
      <c r="C785"/>
      <c r="D785"/>
      <c r="E785"/>
      <c r="F785" s="27" t="s">
        <v>7</v>
      </c>
      <c r="DY785" s="27" t="s">
        <v>8</v>
      </c>
    </row>
    <row r="786" spans="1:129" x14ac:dyDescent="0.25">
      <c r="A786" s="7">
        <v>1.9434162034082238E-2</v>
      </c>
      <c r="B786"/>
      <c r="C786"/>
      <c r="D786"/>
      <c r="E786"/>
      <c r="F786" s="27" t="s">
        <v>7</v>
      </c>
      <c r="DY786" s="27" t="s">
        <v>8</v>
      </c>
    </row>
    <row r="787" spans="1:129" x14ac:dyDescent="0.25">
      <c r="A787" s="7">
        <v>1.9053100033413959E-2</v>
      </c>
      <c r="B787"/>
      <c r="C787"/>
      <c r="D787"/>
      <c r="E787"/>
      <c r="F787" s="27" t="s">
        <v>7</v>
      </c>
      <c r="DY787" s="27" t="s">
        <v>8</v>
      </c>
    </row>
    <row r="788" spans="1:129" x14ac:dyDescent="0.25">
      <c r="A788" s="7">
        <v>1.867950983668035E-2</v>
      </c>
      <c r="B788"/>
      <c r="C788"/>
      <c r="D788"/>
      <c r="E788"/>
      <c r="F788" s="27" t="s">
        <v>7</v>
      </c>
      <c r="DY788" s="27" t="s">
        <v>8</v>
      </c>
    </row>
    <row r="789" spans="1:129" x14ac:dyDescent="0.25">
      <c r="A789" s="7">
        <v>1.8313244937921913E-2</v>
      </c>
      <c r="B789"/>
      <c r="C789"/>
      <c r="D789"/>
      <c r="E789"/>
      <c r="F789" s="27" t="s">
        <v>7</v>
      </c>
      <c r="DY789" s="27" t="s">
        <v>8</v>
      </c>
    </row>
    <row r="790" spans="1:129" x14ac:dyDescent="0.25">
      <c r="A790" s="7">
        <v>1.7954161703845013E-2</v>
      </c>
      <c r="B790"/>
      <c r="C790"/>
      <c r="D790"/>
      <c r="E790"/>
      <c r="F790" s="27" t="s">
        <v>7</v>
      </c>
      <c r="DY790" s="27" t="s">
        <v>8</v>
      </c>
    </row>
    <row r="791" spans="1:129" x14ac:dyDescent="0.25">
      <c r="A791" s="7">
        <v>1.7602119317495109E-2</v>
      </c>
      <c r="B791"/>
      <c r="C791"/>
      <c r="D791"/>
      <c r="E791"/>
      <c r="F791" s="27" t="s">
        <v>7</v>
      </c>
      <c r="DY791" s="27" t="s">
        <v>8</v>
      </c>
    </row>
    <row r="792" spans="1:129" x14ac:dyDescent="0.25">
      <c r="A792" s="7">
        <v>1.7256979723034419E-2</v>
      </c>
      <c r="B792"/>
      <c r="C792"/>
      <c r="D792"/>
      <c r="E792"/>
      <c r="F792" s="27" t="s">
        <v>7</v>
      </c>
      <c r="DY792" s="27" t="s">
        <v>8</v>
      </c>
    </row>
    <row r="793" spans="1:129" x14ac:dyDescent="0.25">
      <c r="A793" s="7">
        <v>1.6918607571602372E-2</v>
      </c>
      <c r="B793"/>
      <c r="C793"/>
      <c r="D793"/>
      <c r="E793"/>
      <c r="F793" s="27" t="s">
        <v>7</v>
      </c>
      <c r="DY793" s="27" t="s">
        <v>8</v>
      </c>
    </row>
    <row r="794" spans="1:129" x14ac:dyDescent="0.25">
      <c r="A794" s="7">
        <v>1.6586870168237622E-2</v>
      </c>
      <c r="B794"/>
      <c r="C794"/>
      <c r="D794"/>
      <c r="E794"/>
      <c r="F794" s="27" t="s">
        <v>7</v>
      </c>
      <c r="DY794" s="27" t="s">
        <v>8</v>
      </c>
    </row>
    <row r="795" spans="1:129" x14ac:dyDescent="0.25">
      <c r="A795" s="7">
        <v>1.6261637419840807E-2</v>
      </c>
      <c r="B795"/>
      <c r="C795"/>
      <c r="D795"/>
      <c r="E795"/>
      <c r="F795" s="27" t="s">
        <v>7</v>
      </c>
      <c r="DY795" s="27" t="s">
        <v>8</v>
      </c>
    </row>
    <row r="796" spans="1:129" x14ac:dyDescent="0.25">
      <c r="A796" s="7">
        <v>1.5942781784157655E-2</v>
      </c>
      <c r="B796"/>
      <c r="C796"/>
      <c r="D796"/>
      <c r="E796"/>
      <c r="F796" s="27" t="s">
        <v>7</v>
      </c>
      <c r="DY796" s="27" t="s">
        <v>8</v>
      </c>
    </row>
    <row r="797" spans="1:129" x14ac:dyDescent="0.25">
      <c r="A797" s="7">
        <v>1.5630178219762408E-2</v>
      </c>
      <c r="B797"/>
      <c r="C797"/>
      <c r="D797"/>
      <c r="E797"/>
      <c r="F797" s="27" t="s">
        <v>7</v>
      </c>
      <c r="DY797" s="27" t="s">
        <v>8</v>
      </c>
    </row>
    <row r="798" spans="1:129" x14ac:dyDescent="0.25">
      <c r="A798" s="7">
        <v>1.5323704137021967E-2</v>
      </c>
      <c r="B798"/>
      <c r="C798"/>
      <c r="D798"/>
      <c r="E798"/>
      <c r="F798" s="27" t="s">
        <v>7</v>
      </c>
      <c r="DY798" s="27" t="s">
        <v>8</v>
      </c>
    </row>
    <row r="799" spans="1:129" x14ac:dyDescent="0.25">
      <c r="A799" s="7">
        <v>1.5023239350021535E-2</v>
      </c>
      <c r="B799"/>
      <c r="C799"/>
      <c r="D799"/>
      <c r="E799"/>
      <c r="F799" s="27" t="s">
        <v>7</v>
      </c>
      <c r="DY799" s="27" t="s">
        <v>8</v>
      </c>
    </row>
    <row r="800" spans="1:129" x14ac:dyDescent="0.25">
      <c r="A800" s="7">
        <v>1.4728666029432878E-2</v>
      </c>
      <c r="B800"/>
      <c r="C800"/>
      <c r="D800"/>
      <c r="E800"/>
      <c r="F800" s="27" t="s">
        <v>7</v>
      </c>
      <c r="DY800" s="27" t="s">
        <v>8</v>
      </c>
    </row>
    <row r="801" spans="1:129" x14ac:dyDescent="0.25">
      <c r="A801" s="7">
        <v>1.4439868656306743E-2</v>
      </c>
      <c r="B801"/>
      <c r="C801"/>
      <c r="D801"/>
      <c r="E801"/>
      <c r="F801" s="27" t="s">
        <v>7</v>
      </c>
      <c r="DY801" s="27" t="s">
        <v>8</v>
      </c>
    </row>
    <row r="802" spans="1:129" x14ac:dyDescent="0.25">
      <c r="A802" s="7">
        <v>1.4156733976771318E-2</v>
      </c>
      <c r="B802"/>
      <c r="C802"/>
      <c r="D802"/>
      <c r="E802"/>
      <c r="F802" s="27" t="s">
        <v>7</v>
      </c>
      <c r="DY802" s="27" t="s">
        <v>8</v>
      </c>
    </row>
    <row r="803" spans="1:129" x14ac:dyDescent="0.25">
      <c r="A803" s="7">
        <v>1.3879150957618939E-2</v>
      </c>
      <c r="B803"/>
      <c r="C803"/>
      <c r="D803"/>
      <c r="E803"/>
      <c r="F803" s="27" t="s">
        <v>7</v>
      </c>
      <c r="DI803" s="27" t="s">
        <v>8</v>
      </c>
      <c r="DY803" s="27" t="s">
        <v>8</v>
      </c>
    </row>
    <row r="804" spans="1:129" x14ac:dyDescent="0.25">
      <c r="A804" s="7">
        <v>1.3607010742763666E-2</v>
      </c>
      <c r="B804"/>
      <c r="C804"/>
      <c r="D804"/>
      <c r="E804"/>
      <c r="F804" s="27" t="s">
        <v>7</v>
      </c>
      <c r="DI804" s="27" t="s">
        <v>8</v>
      </c>
      <c r="DJ804" s="27" t="s">
        <v>7</v>
      </c>
      <c r="DY804" s="27" t="s">
        <v>8</v>
      </c>
    </row>
    <row r="805" spans="1:129" x14ac:dyDescent="0.25">
      <c r="A805" s="7">
        <v>1.3340206610552614E-2</v>
      </c>
      <c r="B805"/>
      <c r="C805"/>
      <c r="D805"/>
      <c r="E805"/>
      <c r="F805" s="27" t="s">
        <v>7</v>
      </c>
      <c r="DI805" s="27" t="s">
        <v>8</v>
      </c>
      <c r="DJ805" s="27" t="s">
        <v>7</v>
      </c>
      <c r="DY805" s="27" t="s">
        <v>8</v>
      </c>
    </row>
    <row r="806" spans="1:129" x14ac:dyDescent="0.25">
      <c r="A806" s="7">
        <v>1.3078633931914328E-2</v>
      </c>
      <c r="B806"/>
      <c r="C806"/>
      <c r="D806"/>
      <c r="E806"/>
      <c r="F806" s="27" t="s">
        <v>7</v>
      </c>
      <c r="DI806" s="27" t="s">
        <v>8</v>
      </c>
      <c r="DJ806" s="27" t="s">
        <v>7</v>
      </c>
      <c r="DY806" s="27" t="s">
        <v>8</v>
      </c>
    </row>
    <row r="807" spans="1:129" x14ac:dyDescent="0.25">
      <c r="A807" s="7">
        <v>1.2822190129327771E-2</v>
      </c>
      <c r="B807"/>
      <c r="C807"/>
      <c r="D807"/>
      <c r="E807"/>
      <c r="F807" s="27" t="s">
        <v>7</v>
      </c>
      <c r="DI807" s="27" t="s">
        <v>8</v>
      </c>
      <c r="DJ807" s="27" t="s">
        <v>7</v>
      </c>
      <c r="DY807" s="27" t="s">
        <v>8</v>
      </c>
    </row>
    <row r="808" spans="1:129" x14ac:dyDescent="0.25">
      <c r="A808" s="7">
        <v>1.2570774636595854E-2</v>
      </c>
      <c r="B808"/>
      <c r="C808"/>
      <c r="D808"/>
      <c r="E808"/>
      <c r="F808" s="27" t="s">
        <v>7</v>
      </c>
      <c r="DI808" s="27" t="s">
        <v>8</v>
      </c>
      <c r="DJ808" s="27" t="s">
        <v>7</v>
      </c>
      <c r="DY808" s="27" t="s">
        <v>8</v>
      </c>
    </row>
    <row r="809" spans="1:129" x14ac:dyDescent="0.25">
      <c r="A809" s="7">
        <v>1.23242888594077E-2</v>
      </c>
      <c r="B809"/>
      <c r="C809"/>
      <c r="D809"/>
      <c r="E809"/>
      <c r="F809" s="27" t="s">
        <v>7</v>
      </c>
      <c r="DI809" s="27" t="s">
        <v>8</v>
      </c>
      <c r="DJ809" s="27" t="s">
        <v>7</v>
      </c>
      <c r="DY809" s="27" t="s">
        <v>8</v>
      </c>
    </row>
    <row r="810" spans="1:129" x14ac:dyDescent="0.25">
      <c r="A810" s="7">
        <v>1.2082636136674216E-2</v>
      </c>
      <c r="B810"/>
      <c r="C810"/>
      <c r="D810"/>
      <c r="E810"/>
      <c r="F810" s="27" t="s">
        <v>7</v>
      </c>
      <c r="DI810" s="27" t="s">
        <v>8</v>
      </c>
      <c r="DJ810" s="27" t="s">
        <v>7</v>
      </c>
      <c r="DY810" s="27" t="s">
        <v>8</v>
      </c>
    </row>
    <row r="811" spans="1:129" x14ac:dyDescent="0.25">
      <c r="A811" s="7">
        <v>1.184572170262178E-2</v>
      </c>
      <c r="B811"/>
      <c r="C811"/>
      <c r="D811"/>
      <c r="E811"/>
      <c r="F811" s="27" t="s">
        <v>7</v>
      </c>
      <c r="DI811" s="27" t="s">
        <v>8</v>
      </c>
      <c r="DJ811" s="27" t="s">
        <v>7</v>
      </c>
      <c r="DY811" s="27" t="s">
        <v>8</v>
      </c>
    </row>
    <row r="812" spans="1:129" x14ac:dyDescent="0.25">
      <c r="A812" s="7">
        <v>1.1613452649629196E-2</v>
      </c>
      <c r="B812"/>
      <c r="C812"/>
      <c r="D812"/>
      <c r="E812"/>
      <c r="F812" s="27" t="s">
        <v>7</v>
      </c>
      <c r="DI812" s="27" t="s">
        <v>8</v>
      </c>
      <c r="DJ812" s="27" t="s">
        <v>7</v>
      </c>
      <c r="DY812" s="27" t="s">
        <v>8</v>
      </c>
    </row>
    <row r="813" spans="1:129" x14ac:dyDescent="0.25">
      <c r="A813" s="7">
        <v>1.138573789179333E-2</v>
      </c>
      <c r="B813"/>
      <c r="C813"/>
      <c r="D813"/>
      <c r="E813"/>
      <c r="F813" s="27" t="s">
        <v>7</v>
      </c>
      <c r="DI813" s="27" t="s">
        <v>8</v>
      </c>
      <c r="DJ813" s="27" t="s">
        <v>7</v>
      </c>
      <c r="DY813" s="27" t="s">
        <v>8</v>
      </c>
    </row>
    <row r="814" spans="1:129" x14ac:dyDescent="0.25">
      <c r="A814" s="7">
        <v>1.1162488129209149E-2</v>
      </c>
      <c r="B814"/>
      <c r="C814"/>
      <c r="D814"/>
      <c r="E814"/>
      <c r="F814" s="27" t="s">
        <v>7</v>
      </c>
      <c r="DI814" s="27" t="s">
        <v>8</v>
      </c>
      <c r="DJ814" s="27" t="s">
        <v>7</v>
      </c>
      <c r="DY814" s="27" t="s">
        <v>8</v>
      </c>
    </row>
    <row r="815" spans="1:129" x14ac:dyDescent="0.25">
      <c r="A815" s="7">
        <v>1.0943615812950145E-2</v>
      </c>
      <c r="B815"/>
      <c r="C815"/>
      <c r="D815"/>
      <c r="E815"/>
      <c r="F815" s="27" t="s">
        <v>7</v>
      </c>
      <c r="DI815" s="27" t="s">
        <v>8</v>
      </c>
      <c r="DJ815" s="27" t="s">
        <v>7</v>
      </c>
      <c r="DK815" s="27" t="s">
        <v>8</v>
      </c>
      <c r="DY815" s="27" t="s">
        <v>8</v>
      </c>
    </row>
    <row r="816" spans="1:129" x14ac:dyDescent="0.25">
      <c r="A816" s="7">
        <v>1.0729035110735436E-2</v>
      </c>
      <c r="B816"/>
      <c r="C816"/>
      <c r="D816"/>
      <c r="E816"/>
      <c r="F816" s="27" t="s">
        <v>7</v>
      </c>
      <c r="DI816" s="27" t="s">
        <v>8</v>
      </c>
      <c r="DJ816" s="27" t="s">
        <v>7</v>
      </c>
      <c r="DK816" s="27" t="s">
        <v>8</v>
      </c>
      <c r="DL816" s="27" t="s">
        <v>7</v>
      </c>
      <c r="DM816" s="27" t="s">
        <v>8</v>
      </c>
      <c r="DY816" s="27" t="s">
        <v>8</v>
      </c>
    </row>
    <row r="817" spans="1:129" x14ac:dyDescent="0.25">
      <c r="A817" s="7">
        <v>1.0518661873270036E-2</v>
      </c>
      <c r="B817"/>
      <c r="C817"/>
      <c r="D817"/>
      <c r="E817"/>
      <c r="F817" s="27" t="s">
        <v>7</v>
      </c>
      <c r="DI817" s="27" t="s">
        <v>8</v>
      </c>
      <c r="DJ817" s="27" t="s">
        <v>7</v>
      </c>
      <c r="DK817" s="27" t="s">
        <v>8</v>
      </c>
      <c r="DL817" s="27" t="s">
        <v>7</v>
      </c>
      <c r="DM817" s="27" t="s">
        <v>8</v>
      </c>
      <c r="DN817" s="27" t="s">
        <v>7</v>
      </c>
      <c r="DY817" s="27" t="s">
        <v>8</v>
      </c>
    </row>
    <row r="818" spans="1:129" x14ac:dyDescent="0.25">
      <c r="A818" s="7">
        <v>1.0312413601245135E-2</v>
      </c>
      <c r="B818"/>
      <c r="C818"/>
      <c r="D818"/>
      <c r="E818"/>
      <c r="F818" s="27" t="s">
        <v>7</v>
      </c>
      <c r="DI818" s="27" t="s">
        <v>8</v>
      </c>
      <c r="DJ818" s="27" t="s">
        <v>7</v>
      </c>
      <c r="DK818" s="27" t="s">
        <v>8</v>
      </c>
      <c r="DL818" s="27" t="s">
        <v>7</v>
      </c>
      <c r="DM818" s="27" t="s">
        <v>8</v>
      </c>
      <c r="DN818" s="27" t="s">
        <v>7</v>
      </c>
      <c r="DY818" s="27" t="s">
        <v>8</v>
      </c>
    </row>
    <row r="819" spans="1:129" x14ac:dyDescent="0.25">
      <c r="A819" s="7">
        <v>1.0110209412985426E-2</v>
      </c>
      <c r="B819"/>
      <c r="C819"/>
      <c r="D819"/>
      <c r="E819"/>
      <c r="F819" s="27" t="s">
        <v>7</v>
      </c>
      <c r="DI819" s="27" t="s">
        <v>8</v>
      </c>
      <c r="DJ819" s="27" t="s">
        <v>7</v>
      </c>
      <c r="DK819" s="27" t="s">
        <v>8</v>
      </c>
      <c r="DL819" s="27" t="s">
        <v>7</v>
      </c>
      <c r="DM819" s="27" t="s">
        <v>8</v>
      </c>
      <c r="DN819" s="27" t="s">
        <v>7</v>
      </c>
      <c r="DY819" s="27" t="s">
        <v>8</v>
      </c>
    </row>
    <row r="820" spans="1:129" x14ac:dyDescent="0.25">
      <c r="A820" s="7">
        <v>9.9119700127308103E-3</v>
      </c>
      <c r="B820"/>
      <c r="C820"/>
      <c r="D820"/>
      <c r="E820"/>
      <c r="F820" s="27" t="s">
        <v>7</v>
      </c>
      <c r="DI820" s="27" t="s">
        <v>8</v>
      </c>
      <c r="DJ820" s="27" t="s">
        <v>7</v>
      </c>
      <c r="DK820" s="27" t="s">
        <v>8</v>
      </c>
      <c r="DL820" s="27" t="s">
        <v>7</v>
      </c>
      <c r="DM820" s="27" t="s">
        <v>8</v>
      </c>
      <c r="DN820" s="27" t="s">
        <v>7</v>
      </c>
      <c r="DQ820" s="27" t="s">
        <v>8</v>
      </c>
      <c r="DY820" s="27" t="s">
        <v>8</v>
      </c>
    </row>
    <row r="821" spans="1:129" x14ac:dyDescent="0.25">
      <c r="A821" s="7">
        <v>9.717617659540009E-3</v>
      </c>
      <c r="B821"/>
      <c r="C821"/>
      <c r="D821"/>
      <c r="E821"/>
      <c r="F821" s="27" t="s">
        <v>7</v>
      </c>
      <c r="DI821" s="27" t="s">
        <v>8</v>
      </c>
      <c r="DJ821" s="27" t="s">
        <v>7</v>
      </c>
      <c r="DK821" s="27" t="s">
        <v>8</v>
      </c>
      <c r="DL821" s="27" t="s">
        <v>7</v>
      </c>
      <c r="DM821" s="27" t="s">
        <v>8</v>
      </c>
      <c r="DN821" s="27" t="s">
        <v>7</v>
      </c>
      <c r="DQ821" s="27" t="s">
        <v>8</v>
      </c>
      <c r="DR821" s="27" t="s">
        <v>7</v>
      </c>
      <c r="DY821" s="27" t="s">
        <v>8</v>
      </c>
    </row>
    <row r="822" spans="1:129" x14ac:dyDescent="0.25">
      <c r="A822" s="7">
        <v>9.5270761368039299E-3</v>
      </c>
      <c r="B822"/>
      <c r="C822"/>
      <c r="D822"/>
      <c r="E822"/>
      <c r="F822" s="27" t="s">
        <v>7</v>
      </c>
      <c r="DI822" s="27" t="s">
        <v>8</v>
      </c>
      <c r="DJ822" s="27" t="s">
        <v>7</v>
      </c>
      <c r="DK822" s="27" t="s">
        <v>8</v>
      </c>
      <c r="DL822" s="27" t="s">
        <v>7</v>
      </c>
      <c r="DM822" s="27" t="s">
        <v>8</v>
      </c>
      <c r="DN822" s="27" t="s">
        <v>7</v>
      </c>
      <c r="DQ822" s="27" t="s">
        <v>8</v>
      </c>
      <c r="DR822" s="27" t="s">
        <v>7</v>
      </c>
      <c r="DS822" s="27" t="s">
        <v>8</v>
      </c>
      <c r="DU822" s="27" t="s">
        <v>8</v>
      </c>
      <c r="DY822" s="27" t="s">
        <v>8</v>
      </c>
    </row>
    <row r="823" spans="1:129" x14ac:dyDescent="0.25">
      <c r="A823" s="7">
        <v>9.3402707223567936E-3</v>
      </c>
      <c r="B823"/>
      <c r="C823"/>
      <c r="D823"/>
      <c r="E823"/>
      <c r="F823" s="27" t="s">
        <v>7</v>
      </c>
      <c r="DI823" s="27" t="s">
        <v>8</v>
      </c>
      <c r="DJ823" s="27" t="s">
        <v>7</v>
      </c>
      <c r="DK823" s="27" t="s">
        <v>8</v>
      </c>
      <c r="DL823" s="27" t="s">
        <v>7</v>
      </c>
      <c r="DM823" s="27" t="s">
        <v>8</v>
      </c>
      <c r="DN823" s="27" t="s">
        <v>7</v>
      </c>
      <c r="DQ823" s="27" t="s">
        <v>8</v>
      </c>
      <c r="DR823" s="27" t="s">
        <v>7</v>
      </c>
      <c r="DS823" s="27" t="s">
        <v>8</v>
      </c>
      <c r="DT823" s="27" t="s">
        <v>7</v>
      </c>
      <c r="DU823" s="27" t="s">
        <v>8</v>
      </c>
      <c r="DV823" s="27" t="s">
        <v>7</v>
      </c>
      <c r="DY823" s="27" t="s">
        <v>8</v>
      </c>
    </row>
    <row r="824" spans="1:129" x14ac:dyDescent="0.25">
      <c r="A824" s="7">
        <v>9.1571281591733261E-3</v>
      </c>
      <c r="B824"/>
      <c r="C824"/>
      <c r="D824"/>
      <c r="E824"/>
      <c r="F824" s="27" t="s">
        <v>7</v>
      </c>
      <c r="DI824" s="27" t="s">
        <v>8</v>
      </c>
      <c r="DJ824" s="27" t="s">
        <v>7</v>
      </c>
      <c r="DK824" s="27" t="s">
        <v>8</v>
      </c>
      <c r="DL824" s="27" t="s">
        <v>7</v>
      </c>
      <c r="DM824" s="27" t="s">
        <v>8</v>
      </c>
      <c r="DN824" s="27" t="s">
        <v>7</v>
      </c>
      <c r="DQ824" s="27" t="s">
        <v>8</v>
      </c>
      <c r="DR824" s="27" t="s">
        <v>7</v>
      </c>
      <c r="DS824" s="27" t="s">
        <v>8</v>
      </c>
      <c r="DT824" s="27" t="s">
        <v>7</v>
      </c>
      <c r="DU824" s="27" t="s">
        <v>8</v>
      </c>
      <c r="DV824" s="27" t="s">
        <v>7</v>
      </c>
      <c r="DY824" s="27" t="s">
        <v>8</v>
      </c>
    </row>
    <row r="825" spans="1:129" x14ac:dyDescent="0.25">
      <c r="A825" s="7">
        <v>8.9775766266405148E-3</v>
      </c>
      <c r="B825"/>
      <c r="C825"/>
      <c r="D825"/>
      <c r="E825"/>
      <c r="F825" s="27" t="s">
        <v>7</v>
      </c>
      <c r="DI825" s="27" t="s">
        <v>8</v>
      </c>
      <c r="DJ825" s="27" t="s">
        <v>7</v>
      </c>
      <c r="DK825" s="27" t="s">
        <v>8</v>
      </c>
      <c r="DL825" s="27" t="s">
        <v>7</v>
      </c>
      <c r="DM825" s="27" t="s">
        <v>8</v>
      </c>
      <c r="DN825" s="27" t="s">
        <v>7</v>
      </c>
      <c r="DO825" s="27" t="s">
        <v>8</v>
      </c>
      <c r="DQ825" s="27" t="s">
        <v>8</v>
      </c>
      <c r="DR825" s="27" t="s">
        <v>7</v>
      </c>
      <c r="DS825" s="27" t="s">
        <v>8</v>
      </c>
      <c r="DT825" s="27" t="s">
        <v>7</v>
      </c>
      <c r="DU825" s="27" t="s">
        <v>8</v>
      </c>
      <c r="DV825" s="27" t="s">
        <v>7</v>
      </c>
      <c r="DY825" s="27" t="s">
        <v>8</v>
      </c>
    </row>
    <row r="826" spans="1:129" x14ac:dyDescent="0.25">
      <c r="A826" s="7">
        <v>8.8015457123926614E-3</v>
      </c>
      <c r="B826"/>
      <c r="C826"/>
      <c r="D826"/>
      <c r="E826"/>
      <c r="F826" s="27" t="s">
        <v>7</v>
      </c>
      <c r="DI826" s="27" t="s">
        <v>8</v>
      </c>
      <c r="DJ826" s="27" t="s">
        <v>7</v>
      </c>
      <c r="DK826" s="27" t="s">
        <v>8</v>
      </c>
      <c r="DL826" s="27" t="s">
        <v>7</v>
      </c>
      <c r="DN826" s="27" t="s">
        <v>7</v>
      </c>
      <c r="DO826" s="27" t="s">
        <v>8</v>
      </c>
      <c r="DP826" s="27" t="s">
        <v>7</v>
      </c>
      <c r="DQ826" s="27" t="s">
        <v>8</v>
      </c>
      <c r="DR826" s="27" t="s">
        <v>7</v>
      </c>
      <c r="DS826" s="27" t="s">
        <v>8</v>
      </c>
      <c r="DT826" s="27" t="s">
        <v>7</v>
      </c>
      <c r="DV826" s="27" t="s">
        <v>7</v>
      </c>
      <c r="DW826" s="27" t="s">
        <v>8</v>
      </c>
      <c r="DY826" s="27" t="s">
        <v>8</v>
      </c>
    </row>
    <row r="827" spans="1:129" x14ac:dyDescent="0.25">
      <c r="A827" s="7">
        <v>8.6289663846986879E-3</v>
      </c>
      <c r="B827"/>
      <c r="C827"/>
      <c r="D827"/>
      <c r="E827"/>
      <c r="F827" s="27" t="s">
        <v>7</v>
      </c>
      <c r="DI827" s="27" t="s">
        <v>8</v>
      </c>
      <c r="DJ827" s="27" t="s">
        <v>7</v>
      </c>
      <c r="DK827" s="27" t="s">
        <v>8</v>
      </c>
      <c r="DN827" s="27" t="s">
        <v>7</v>
      </c>
      <c r="DO827" s="27" t="s">
        <v>8</v>
      </c>
      <c r="DP827" s="27" t="s">
        <v>7</v>
      </c>
      <c r="DQ827" s="27" t="s">
        <v>8</v>
      </c>
      <c r="DR827" s="27" t="s">
        <v>7</v>
      </c>
      <c r="DS827" s="27" t="s">
        <v>8</v>
      </c>
      <c r="DV827" s="27" t="s">
        <v>7</v>
      </c>
      <c r="DW827" s="27" t="s">
        <v>8</v>
      </c>
      <c r="DX827" s="27" t="s">
        <v>7</v>
      </c>
      <c r="DY827" s="27" t="s">
        <v>8</v>
      </c>
    </row>
    <row r="828" spans="1:129" x14ac:dyDescent="0.25">
      <c r="A828" s="7">
        <v>8.4597709653908715E-3</v>
      </c>
      <c r="B828"/>
      <c r="C828"/>
      <c r="D828"/>
      <c r="E828"/>
      <c r="F828" s="27" t="s">
        <v>7</v>
      </c>
      <c r="DI828" s="27" t="s">
        <v>8</v>
      </c>
      <c r="DJ828" s="27" t="s">
        <v>7</v>
      </c>
      <c r="DK828" s="27" t="s">
        <v>8</v>
      </c>
      <c r="DN828" s="27" t="s">
        <v>7</v>
      </c>
      <c r="DO828" s="27" t="s">
        <v>8</v>
      </c>
      <c r="DP828" s="27" t="s">
        <v>7</v>
      </c>
      <c r="DQ828" s="27" t="s">
        <v>8</v>
      </c>
      <c r="DR828" s="27" t="s">
        <v>7</v>
      </c>
      <c r="DV828" s="27" t="s">
        <v>7</v>
      </c>
      <c r="DW828" s="27" t="s">
        <v>8</v>
      </c>
      <c r="DX828" s="27" t="s">
        <v>7</v>
      </c>
      <c r="DY828" s="27" t="s">
        <v>8</v>
      </c>
    </row>
    <row r="829" spans="1:129" x14ac:dyDescent="0.25">
      <c r="A829" s="7">
        <v>8.2938931033243839E-3</v>
      </c>
      <c r="B829"/>
      <c r="C829"/>
      <c r="D829"/>
      <c r="E829"/>
      <c r="F829" s="27" t="s">
        <v>7</v>
      </c>
      <c r="DI829" s="27" t="s">
        <v>8</v>
      </c>
      <c r="DJ829" s="27" t="s">
        <v>7</v>
      </c>
      <c r="DK829" s="27" t="s">
        <v>8</v>
      </c>
      <c r="DN829" s="27" t="s">
        <v>7</v>
      </c>
      <c r="DO829" s="27" t="s">
        <v>8</v>
      </c>
      <c r="DP829" s="27" t="s">
        <v>7</v>
      </c>
      <c r="DQ829" s="27" t="s">
        <v>8</v>
      </c>
      <c r="DV829" s="27" t="s">
        <v>7</v>
      </c>
      <c r="DW829" s="27" t="s">
        <v>8</v>
      </c>
      <c r="DX829" s="27" t="s">
        <v>7</v>
      </c>
      <c r="DY829" s="27" t="s">
        <v>8</v>
      </c>
    </row>
    <row r="830" spans="1:129" x14ac:dyDescent="0.25">
      <c r="A830" s="7">
        <v>8.1312677483572383E-3</v>
      </c>
      <c r="B830"/>
      <c r="C830"/>
      <c r="D830"/>
      <c r="E830"/>
      <c r="F830" s="27" t="s">
        <v>7</v>
      </c>
      <c r="DI830" s="27" t="s">
        <v>8</v>
      </c>
      <c r="DJ830" s="27" t="s">
        <v>7</v>
      </c>
      <c r="DK830" s="27" t="s">
        <v>8</v>
      </c>
      <c r="DN830" s="27" t="s">
        <v>7</v>
      </c>
      <c r="DO830" s="27" t="s">
        <v>8</v>
      </c>
      <c r="DP830" s="27" t="s">
        <v>7</v>
      </c>
      <c r="DQ830" s="27" t="s">
        <v>8</v>
      </c>
      <c r="DV830" s="27" t="s">
        <v>7</v>
      </c>
      <c r="DW830" s="27" t="s">
        <v>8</v>
      </c>
      <c r="DX830" s="27" t="s">
        <v>7</v>
      </c>
      <c r="DY830" s="27" t="s">
        <v>8</v>
      </c>
    </row>
    <row r="831" spans="1:129" x14ac:dyDescent="0.25">
      <c r="A831" s="7">
        <v>7.9718311258404305E-3</v>
      </c>
      <c r="B831"/>
      <c r="C831"/>
      <c r="D831"/>
      <c r="E831"/>
      <c r="F831" s="27" t="s">
        <v>7</v>
      </c>
      <c r="DI831" s="27" t="s">
        <v>8</v>
      </c>
      <c r="DJ831" s="27" t="s">
        <v>7</v>
      </c>
      <c r="DK831" s="27" t="s">
        <v>8</v>
      </c>
      <c r="DN831" s="27" t="s">
        <v>7</v>
      </c>
      <c r="DO831" s="27" t="s">
        <v>8</v>
      </c>
      <c r="DP831" s="27" t="s">
        <v>7</v>
      </c>
      <c r="DQ831" s="27" t="s">
        <v>8</v>
      </c>
      <c r="DV831" s="27" t="s">
        <v>7</v>
      </c>
      <c r="DW831" s="27" t="s">
        <v>8</v>
      </c>
      <c r="DX831" s="27" t="s">
        <v>7</v>
      </c>
      <c r="DY831" s="27" t="s">
        <v>8</v>
      </c>
    </row>
    <row r="832" spans="1:129" x14ac:dyDescent="0.25">
      <c r="A832" s="7">
        <v>7.8155207116082648E-3</v>
      </c>
      <c r="B832"/>
      <c r="C832"/>
      <c r="D832"/>
      <c r="E832"/>
      <c r="F832" s="27" t="s">
        <v>7</v>
      </c>
      <c r="DI832" s="27" t="s">
        <v>8</v>
      </c>
      <c r="DJ832" s="27" t="s">
        <v>7</v>
      </c>
      <c r="DK832" s="27" t="s">
        <v>8</v>
      </c>
      <c r="DN832" s="27" t="s">
        <v>7</v>
      </c>
      <c r="DO832" s="27" t="s">
        <v>8</v>
      </c>
      <c r="DP832" s="27" t="s">
        <v>7</v>
      </c>
      <c r="DV832" s="27" t="s">
        <v>7</v>
      </c>
      <c r="DW832" s="27" t="s">
        <v>8</v>
      </c>
      <c r="DX832" s="27" t="s">
        <v>7</v>
      </c>
      <c r="DY832" s="27" t="s">
        <v>8</v>
      </c>
    </row>
    <row r="833" spans="1:129" x14ac:dyDescent="0.25">
      <c r="A833" s="7">
        <v>7.6622752074590825E-3</v>
      </c>
      <c r="B833"/>
      <c r="C833"/>
      <c r="D833"/>
      <c r="E833"/>
      <c r="F833" s="27" t="s">
        <v>7</v>
      </c>
      <c r="DI833" s="27" t="s">
        <v>8</v>
      </c>
      <c r="DJ833" s="27" t="s">
        <v>7</v>
      </c>
      <c r="DN833" s="27" t="s">
        <v>7</v>
      </c>
      <c r="DO833" s="27" t="s">
        <v>8</v>
      </c>
      <c r="DV833" s="27" t="s">
        <v>7</v>
      </c>
      <c r="DX833" s="27" t="s">
        <v>7</v>
      </c>
      <c r="DY833" s="27" t="s">
        <v>8</v>
      </c>
    </row>
    <row r="834" spans="1:129" x14ac:dyDescent="0.25">
      <c r="A834" s="7">
        <v>7.5120345171167469E-3</v>
      </c>
      <c r="B834"/>
      <c r="C834"/>
      <c r="D834"/>
      <c r="E834"/>
      <c r="F834" s="27" t="s">
        <v>7</v>
      </c>
      <c r="DI834" s="27" t="s">
        <v>8</v>
      </c>
      <c r="DN834" s="27" t="s">
        <v>7</v>
      </c>
      <c r="DO834" s="27" t="s">
        <v>8</v>
      </c>
      <c r="DX834" s="27" t="s">
        <v>7</v>
      </c>
      <c r="DY834" s="27" t="s">
        <v>8</v>
      </c>
    </row>
    <row r="835" spans="1:129" x14ac:dyDescent="0.25">
      <c r="A835" s="7">
        <v>7.3647397226634772E-3</v>
      </c>
      <c r="B835"/>
      <c r="C835"/>
      <c r="D835"/>
      <c r="E835"/>
      <c r="F835" s="27" t="s">
        <v>7</v>
      </c>
      <c r="DI835" s="27" t="s">
        <v>8</v>
      </c>
      <c r="DN835" s="27" t="s">
        <v>7</v>
      </c>
      <c r="DO835" s="27" t="s">
        <v>8</v>
      </c>
      <c r="DX835" s="27" t="s">
        <v>7</v>
      </c>
    </row>
    <row r="836" spans="1:129" x14ac:dyDescent="0.25">
      <c r="A836" s="7">
        <v>7.2203330614347815E-3</v>
      </c>
      <c r="B836"/>
      <c r="C836"/>
      <c r="D836"/>
      <c r="E836"/>
      <c r="F836" s="27" t="s">
        <v>7</v>
      </c>
      <c r="DI836" s="27" t="s">
        <v>8</v>
      </c>
      <c r="DN836" s="27" t="s">
        <v>7</v>
      </c>
      <c r="DO836" s="27" t="s">
        <v>8</v>
      </c>
    </row>
    <row r="837" spans="1:129" x14ac:dyDescent="0.25">
      <c r="A837" s="7">
        <v>7.0787579033674327E-3</v>
      </c>
      <c r="B837"/>
      <c r="C837"/>
      <c r="D837"/>
      <c r="E837"/>
      <c r="F837" s="27" t="s">
        <v>7</v>
      </c>
      <c r="DI837" s="27" t="s">
        <v>8</v>
      </c>
      <c r="DN837" s="27" t="s">
        <v>7</v>
      </c>
      <c r="DO837" s="27" t="s">
        <v>8</v>
      </c>
    </row>
    <row r="838" spans="1:129" x14ac:dyDescent="0.25">
      <c r="A838" s="7">
        <v>6.9399587287916013E-3</v>
      </c>
      <c r="B838"/>
      <c r="C838"/>
      <c r="D838"/>
      <c r="E838"/>
      <c r="F838" s="27" t="s">
        <v>7</v>
      </c>
      <c r="DI838" s="27" t="s">
        <v>8</v>
      </c>
      <c r="DN838" s="27" t="s">
        <v>7</v>
      </c>
      <c r="DO838" s="27" t="s">
        <v>8</v>
      </c>
    </row>
    <row r="839" spans="1:129" x14ac:dyDescent="0.25">
      <c r="A839" s="7">
        <v>6.8038811066584333E-3</v>
      </c>
      <c r="B839"/>
      <c r="C839"/>
      <c r="D839"/>
      <c r="E839"/>
      <c r="F839" s="27" t="s">
        <v>7</v>
      </c>
      <c r="DI839" s="27" t="s">
        <v>8</v>
      </c>
      <c r="DN839" s="27" t="s">
        <v>7</v>
      </c>
    </row>
    <row r="840" spans="1:129" x14ac:dyDescent="0.25">
      <c r="A840" s="7">
        <v>6.6704716731945425E-3</v>
      </c>
      <c r="B840"/>
      <c r="C840"/>
      <c r="D840"/>
      <c r="E840"/>
      <c r="F840" s="27" t="s">
        <v>7</v>
      </c>
      <c r="DI840" s="27" t="s">
        <v>8</v>
      </c>
    </row>
    <row r="841" spans="1:129" x14ac:dyDescent="0.25">
      <c r="A841" s="7">
        <v>6.5396781109750427E-3</v>
      </c>
      <c r="B841"/>
      <c r="C841"/>
      <c r="D841"/>
      <c r="E841"/>
      <c r="F841" s="27" t="s">
        <v>7</v>
      </c>
      <c r="DI841" s="27" t="s">
        <v>8</v>
      </c>
    </row>
    <row r="842" spans="1:129" x14ac:dyDescent="0.25">
      <c r="A842" s="7">
        <v>6.4114491284069045E-3</v>
      </c>
      <c r="B842"/>
      <c r="C842"/>
      <c r="D842"/>
      <c r="E842"/>
      <c r="F842" s="27" t="s">
        <v>7</v>
      </c>
      <c r="DI842" s="27" t="s">
        <v>8</v>
      </c>
    </row>
    <row r="843" spans="1:129" x14ac:dyDescent="0.25">
      <c r="A843" s="7">
        <v>6.2857344396146115E-3</v>
      </c>
      <c r="B843"/>
      <c r="C843"/>
      <c r="D843"/>
      <c r="E843"/>
      <c r="F843" s="27" t="s">
        <v>7</v>
      </c>
      <c r="DI843" s="27" t="s">
        <v>8</v>
      </c>
    </row>
    <row r="844" spans="1:129" x14ac:dyDescent="0.25">
      <c r="A844" s="7">
        <v>6.1624847447202076E-3</v>
      </c>
      <c r="B844"/>
      <c r="C844"/>
      <c r="D844"/>
      <c r="E844"/>
      <c r="F844" s="27" t="s">
        <v>7</v>
      </c>
      <c r="DI844" s="27" t="s">
        <v>8</v>
      </c>
    </row>
    <row r="845" spans="1:129" x14ac:dyDescent="0.25">
      <c r="A845" s="7">
        <v>6.0416517105100079E-3</v>
      </c>
      <c r="B845"/>
      <c r="C845"/>
      <c r="D845"/>
      <c r="E845"/>
      <c r="F845" s="27" t="s">
        <v>7</v>
      </c>
      <c r="DI845" s="27" t="s">
        <v>8</v>
      </c>
    </row>
    <row r="846" spans="1:129" x14ac:dyDescent="0.25">
      <c r="A846" s="7">
        <v>5.9231879514803996E-3</v>
      </c>
      <c r="B846"/>
      <c r="C846"/>
      <c r="D846"/>
      <c r="E846"/>
      <c r="F846" s="27" t="s">
        <v>7</v>
      </c>
      <c r="DI846" s="27" t="s">
        <v>8</v>
      </c>
    </row>
    <row r="847" spans="1:129" x14ac:dyDescent="0.25">
      <c r="A847" s="7">
        <v>5.8070470112552936E-3</v>
      </c>
      <c r="B847"/>
      <c r="C847"/>
      <c r="D847"/>
      <c r="E847"/>
      <c r="F847" s="27" t="s">
        <v>7</v>
      </c>
      <c r="DI847" s="27" t="s">
        <v>8</v>
      </c>
    </row>
    <row r="848" spans="1:129" x14ac:dyDescent="0.25">
      <c r="A848" s="7">
        <v>5.6931833443679353E-3</v>
      </c>
      <c r="B848"/>
      <c r="C848"/>
      <c r="D848"/>
      <c r="E848"/>
      <c r="F848" s="27" t="s">
        <v>7</v>
      </c>
      <c r="DI848" s="27" t="s">
        <v>8</v>
      </c>
    </row>
    <row r="849" spans="1:113" x14ac:dyDescent="0.25">
      <c r="A849" s="7">
        <v>5.5815522983999367E-3</v>
      </c>
      <c r="B849"/>
      <c r="C849"/>
      <c r="D849"/>
      <c r="E849"/>
      <c r="F849" s="27" t="s">
        <v>7</v>
      </c>
      <c r="BK849" s="27" t="s">
        <v>8</v>
      </c>
      <c r="DI849" s="27" t="s">
        <v>8</v>
      </c>
    </row>
    <row r="850" spans="1:113" x14ac:dyDescent="0.25">
      <c r="A850" s="7">
        <v>5.4721100964705257E-3</v>
      </c>
      <c r="B850"/>
      <c r="C850"/>
      <c r="D850"/>
      <c r="E850"/>
      <c r="F850" s="27" t="s">
        <v>7</v>
      </c>
      <c r="BK850" s="27" t="s">
        <v>8</v>
      </c>
      <c r="BL850" s="27" t="s">
        <v>7</v>
      </c>
      <c r="DE850" s="27" t="s">
        <v>8</v>
      </c>
      <c r="DI850" s="27" t="s">
        <v>8</v>
      </c>
    </row>
    <row r="851" spans="1:113" x14ac:dyDescent="0.25">
      <c r="A851" s="7">
        <v>5.3648138200691423E-3</v>
      </c>
      <c r="B851"/>
      <c r="C851"/>
      <c r="D851"/>
      <c r="E851"/>
      <c r="F851" s="27" t="s">
        <v>7</v>
      </c>
      <c r="BK851" s="27" t="s">
        <v>8</v>
      </c>
      <c r="BL851" s="27" t="s">
        <v>7</v>
      </c>
      <c r="DE851" s="27" t="s">
        <v>8</v>
      </c>
      <c r="DF851" s="27" t="s">
        <v>7</v>
      </c>
      <c r="DI851" s="27" t="s">
        <v>8</v>
      </c>
    </row>
    <row r="852" spans="1:113" x14ac:dyDescent="0.25">
      <c r="A852" s="7">
        <v>5.2596213922246494E-3</v>
      </c>
      <c r="B852"/>
      <c r="C852"/>
      <c r="D852"/>
      <c r="E852"/>
      <c r="F852" s="27" t="s">
        <v>7</v>
      </c>
      <c r="BK852" s="27" t="s">
        <v>8</v>
      </c>
      <c r="BL852" s="27" t="s">
        <v>7</v>
      </c>
      <c r="DE852" s="27" t="s">
        <v>8</v>
      </c>
      <c r="DF852" s="27" t="s">
        <v>7</v>
      </c>
      <c r="DI852" s="27" t="s">
        <v>8</v>
      </c>
    </row>
    <row r="853" spans="1:113" x14ac:dyDescent="0.25">
      <c r="A853" s="7">
        <v>5.1564915610045588E-3</v>
      </c>
      <c r="B853"/>
      <c r="C853"/>
      <c r="D853"/>
      <c r="E853"/>
      <c r="F853" s="27" t="s">
        <v>7</v>
      </c>
      <c r="BK853" s="27" t="s">
        <v>8</v>
      </c>
      <c r="BL853" s="27" t="s">
        <v>7</v>
      </c>
      <c r="DE853" s="27" t="s">
        <v>8</v>
      </c>
      <c r="DF853" s="27" t="s">
        <v>7</v>
      </c>
      <c r="DI853" s="27" t="s">
        <v>8</v>
      </c>
    </row>
    <row r="854" spans="1:113" x14ac:dyDescent="0.25">
      <c r="A854" s="7">
        <v>5.0553838833378023E-3</v>
      </c>
      <c r="B854"/>
      <c r="C854"/>
      <c r="D854"/>
      <c r="E854"/>
      <c r="F854" s="27" t="s">
        <v>7</v>
      </c>
      <c r="BK854" s="27" t="s">
        <v>8</v>
      </c>
      <c r="BL854" s="27" t="s">
        <v>7</v>
      </c>
      <c r="DE854" s="27" t="s">
        <v>8</v>
      </c>
      <c r="DF854" s="27" t="s">
        <v>7</v>
      </c>
      <c r="DI854" s="27" t="s">
        <v>8</v>
      </c>
    </row>
    <row r="855" spans="1:113" x14ac:dyDescent="0.25">
      <c r="A855" s="7">
        <v>4.9562587091547079E-3</v>
      </c>
      <c r="B855"/>
      <c r="C855"/>
      <c r="D855"/>
      <c r="E855"/>
      <c r="F855" s="27" t="s">
        <v>7</v>
      </c>
      <c r="BK855" s="27" t="s">
        <v>8</v>
      </c>
      <c r="BL855" s="27" t="s">
        <v>7</v>
      </c>
      <c r="DE855" s="27" t="s">
        <v>8</v>
      </c>
      <c r="DF855" s="27" t="s">
        <v>7</v>
      </c>
      <c r="DI855" s="27" t="s">
        <v>8</v>
      </c>
    </row>
    <row r="856" spans="1:113" x14ac:dyDescent="0.25">
      <c r="A856" s="7">
        <v>4.8590771658379491E-3</v>
      </c>
      <c r="B856"/>
      <c r="C856"/>
      <c r="D856"/>
      <c r="E856"/>
      <c r="F856" s="27" t="s">
        <v>7</v>
      </c>
      <c r="M856" s="27" t="s">
        <v>8</v>
      </c>
      <c r="BK856" s="27" t="s">
        <v>8</v>
      </c>
      <c r="BL856" s="27" t="s">
        <v>7</v>
      </c>
      <c r="DE856" s="27" t="s">
        <v>8</v>
      </c>
      <c r="DF856" s="27" t="s">
        <v>7</v>
      </c>
      <c r="DI856" s="27" t="s">
        <v>8</v>
      </c>
    </row>
    <row r="857" spans="1:113" x14ac:dyDescent="0.25">
      <c r="A857" s="7">
        <v>4.7638011429783815E-3</v>
      </c>
      <c r="B857"/>
      <c r="C857"/>
      <c r="D857"/>
      <c r="E857"/>
      <c r="F857" s="27" t="s">
        <v>7</v>
      </c>
      <c r="M857" s="27" t="s">
        <v>8</v>
      </c>
      <c r="N857" s="27" t="s">
        <v>7</v>
      </c>
      <c r="BK857" s="27" t="s">
        <v>8</v>
      </c>
      <c r="BL857" s="27" t="s">
        <v>7</v>
      </c>
      <c r="DE857" s="27" t="s">
        <v>8</v>
      </c>
      <c r="DF857" s="27" t="s">
        <v>7</v>
      </c>
      <c r="DG857" s="27" t="s">
        <v>8</v>
      </c>
      <c r="DI857" s="27" t="s">
        <v>8</v>
      </c>
    </row>
    <row r="858" spans="1:113" x14ac:dyDescent="0.25">
      <c r="A858" s="7">
        <v>4.6703932774297859E-3</v>
      </c>
      <c r="B858"/>
      <c r="C858"/>
      <c r="D858"/>
      <c r="E858"/>
      <c r="F858" s="27" t="s">
        <v>7</v>
      </c>
      <c r="M858" s="27" t="s">
        <v>8</v>
      </c>
      <c r="N858" s="27" t="s">
        <v>7</v>
      </c>
      <c r="BK858" s="27" t="s">
        <v>8</v>
      </c>
      <c r="BL858" s="27" t="s">
        <v>7</v>
      </c>
      <c r="DE858" s="27" t="s">
        <v>8</v>
      </c>
      <c r="DF858" s="27" t="s">
        <v>7</v>
      </c>
      <c r="DG858" s="27" t="s">
        <v>8</v>
      </c>
      <c r="DH858" s="27" t="s">
        <v>7</v>
      </c>
      <c r="DI858" s="27" t="s">
        <v>8</v>
      </c>
    </row>
    <row r="859" spans="1:113" x14ac:dyDescent="0.25">
      <c r="A859" s="7">
        <v>4.5788169386566527E-3</v>
      </c>
      <c r="B859"/>
      <c r="C859"/>
      <c r="D859"/>
      <c r="E859"/>
      <c r="F859" s="27" t="s">
        <v>7</v>
      </c>
      <c r="M859" s="27" t="s">
        <v>8</v>
      </c>
      <c r="N859" s="27" t="s">
        <v>7</v>
      </c>
      <c r="BK859" s="27" t="s">
        <v>8</v>
      </c>
      <c r="BL859" s="27" t="s">
        <v>7</v>
      </c>
      <c r="DE859" s="27" t="s">
        <v>8</v>
      </c>
      <c r="DF859" s="27" t="s">
        <v>7</v>
      </c>
      <c r="DG859" s="27" t="s">
        <v>8</v>
      </c>
      <c r="DH859" s="27" t="s">
        <v>7</v>
      </c>
      <c r="DI859" s="27" t="s">
        <v>8</v>
      </c>
    </row>
    <row r="860" spans="1:113" x14ac:dyDescent="0.25">
      <c r="A860" s="7">
        <v>4.4890362143692672E-3</v>
      </c>
      <c r="B860"/>
      <c r="C860"/>
      <c r="D860"/>
      <c r="E860"/>
      <c r="F860" s="27" t="s">
        <v>7</v>
      </c>
      <c r="M860" s="27" t="s">
        <v>8</v>
      </c>
      <c r="N860" s="27" t="s">
        <v>7</v>
      </c>
      <c r="BK860" s="27" t="s">
        <v>8</v>
      </c>
      <c r="BL860" s="27" t="s">
        <v>7</v>
      </c>
      <c r="DE860" s="27" t="s">
        <v>8</v>
      </c>
      <c r="DF860" s="27" t="s">
        <v>7</v>
      </c>
      <c r="DG860" s="27" t="s">
        <v>8</v>
      </c>
      <c r="DH860" s="27" t="s">
        <v>7</v>
      </c>
      <c r="DI860" s="27" t="s">
        <v>8</v>
      </c>
    </row>
    <row r="861" spans="1:113" x14ac:dyDescent="0.25">
      <c r="A861" s="7">
        <v>4.4010158964404578E-3</v>
      </c>
      <c r="B861"/>
      <c r="C861"/>
      <c r="D861"/>
      <c r="E861"/>
      <c r="F861" s="27" t="s">
        <v>7</v>
      </c>
      <c r="M861" s="27" t="s">
        <v>8</v>
      </c>
      <c r="N861" s="27" t="s">
        <v>7</v>
      </c>
      <c r="BK861" s="27" t="s">
        <v>8</v>
      </c>
      <c r="BL861" s="27" t="s">
        <v>7</v>
      </c>
      <c r="DE861" s="27" t="s">
        <v>8</v>
      </c>
      <c r="DF861" s="27" t="s">
        <v>7</v>
      </c>
      <c r="DG861" s="27" t="s">
        <v>8</v>
      </c>
      <c r="DH861" s="27" t="s">
        <v>7</v>
      </c>
      <c r="DI861" s="27" t="s">
        <v>8</v>
      </c>
    </row>
    <row r="862" spans="1:113" x14ac:dyDescent="0.25">
      <c r="A862" s="7">
        <v>4.314721467098488E-3</v>
      </c>
      <c r="B862"/>
      <c r="C862"/>
      <c r="D862"/>
      <c r="E862"/>
      <c r="F862" s="27" t="s">
        <v>7</v>
      </c>
      <c r="M862" s="27" t="s">
        <v>8</v>
      </c>
      <c r="N862" s="27" t="s">
        <v>7</v>
      </c>
      <c r="BK862" s="27" t="s">
        <v>8</v>
      </c>
      <c r="BL862" s="27" t="s">
        <v>7</v>
      </c>
      <c r="DE862" s="27" t="s">
        <v>8</v>
      </c>
      <c r="DF862" s="27" t="s">
        <v>7</v>
      </c>
      <c r="DG862" s="27" t="s">
        <v>8</v>
      </c>
      <c r="DH862" s="27" t="s">
        <v>7</v>
      </c>
    </row>
    <row r="863" spans="1:113" x14ac:dyDescent="0.25">
      <c r="A863" s="7">
        <v>4.2301190853906746E-3</v>
      </c>
      <c r="B863"/>
      <c r="C863"/>
      <c r="D863"/>
      <c r="E863"/>
      <c r="F863" s="27" t="s">
        <v>7</v>
      </c>
      <c r="M863" s="27" t="s">
        <v>8</v>
      </c>
      <c r="N863" s="27" t="s">
        <v>7</v>
      </c>
      <c r="BK863" s="27" t="s">
        <v>8</v>
      </c>
      <c r="BL863" s="27" t="s">
        <v>7</v>
      </c>
      <c r="CW863" s="27" t="s">
        <v>8</v>
      </c>
      <c r="DE863" s="27" t="s">
        <v>8</v>
      </c>
      <c r="DF863" s="27" t="s">
        <v>7</v>
      </c>
      <c r="DG863" s="27" t="s">
        <v>8</v>
      </c>
    </row>
    <row r="864" spans="1:113" x14ac:dyDescent="0.25">
      <c r="A864" s="7">
        <v>4.1471755739124266E-3</v>
      </c>
      <c r="B864"/>
      <c r="C864"/>
      <c r="D864"/>
      <c r="E864"/>
      <c r="F864" s="27" t="s">
        <v>7</v>
      </c>
      <c r="M864" s="27" t="s">
        <v>8</v>
      </c>
      <c r="N864" s="27" t="s">
        <v>7</v>
      </c>
      <c r="BK864" s="27" t="s">
        <v>8</v>
      </c>
      <c r="BL864" s="27" t="s">
        <v>7</v>
      </c>
      <c r="CW864" s="27" t="s">
        <v>8</v>
      </c>
      <c r="CX864" s="27" t="s">
        <v>7</v>
      </c>
      <c r="DE864" s="27" t="s">
        <v>8</v>
      </c>
      <c r="DF864" s="27" t="s">
        <v>7</v>
      </c>
      <c r="DG864" s="27" t="s">
        <v>8</v>
      </c>
    </row>
    <row r="865" spans="1:111" x14ac:dyDescent="0.25">
      <c r="A865" s="7">
        <v>4.0658584057964966E-3</v>
      </c>
      <c r="B865"/>
      <c r="C865"/>
      <c r="D865"/>
      <c r="E865"/>
      <c r="F865" s="27" t="s">
        <v>7</v>
      </c>
      <c r="M865" s="27" t="s">
        <v>8</v>
      </c>
      <c r="N865" s="27" t="s">
        <v>7</v>
      </c>
      <c r="BK865" s="27" t="s">
        <v>8</v>
      </c>
      <c r="BL865" s="27" t="s">
        <v>7</v>
      </c>
      <c r="CW865" s="27" t="s">
        <v>8</v>
      </c>
      <c r="CX865" s="27" t="s">
        <v>7</v>
      </c>
      <c r="DC865" s="27" t="s">
        <v>8</v>
      </c>
      <c r="DE865" s="27" t="s">
        <v>8</v>
      </c>
      <c r="DF865" s="27" t="s">
        <v>7</v>
      </c>
      <c r="DG865" s="27" t="s">
        <v>8</v>
      </c>
    </row>
    <row r="866" spans="1:111" x14ac:dyDescent="0.25">
      <c r="A866" s="7">
        <v>3.9861356919573491E-3</v>
      </c>
      <c r="B866"/>
      <c r="C866"/>
      <c r="D866"/>
      <c r="E866"/>
      <c r="F866" s="27" t="s">
        <v>7</v>
      </c>
      <c r="M866" s="27" t="s">
        <v>8</v>
      </c>
      <c r="N866" s="27" t="s">
        <v>7</v>
      </c>
      <c r="BK866" s="27" t="s">
        <v>8</v>
      </c>
      <c r="BL866" s="27" t="s">
        <v>7</v>
      </c>
      <c r="CW866" s="27" t="s">
        <v>8</v>
      </c>
      <c r="CX866" s="27" t="s">
        <v>7</v>
      </c>
      <c r="DC866" s="27" t="s">
        <v>8</v>
      </c>
      <c r="DD866" s="27" t="s">
        <v>7</v>
      </c>
      <c r="DE866" s="27" t="s">
        <v>8</v>
      </c>
      <c r="DF866" s="27" t="s">
        <v>7</v>
      </c>
      <c r="DG866" s="27" t="s">
        <v>8</v>
      </c>
    </row>
    <row r="867" spans="1:111" x14ac:dyDescent="0.25">
      <c r="A867" s="7">
        <v>3.9079761685856364E-3</v>
      </c>
      <c r="B867"/>
      <c r="C867"/>
      <c r="D867"/>
      <c r="E867"/>
      <c r="F867" s="27" t="s">
        <v>7</v>
      </c>
      <c r="M867" s="27" t="s">
        <v>8</v>
      </c>
      <c r="N867" s="27" t="s">
        <v>7</v>
      </c>
      <c r="BK867" s="27" t="s">
        <v>8</v>
      </c>
      <c r="BL867" s="27" t="s">
        <v>7</v>
      </c>
      <c r="BM867" s="27" t="s">
        <v>8</v>
      </c>
      <c r="CW867" s="27" t="s">
        <v>8</v>
      </c>
      <c r="CX867" s="27" t="s">
        <v>7</v>
      </c>
      <c r="DC867" s="27" t="s">
        <v>8</v>
      </c>
      <c r="DD867" s="27" t="s">
        <v>7</v>
      </c>
      <c r="DE867" s="27" t="s">
        <v>8</v>
      </c>
      <c r="DF867" s="27" t="s">
        <v>7</v>
      </c>
      <c r="DG867" s="27" t="s">
        <v>8</v>
      </c>
    </row>
    <row r="868" spans="1:111" x14ac:dyDescent="0.25">
      <c r="A868" s="7">
        <v>3.8313491848878793E-3</v>
      </c>
      <c r="B868"/>
      <c r="C868"/>
      <c r="D868"/>
      <c r="E868"/>
      <c r="F868" s="27" t="s">
        <v>7</v>
      </c>
      <c r="M868" s="27" t="s">
        <v>8</v>
      </c>
      <c r="N868" s="27" t="s">
        <v>7</v>
      </c>
      <c r="BK868" s="27" t="s">
        <v>8</v>
      </c>
      <c r="BL868" s="27" t="s">
        <v>7</v>
      </c>
      <c r="BM868" s="27" t="s">
        <v>8</v>
      </c>
      <c r="BN868" s="27" t="s">
        <v>7</v>
      </c>
      <c r="BU868" s="27" t="s">
        <v>8</v>
      </c>
      <c r="CW868" s="27" t="s">
        <v>8</v>
      </c>
      <c r="CX868" s="27" t="s">
        <v>7</v>
      </c>
      <c r="DC868" s="27" t="s">
        <v>8</v>
      </c>
      <c r="DD868" s="27" t="s">
        <v>7</v>
      </c>
      <c r="DE868" s="27" t="s">
        <v>8</v>
      </c>
      <c r="DF868" s="27" t="s">
        <v>7</v>
      </c>
      <c r="DG868" s="27" t="s">
        <v>8</v>
      </c>
    </row>
    <row r="869" spans="1:111" x14ac:dyDescent="0.25">
      <c r="A869" s="7">
        <v>3.7562246910665485E-3</v>
      </c>
      <c r="B869"/>
      <c r="C869"/>
      <c r="D869"/>
      <c r="E869"/>
      <c r="F869" s="27" t="s">
        <v>7</v>
      </c>
      <c r="M869" s="27" t="s">
        <v>8</v>
      </c>
      <c r="N869" s="27" t="s">
        <v>7</v>
      </c>
      <c r="BK869" s="27" t="s">
        <v>8</v>
      </c>
      <c r="BL869" s="27" t="s">
        <v>7</v>
      </c>
      <c r="BM869" s="27" t="s">
        <v>8</v>
      </c>
      <c r="BN869" s="27" t="s">
        <v>7</v>
      </c>
      <c r="BQ869" s="27" t="s">
        <v>8</v>
      </c>
      <c r="BU869" s="27" t="s">
        <v>8</v>
      </c>
      <c r="BV869" s="27" t="s">
        <v>7</v>
      </c>
      <c r="CW869" s="27" t="s">
        <v>8</v>
      </c>
      <c r="CX869" s="27" t="s">
        <v>7</v>
      </c>
      <c r="DC869" s="27" t="s">
        <v>8</v>
      </c>
      <c r="DD869" s="27" t="s">
        <v>7</v>
      </c>
      <c r="DE869" s="27" t="s">
        <v>8</v>
      </c>
      <c r="DF869" s="27" t="s">
        <v>7</v>
      </c>
      <c r="DG869" s="27" t="s">
        <v>8</v>
      </c>
    </row>
    <row r="870" spans="1:111" x14ac:dyDescent="0.25">
      <c r="A870" s="7">
        <v>3.6825732265358315E-3</v>
      </c>
      <c r="B870"/>
      <c r="C870"/>
      <c r="D870"/>
      <c r="E870"/>
      <c r="F870" s="27" t="s">
        <v>7</v>
      </c>
      <c r="M870" s="27" t="s">
        <v>8</v>
      </c>
      <c r="N870" s="27" t="s">
        <v>7</v>
      </c>
      <c r="BK870" s="27" t="s">
        <v>8</v>
      </c>
      <c r="BL870" s="27" t="s">
        <v>7</v>
      </c>
      <c r="BM870" s="27" t="s">
        <v>8</v>
      </c>
      <c r="BN870" s="27" t="s">
        <v>7</v>
      </c>
      <c r="BQ870" s="27" t="s">
        <v>8</v>
      </c>
      <c r="BR870" s="27" t="s">
        <v>7</v>
      </c>
      <c r="BU870" s="27" t="s">
        <v>8</v>
      </c>
      <c r="BV870" s="27" t="s">
        <v>7</v>
      </c>
      <c r="CA870" s="27" t="s">
        <v>8</v>
      </c>
      <c r="CU870" s="27" t="s">
        <v>8</v>
      </c>
      <c r="CW870" s="27" t="s">
        <v>8</v>
      </c>
      <c r="CX870" s="27" t="s">
        <v>7</v>
      </c>
      <c r="DC870" s="27" t="s">
        <v>8</v>
      </c>
      <c r="DD870" s="27" t="s">
        <v>7</v>
      </c>
      <c r="DE870" s="27" t="s">
        <v>8</v>
      </c>
      <c r="DF870" s="27" t="s">
        <v>7</v>
      </c>
    </row>
    <row r="871" spans="1:111" x14ac:dyDescent="0.25">
      <c r="A871" s="7">
        <v>3.6103659083684624E-3</v>
      </c>
      <c r="B871"/>
      <c r="C871"/>
      <c r="D871"/>
      <c r="E871"/>
      <c r="F871" s="27" t="s">
        <v>7</v>
      </c>
      <c r="M871" s="27" t="s">
        <v>8</v>
      </c>
      <c r="N871" s="27" t="s">
        <v>7</v>
      </c>
      <c r="BK871" s="27" t="s">
        <v>8</v>
      </c>
      <c r="BL871" s="27" t="s">
        <v>7</v>
      </c>
      <c r="BM871" s="27" t="s">
        <v>8</v>
      </c>
      <c r="BN871" s="27" t="s">
        <v>7</v>
      </c>
      <c r="BQ871" s="27" t="s">
        <v>8</v>
      </c>
      <c r="BR871" s="27" t="s">
        <v>7</v>
      </c>
      <c r="BU871" s="27" t="s">
        <v>8</v>
      </c>
      <c r="BV871" s="27" t="s">
        <v>7</v>
      </c>
      <c r="BW871" s="27" t="s">
        <v>8</v>
      </c>
      <c r="CA871" s="27" t="s">
        <v>8</v>
      </c>
      <c r="CB871" s="27" t="s">
        <v>7</v>
      </c>
      <c r="CU871" s="27" t="s">
        <v>8</v>
      </c>
      <c r="CV871" s="27" t="s">
        <v>7</v>
      </c>
      <c r="CW871" s="27" t="s">
        <v>8</v>
      </c>
      <c r="CX871" s="27" t="s">
        <v>7</v>
      </c>
      <c r="DC871" s="27" t="s">
        <v>8</v>
      </c>
      <c r="DD871" s="27" t="s">
        <v>7</v>
      </c>
    </row>
    <row r="872" spans="1:111" x14ac:dyDescent="0.25">
      <c r="A872" s="7">
        <v>3.539574419969081E-3</v>
      </c>
      <c r="B872"/>
      <c r="C872"/>
      <c r="D872"/>
      <c r="E872"/>
      <c r="F872" s="27" t="s">
        <v>7</v>
      </c>
      <c r="M872" s="27" t="s">
        <v>8</v>
      </c>
      <c r="N872" s="27" t="s">
        <v>7</v>
      </c>
      <c r="BK872" s="27" t="s">
        <v>8</v>
      </c>
      <c r="BL872" s="27" t="s">
        <v>7</v>
      </c>
      <c r="BM872" s="27" t="s">
        <v>8</v>
      </c>
      <c r="BN872" s="27" t="s">
        <v>7</v>
      </c>
      <c r="BQ872" s="27" t="s">
        <v>8</v>
      </c>
      <c r="BR872" s="27" t="s">
        <v>7</v>
      </c>
      <c r="BU872" s="27" t="s">
        <v>8</v>
      </c>
      <c r="BV872" s="27" t="s">
        <v>7</v>
      </c>
      <c r="BW872" s="27" t="s">
        <v>8</v>
      </c>
      <c r="BX872" s="27" t="s">
        <v>7</v>
      </c>
      <c r="BY872" s="27" t="s">
        <v>8</v>
      </c>
      <c r="CA872" s="27" t="s">
        <v>8</v>
      </c>
      <c r="CB872" s="27" t="s">
        <v>7</v>
      </c>
      <c r="CC872" s="27" t="s">
        <v>8</v>
      </c>
      <c r="CU872" s="27" t="s">
        <v>8</v>
      </c>
      <c r="CV872" s="27" t="s">
        <v>7</v>
      </c>
      <c r="CW872" s="27" t="s">
        <v>8</v>
      </c>
      <c r="CX872" s="27" t="s">
        <v>7</v>
      </c>
      <c r="CY872" s="27" t="s">
        <v>8</v>
      </c>
      <c r="DA872" s="27" t="s">
        <v>8</v>
      </c>
      <c r="DC872" s="27" t="s">
        <v>8</v>
      </c>
    </row>
    <row r="873" spans="1:111" x14ac:dyDescent="0.25">
      <c r="A873" s="7">
        <v>3.4701709999696872E-3</v>
      </c>
      <c r="B873"/>
      <c r="C873"/>
      <c r="D873"/>
      <c r="E873"/>
      <c r="F873" s="27" t="s">
        <v>7</v>
      </c>
      <c r="M873" s="27" t="s">
        <v>8</v>
      </c>
      <c r="N873" s="27" t="s">
        <v>7</v>
      </c>
      <c r="BK873" s="27" t="s">
        <v>8</v>
      </c>
      <c r="BL873" s="27" t="s">
        <v>7</v>
      </c>
      <c r="BM873" s="27" t="s">
        <v>8</v>
      </c>
      <c r="BN873" s="27" t="s">
        <v>7</v>
      </c>
      <c r="BQ873" s="27" t="s">
        <v>8</v>
      </c>
      <c r="BR873" s="27" t="s">
        <v>7</v>
      </c>
      <c r="BU873" s="27" t="s">
        <v>8</v>
      </c>
      <c r="BV873" s="27" t="s">
        <v>7</v>
      </c>
      <c r="BW873" s="27" t="s">
        <v>8</v>
      </c>
      <c r="BX873" s="27" t="s">
        <v>7</v>
      </c>
      <c r="BY873" s="27" t="s">
        <v>8</v>
      </c>
      <c r="BZ873" s="27" t="s">
        <v>7</v>
      </c>
      <c r="CA873" s="27" t="s">
        <v>8</v>
      </c>
      <c r="CB873" s="27" t="s">
        <v>7</v>
      </c>
      <c r="CC873" s="27" t="s">
        <v>8</v>
      </c>
      <c r="CD873" s="27" t="s">
        <v>7</v>
      </c>
      <c r="CU873" s="27" t="s">
        <v>8</v>
      </c>
      <c r="CV873" s="27" t="s">
        <v>7</v>
      </c>
      <c r="CW873" s="27" t="s">
        <v>8</v>
      </c>
      <c r="CX873" s="27" t="s">
        <v>7</v>
      </c>
      <c r="CY873" s="27" t="s">
        <v>8</v>
      </c>
      <c r="CZ873" s="27" t="s">
        <v>7</v>
      </c>
      <c r="DA873" s="27" t="s">
        <v>8</v>
      </c>
      <c r="DB873" s="27" t="s">
        <v>7</v>
      </c>
      <c r="DC873" s="27" t="s">
        <v>8</v>
      </c>
    </row>
    <row r="874" spans="1:111" x14ac:dyDescent="0.25">
      <c r="A874" s="7">
        <v>3.4021284313428307E-3</v>
      </c>
      <c r="B874"/>
      <c r="C874"/>
      <c r="D874"/>
      <c r="E874"/>
      <c r="F874" s="27" t="s">
        <v>7</v>
      </c>
      <c r="M874" s="27" t="s">
        <v>8</v>
      </c>
      <c r="N874" s="27" t="s">
        <v>7</v>
      </c>
      <c r="BK874" s="27" t="s">
        <v>8</v>
      </c>
      <c r="BL874" s="27" t="s">
        <v>7</v>
      </c>
      <c r="BN874" s="27" t="s">
        <v>7</v>
      </c>
      <c r="BQ874" s="27" t="s">
        <v>8</v>
      </c>
      <c r="BR874" s="27" t="s">
        <v>7</v>
      </c>
      <c r="BU874" s="27" t="s">
        <v>8</v>
      </c>
      <c r="BV874" s="27" t="s">
        <v>7</v>
      </c>
      <c r="BW874" s="27" t="s">
        <v>8</v>
      </c>
      <c r="BX874" s="27" t="s">
        <v>7</v>
      </c>
      <c r="BY874" s="27" t="s">
        <v>8</v>
      </c>
      <c r="BZ874" s="27" t="s">
        <v>7</v>
      </c>
      <c r="CA874" s="27" t="s">
        <v>8</v>
      </c>
      <c r="CB874" s="27" t="s">
        <v>7</v>
      </c>
      <c r="CC874" s="27" t="s">
        <v>8</v>
      </c>
      <c r="CD874" s="27" t="s">
        <v>7</v>
      </c>
      <c r="CU874" s="27" t="s">
        <v>8</v>
      </c>
      <c r="CV874" s="27" t="s">
        <v>7</v>
      </c>
      <c r="CW874" s="27" t="s">
        <v>8</v>
      </c>
      <c r="CX874" s="27" t="s">
        <v>7</v>
      </c>
      <c r="CY874" s="27" t="s">
        <v>8</v>
      </c>
      <c r="CZ874" s="27" t="s">
        <v>7</v>
      </c>
      <c r="DA874" s="27" t="s">
        <v>8</v>
      </c>
      <c r="DB874" s="27" t="s">
        <v>7</v>
      </c>
      <c r="DC874" s="27" t="s">
        <v>8</v>
      </c>
    </row>
    <row r="875" spans="1:111" x14ac:dyDescent="0.25">
      <c r="A875" s="7">
        <v>3.3354200307282654E-3</v>
      </c>
      <c r="B875"/>
      <c r="C875"/>
      <c r="D875"/>
      <c r="E875"/>
      <c r="F875" s="27" t="s">
        <v>7</v>
      </c>
      <c r="M875" s="27" t="s">
        <v>8</v>
      </c>
      <c r="N875" s="27" t="s">
        <v>7</v>
      </c>
      <c r="BK875" s="27" t="s">
        <v>8</v>
      </c>
      <c r="BN875" s="27" t="s">
        <v>7</v>
      </c>
      <c r="BO875" s="27" t="s">
        <v>8</v>
      </c>
      <c r="BQ875" s="27" t="s">
        <v>8</v>
      </c>
      <c r="BR875" s="27" t="s">
        <v>7</v>
      </c>
      <c r="BS875" s="27" t="s">
        <v>8</v>
      </c>
      <c r="BU875" s="27" t="s">
        <v>8</v>
      </c>
      <c r="BV875" s="27" t="s">
        <v>7</v>
      </c>
      <c r="BW875" s="27" t="s">
        <v>8</v>
      </c>
      <c r="BX875" s="27" t="s">
        <v>7</v>
      </c>
      <c r="BZ875" s="27" t="s">
        <v>7</v>
      </c>
      <c r="CB875" s="27" t="s">
        <v>7</v>
      </c>
      <c r="CD875" s="27" t="s">
        <v>7</v>
      </c>
      <c r="CE875" s="27" t="s">
        <v>8</v>
      </c>
      <c r="CU875" s="27" t="s">
        <v>8</v>
      </c>
      <c r="CV875" s="27" t="s">
        <v>7</v>
      </c>
      <c r="CW875" s="27" t="s">
        <v>8</v>
      </c>
      <c r="CX875" s="27" t="s">
        <v>7</v>
      </c>
      <c r="CY875" s="27" t="s">
        <v>8</v>
      </c>
      <c r="CZ875" s="27" t="s">
        <v>7</v>
      </c>
      <c r="DA875" s="27" t="s">
        <v>8</v>
      </c>
      <c r="DB875" s="27" t="s">
        <v>7</v>
      </c>
      <c r="DC875" s="27" t="s">
        <v>8</v>
      </c>
    </row>
    <row r="876" spans="1:111" x14ac:dyDescent="0.25">
      <c r="A876" s="7">
        <v>3.2700196379688881E-3</v>
      </c>
      <c r="B876"/>
      <c r="C876"/>
      <c r="D876"/>
      <c r="E876"/>
      <c r="F876" s="27" t="s">
        <v>7</v>
      </c>
      <c r="M876" s="27" t="s">
        <v>8</v>
      </c>
      <c r="N876" s="27" t="s">
        <v>7</v>
      </c>
      <c r="BK876" s="27" t="s">
        <v>8</v>
      </c>
      <c r="BN876" s="27" t="s">
        <v>7</v>
      </c>
      <c r="BO876" s="27" t="s">
        <v>8</v>
      </c>
      <c r="BP876" s="27" t="s">
        <v>7</v>
      </c>
      <c r="BQ876" s="27" t="s">
        <v>8</v>
      </c>
      <c r="BR876" s="27" t="s">
        <v>7</v>
      </c>
      <c r="BS876" s="27" t="s">
        <v>8</v>
      </c>
      <c r="BT876" s="27" t="s">
        <v>7</v>
      </c>
      <c r="BU876" s="27" t="s">
        <v>8</v>
      </c>
      <c r="BV876" s="27" t="s">
        <v>7</v>
      </c>
      <c r="BW876" s="27" t="s">
        <v>8</v>
      </c>
      <c r="CD876" s="27" t="s">
        <v>7</v>
      </c>
      <c r="CE876" s="27" t="s">
        <v>8</v>
      </c>
      <c r="CF876" s="27" t="s">
        <v>7</v>
      </c>
      <c r="CU876" s="27" t="s">
        <v>8</v>
      </c>
      <c r="CV876" s="27" t="s">
        <v>7</v>
      </c>
      <c r="CX876" s="27" t="s">
        <v>7</v>
      </c>
      <c r="CY876" s="27" t="s">
        <v>8</v>
      </c>
      <c r="CZ876" s="27" t="s">
        <v>7</v>
      </c>
      <c r="DB876" s="27" t="s">
        <v>7</v>
      </c>
      <c r="DC876" s="27" t="s">
        <v>8</v>
      </c>
    </row>
    <row r="877" spans="1:111" x14ac:dyDescent="0.25">
      <c r="A877" s="7">
        <v>3.205901605851851E-3</v>
      </c>
      <c r="B877"/>
      <c r="C877"/>
      <c r="D877"/>
      <c r="E877"/>
      <c r="F877" s="27" t="s">
        <v>7</v>
      </c>
      <c r="M877" s="27" t="s">
        <v>8</v>
      </c>
      <c r="N877" s="27" t="s">
        <v>7</v>
      </c>
      <c r="O877" s="27" t="s">
        <v>8</v>
      </c>
      <c r="BK877" s="27" t="s">
        <v>8</v>
      </c>
      <c r="BN877" s="27" t="s">
        <v>7</v>
      </c>
      <c r="BO877" s="27" t="s">
        <v>8</v>
      </c>
      <c r="BP877" s="27" t="s">
        <v>7</v>
      </c>
      <c r="BQ877" s="27" t="s">
        <v>8</v>
      </c>
      <c r="BR877" s="27" t="s">
        <v>7</v>
      </c>
      <c r="BS877" s="27" t="s">
        <v>8</v>
      </c>
      <c r="BT877" s="27" t="s">
        <v>7</v>
      </c>
      <c r="BU877" s="27" t="s">
        <v>8</v>
      </c>
      <c r="BV877" s="27" t="s">
        <v>7</v>
      </c>
      <c r="BW877" s="27" t="s">
        <v>8</v>
      </c>
      <c r="CD877" s="27" t="s">
        <v>7</v>
      </c>
      <c r="CE877" s="27" t="s">
        <v>8</v>
      </c>
      <c r="CF877" s="27" t="s">
        <v>7</v>
      </c>
      <c r="CU877" s="27" t="s">
        <v>8</v>
      </c>
      <c r="CX877" s="27" t="s">
        <v>7</v>
      </c>
      <c r="CY877" s="27" t="s">
        <v>8</v>
      </c>
      <c r="DB877" s="27" t="s">
        <v>7</v>
      </c>
      <c r="DC877" s="27" t="s">
        <v>8</v>
      </c>
    </row>
    <row r="878" spans="1:111" x14ac:dyDescent="0.25">
      <c r="A878" s="7">
        <v>3.1430407900508344E-3</v>
      </c>
      <c r="B878"/>
      <c r="C878"/>
      <c r="D878"/>
      <c r="E878"/>
      <c r="F878" s="27" t="s">
        <v>7</v>
      </c>
      <c r="M878" s="27" t="s">
        <v>8</v>
      </c>
      <c r="N878" s="27" t="s">
        <v>7</v>
      </c>
      <c r="O878" s="27" t="s">
        <v>8</v>
      </c>
      <c r="P878" s="27" t="s">
        <v>7</v>
      </c>
      <c r="BK878" s="27" t="s">
        <v>8</v>
      </c>
      <c r="BN878" s="27" t="s">
        <v>7</v>
      </c>
      <c r="BO878" s="27" t="s">
        <v>8</v>
      </c>
      <c r="BP878" s="27" t="s">
        <v>7</v>
      </c>
      <c r="BQ878" s="27" t="s">
        <v>8</v>
      </c>
      <c r="BR878" s="27" t="s">
        <v>7</v>
      </c>
      <c r="BT878" s="27" t="s">
        <v>7</v>
      </c>
      <c r="BU878" s="27" t="s">
        <v>8</v>
      </c>
      <c r="BV878" s="27" t="s">
        <v>7</v>
      </c>
      <c r="CD878" s="27" t="s">
        <v>7</v>
      </c>
      <c r="CF878" s="27" t="s">
        <v>7</v>
      </c>
      <c r="CU878" s="27" t="s">
        <v>8</v>
      </c>
      <c r="CX878" s="27" t="s">
        <v>7</v>
      </c>
      <c r="CY878" s="27" t="s">
        <v>8</v>
      </c>
      <c r="DB878" s="27" t="s">
        <v>7</v>
      </c>
      <c r="DC878" s="27" t="s">
        <v>8</v>
      </c>
    </row>
    <row r="879" spans="1:111" x14ac:dyDescent="0.25">
      <c r="A879" s="7">
        <v>3.0814125392655241E-3</v>
      </c>
      <c r="B879"/>
      <c r="C879"/>
      <c r="D879"/>
      <c r="E879"/>
      <c r="F879" s="27" t="s">
        <v>7</v>
      </c>
      <c r="M879" s="27" t="s">
        <v>8</v>
      </c>
      <c r="N879" s="27" t="s">
        <v>7</v>
      </c>
      <c r="O879" s="27" t="s">
        <v>8</v>
      </c>
      <c r="P879" s="27" t="s">
        <v>7</v>
      </c>
      <c r="BK879" s="27" t="s">
        <v>8</v>
      </c>
      <c r="BN879" s="27" t="s">
        <v>7</v>
      </c>
      <c r="BO879" s="27" t="s">
        <v>8</v>
      </c>
      <c r="BP879" s="27" t="s">
        <v>7</v>
      </c>
      <c r="BQ879" s="27" t="s">
        <v>8</v>
      </c>
      <c r="BT879" s="27" t="s">
        <v>7</v>
      </c>
      <c r="BU879" s="27" t="s">
        <v>8</v>
      </c>
      <c r="CF879" s="27" t="s">
        <v>7</v>
      </c>
      <c r="CU879" s="27" t="s">
        <v>8</v>
      </c>
      <c r="CX879" s="27" t="s">
        <v>7</v>
      </c>
      <c r="CY879" s="27" t="s">
        <v>8</v>
      </c>
      <c r="DB879" s="27" t="s">
        <v>7</v>
      </c>
      <c r="DC879" s="27" t="s">
        <v>8</v>
      </c>
    </row>
    <row r="880" spans="1:111" x14ac:dyDescent="0.25">
      <c r="A880" s="7">
        <v>3.0209926855544354E-3</v>
      </c>
      <c r="B880"/>
      <c r="C880"/>
      <c r="D880"/>
      <c r="E880"/>
      <c r="F880" s="27" t="s">
        <v>7</v>
      </c>
      <c r="M880" s="27" t="s">
        <v>8</v>
      </c>
      <c r="N880" s="27" t="s">
        <v>7</v>
      </c>
      <c r="O880" s="27" t="s">
        <v>8</v>
      </c>
      <c r="P880" s="27" t="s">
        <v>7</v>
      </c>
      <c r="BK880" s="27" t="s">
        <v>8</v>
      </c>
      <c r="BN880" s="27" t="s">
        <v>7</v>
      </c>
      <c r="BP880" s="27" t="s">
        <v>7</v>
      </c>
      <c r="BQ880" s="27" t="s">
        <v>8</v>
      </c>
      <c r="BT880" s="27" t="s">
        <v>7</v>
      </c>
      <c r="CF880" s="27" t="s">
        <v>7</v>
      </c>
      <c r="CS880" s="27" t="s">
        <v>8</v>
      </c>
      <c r="CU880" s="27" t="s">
        <v>8</v>
      </c>
      <c r="CX880" s="27" t="s">
        <v>7</v>
      </c>
      <c r="CY880" s="27" t="s">
        <v>8</v>
      </c>
      <c r="DB880" s="27" t="s">
        <v>7</v>
      </c>
    </row>
    <row r="881" spans="1:102" x14ac:dyDescent="0.25">
      <c r="A881" s="7">
        <v>2.9617575348572897E-3</v>
      </c>
      <c r="B881"/>
      <c r="C881"/>
      <c r="D881"/>
      <c r="E881"/>
      <c r="F881" s="27" t="s">
        <v>7</v>
      </c>
      <c r="M881" s="27" t="s">
        <v>8</v>
      </c>
      <c r="N881" s="27" t="s">
        <v>7</v>
      </c>
      <c r="O881" s="27" t="s">
        <v>8</v>
      </c>
      <c r="P881" s="27" t="s">
        <v>7</v>
      </c>
      <c r="S881" s="27" t="s">
        <v>8</v>
      </c>
      <c r="BK881" s="27" t="s">
        <v>8</v>
      </c>
      <c r="BP881" s="27" t="s">
        <v>7</v>
      </c>
      <c r="BQ881" s="27" t="s">
        <v>8</v>
      </c>
      <c r="CF881" s="27" t="s">
        <v>7</v>
      </c>
      <c r="CG881" s="27" t="s">
        <v>8</v>
      </c>
      <c r="CS881" s="27" t="s">
        <v>8</v>
      </c>
      <c r="CT881" s="27" t="s">
        <v>7</v>
      </c>
      <c r="CU881" s="27" t="s">
        <v>8</v>
      </c>
      <c r="CX881" s="27" t="s">
        <v>7</v>
      </c>
    </row>
    <row r="882" spans="1:102" x14ac:dyDescent="0.25">
      <c r="A882" s="7">
        <v>2.9036838577032251E-3</v>
      </c>
      <c r="B882"/>
      <c r="C882"/>
      <c r="D882"/>
      <c r="E882"/>
      <c r="F882" s="27" t="s">
        <v>7</v>
      </c>
      <c r="M882" s="27" t="s">
        <v>8</v>
      </c>
      <c r="N882" s="27" t="s">
        <v>7</v>
      </c>
      <c r="O882" s="27" t="s">
        <v>8</v>
      </c>
      <c r="P882" s="27" t="s">
        <v>7</v>
      </c>
      <c r="S882" s="27" t="s">
        <v>8</v>
      </c>
      <c r="T882" s="27" t="s">
        <v>7</v>
      </c>
      <c r="BK882" s="27" t="s">
        <v>8</v>
      </c>
      <c r="BP882" s="27" t="s">
        <v>7</v>
      </c>
      <c r="CF882" s="27" t="s">
        <v>7</v>
      </c>
      <c r="CG882" s="27" t="s">
        <v>8</v>
      </c>
      <c r="CH882" s="27" t="s">
        <v>7</v>
      </c>
      <c r="CM882" s="27" t="s">
        <v>8</v>
      </c>
      <c r="CQ882" s="27" t="s">
        <v>8</v>
      </c>
      <c r="CS882" s="27" t="s">
        <v>8</v>
      </c>
      <c r="CT882" s="27" t="s">
        <v>7</v>
      </c>
      <c r="CU882" s="27" t="s">
        <v>8</v>
      </c>
    </row>
    <row r="883" spans="1:102" x14ac:dyDescent="0.25">
      <c r="A883" s="7">
        <v>2.8467488801012012E-3</v>
      </c>
      <c r="B883"/>
      <c r="C883"/>
      <c r="D883"/>
      <c r="E883"/>
      <c r="F883" s="27" t="s">
        <v>7</v>
      </c>
      <c r="M883" s="27" t="s">
        <v>8</v>
      </c>
      <c r="N883" s="27" t="s">
        <v>7</v>
      </c>
      <c r="P883" s="27" t="s">
        <v>7</v>
      </c>
      <c r="Q883" s="27" t="s">
        <v>8</v>
      </c>
      <c r="S883" s="27" t="s">
        <v>8</v>
      </c>
      <c r="T883" s="27" t="s">
        <v>7</v>
      </c>
      <c r="BK883" s="27" t="s">
        <v>8</v>
      </c>
      <c r="CF883" s="27" t="s">
        <v>7</v>
      </c>
      <c r="CG883" s="27" t="s">
        <v>8</v>
      </c>
      <c r="CH883" s="27" t="s">
        <v>7</v>
      </c>
      <c r="CI883" s="27" t="s">
        <v>8</v>
      </c>
      <c r="CM883" s="27" t="s">
        <v>8</v>
      </c>
      <c r="CN883" s="27" t="s">
        <v>7</v>
      </c>
      <c r="CQ883" s="27" t="s">
        <v>8</v>
      </c>
      <c r="CR883" s="27" t="s">
        <v>7</v>
      </c>
      <c r="CS883" s="27" t="s">
        <v>8</v>
      </c>
      <c r="CT883" s="27" t="s">
        <v>7</v>
      </c>
    </row>
    <row r="884" spans="1:102" x14ac:dyDescent="0.25">
      <c r="A884" s="7">
        <v>2.7909302746090209E-3</v>
      </c>
      <c r="B884"/>
      <c r="C884"/>
      <c r="D884"/>
      <c r="E884"/>
      <c r="F884" s="27" t="s">
        <v>7</v>
      </c>
      <c r="M884" s="27" t="s">
        <v>8</v>
      </c>
      <c r="P884" s="27" t="s">
        <v>7</v>
      </c>
      <c r="Q884" s="27" t="s">
        <v>8</v>
      </c>
      <c r="R884" s="27" t="s">
        <v>7</v>
      </c>
      <c r="S884" s="27" t="s">
        <v>8</v>
      </c>
      <c r="T884" s="27" t="s">
        <v>7</v>
      </c>
      <c r="BK884" s="27" t="s">
        <v>8</v>
      </c>
      <c r="CF884" s="27" t="s">
        <v>7</v>
      </c>
      <c r="CG884" s="27" t="s">
        <v>8</v>
      </c>
      <c r="CH884" s="27" t="s">
        <v>7</v>
      </c>
      <c r="CI884" s="27" t="s">
        <v>8</v>
      </c>
      <c r="CJ884" s="27" t="s">
        <v>7</v>
      </c>
      <c r="CM884" s="27" t="s">
        <v>8</v>
      </c>
      <c r="CN884" s="27" t="s">
        <v>7</v>
      </c>
      <c r="CO884" s="27" t="s">
        <v>8</v>
      </c>
      <c r="CQ884" s="27" t="s">
        <v>8</v>
      </c>
      <c r="CR884" s="27" t="s">
        <v>7</v>
      </c>
      <c r="CS884" s="27" t="s">
        <v>8</v>
      </c>
    </row>
    <row r="885" spans="1:102" x14ac:dyDescent="0.25">
      <c r="A885" s="7">
        <v>2.7362061515774716E-3</v>
      </c>
      <c r="B885"/>
      <c r="C885"/>
      <c r="D885"/>
      <c r="E885"/>
      <c r="F885" s="27" t="s">
        <v>7</v>
      </c>
      <c r="M885" s="27" t="s">
        <v>8</v>
      </c>
      <c r="P885" s="27" t="s">
        <v>7</v>
      </c>
      <c r="Q885" s="27" t="s">
        <v>8</v>
      </c>
      <c r="R885" s="27" t="s">
        <v>7</v>
      </c>
      <c r="S885" s="27" t="s">
        <v>8</v>
      </c>
      <c r="T885" s="27" t="s">
        <v>7</v>
      </c>
      <c r="BK885" s="27" t="s">
        <v>8</v>
      </c>
      <c r="CF885" s="27" t="s">
        <v>7</v>
      </c>
      <c r="CH885" s="27" t="s">
        <v>7</v>
      </c>
      <c r="CI885" s="27" t="s">
        <v>8</v>
      </c>
      <c r="CJ885" s="27" t="s">
        <v>7</v>
      </c>
      <c r="CK885" s="27" t="s">
        <v>8</v>
      </c>
      <c r="CM885" s="27" t="s">
        <v>8</v>
      </c>
      <c r="CN885" s="27" t="s">
        <v>7</v>
      </c>
      <c r="CO885" s="27" t="s">
        <v>8</v>
      </c>
      <c r="CP885" s="27" t="s">
        <v>7</v>
      </c>
      <c r="CQ885" s="27" t="s">
        <v>8</v>
      </c>
      <c r="CR885" s="27" t="s">
        <v>7</v>
      </c>
    </row>
    <row r="886" spans="1:102" x14ac:dyDescent="0.25">
      <c r="A886" s="7">
        <v>2.6825550505661486E-3</v>
      </c>
      <c r="B886"/>
      <c r="C886"/>
      <c r="D886"/>
      <c r="E886"/>
      <c r="F886" s="27" t="s">
        <v>7</v>
      </c>
      <c r="M886" s="27" t="s">
        <v>8</v>
      </c>
      <c r="P886" s="27" t="s">
        <v>7</v>
      </c>
      <c r="Q886" s="27" t="s">
        <v>8</v>
      </c>
      <c r="R886" s="27" t="s">
        <v>7</v>
      </c>
      <c r="S886" s="27" t="s">
        <v>8</v>
      </c>
      <c r="T886" s="27" t="s">
        <v>7</v>
      </c>
      <c r="AW886" s="27" t="s">
        <v>8</v>
      </c>
      <c r="BA886" s="27" t="s">
        <v>8</v>
      </c>
      <c r="BE886" s="27" t="s">
        <v>8</v>
      </c>
      <c r="BK886" s="27" t="s">
        <v>8</v>
      </c>
      <c r="CH886" s="27" t="s">
        <v>7</v>
      </c>
      <c r="CJ886" s="27" t="s">
        <v>7</v>
      </c>
      <c r="CK886" s="27" t="s">
        <v>8</v>
      </c>
      <c r="CL886" s="27" t="s">
        <v>7</v>
      </c>
      <c r="CM886" s="27" t="s">
        <v>8</v>
      </c>
      <c r="CN886" s="27" t="s">
        <v>7</v>
      </c>
      <c r="CO886" s="27" t="s">
        <v>8</v>
      </c>
      <c r="CP886" s="27" t="s">
        <v>7</v>
      </c>
      <c r="CQ886" s="27" t="s">
        <v>8</v>
      </c>
    </row>
    <row r="887" spans="1:102" x14ac:dyDescent="0.25">
      <c r="A887" s="7">
        <v>2.6299559319275965E-3</v>
      </c>
      <c r="B887"/>
      <c r="C887"/>
      <c r="D887"/>
      <c r="E887"/>
      <c r="F887" s="27" t="s">
        <v>7</v>
      </c>
      <c r="M887" s="27" t="s">
        <v>8</v>
      </c>
      <c r="P887" s="27" t="s">
        <v>7</v>
      </c>
      <c r="Q887" s="27" t="s">
        <v>8</v>
      </c>
      <c r="R887" s="27" t="s">
        <v>7</v>
      </c>
      <c r="S887" s="27" t="s">
        <v>8</v>
      </c>
      <c r="T887" s="27" t="s">
        <v>7</v>
      </c>
      <c r="AW887" s="27" t="s">
        <v>8</v>
      </c>
      <c r="AX887" s="27" t="s">
        <v>7</v>
      </c>
      <c r="BA887" s="27" t="s">
        <v>8</v>
      </c>
      <c r="BB887" s="27" t="s">
        <v>7</v>
      </c>
      <c r="BC887" s="27" t="s">
        <v>8</v>
      </c>
      <c r="BE887" s="27" t="s">
        <v>8</v>
      </c>
      <c r="BF887" s="27" t="s">
        <v>7</v>
      </c>
      <c r="BG887" s="27" t="s">
        <v>8</v>
      </c>
      <c r="BK887" s="27" t="s">
        <v>8</v>
      </c>
      <c r="CJ887" s="27" t="s">
        <v>7</v>
      </c>
      <c r="CK887" s="27" t="s">
        <v>8</v>
      </c>
      <c r="CL887" s="27" t="s">
        <v>7</v>
      </c>
      <c r="CM887" s="27" t="s">
        <v>8</v>
      </c>
      <c r="CN887" s="27" t="s">
        <v>7</v>
      </c>
      <c r="CO887" s="27" t="s">
        <v>8</v>
      </c>
      <c r="CP887" s="27" t="s">
        <v>7</v>
      </c>
    </row>
    <row r="888" spans="1:102" x14ac:dyDescent="0.25">
      <c r="A888" s="7">
        <v>2.578388168556467E-3</v>
      </c>
      <c r="B888"/>
      <c r="C888"/>
      <c r="D888"/>
      <c r="E888"/>
      <c r="F888" s="27" t="s">
        <v>7</v>
      </c>
      <c r="K888" s="27" t="s">
        <v>8</v>
      </c>
      <c r="M888" s="27" t="s">
        <v>8</v>
      </c>
      <c r="P888" s="27" t="s">
        <v>7</v>
      </c>
      <c r="Q888" s="27" t="s">
        <v>8</v>
      </c>
      <c r="R888" s="27" t="s">
        <v>7</v>
      </c>
      <c r="T888" s="27" t="s">
        <v>7</v>
      </c>
      <c r="AW888" s="27" t="s">
        <v>8</v>
      </c>
      <c r="AX888" s="27" t="s">
        <v>7</v>
      </c>
      <c r="AY888" s="27" t="s">
        <v>8</v>
      </c>
      <c r="BA888" s="27" t="s">
        <v>8</v>
      </c>
      <c r="BB888" s="27" t="s">
        <v>7</v>
      </c>
      <c r="BC888" s="27" t="s">
        <v>8</v>
      </c>
      <c r="BD888" s="27" t="s">
        <v>7</v>
      </c>
      <c r="BE888" s="27" t="s">
        <v>8</v>
      </c>
      <c r="BF888" s="27" t="s">
        <v>7</v>
      </c>
      <c r="BG888" s="27" t="s">
        <v>8</v>
      </c>
      <c r="BH888" s="27" t="s">
        <v>7</v>
      </c>
      <c r="BK888" s="27" t="s">
        <v>8</v>
      </c>
      <c r="CJ888" s="27" t="s">
        <v>7</v>
      </c>
      <c r="CK888" s="27" t="s">
        <v>8</v>
      </c>
      <c r="CL888" s="27" t="s">
        <v>7</v>
      </c>
      <c r="CN888" s="27" t="s">
        <v>7</v>
      </c>
      <c r="CO888" s="27" t="s">
        <v>8</v>
      </c>
    </row>
    <row r="889" spans="1:102" x14ac:dyDescent="0.25">
      <c r="A889" s="7">
        <v>2.5278315378004577E-3</v>
      </c>
      <c r="B889"/>
      <c r="C889"/>
      <c r="D889"/>
      <c r="E889"/>
      <c r="F889" s="27" t="s">
        <v>7</v>
      </c>
      <c r="K889" s="27" t="s">
        <v>8</v>
      </c>
      <c r="L889" s="27" t="s">
        <v>7</v>
      </c>
      <c r="M889" s="27" t="s">
        <v>8</v>
      </c>
      <c r="P889" s="27" t="s">
        <v>7</v>
      </c>
      <c r="T889" s="27" t="s">
        <v>7</v>
      </c>
      <c r="W889" s="27" t="s">
        <v>8</v>
      </c>
      <c r="Y889" s="27" t="s">
        <v>8</v>
      </c>
      <c r="AW889" s="27" t="s">
        <v>8</v>
      </c>
      <c r="AX889" s="27" t="s">
        <v>7</v>
      </c>
      <c r="AY889" s="27" t="s">
        <v>8</v>
      </c>
      <c r="AZ889" s="27" t="s">
        <v>7</v>
      </c>
      <c r="BA889" s="27" t="s">
        <v>8</v>
      </c>
      <c r="BB889" s="27" t="s">
        <v>7</v>
      </c>
      <c r="BC889" s="27" t="s">
        <v>8</v>
      </c>
      <c r="BD889" s="27" t="s">
        <v>7</v>
      </c>
      <c r="BE889" s="27" t="s">
        <v>8</v>
      </c>
      <c r="BF889" s="27" t="s">
        <v>7</v>
      </c>
      <c r="BG889" s="27" t="s">
        <v>8</v>
      </c>
      <c r="BH889" s="27" t="s">
        <v>7</v>
      </c>
      <c r="BI889" s="27" t="s">
        <v>8</v>
      </c>
      <c r="BK889" s="27" t="s">
        <v>8</v>
      </c>
      <c r="CJ889" s="27" t="s">
        <v>7</v>
      </c>
      <c r="CN889" s="27" t="s">
        <v>7</v>
      </c>
      <c r="CO889" s="27" t="s">
        <v>8</v>
      </c>
    </row>
    <row r="890" spans="1:102" x14ac:dyDescent="0.25">
      <c r="A890" s="7">
        <v>2.4782662135298603E-3</v>
      </c>
      <c r="B890"/>
      <c r="C890"/>
      <c r="D890"/>
      <c r="E890"/>
      <c r="F890" s="27" t="s">
        <v>7</v>
      </c>
      <c r="I890" s="27" t="s">
        <v>8</v>
      </c>
      <c r="K890" s="27" t="s">
        <v>8</v>
      </c>
      <c r="L890" s="27" t="s">
        <v>7</v>
      </c>
      <c r="M890" s="27" t="s">
        <v>8</v>
      </c>
      <c r="T890" s="27" t="s">
        <v>7</v>
      </c>
      <c r="W890" s="27" t="s">
        <v>8</v>
      </c>
      <c r="X890" s="27" t="s">
        <v>7</v>
      </c>
      <c r="Y890" s="27" t="s">
        <v>8</v>
      </c>
      <c r="Z890" s="27" t="s">
        <v>7</v>
      </c>
      <c r="AW890" s="27" t="s">
        <v>8</v>
      </c>
      <c r="AX890" s="27" t="s">
        <v>7</v>
      </c>
      <c r="AY890" s="27" t="s">
        <v>8</v>
      </c>
      <c r="AZ890" s="27" t="s">
        <v>7</v>
      </c>
      <c r="BA890" s="27" t="s">
        <v>8</v>
      </c>
      <c r="BB890" s="27" t="s">
        <v>7</v>
      </c>
      <c r="BC890" s="27" t="s">
        <v>8</v>
      </c>
      <c r="BD890" s="27" t="s">
        <v>7</v>
      </c>
      <c r="BE890" s="27" t="s">
        <v>8</v>
      </c>
      <c r="BF890" s="27" t="s">
        <v>7</v>
      </c>
      <c r="BH890" s="27" t="s">
        <v>7</v>
      </c>
      <c r="BI890" s="27" t="s">
        <v>8</v>
      </c>
      <c r="BJ890" s="27" t="s">
        <v>7</v>
      </c>
      <c r="BK890" s="27" t="s">
        <v>8</v>
      </c>
      <c r="CN890" s="27" t="s">
        <v>7</v>
      </c>
    </row>
    <row r="891" spans="1:102" x14ac:dyDescent="0.25">
      <c r="A891" s="7">
        <v>2.4296727583626083E-3</v>
      </c>
      <c r="B891"/>
      <c r="C891"/>
      <c r="D891"/>
      <c r="E891"/>
      <c r="F891" s="27" t="s">
        <v>7</v>
      </c>
      <c r="I891" s="27" t="s">
        <v>8</v>
      </c>
      <c r="J891" s="27" t="s">
        <v>7</v>
      </c>
      <c r="K891" s="27" t="s">
        <v>8</v>
      </c>
      <c r="L891" s="27" t="s">
        <v>7</v>
      </c>
      <c r="M891" s="27" t="s">
        <v>8</v>
      </c>
      <c r="T891" s="27" t="s">
        <v>7</v>
      </c>
      <c r="W891" s="27" t="s">
        <v>8</v>
      </c>
      <c r="X891" s="27" t="s">
        <v>7</v>
      </c>
      <c r="Y891" s="27" t="s">
        <v>8</v>
      </c>
      <c r="Z891" s="27" t="s">
        <v>7</v>
      </c>
      <c r="AU891" s="27" t="s">
        <v>8</v>
      </c>
      <c r="AW891" s="27" t="s">
        <v>8</v>
      </c>
      <c r="AX891" s="27" t="s">
        <v>7</v>
      </c>
      <c r="AZ891" s="27" t="s">
        <v>7</v>
      </c>
      <c r="BA891" s="27" t="s">
        <v>8</v>
      </c>
      <c r="BB891" s="27" t="s">
        <v>7</v>
      </c>
      <c r="BC891" s="27" t="s">
        <v>8</v>
      </c>
      <c r="BD891" s="27" t="s">
        <v>7</v>
      </c>
      <c r="BH891" s="27" t="s">
        <v>7</v>
      </c>
      <c r="BI891" s="27" t="s">
        <v>8</v>
      </c>
      <c r="BJ891" s="27" t="s">
        <v>7</v>
      </c>
      <c r="BK891" s="27" t="s">
        <v>8</v>
      </c>
    </row>
    <row r="892" spans="1:102" x14ac:dyDescent="0.25">
      <c r="A892" s="7">
        <v>2.3820321160417726E-3</v>
      </c>
      <c r="B892"/>
      <c r="C892"/>
      <c r="D892"/>
      <c r="E892"/>
      <c r="F892" s="27" t="s">
        <v>7</v>
      </c>
      <c r="I892" s="27" t="s">
        <v>8</v>
      </c>
      <c r="J892" s="27" t="s">
        <v>7</v>
      </c>
      <c r="K892" s="27" t="s">
        <v>8</v>
      </c>
      <c r="L892" s="27" t="s">
        <v>7</v>
      </c>
      <c r="M892" s="27" t="s">
        <v>8</v>
      </c>
      <c r="T892" s="27" t="s">
        <v>7</v>
      </c>
      <c r="U892" s="27" t="s">
        <v>8</v>
      </c>
      <c r="W892" s="27" t="s">
        <v>8</v>
      </c>
      <c r="X892" s="27" t="s">
        <v>7</v>
      </c>
      <c r="Z892" s="27" t="s">
        <v>7</v>
      </c>
      <c r="AU892" s="27" t="s">
        <v>8</v>
      </c>
      <c r="AV892" s="27" t="s">
        <v>7</v>
      </c>
      <c r="AW892" s="27" t="s">
        <v>8</v>
      </c>
      <c r="AZ892" s="27" t="s">
        <v>7</v>
      </c>
      <c r="BB892" s="27" t="s">
        <v>7</v>
      </c>
      <c r="BC892" s="27" t="s">
        <v>8</v>
      </c>
      <c r="BH892" s="27" t="s">
        <v>7</v>
      </c>
      <c r="BJ892" s="27" t="s">
        <v>7</v>
      </c>
      <c r="BK892" s="27" t="s">
        <v>8</v>
      </c>
    </row>
    <row r="893" spans="1:102" x14ac:dyDescent="0.25">
      <c r="A893" s="7">
        <v>2.3353256039625224E-3</v>
      </c>
      <c r="B893"/>
      <c r="C893"/>
      <c r="D893"/>
      <c r="E893"/>
      <c r="F893" s="27" t="s">
        <v>7</v>
      </c>
      <c r="I893" s="27" t="s">
        <v>8</v>
      </c>
      <c r="J893" s="27" t="s">
        <v>7</v>
      </c>
      <c r="K893" s="27" t="s">
        <v>8</v>
      </c>
      <c r="L893" s="27" t="s">
        <v>7</v>
      </c>
      <c r="M893" s="27" t="s">
        <v>8</v>
      </c>
      <c r="T893" s="27" t="s">
        <v>7</v>
      </c>
      <c r="U893" s="27" t="s">
        <v>8</v>
      </c>
      <c r="V893" s="27" t="s">
        <v>7</v>
      </c>
      <c r="W893" s="27" t="s">
        <v>8</v>
      </c>
      <c r="Z893" s="27" t="s">
        <v>7</v>
      </c>
      <c r="AU893" s="27" t="s">
        <v>8</v>
      </c>
      <c r="AV893" s="27" t="s">
        <v>7</v>
      </c>
      <c r="AW893" s="27" t="s">
        <v>8</v>
      </c>
      <c r="BB893" s="27" t="s">
        <v>7</v>
      </c>
      <c r="BC893" s="27" t="s">
        <v>8</v>
      </c>
      <c r="BJ893" s="27" t="s">
        <v>7</v>
      </c>
      <c r="BK893" s="27" t="s">
        <v>8</v>
      </c>
    </row>
    <row r="894" spans="1:102" x14ac:dyDescent="0.25">
      <c r="A894" s="7">
        <v>2.2895349058456101E-3</v>
      </c>
      <c r="B894"/>
      <c r="C894"/>
      <c r="D894"/>
      <c r="E894"/>
      <c r="F894" s="27" t="s">
        <v>7</v>
      </c>
      <c r="I894" s="27" t="s">
        <v>8</v>
      </c>
      <c r="J894" s="27" t="s">
        <v>7</v>
      </c>
      <c r="L894" s="27" t="s">
        <v>7</v>
      </c>
      <c r="M894" s="27" t="s">
        <v>8</v>
      </c>
      <c r="T894" s="27" t="s">
        <v>7</v>
      </c>
      <c r="U894" s="27" t="s">
        <v>8</v>
      </c>
      <c r="V894" s="27" t="s">
        <v>7</v>
      </c>
      <c r="W894" s="27" t="s">
        <v>8</v>
      </c>
      <c r="Z894" s="27" t="s">
        <v>7</v>
      </c>
      <c r="AU894" s="27" t="s">
        <v>8</v>
      </c>
      <c r="AV894" s="27" t="s">
        <v>7</v>
      </c>
      <c r="BB894" s="27" t="s">
        <v>7</v>
      </c>
      <c r="BC894" s="27" t="s">
        <v>8</v>
      </c>
      <c r="BJ894" s="27" t="s">
        <v>7</v>
      </c>
    </row>
    <row r="895" spans="1:102" x14ac:dyDescent="0.25">
      <c r="A895" s="7">
        <v>2.24464206455452E-3</v>
      </c>
      <c r="B895"/>
      <c r="C895"/>
      <c r="D895"/>
      <c r="E895"/>
      <c r="F895" s="27" t="s">
        <v>7</v>
      </c>
      <c r="I895" s="27" t="s">
        <v>8</v>
      </c>
      <c r="L895" s="27" t="s">
        <v>7</v>
      </c>
      <c r="M895" s="27" t="s">
        <v>8</v>
      </c>
      <c r="T895" s="27" t="s">
        <v>7</v>
      </c>
      <c r="U895" s="27" t="s">
        <v>8</v>
      </c>
      <c r="V895" s="27" t="s">
        <v>7</v>
      </c>
      <c r="W895" s="27" t="s">
        <v>8</v>
      </c>
      <c r="Z895" s="27" t="s">
        <v>7</v>
      </c>
      <c r="AA895" s="27" t="s">
        <v>8</v>
      </c>
      <c r="AU895" s="27" t="s">
        <v>8</v>
      </c>
      <c r="BB895" s="27" t="s">
        <v>7</v>
      </c>
    </row>
    <row r="896" spans="1:102" x14ac:dyDescent="0.25">
      <c r="A896" s="7">
        <v>2.200629475053451E-3</v>
      </c>
      <c r="B896"/>
      <c r="C896"/>
      <c r="D896"/>
      <c r="E896"/>
      <c r="F896" s="27" t="s">
        <v>7</v>
      </c>
      <c r="G896" s="27" t="s">
        <v>8</v>
      </c>
      <c r="I896" s="27" t="s">
        <v>8</v>
      </c>
      <c r="L896" s="27" t="s">
        <v>7</v>
      </c>
      <c r="T896" s="27" t="s">
        <v>7</v>
      </c>
      <c r="V896" s="27" t="s">
        <v>7</v>
      </c>
      <c r="Z896" s="27" t="s">
        <v>7</v>
      </c>
      <c r="AA896" s="27" t="s">
        <v>8</v>
      </c>
      <c r="AB896" s="27" t="s">
        <v>7</v>
      </c>
      <c r="AU896" s="27" t="s">
        <v>8</v>
      </c>
    </row>
    <row r="897" spans="1:47" x14ac:dyDescent="0.25">
      <c r="A897" s="7">
        <v>2.1574798775033832E-3</v>
      </c>
      <c r="B897"/>
      <c r="C897"/>
      <c r="D897"/>
      <c r="E897"/>
      <c r="F897" s="27" t="s">
        <v>7</v>
      </c>
      <c r="G897" s="27" t="s">
        <v>8</v>
      </c>
      <c r="H897" s="27" t="s">
        <v>7</v>
      </c>
      <c r="I897" s="27" t="s">
        <v>8</v>
      </c>
      <c r="Z897" s="27" t="s">
        <v>7</v>
      </c>
      <c r="AA897" s="27" t="s">
        <v>8</v>
      </c>
      <c r="AB897" s="27" t="s">
        <v>7</v>
      </c>
      <c r="AU897" s="27" t="s">
        <v>8</v>
      </c>
    </row>
    <row r="898" spans="1:47" x14ac:dyDescent="0.25">
      <c r="A898" s="7">
        <v>2.115176350493513E-3</v>
      </c>
      <c r="B898"/>
      <c r="C898"/>
      <c r="D898"/>
      <c r="E898"/>
      <c r="F898" s="27" t="s">
        <v>7</v>
      </c>
      <c r="G898" s="27" t="s">
        <v>8</v>
      </c>
      <c r="H898" s="27" t="s">
        <v>7</v>
      </c>
      <c r="I898" s="27" t="s">
        <v>8</v>
      </c>
      <c r="Z898" s="27" t="s">
        <v>7</v>
      </c>
      <c r="AB898" s="27" t="s">
        <v>7</v>
      </c>
      <c r="AU898" s="27" t="s">
        <v>8</v>
      </c>
    </row>
    <row r="899" spans="1:47" x14ac:dyDescent="0.25">
      <c r="A899" s="7">
        <v>2.0737023044054047E-3</v>
      </c>
      <c r="B899"/>
      <c r="C899"/>
      <c r="D899"/>
      <c r="E899"/>
      <c r="F899" s="27" t="s">
        <v>7</v>
      </c>
      <c r="G899" s="27" t="s">
        <v>8</v>
      </c>
      <c r="H899" s="27" t="s">
        <v>7</v>
      </c>
      <c r="AB899" s="27" t="s">
        <v>7</v>
      </c>
      <c r="AS899" s="27" t="s">
        <v>8</v>
      </c>
      <c r="AU899" s="27" t="s">
        <v>8</v>
      </c>
    </row>
    <row r="900" spans="1:47" x14ac:dyDescent="0.25">
      <c r="A900" s="7">
        <v>2.0330414749072595E-3</v>
      </c>
      <c r="B900"/>
      <c r="C900"/>
      <c r="D900"/>
      <c r="E900"/>
      <c r="F900" s="27" t="s">
        <v>7</v>
      </c>
      <c r="G900" s="27" t="s">
        <v>8</v>
      </c>
      <c r="AB900" s="27" t="s">
        <v>7</v>
      </c>
      <c r="AO900" s="27" t="s">
        <v>8</v>
      </c>
      <c r="AS900" s="27" t="s">
        <v>8</v>
      </c>
      <c r="AT900" s="27" t="s">
        <v>7</v>
      </c>
      <c r="AU900" s="27" t="s">
        <v>8</v>
      </c>
    </row>
    <row r="901" spans="1:47" x14ac:dyDescent="0.25">
      <c r="A901" s="7">
        <v>1.9931779165757446E-3</v>
      </c>
      <c r="B901"/>
      <c r="C901"/>
      <c r="D901"/>
      <c r="E901"/>
      <c r="F901" s="27" t="s">
        <v>7</v>
      </c>
      <c r="G901" s="27" t="s">
        <v>8</v>
      </c>
      <c r="AB901" s="27" t="s">
        <v>7</v>
      </c>
      <c r="AO901" s="27" t="s">
        <v>8</v>
      </c>
      <c r="AP901" s="27" t="s">
        <v>7</v>
      </c>
      <c r="AQ901" s="27" t="s">
        <v>8</v>
      </c>
      <c r="AS901" s="27" t="s">
        <v>8</v>
      </c>
      <c r="AT901" s="27" t="s">
        <v>7</v>
      </c>
      <c r="AU901" s="27" t="s">
        <v>8</v>
      </c>
    </row>
    <row r="902" spans="1:47" x14ac:dyDescent="0.25">
      <c r="A902" s="7">
        <v>1.954095996642887E-3</v>
      </c>
      <c r="B902"/>
      <c r="C902"/>
      <c r="D902"/>
      <c r="E902"/>
      <c r="F902" s="27" t="s">
        <v>7</v>
      </c>
      <c r="AB902" s="27" t="s">
        <v>7</v>
      </c>
      <c r="AO902" s="27" t="s">
        <v>8</v>
      </c>
      <c r="AP902" s="27" t="s">
        <v>7</v>
      </c>
      <c r="AQ902" s="27" t="s">
        <v>8</v>
      </c>
      <c r="AR902" s="27" t="s">
        <v>7</v>
      </c>
      <c r="AS902" s="27" t="s">
        <v>8</v>
      </c>
      <c r="AT902" s="27" t="s">
        <v>7</v>
      </c>
    </row>
    <row r="903" spans="1:47" x14ac:dyDescent="0.25">
      <c r="A903" s="7">
        <v>1.9157803888655755E-3</v>
      </c>
      <c r="B903"/>
      <c r="C903"/>
      <c r="D903"/>
      <c r="E903"/>
      <c r="AB903" s="27" t="s">
        <v>7</v>
      </c>
      <c r="AG903" s="27" t="s">
        <v>8</v>
      </c>
      <c r="AK903" s="27" t="s">
        <v>8</v>
      </c>
      <c r="AO903" s="27" t="s">
        <v>8</v>
      </c>
      <c r="AP903" s="27" t="s">
        <v>7</v>
      </c>
      <c r="AQ903" s="27" t="s">
        <v>8</v>
      </c>
      <c r="AR903" s="27" t="s">
        <v>7</v>
      </c>
      <c r="AS903" s="27" t="s">
        <v>8</v>
      </c>
    </row>
    <row r="904" spans="1:47" x14ac:dyDescent="0.25">
      <c r="A904" s="7">
        <v>1.8782160675152703E-3</v>
      </c>
      <c r="B904"/>
      <c r="C904"/>
      <c r="D904"/>
      <c r="E904"/>
      <c r="AB904" s="27" t="s">
        <v>7</v>
      </c>
      <c r="AG904" s="27" t="s">
        <v>8</v>
      </c>
      <c r="AH904" s="27" t="s">
        <v>7</v>
      </c>
      <c r="AK904" s="27" t="s">
        <v>8</v>
      </c>
      <c r="AL904" s="27" t="s">
        <v>7</v>
      </c>
      <c r="AM904" s="27" t="s">
        <v>8</v>
      </c>
      <c r="AO904" s="27" t="s">
        <v>8</v>
      </c>
      <c r="AP904" s="27" t="s">
        <v>7</v>
      </c>
      <c r="AR904" s="27" t="s">
        <v>7</v>
      </c>
    </row>
    <row r="905" spans="1:47" x14ac:dyDescent="0.25">
      <c r="A905" s="7">
        <v>1.8413883014855592E-3</v>
      </c>
      <c r="B905"/>
      <c r="C905"/>
      <c r="D905"/>
      <c r="E905"/>
      <c r="AB905" s="27" t="s">
        <v>7</v>
      </c>
      <c r="AG905" s="27" t="s">
        <v>8</v>
      </c>
      <c r="AH905" s="27" t="s">
        <v>7</v>
      </c>
      <c r="AI905" s="27" t="s">
        <v>8</v>
      </c>
      <c r="AK905" s="27" t="s">
        <v>8</v>
      </c>
      <c r="AL905" s="27" t="s">
        <v>7</v>
      </c>
      <c r="AM905" s="27" t="s">
        <v>8</v>
      </c>
      <c r="AN905" s="27" t="s">
        <v>7</v>
      </c>
      <c r="AO905" s="27" t="s">
        <v>8</v>
      </c>
    </row>
    <row r="906" spans="1:47" x14ac:dyDescent="0.25">
      <c r="A906" s="7">
        <v>1.8052826485152542E-3</v>
      </c>
      <c r="B906"/>
      <c r="C906"/>
      <c r="D906"/>
      <c r="E906"/>
      <c r="AB906" s="27" t="s">
        <v>7</v>
      </c>
      <c r="AC906" s="27" t="s">
        <v>8</v>
      </c>
      <c r="AG906" s="27" t="s">
        <v>8</v>
      </c>
      <c r="AH906" s="27" t="s">
        <v>7</v>
      </c>
      <c r="AI906" s="27" t="s">
        <v>8</v>
      </c>
      <c r="AJ906" s="27" t="s">
        <v>7</v>
      </c>
      <c r="AK906" s="27" t="s">
        <v>8</v>
      </c>
      <c r="AL906" s="27" t="s">
        <v>7</v>
      </c>
      <c r="AM906" s="27" t="s">
        <v>8</v>
      </c>
      <c r="AN906" s="27" t="s">
        <v>7</v>
      </c>
      <c r="AO906" s="27" t="s">
        <v>8</v>
      </c>
    </row>
    <row r="907" spans="1:47" x14ac:dyDescent="0.25">
      <c r="A907" s="7">
        <v>1.7698849495247592E-3</v>
      </c>
      <c r="B907"/>
      <c r="C907"/>
      <c r="D907"/>
      <c r="E907"/>
      <c r="AB907" s="27" t="s">
        <v>7</v>
      </c>
      <c r="AC907" s="27" t="s">
        <v>8</v>
      </c>
      <c r="AD907" s="27" t="s">
        <v>7</v>
      </c>
      <c r="AG907" s="27" t="s">
        <v>8</v>
      </c>
      <c r="AH907" s="27" t="s">
        <v>7</v>
      </c>
      <c r="AI907" s="27" t="s">
        <v>8</v>
      </c>
      <c r="AJ907" s="27" t="s">
        <v>7</v>
      </c>
      <c r="AK907" s="27" t="s">
        <v>8</v>
      </c>
      <c r="AL907" s="27" t="s">
        <v>7</v>
      </c>
      <c r="AM907" s="27" t="s">
        <v>8</v>
      </c>
      <c r="AN907" s="27" t="s">
        <v>7</v>
      </c>
    </row>
    <row r="908" spans="1:47" x14ac:dyDescent="0.25">
      <c r="A908" s="7">
        <v>1.7351813230634893E-3</v>
      </c>
      <c r="B908"/>
      <c r="C908"/>
      <c r="D908"/>
      <c r="E908"/>
      <c r="AB908" s="27" t="s">
        <v>7</v>
      </c>
      <c r="AC908" s="27" t="s">
        <v>8</v>
      </c>
      <c r="AD908" s="27" t="s">
        <v>7</v>
      </c>
      <c r="AG908" s="27" t="s">
        <v>8</v>
      </c>
      <c r="AH908" s="27" t="s">
        <v>7</v>
      </c>
      <c r="AI908" s="27" t="s">
        <v>8</v>
      </c>
      <c r="AJ908" s="27" t="s">
        <v>7</v>
      </c>
      <c r="AK908" s="27" t="s">
        <v>8</v>
      </c>
      <c r="AL908" s="27" t="s">
        <v>7</v>
      </c>
      <c r="AM908" s="27" t="s">
        <v>8</v>
      </c>
    </row>
    <row r="909" spans="1:47" x14ac:dyDescent="0.25">
      <c r="A909" s="7">
        <v>1.701158159866166E-3</v>
      </c>
      <c r="B909"/>
      <c r="C909"/>
      <c r="D909"/>
      <c r="E909"/>
      <c r="AB909" s="27" t="s">
        <v>7</v>
      </c>
      <c r="AC909" s="27" t="s">
        <v>8</v>
      </c>
      <c r="AD909" s="27" t="s">
        <v>7</v>
      </c>
      <c r="AG909" s="27" t="s">
        <v>8</v>
      </c>
      <c r="AH909" s="27" t="s">
        <v>7</v>
      </c>
      <c r="AJ909" s="27" t="s">
        <v>7</v>
      </c>
      <c r="AL909" s="27" t="s">
        <v>7</v>
      </c>
    </row>
    <row r="910" spans="1:47" x14ac:dyDescent="0.25">
      <c r="A910" s="7">
        <v>1.6678021175158492E-3</v>
      </c>
      <c r="B910"/>
      <c r="C910"/>
      <c r="D910"/>
      <c r="E910"/>
      <c r="AB910" s="27" t="s">
        <v>7</v>
      </c>
      <c r="AC910" s="27" t="s">
        <v>8</v>
      </c>
      <c r="AD910" s="27" t="s">
        <v>7</v>
      </c>
      <c r="AE910" s="27" t="s">
        <v>8</v>
      </c>
      <c r="AG910" s="27" t="s">
        <v>8</v>
      </c>
    </row>
    <row r="911" spans="1:47" x14ac:dyDescent="0.25">
      <c r="A911" s="7">
        <v>1.6351001152116167E-3</v>
      </c>
      <c r="B911"/>
      <c r="C911"/>
      <c r="D911"/>
      <c r="E911"/>
      <c r="AB911" s="27" t="s">
        <v>7</v>
      </c>
      <c r="AC911" s="27" t="s">
        <v>8</v>
      </c>
      <c r="AD911" s="27" t="s">
        <v>7</v>
      </c>
      <c r="AE911" s="27" t="s">
        <v>8</v>
      </c>
      <c r="AF911" s="27" t="s">
        <v>7</v>
      </c>
      <c r="AG911" s="27" t="s">
        <v>8</v>
      </c>
    </row>
    <row r="912" spans="1:47" x14ac:dyDescent="0.25">
      <c r="A912" s="7">
        <v>1.60303932863884E-3</v>
      </c>
      <c r="B912"/>
      <c r="C912"/>
      <c r="D912"/>
      <c r="E912"/>
      <c r="AB912" s="27" t="s">
        <v>7</v>
      </c>
      <c r="AC912" s="27" t="s">
        <v>8</v>
      </c>
      <c r="AD912" s="27" t="s">
        <v>7</v>
      </c>
      <c r="AE912" s="27" t="s">
        <v>8</v>
      </c>
      <c r="AF912" s="27" t="s">
        <v>7</v>
      </c>
      <c r="AG912" s="27" t="s">
        <v>8</v>
      </c>
    </row>
    <row r="913" spans="1:32" x14ac:dyDescent="0.25">
      <c r="A913" s="7">
        <v>1.5716071849400392E-3</v>
      </c>
      <c r="B913"/>
      <c r="C913"/>
      <c r="D913"/>
      <c r="E913"/>
      <c r="AB913" s="27" t="s">
        <v>7</v>
      </c>
      <c r="AC913" s="27" t="s">
        <v>8</v>
      </c>
      <c r="AD913" s="27" t="s">
        <v>7</v>
      </c>
      <c r="AE913" s="27" t="s">
        <v>8</v>
      </c>
      <c r="AF913" s="27" t="s">
        <v>7</v>
      </c>
    </row>
    <row r="914" spans="1:32" x14ac:dyDescent="0.25">
      <c r="A914" s="7">
        <v>1.5407913577843522E-3</v>
      </c>
      <c r="B914"/>
      <c r="C914"/>
      <c r="D914"/>
      <c r="E914"/>
      <c r="AB914" s="27" t="s">
        <v>7</v>
      </c>
      <c r="AC914" s="27" t="s">
        <v>8</v>
      </c>
      <c r="AD914" s="27" t="s">
        <v>7</v>
      </c>
      <c r="AE914" s="27" t="s">
        <v>8</v>
      </c>
    </row>
    <row r="915" spans="1:32" x14ac:dyDescent="0.25">
      <c r="A915" s="7">
        <v>1.5105797625336785E-3</v>
      </c>
      <c r="B915"/>
      <c r="C915"/>
      <c r="D915"/>
      <c r="E915"/>
      <c r="AB915" s="27" t="s">
        <v>7</v>
      </c>
      <c r="AC915" s="27" t="s">
        <v>8</v>
      </c>
      <c r="AD915" s="27" t="s">
        <v>7</v>
      </c>
      <c r="AE915" s="27" t="s">
        <v>8</v>
      </c>
    </row>
    <row r="916" spans="1:32" x14ac:dyDescent="0.25">
      <c r="A916" s="7">
        <v>1.4809605515036064E-3</v>
      </c>
      <c r="B916"/>
      <c r="C916"/>
      <c r="D916"/>
      <c r="E916"/>
      <c r="AB916" s="27" t="s">
        <v>7</v>
      </c>
      <c r="AC916" s="27" t="s">
        <v>8</v>
      </c>
      <c r="AD916" s="27" t="s">
        <v>7</v>
      </c>
      <c r="AE916" s="27" t="s">
        <v>8</v>
      </c>
    </row>
    <row r="917" spans="1:32" x14ac:dyDescent="0.25">
      <c r="A917" s="7">
        <v>1.4519221093172612E-3</v>
      </c>
      <c r="B917"/>
      <c r="C917"/>
      <c r="D917"/>
      <c r="E917"/>
      <c r="AB917" s="27" t="s">
        <v>7</v>
      </c>
      <c r="AC917" s="27" t="s">
        <v>8</v>
      </c>
      <c r="AD917" s="27" t="s">
        <v>7</v>
      </c>
      <c r="AE917" s="27" t="s">
        <v>8</v>
      </c>
    </row>
    <row r="918" spans="1:32" x14ac:dyDescent="0.25">
      <c r="A918" s="7">
        <v>1.423453048350256E-3</v>
      </c>
      <c r="B918"/>
      <c r="C918"/>
      <c r="D918"/>
      <c r="E918"/>
      <c r="AB918" s="27" t="s">
        <v>7</v>
      </c>
      <c r="AC918" s="27" t="s">
        <v>8</v>
      </c>
      <c r="AD918" s="27" t="s">
        <v>7</v>
      </c>
      <c r="AE918" s="27" t="s">
        <v>8</v>
      </c>
    </row>
    <row r="919" spans="1:32" x14ac:dyDescent="0.25">
      <c r="A919" s="7">
        <v>1.3955422042649568E-3</v>
      </c>
      <c r="B919"/>
      <c r="C919"/>
      <c r="D919"/>
      <c r="E919"/>
      <c r="AB919" s="27" t="s">
        <v>7</v>
      </c>
      <c r="AC919" s="27" t="s">
        <v>8</v>
      </c>
      <c r="AD919" s="27" t="s">
        <v>7</v>
      </c>
      <c r="AE919" s="27" t="s">
        <v>8</v>
      </c>
    </row>
    <row r="920" spans="1:32" x14ac:dyDescent="0.25">
      <c r="A920" s="7">
        <v>1.3681786316323105E-3</v>
      </c>
      <c r="B920"/>
      <c r="C920"/>
      <c r="D920"/>
      <c r="E920"/>
      <c r="AB920" s="27" t="s">
        <v>7</v>
      </c>
      <c r="AC920" s="27" t="s">
        <v>8</v>
      </c>
      <c r="AD920" s="27" t="s">
        <v>7</v>
      </c>
    </row>
    <row r="921" spans="1:32" x14ac:dyDescent="0.25">
      <c r="A921" s="7">
        <v>1.3413515996395203E-3</v>
      </c>
      <c r="B921"/>
      <c r="C921"/>
      <c r="D921"/>
      <c r="E921"/>
      <c r="AB921" s="27" t="s">
        <v>7</v>
      </c>
      <c r="AC921" s="27" t="s">
        <v>8</v>
      </c>
    </row>
    <row r="922" spans="1:32" x14ac:dyDescent="0.25">
      <c r="A922" s="7">
        <v>1.3150505878818826E-3</v>
      </c>
      <c r="B922"/>
      <c r="C922"/>
      <c r="D922"/>
      <c r="E922"/>
      <c r="AB922" s="27" t="s">
        <v>7</v>
      </c>
      <c r="AC922" s="27" t="s">
        <v>8</v>
      </c>
    </row>
    <row r="923" spans="1:32" x14ac:dyDescent="0.25">
      <c r="A923" s="7">
        <v>1.2892652822371396E-3</v>
      </c>
      <c r="B923"/>
      <c r="C923"/>
      <c r="D923"/>
      <c r="E923"/>
      <c r="AB923" s="27" t="s">
        <v>7</v>
      </c>
      <c r="AC923" s="27" t="s">
        <v>8</v>
      </c>
    </row>
    <row r="924" spans="1:32" x14ac:dyDescent="0.25">
      <c r="A924" s="7">
        <v>1.2639855708207251E-3</v>
      </c>
      <c r="B924"/>
      <c r="C924"/>
      <c r="D924"/>
      <c r="E924"/>
      <c r="AB924" s="27" t="s">
        <v>7</v>
      </c>
      <c r="AC924" s="27" t="s">
        <v>8</v>
      </c>
    </row>
    <row r="925" spans="1:32" x14ac:dyDescent="0.25">
      <c r="A925" s="7">
        <v>1.2392015400203187E-3</v>
      </c>
      <c r="B925"/>
      <c r="C925"/>
      <c r="D925"/>
      <c r="E925"/>
      <c r="AB925" s="27" t="s">
        <v>7</v>
      </c>
      <c r="AC925" s="27" t="s">
        <v>8</v>
      </c>
    </row>
    <row r="926" spans="1:32" x14ac:dyDescent="0.25">
      <c r="A926" s="7">
        <v>1.2149034706081556E-3</v>
      </c>
      <c r="B926"/>
      <c r="C926"/>
      <c r="D926"/>
      <c r="E926"/>
      <c r="AB926" s="27" t="s">
        <v>7</v>
      </c>
      <c r="AC926" s="27" t="s">
        <v>8</v>
      </c>
    </row>
    <row r="927" spans="1:32" x14ac:dyDescent="0.25">
      <c r="A927" s="7">
        <v>1.1910818339295644E-3</v>
      </c>
      <c r="B927"/>
      <c r="C927"/>
      <c r="D927"/>
      <c r="E927"/>
      <c r="AB927" s="27" t="s">
        <v>7</v>
      </c>
      <c r="AC927" s="27" t="s">
        <v>8</v>
      </c>
    </row>
    <row r="928" spans="1:32" x14ac:dyDescent="0.25">
      <c r="A928" s="7">
        <v>1.1677272881662395E-3</v>
      </c>
      <c r="B928"/>
      <c r="C928"/>
      <c r="D928"/>
      <c r="E928"/>
      <c r="AB928" s="27" t="s">
        <v>7</v>
      </c>
      <c r="AC928" s="27" t="s">
        <v>8</v>
      </c>
    </row>
    <row r="929" spans="1:28" x14ac:dyDescent="0.25">
      <c r="A929" s="7">
        <v>1.1448306746727837E-3</v>
      </c>
      <c r="B929"/>
      <c r="C929"/>
      <c r="D929"/>
      <c r="E929"/>
      <c r="AB929" s="27" t="s">
        <v>7</v>
      </c>
    </row>
    <row r="930" spans="1:28" x14ac:dyDescent="0.25">
      <c r="A930" s="7">
        <v>1.1223830143850821E-3</v>
      </c>
      <c r="B930"/>
      <c r="C930"/>
      <c r="D930"/>
      <c r="E930"/>
    </row>
    <row r="931" spans="1:28" x14ac:dyDescent="0.25">
      <c r="A931" s="7">
        <v>1.1003755042991001E-3</v>
      </c>
      <c r="B931"/>
      <c r="C931"/>
      <c r="D931"/>
      <c r="E931"/>
    </row>
    <row r="932" spans="1:28" x14ac:dyDescent="0.25">
      <c r="A932" s="7">
        <v>1.0787995140187257E-3</v>
      </c>
      <c r="B932"/>
      <c r="C932"/>
      <c r="D932"/>
      <c r="E932"/>
    </row>
    <row r="933" spans="1:28" x14ac:dyDescent="0.25">
      <c r="A933" s="7">
        <v>1.0576465823712996E-3</v>
      </c>
      <c r="B933"/>
      <c r="C933"/>
      <c r="D933"/>
      <c r="E933"/>
    </row>
    <row r="934" spans="1:28" x14ac:dyDescent="0.25">
      <c r="A934" s="7">
        <v>1.0369084140895094E-3</v>
      </c>
      <c r="B934"/>
      <c r="C934"/>
      <c r="D934"/>
      <c r="E934"/>
    </row>
    <row r="935" spans="1:28" x14ac:dyDescent="0.25">
      <c r="A935" s="7">
        <v>1.0165768765583426E-3</v>
      </c>
      <c r="B935"/>
      <c r="C935"/>
      <c r="D935"/>
      <c r="E935"/>
    </row>
    <row r="936" spans="1:28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53" zoomScaleNormal="100" workbookViewId="0">
      <pane xSplit="4" topLeftCell="AX1" activePane="topRight" state="frozen"/>
      <selection activeCell="A109" sqref="A109"/>
      <selection pane="topRight" activeCell="DM279" sqref="DM27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$A$278</v>
      </c>
      <c r="D111" s="1" t="str">
        <f>ADDRESS(C121-1,D121,1,1)</f>
        <v>$DM$278</v>
      </c>
      <c r="E111"/>
    </row>
    <row r="112" spans="1:5" x14ac:dyDescent="0.25">
      <c r="A112" s="30">
        <v>515.50191262726139</v>
      </c>
      <c r="C112" s="1" t="str">
        <f>ADDRESS(C121,1,1,1)</f>
        <v>$A$279</v>
      </c>
      <c r="D112" s="1" t="str">
        <f>ADDRESS(C121,D121-1,1,1)</f>
        <v>$DL$279</v>
      </c>
      <c r="E112"/>
    </row>
    <row r="113" spans="1:5" x14ac:dyDescent="0.25">
      <c r="A113" s="30">
        <v>490.95420250215363</v>
      </c>
      <c r="C113" s="1" t="str">
        <f>ADDRESS(C121+1,1,1,1)</f>
        <v>$A$280</v>
      </c>
      <c r="D113" s="1" t="str">
        <f>ADDRESS(C121-1,D121+1,1,1)</f>
        <v>$DN$278</v>
      </c>
    </row>
    <row r="114" spans="1:5" x14ac:dyDescent="0.25">
      <c r="A114" s="30">
        <v>467.57543095443202</v>
      </c>
      <c r="C114" s="1" t="str">
        <f>ADDRESS(C121,D121,1,1)</f>
        <v>$DM$279</v>
      </c>
      <c r="D114" s="1" t="str">
        <f>ADDRESS(C121+1,D121+1,1,1)</f>
        <v>$DN$280</v>
      </c>
    </row>
    <row r="115" spans="1:5" x14ac:dyDescent="0.25">
      <c r="A115" s="30">
        <v>445.30993424231622</v>
      </c>
      <c r="C115" s="1" t="str">
        <f>ADDRESS(C121+1,D121,1,1)</f>
        <v>$DM$280</v>
      </c>
    </row>
    <row r="116" spans="1:5" x14ac:dyDescent="0.25">
      <c r="A116" s="30">
        <v>424.10469927839637</v>
      </c>
      <c r="C116" s="1">
        <f>C117-1</f>
        <v>278</v>
      </c>
    </row>
    <row r="117" spans="1:5" x14ac:dyDescent="0.25">
      <c r="A117" s="30">
        <v>403.9092374079965</v>
      </c>
      <c r="C117" s="1">
        <f>C121</f>
        <v>279</v>
      </c>
      <c r="D117" s="1">
        <f>D121</f>
        <v>117</v>
      </c>
    </row>
    <row r="118" spans="1:5" x14ac:dyDescent="0.25">
      <c r="A118" s="30">
        <v>384.6754641980919</v>
      </c>
      <c r="C118" s="1">
        <f>C117+1</f>
        <v>280</v>
      </c>
      <c r="D118" s="1">
        <f>D117+1</f>
        <v>118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279</v>
      </c>
      <c r="D121" s="19">
        <v>117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R279</v>
      </c>
      <c r="D123" s="1" t="str">
        <f>"C"&amp;D121</f>
        <v>C117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0.14914796641528946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76" x14ac:dyDescent="0.25">
      <c r="A241" s="30">
        <v>0.952380952380952</v>
      </c>
      <c r="B241"/>
      <c r="C241"/>
      <c r="D241"/>
      <c r="E241"/>
      <c r="F241" s="27" t="s">
        <v>7</v>
      </c>
    </row>
    <row r="242" spans="1:76" x14ac:dyDescent="0.25">
      <c r="A242" s="30">
        <v>0.90702947845804915</v>
      </c>
      <c r="B242"/>
      <c r="C242"/>
      <c r="D242"/>
      <c r="E242"/>
      <c r="F242" s="27" t="s">
        <v>7</v>
      </c>
    </row>
    <row r="243" spans="1:76" x14ac:dyDescent="0.25">
      <c r="A243" s="30">
        <v>0.86383759853147501</v>
      </c>
      <c r="B243"/>
      <c r="C243"/>
      <c r="D243"/>
      <c r="E243"/>
      <c r="F243" s="27" t="s">
        <v>7</v>
      </c>
    </row>
    <row r="244" spans="1:76" x14ac:dyDescent="0.25">
      <c r="A244" s="30">
        <v>0.82270247479188063</v>
      </c>
      <c r="B244"/>
      <c r="C244"/>
      <c r="D244"/>
      <c r="E244"/>
      <c r="F244" s="27" t="s">
        <v>7</v>
      </c>
    </row>
    <row r="245" spans="1:76" x14ac:dyDescent="0.25">
      <c r="A245" s="30">
        <v>0.78352616646845741</v>
      </c>
      <c r="B245"/>
      <c r="C245"/>
      <c r="D245"/>
      <c r="E245"/>
      <c r="F245" s="27" t="s">
        <v>7</v>
      </c>
    </row>
    <row r="246" spans="1:76" x14ac:dyDescent="0.25">
      <c r="A246" s="30">
        <v>0.74621539663662584</v>
      </c>
      <c r="B246"/>
      <c r="C246"/>
      <c r="D246"/>
      <c r="E246"/>
      <c r="F246" s="27" t="s">
        <v>7</v>
      </c>
    </row>
    <row r="247" spans="1:76" x14ac:dyDescent="0.25">
      <c r="A247" s="30">
        <v>0.71068133013011958</v>
      </c>
      <c r="B247"/>
      <c r="C247"/>
      <c r="D247"/>
      <c r="E247"/>
      <c r="F247" s="27" t="s">
        <v>7</v>
      </c>
      <c r="BO247" s="31" t="s">
        <v>8</v>
      </c>
    </row>
    <row r="248" spans="1:76" x14ac:dyDescent="0.25">
      <c r="A248" s="30">
        <v>0.676839362028685</v>
      </c>
      <c r="B248"/>
      <c r="C248"/>
      <c r="D248"/>
      <c r="E248"/>
      <c r="F248" s="27" t="s">
        <v>7</v>
      </c>
      <c r="BM248" s="27" t="s">
        <v>8</v>
      </c>
      <c r="BO248" s="27" t="s">
        <v>8</v>
      </c>
      <c r="BP248" s="31" t="s">
        <v>7</v>
      </c>
    </row>
    <row r="249" spans="1:76" x14ac:dyDescent="0.25">
      <c r="A249" s="30">
        <v>0.64460891621779492</v>
      </c>
      <c r="B249"/>
      <c r="C249"/>
      <c r="D249"/>
      <c r="E249"/>
      <c r="F249" s="27" t="s">
        <v>7</v>
      </c>
      <c r="BM249" s="27" t="s">
        <v>8</v>
      </c>
      <c r="BN249" s="27" t="s">
        <v>7</v>
      </c>
      <c r="BO249" s="27" t="s">
        <v>8</v>
      </c>
      <c r="BP249" s="27" t="s">
        <v>7</v>
      </c>
      <c r="BQ249" s="31"/>
    </row>
    <row r="250" spans="1:76" x14ac:dyDescent="0.25">
      <c r="A250" s="30">
        <v>0.61391325354075688</v>
      </c>
      <c r="B250"/>
      <c r="C250"/>
      <c r="D250"/>
      <c r="E250"/>
      <c r="F250" s="27" t="s">
        <v>7</v>
      </c>
      <c r="BM250" s="27" t="s">
        <v>8</v>
      </c>
      <c r="BN250" s="27" t="s">
        <v>7</v>
      </c>
      <c r="BO250" s="27" t="s">
        <v>8</v>
      </c>
      <c r="BP250" s="27" t="s">
        <v>7</v>
      </c>
      <c r="BR250" s="31"/>
    </row>
    <row r="251" spans="1:76" x14ac:dyDescent="0.25">
      <c r="A251" s="30">
        <v>0.58467928908643485</v>
      </c>
      <c r="B251"/>
      <c r="C251"/>
      <c r="D251"/>
      <c r="E251"/>
      <c r="F251" s="27" t="s">
        <v>7</v>
      </c>
      <c r="BM251" s="27" t="s">
        <v>8</v>
      </c>
      <c r="BN251" s="27" t="s">
        <v>7</v>
      </c>
      <c r="BO251" s="27" t="s">
        <v>8</v>
      </c>
      <c r="BP251" s="27" t="s">
        <v>7</v>
      </c>
      <c r="BS251" s="31" t="s">
        <v>8</v>
      </c>
    </row>
    <row r="252" spans="1:76" x14ac:dyDescent="0.25">
      <c r="A252" s="30">
        <v>0.55683741817755672</v>
      </c>
      <c r="B252"/>
      <c r="C252"/>
      <c r="D252"/>
      <c r="E252"/>
      <c r="F252" s="27" t="s">
        <v>7</v>
      </c>
      <c r="BM252" s="27" t="s">
        <v>8</v>
      </c>
      <c r="BN252" s="27" t="s">
        <v>7</v>
      </c>
      <c r="BO252" s="27" t="s">
        <v>8</v>
      </c>
      <c r="BP252" s="27" t="s">
        <v>7</v>
      </c>
      <c r="BQ252" s="27" t="s">
        <v>8</v>
      </c>
      <c r="BS252" s="27" t="s">
        <v>8</v>
      </c>
      <c r="BT252" s="31" t="s">
        <v>7</v>
      </c>
    </row>
    <row r="253" spans="1:76" x14ac:dyDescent="0.25">
      <c r="A253" s="30">
        <v>0.53032135064529184</v>
      </c>
      <c r="B253"/>
      <c r="C253"/>
      <c r="D253"/>
      <c r="E253"/>
      <c r="F253" s="27" t="s">
        <v>7</v>
      </c>
      <c r="BM253" s="27" t="s">
        <v>8</v>
      </c>
      <c r="BN253" s="27" t="s">
        <v>7</v>
      </c>
      <c r="BP253" s="27" t="s">
        <v>7</v>
      </c>
      <c r="BQ253" s="27" t="s">
        <v>8</v>
      </c>
      <c r="BR253" s="27" t="s">
        <v>7</v>
      </c>
      <c r="BS253" s="27" t="s">
        <v>8</v>
      </c>
      <c r="BT253" s="27" t="s">
        <v>7</v>
      </c>
      <c r="BU253" s="31"/>
    </row>
    <row r="254" spans="1:76" x14ac:dyDescent="0.25">
      <c r="A254" s="30">
        <v>0.50506795299551588</v>
      </c>
      <c r="B254"/>
      <c r="C254"/>
      <c r="D254"/>
      <c r="E254"/>
      <c r="F254" s="27" t="s">
        <v>7</v>
      </c>
      <c r="BM254" s="27" t="s">
        <v>8</v>
      </c>
      <c r="BP254" s="27" t="s">
        <v>7</v>
      </c>
      <c r="BQ254" s="27" t="s">
        <v>8</v>
      </c>
      <c r="BR254" s="27" t="s">
        <v>7</v>
      </c>
      <c r="BS254" s="27" t="s">
        <v>8</v>
      </c>
      <c r="BT254" s="27" t="s">
        <v>7</v>
      </c>
      <c r="BV254" s="31"/>
    </row>
    <row r="255" spans="1:76" x14ac:dyDescent="0.25">
      <c r="A255" s="30">
        <v>0.48101709809096732</v>
      </c>
      <c r="E255"/>
      <c r="F255" s="27" t="s">
        <v>7</v>
      </c>
      <c r="BM255" s="27" t="s">
        <v>8</v>
      </c>
      <c r="BP255" s="27" t="s">
        <v>7</v>
      </c>
      <c r="BQ255" s="27" t="s">
        <v>8</v>
      </c>
      <c r="BR255" s="27" t="s">
        <v>7</v>
      </c>
      <c r="BS255" s="27" t="s">
        <v>8</v>
      </c>
      <c r="BT255" s="27" t="s">
        <v>7</v>
      </c>
      <c r="BW255" s="31"/>
    </row>
    <row r="256" spans="1:76" x14ac:dyDescent="0.25">
      <c r="A256" s="30">
        <v>0.45811152199139726</v>
      </c>
      <c r="E256"/>
      <c r="F256" s="27" t="s">
        <v>7</v>
      </c>
      <c r="BM256" s="27" t="s">
        <v>8</v>
      </c>
      <c r="BP256" s="27" t="s">
        <v>7</v>
      </c>
      <c r="BQ256" s="27" t="s">
        <v>8</v>
      </c>
      <c r="BR256" s="27" t="s">
        <v>7</v>
      </c>
      <c r="BS256" s="27" t="s">
        <v>8</v>
      </c>
      <c r="BT256" s="27" t="s">
        <v>7</v>
      </c>
      <c r="BX256" s="31"/>
    </row>
    <row r="257" spans="1:115" x14ac:dyDescent="0.25">
      <c r="A257" s="30">
        <v>0.43629668761085438</v>
      </c>
      <c r="B257"/>
      <c r="C257"/>
      <c r="D257"/>
      <c r="E257"/>
      <c r="F257" s="27" t="s">
        <v>7</v>
      </c>
      <c r="BE257" s="27" t="s">
        <v>8</v>
      </c>
      <c r="BM257" s="27" t="s">
        <v>8</v>
      </c>
      <c r="BP257" s="27" t="s">
        <v>7</v>
      </c>
      <c r="BR257" s="27" t="s">
        <v>7</v>
      </c>
      <c r="BS257" s="27" t="s">
        <v>8</v>
      </c>
      <c r="BT257" s="27" t="s">
        <v>7</v>
      </c>
      <c r="BY257" s="31" t="s">
        <v>8</v>
      </c>
    </row>
    <row r="258" spans="1:115" x14ac:dyDescent="0.25">
      <c r="A258" s="30">
        <v>0.41552065486748019</v>
      </c>
      <c r="B258"/>
      <c r="C258"/>
      <c r="D258"/>
      <c r="E258"/>
      <c r="F258" s="27" t="s">
        <v>7</v>
      </c>
      <c r="BE258" s="27" t="s">
        <v>8</v>
      </c>
      <c r="BF258" s="27" t="s">
        <v>7</v>
      </c>
      <c r="BG258" s="27" t="s">
        <v>8</v>
      </c>
      <c r="BM258" s="27" t="s">
        <v>8</v>
      </c>
      <c r="BR258" s="27" t="s">
        <v>7</v>
      </c>
      <c r="BS258" s="27" t="s">
        <v>8</v>
      </c>
      <c r="BT258" s="27" t="s">
        <v>7</v>
      </c>
      <c r="BU258" s="27" t="s">
        <v>8</v>
      </c>
      <c r="BY258" s="27" t="s">
        <v>8</v>
      </c>
      <c r="BZ258" s="31" t="s">
        <v>7</v>
      </c>
    </row>
    <row r="259" spans="1:115" x14ac:dyDescent="0.25">
      <c r="A259" s="30">
        <v>0.39573395701664765</v>
      </c>
      <c r="B259"/>
      <c r="C259"/>
      <c r="D259"/>
      <c r="E259"/>
      <c r="F259" s="27" t="s">
        <v>7</v>
      </c>
      <c r="BE259" s="27" t="s">
        <v>8</v>
      </c>
      <c r="BF259" s="27" t="s">
        <v>7</v>
      </c>
      <c r="BG259" s="27" t="s">
        <v>8</v>
      </c>
      <c r="BH259" s="27" t="s">
        <v>7</v>
      </c>
      <c r="BM259" s="27" t="s">
        <v>8</v>
      </c>
      <c r="BR259" s="27" t="s">
        <v>7</v>
      </c>
      <c r="BS259" s="27" t="s">
        <v>8</v>
      </c>
      <c r="BT259" s="27" t="s">
        <v>7</v>
      </c>
      <c r="BU259" s="27" t="s">
        <v>8</v>
      </c>
      <c r="BV259" s="27" t="s">
        <v>7</v>
      </c>
      <c r="BY259" s="27" t="s">
        <v>8</v>
      </c>
      <c r="BZ259" s="27" t="s">
        <v>7</v>
      </c>
      <c r="CA259" s="31"/>
    </row>
    <row r="260" spans="1:115" x14ac:dyDescent="0.25">
      <c r="A260" s="30">
        <v>0.37688948287299762</v>
      </c>
      <c r="B260"/>
      <c r="C260"/>
      <c r="D260"/>
      <c r="E260"/>
      <c r="F260" s="27" t="s">
        <v>7</v>
      </c>
      <c r="BE260" s="27" t="s">
        <v>8</v>
      </c>
      <c r="BF260" s="27" t="s">
        <v>7</v>
      </c>
      <c r="BG260" s="27" t="s">
        <v>8</v>
      </c>
      <c r="BH260" s="27" t="s">
        <v>7</v>
      </c>
      <c r="BM260" s="27" t="s">
        <v>8</v>
      </c>
      <c r="BR260" s="27" t="s">
        <v>7</v>
      </c>
      <c r="BS260" s="27" t="s">
        <v>8</v>
      </c>
      <c r="BT260" s="27" t="s">
        <v>7</v>
      </c>
      <c r="BU260" s="27" t="s">
        <v>8</v>
      </c>
      <c r="BV260" s="27" t="s">
        <v>7</v>
      </c>
      <c r="BW260" s="27" t="s">
        <v>8</v>
      </c>
      <c r="BY260" s="27" t="s">
        <v>8</v>
      </c>
      <c r="BZ260" s="27" t="s">
        <v>7</v>
      </c>
      <c r="CB260" s="31"/>
    </row>
    <row r="261" spans="1:115" x14ac:dyDescent="0.25">
      <c r="A261" s="30">
        <v>0.35894236464094997</v>
      </c>
      <c r="B261"/>
      <c r="C261"/>
      <c r="D261"/>
      <c r="E261"/>
      <c r="F261" s="27" t="s">
        <v>7</v>
      </c>
      <c r="BE261" s="27" t="s">
        <v>8</v>
      </c>
      <c r="BF261" s="27" t="s">
        <v>7</v>
      </c>
      <c r="BG261" s="27" t="s">
        <v>8</v>
      </c>
      <c r="BH261" s="27" t="s">
        <v>7</v>
      </c>
      <c r="BM261" s="27" t="s">
        <v>8</v>
      </c>
      <c r="BR261" s="27" t="s">
        <v>7</v>
      </c>
      <c r="BT261" s="27" t="s">
        <v>7</v>
      </c>
      <c r="BU261" s="27" t="s">
        <v>8</v>
      </c>
      <c r="BV261" s="27" t="s">
        <v>7</v>
      </c>
      <c r="BW261" s="27" t="s">
        <v>8</v>
      </c>
      <c r="BX261" s="27" t="s">
        <v>7</v>
      </c>
      <c r="BY261" s="27" t="s">
        <v>8</v>
      </c>
      <c r="BZ261" s="27" t="s">
        <v>7</v>
      </c>
      <c r="CC261" s="31"/>
    </row>
    <row r="262" spans="1:115" x14ac:dyDescent="0.25">
      <c r="A262" s="30">
        <v>0.34184987108661891</v>
      </c>
      <c r="B262"/>
      <c r="C262"/>
      <c r="D262"/>
      <c r="E262"/>
      <c r="F262" s="27" t="s">
        <v>7</v>
      </c>
      <c r="BE262" s="27" t="s">
        <v>8</v>
      </c>
      <c r="BF262" s="27" t="s">
        <v>7</v>
      </c>
      <c r="BG262" s="27" t="s">
        <v>8</v>
      </c>
      <c r="BH262" s="27" t="s">
        <v>7</v>
      </c>
      <c r="BI262" s="27" t="s">
        <v>8</v>
      </c>
      <c r="BM262" s="27" t="s">
        <v>8</v>
      </c>
      <c r="BT262" s="27" t="s">
        <v>7</v>
      </c>
      <c r="BU262" s="27" t="s">
        <v>8</v>
      </c>
      <c r="BV262" s="27" t="s">
        <v>7</v>
      </c>
      <c r="BW262" s="27" t="s">
        <v>8</v>
      </c>
      <c r="BX262" s="27" t="s">
        <v>7</v>
      </c>
      <c r="BY262" s="27" t="s">
        <v>8</v>
      </c>
      <c r="BZ262" s="27" t="s">
        <v>7</v>
      </c>
      <c r="CA262" s="27" t="s">
        <v>8</v>
      </c>
      <c r="CD262" s="31"/>
      <c r="CM262" s="27" t="s">
        <v>8</v>
      </c>
    </row>
    <row r="263" spans="1:115" x14ac:dyDescent="0.25">
      <c r="A263" s="30">
        <v>0.32557130579677979</v>
      </c>
      <c r="B263"/>
      <c r="C263"/>
      <c r="D263"/>
      <c r="E263"/>
      <c r="F263" s="27" t="s">
        <v>7</v>
      </c>
      <c r="BE263" s="27" t="s">
        <v>8</v>
      </c>
      <c r="BF263" s="27" t="s">
        <v>7</v>
      </c>
      <c r="BG263" s="27" t="s">
        <v>8</v>
      </c>
      <c r="BH263" s="27" t="s">
        <v>7</v>
      </c>
      <c r="BI263" s="27" t="s">
        <v>8</v>
      </c>
      <c r="BJ263" s="27" t="s">
        <v>7</v>
      </c>
      <c r="BM263" s="27" t="s">
        <v>8</v>
      </c>
      <c r="BT263" s="27" t="s">
        <v>7</v>
      </c>
      <c r="BU263" s="27" t="s">
        <v>8</v>
      </c>
      <c r="BV263" s="27" t="s">
        <v>7</v>
      </c>
      <c r="BW263" s="27" t="s">
        <v>8</v>
      </c>
      <c r="BX263" s="27" t="s">
        <v>7</v>
      </c>
      <c r="BY263" s="27" t="s">
        <v>8</v>
      </c>
      <c r="BZ263" s="27" t="s">
        <v>7</v>
      </c>
      <c r="CA263" s="27" t="s">
        <v>8</v>
      </c>
      <c r="CB263" s="27" t="s">
        <v>7</v>
      </c>
      <c r="CE263" s="31"/>
      <c r="CM263" s="27" t="s">
        <v>8</v>
      </c>
      <c r="CN263" s="27" t="s">
        <v>7</v>
      </c>
      <c r="CO263" s="27" t="s">
        <v>8</v>
      </c>
      <c r="CY263" s="27" t="s">
        <v>8</v>
      </c>
    </row>
    <row r="264" spans="1:115" x14ac:dyDescent="0.25">
      <c r="A264" s="30">
        <v>0.3100679102826473</v>
      </c>
      <c r="B264"/>
      <c r="C264"/>
      <c r="D264"/>
      <c r="E264"/>
      <c r="F264" s="27" t="s">
        <v>7</v>
      </c>
      <c r="BE264" s="27" t="s">
        <v>8</v>
      </c>
      <c r="BF264" s="27" t="s">
        <v>7</v>
      </c>
      <c r="BG264" s="27" t="s">
        <v>8</v>
      </c>
      <c r="BH264" s="27" t="s">
        <v>7</v>
      </c>
      <c r="BI264" s="27" t="s">
        <v>8</v>
      </c>
      <c r="BJ264" s="27" t="s">
        <v>7</v>
      </c>
      <c r="BM264" s="27" t="s">
        <v>8</v>
      </c>
      <c r="BT264" s="27" t="s">
        <v>7</v>
      </c>
      <c r="BU264" s="27" t="s">
        <v>8</v>
      </c>
      <c r="BV264" s="27" t="s">
        <v>7</v>
      </c>
      <c r="BW264" s="27" t="s">
        <v>8</v>
      </c>
      <c r="BX264" s="27" t="s">
        <v>7</v>
      </c>
      <c r="BY264" s="27" t="s">
        <v>8</v>
      </c>
      <c r="BZ264" s="27" t="s">
        <v>7</v>
      </c>
      <c r="CA264" s="27" t="s">
        <v>8</v>
      </c>
      <c r="CB264" s="27" t="s">
        <v>7</v>
      </c>
      <c r="CF264" s="31"/>
      <c r="CM264" s="27" t="s">
        <v>8</v>
      </c>
      <c r="CN264" s="27" t="s">
        <v>7</v>
      </c>
      <c r="CO264" s="27" t="s">
        <v>8</v>
      </c>
      <c r="CP264" s="27" t="s">
        <v>7</v>
      </c>
      <c r="CQ264" s="27" t="s">
        <v>8</v>
      </c>
      <c r="CY264" s="27" t="s">
        <v>8</v>
      </c>
      <c r="CZ264" s="27" t="s">
        <v>7</v>
      </c>
    </row>
    <row r="265" spans="1:115" x14ac:dyDescent="0.25">
      <c r="A265" s="30">
        <v>0.2953027716977592</v>
      </c>
      <c r="B265"/>
      <c r="C265"/>
      <c r="D265"/>
      <c r="E265"/>
      <c r="F265" s="27" t="s">
        <v>7</v>
      </c>
      <c r="BE265" s="27" t="s">
        <v>8</v>
      </c>
      <c r="BF265" s="27" t="s">
        <v>7</v>
      </c>
      <c r="BG265" s="27" t="s">
        <v>8</v>
      </c>
      <c r="BH265" s="27" t="s">
        <v>7</v>
      </c>
      <c r="BI265" s="27" t="s">
        <v>8</v>
      </c>
      <c r="BJ265" s="27" t="s">
        <v>7</v>
      </c>
      <c r="BM265" s="27" t="s">
        <v>8</v>
      </c>
      <c r="BT265" s="27" t="s">
        <v>7</v>
      </c>
      <c r="BU265" s="27" t="s">
        <v>8</v>
      </c>
      <c r="BV265" s="27" t="s">
        <v>7</v>
      </c>
      <c r="BW265" s="27" t="s">
        <v>8</v>
      </c>
      <c r="BX265" s="27" t="s">
        <v>7</v>
      </c>
      <c r="BY265" s="27" t="s">
        <v>8</v>
      </c>
      <c r="BZ265" s="27" t="s">
        <v>7</v>
      </c>
      <c r="CB265" s="27" t="s">
        <v>7</v>
      </c>
      <c r="CG265" s="31"/>
      <c r="CM265" s="27" t="s">
        <v>8</v>
      </c>
      <c r="CN265" s="27" t="s">
        <v>7</v>
      </c>
      <c r="CO265" s="27" t="s">
        <v>8</v>
      </c>
      <c r="CP265" s="27" t="s">
        <v>7</v>
      </c>
      <c r="CQ265" s="27" t="s">
        <v>8</v>
      </c>
      <c r="CR265" s="27" t="s">
        <v>7</v>
      </c>
      <c r="CY265" s="27" t="s">
        <v>8</v>
      </c>
      <c r="CZ265" s="27" t="s">
        <v>7</v>
      </c>
      <c r="DA265" s="27" t="s">
        <v>8</v>
      </c>
    </row>
    <row r="266" spans="1:115" x14ac:dyDescent="0.25">
      <c r="A266" s="30">
        <v>0.28124073495024676</v>
      </c>
      <c r="B266"/>
      <c r="C266"/>
      <c r="D266"/>
      <c r="E266"/>
      <c r="F266" s="27" t="s">
        <v>7</v>
      </c>
      <c r="BE266" s="27" t="s">
        <v>8</v>
      </c>
      <c r="BF266" s="27" t="s">
        <v>7</v>
      </c>
      <c r="BG266" s="27" t="s">
        <v>8</v>
      </c>
      <c r="BH266" s="27" t="s">
        <v>7</v>
      </c>
      <c r="BJ266" s="27" t="s">
        <v>7</v>
      </c>
      <c r="BK266" s="27" t="s">
        <v>8</v>
      </c>
      <c r="BM266" s="27" t="s">
        <v>8</v>
      </c>
      <c r="BT266" s="27" t="s">
        <v>7</v>
      </c>
      <c r="BU266" s="27" t="s">
        <v>8</v>
      </c>
      <c r="BV266" s="27" t="s">
        <v>7</v>
      </c>
      <c r="BW266" s="27" t="s">
        <v>8</v>
      </c>
      <c r="BX266" s="27" t="s">
        <v>7</v>
      </c>
      <c r="CB266" s="33" t="s">
        <v>7</v>
      </c>
      <c r="CC266" s="27" t="s">
        <v>8</v>
      </c>
      <c r="CH266" s="31"/>
      <c r="CK266" s="27" t="s">
        <v>8</v>
      </c>
      <c r="CM266" s="27" t="s">
        <v>8</v>
      </c>
      <c r="CN266" s="27" t="s">
        <v>7</v>
      </c>
      <c r="CP266" s="27" t="s">
        <v>7</v>
      </c>
      <c r="CQ266" s="27" t="s">
        <v>8</v>
      </c>
      <c r="CR266" s="27" t="s">
        <v>7</v>
      </c>
      <c r="CW266" s="27" t="s">
        <v>8</v>
      </c>
      <c r="CY266" s="27" t="s">
        <v>8</v>
      </c>
      <c r="CZ266" s="27" t="s">
        <v>7</v>
      </c>
      <c r="DA266" s="27" t="s">
        <v>8</v>
      </c>
      <c r="DB266" s="27" t="s">
        <v>7</v>
      </c>
    </row>
    <row r="267" spans="1:115" x14ac:dyDescent="0.25">
      <c r="A267" s="30">
        <v>0.26784831900023492</v>
      </c>
      <c r="B267"/>
      <c r="C267"/>
      <c r="D267"/>
      <c r="E267"/>
      <c r="F267" s="27" t="s">
        <v>7</v>
      </c>
      <c r="BE267" s="27" t="s">
        <v>8</v>
      </c>
      <c r="BF267" s="27" t="s">
        <v>7</v>
      </c>
      <c r="BG267" s="27" t="s">
        <v>8</v>
      </c>
      <c r="BJ267" s="27" t="s">
        <v>7</v>
      </c>
      <c r="BK267" s="27" t="s">
        <v>8</v>
      </c>
      <c r="BL267" s="27" t="s">
        <v>7</v>
      </c>
      <c r="BM267" s="27" t="s">
        <v>8</v>
      </c>
      <c r="BT267" s="27" t="s">
        <v>7</v>
      </c>
      <c r="BU267" s="27" t="s">
        <v>8</v>
      </c>
      <c r="BV267" s="27" t="s">
        <v>7</v>
      </c>
      <c r="BW267" s="27" t="s">
        <v>8</v>
      </c>
      <c r="CB267" s="27" t="s">
        <v>7</v>
      </c>
      <c r="CC267" s="27" t="s">
        <v>8</v>
      </c>
      <c r="CD267" s="27" t="s">
        <v>7</v>
      </c>
      <c r="CE267" s="27" t="s">
        <v>8</v>
      </c>
      <c r="CI267" s="31"/>
      <c r="CK267" s="27" t="s">
        <v>8</v>
      </c>
      <c r="CL267" s="27" t="s">
        <v>7</v>
      </c>
      <c r="CM267" s="27" t="s">
        <v>8</v>
      </c>
      <c r="CP267" s="33" t="s">
        <v>7</v>
      </c>
      <c r="CR267" s="31" t="s">
        <v>7</v>
      </c>
      <c r="CU267" s="27" t="s">
        <v>8</v>
      </c>
      <c r="CW267" s="27" t="s">
        <v>8</v>
      </c>
      <c r="CX267" s="27" t="s">
        <v>7</v>
      </c>
      <c r="CY267" s="27" t="s">
        <v>8</v>
      </c>
      <c r="CZ267" s="27" t="s">
        <v>7</v>
      </c>
      <c r="DA267" s="27" t="s">
        <v>8</v>
      </c>
      <c r="DB267" s="27" t="s">
        <v>7</v>
      </c>
    </row>
    <row r="268" spans="1:115" x14ac:dyDescent="0.25">
      <c r="A268" s="30">
        <v>0.25509363714308075</v>
      </c>
      <c r="B268"/>
      <c r="C268"/>
      <c r="D268"/>
      <c r="E268"/>
      <c r="F268" s="27" t="s">
        <v>7</v>
      </c>
      <c r="BE268" s="27" t="s">
        <v>8</v>
      </c>
      <c r="BF268" s="27" t="s">
        <v>7</v>
      </c>
      <c r="BG268" s="27" t="s">
        <v>8</v>
      </c>
      <c r="BJ268" s="27" t="s">
        <v>7</v>
      </c>
      <c r="BK268" s="27" t="s">
        <v>8</v>
      </c>
      <c r="BL268" s="27" t="s">
        <v>7</v>
      </c>
      <c r="BM268" s="27" t="s">
        <v>8</v>
      </c>
      <c r="BT268" s="27" t="s">
        <v>7</v>
      </c>
      <c r="BU268" s="27" t="s">
        <v>8</v>
      </c>
      <c r="BV268" s="27" t="s">
        <v>7</v>
      </c>
      <c r="CB268" s="27" t="s">
        <v>7</v>
      </c>
      <c r="CC268" s="27" t="s">
        <v>8</v>
      </c>
      <c r="CD268" s="27" t="s">
        <v>7</v>
      </c>
      <c r="CE268" s="27" t="s">
        <v>8</v>
      </c>
      <c r="CF268" s="27" t="s">
        <v>7</v>
      </c>
      <c r="CJ268" s="31"/>
      <c r="CK268" s="27" t="s">
        <v>8</v>
      </c>
      <c r="CL268" s="27" t="s">
        <v>7</v>
      </c>
      <c r="CM268" s="27" t="s">
        <v>8</v>
      </c>
      <c r="CQ268" s="31"/>
      <c r="CR268" s="27" t="s">
        <v>7</v>
      </c>
      <c r="CS268" s="27" t="s">
        <v>8</v>
      </c>
      <c r="CU268" s="27" t="s">
        <v>8</v>
      </c>
      <c r="CV268" s="27" t="s">
        <v>7</v>
      </c>
      <c r="CW268" s="27" t="s">
        <v>8</v>
      </c>
      <c r="CX268" s="27" t="s">
        <v>7</v>
      </c>
      <c r="CY268" s="27" t="s">
        <v>8</v>
      </c>
      <c r="CZ268" s="27" t="s">
        <v>7</v>
      </c>
      <c r="DB268" s="27" t="s">
        <v>7</v>
      </c>
    </row>
    <row r="269" spans="1:115" x14ac:dyDescent="0.25">
      <c r="A269" s="30">
        <v>0.24294632108864825</v>
      </c>
      <c r="B269"/>
      <c r="C269"/>
      <c r="D269"/>
      <c r="E269"/>
      <c r="F269" s="27" t="s">
        <v>7</v>
      </c>
      <c r="BE269" s="27" t="s">
        <v>8</v>
      </c>
      <c r="BF269" s="27" t="s">
        <v>7</v>
      </c>
      <c r="BG269" s="27" t="s">
        <v>8</v>
      </c>
      <c r="BJ269" s="27" t="s">
        <v>7</v>
      </c>
      <c r="BK269" s="27" t="s">
        <v>8</v>
      </c>
      <c r="BL269" s="27" t="s">
        <v>7</v>
      </c>
      <c r="BM269" s="27" t="s">
        <v>8</v>
      </c>
      <c r="BT269" s="27" t="s">
        <v>7</v>
      </c>
      <c r="BU269" s="27" t="s">
        <v>8</v>
      </c>
      <c r="CB269" s="27" t="s">
        <v>7</v>
      </c>
      <c r="CC269" s="27" t="s">
        <v>8</v>
      </c>
      <c r="CD269" s="27" t="s">
        <v>7</v>
      </c>
      <c r="CE269" s="27" t="s">
        <v>8</v>
      </c>
      <c r="CF269" s="27" t="s">
        <v>7</v>
      </c>
      <c r="CK269" s="31" t="s">
        <v>8</v>
      </c>
      <c r="CL269" s="27" t="s">
        <v>7</v>
      </c>
      <c r="CM269" s="27" t="s">
        <v>8</v>
      </c>
      <c r="CP269" s="31"/>
      <c r="CR269" s="27" t="s">
        <v>7</v>
      </c>
      <c r="CS269" s="27" t="s">
        <v>8</v>
      </c>
      <c r="CT269" s="27" t="s">
        <v>7</v>
      </c>
      <c r="CU269" s="27" t="s">
        <v>8</v>
      </c>
      <c r="CV269" s="27" t="s">
        <v>7</v>
      </c>
      <c r="CW269" s="27" t="s">
        <v>8</v>
      </c>
      <c r="CX269" s="27" t="s">
        <v>7</v>
      </c>
      <c r="CY269" s="27" t="s">
        <v>8</v>
      </c>
      <c r="DB269" s="27" t="s">
        <v>7</v>
      </c>
    </row>
    <row r="270" spans="1:115" x14ac:dyDescent="0.25">
      <c r="A270" s="30">
        <v>0.23137744865585538</v>
      </c>
      <c r="B270"/>
      <c r="C270"/>
      <c r="D270"/>
      <c r="E270"/>
      <c r="F270" s="27" t="s">
        <v>7</v>
      </c>
      <c r="BE270" s="27" t="s">
        <v>8</v>
      </c>
      <c r="BF270" s="27" t="s">
        <v>7</v>
      </c>
      <c r="BJ270" s="27" t="s">
        <v>7</v>
      </c>
      <c r="BK270" s="27" t="s">
        <v>8</v>
      </c>
      <c r="BL270" s="27" t="s">
        <v>7</v>
      </c>
      <c r="BT270" s="27" t="s">
        <v>7</v>
      </c>
      <c r="BU270" s="27" t="s">
        <v>8</v>
      </c>
      <c r="CB270" s="27" t="s">
        <v>7</v>
      </c>
      <c r="CC270" s="27" t="s">
        <v>8</v>
      </c>
      <c r="CD270" s="27" t="s">
        <v>7</v>
      </c>
      <c r="CF270" s="27" t="s">
        <v>7</v>
      </c>
      <c r="CI270" s="27" t="s">
        <v>8</v>
      </c>
      <c r="CK270" s="27" t="s">
        <v>8</v>
      </c>
      <c r="CL270" s="27" t="s">
        <v>7</v>
      </c>
      <c r="CO270" s="31"/>
      <c r="CR270" s="27" t="s">
        <v>7</v>
      </c>
      <c r="CS270" s="27" t="s">
        <v>8</v>
      </c>
      <c r="CT270" s="27" t="s">
        <v>7</v>
      </c>
      <c r="CU270" s="27" t="s">
        <v>8</v>
      </c>
      <c r="CV270" s="27" t="s">
        <v>7</v>
      </c>
      <c r="CW270" s="27" t="s">
        <v>8</v>
      </c>
      <c r="CX270" s="27" t="s">
        <v>7</v>
      </c>
      <c r="CY270" s="27" t="s">
        <v>8</v>
      </c>
      <c r="DB270" s="27" t="s">
        <v>7</v>
      </c>
    </row>
    <row r="271" spans="1:115" x14ac:dyDescent="0.25">
      <c r="A271" s="30">
        <v>0.22035947491033836</v>
      </c>
      <c r="B271"/>
      <c r="C271"/>
      <c r="D271"/>
      <c r="E271"/>
      <c r="F271" s="27" t="s">
        <v>7</v>
      </c>
      <c r="BE271" s="27" t="s">
        <v>8</v>
      </c>
      <c r="BJ271" s="27" t="s">
        <v>7</v>
      </c>
      <c r="BK271" s="27" t="s">
        <v>8</v>
      </c>
      <c r="BT271" s="27" t="s">
        <v>7</v>
      </c>
      <c r="CB271" s="27" t="s">
        <v>7</v>
      </c>
      <c r="CC271" s="27" t="s">
        <v>8</v>
      </c>
      <c r="CF271" s="27" t="s">
        <v>7</v>
      </c>
      <c r="CI271" s="27" t="s">
        <v>8</v>
      </c>
      <c r="CJ271" s="27" t="s">
        <v>7</v>
      </c>
      <c r="CK271" s="27" t="s">
        <v>8</v>
      </c>
      <c r="CN271" s="31"/>
      <c r="CR271" s="27" t="s">
        <v>7</v>
      </c>
      <c r="CT271" s="27" t="s">
        <v>7</v>
      </c>
      <c r="CU271" s="27" t="s">
        <v>8</v>
      </c>
      <c r="CV271" s="27" t="s">
        <v>7</v>
      </c>
      <c r="CX271" s="27" t="s">
        <v>7</v>
      </c>
      <c r="DB271" s="27" t="s">
        <v>7</v>
      </c>
      <c r="DC271" s="27" t="s">
        <v>8</v>
      </c>
      <c r="DG271" s="27" t="s">
        <v>8</v>
      </c>
    </row>
    <row r="272" spans="1:115" x14ac:dyDescent="0.25">
      <c r="A272" s="30">
        <v>0.20986616658127455</v>
      </c>
      <c r="B272"/>
      <c r="C272"/>
      <c r="D272"/>
      <c r="E272"/>
      <c r="F272" s="27" t="s">
        <v>7</v>
      </c>
      <c r="BE272" s="27" t="s">
        <v>8</v>
      </c>
      <c r="BJ272" s="27" t="s">
        <v>7</v>
      </c>
      <c r="BK272" s="27" t="s">
        <v>8</v>
      </c>
      <c r="CB272" s="27" t="s">
        <v>7</v>
      </c>
      <c r="CC272" s="27" t="s">
        <v>8</v>
      </c>
      <c r="CF272" s="27" t="s">
        <v>7</v>
      </c>
      <c r="CI272" s="32" t="s">
        <v>8</v>
      </c>
      <c r="CJ272" s="27" t="s">
        <v>7</v>
      </c>
      <c r="CK272" s="27" t="s">
        <v>8</v>
      </c>
      <c r="CM272" s="31"/>
      <c r="CT272" s="27" t="s">
        <v>7</v>
      </c>
      <c r="CU272" s="27" t="s">
        <v>8</v>
      </c>
      <c r="DB272" s="27" t="s">
        <v>7</v>
      </c>
      <c r="DC272" s="27" t="s">
        <v>8</v>
      </c>
      <c r="DD272" s="27" t="s">
        <v>7</v>
      </c>
      <c r="DG272" s="27" t="s">
        <v>8</v>
      </c>
      <c r="DH272" s="27" t="s">
        <v>7</v>
      </c>
      <c r="DK272" s="27" t="s">
        <v>8</v>
      </c>
    </row>
    <row r="273" spans="1:117" x14ac:dyDescent="0.25">
      <c r="A273" s="30">
        <v>0.19987253960121379</v>
      </c>
      <c r="B273"/>
      <c r="C273"/>
      <c r="D273"/>
      <c r="E273"/>
      <c r="F273" s="27" t="s">
        <v>7</v>
      </c>
      <c r="BE273" s="27" t="s">
        <v>8</v>
      </c>
      <c r="BJ273" s="27" t="s">
        <v>7</v>
      </c>
      <c r="BK273" s="27" t="s">
        <v>8</v>
      </c>
      <c r="CB273" s="27" t="s">
        <v>7</v>
      </c>
      <c r="CC273" s="27" t="s">
        <v>8</v>
      </c>
      <c r="CF273" s="27" t="s">
        <v>7</v>
      </c>
      <c r="CG273" s="27" t="s">
        <v>8</v>
      </c>
      <c r="CI273" s="27" t="s">
        <v>8</v>
      </c>
      <c r="CJ273" s="27" t="s">
        <v>7</v>
      </c>
      <c r="CL273" s="31"/>
      <c r="CT273" s="27" t="s">
        <v>7</v>
      </c>
      <c r="DB273" s="27" t="s">
        <v>7</v>
      </c>
      <c r="DC273" s="27" t="s">
        <v>8</v>
      </c>
      <c r="DD273" s="27" t="s">
        <v>7</v>
      </c>
      <c r="DG273" s="27" t="s">
        <v>8</v>
      </c>
      <c r="DH273" s="27" t="s">
        <v>7</v>
      </c>
      <c r="DK273" s="27" t="s">
        <v>8</v>
      </c>
      <c r="DL273" s="27" t="s">
        <v>7</v>
      </c>
    </row>
    <row r="274" spans="1:117" x14ac:dyDescent="0.25">
      <c r="A274" s="30">
        <v>0.19035479962020352</v>
      </c>
      <c r="B274"/>
      <c r="C274"/>
      <c r="D274"/>
      <c r="E274"/>
      <c r="F274" s="27" t="s">
        <v>7</v>
      </c>
      <c r="BE274" s="27" t="s">
        <v>8</v>
      </c>
      <c r="BJ274" s="27" t="s">
        <v>7</v>
      </c>
      <c r="BK274" s="27" t="s">
        <v>8</v>
      </c>
      <c r="CB274" s="27" t="s">
        <v>7</v>
      </c>
      <c r="CC274" s="27" t="s">
        <v>8</v>
      </c>
      <c r="CF274" s="27" t="s">
        <v>7</v>
      </c>
      <c r="CG274" s="27" t="s">
        <v>8</v>
      </c>
      <c r="CH274" s="27" t="s">
        <v>7</v>
      </c>
      <c r="CI274" s="27" t="s">
        <v>8</v>
      </c>
      <c r="CK274" s="31"/>
      <c r="DB274" s="27" t="s">
        <v>7</v>
      </c>
      <c r="DD274" s="27" t="s">
        <v>7</v>
      </c>
      <c r="DG274" s="27" t="s">
        <v>8</v>
      </c>
      <c r="DH274" s="27" t="s">
        <v>7</v>
      </c>
      <c r="DI274" s="27" t="s">
        <v>8</v>
      </c>
      <c r="DK274" s="27" t="s">
        <v>8</v>
      </c>
      <c r="DL274" s="27" t="s">
        <v>7</v>
      </c>
    </row>
    <row r="275" spans="1:117" x14ac:dyDescent="0.25">
      <c r="A275" s="30">
        <v>0.18129028535257471</v>
      </c>
      <c r="B275"/>
      <c r="C275"/>
      <c r="D275"/>
      <c r="E275"/>
      <c r="F275" s="27" t="s">
        <v>7</v>
      </c>
      <c r="BE275" s="27" t="s">
        <v>8</v>
      </c>
      <c r="BJ275" s="27" t="s">
        <v>7</v>
      </c>
      <c r="BK275" s="27" t="s">
        <v>8</v>
      </c>
      <c r="CB275" s="27" t="s">
        <v>7</v>
      </c>
      <c r="CC275" s="27" t="s">
        <v>8</v>
      </c>
      <c r="CF275" s="27" t="s">
        <v>7</v>
      </c>
      <c r="CG275" s="27" t="s">
        <v>8</v>
      </c>
      <c r="CH275" s="27" t="s">
        <v>7</v>
      </c>
      <c r="CI275" s="27" t="s">
        <v>8</v>
      </c>
      <c r="CJ275" s="31"/>
      <c r="DD275" s="27" t="s">
        <v>7</v>
      </c>
      <c r="DE275" s="27" t="s">
        <v>8</v>
      </c>
      <c r="DG275" s="27" t="s">
        <v>8</v>
      </c>
      <c r="DH275" s="27" t="s">
        <v>7</v>
      </c>
      <c r="DI275" s="27" t="s">
        <v>8</v>
      </c>
      <c r="DJ275" s="27" t="s">
        <v>7</v>
      </c>
      <c r="DK275" s="27" t="s">
        <v>8</v>
      </c>
      <c r="DL275" s="27" t="s">
        <v>7</v>
      </c>
    </row>
    <row r="276" spans="1:117" x14ac:dyDescent="0.25">
      <c r="A276" s="30">
        <v>0.17265741462149967</v>
      </c>
      <c r="B276"/>
      <c r="C276"/>
      <c r="D276"/>
      <c r="E276"/>
      <c r="F276" s="27" t="s">
        <v>7</v>
      </c>
      <c r="BE276" s="27" t="s">
        <v>8</v>
      </c>
      <c r="BJ276" s="27" t="s">
        <v>7</v>
      </c>
      <c r="BK276" s="27" t="s">
        <v>8</v>
      </c>
      <c r="CB276" s="27" t="s">
        <v>7</v>
      </c>
      <c r="CC276" s="27" t="s">
        <v>8</v>
      </c>
      <c r="CF276" s="27" t="s">
        <v>7</v>
      </c>
      <c r="CH276" s="18" t="s">
        <v>7</v>
      </c>
      <c r="CI276" s="31" t="s">
        <v>8</v>
      </c>
      <c r="DD276" s="27" t="s">
        <v>7</v>
      </c>
      <c r="DE276" s="27" t="s">
        <v>8</v>
      </c>
      <c r="DF276" s="27" t="s">
        <v>7</v>
      </c>
      <c r="DG276" s="27" t="s">
        <v>8</v>
      </c>
      <c r="DH276" s="27" t="s">
        <v>7</v>
      </c>
      <c r="DI276" s="27" t="s">
        <v>8</v>
      </c>
      <c r="DJ276" s="27" t="s">
        <v>7</v>
      </c>
      <c r="DK276" s="27" t="s">
        <v>8</v>
      </c>
      <c r="DL276" s="27" t="s">
        <v>7</v>
      </c>
    </row>
    <row r="277" spans="1:117" x14ac:dyDescent="0.25">
      <c r="A277" s="30">
        <v>0.16443563297285677</v>
      </c>
      <c r="B277"/>
      <c r="C277"/>
      <c r="D277"/>
      <c r="E277"/>
      <c r="F277" s="27" t="s">
        <v>7</v>
      </c>
      <c r="BE277" s="27" t="s">
        <v>8</v>
      </c>
      <c r="BJ277" s="27" t="s">
        <v>7</v>
      </c>
      <c r="CB277" s="27" t="s">
        <v>7</v>
      </c>
      <c r="CH277" s="31" t="s">
        <v>7</v>
      </c>
      <c r="DD277" s="27" t="s">
        <v>7</v>
      </c>
      <c r="DE277" s="27" t="s">
        <v>8</v>
      </c>
      <c r="DF277" s="27" t="s">
        <v>7</v>
      </c>
      <c r="DG277" s="27" t="s">
        <v>8</v>
      </c>
      <c r="DH277" s="27" t="s">
        <v>7</v>
      </c>
      <c r="DJ277" s="27" t="s">
        <v>7</v>
      </c>
      <c r="DK277" s="27" t="s">
        <v>8</v>
      </c>
      <c r="DL277" s="27" t="s">
        <v>7</v>
      </c>
    </row>
    <row r="278" spans="1:117" x14ac:dyDescent="0.25">
      <c r="A278" s="30">
        <v>0.15660536473605399</v>
      </c>
      <c r="B278"/>
      <c r="C278"/>
      <c r="D278"/>
      <c r="E278"/>
      <c r="F278" s="27" t="s">
        <v>7</v>
      </c>
      <c r="BE278" s="27" t="s">
        <v>8</v>
      </c>
      <c r="DD278" s="27" t="s">
        <v>7</v>
      </c>
      <c r="DE278" s="27" t="s">
        <v>8</v>
      </c>
      <c r="DF278" s="27" t="s">
        <v>7</v>
      </c>
      <c r="DJ278" s="27" t="s">
        <v>7</v>
      </c>
      <c r="DK278" s="27" t="s">
        <v>8</v>
      </c>
      <c r="DL278" s="27" t="s">
        <v>7</v>
      </c>
    </row>
    <row r="279" spans="1:117" x14ac:dyDescent="0.25">
      <c r="A279" s="30">
        <v>0.14914796641528946</v>
      </c>
      <c r="B279"/>
      <c r="C279"/>
      <c r="D279"/>
      <c r="E279"/>
      <c r="F279" s="27" t="s">
        <v>7</v>
      </c>
      <c r="BE279" s="27" t="s">
        <v>8</v>
      </c>
      <c r="DD279" s="27" t="s">
        <v>7</v>
      </c>
      <c r="DE279" s="27" t="s">
        <v>8</v>
      </c>
      <c r="DJ279" s="27" t="s">
        <v>7</v>
      </c>
      <c r="DK279" s="27" t="s">
        <v>8</v>
      </c>
      <c r="DL279" s="27" t="s">
        <v>7</v>
      </c>
      <c r="DM279" s="27" t="s">
        <v>8</v>
      </c>
    </row>
    <row r="280" spans="1:117" x14ac:dyDescent="0.25">
      <c r="A280" s="30">
        <v>0.14204568230027562</v>
      </c>
      <c r="B280"/>
      <c r="C280"/>
      <c r="D280"/>
      <c r="E280"/>
      <c r="F280" s="27" t="s">
        <v>7</v>
      </c>
      <c r="BE280" s="27" t="s">
        <v>8</v>
      </c>
      <c r="DD280" s="27" t="s">
        <v>7</v>
      </c>
      <c r="DE280" s="27" t="s">
        <v>8</v>
      </c>
      <c r="DJ280" s="27" t="s">
        <v>7</v>
      </c>
      <c r="DL280" s="27" t="s">
        <v>7</v>
      </c>
      <c r="DM280" s="27" t="s">
        <v>8</v>
      </c>
    </row>
    <row r="281" spans="1:117" x14ac:dyDescent="0.25">
      <c r="A281" s="30">
        <v>0.13528160219073862</v>
      </c>
      <c r="B281"/>
      <c r="C281"/>
      <c r="D281"/>
      <c r="E281"/>
      <c r="F281" s="27" t="s">
        <v>7</v>
      </c>
      <c r="BE281" s="27" t="s">
        <v>8</v>
      </c>
      <c r="DD281" s="27" t="s">
        <v>7</v>
      </c>
      <c r="DL281" s="27" t="s">
        <v>7</v>
      </c>
      <c r="DM281" s="27" t="s">
        <v>8</v>
      </c>
    </row>
    <row r="282" spans="1:117" x14ac:dyDescent="0.25">
      <c r="A282" s="30">
        <v>0.12883962113403674</v>
      </c>
      <c r="B282"/>
      <c r="C282"/>
      <c r="D282"/>
      <c r="E282"/>
      <c r="F282" s="27" t="s">
        <v>7</v>
      </c>
      <c r="BE282" s="27" t="s">
        <v>8</v>
      </c>
      <c r="DL282" s="27" t="s">
        <v>7</v>
      </c>
      <c r="DM282" s="27" t="s">
        <v>8</v>
      </c>
    </row>
    <row r="283" spans="1:117" x14ac:dyDescent="0.25">
      <c r="A283" s="30">
        <v>0.12270440108003494</v>
      </c>
      <c r="B283"/>
      <c r="C283"/>
      <c r="D283"/>
      <c r="E283"/>
      <c r="F283" s="27" t="s">
        <v>7</v>
      </c>
      <c r="BE283" s="27" t="s">
        <v>8</v>
      </c>
      <c r="DL283" s="27" t="s">
        <v>7</v>
      </c>
    </row>
    <row r="284" spans="1:117" x14ac:dyDescent="0.25">
      <c r="A284" s="30">
        <v>0.11686133436193799</v>
      </c>
      <c r="B284"/>
      <c r="C284"/>
      <c r="D284"/>
      <c r="E284"/>
      <c r="F284" s="27" t="s">
        <v>7</v>
      </c>
      <c r="BE284" s="27" t="s">
        <v>8</v>
      </c>
    </row>
    <row r="285" spans="1:117" x14ac:dyDescent="0.25">
      <c r="A285" s="30">
        <v>0.11129650891613138</v>
      </c>
      <c r="B285"/>
      <c r="C285"/>
      <c r="D285"/>
      <c r="E285"/>
      <c r="F285" s="27" t="s">
        <v>7</v>
      </c>
      <c r="BE285" s="27" t="s">
        <v>8</v>
      </c>
    </row>
    <row r="286" spans="1:117" x14ac:dyDescent="0.25">
      <c r="A286" s="30">
        <v>0.10599667515822032</v>
      </c>
      <c r="B286"/>
      <c r="C286"/>
      <c r="D286"/>
      <c r="E286"/>
      <c r="F286" s="27" t="s">
        <v>7</v>
      </c>
      <c r="BE286" s="27" t="s">
        <v>8</v>
      </c>
    </row>
    <row r="287" spans="1:117" x14ac:dyDescent="0.25">
      <c r="A287" s="30">
        <v>0.10094921443640027</v>
      </c>
      <c r="B287"/>
      <c r="C287"/>
      <c r="D287"/>
      <c r="E287"/>
      <c r="F287" s="27" t="s">
        <v>7</v>
      </c>
      <c r="BE287" s="27" t="s">
        <v>8</v>
      </c>
    </row>
    <row r="288" spans="1:117" x14ac:dyDescent="0.25">
      <c r="A288" s="30">
        <v>9.6142108987047836E-2</v>
      </c>
      <c r="B288"/>
      <c r="C288"/>
      <c r="D288"/>
      <c r="E288"/>
      <c r="F288" s="27" t="s">
        <v>7</v>
      </c>
      <c r="BE288" s="27" t="s">
        <v>8</v>
      </c>
    </row>
    <row r="289" spans="1:92" x14ac:dyDescent="0.25">
      <c r="A289" s="30">
        <v>9.1563913320997906E-2</v>
      </c>
      <c r="B289"/>
      <c r="C289"/>
      <c r="D289"/>
      <c r="E289"/>
      <c r="F289" s="27" t="s">
        <v>7</v>
      </c>
      <c r="BE289" s="27" t="s">
        <v>8</v>
      </c>
    </row>
    <row r="290" spans="1:92" x14ac:dyDescent="0.25">
      <c r="A290" s="30">
        <v>8.7203726972378923E-2</v>
      </c>
      <c r="B290"/>
      <c r="C290"/>
      <c r="D290"/>
      <c r="E290"/>
      <c r="F290" s="27" t="s">
        <v>7</v>
      </c>
      <c r="AK290" s="27" t="s">
        <v>8</v>
      </c>
      <c r="AQ290" s="27" t="s">
        <v>8</v>
      </c>
      <c r="BE290" s="27" t="s">
        <v>8</v>
      </c>
    </row>
    <row r="291" spans="1:92" x14ac:dyDescent="0.25">
      <c r="A291" s="30">
        <v>8.3051168545122747E-2</v>
      </c>
      <c r="B291"/>
      <c r="C291"/>
      <c r="D291"/>
      <c r="E291"/>
      <c r="F291" s="27" t="s">
        <v>7</v>
      </c>
      <c r="AK291" s="27" t="s">
        <v>8</v>
      </c>
      <c r="AL291" s="27" t="s">
        <v>7</v>
      </c>
      <c r="AQ291" s="27" t="s">
        <v>8</v>
      </c>
      <c r="AR291" s="27" t="s">
        <v>7</v>
      </c>
      <c r="AS291" s="27" t="s">
        <v>8</v>
      </c>
      <c r="BE291" s="27" t="s">
        <v>8</v>
      </c>
    </row>
    <row r="292" spans="1:92" x14ac:dyDescent="0.25">
      <c r="A292" s="30">
        <v>7.9096350995354961E-2</v>
      </c>
      <c r="B292"/>
      <c r="C292"/>
      <c r="D292"/>
      <c r="E292"/>
      <c r="F292" s="27" t="s">
        <v>7</v>
      </c>
      <c r="AK292" s="27" t="s">
        <v>8</v>
      </c>
      <c r="AL292" s="27" t="s">
        <v>7</v>
      </c>
      <c r="AQ292" s="27" t="s">
        <v>8</v>
      </c>
      <c r="AR292" s="27" t="s">
        <v>7</v>
      </c>
      <c r="AS292" s="27" t="s">
        <v>8</v>
      </c>
      <c r="AT292" s="27" t="s">
        <v>7</v>
      </c>
      <c r="BE292" s="27" t="s">
        <v>8</v>
      </c>
    </row>
    <row r="293" spans="1:92" x14ac:dyDescent="0.25">
      <c r="A293" s="30">
        <v>7.5329858090814217E-2</v>
      </c>
      <c r="B293"/>
      <c r="C293"/>
      <c r="D293"/>
      <c r="E293"/>
      <c r="F293" s="27" t="s">
        <v>7</v>
      </c>
      <c r="AK293" s="27" t="s">
        <v>8</v>
      </c>
      <c r="AL293" s="27" t="s">
        <v>7</v>
      </c>
      <c r="AQ293" s="27" t="s">
        <v>8</v>
      </c>
      <c r="AR293" s="27" t="s">
        <v>7</v>
      </c>
      <c r="AS293" s="27" t="s">
        <v>8</v>
      </c>
      <c r="AT293" s="27" t="s">
        <v>7</v>
      </c>
      <c r="BE293" s="27" t="s">
        <v>8</v>
      </c>
    </row>
    <row r="294" spans="1:92" x14ac:dyDescent="0.25">
      <c r="A294" s="30">
        <v>7.1742721991251604E-2</v>
      </c>
      <c r="B294"/>
      <c r="C294"/>
      <c r="D294"/>
      <c r="E294"/>
      <c r="F294" s="27" t="s">
        <v>7</v>
      </c>
      <c r="AK294" s="27" t="s">
        <v>8</v>
      </c>
      <c r="AL294" s="27" t="s">
        <v>7</v>
      </c>
      <c r="AQ294" s="27" t="s">
        <v>8</v>
      </c>
      <c r="AR294" s="27" t="s">
        <v>7</v>
      </c>
      <c r="AS294" s="27" t="s">
        <v>8</v>
      </c>
      <c r="AT294" s="27" t="s">
        <v>7</v>
      </c>
      <c r="BE294" s="27" t="s">
        <v>8</v>
      </c>
      <c r="CN294" s="31"/>
    </row>
    <row r="295" spans="1:92" x14ac:dyDescent="0.25">
      <c r="A295" s="30">
        <v>6.8326401896430078E-2</v>
      </c>
      <c r="B295"/>
      <c r="C295"/>
      <c r="D295"/>
      <c r="E295"/>
      <c r="F295" s="27" t="s">
        <v>7</v>
      </c>
      <c r="AK295" s="27" t="s">
        <v>8</v>
      </c>
      <c r="AL295" s="27" t="s">
        <v>7</v>
      </c>
      <c r="AQ295" s="27" t="s">
        <v>8</v>
      </c>
      <c r="AR295" s="27" t="s">
        <v>7</v>
      </c>
      <c r="AS295" s="27" t="s">
        <v>8</v>
      </c>
      <c r="AT295" s="27" t="s">
        <v>7</v>
      </c>
      <c r="BC295" s="27" t="s">
        <v>8</v>
      </c>
      <c r="BE295" s="27" t="s">
        <v>8</v>
      </c>
      <c r="CM295" s="31"/>
    </row>
    <row r="296" spans="1:92" x14ac:dyDescent="0.25">
      <c r="A296" s="30">
        <v>6.5072763710885759E-2</v>
      </c>
      <c r="B296"/>
      <c r="C296"/>
      <c r="D296"/>
      <c r="E296"/>
      <c r="F296" s="27" t="s">
        <v>7</v>
      </c>
      <c r="AK296" s="27" t="s">
        <v>8</v>
      </c>
      <c r="AL296" s="27" t="s">
        <v>7</v>
      </c>
      <c r="AQ296" s="27" t="s">
        <v>8</v>
      </c>
      <c r="AR296" s="27" t="s">
        <v>7</v>
      </c>
      <c r="AT296" s="27" t="s">
        <v>7</v>
      </c>
      <c r="BC296" s="27" t="s">
        <v>8</v>
      </c>
      <c r="BD296" s="27" t="s">
        <v>7</v>
      </c>
      <c r="BE296" s="27" t="s">
        <v>8</v>
      </c>
      <c r="CL296" s="31"/>
    </row>
    <row r="297" spans="1:92" x14ac:dyDescent="0.25">
      <c r="A297" s="30">
        <v>6.197406067703403E-2</v>
      </c>
      <c r="B297"/>
      <c r="C297"/>
      <c r="D297"/>
      <c r="E297"/>
      <c r="F297" s="27" t="s">
        <v>7</v>
      </c>
      <c r="AK297" s="27" t="s">
        <v>8</v>
      </c>
      <c r="AL297" s="27" t="s">
        <v>7</v>
      </c>
      <c r="AQ297" s="27" t="s">
        <v>8</v>
      </c>
      <c r="AT297" s="27" t="s">
        <v>7</v>
      </c>
      <c r="AW297" s="27" t="s">
        <v>8</v>
      </c>
      <c r="BA297" s="27" t="s">
        <v>8</v>
      </c>
      <c r="BC297" s="27" t="s">
        <v>8</v>
      </c>
      <c r="BD297" s="27" t="s">
        <v>7</v>
      </c>
      <c r="BE297" s="27" t="s">
        <v>8</v>
      </c>
      <c r="CK297" s="31"/>
    </row>
    <row r="298" spans="1:92" x14ac:dyDescent="0.25">
      <c r="A298" s="30">
        <v>5.9022914930508576E-2</v>
      </c>
      <c r="B298"/>
      <c r="C298"/>
      <c r="D298"/>
      <c r="E298"/>
      <c r="F298" s="27" t="s">
        <v>7</v>
      </c>
      <c r="AK298" s="27" t="s">
        <v>8</v>
      </c>
      <c r="AL298" s="27" t="s">
        <v>7</v>
      </c>
      <c r="AO298" s="27" t="s">
        <v>8</v>
      </c>
      <c r="AQ298" s="27" t="s">
        <v>8</v>
      </c>
      <c r="AT298" s="27" t="s">
        <v>7</v>
      </c>
      <c r="AU298" s="27" t="s">
        <v>8</v>
      </c>
      <c r="AW298" s="27" t="s">
        <v>8</v>
      </c>
      <c r="AX298" s="27" t="s">
        <v>7</v>
      </c>
      <c r="AY298" s="27" t="s">
        <v>8</v>
      </c>
      <c r="BA298" s="27" t="s">
        <v>8</v>
      </c>
      <c r="BB298" s="27" t="s">
        <v>7</v>
      </c>
      <c r="BC298" s="27" t="s">
        <v>8</v>
      </c>
      <c r="BD298" s="27" t="s">
        <v>7</v>
      </c>
      <c r="BE298" s="27" t="s">
        <v>8</v>
      </c>
      <c r="CJ298" s="31"/>
    </row>
    <row r="299" spans="1:92" x14ac:dyDescent="0.25">
      <c r="A299" s="30">
        <v>5.6212299933817669E-2</v>
      </c>
      <c r="B299"/>
      <c r="C299"/>
      <c r="D299"/>
      <c r="E299"/>
      <c r="F299" s="27" t="s">
        <v>7</v>
      </c>
      <c r="AK299" s="27" t="s">
        <v>8</v>
      </c>
      <c r="AL299" s="27" t="s">
        <v>7</v>
      </c>
      <c r="AO299" s="27" t="s">
        <v>8</v>
      </c>
      <c r="AP299" s="27" t="s">
        <v>7</v>
      </c>
      <c r="AQ299" s="27" t="s">
        <v>8</v>
      </c>
      <c r="AT299" s="27" t="s">
        <v>7</v>
      </c>
      <c r="AU299" s="27" t="s">
        <v>8</v>
      </c>
      <c r="AV299" s="27" t="s">
        <v>7</v>
      </c>
      <c r="AW299" s="27" t="s">
        <v>8</v>
      </c>
      <c r="AX299" s="27" t="s">
        <v>7</v>
      </c>
      <c r="AY299" s="27" t="s">
        <v>8</v>
      </c>
      <c r="AZ299" s="27" t="s">
        <v>7</v>
      </c>
      <c r="BA299" s="27" t="s">
        <v>8</v>
      </c>
      <c r="BB299" s="27" t="s">
        <v>7</v>
      </c>
      <c r="BC299" s="27" t="s">
        <v>8</v>
      </c>
      <c r="BD299" s="27" t="s">
        <v>7</v>
      </c>
      <c r="CI299" s="31"/>
    </row>
    <row r="300" spans="1:92" x14ac:dyDescent="0.25">
      <c r="A300" s="30">
        <v>5.3535523746492994E-2</v>
      </c>
      <c r="B300"/>
      <c r="C300"/>
      <c r="D300"/>
      <c r="E300"/>
      <c r="F300" s="27" t="s">
        <v>7</v>
      </c>
      <c r="AK300" s="27" t="s">
        <v>8</v>
      </c>
      <c r="AL300" s="27" t="s">
        <v>7</v>
      </c>
      <c r="AO300" s="27" t="s">
        <v>8</v>
      </c>
      <c r="AP300" s="27" t="s">
        <v>7</v>
      </c>
      <c r="AQ300" s="27" t="s">
        <v>8</v>
      </c>
      <c r="AT300" s="27" t="s">
        <v>7</v>
      </c>
      <c r="AU300" s="27" t="s">
        <v>8</v>
      </c>
      <c r="AV300" s="27" t="s">
        <v>7</v>
      </c>
      <c r="AW300" s="27" t="s">
        <v>8</v>
      </c>
      <c r="AX300" s="27" t="s">
        <v>7</v>
      </c>
      <c r="AY300" s="27" t="s">
        <v>8</v>
      </c>
      <c r="AZ300" s="27" t="s">
        <v>7</v>
      </c>
      <c r="BA300" s="27" t="s">
        <v>8</v>
      </c>
      <c r="BB300" s="27" t="s">
        <v>7</v>
      </c>
      <c r="BC300" s="27" t="s">
        <v>8</v>
      </c>
      <c r="CH300" s="31"/>
    </row>
    <row r="301" spans="1:92" x14ac:dyDescent="0.25">
      <c r="A301" s="30">
        <v>5.0986213091898068E-2</v>
      </c>
      <c r="B301"/>
      <c r="C301"/>
      <c r="D301"/>
      <c r="E301"/>
      <c r="F301" s="27" t="s">
        <v>7</v>
      </c>
      <c r="AK301" s="27" t="s">
        <v>8</v>
      </c>
      <c r="AL301" s="27" t="s">
        <v>7</v>
      </c>
      <c r="AO301" s="27" t="s">
        <v>8</v>
      </c>
      <c r="AP301" s="27" t="s">
        <v>7</v>
      </c>
      <c r="AQ301" s="27" t="s">
        <v>8</v>
      </c>
      <c r="AT301" s="27" t="s">
        <v>7</v>
      </c>
      <c r="AU301" s="27" t="s">
        <v>8</v>
      </c>
      <c r="AV301" s="27" t="s">
        <v>7</v>
      </c>
      <c r="AW301" s="27" t="s">
        <v>8</v>
      </c>
      <c r="AX301" s="27" t="s">
        <v>7</v>
      </c>
      <c r="AY301" s="27" t="s">
        <v>8</v>
      </c>
      <c r="AZ301" s="27" t="s">
        <v>7</v>
      </c>
      <c r="BA301" s="27" t="s">
        <v>8</v>
      </c>
      <c r="BB301" s="27" t="s">
        <v>7</v>
      </c>
      <c r="CG301" s="31"/>
    </row>
    <row r="302" spans="1:92" x14ac:dyDescent="0.25">
      <c r="A302" s="30">
        <v>4.8558298182760043E-2</v>
      </c>
      <c r="B302"/>
      <c r="C302"/>
      <c r="D302"/>
      <c r="E302"/>
      <c r="F302" s="27" t="s">
        <v>7</v>
      </c>
      <c r="AK302" s="27" t="s">
        <v>8</v>
      </c>
      <c r="AL302" s="27" t="s">
        <v>7</v>
      </c>
      <c r="AM302" s="27" t="s">
        <v>8</v>
      </c>
      <c r="AO302" s="27" t="s">
        <v>8</v>
      </c>
      <c r="AP302" s="27" t="s">
        <v>7</v>
      </c>
      <c r="AQ302" s="27" t="s">
        <v>8</v>
      </c>
      <c r="AT302" s="27" t="s">
        <v>7</v>
      </c>
      <c r="AV302" s="27" t="s">
        <v>7</v>
      </c>
      <c r="AX302" s="27" t="s">
        <v>7</v>
      </c>
      <c r="AY302" s="27" t="s">
        <v>8</v>
      </c>
      <c r="AZ302" s="27" t="s">
        <v>7</v>
      </c>
      <c r="BA302" s="27" t="s">
        <v>8</v>
      </c>
      <c r="CF302" s="31"/>
    </row>
    <row r="303" spans="1:92" x14ac:dyDescent="0.25">
      <c r="A303" s="30">
        <v>4.6245998269295263E-2</v>
      </c>
      <c r="B303"/>
      <c r="C303"/>
      <c r="D303"/>
      <c r="E303"/>
      <c r="F303" s="27" t="s">
        <v>7</v>
      </c>
      <c r="AK303" s="27" t="s">
        <v>8</v>
      </c>
      <c r="AL303" s="27" t="s">
        <v>7</v>
      </c>
      <c r="AM303" s="27" t="s">
        <v>8</v>
      </c>
      <c r="AN303" s="27" t="s">
        <v>7</v>
      </c>
      <c r="AO303" s="27" t="s">
        <v>8</v>
      </c>
      <c r="AP303" s="27" t="s">
        <v>7</v>
      </c>
      <c r="AQ303" s="27" t="s">
        <v>8</v>
      </c>
      <c r="AX303" s="27" t="s">
        <v>7</v>
      </c>
      <c r="AY303" s="27" t="s">
        <v>8</v>
      </c>
      <c r="AZ303" s="27" t="s">
        <v>7</v>
      </c>
      <c r="CE303" s="31"/>
    </row>
    <row r="304" spans="1:92" x14ac:dyDescent="0.25">
      <c r="A304" s="30">
        <v>4.4043807875519279E-2</v>
      </c>
      <c r="B304"/>
      <c r="C304"/>
      <c r="D304"/>
      <c r="E304"/>
      <c r="F304" s="27" t="s">
        <v>7</v>
      </c>
      <c r="AK304" s="27" t="s">
        <v>8</v>
      </c>
      <c r="AL304" s="27" t="s">
        <v>7</v>
      </c>
      <c r="AM304" s="27" t="s">
        <v>8</v>
      </c>
      <c r="AN304" s="27" t="s">
        <v>7</v>
      </c>
      <c r="AO304" s="27" t="s">
        <v>8</v>
      </c>
      <c r="AP304" s="27" t="s">
        <v>7</v>
      </c>
      <c r="AX304" s="27" t="s">
        <v>7</v>
      </c>
      <c r="AY304" s="27" t="s">
        <v>8</v>
      </c>
      <c r="CD304" s="31"/>
    </row>
    <row r="305" spans="1:81" x14ac:dyDescent="0.25">
      <c r="A305" s="30">
        <v>4.1946483690970725E-2</v>
      </c>
      <c r="B305"/>
      <c r="C305"/>
      <c r="D305"/>
      <c r="E305"/>
      <c r="F305" s="27" t="s">
        <v>7</v>
      </c>
      <c r="AK305" s="27" t="s">
        <v>8</v>
      </c>
      <c r="AL305" s="27" t="s">
        <v>7</v>
      </c>
      <c r="AM305" s="27" t="s">
        <v>8</v>
      </c>
      <c r="AN305" s="27" t="s">
        <v>7</v>
      </c>
      <c r="AO305" s="27" t="s">
        <v>8</v>
      </c>
      <c r="AX305" s="27" t="s">
        <v>7</v>
      </c>
      <c r="CC305" s="31"/>
    </row>
    <row r="306" spans="1:81" x14ac:dyDescent="0.25">
      <c r="A306" s="30">
        <v>3.9949032086638768E-2</v>
      </c>
      <c r="B306"/>
      <c r="C306"/>
      <c r="D306"/>
      <c r="E306"/>
      <c r="F306" s="27" t="s">
        <v>7</v>
      </c>
      <c r="AK306" s="27" t="s">
        <v>8</v>
      </c>
      <c r="AL306" s="27" t="s">
        <v>7</v>
      </c>
      <c r="AM306" s="27" t="s">
        <v>8</v>
      </c>
      <c r="AN306" s="27" t="s">
        <v>7</v>
      </c>
      <c r="AO306" s="27" t="s">
        <v>8</v>
      </c>
      <c r="CB306" s="31"/>
    </row>
    <row r="307" spans="1:81" x14ac:dyDescent="0.25">
      <c r="A307" s="30">
        <v>3.8046697225370241E-2</v>
      </c>
      <c r="B307"/>
      <c r="C307"/>
      <c r="D307"/>
      <c r="E307"/>
      <c r="F307" s="27" t="s">
        <v>7</v>
      </c>
      <c r="AK307" s="27" t="s">
        <v>8</v>
      </c>
      <c r="AL307" s="27" t="s">
        <v>7</v>
      </c>
      <c r="AM307" s="27" t="s">
        <v>8</v>
      </c>
      <c r="AN307" s="27" t="s">
        <v>7</v>
      </c>
      <c r="AO307" s="27" t="s">
        <v>8</v>
      </c>
      <c r="CA307" s="31"/>
    </row>
    <row r="308" spans="1:81" x14ac:dyDescent="0.25">
      <c r="A308" s="30">
        <v>3.6234949738447833E-2</v>
      </c>
      <c r="B308"/>
      <c r="C308"/>
      <c r="D308"/>
      <c r="E308"/>
      <c r="F308" s="27" t="s">
        <v>7</v>
      </c>
      <c r="AK308" s="27" t="s">
        <v>8</v>
      </c>
      <c r="AL308" s="27" t="s">
        <v>7</v>
      </c>
      <c r="AM308" s="27" t="s">
        <v>8</v>
      </c>
      <c r="AN308" s="27" t="s">
        <v>7</v>
      </c>
      <c r="AO308" s="27" t="s">
        <v>8</v>
      </c>
      <c r="BZ308" s="31"/>
    </row>
    <row r="309" spans="1:81" x14ac:dyDescent="0.25">
      <c r="A309" s="30">
        <v>3.4509475941378875E-2</v>
      </c>
      <c r="B309"/>
      <c r="C309"/>
      <c r="D309"/>
      <c r="E309"/>
      <c r="F309" s="27" t="s">
        <v>7</v>
      </c>
      <c r="AK309" s="27" t="s">
        <v>8</v>
      </c>
      <c r="AL309" s="27" t="s">
        <v>7</v>
      </c>
      <c r="AM309" s="27" t="s">
        <v>8</v>
      </c>
      <c r="AN309" s="27" t="s">
        <v>7</v>
      </c>
      <c r="AO309" s="27" t="s">
        <v>8</v>
      </c>
      <c r="BY309" s="31"/>
    </row>
    <row r="310" spans="1:81" x14ac:dyDescent="0.25">
      <c r="A310" s="30">
        <v>3.286616756321796E-2</v>
      </c>
      <c r="B310"/>
      <c r="C310"/>
      <c r="D310"/>
      <c r="E310"/>
      <c r="F310" s="27" t="s">
        <v>7</v>
      </c>
      <c r="AK310" s="27" t="s">
        <v>8</v>
      </c>
      <c r="AL310" s="27" t="s">
        <v>7</v>
      </c>
      <c r="AM310" s="27" t="s">
        <v>8</v>
      </c>
      <c r="AN310" s="27" t="s">
        <v>7</v>
      </c>
      <c r="AO310" s="27" t="s">
        <v>8</v>
      </c>
      <c r="BX310" s="31"/>
    </row>
    <row r="311" spans="1:81" x14ac:dyDescent="0.25">
      <c r="A311" s="30">
        <v>3.1301111964969472E-2</v>
      </c>
      <c r="B311"/>
      <c r="C311"/>
      <c r="D311"/>
      <c r="E311"/>
      <c r="F311" s="27" t="s">
        <v>7</v>
      </c>
      <c r="AK311" s="27" t="s">
        <v>8</v>
      </c>
      <c r="AL311" s="27" t="s">
        <v>7</v>
      </c>
      <c r="AM311" s="27" t="s">
        <v>8</v>
      </c>
      <c r="AN311" s="27" t="s">
        <v>7</v>
      </c>
      <c r="AO311" s="27" t="s">
        <v>8</v>
      </c>
      <c r="BW311" s="31"/>
    </row>
    <row r="312" spans="1:81" x14ac:dyDescent="0.25">
      <c r="A312" s="30">
        <v>2.9810582823780438E-2</v>
      </c>
      <c r="B312"/>
      <c r="C312"/>
      <c r="D312"/>
      <c r="E312"/>
      <c r="F312" s="27" t="s">
        <v>7</v>
      </c>
      <c r="AK312" s="27" t="s">
        <v>8</v>
      </c>
      <c r="AL312" s="27" t="s">
        <v>7</v>
      </c>
      <c r="AM312" s="27" t="s">
        <v>8</v>
      </c>
      <c r="AN312" s="27" t="s">
        <v>7</v>
      </c>
      <c r="BV312" s="31"/>
    </row>
    <row r="313" spans="1:81" x14ac:dyDescent="0.25">
      <c r="A313" s="30">
        <v>2.8391031260743264E-2</v>
      </c>
      <c r="B313"/>
      <c r="C313"/>
      <c r="D313"/>
      <c r="E313"/>
      <c r="F313" s="27" t="s">
        <v>7</v>
      </c>
      <c r="AK313" s="27" t="s">
        <v>8</v>
      </c>
      <c r="AL313" s="27" t="s">
        <v>7</v>
      </c>
      <c r="AM313" s="27" t="s">
        <v>8</v>
      </c>
      <c r="BU313" s="31"/>
    </row>
    <row r="314" spans="1:81" x14ac:dyDescent="0.25">
      <c r="A314" s="30">
        <v>2.7039077391184052E-2</v>
      </c>
      <c r="B314"/>
      <c r="C314"/>
      <c r="D314"/>
      <c r="E314"/>
      <c r="F314" s="27" t="s">
        <v>7</v>
      </c>
      <c r="AK314" s="27" t="s">
        <v>8</v>
      </c>
      <c r="AL314" s="27" t="s">
        <v>7</v>
      </c>
      <c r="AM314" s="27" t="s">
        <v>8</v>
      </c>
      <c r="BT314" s="31"/>
    </row>
    <row r="315" spans="1:81" x14ac:dyDescent="0.25">
      <c r="A315" s="30">
        <v>2.5751502277318133E-2</v>
      </c>
      <c r="B315"/>
      <c r="C315"/>
      <c r="D315"/>
      <c r="E315"/>
      <c r="F315" s="27" t="s">
        <v>7</v>
      </c>
      <c r="AK315" s="27" t="s">
        <v>8</v>
      </c>
      <c r="AL315" s="27" t="s">
        <v>7</v>
      </c>
      <c r="AM315" s="27" t="s">
        <v>8</v>
      </c>
      <c r="BS315" s="31"/>
    </row>
    <row r="316" spans="1:81" x14ac:dyDescent="0.25">
      <c r="A316" s="30">
        <v>2.4525240264112496E-2</v>
      </c>
      <c r="B316"/>
      <c r="C316"/>
      <c r="D316"/>
      <c r="E316"/>
      <c r="F316" s="27" t="s">
        <v>7</v>
      </c>
      <c r="AK316" s="27" t="s">
        <v>8</v>
      </c>
      <c r="AL316" s="27" t="s">
        <v>7</v>
      </c>
      <c r="AM316" s="27" t="s">
        <v>8</v>
      </c>
      <c r="BR316" s="31"/>
    </row>
    <row r="317" spans="1:81" x14ac:dyDescent="0.25">
      <c r="A317" s="30">
        <v>2.3357371680107129E-2</v>
      </c>
      <c r="B317"/>
      <c r="C317"/>
      <c r="D317"/>
      <c r="E317"/>
      <c r="F317" s="27" t="s">
        <v>7</v>
      </c>
      <c r="AK317" s="27" t="s">
        <v>8</v>
      </c>
      <c r="AL317" s="27" t="s">
        <v>7</v>
      </c>
      <c r="AM317" s="27" t="s">
        <v>8</v>
      </c>
      <c r="BQ317" s="31"/>
    </row>
    <row r="318" spans="1:81" x14ac:dyDescent="0.25">
      <c r="A318" s="30">
        <v>2.2245115885816305E-2</v>
      </c>
      <c r="B318"/>
      <c r="C318"/>
      <c r="D318"/>
      <c r="E318"/>
      <c r="F318" s="27" t="s">
        <v>7</v>
      </c>
      <c r="AK318" s="27" t="s">
        <v>8</v>
      </c>
      <c r="AL318" s="27" t="s">
        <v>7</v>
      </c>
      <c r="BP318" s="31"/>
    </row>
    <row r="319" spans="1:81" x14ac:dyDescent="0.25">
      <c r="A319" s="30">
        <v>2.1185824653158377E-2</v>
      </c>
      <c r="B319"/>
      <c r="C319"/>
      <c r="D319"/>
      <c r="E319"/>
      <c r="F319" s="27" t="s">
        <v>7</v>
      </c>
      <c r="AK319" s="27" t="s">
        <v>8</v>
      </c>
      <c r="BO319" s="31"/>
    </row>
    <row r="320" spans="1:81" x14ac:dyDescent="0.25">
      <c r="A320" s="30">
        <v>2.0176975860150829E-2</v>
      </c>
      <c r="B320"/>
      <c r="C320"/>
      <c r="D320"/>
      <c r="E320"/>
      <c r="F320" s="27" t="s">
        <v>7</v>
      </c>
      <c r="AK320" s="27" t="s">
        <v>8</v>
      </c>
      <c r="BN320" s="31"/>
    </row>
    <row r="321" spans="1:65" x14ac:dyDescent="0.25">
      <c r="A321" s="30">
        <v>1.9216167485857926E-2</v>
      </c>
      <c r="B321"/>
      <c r="C321"/>
      <c r="D321"/>
      <c r="E321"/>
      <c r="F321" s="27" t="s">
        <v>7</v>
      </c>
      <c r="AK321" s="27" t="s">
        <v>8</v>
      </c>
      <c r="BM321" s="31"/>
    </row>
    <row r="322" spans="1:65" x14ac:dyDescent="0.25">
      <c r="A322" s="30">
        <v>1.8301111891293256E-2</v>
      </c>
      <c r="B322"/>
      <c r="C322"/>
      <c r="D322"/>
      <c r="E322"/>
      <c r="F322" s="27" t="s">
        <v>7</v>
      </c>
      <c r="AK322" s="27" t="s">
        <v>8</v>
      </c>
      <c r="BL322" s="31"/>
    </row>
    <row r="323" spans="1:65" x14ac:dyDescent="0.25">
      <c r="A323" s="30">
        <v>1.7429630372660238E-2</v>
      </c>
      <c r="B323"/>
      <c r="C323"/>
      <c r="D323"/>
      <c r="E323"/>
      <c r="F323" s="27" t="s">
        <v>7</v>
      </c>
      <c r="AK323" s="27" t="s">
        <v>8</v>
      </c>
      <c r="BK323" s="31"/>
    </row>
    <row r="324" spans="1:65" x14ac:dyDescent="0.25">
      <c r="A324" s="30">
        <v>1.6599647973962125E-2</v>
      </c>
      <c r="B324"/>
      <c r="C324"/>
      <c r="D324"/>
      <c r="E324"/>
      <c r="F324" s="27" t="s">
        <v>7</v>
      </c>
      <c r="AK324" s="27" t="s">
        <v>8</v>
      </c>
      <c r="BJ324" s="31"/>
    </row>
    <row r="325" spans="1:65" x14ac:dyDescent="0.25">
      <c r="A325" s="30">
        <v>1.580918854663059E-2</v>
      </c>
      <c r="B325"/>
      <c r="C325"/>
      <c r="D325"/>
      <c r="E325"/>
      <c r="F325" s="27" t="s">
        <v>7</v>
      </c>
      <c r="AK325" s="27" t="s">
        <v>8</v>
      </c>
      <c r="BI325" s="31"/>
    </row>
    <row r="326" spans="1:65" x14ac:dyDescent="0.25">
      <c r="A326" s="30">
        <v>1.5056370044410079E-2</v>
      </c>
      <c r="B326"/>
      <c r="C326"/>
      <c r="D326"/>
      <c r="E326"/>
      <c r="F326" s="27" t="s">
        <v>7</v>
      </c>
      <c r="AK326" s="27" t="s">
        <v>8</v>
      </c>
      <c r="BH326" s="31"/>
    </row>
    <row r="327" spans="1:65" x14ac:dyDescent="0.25">
      <c r="A327" s="30">
        <v>1.4339400042295308E-2</v>
      </c>
      <c r="B327"/>
      <c r="C327"/>
      <c r="D327"/>
      <c r="E327"/>
      <c r="F327" s="27" t="s">
        <v>7</v>
      </c>
      <c r="AK327" s="27" t="s">
        <v>8</v>
      </c>
      <c r="BG327" s="31"/>
    </row>
    <row r="328" spans="1:65" x14ac:dyDescent="0.25">
      <c r="A328" s="30">
        <v>1.365657146885267E-2</v>
      </c>
      <c r="B328"/>
      <c r="C328"/>
      <c r="D328"/>
      <c r="E328"/>
      <c r="F328" s="27" t="s">
        <v>7</v>
      </c>
      <c r="AA328" s="27" t="s">
        <v>8</v>
      </c>
      <c r="AK328" s="27" t="s">
        <v>8</v>
      </c>
      <c r="BF328" s="31"/>
    </row>
    <row r="329" spans="1:65" x14ac:dyDescent="0.25">
      <c r="A329" s="30">
        <v>1.3006258541764442E-2</v>
      </c>
      <c r="B329"/>
      <c r="C329"/>
      <c r="D329"/>
      <c r="E329"/>
      <c r="F329" s="27" t="s">
        <v>7</v>
      </c>
      <c r="AA329" s="27" t="s">
        <v>8</v>
      </c>
      <c r="AB329" s="27" t="s">
        <v>7</v>
      </c>
      <c r="AK329" s="27" t="s">
        <v>8</v>
      </c>
      <c r="BE329" s="31"/>
    </row>
    <row r="330" spans="1:65" x14ac:dyDescent="0.25">
      <c r="A330" s="30">
        <v>1.2386912896918512E-2</v>
      </c>
      <c r="B330"/>
      <c r="C330"/>
      <c r="D330"/>
      <c r="E330"/>
      <c r="F330" s="27" t="s">
        <v>7</v>
      </c>
      <c r="AA330" s="27" t="s">
        <v>8</v>
      </c>
      <c r="AB330" s="27" t="s">
        <v>7</v>
      </c>
      <c r="AK330" s="27" t="s">
        <v>8</v>
      </c>
      <c r="BD330" s="31"/>
    </row>
    <row r="331" spans="1:65" x14ac:dyDescent="0.25">
      <c r="A331" s="30">
        <v>1.179705990182715E-2</v>
      </c>
      <c r="B331"/>
      <c r="C331"/>
      <c r="D331"/>
      <c r="E331"/>
      <c r="F331" s="27" t="s">
        <v>7</v>
      </c>
      <c r="AA331" s="27" t="s">
        <v>8</v>
      </c>
      <c r="AB331" s="27" t="s">
        <v>7</v>
      </c>
      <c r="AK331" s="27" t="s">
        <v>8</v>
      </c>
      <c r="BC331" s="31"/>
    </row>
    <row r="332" spans="1:65" x14ac:dyDescent="0.25">
      <c r="A332" s="30">
        <v>1.1235295144597281E-2</v>
      </c>
      <c r="B332"/>
      <c r="C332"/>
      <c r="D332"/>
      <c r="E332"/>
      <c r="F332" s="27" t="s">
        <v>7</v>
      </c>
      <c r="AA332" s="27" t="s">
        <v>8</v>
      </c>
      <c r="AB332" s="27" t="s">
        <v>7</v>
      </c>
      <c r="AK332" s="27" t="s">
        <v>8</v>
      </c>
      <c r="BB332" s="31"/>
    </row>
    <row r="333" spans="1:65" x14ac:dyDescent="0.25">
      <c r="A333" s="30">
        <v>1.0700281090092644E-2</v>
      </c>
      <c r="B333"/>
      <c r="C333"/>
      <c r="D333"/>
      <c r="E333"/>
      <c r="F333" s="27" t="s">
        <v>7</v>
      </c>
      <c r="AA333" s="27" t="s">
        <v>8</v>
      </c>
      <c r="AB333" s="27" t="s">
        <v>7</v>
      </c>
      <c r="AC333" s="27" t="s">
        <v>8</v>
      </c>
      <c r="AE333" s="27" t="s">
        <v>8</v>
      </c>
      <c r="AK333" s="27" t="s">
        <v>8</v>
      </c>
      <c r="BA333" s="31"/>
    </row>
    <row r="334" spans="1:65" x14ac:dyDescent="0.25">
      <c r="A334" s="30">
        <v>1.0190743895326324E-2</v>
      </c>
      <c r="B334"/>
      <c r="C334"/>
      <c r="D334"/>
      <c r="E334"/>
      <c r="F334" s="27" t="s">
        <v>7</v>
      </c>
      <c r="AA334" s="27" t="s">
        <v>8</v>
      </c>
      <c r="AB334" s="27" t="s">
        <v>7</v>
      </c>
      <c r="AC334" s="27" t="s">
        <v>8</v>
      </c>
      <c r="AD334" s="27" t="s">
        <v>7</v>
      </c>
      <c r="AE334" s="27" t="s">
        <v>8</v>
      </c>
      <c r="AF334" s="27" t="s">
        <v>7</v>
      </c>
      <c r="AK334" s="27" t="s">
        <v>8</v>
      </c>
      <c r="AZ334" s="31"/>
    </row>
    <row r="335" spans="1:65" x14ac:dyDescent="0.25">
      <c r="A335" s="30">
        <v>9.7054703765012563E-3</v>
      </c>
      <c r="B335"/>
      <c r="C335"/>
      <c r="D335"/>
      <c r="E335"/>
      <c r="F335" s="27" t="s">
        <v>7</v>
      </c>
      <c r="AA335" s="27" t="s">
        <v>8</v>
      </c>
      <c r="AB335" s="27" t="s">
        <v>7</v>
      </c>
      <c r="AC335" s="27" t="s">
        <v>8</v>
      </c>
      <c r="AD335" s="27" t="s">
        <v>7</v>
      </c>
      <c r="AE335" s="27" t="s">
        <v>8</v>
      </c>
      <c r="AF335" s="27" t="s">
        <v>7</v>
      </c>
      <c r="AG335" s="27" t="s">
        <v>8</v>
      </c>
      <c r="AK335" s="27" t="s">
        <v>8</v>
      </c>
      <c r="AY335" s="31"/>
    </row>
    <row r="336" spans="1:65" x14ac:dyDescent="0.25">
      <c r="A336" s="30">
        <v>9.2433051204773835E-3</v>
      </c>
      <c r="B336"/>
      <c r="C336"/>
      <c r="D336"/>
      <c r="E336"/>
      <c r="F336" s="27" t="s">
        <v>7</v>
      </c>
      <c r="AA336" s="27" t="s">
        <v>8</v>
      </c>
      <c r="AB336" s="27" t="s">
        <v>7</v>
      </c>
      <c r="AC336" s="27" t="s">
        <v>8</v>
      </c>
      <c r="AD336" s="27" t="s">
        <v>7</v>
      </c>
      <c r="AE336" s="27" t="s">
        <v>8</v>
      </c>
      <c r="AF336" s="27" t="s">
        <v>7</v>
      </c>
      <c r="AG336" s="27" t="s">
        <v>8</v>
      </c>
      <c r="AH336" s="27" t="s">
        <v>7</v>
      </c>
      <c r="AK336" s="27" t="s">
        <v>8</v>
      </c>
      <c r="AX336" s="31"/>
    </row>
    <row r="337" spans="1:49" x14ac:dyDescent="0.25">
      <c r="A337" s="30">
        <v>8.8031477337879808E-3</v>
      </c>
      <c r="B337"/>
      <c r="C337"/>
      <c r="D337"/>
      <c r="E337"/>
      <c r="F337" s="27" t="s">
        <v>7</v>
      </c>
      <c r="AA337" s="27" t="s">
        <v>8</v>
      </c>
      <c r="AB337" s="27" t="s">
        <v>7</v>
      </c>
      <c r="AC337" s="27" t="s">
        <v>8</v>
      </c>
      <c r="AD337" s="27" t="s">
        <v>7</v>
      </c>
      <c r="AF337" s="27" t="s">
        <v>7</v>
      </c>
      <c r="AG337" s="27" t="s">
        <v>8</v>
      </c>
      <c r="AH337" s="27" t="s">
        <v>7</v>
      </c>
      <c r="AI337" s="27" t="s">
        <v>8</v>
      </c>
      <c r="AK337" s="27" t="s">
        <v>8</v>
      </c>
      <c r="AW337" s="31"/>
    </row>
    <row r="338" spans="1:49" x14ac:dyDescent="0.25">
      <c r="A338" s="30">
        <v>8.3839502226552166E-3</v>
      </c>
      <c r="B338"/>
      <c r="C338"/>
      <c r="D338"/>
      <c r="E338"/>
      <c r="F338" s="27" t="s">
        <v>7</v>
      </c>
      <c r="AA338" s="27" t="s">
        <v>8</v>
      </c>
      <c r="AB338" s="27" t="s">
        <v>7</v>
      </c>
      <c r="AC338" s="27" t="s">
        <v>8</v>
      </c>
      <c r="AF338" s="27" t="s">
        <v>7</v>
      </c>
      <c r="AG338" s="27" t="s">
        <v>8</v>
      </c>
      <c r="AH338" s="27" t="s">
        <v>7</v>
      </c>
      <c r="AI338" s="27" t="s">
        <v>8</v>
      </c>
      <c r="AJ338" s="27" t="s">
        <v>7</v>
      </c>
      <c r="AK338" s="27" t="s">
        <v>8</v>
      </c>
      <c r="AV338" s="31"/>
    </row>
    <row r="339" spans="1:49" x14ac:dyDescent="0.25">
      <c r="A339" s="30">
        <v>7.9847144977668698E-3</v>
      </c>
      <c r="B339"/>
      <c r="C339"/>
      <c r="D339"/>
      <c r="E339"/>
      <c r="F339" s="27" t="s">
        <v>7</v>
      </c>
      <c r="AA339" s="27" t="s">
        <v>8</v>
      </c>
      <c r="AB339" s="27" t="s">
        <v>7</v>
      </c>
      <c r="AC339" s="27" t="s">
        <v>8</v>
      </c>
      <c r="AF339" s="27" t="s">
        <v>7</v>
      </c>
      <c r="AG339" s="27" t="s">
        <v>8</v>
      </c>
      <c r="AH339" s="27" t="s">
        <v>7</v>
      </c>
      <c r="AI339" s="27" t="s">
        <v>8</v>
      </c>
      <c r="AJ339" s="27" t="s">
        <v>7</v>
      </c>
      <c r="AK339" s="27" t="s">
        <v>8</v>
      </c>
      <c r="AU339" s="31"/>
    </row>
    <row r="340" spans="1:49" x14ac:dyDescent="0.25">
      <c r="A340" s="30">
        <v>7.6044899978732058E-3</v>
      </c>
      <c r="B340"/>
      <c r="C340"/>
      <c r="D340"/>
      <c r="E340"/>
      <c r="F340" s="27" t="s">
        <v>7</v>
      </c>
      <c r="AA340" s="27" t="s">
        <v>8</v>
      </c>
      <c r="AB340" s="27" t="s">
        <v>7</v>
      </c>
      <c r="AF340" s="27" t="s">
        <v>7</v>
      </c>
      <c r="AG340" s="27" t="s">
        <v>8</v>
      </c>
      <c r="AH340" s="27" t="s">
        <v>7</v>
      </c>
      <c r="AJ340" s="27" t="s">
        <v>7</v>
      </c>
      <c r="AT340" s="31"/>
    </row>
    <row r="341" spans="1:49" x14ac:dyDescent="0.25">
      <c r="A341" s="30">
        <v>7.2423714265459072E-3</v>
      </c>
      <c r="B341"/>
      <c r="C341"/>
      <c r="D341"/>
      <c r="E341"/>
      <c r="F341" s="27" t="s">
        <v>7</v>
      </c>
      <c r="AA341" s="27" t="s">
        <v>8</v>
      </c>
      <c r="AF341" s="27" t="s">
        <v>7</v>
      </c>
      <c r="AG341" s="27" t="s">
        <v>8</v>
      </c>
      <c r="AS341" s="31"/>
    </row>
    <row r="342" spans="1:49" x14ac:dyDescent="0.25">
      <c r="A342" s="30">
        <v>6.8974965967103846E-3</v>
      </c>
      <c r="B342"/>
      <c r="C342"/>
      <c r="D342"/>
      <c r="E342"/>
      <c r="F342" s="27" t="s">
        <v>7</v>
      </c>
      <c r="AA342" s="27" t="s">
        <v>8</v>
      </c>
      <c r="AF342" s="27" t="s">
        <v>7</v>
      </c>
      <c r="AR342" s="31"/>
    </row>
    <row r="343" spans="1:49" x14ac:dyDescent="0.25">
      <c r="A343" s="30">
        <v>6.5690443778194116E-3</v>
      </c>
      <c r="B343"/>
      <c r="C343"/>
      <c r="D343"/>
      <c r="E343"/>
      <c r="F343" s="27" t="s">
        <v>7</v>
      </c>
      <c r="AA343" s="27" t="s">
        <v>8</v>
      </c>
      <c r="AQ343" s="31"/>
    </row>
    <row r="344" spans="1:49" x14ac:dyDescent="0.25">
      <c r="A344" s="30">
        <v>6.2562327407803897E-3</v>
      </c>
      <c r="B344"/>
      <c r="C344"/>
      <c r="D344"/>
      <c r="E344"/>
      <c r="F344" s="27" t="s">
        <v>7</v>
      </c>
      <c r="AA344" s="27" t="s">
        <v>8</v>
      </c>
      <c r="AP344" s="31"/>
    </row>
    <row r="345" spans="1:49" x14ac:dyDescent="0.25">
      <c r="A345" s="30">
        <v>5.9583168959813212E-3</v>
      </c>
      <c r="B345"/>
      <c r="C345"/>
      <c r="D345"/>
      <c r="E345"/>
      <c r="F345" s="27" t="s">
        <v>7</v>
      </c>
      <c r="AA345" s="27" t="s">
        <v>8</v>
      </c>
      <c r="AO345" s="31"/>
    </row>
    <row r="346" spans="1:49" x14ac:dyDescent="0.25">
      <c r="A346" s="30">
        <v>5.6745875199822084E-3</v>
      </c>
      <c r="B346"/>
      <c r="C346"/>
      <c r="D346"/>
      <c r="E346"/>
      <c r="F346" s="27" t="s">
        <v>7</v>
      </c>
      <c r="AA346" s="27" t="s">
        <v>8</v>
      </c>
      <c r="AN346" s="31"/>
    </row>
    <row r="347" spans="1:49" x14ac:dyDescent="0.25">
      <c r="A347" s="30">
        <v>5.4043690666497205E-3</v>
      </c>
      <c r="B347"/>
      <c r="C347"/>
      <c r="D347"/>
      <c r="E347"/>
      <c r="F347" s="27" t="s">
        <v>7</v>
      </c>
      <c r="M347" s="27" t="s">
        <v>8</v>
      </c>
      <c r="Y347" s="27" t="s">
        <v>8</v>
      </c>
      <c r="AA347" s="27" t="s">
        <v>8</v>
      </c>
      <c r="AM347" s="31"/>
    </row>
    <row r="348" spans="1:49" x14ac:dyDescent="0.25">
      <c r="A348" s="30">
        <v>5.1470181587140174E-3</v>
      </c>
      <c r="B348"/>
      <c r="C348"/>
      <c r="D348"/>
      <c r="E348"/>
      <c r="F348" s="27" t="s">
        <v>7</v>
      </c>
      <c r="M348" s="27" t="s">
        <v>8</v>
      </c>
      <c r="N348" s="27" t="s">
        <v>7</v>
      </c>
      <c r="Y348" s="27" t="s">
        <v>8</v>
      </c>
      <c r="Z348" s="27" t="s">
        <v>7</v>
      </c>
      <c r="AA348" s="27" t="s">
        <v>8</v>
      </c>
      <c r="AL348" s="31"/>
    </row>
    <row r="349" spans="1:49" x14ac:dyDescent="0.25">
      <c r="A349" s="30">
        <v>4.9019220559181099E-3</v>
      </c>
      <c r="B349"/>
      <c r="C349"/>
      <c r="D349"/>
      <c r="E349"/>
      <c r="F349" s="27" t="s">
        <v>7</v>
      </c>
      <c r="M349" s="27" t="s">
        <v>8</v>
      </c>
      <c r="N349" s="27" t="s">
        <v>7</v>
      </c>
      <c r="Y349" s="27" t="s">
        <v>8</v>
      </c>
      <c r="Z349" s="27" t="s">
        <v>7</v>
      </c>
      <c r="AA349" s="27" t="s">
        <v>8</v>
      </c>
      <c r="AK349" s="31"/>
    </row>
    <row r="350" spans="1:49" x14ac:dyDescent="0.25">
      <c r="A350" s="30">
        <v>4.6684971961124836E-3</v>
      </c>
      <c r="B350"/>
      <c r="C350"/>
      <c r="D350"/>
      <c r="E350"/>
      <c r="F350" s="27" t="s">
        <v>7</v>
      </c>
      <c r="G350" s="27" t="s">
        <v>8</v>
      </c>
      <c r="M350" s="27" t="s">
        <v>8</v>
      </c>
      <c r="N350" s="27" t="s">
        <v>7</v>
      </c>
      <c r="Y350" s="27" t="s">
        <v>8</v>
      </c>
      <c r="Z350" s="27" t="s">
        <v>7</v>
      </c>
      <c r="AA350" s="27" t="s">
        <v>8</v>
      </c>
      <c r="AJ350" s="31"/>
    </row>
    <row r="351" spans="1:49" x14ac:dyDescent="0.25">
      <c r="A351" s="30">
        <v>4.4461878058214112E-3</v>
      </c>
      <c r="B351"/>
      <c r="C351"/>
      <c r="D351"/>
      <c r="E351"/>
      <c r="F351" s="27" t="s">
        <v>7</v>
      </c>
      <c r="G351" s="27" t="s">
        <v>8</v>
      </c>
      <c r="H351" s="27" t="s">
        <v>7</v>
      </c>
      <c r="M351" s="27" t="s">
        <v>8</v>
      </c>
      <c r="N351" s="27" t="s">
        <v>7</v>
      </c>
      <c r="Y351" s="27" t="s">
        <v>8</v>
      </c>
      <c r="Z351" s="27" t="s">
        <v>7</v>
      </c>
      <c r="AA351" s="27" t="s">
        <v>8</v>
      </c>
      <c r="AI351" s="31"/>
    </row>
    <row r="352" spans="1:49" x14ac:dyDescent="0.25">
      <c r="A352" s="30">
        <v>4.2344645769727711E-3</v>
      </c>
      <c r="B352"/>
      <c r="C352"/>
      <c r="D352"/>
      <c r="E352"/>
      <c r="F352" s="27" t="s">
        <v>7</v>
      </c>
      <c r="G352" s="27" t="s">
        <v>8</v>
      </c>
      <c r="H352" s="27" t="s">
        <v>7</v>
      </c>
      <c r="M352" s="27" t="s">
        <v>8</v>
      </c>
      <c r="N352" s="27" t="s">
        <v>7</v>
      </c>
      <c r="U352" s="27" t="s">
        <v>8</v>
      </c>
      <c r="Y352" s="27" t="s">
        <v>8</v>
      </c>
      <c r="Z352" s="27" t="s">
        <v>7</v>
      </c>
      <c r="AA352" s="27" t="s">
        <v>8</v>
      </c>
      <c r="AH352" s="31"/>
    </row>
    <row r="353" spans="1:33" x14ac:dyDescent="0.25">
      <c r="A353" s="30">
        <v>4.0328234066407329E-3</v>
      </c>
      <c r="B353"/>
      <c r="C353"/>
      <c r="D353"/>
      <c r="E353"/>
      <c r="F353" s="27" t="s">
        <v>7</v>
      </c>
      <c r="G353" s="27" t="s">
        <v>8</v>
      </c>
      <c r="H353" s="27" t="s">
        <v>7</v>
      </c>
      <c r="M353" s="27" t="s">
        <v>8</v>
      </c>
      <c r="N353" s="27" t="s">
        <v>7</v>
      </c>
      <c r="U353" s="27" t="s">
        <v>8</v>
      </c>
      <c r="V353" s="27" t="s">
        <v>7</v>
      </c>
      <c r="Y353" s="27" t="s">
        <v>8</v>
      </c>
      <c r="Z353" s="27" t="s">
        <v>7</v>
      </c>
      <c r="AA353" s="27" t="s">
        <v>8</v>
      </c>
      <c r="AG353" s="31"/>
    </row>
    <row r="354" spans="1:33" x14ac:dyDescent="0.25">
      <c r="A354" s="30">
        <v>3.8407841968006963E-3</v>
      </c>
      <c r="B354"/>
      <c r="C354"/>
      <c r="D354"/>
      <c r="E354"/>
      <c r="F354" s="27" t="s">
        <v>7</v>
      </c>
      <c r="G354" s="27" t="s">
        <v>8</v>
      </c>
      <c r="H354" s="27" t="s">
        <v>7</v>
      </c>
      <c r="M354" s="27" t="s">
        <v>8</v>
      </c>
      <c r="N354" s="27" t="s">
        <v>7</v>
      </c>
      <c r="Q354" s="27" t="s">
        <v>8</v>
      </c>
      <c r="U354" s="27" t="s">
        <v>8</v>
      </c>
      <c r="V354" s="27" t="s">
        <v>7</v>
      </c>
      <c r="Y354" s="27" t="s">
        <v>8</v>
      </c>
      <c r="Z354" s="27" t="s">
        <v>7</v>
      </c>
      <c r="AA354" s="27" t="s">
        <v>8</v>
      </c>
      <c r="AF354" s="31"/>
    </row>
    <row r="355" spans="1:33" x14ac:dyDescent="0.25">
      <c r="A355" s="30">
        <v>3.6578897112387568E-3</v>
      </c>
      <c r="B355"/>
      <c r="C355"/>
      <c r="D355"/>
      <c r="E355"/>
      <c r="F355" s="27" t="s">
        <v>7</v>
      </c>
      <c r="G355" s="27" t="s">
        <v>8</v>
      </c>
      <c r="H355" s="27" t="s">
        <v>7</v>
      </c>
      <c r="M355" s="27" t="s">
        <v>8</v>
      </c>
      <c r="N355" s="27" t="s">
        <v>7</v>
      </c>
      <c r="O355" s="27" t="s">
        <v>8</v>
      </c>
      <c r="Q355" s="27" t="s">
        <v>8</v>
      </c>
      <c r="R355" s="27" t="s">
        <v>7</v>
      </c>
      <c r="S355" s="27" t="s">
        <v>8</v>
      </c>
      <c r="U355" s="27" t="s">
        <v>8</v>
      </c>
      <c r="V355" s="27" t="s">
        <v>7</v>
      </c>
      <c r="Y355" s="27" t="s">
        <v>8</v>
      </c>
      <c r="Z355" s="27" t="s">
        <v>7</v>
      </c>
      <c r="AE355" s="31"/>
    </row>
    <row r="356" spans="1:33" x14ac:dyDescent="0.25">
      <c r="A356" s="30">
        <v>3.4837044868940526E-3</v>
      </c>
      <c r="B356"/>
      <c r="C356"/>
      <c r="D356"/>
      <c r="E356"/>
      <c r="F356" s="27" t="s">
        <v>7</v>
      </c>
      <c r="G356" s="27" t="s">
        <v>8</v>
      </c>
      <c r="H356" s="27" t="s">
        <v>7</v>
      </c>
      <c r="M356" s="27" t="s">
        <v>8</v>
      </c>
      <c r="N356" s="27" t="s">
        <v>7</v>
      </c>
      <c r="O356" s="27" t="s">
        <v>8</v>
      </c>
      <c r="P356" s="27" t="s">
        <v>7</v>
      </c>
      <c r="Q356" s="27" t="s">
        <v>8</v>
      </c>
      <c r="R356" s="27" t="s">
        <v>7</v>
      </c>
      <c r="S356" s="27" t="s">
        <v>8</v>
      </c>
      <c r="T356" s="27" t="s">
        <v>7</v>
      </c>
      <c r="U356" s="27" t="s">
        <v>8</v>
      </c>
      <c r="V356" s="27" t="s">
        <v>7</v>
      </c>
      <c r="W356" s="27" t="s">
        <v>8</v>
      </c>
      <c r="Y356" s="27" t="s">
        <v>8</v>
      </c>
      <c r="AD356" s="31"/>
    </row>
    <row r="357" spans="1:33" x14ac:dyDescent="0.25">
      <c r="A357" s="30">
        <v>3.3178137970419535E-3</v>
      </c>
      <c r="B357"/>
      <c r="C357"/>
      <c r="D357"/>
      <c r="E357"/>
      <c r="F357" s="27" t="s">
        <v>7</v>
      </c>
      <c r="G357" s="27" t="s">
        <v>8</v>
      </c>
      <c r="H357" s="27" t="s">
        <v>7</v>
      </c>
      <c r="M357" s="27" t="s">
        <v>8</v>
      </c>
      <c r="N357" s="27" t="s">
        <v>7</v>
      </c>
      <c r="O357" s="27" t="s">
        <v>8</v>
      </c>
      <c r="P357" s="27" t="s">
        <v>7</v>
      </c>
      <c r="Q357" s="27" t="s">
        <v>8</v>
      </c>
      <c r="R357" s="27" t="s">
        <v>7</v>
      </c>
      <c r="S357" s="27" t="s">
        <v>8</v>
      </c>
      <c r="T357" s="27" t="s">
        <v>7</v>
      </c>
      <c r="U357" s="27" t="s">
        <v>8</v>
      </c>
      <c r="V357" s="27" t="s">
        <v>7</v>
      </c>
      <c r="W357" s="27" t="s">
        <v>8</v>
      </c>
      <c r="X357" s="27" t="s">
        <v>7</v>
      </c>
      <c r="Y357" s="27" t="s">
        <v>8</v>
      </c>
      <c r="AC357" s="31"/>
    </row>
    <row r="358" spans="1:33" x14ac:dyDescent="0.25">
      <c r="A358" s="30">
        <v>3.1598226638494781E-3</v>
      </c>
      <c r="B358"/>
      <c r="C358"/>
      <c r="D358"/>
      <c r="E358"/>
      <c r="F358" s="27" t="s">
        <v>7</v>
      </c>
      <c r="G358" s="27" t="s">
        <v>8</v>
      </c>
      <c r="H358" s="27" t="s">
        <v>7</v>
      </c>
      <c r="M358" s="27" t="s">
        <v>8</v>
      </c>
      <c r="N358" s="27" t="s">
        <v>7</v>
      </c>
      <c r="O358" s="27" t="s">
        <v>8</v>
      </c>
      <c r="P358" s="27" t="s">
        <v>7</v>
      </c>
      <c r="Q358" s="27" t="s">
        <v>8</v>
      </c>
      <c r="R358" s="27" t="s">
        <v>7</v>
      </c>
      <c r="T358" s="27" t="s">
        <v>7</v>
      </c>
      <c r="U358" s="27" t="s">
        <v>8</v>
      </c>
      <c r="V358" s="27" t="s">
        <v>7</v>
      </c>
      <c r="W358" s="27" t="s">
        <v>8</v>
      </c>
      <c r="X358" s="27" t="s">
        <v>7</v>
      </c>
      <c r="Y358" s="27" t="s">
        <v>8</v>
      </c>
      <c r="AB358" s="31"/>
    </row>
    <row r="359" spans="1:33" x14ac:dyDescent="0.25">
      <c r="A359" s="30">
        <v>3.0093549179518826E-3</v>
      </c>
      <c r="B359"/>
      <c r="C359"/>
      <c r="D359"/>
      <c r="E359"/>
      <c r="F359" s="27" t="s">
        <v>7</v>
      </c>
      <c r="G359" s="27" t="s">
        <v>8</v>
      </c>
      <c r="H359" s="27" t="s">
        <v>7</v>
      </c>
      <c r="M359" s="27" t="s">
        <v>8</v>
      </c>
      <c r="N359" s="27" t="s">
        <v>7</v>
      </c>
      <c r="O359" s="27" t="s">
        <v>8</v>
      </c>
      <c r="P359" s="27" t="s">
        <v>7</v>
      </c>
      <c r="T359" s="27" t="s">
        <v>7</v>
      </c>
      <c r="U359" s="27" t="s">
        <v>8</v>
      </c>
      <c r="V359" s="27" t="s">
        <v>7</v>
      </c>
      <c r="X359" s="27" t="s">
        <v>7</v>
      </c>
      <c r="AA359" s="31"/>
    </row>
    <row r="360" spans="1:33" x14ac:dyDescent="0.25">
      <c r="A360" s="30">
        <v>2.8660523028113155E-3</v>
      </c>
      <c r="B360"/>
      <c r="C360"/>
      <c r="D360"/>
      <c r="E360"/>
      <c r="F360" s="27" t="s">
        <v>7</v>
      </c>
      <c r="G360" s="27" t="s">
        <v>8</v>
      </c>
      <c r="H360" s="27" t="s">
        <v>7</v>
      </c>
      <c r="M360" s="27" t="s">
        <v>8</v>
      </c>
      <c r="N360" s="27" t="s">
        <v>7</v>
      </c>
      <c r="T360" s="27" t="s">
        <v>7</v>
      </c>
      <c r="U360" s="27" t="s">
        <v>8</v>
      </c>
      <c r="Z360" s="31"/>
    </row>
    <row r="361" spans="1:33" x14ac:dyDescent="0.25">
      <c r="A361" s="30">
        <v>2.7295736217250611E-3</v>
      </c>
      <c r="B361"/>
      <c r="C361"/>
      <c r="D361"/>
      <c r="E361"/>
      <c r="F361" s="27" t="s">
        <v>7</v>
      </c>
      <c r="G361" s="27" t="s">
        <v>8</v>
      </c>
      <c r="H361" s="27" t="s">
        <v>7</v>
      </c>
      <c r="M361" s="27" t="s">
        <v>8</v>
      </c>
      <c r="T361" s="27" t="s">
        <v>7</v>
      </c>
      <c r="U361" s="27" t="s">
        <v>8</v>
      </c>
      <c r="Y361" s="31"/>
    </row>
    <row r="362" spans="1:33" x14ac:dyDescent="0.25">
      <c r="A362" s="30">
        <v>2.5995939254524381E-3</v>
      </c>
      <c r="B362"/>
      <c r="C362"/>
      <c r="D362"/>
      <c r="E362"/>
      <c r="F362" s="27" t="s">
        <v>7</v>
      </c>
      <c r="G362" s="27" t="s">
        <v>8</v>
      </c>
      <c r="H362" s="27" t="s">
        <v>7</v>
      </c>
      <c r="K362" s="27" t="s">
        <v>8</v>
      </c>
      <c r="M362" s="27" t="s">
        <v>8</v>
      </c>
      <c r="T362" s="27" t="s">
        <v>7</v>
      </c>
      <c r="U362" s="27" t="s">
        <v>8</v>
      </c>
      <c r="X362" s="31"/>
    </row>
    <row r="363" spans="1:33" x14ac:dyDescent="0.25">
      <c r="A363" s="30">
        <v>2.4758037385261304E-3</v>
      </c>
      <c r="B363"/>
      <c r="C363"/>
      <c r="D363"/>
      <c r="E363"/>
      <c r="F363" s="27" t="s">
        <v>7</v>
      </c>
      <c r="G363" s="27" t="s">
        <v>8</v>
      </c>
      <c r="H363" s="27" t="s">
        <v>7</v>
      </c>
      <c r="K363" s="27" t="s">
        <v>8</v>
      </c>
      <c r="L363" s="27" t="s">
        <v>7</v>
      </c>
      <c r="M363" s="27" t="s">
        <v>8</v>
      </c>
      <c r="T363" s="27" t="s">
        <v>7</v>
      </c>
      <c r="W363" s="31"/>
    </row>
    <row r="364" spans="1:33" x14ac:dyDescent="0.25">
      <c r="A364" s="30">
        <v>2.3579083224058374E-3</v>
      </c>
      <c r="B364"/>
      <c r="C364"/>
      <c r="D364"/>
      <c r="E364"/>
      <c r="F364" s="27" t="s">
        <v>7</v>
      </c>
      <c r="G364" s="27" t="s">
        <v>8</v>
      </c>
      <c r="H364" s="27" t="s">
        <v>7</v>
      </c>
      <c r="K364" s="27" t="s">
        <v>8</v>
      </c>
      <c r="L364" s="27" t="s">
        <v>7</v>
      </c>
      <c r="M364" s="27" t="s">
        <v>8</v>
      </c>
      <c r="V364" s="31"/>
    </row>
    <row r="365" spans="1:33" x14ac:dyDescent="0.25">
      <c r="A365" s="30">
        <v>2.245626973719844E-3</v>
      </c>
      <c r="B365"/>
      <c r="C365"/>
      <c r="D365"/>
      <c r="E365"/>
      <c r="F365" s="27" t="s">
        <v>7</v>
      </c>
      <c r="G365" s="27" t="s">
        <v>8</v>
      </c>
      <c r="H365" s="27" t="s">
        <v>7</v>
      </c>
      <c r="K365" s="27" t="s">
        <v>8</v>
      </c>
      <c r="L365" s="27" t="s">
        <v>7</v>
      </c>
      <c r="U365" s="31"/>
    </row>
    <row r="366" spans="1:33" x14ac:dyDescent="0.25">
      <c r="A366" s="30">
        <v>2.1386923559236601E-3</v>
      </c>
      <c r="B366"/>
      <c r="C366"/>
      <c r="D366"/>
      <c r="E366"/>
      <c r="F366" s="27" t="s">
        <v>7</v>
      </c>
      <c r="G366" s="27" t="s">
        <v>8</v>
      </c>
      <c r="H366" s="27" t="s">
        <v>7</v>
      </c>
      <c r="K366" s="27" t="s">
        <v>8</v>
      </c>
      <c r="T366" s="31"/>
    </row>
    <row r="367" spans="1:33" x14ac:dyDescent="0.25">
      <c r="A367" s="30">
        <v>2.0368498627844375E-3</v>
      </c>
      <c r="B367"/>
      <c r="C367"/>
      <c r="D367"/>
      <c r="E367"/>
      <c r="F367" s="27" t="s">
        <v>7</v>
      </c>
      <c r="H367" s="27" t="s">
        <v>7</v>
      </c>
      <c r="K367" s="27" t="s">
        <v>8</v>
      </c>
      <c r="S367" s="31"/>
    </row>
    <row r="368" spans="1:33" x14ac:dyDescent="0.25">
      <c r="A368" s="30">
        <v>1.9398570121756541E-3</v>
      </c>
      <c r="B368"/>
      <c r="C368"/>
      <c r="D368"/>
      <c r="E368"/>
      <c r="H368" s="27" t="s">
        <v>7</v>
      </c>
      <c r="K368" s="27" t="s">
        <v>8</v>
      </c>
      <c r="R368" s="31"/>
    </row>
    <row r="369" spans="1:17" x14ac:dyDescent="0.25">
      <c r="A369" s="30">
        <v>1.8474828687387174E-3</v>
      </c>
      <c r="B369"/>
      <c r="C369"/>
      <c r="D369"/>
      <c r="E369"/>
      <c r="H369" s="27" t="s">
        <v>7</v>
      </c>
      <c r="K369" s="27" t="s">
        <v>8</v>
      </c>
      <c r="Q369" s="31"/>
    </row>
    <row r="370" spans="1:17" x14ac:dyDescent="0.25">
      <c r="A370" s="30">
        <v>1.759507494036873E-3</v>
      </c>
      <c r="B370"/>
      <c r="C370"/>
      <c r="D370"/>
      <c r="E370"/>
      <c r="H370" s="27" t="s">
        <v>7</v>
      </c>
      <c r="I370" s="27" t="s">
        <v>8</v>
      </c>
      <c r="K370" s="27" t="s">
        <v>8</v>
      </c>
      <c r="P370" s="31"/>
    </row>
    <row r="371" spans="1:17" x14ac:dyDescent="0.25">
      <c r="A371" s="30">
        <v>1.6757214228922594E-3</v>
      </c>
      <c r="B371"/>
      <c r="C371"/>
      <c r="D371"/>
      <c r="E371"/>
      <c r="H371" s="27" t="s">
        <v>7</v>
      </c>
      <c r="I371" s="27" t="s">
        <v>8</v>
      </c>
      <c r="J371" s="27" t="s">
        <v>7</v>
      </c>
      <c r="K371" s="27" t="s">
        <v>8</v>
      </c>
      <c r="O371" s="31"/>
    </row>
    <row r="372" spans="1:17" x14ac:dyDescent="0.25">
      <c r="A372" s="30">
        <v>1.595925164659294E-3</v>
      </c>
      <c r="B372"/>
      <c r="C372"/>
      <c r="D372"/>
      <c r="E372"/>
      <c r="H372" s="27" t="s">
        <v>7</v>
      </c>
      <c r="I372" s="27" t="s">
        <v>8</v>
      </c>
      <c r="J372" s="27" t="s">
        <v>7</v>
      </c>
      <c r="K372" s="27" t="s">
        <v>8</v>
      </c>
      <c r="N372" s="31"/>
    </row>
    <row r="373" spans="1:17" x14ac:dyDescent="0.25">
      <c r="A373" s="30">
        <v>1.5199287282469461E-3</v>
      </c>
      <c r="B373"/>
      <c r="C373"/>
      <c r="D373"/>
      <c r="E373"/>
      <c r="H373" s="27" t="s">
        <v>7</v>
      </c>
      <c r="I373" s="27" t="s">
        <v>8</v>
      </c>
      <c r="J373" s="27" t="s">
        <v>7</v>
      </c>
      <c r="K373" s="27" t="s">
        <v>8</v>
      </c>
      <c r="M373" s="31"/>
    </row>
    <row r="374" spans="1:17" x14ac:dyDescent="0.25">
      <c r="A374" s="30">
        <v>1.4475511697589958E-3</v>
      </c>
      <c r="B374"/>
      <c r="C374"/>
      <c r="D374"/>
      <c r="E374"/>
      <c r="H374" s="27" t="s">
        <v>7</v>
      </c>
      <c r="I374" s="27" t="s">
        <v>8</v>
      </c>
      <c r="J374" s="27" t="s">
        <v>7</v>
      </c>
      <c r="K374" s="27" t="s">
        <v>8</v>
      </c>
      <c r="L374" s="31"/>
    </row>
    <row r="375" spans="1:17" x14ac:dyDescent="0.25">
      <c r="A375" s="30">
        <v>1.3786201616752334E-3</v>
      </c>
      <c r="B375"/>
      <c r="C375"/>
      <c r="D375"/>
      <c r="E375"/>
      <c r="H375" s="27" t="s">
        <v>7</v>
      </c>
      <c r="I375" s="27" t="s">
        <v>8</v>
      </c>
      <c r="J375" s="27" t="s">
        <v>7</v>
      </c>
      <c r="K375" s="31"/>
    </row>
    <row r="376" spans="1:17" x14ac:dyDescent="0.25">
      <c r="A376" s="30">
        <v>1.3129715825478407E-3</v>
      </c>
      <c r="B376"/>
      <c r="C376"/>
      <c r="D376"/>
      <c r="E376"/>
      <c r="H376" s="27" t="s">
        <v>7</v>
      </c>
      <c r="I376" s="27" t="s">
        <v>8</v>
      </c>
      <c r="J376" s="31"/>
    </row>
    <row r="377" spans="1:17" x14ac:dyDescent="0.25">
      <c r="A377" s="30">
        <v>1.2504491262360382E-3</v>
      </c>
      <c r="B377"/>
      <c r="C377"/>
      <c r="D377"/>
      <c r="E377"/>
      <c r="H377" s="27" t="s">
        <v>7</v>
      </c>
      <c r="I377" s="31" t="s">
        <v>8</v>
      </c>
    </row>
    <row r="378" spans="1:17" x14ac:dyDescent="0.25">
      <c r="A378" s="30">
        <v>1.1909039297486072E-3</v>
      </c>
      <c r="B378"/>
      <c r="C378"/>
      <c r="D378"/>
      <c r="E378"/>
      <c r="H378" s="31" t="s">
        <v>7</v>
      </c>
    </row>
    <row r="379" spans="1:17" x14ac:dyDescent="0.25">
      <c r="A379" s="30">
        <v>1.1341942188081969E-3</v>
      </c>
      <c r="B379"/>
      <c r="C379"/>
      <c r="D379"/>
      <c r="E379"/>
    </row>
    <row r="380" spans="1:17" x14ac:dyDescent="0.25">
      <c r="A380" s="30">
        <v>1.0801849702935203E-3</v>
      </c>
      <c r="B380"/>
      <c r="C380"/>
      <c r="D380"/>
      <c r="E380"/>
    </row>
    <row r="381" spans="1:17" x14ac:dyDescent="0.25">
      <c r="A381" s="30">
        <v>1.0287475907557332E-3</v>
      </c>
      <c r="B381"/>
      <c r="C381"/>
      <c r="D381"/>
      <c r="E381"/>
    </row>
    <row r="382" spans="1:17" x14ac:dyDescent="0.25">
      <c r="A382" s="30">
        <v>9.7731021121794646E-4</v>
      </c>
    </row>
    <row r="383" spans="1:17" x14ac:dyDescent="0.25">
      <c r="A383" s="30">
        <v>9.2844470065704904E-4</v>
      </c>
    </row>
    <row r="384" spans="1:17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31" zoomScale="90" zoomScaleNormal="90" workbookViewId="0">
      <pane xSplit="4" topLeftCell="G1" activePane="topRight" state="frozen"/>
      <selection activeCell="A109" sqref="A109"/>
      <selection pane="topRight" activeCell="AV143" sqref="AV14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$A$142</v>
      </c>
      <c r="D111" s="1" t="str">
        <f>ADDRESS(C121-1,D121,1,1)</f>
        <v>$AV$142</v>
      </c>
      <c r="E111"/>
    </row>
    <row r="112" spans="1:5" x14ac:dyDescent="0.25">
      <c r="A112" s="30">
        <v>2.3579476910000019</v>
      </c>
      <c r="C112" s="1" t="str">
        <f>ADDRESS(C121,1,1,1)</f>
        <v>$A$143</v>
      </c>
      <c r="D112" s="1" t="str">
        <f>ADDRESS(C121,D121-1,1,1)</f>
        <v>$AU$143</v>
      </c>
      <c r="E112"/>
    </row>
    <row r="113" spans="1:34" x14ac:dyDescent="0.25">
      <c r="A113" s="30">
        <v>2.1435888100000016</v>
      </c>
      <c r="C113" s="1" t="str">
        <f>ADDRESS(C121+1,1,1,1)</f>
        <v>$A$144</v>
      </c>
      <c r="D113" s="1" t="str">
        <f>ADDRESS(C121-1,D121+1,1,1)</f>
        <v>$AW$142</v>
      </c>
    </row>
    <row r="114" spans="1:34" x14ac:dyDescent="0.25">
      <c r="A114" s="30">
        <v>1.9487171000000014</v>
      </c>
      <c r="C114" s="1" t="str">
        <f>ADDRESS(C121,D121,1,1)</f>
        <v>$AV$143</v>
      </c>
      <c r="D114" s="1" t="str">
        <f>ADDRESS(C121+1,D121+1,1,1)</f>
        <v>$AW$144</v>
      </c>
    </row>
    <row r="115" spans="1:34" x14ac:dyDescent="0.25">
      <c r="A115" s="30">
        <v>1.7715610000000011</v>
      </c>
      <c r="C115" s="1" t="str">
        <f>ADDRESS(C121+1,D121,1,1)</f>
        <v>$AV$144</v>
      </c>
    </row>
    <row r="116" spans="1:34" x14ac:dyDescent="0.25">
      <c r="A116" s="30">
        <v>1.6105100000000008</v>
      </c>
      <c r="C116" s="1">
        <f>C117-1</f>
        <v>142</v>
      </c>
    </row>
    <row r="117" spans="1:34" x14ac:dyDescent="0.25">
      <c r="A117" s="30">
        <v>1.4641000000000006</v>
      </c>
      <c r="C117" s="1">
        <f>C121</f>
        <v>143</v>
      </c>
      <c r="D117" s="1">
        <f>D121</f>
        <v>48</v>
      </c>
    </row>
    <row r="118" spans="1:34" x14ac:dyDescent="0.25">
      <c r="A118" s="30">
        <v>1.3310000000000004</v>
      </c>
      <c r="C118" s="1">
        <f>C117+1</f>
        <v>144</v>
      </c>
      <c r="D118" s="1">
        <f>D117+1</f>
        <v>49</v>
      </c>
    </row>
    <row r="119" spans="1:34" x14ac:dyDescent="0.25">
      <c r="A119" s="30">
        <v>1.2100000000000002</v>
      </c>
    </row>
    <row r="120" spans="1:34" x14ac:dyDescent="0.25">
      <c r="A120" s="30">
        <v>1.1000000000000001</v>
      </c>
      <c r="C120" s="1" t="s">
        <v>9</v>
      </c>
    </row>
    <row r="121" spans="1:34" x14ac:dyDescent="0.25">
      <c r="A121" s="30">
        <v>1</v>
      </c>
      <c r="C121" s="18">
        <v>143</v>
      </c>
      <c r="D121" s="19">
        <v>48</v>
      </c>
      <c r="E121" s="18" t="s">
        <v>8</v>
      </c>
    </row>
    <row r="122" spans="1:34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34" x14ac:dyDescent="0.25">
      <c r="A123" s="30">
        <v>0.82644628099173523</v>
      </c>
      <c r="C123" s="1" t="str">
        <f>"R"&amp;C121</f>
        <v>R143</v>
      </c>
      <c r="D123" s="1" t="str">
        <f>"C"&amp;D121</f>
        <v>C48</v>
      </c>
      <c r="F123" s="27" t="s">
        <v>7</v>
      </c>
    </row>
    <row r="124" spans="1:3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34" x14ac:dyDescent="0.25">
      <c r="A125" s="30">
        <v>0.68301345536507019</v>
      </c>
      <c r="F125" s="27" t="s">
        <v>7</v>
      </c>
      <c r="AC125" s="27" t="s">
        <v>8</v>
      </c>
    </row>
    <row r="126" spans="1:34" x14ac:dyDescent="0.25">
      <c r="A126" s="30">
        <v>0.6209213230591546</v>
      </c>
      <c r="C126" s="1" t="s">
        <v>10</v>
      </c>
      <c r="F126" s="27" t="s">
        <v>7</v>
      </c>
      <c r="AC126" s="27" t="s">
        <v>8</v>
      </c>
      <c r="AD126" s="27" t="s">
        <v>7</v>
      </c>
    </row>
    <row r="127" spans="1:34" x14ac:dyDescent="0.25">
      <c r="A127" s="30">
        <v>0.56447393005377677</v>
      </c>
      <c r="C127" s="30">
        <v>0.12284597357367205</v>
      </c>
      <c r="D127"/>
      <c r="F127" s="27" t="s">
        <v>7</v>
      </c>
      <c r="AC127" s="27" t="s">
        <v>8</v>
      </c>
      <c r="AD127" s="27" t="s">
        <v>7</v>
      </c>
      <c r="AE127" s="27" t="s">
        <v>8</v>
      </c>
      <c r="AG127" s="31" t="s">
        <v>8</v>
      </c>
    </row>
    <row r="128" spans="1:34" x14ac:dyDescent="0.25">
      <c r="A128" s="30">
        <v>0.51315811823070612</v>
      </c>
      <c r="F128" s="27" t="s">
        <v>7</v>
      </c>
      <c r="AC128" s="27" t="s">
        <v>8</v>
      </c>
      <c r="AD128" s="27" t="s">
        <v>7</v>
      </c>
      <c r="AE128" s="27" t="s">
        <v>8</v>
      </c>
      <c r="AF128" s="27" t="s">
        <v>7</v>
      </c>
      <c r="AG128" s="27" t="s">
        <v>8</v>
      </c>
      <c r="AH128" s="31" t="s">
        <v>7</v>
      </c>
    </row>
    <row r="129" spans="1:4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C129" s="27" t="s">
        <v>8</v>
      </c>
      <c r="AD129" s="27" t="s">
        <v>7</v>
      </c>
      <c r="AE129" s="27" t="s">
        <v>8</v>
      </c>
      <c r="AF129" s="27" t="s">
        <v>7</v>
      </c>
      <c r="AG129" s="27" t="s">
        <v>8</v>
      </c>
      <c r="AH129" s="27" t="s">
        <v>7</v>
      </c>
      <c r="AI129" s="31"/>
    </row>
    <row r="130" spans="1:48" x14ac:dyDescent="0.25">
      <c r="A130" s="30">
        <v>0.42409761837248428</v>
      </c>
      <c r="C130" s="6"/>
      <c r="D130" s="6"/>
      <c r="E130"/>
      <c r="F130" s="27" t="s">
        <v>7</v>
      </c>
      <c r="Y130" s="27" t="s">
        <v>8</v>
      </c>
      <c r="AA130" s="27" t="s">
        <v>8</v>
      </c>
      <c r="AC130" s="27" t="s">
        <v>8</v>
      </c>
      <c r="AD130" s="27" t="s">
        <v>7</v>
      </c>
      <c r="AF130" s="27" t="s">
        <v>7</v>
      </c>
      <c r="AG130" s="27" t="s">
        <v>8</v>
      </c>
      <c r="AH130" s="27" t="s">
        <v>7</v>
      </c>
      <c r="AI130" s="27" t="s">
        <v>8</v>
      </c>
      <c r="AJ130" s="31"/>
      <c r="AK130" s="27" t="s">
        <v>8</v>
      </c>
    </row>
    <row r="131" spans="1:48" x14ac:dyDescent="0.25">
      <c r="A131" s="30">
        <v>0.38554328942953109</v>
      </c>
      <c r="E131"/>
      <c r="F131" s="27" t="s">
        <v>7</v>
      </c>
      <c r="Y131" s="27" t="s">
        <v>8</v>
      </c>
      <c r="Z131" s="27" t="s">
        <v>7</v>
      </c>
      <c r="AA131" s="27" t="s">
        <v>8</v>
      </c>
      <c r="AB131" s="27" t="s">
        <v>7</v>
      </c>
      <c r="AC131" s="27" t="s">
        <v>8</v>
      </c>
      <c r="AF131" s="27" t="s">
        <v>7</v>
      </c>
      <c r="AH131" s="27" t="s">
        <v>7</v>
      </c>
      <c r="AI131" s="27" t="s">
        <v>8</v>
      </c>
      <c r="AJ131" s="27" t="s">
        <v>7</v>
      </c>
      <c r="AK131" s="31" t="s">
        <v>8</v>
      </c>
      <c r="AL131" s="31" t="s">
        <v>7</v>
      </c>
    </row>
    <row r="132" spans="1:48" x14ac:dyDescent="0.25">
      <c r="A132" s="30">
        <v>0.35049389948139187</v>
      </c>
      <c r="C132" s="1" t="s">
        <v>13</v>
      </c>
      <c r="E132"/>
      <c r="F132" s="27" t="s">
        <v>7</v>
      </c>
      <c r="Y132" s="27" t="s">
        <v>8</v>
      </c>
      <c r="Z132" s="27" t="s">
        <v>7</v>
      </c>
      <c r="AA132" s="27" t="s">
        <v>8</v>
      </c>
      <c r="AB132" s="27" t="s">
        <v>7</v>
      </c>
      <c r="AC132" s="27" t="s">
        <v>8</v>
      </c>
      <c r="AH132" s="27" t="s">
        <v>7</v>
      </c>
      <c r="AI132" s="27" t="s">
        <v>8</v>
      </c>
      <c r="AJ132" s="27" t="s">
        <v>7</v>
      </c>
      <c r="AK132" s="27" t="s">
        <v>8</v>
      </c>
      <c r="AL132" s="27" t="s">
        <v>7</v>
      </c>
      <c r="AM132" s="31"/>
      <c r="AO132" s="27" t="s">
        <v>8</v>
      </c>
    </row>
    <row r="133" spans="1:48" x14ac:dyDescent="0.25">
      <c r="A133" s="30">
        <v>0.31863081771035617</v>
      </c>
      <c r="C133" s="1" t="str">
        <f>C122</f>
        <v>O</v>
      </c>
      <c r="E133"/>
      <c r="F133" s="27" t="s">
        <v>7</v>
      </c>
      <c r="Y133" s="27" t="s">
        <v>8</v>
      </c>
      <c r="Z133" s="27" t="s">
        <v>7</v>
      </c>
      <c r="AA133" s="27" t="s">
        <v>8</v>
      </c>
      <c r="AB133" s="27" t="s">
        <v>7</v>
      </c>
      <c r="AC133" s="27" t="s">
        <v>8</v>
      </c>
      <c r="AH133" s="27" t="s">
        <v>7</v>
      </c>
      <c r="AI133" s="27" t="s">
        <v>8</v>
      </c>
      <c r="AJ133" s="27" t="s">
        <v>7</v>
      </c>
      <c r="AK133" s="27" t="s">
        <v>8</v>
      </c>
      <c r="AL133" s="27" t="s">
        <v>7</v>
      </c>
      <c r="AN133" s="31"/>
      <c r="AO133" s="27" t="s">
        <v>8</v>
      </c>
      <c r="AP133" s="27" t="s">
        <v>7</v>
      </c>
      <c r="AQ133" s="27" t="s">
        <v>8</v>
      </c>
    </row>
    <row r="134" spans="1:48" x14ac:dyDescent="0.25">
      <c r="A134" s="30">
        <v>0.28966437973668741</v>
      </c>
      <c r="C134"/>
      <c r="D134"/>
      <c r="E134"/>
      <c r="F134" s="27" t="s">
        <v>7</v>
      </c>
      <c r="Y134" s="27" t="s">
        <v>8</v>
      </c>
      <c r="Z134" s="27" t="s">
        <v>7</v>
      </c>
      <c r="AA134" s="27" t="s">
        <v>8</v>
      </c>
      <c r="AB134" s="27" t="s">
        <v>7</v>
      </c>
      <c r="AC134" s="27" t="s">
        <v>8</v>
      </c>
      <c r="AH134" s="27" t="s">
        <v>7</v>
      </c>
      <c r="AI134" s="27" t="s">
        <v>8</v>
      </c>
      <c r="AJ134" s="27" t="s">
        <v>7</v>
      </c>
      <c r="AK134" s="27" t="s">
        <v>8</v>
      </c>
      <c r="AL134" s="27" t="s">
        <v>7</v>
      </c>
      <c r="AO134" s="31" t="s">
        <v>8</v>
      </c>
      <c r="AP134" s="27" t="s">
        <v>7</v>
      </c>
      <c r="AQ134" s="27" t="s">
        <v>8</v>
      </c>
      <c r="AR134" s="27" t="s">
        <v>7</v>
      </c>
    </row>
    <row r="135" spans="1:48" x14ac:dyDescent="0.25">
      <c r="A135" s="30">
        <v>0.2633312543060794</v>
      </c>
      <c r="C135" s="1" t="s">
        <v>14</v>
      </c>
      <c r="E135"/>
      <c r="F135" s="27" t="s">
        <v>7</v>
      </c>
      <c r="Y135" s="27" t="s">
        <v>8</v>
      </c>
      <c r="Z135" s="27" t="s">
        <v>7</v>
      </c>
      <c r="AA135" s="27" t="s">
        <v>8</v>
      </c>
      <c r="AB135" s="27" t="s">
        <v>7</v>
      </c>
      <c r="AC135" s="27" t="s">
        <v>8</v>
      </c>
      <c r="AH135" s="27" t="s">
        <v>7</v>
      </c>
      <c r="AI135" s="27" t="s">
        <v>8</v>
      </c>
      <c r="AJ135" s="27" t="s">
        <v>7</v>
      </c>
      <c r="AL135" s="27" t="s">
        <v>7</v>
      </c>
      <c r="AM135" s="27" t="s">
        <v>8</v>
      </c>
      <c r="AO135" s="27" t="s">
        <v>8</v>
      </c>
      <c r="AP135" s="31" t="s">
        <v>7</v>
      </c>
      <c r="AQ135" s="27" t="s">
        <v>8</v>
      </c>
      <c r="AR135" s="27" t="s">
        <v>7</v>
      </c>
    </row>
    <row r="136" spans="1:4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Y136" s="27" t="s">
        <v>8</v>
      </c>
      <c r="Z136" s="27" t="s">
        <v>7</v>
      </c>
      <c r="AB136" s="27" t="s">
        <v>7</v>
      </c>
      <c r="AC136" s="27" t="s">
        <v>8</v>
      </c>
      <c r="AH136" s="27" t="s">
        <v>7</v>
      </c>
      <c r="AI136" s="27" t="s">
        <v>8</v>
      </c>
      <c r="AL136" s="27" t="s">
        <v>7</v>
      </c>
      <c r="AM136" s="27" t="s">
        <v>8</v>
      </c>
      <c r="AN136" s="27" t="s">
        <v>7</v>
      </c>
      <c r="AO136" s="27" t="s">
        <v>8</v>
      </c>
      <c r="AP136" s="27" t="s">
        <v>7</v>
      </c>
      <c r="AQ136" s="19" t="s">
        <v>8</v>
      </c>
      <c r="AR136" s="27" t="s">
        <v>7</v>
      </c>
    </row>
    <row r="137" spans="1:48" x14ac:dyDescent="0.25">
      <c r="A137" s="30">
        <v>0.2176291357901482</v>
      </c>
      <c r="E137"/>
      <c r="F137" s="27" t="s">
        <v>7</v>
      </c>
      <c r="Y137" s="27" t="s">
        <v>8</v>
      </c>
      <c r="AB137" s="27" t="s">
        <v>7</v>
      </c>
      <c r="AC137" s="27" t="s">
        <v>8</v>
      </c>
      <c r="AH137" s="27" t="s">
        <v>7</v>
      </c>
      <c r="AL137" s="27" t="s">
        <v>7</v>
      </c>
      <c r="AM137" s="27" t="s">
        <v>8</v>
      </c>
      <c r="AN137" s="27" t="s">
        <v>7</v>
      </c>
      <c r="AO137" s="27" t="s">
        <v>8</v>
      </c>
      <c r="AP137" s="27" t="s">
        <v>7</v>
      </c>
      <c r="AQ137" s="27" t="s">
        <v>8</v>
      </c>
      <c r="AR137" s="19" t="s">
        <v>7</v>
      </c>
      <c r="AS137" s="27" t="s">
        <v>8</v>
      </c>
    </row>
    <row r="138" spans="1:4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Y138" s="27" t="s">
        <v>8</v>
      </c>
      <c r="AB138" s="27" t="s">
        <v>7</v>
      </c>
      <c r="AC138" s="27" t="s">
        <v>8</v>
      </c>
      <c r="AL138" s="27" t="s">
        <v>7</v>
      </c>
      <c r="AM138" s="27" t="s">
        <v>8</v>
      </c>
      <c r="AN138" s="27" t="s">
        <v>7</v>
      </c>
      <c r="AO138" s="27" t="s">
        <v>8</v>
      </c>
      <c r="AP138" s="27" t="s">
        <v>7</v>
      </c>
      <c r="AR138" s="27" t="s">
        <v>7</v>
      </c>
      <c r="AS138" s="27" t="s">
        <v>8</v>
      </c>
      <c r="AT138" s="27" t="s">
        <v>7</v>
      </c>
      <c r="AU138" s="27" t="s">
        <v>8</v>
      </c>
    </row>
    <row r="139" spans="1:48" x14ac:dyDescent="0.25">
      <c r="A139" s="30">
        <v>0.17985878990921333</v>
      </c>
      <c r="E139"/>
      <c r="F139" s="27" t="s">
        <v>7</v>
      </c>
      <c r="Y139" s="27" t="s">
        <v>8</v>
      </c>
      <c r="AB139" s="27" t="s">
        <v>7</v>
      </c>
      <c r="AC139" s="27" t="s">
        <v>8</v>
      </c>
      <c r="AL139" s="27" t="s">
        <v>7</v>
      </c>
      <c r="AM139" s="27" t="s">
        <v>8</v>
      </c>
      <c r="AN139" s="18" t="s">
        <v>7</v>
      </c>
      <c r="AO139" s="27" t="s">
        <v>8</v>
      </c>
      <c r="AR139" s="27" t="s">
        <v>7</v>
      </c>
      <c r="AS139" s="27" t="s">
        <v>8</v>
      </c>
      <c r="AT139" s="27" t="s">
        <v>7</v>
      </c>
      <c r="AU139" s="27" t="s">
        <v>8</v>
      </c>
      <c r="AV139" s="27" t="s">
        <v>7</v>
      </c>
    </row>
    <row r="140" spans="1:48" x14ac:dyDescent="0.25">
      <c r="A140" s="30">
        <v>0.16350799082655756</v>
      </c>
      <c r="C140" s="1">
        <v>0</v>
      </c>
      <c r="E140"/>
      <c r="F140" s="27" t="s">
        <v>7</v>
      </c>
      <c r="Y140" s="27" t="s">
        <v>8</v>
      </c>
      <c r="AB140" s="27" t="s">
        <v>7</v>
      </c>
      <c r="AL140" s="27" t="s">
        <v>7</v>
      </c>
      <c r="AN140" s="27" t="s">
        <v>7</v>
      </c>
      <c r="AR140" s="27" t="s">
        <v>7</v>
      </c>
      <c r="AS140" s="27" t="s">
        <v>8</v>
      </c>
      <c r="AT140" s="27" t="s">
        <v>7</v>
      </c>
      <c r="AU140" s="27" t="s">
        <v>8</v>
      </c>
      <c r="AV140" s="27" t="s">
        <v>7</v>
      </c>
    </row>
    <row r="141" spans="1:48" x14ac:dyDescent="0.25">
      <c r="A141" s="30">
        <v>0.14864362802414322</v>
      </c>
      <c r="C141" s="1">
        <v>1</v>
      </c>
      <c r="E141"/>
      <c r="F141" s="27" t="s">
        <v>7</v>
      </c>
      <c r="Y141" s="27" t="s">
        <v>8</v>
      </c>
      <c r="AR141" s="27" t="s">
        <v>7</v>
      </c>
      <c r="AS141" s="27" t="s">
        <v>8</v>
      </c>
      <c r="AT141" s="27" t="s">
        <v>7</v>
      </c>
      <c r="AV141" s="27" t="s">
        <v>7</v>
      </c>
    </row>
    <row r="142" spans="1:48" x14ac:dyDescent="0.25">
      <c r="A142" s="30">
        <v>0.13513057093103928</v>
      </c>
      <c r="C142" s="1">
        <v>2</v>
      </c>
      <c r="E142"/>
      <c r="F142" s="27" t="s">
        <v>7</v>
      </c>
      <c r="Y142" s="27" t="s">
        <v>8</v>
      </c>
      <c r="AR142" s="27" t="s">
        <v>7</v>
      </c>
      <c r="AV142" s="27" t="s">
        <v>7</v>
      </c>
    </row>
    <row r="143" spans="1:48" x14ac:dyDescent="0.25">
      <c r="A143" s="30">
        <v>0.12284597357367205</v>
      </c>
      <c r="C143" s="1">
        <v>3</v>
      </c>
      <c r="E143"/>
      <c r="F143" s="27" t="s">
        <v>7</v>
      </c>
      <c r="Y143" s="27" t="s">
        <v>8</v>
      </c>
      <c r="AV143" s="27" t="s">
        <v>7</v>
      </c>
    </row>
    <row r="144" spans="1:48" x14ac:dyDescent="0.25">
      <c r="A144" s="30">
        <v>0.11167815779424731</v>
      </c>
      <c r="C144" s="1">
        <v>4</v>
      </c>
      <c r="E144"/>
      <c r="F144" s="27" t="s">
        <v>7</v>
      </c>
      <c r="Y144" s="27" t="s">
        <v>8</v>
      </c>
    </row>
    <row r="145" spans="1:49" x14ac:dyDescent="0.25">
      <c r="A145" s="30">
        <v>0.10152559799477026</v>
      </c>
      <c r="B145"/>
      <c r="C145"/>
      <c r="D145"/>
      <c r="E145"/>
      <c r="F145" s="27" t="s">
        <v>7</v>
      </c>
      <c r="Y145" s="27" t="s">
        <v>8</v>
      </c>
    </row>
    <row r="146" spans="1:49" x14ac:dyDescent="0.25">
      <c r="A146" s="30">
        <v>9.2295998177063854E-2</v>
      </c>
      <c r="B146"/>
      <c r="C146"/>
      <c r="D146"/>
      <c r="E146"/>
      <c r="F146" s="27" t="s">
        <v>7</v>
      </c>
      <c r="Y146" s="27" t="s">
        <v>8</v>
      </c>
    </row>
    <row r="147" spans="1:49" x14ac:dyDescent="0.25">
      <c r="A147" s="30">
        <v>8.3905452888239848E-2</v>
      </c>
      <c r="B147"/>
      <c r="C147"/>
      <c r="D147"/>
      <c r="E147"/>
      <c r="F147" s="27" t="s">
        <v>7</v>
      </c>
      <c r="S147" s="27" t="s">
        <v>8</v>
      </c>
      <c r="W147" s="27" t="s">
        <v>8</v>
      </c>
      <c r="Y147" s="27" t="s">
        <v>8</v>
      </c>
    </row>
    <row r="148" spans="1:49" x14ac:dyDescent="0.25">
      <c r="A148" s="30">
        <v>7.6277684443854396E-2</v>
      </c>
      <c r="B148"/>
      <c r="C148"/>
      <c r="D148"/>
      <c r="E148"/>
      <c r="F148" s="27" t="s">
        <v>7</v>
      </c>
      <c r="S148" s="27" t="s">
        <v>8</v>
      </c>
      <c r="T148" s="27" t="s">
        <v>7</v>
      </c>
      <c r="W148" s="27" t="s">
        <v>8</v>
      </c>
      <c r="X148" s="27" t="s">
        <v>7</v>
      </c>
      <c r="Y148" s="27" t="s">
        <v>8</v>
      </c>
    </row>
    <row r="149" spans="1:49" x14ac:dyDescent="0.25">
      <c r="A149" s="30">
        <v>6.9343349494413078E-2</v>
      </c>
      <c r="B149"/>
      <c r="C149"/>
      <c r="D149"/>
      <c r="E149"/>
      <c r="F149" s="27" t="s">
        <v>7</v>
      </c>
      <c r="S149" s="27" t="s">
        <v>8</v>
      </c>
      <c r="T149" s="27" t="s">
        <v>7</v>
      </c>
      <c r="W149" s="27" t="s">
        <v>8</v>
      </c>
      <c r="X149" s="27" t="s">
        <v>7</v>
      </c>
      <c r="Y149" s="27" t="s">
        <v>8</v>
      </c>
    </row>
    <row r="150" spans="1:49" x14ac:dyDescent="0.25">
      <c r="A150" s="30">
        <v>6.3039408631284613E-2</v>
      </c>
      <c r="B150"/>
      <c r="C150"/>
      <c r="D150"/>
      <c r="E150"/>
      <c r="F150" s="27" t="s">
        <v>7</v>
      </c>
      <c r="S150" s="27" t="s">
        <v>8</v>
      </c>
      <c r="T150" s="27" t="s">
        <v>7</v>
      </c>
      <c r="W150" s="27" t="s">
        <v>8</v>
      </c>
      <c r="X150" s="27" t="s">
        <v>7</v>
      </c>
      <c r="Y150" s="27" t="s">
        <v>8</v>
      </c>
    </row>
    <row r="151" spans="1:49" x14ac:dyDescent="0.25">
      <c r="A151" s="30">
        <v>5.7308553301167818E-2</v>
      </c>
      <c r="B151"/>
      <c r="C151"/>
      <c r="D151"/>
      <c r="E151"/>
      <c r="F151" s="27" t="s">
        <v>7</v>
      </c>
      <c r="S151" s="27" t="s">
        <v>8</v>
      </c>
      <c r="T151" s="27" t="s">
        <v>7</v>
      </c>
      <c r="W151" s="27" t="s">
        <v>8</v>
      </c>
      <c r="X151" s="27" t="s">
        <v>7</v>
      </c>
      <c r="Y151" s="27" t="s">
        <v>8</v>
      </c>
      <c r="AW151" s="31"/>
    </row>
    <row r="152" spans="1:49" x14ac:dyDescent="0.25">
      <c r="A152" s="30">
        <v>5.2098684819243464E-2</v>
      </c>
      <c r="B152"/>
      <c r="C152"/>
      <c r="D152"/>
      <c r="E152"/>
      <c r="F152" s="27" t="s">
        <v>7</v>
      </c>
      <c r="S152" s="27" t="s">
        <v>8</v>
      </c>
      <c r="T152" s="27" t="s">
        <v>7</v>
      </c>
      <c r="W152" s="27" t="s">
        <v>8</v>
      </c>
      <c r="X152" s="27" t="s">
        <v>7</v>
      </c>
      <c r="Y152" s="27" t="s">
        <v>8</v>
      </c>
      <c r="AV152" s="31"/>
    </row>
    <row r="153" spans="1:49" x14ac:dyDescent="0.25">
      <c r="A153" s="30">
        <v>4.7362440744766775E-2</v>
      </c>
      <c r="B153"/>
      <c r="C153"/>
      <c r="D153"/>
      <c r="E153"/>
      <c r="F153" s="27" t="s">
        <v>7</v>
      </c>
      <c r="S153" s="27" t="s">
        <v>8</v>
      </c>
      <c r="T153" s="27" t="s">
        <v>7</v>
      </c>
      <c r="U153" s="27" t="s">
        <v>8</v>
      </c>
      <c r="W153" s="27" t="s">
        <v>8</v>
      </c>
      <c r="X153" s="27" t="s">
        <v>7</v>
      </c>
      <c r="Y153" s="27" t="s">
        <v>8</v>
      </c>
      <c r="AU153" s="31"/>
    </row>
    <row r="154" spans="1:49" x14ac:dyDescent="0.25">
      <c r="A154" s="30">
        <v>4.3056764313424332E-2</v>
      </c>
      <c r="B154"/>
      <c r="C154"/>
      <c r="D154"/>
      <c r="E154"/>
      <c r="F154" s="27" t="s">
        <v>7</v>
      </c>
      <c r="S154" s="27" t="s">
        <v>8</v>
      </c>
      <c r="T154" s="27" t="s">
        <v>7</v>
      </c>
      <c r="U154" s="27" t="s">
        <v>8</v>
      </c>
      <c r="V154" s="27" t="s">
        <v>7</v>
      </c>
      <c r="W154" s="27" t="s">
        <v>8</v>
      </c>
      <c r="X154" s="27" t="s">
        <v>7</v>
      </c>
      <c r="AT154" s="31"/>
    </row>
    <row r="155" spans="1:49" x14ac:dyDescent="0.25">
      <c r="A155" s="30">
        <v>3.9142513012203929E-2</v>
      </c>
      <c r="B155"/>
      <c r="C155"/>
      <c r="D155"/>
      <c r="E155"/>
      <c r="F155" s="27" t="s">
        <v>7</v>
      </c>
      <c r="S155" s="27" t="s">
        <v>8</v>
      </c>
      <c r="T155" s="27" t="s">
        <v>7</v>
      </c>
      <c r="U155" s="27" t="s">
        <v>8</v>
      </c>
      <c r="V155" s="27" t="s">
        <v>7</v>
      </c>
      <c r="W155" s="27" t="s">
        <v>8</v>
      </c>
      <c r="AS155" s="31"/>
    </row>
    <row r="156" spans="1:49" x14ac:dyDescent="0.25">
      <c r="A156" s="30">
        <v>3.55841027383672E-2</v>
      </c>
      <c r="B156"/>
      <c r="C156"/>
      <c r="D156"/>
      <c r="E156"/>
      <c r="F156" s="27" t="s">
        <v>7</v>
      </c>
      <c r="S156" s="27" t="s">
        <v>8</v>
      </c>
      <c r="T156" s="27" t="s">
        <v>7</v>
      </c>
      <c r="U156" s="27" t="s">
        <v>8</v>
      </c>
      <c r="V156" s="27" t="s">
        <v>7</v>
      </c>
      <c r="W156" s="27" t="s">
        <v>8</v>
      </c>
      <c r="AR156" s="31"/>
    </row>
    <row r="157" spans="1:49" x14ac:dyDescent="0.25">
      <c r="A157" s="30">
        <v>3.2349184307606541E-2</v>
      </c>
      <c r="B157"/>
      <c r="C157"/>
      <c r="D157"/>
      <c r="E157"/>
      <c r="F157" s="27" t="s">
        <v>7</v>
      </c>
      <c r="S157" s="27" t="s">
        <v>8</v>
      </c>
      <c r="T157" s="27" t="s">
        <v>7</v>
      </c>
      <c r="U157" s="27" t="s">
        <v>8</v>
      </c>
      <c r="V157" s="27" t="s">
        <v>7</v>
      </c>
      <c r="W157" s="27" t="s">
        <v>8</v>
      </c>
      <c r="AQ157" s="31"/>
    </row>
    <row r="158" spans="1:49" x14ac:dyDescent="0.25">
      <c r="A158" s="30">
        <v>2.9408349370551395E-2</v>
      </c>
      <c r="B158"/>
      <c r="C158"/>
      <c r="D158"/>
      <c r="E158"/>
      <c r="F158" s="27" t="s">
        <v>7</v>
      </c>
      <c r="S158" s="27" t="s">
        <v>8</v>
      </c>
      <c r="T158" s="27" t="s">
        <v>7</v>
      </c>
      <c r="U158" s="27" t="s">
        <v>8</v>
      </c>
      <c r="V158" s="27" t="s">
        <v>7</v>
      </c>
      <c r="AP158" s="31"/>
    </row>
    <row r="159" spans="1:49" x14ac:dyDescent="0.25">
      <c r="A159" s="30">
        <v>2.6734863064137627E-2</v>
      </c>
      <c r="B159"/>
      <c r="C159"/>
      <c r="D159"/>
      <c r="E159"/>
      <c r="F159" s="27" t="s">
        <v>7</v>
      </c>
      <c r="S159" s="27" t="s">
        <v>8</v>
      </c>
      <c r="T159" s="27" t="s">
        <v>7</v>
      </c>
      <c r="U159" s="27" t="s">
        <v>8</v>
      </c>
      <c r="AO159" s="31"/>
    </row>
    <row r="160" spans="1:49" x14ac:dyDescent="0.25">
      <c r="A160" s="30">
        <v>2.4304420967397839E-2</v>
      </c>
      <c r="B160"/>
      <c r="C160"/>
      <c r="D160"/>
      <c r="E160"/>
      <c r="F160" s="27" t="s">
        <v>7</v>
      </c>
      <c r="S160" s="27" t="s">
        <v>8</v>
      </c>
      <c r="T160" s="27" t="s">
        <v>7</v>
      </c>
      <c r="AN160" s="31"/>
    </row>
    <row r="161" spans="1:39" x14ac:dyDescent="0.25">
      <c r="A161" s="30">
        <v>2.2094928152179852E-2</v>
      </c>
      <c r="B161"/>
      <c r="C161"/>
      <c r="D161"/>
      <c r="E161"/>
      <c r="F161" s="27" t="s">
        <v>7</v>
      </c>
      <c r="S161" s="27" t="s">
        <v>8</v>
      </c>
      <c r="AM161" s="31"/>
    </row>
    <row r="162" spans="1:39" x14ac:dyDescent="0.25">
      <c r="A162" s="30">
        <v>2.0086298320163499E-2</v>
      </c>
      <c r="B162"/>
      <c r="C162"/>
      <c r="D162"/>
      <c r="E162"/>
      <c r="F162" s="27" t="s">
        <v>7</v>
      </c>
      <c r="S162" s="27" t="s">
        <v>8</v>
      </c>
      <c r="AL162" s="31"/>
    </row>
    <row r="163" spans="1:39" x14ac:dyDescent="0.25">
      <c r="A163" s="30">
        <v>1.8260271200148632E-2</v>
      </c>
      <c r="B163"/>
      <c r="C163"/>
      <c r="D163"/>
      <c r="E163"/>
      <c r="F163" s="27" t="s">
        <v>7</v>
      </c>
      <c r="S163" s="27" t="s">
        <v>8</v>
      </c>
      <c r="AK163" s="31"/>
    </row>
    <row r="164" spans="1:39" x14ac:dyDescent="0.25">
      <c r="A164" s="30">
        <v>1.6600246545589663E-2</v>
      </c>
      <c r="B164"/>
      <c r="C164"/>
      <c r="D164"/>
      <c r="E164"/>
      <c r="F164" s="27" t="s">
        <v>7</v>
      </c>
      <c r="S164" s="27" t="s">
        <v>8</v>
      </c>
      <c r="AJ164" s="31"/>
    </row>
    <row r="165" spans="1:39" x14ac:dyDescent="0.25">
      <c r="A165" s="30">
        <v>1.5091133223263328E-2</v>
      </c>
      <c r="B165"/>
      <c r="C165"/>
      <c r="D165"/>
      <c r="E165"/>
      <c r="F165" s="27" t="s">
        <v>7</v>
      </c>
      <c r="S165" s="27" t="s">
        <v>8</v>
      </c>
      <c r="AI165" s="31"/>
    </row>
    <row r="166" spans="1:39" x14ac:dyDescent="0.25">
      <c r="A166" s="30">
        <v>1.3719212021148477E-2</v>
      </c>
      <c r="B166"/>
      <c r="C166"/>
      <c r="D166"/>
      <c r="E166"/>
      <c r="F166" s="27" t="s">
        <v>7</v>
      </c>
      <c r="O166" s="27" t="s">
        <v>8</v>
      </c>
      <c r="S166" s="27" t="s">
        <v>8</v>
      </c>
      <c r="AH166" s="31"/>
    </row>
    <row r="167" spans="1:39" x14ac:dyDescent="0.25">
      <c r="A167" s="30">
        <v>1.2472010928316795E-2</v>
      </c>
      <c r="B167"/>
      <c r="C167"/>
      <c r="D167"/>
      <c r="E167"/>
      <c r="F167" s="27" t="s">
        <v>7</v>
      </c>
      <c r="O167" s="27" t="s">
        <v>8</v>
      </c>
      <c r="P167" s="27" t="s">
        <v>7</v>
      </c>
      <c r="S167" s="27" t="s">
        <v>8</v>
      </c>
      <c r="AG167" s="31"/>
    </row>
    <row r="168" spans="1:39" x14ac:dyDescent="0.25">
      <c r="A168" s="30">
        <v>1.1338191753015267E-2</v>
      </c>
      <c r="B168"/>
      <c r="C168"/>
      <c r="D168"/>
      <c r="E168"/>
      <c r="F168" s="27" t="s">
        <v>7</v>
      </c>
      <c r="O168" s="27" t="s">
        <v>8</v>
      </c>
      <c r="P168" s="27" t="s">
        <v>7</v>
      </c>
      <c r="S168" s="27" t="s">
        <v>8</v>
      </c>
      <c r="AF168" s="31"/>
    </row>
    <row r="169" spans="1:39" x14ac:dyDescent="0.25">
      <c r="A169" s="30">
        <v>1.0307447048195697E-2</v>
      </c>
      <c r="B169"/>
      <c r="C169"/>
      <c r="D169"/>
      <c r="E169"/>
      <c r="F169" s="27" t="s">
        <v>7</v>
      </c>
      <c r="O169" s="27" t="s">
        <v>8</v>
      </c>
      <c r="P169" s="27" t="s">
        <v>7</v>
      </c>
      <c r="Q169" s="27" t="s">
        <v>8</v>
      </c>
      <c r="S169" s="27" t="s">
        <v>8</v>
      </c>
      <c r="AE169" s="31"/>
    </row>
    <row r="170" spans="1:39" x14ac:dyDescent="0.25">
      <c r="A170" s="30">
        <v>9.3704064074506318E-3</v>
      </c>
      <c r="B170"/>
      <c r="C170"/>
      <c r="D170"/>
      <c r="E170"/>
      <c r="F170" s="27" t="s">
        <v>7</v>
      </c>
      <c r="O170" s="27" t="s">
        <v>8</v>
      </c>
      <c r="P170" s="27" t="s">
        <v>7</v>
      </c>
      <c r="Q170" s="27" t="s">
        <v>8</v>
      </c>
      <c r="R170" s="27" t="s">
        <v>7</v>
      </c>
      <c r="S170" s="27" t="s">
        <v>8</v>
      </c>
      <c r="AD170" s="31"/>
    </row>
    <row r="171" spans="1:39" x14ac:dyDescent="0.25">
      <c r="A171" s="30">
        <v>8.5185512795005747E-3</v>
      </c>
      <c r="F171" s="27" t="s">
        <v>7</v>
      </c>
      <c r="O171" s="27" t="s">
        <v>8</v>
      </c>
      <c r="P171" s="27" t="s">
        <v>7</v>
      </c>
      <c r="Q171" s="27" t="s">
        <v>8</v>
      </c>
      <c r="R171" s="27" t="s">
        <v>7</v>
      </c>
      <c r="S171" s="27" t="s">
        <v>8</v>
      </c>
      <c r="AC171" s="31"/>
    </row>
    <row r="172" spans="1:39" x14ac:dyDescent="0.25">
      <c r="A172" s="30">
        <v>7.744137526818704E-3</v>
      </c>
      <c r="F172" s="27" t="s">
        <v>7</v>
      </c>
      <c r="O172" s="27" t="s">
        <v>8</v>
      </c>
      <c r="P172" s="27" t="s">
        <v>7</v>
      </c>
      <c r="R172" s="27" t="s">
        <v>7</v>
      </c>
      <c r="S172" s="27" t="s">
        <v>8</v>
      </c>
      <c r="AB172" s="31"/>
    </row>
    <row r="173" spans="1:39" x14ac:dyDescent="0.25">
      <c r="A173" s="30">
        <v>7.0401250243806394E-3</v>
      </c>
      <c r="F173" s="27" t="s">
        <v>7</v>
      </c>
      <c r="O173" s="27" t="s">
        <v>8</v>
      </c>
      <c r="R173" s="27" t="s">
        <v>7</v>
      </c>
      <c r="AA173" s="31"/>
    </row>
    <row r="174" spans="1:39" x14ac:dyDescent="0.25">
      <c r="A174" s="30">
        <v>6.4001136585278536E-3</v>
      </c>
      <c r="F174" s="27" t="s">
        <v>7</v>
      </c>
      <c r="O174" s="27" t="s">
        <v>8</v>
      </c>
      <c r="Z174" s="31"/>
    </row>
    <row r="175" spans="1:39" x14ac:dyDescent="0.25">
      <c r="A175" s="30">
        <v>5.8182851441162305E-3</v>
      </c>
      <c r="F175" s="27" t="s">
        <v>7</v>
      </c>
      <c r="O175" s="27" t="s">
        <v>8</v>
      </c>
      <c r="Y175" s="31"/>
    </row>
    <row r="176" spans="1:39" x14ac:dyDescent="0.25">
      <c r="A176" s="30">
        <v>5.2893501310147546E-3</v>
      </c>
      <c r="F176" s="27" t="s">
        <v>7</v>
      </c>
      <c r="I176" s="27" t="s">
        <v>8</v>
      </c>
      <c r="M176" s="27" t="s">
        <v>8</v>
      </c>
      <c r="O176" s="27" t="s">
        <v>8</v>
      </c>
      <c r="X176" s="31"/>
    </row>
    <row r="177" spans="1:23" x14ac:dyDescent="0.25">
      <c r="A177" s="30">
        <v>4.8085001191043222E-3</v>
      </c>
      <c r="F177" s="27" t="s">
        <v>7</v>
      </c>
      <c r="G177" s="27" t="s">
        <v>8</v>
      </c>
      <c r="I177" s="27" t="s">
        <v>8</v>
      </c>
      <c r="J177" s="27" t="s">
        <v>7</v>
      </c>
      <c r="M177" s="27" t="s">
        <v>8</v>
      </c>
      <c r="N177" s="27" t="s">
        <v>7</v>
      </c>
      <c r="O177" s="27" t="s">
        <v>8</v>
      </c>
      <c r="W177" s="31"/>
    </row>
    <row r="178" spans="1:23" x14ac:dyDescent="0.25">
      <c r="A178" s="30">
        <v>4.3713637446402926E-3</v>
      </c>
      <c r="F178" s="27" t="s">
        <v>7</v>
      </c>
      <c r="G178" s="27" t="s">
        <v>8</v>
      </c>
      <c r="H178" s="27" t="s">
        <v>7</v>
      </c>
      <c r="I178" s="27" t="s">
        <v>8</v>
      </c>
      <c r="J178" s="27" t="s">
        <v>7</v>
      </c>
      <c r="M178" s="27" t="s">
        <v>8</v>
      </c>
      <c r="N178" s="27" t="s">
        <v>7</v>
      </c>
      <c r="O178" s="27" t="s">
        <v>8</v>
      </c>
      <c r="V178" s="31"/>
    </row>
    <row r="179" spans="1:23" x14ac:dyDescent="0.25">
      <c r="A179" s="30">
        <v>3.9739670405820838E-3</v>
      </c>
      <c r="F179" s="27" t="s">
        <v>7</v>
      </c>
      <c r="G179" s="27" t="s">
        <v>8</v>
      </c>
      <c r="H179" s="27" t="s">
        <v>7</v>
      </c>
      <c r="I179" s="27" t="s">
        <v>8</v>
      </c>
      <c r="J179" s="27" t="s">
        <v>7</v>
      </c>
      <c r="K179" s="27" t="s">
        <v>8</v>
      </c>
      <c r="M179" s="27" t="s">
        <v>8</v>
      </c>
      <c r="N179" s="27" t="s">
        <v>7</v>
      </c>
      <c r="U179" s="31"/>
    </row>
    <row r="180" spans="1:23" x14ac:dyDescent="0.25">
      <c r="A180" s="30">
        <v>3.6126973096200759E-3</v>
      </c>
      <c r="F180" s="27" t="s">
        <v>7</v>
      </c>
      <c r="G180" s="27" t="s">
        <v>8</v>
      </c>
      <c r="H180" s="27" t="s">
        <v>7</v>
      </c>
      <c r="I180" s="27" t="s">
        <v>8</v>
      </c>
      <c r="J180" s="27" t="s">
        <v>7</v>
      </c>
      <c r="K180" s="27" t="s">
        <v>8</v>
      </c>
      <c r="L180" s="27" t="s">
        <v>7</v>
      </c>
      <c r="M180" s="27" t="s">
        <v>8</v>
      </c>
      <c r="T180" s="31"/>
    </row>
    <row r="181" spans="1:23" x14ac:dyDescent="0.25">
      <c r="A181" s="30">
        <v>3.2842702814727962E-3</v>
      </c>
      <c r="F181" s="27" t="s">
        <v>7</v>
      </c>
      <c r="G181" s="27" t="s">
        <v>8</v>
      </c>
      <c r="H181" s="27" t="s">
        <v>7</v>
      </c>
      <c r="I181" s="27" t="s">
        <v>8</v>
      </c>
      <c r="J181" s="27" t="s">
        <v>7</v>
      </c>
      <c r="K181" s="27" t="s">
        <v>8</v>
      </c>
      <c r="L181" s="27" t="s">
        <v>7</v>
      </c>
      <c r="M181" s="27" t="s">
        <v>8</v>
      </c>
      <c r="S181" s="31"/>
    </row>
    <row r="182" spans="1:23" x14ac:dyDescent="0.25">
      <c r="A182" s="30">
        <v>2.9857002558843601E-3</v>
      </c>
      <c r="F182" s="27" t="s">
        <v>7</v>
      </c>
      <c r="G182" s="27" t="s">
        <v>8</v>
      </c>
      <c r="H182" s="27" t="s">
        <v>7</v>
      </c>
      <c r="I182" s="27" t="s">
        <v>8</v>
      </c>
      <c r="J182" s="27" t="s">
        <v>7</v>
      </c>
      <c r="K182" s="27" t="s">
        <v>8</v>
      </c>
      <c r="L182" s="27" t="s">
        <v>7</v>
      </c>
      <c r="R182" s="31"/>
    </row>
    <row r="183" spans="1:23" x14ac:dyDescent="0.25">
      <c r="A183" s="30">
        <v>2.7142729598948726E-3</v>
      </c>
      <c r="F183" s="27" t="s">
        <v>7</v>
      </c>
      <c r="G183" s="27" t="s">
        <v>8</v>
      </c>
      <c r="H183" s="27" t="s">
        <v>7</v>
      </c>
      <c r="I183" s="27" t="s">
        <v>8</v>
      </c>
      <c r="J183" s="27" t="s">
        <v>7</v>
      </c>
      <c r="K183" s="27" t="s">
        <v>8</v>
      </c>
      <c r="Q183" s="31"/>
    </row>
    <row r="184" spans="1:23" x14ac:dyDescent="0.25">
      <c r="A184" s="30">
        <v>2.4675208726317021E-3</v>
      </c>
      <c r="F184" s="27" t="s">
        <v>7</v>
      </c>
      <c r="G184" s="27" t="s">
        <v>8</v>
      </c>
      <c r="H184" s="27" t="s">
        <v>7</v>
      </c>
      <c r="I184" s="27" t="s">
        <v>8</v>
      </c>
      <c r="J184" s="27" t="s">
        <v>7</v>
      </c>
      <c r="P184" s="31"/>
    </row>
    <row r="185" spans="1:23" x14ac:dyDescent="0.25">
      <c r="A185" s="30">
        <v>2.2432007933015472E-3</v>
      </c>
      <c r="F185" s="27" t="s">
        <v>7</v>
      </c>
      <c r="G185" s="27" t="s">
        <v>8</v>
      </c>
      <c r="H185" s="27" t="s">
        <v>7</v>
      </c>
      <c r="I185" s="27" t="s">
        <v>8</v>
      </c>
      <c r="O185" s="31"/>
    </row>
    <row r="186" spans="1:23" x14ac:dyDescent="0.25">
      <c r="A186" s="30">
        <v>2.0392734484559519E-3</v>
      </c>
      <c r="F186" s="27" t="s">
        <v>7</v>
      </c>
      <c r="H186" s="27" t="s">
        <v>7</v>
      </c>
      <c r="I186" s="27" t="s">
        <v>8</v>
      </c>
      <c r="N186" s="31"/>
    </row>
    <row r="187" spans="1:23" x14ac:dyDescent="0.25">
      <c r="A187" s="30">
        <v>1.8538849531417744E-3</v>
      </c>
      <c r="H187" s="27" t="s">
        <v>7</v>
      </c>
      <c r="I187" s="27" t="s">
        <v>8</v>
      </c>
      <c r="M187" s="31"/>
    </row>
    <row r="188" spans="1:23" x14ac:dyDescent="0.25">
      <c r="A188" s="30">
        <v>1.6853499574016129E-3</v>
      </c>
      <c r="H188" s="27" t="s">
        <v>7</v>
      </c>
      <c r="I188" s="27" t="s">
        <v>8</v>
      </c>
      <c r="L188" s="31"/>
    </row>
    <row r="189" spans="1:23" x14ac:dyDescent="0.25">
      <c r="A189" s="30">
        <v>1.5321363249105571E-3</v>
      </c>
      <c r="H189" s="27" t="s">
        <v>7</v>
      </c>
      <c r="I189" s="27" t="s">
        <v>8</v>
      </c>
      <c r="K189" s="31"/>
    </row>
    <row r="190" spans="1:23" x14ac:dyDescent="0.25">
      <c r="A190" s="30">
        <v>1.3928512044641427E-3</v>
      </c>
      <c r="H190" s="27" t="s">
        <v>7</v>
      </c>
      <c r="I190" s="27" t="s">
        <v>8</v>
      </c>
      <c r="J190" s="31"/>
    </row>
    <row r="191" spans="1:23" x14ac:dyDescent="0.25">
      <c r="A191" s="30">
        <v>1.2662283676946752E-3</v>
      </c>
      <c r="H191" s="27" t="s">
        <v>7</v>
      </c>
      <c r="I191" s="31" t="s">
        <v>8</v>
      </c>
    </row>
    <row r="192" spans="1:23" x14ac:dyDescent="0.25">
      <c r="A192" s="30">
        <v>1.15111669790425E-3</v>
      </c>
      <c r="H192" s="31" t="s">
        <v>7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0.16443563297285677</v>
      </c>
      <c r="F3" s="30">
        <v>0.17265741462149967</v>
      </c>
      <c r="G3" s="30">
        <v>0.23137744865585538</v>
      </c>
      <c r="H3" s="25">
        <f>IF(G3="","",(3*(G3-F3))+E3)</f>
        <v>0.34059573507592389</v>
      </c>
      <c r="I3" s="7"/>
      <c r="J3" s="7">
        <f>(E3+G3)/2</f>
        <v>0.19790654081435607</v>
      </c>
      <c r="K3" s="7">
        <f>H3/2</f>
        <v>0.17029786753796194</v>
      </c>
      <c r="M3" s="26">
        <f>IF(OR(J3="",H3=""),"",H3/J3)</f>
        <v>1.7209928164800563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2022-01-28T01:16:01Z</dcterms:modified>
</cp:coreProperties>
</file>