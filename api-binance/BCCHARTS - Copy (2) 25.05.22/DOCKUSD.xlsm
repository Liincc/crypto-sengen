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A992D97F-78A4-4B4F-BCA8-E96733AD1FE1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C136" i="5" s="1"/>
  <c r="C118" i="4"/>
  <c r="C122" i="4"/>
  <c r="C133" i="4" s="1"/>
  <c r="C136" i="4" s="1"/>
  <c r="C118" i="3"/>
  <c r="C122" i="3"/>
  <c r="C133" i="3" s="1"/>
  <c r="D136" i="3" s="1"/>
  <c r="R765" i="1"/>
  <c r="D136" i="5" l="1"/>
  <c r="C138" i="5" s="1"/>
  <c r="D136" i="4"/>
  <c r="C138" i="4" s="1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S283" i="1" l="1"/>
  <c r="T283" i="1" s="1"/>
  <c r="R282" i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S267" i="1" l="1"/>
  <c r="T267" i="1" s="1"/>
  <c r="R266" i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S235" i="1" l="1"/>
  <c r="T235" i="1" s="1"/>
  <c r="R234" i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S219" i="1" l="1"/>
  <c r="T219" i="1" s="1"/>
  <c r="R218" i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S147" i="1" l="1"/>
  <c r="T147" i="1" s="1"/>
  <c r="R146" i="1"/>
  <c r="R145" i="1" l="1"/>
  <c r="S146" i="1"/>
  <c r="T146" i="1" s="1"/>
  <c r="S145" i="1" l="1"/>
  <c r="T145" i="1" s="1"/>
  <c r="R144" i="1"/>
  <c r="S144" i="1" l="1"/>
  <c r="T144" i="1" s="1"/>
  <c r="R143" i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R137" i="1" l="1"/>
  <c r="S138" i="1"/>
  <c r="T138" i="1" s="1"/>
  <c r="S137" i="1" l="1"/>
  <c r="T137" i="1" s="1"/>
  <c r="R136" i="1"/>
  <c r="S136" i="1" l="1"/>
  <c r="T136" i="1" s="1"/>
  <c r="R135" i="1"/>
  <c r="R134" i="1" l="1"/>
  <c r="S135" i="1"/>
  <c r="T135" i="1" s="1"/>
  <c r="R133" i="1" l="1"/>
  <c r="S134" i="1"/>
  <c r="T134" i="1" s="1"/>
  <c r="S133" i="1" l="1"/>
  <c r="T133" i="1" s="1"/>
  <c r="R132" i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S125" i="1" l="1"/>
  <c r="T125" i="1" s="1"/>
  <c r="R124" i="1"/>
  <c r="S124" i="1" l="1"/>
  <c r="T124" i="1" s="1"/>
  <c r="R123" i="1"/>
  <c r="S123" i="1" l="1"/>
  <c r="T123" i="1" s="1"/>
  <c r="R122" i="1"/>
  <c r="R121" i="1" l="1"/>
  <c r="S122" i="1"/>
  <c r="T122" i="1" s="1"/>
  <c r="S121" i="1" l="1"/>
  <c r="T121" i="1" s="1"/>
  <c r="R120" i="1"/>
  <c r="S120" i="1" l="1"/>
  <c r="T120" i="1" s="1"/>
  <c r="R119" i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S115" i="1" l="1"/>
  <c r="T115" i="1" s="1"/>
  <c r="R114" i="1"/>
  <c r="R113" i="1" l="1"/>
  <c r="S114" i="1"/>
  <c r="T114" i="1" s="1"/>
  <c r="S113" i="1" l="1"/>
  <c r="T113" i="1" s="1"/>
  <c r="R112" i="1"/>
  <c r="S112" i="1" l="1"/>
  <c r="T112" i="1" s="1"/>
  <c r="R111" i="1"/>
  <c r="R110" i="1" l="1"/>
  <c r="S111" i="1"/>
  <c r="T111" i="1" s="1"/>
  <c r="R109" i="1" l="1"/>
  <c r="S110" i="1"/>
  <c r="T110" i="1" s="1"/>
  <c r="S109" i="1" l="1"/>
  <c r="T109" i="1" s="1"/>
  <c r="R108" i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S101" i="1" l="1"/>
  <c r="T101" i="1" s="1"/>
  <c r="R100" i="1"/>
  <c r="S100" i="1" l="1"/>
  <c r="T100" i="1" s="1"/>
  <c r="R99" i="1"/>
  <c r="S99" i="1" l="1"/>
  <c r="T99" i="1" s="1"/>
  <c r="R98" i="1"/>
  <c r="R97" i="1" l="1"/>
  <c r="S98" i="1"/>
  <c r="T98" i="1" s="1"/>
  <c r="S97" i="1" l="1"/>
  <c r="T97" i="1" s="1"/>
  <c r="R96" i="1"/>
  <c r="S96" i="1" l="1"/>
  <c r="T96" i="1" s="1"/>
  <c r="R95" i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S91" i="1" l="1"/>
  <c r="T91" i="1" s="1"/>
  <c r="R90" i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R68" i="1" l="1"/>
  <c r="S69" i="1"/>
  <c r="T69" i="1" s="1"/>
  <c r="R67" i="1" l="1"/>
  <c r="S68" i="1"/>
  <c r="T68" i="1" s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S55" i="1" l="1"/>
  <c r="T55" i="1" s="1"/>
  <c r="R54" i="1"/>
  <c r="S54" i="1" l="1"/>
  <c r="T54" i="1" s="1"/>
  <c r="R53" i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<sst xmlns="http://schemas.openxmlformats.org/spreadsheetml/2006/main" count="10476" uniqueCount="34">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</sst>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3">
                  <c:v>43826</c:v>
                </c:pt>
                <c:pt idx="764">
                  <c:v>43825</c:v>
                </c:pt>
                <c:pt idx="765">
                  <c:v>43824</c:v>
                </c:pt>
                <c:pt idx="766">
                  <c:v>43823</c:v>
                </c:pt>
                <c:pt idx="767">
                  <c:v>43822</c:v>
                </c:pt>
                <c:pt idx="768">
                  <c:v>43821</c:v>
                </c:pt>
                <c:pt idx="769">
                  <c:v>43820</c:v>
                </c:pt>
                <c:pt idx="770">
                  <c:v>43819</c:v>
                </c:pt>
                <c:pt idx="771">
                  <c:v>43818</c:v>
                </c:pt>
                <c:pt idx="772">
                  <c:v>43817</c:v>
                </c:pt>
                <c:pt idx="773">
                  <c:v>43816</c:v>
                </c:pt>
                <c:pt idx="774">
                  <c:v>43815</c:v>
                </c:pt>
                <c:pt idx="775">
                  <c:v>43814</c:v>
                </c:pt>
                <c:pt idx="776">
                  <c:v>43813</c:v>
                </c:pt>
                <c:pt idx="777">
                  <c:v>43812</c:v>
                </c:pt>
                <c:pt idx="778">
                  <c:v>43811</c:v>
                </c:pt>
                <c:pt idx="779">
                  <c:v>43810</c:v>
                </c:pt>
                <c:pt idx="780">
                  <c:v>43809</c:v>
                </c:pt>
                <c:pt idx="781">
                  <c:v>43808</c:v>
                </c:pt>
                <c:pt idx="782">
                  <c:v>43807</c:v>
                </c:pt>
                <c:pt idx="783">
                  <c:v>43806</c:v>
                </c:pt>
                <c:pt idx="784">
                  <c:v>43805</c:v>
                </c:pt>
                <c:pt idx="785">
                  <c:v>43804</c:v>
                </c:pt>
                <c:pt idx="786">
                  <c:v>43803</c:v>
                </c:pt>
                <c:pt idx="787">
                  <c:v>43802</c:v>
                </c:pt>
                <c:pt idx="788">
                  <c:v>43801</c:v>
                </c:pt>
                <c:pt idx="789">
                  <c:v>43800</c:v>
                </c:pt>
                <c:pt idx="790">
                  <c:v>43799</c:v>
                </c:pt>
                <c:pt idx="791">
                  <c:v>43798</c:v>
                </c:pt>
                <c:pt idx="792">
                  <c:v>43797</c:v>
                </c:pt>
                <c:pt idx="793">
                  <c:v>43796</c:v>
                </c:pt>
                <c:pt idx="794">
                  <c:v>43795</c:v>
                </c:pt>
                <c:pt idx="795">
                  <c:v>43794</c:v>
                </c:pt>
                <c:pt idx="796">
                  <c:v>43793</c:v>
                </c:pt>
                <c:pt idx="797">
                  <c:v>43792</c:v>
                </c:pt>
                <c:pt idx="798">
                  <c:v>43791</c:v>
                </c:pt>
                <c:pt idx="799">
                  <c:v>43790</c:v>
                </c:pt>
                <c:pt idx="800">
                  <c:v>43789</c:v>
                </c:pt>
                <c:pt idx="801">
                  <c:v>43788</c:v>
                </c:pt>
                <c:pt idx="802">
                  <c:v>43787</c:v>
                </c:pt>
                <c:pt idx="803">
                  <c:v>43786</c:v>
                </c:pt>
                <c:pt idx="804">
                  <c:v>43785</c:v>
                </c:pt>
                <c:pt idx="805">
                  <c:v>43784</c:v>
                </c:pt>
                <c:pt idx="806">
                  <c:v>43783</c:v>
                </c:pt>
                <c:pt idx="807">
                  <c:v>43782</c:v>
                </c:pt>
                <c:pt idx="808">
                  <c:v>43781</c:v>
                </c:pt>
                <c:pt idx="809">
                  <c:v>43780</c:v>
                </c:pt>
                <c:pt idx="810">
                  <c:v>43779</c:v>
                </c:pt>
                <c:pt idx="811">
                  <c:v>43778</c:v>
                </c:pt>
                <c:pt idx="812">
                  <c:v>43777</c:v>
                </c:pt>
                <c:pt idx="813">
                  <c:v>43776</c:v>
                </c:pt>
                <c:pt idx="814">
                  <c:v>43775</c:v>
                </c:pt>
                <c:pt idx="815">
                  <c:v>43774</c:v>
                </c:pt>
                <c:pt idx="816">
                  <c:v>43773</c:v>
                </c:pt>
                <c:pt idx="817">
                  <c:v>43772</c:v>
                </c:pt>
                <c:pt idx="818">
                  <c:v>43771</c:v>
                </c:pt>
                <c:pt idx="819">
                  <c:v>43770</c:v>
                </c:pt>
                <c:pt idx="820">
                  <c:v>43769</c:v>
                </c:pt>
                <c:pt idx="821">
                  <c:v>43768</c:v>
                </c:pt>
                <c:pt idx="822">
                  <c:v>43767</c:v>
                </c:pt>
                <c:pt idx="823">
                  <c:v>43766</c:v>
                </c:pt>
                <c:pt idx="824">
                  <c:v>43765</c:v>
                </c:pt>
                <c:pt idx="825">
                  <c:v>43764</c:v>
                </c:pt>
                <c:pt idx="826">
                  <c:v>43763</c:v>
                </c:pt>
                <c:pt idx="827">
                  <c:v>43762</c:v>
                </c:pt>
                <c:pt idx="828">
                  <c:v>43761</c:v>
                </c:pt>
                <c:pt idx="829">
                  <c:v>43760</c:v>
                </c:pt>
                <c:pt idx="830">
                  <c:v>43759</c:v>
                </c:pt>
                <c:pt idx="831">
                  <c:v>43758</c:v>
                </c:pt>
                <c:pt idx="832">
                  <c:v>43757</c:v>
                </c:pt>
                <c:pt idx="833">
                  <c:v>43756</c:v>
                </c:pt>
                <c:pt idx="834">
                  <c:v>43755</c:v>
                </c:pt>
                <c:pt idx="835">
                  <c:v>43754</c:v>
                </c:pt>
                <c:pt idx="836">
                  <c:v>43753</c:v>
                </c:pt>
                <c:pt idx="837">
                  <c:v>43752</c:v>
                </c:pt>
                <c:pt idx="838">
                  <c:v>43751</c:v>
                </c:pt>
                <c:pt idx="839">
                  <c:v>43750</c:v>
                </c:pt>
                <c:pt idx="840">
                  <c:v>43749</c:v>
                </c:pt>
                <c:pt idx="841">
                  <c:v>43748</c:v>
                </c:pt>
                <c:pt idx="842">
                  <c:v>43747</c:v>
                </c:pt>
                <c:pt idx="843">
                  <c:v>43746</c:v>
                </c:pt>
                <c:pt idx="844">
                  <c:v>43745</c:v>
                </c:pt>
                <c:pt idx="845">
                  <c:v>43744</c:v>
                </c:pt>
                <c:pt idx="846">
                  <c:v>43743</c:v>
                </c:pt>
                <c:pt idx="847">
                  <c:v>43742</c:v>
                </c:pt>
                <c:pt idx="848">
                  <c:v>43741</c:v>
                </c:pt>
                <c:pt idx="849">
                  <c:v>43740</c:v>
                </c:pt>
                <c:pt idx="850">
                  <c:v>43739</c:v>
                </c:pt>
                <c:pt idx="851">
                  <c:v>43738</c:v>
                </c:pt>
                <c:pt idx="852">
                  <c:v>43737</c:v>
                </c:pt>
                <c:pt idx="853">
                  <c:v>43736</c:v>
                </c:pt>
                <c:pt idx="854">
                  <c:v>43735</c:v>
                </c:pt>
                <c:pt idx="855">
                  <c:v>43734</c:v>
                </c:pt>
                <c:pt idx="856">
                  <c:v>43733</c:v>
                </c:pt>
                <c:pt idx="857">
                  <c:v>43732</c:v>
                </c:pt>
                <c:pt idx="858">
                  <c:v>43731</c:v>
                </c:pt>
                <c:pt idx="859">
                  <c:v>43730</c:v>
                </c:pt>
                <c:pt idx="860">
                  <c:v>43729</c:v>
                </c:pt>
                <c:pt idx="861">
                  <c:v>43728</c:v>
                </c:pt>
                <c:pt idx="862">
                  <c:v>43727</c:v>
                </c:pt>
                <c:pt idx="863">
                  <c:v>43726</c:v>
                </c:pt>
                <c:pt idx="864">
                  <c:v>43725</c:v>
                </c:pt>
                <c:pt idx="865">
                  <c:v>43724</c:v>
                </c:pt>
                <c:pt idx="866">
                  <c:v>43723</c:v>
                </c:pt>
                <c:pt idx="867">
                  <c:v>43722</c:v>
                </c:pt>
                <c:pt idx="868">
                  <c:v>43721</c:v>
                </c:pt>
                <c:pt idx="869">
                  <c:v>43720</c:v>
                </c:pt>
                <c:pt idx="870">
                  <c:v>43719</c:v>
                </c:pt>
                <c:pt idx="871">
                  <c:v>43718</c:v>
                </c:pt>
                <c:pt idx="872">
                  <c:v>43717</c:v>
                </c:pt>
                <c:pt idx="873">
                  <c:v>43716</c:v>
                </c:pt>
                <c:pt idx="874">
                  <c:v>43715</c:v>
                </c:pt>
                <c:pt idx="875">
                  <c:v>43714</c:v>
                </c:pt>
                <c:pt idx="876">
                  <c:v>43713</c:v>
                </c:pt>
                <c:pt idx="877">
                  <c:v>43712</c:v>
                </c:pt>
                <c:pt idx="878">
                  <c:v>43711</c:v>
                </c:pt>
                <c:pt idx="879">
                  <c:v>43710</c:v>
                </c:pt>
                <c:pt idx="880">
                  <c:v>43709</c:v>
                </c:pt>
                <c:pt idx="881">
                  <c:v>43708</c:v>
                </c:pt>
                <c:pt idx="882">
                  <c:v>43707</c:v>
                </c:pt>
                <c:pt idx="883">
                  <c:v>43706</c:v>
                </c:pt>
                <c:pt idx="884">
                  <c:v>43705</c:v>
                </c:pt>
                <c:pt idx="885">
                  <c:v>43704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4.2099999999999999E-2</c:v>
                </c:pt>
                <c:pt idx="1">
                  <c:v>4.2959999999999998E-2</c:v>
                </c:pt>
                <c:pt idx="2">
                  <c:v>4.3369999999999999E-2</c:v>
                </c:pt>
                <c:pt idx="3">
                  <c:v>4.3189999999999999E-2</c:v>
                </c:pt>
                <c:pt idx="4">
                  <c:v>4.1680000000000002E-2</c:v>
                </c:pt>
                <c:pt idx="5">
                  <c:v>4.0559999999999999E-2</c:v>
                </c:pt>
                <c:pt idx="6">
                  <c:v>4.3979999999999998E-2</c:v>
                </c:pt>
                <c:pt idx="7">
                  <c:v>5.3030000000000001E-2</c:v>
                </c:pt>
                <c:pt idx="8">
                  <c:v>5.7290000000000001E-2</c:v>
                </c:pt>
                <c:pt idx="9">
                  <c:v>5.4080000000000003E-2</c:v>
                </c:pt>
                <c:pt idx="10">
                  <c:v>5.4719999999999998E-2</c:v>
                </c:pt>
                <c:pt idx="11">
                  <c:v>5.6619999999999997E-2</c:v>
                </c:pt>
                <c:pt idx="12">
                  <c:v>5.6770000000000001E-2</c:v>
                </c:pt>
                <c:pt idx="13">
                  <c:v>5.4339999999999999E-2</c:v>
                </c:pt>
                <c:pt idx="14">
                  <c:v>5.4640000000000001E-2</c:v>
                </c:pt>
                <c:pt idx="15">
                  <c:v>5.6860000000000001E-2</c:v>
                </c:pt>
                <c:pt idx="16">
                  <c:v>5.5199999999999999E-2</c:v>
                </c:pt>
                <c:pt idx="17">
                  <c:v>5.2200000000000003E-2</c:v>
                </c:pt>
                <c:pt idx="18">
                  <c:v>5.5690000000000003E-2</c:v>
                </c:pt>
                <c:pt idx="19">
                  <c:v>5.4179999999999999E-2</c:v>
                </c:pt>
                <c:pt idx="20">
                  <c:v>5.518E-2</c:v>
                </c:pt>
                <c:pt idx="21">
                  <c:v>5.9729999999999998E-2</c:v>
                </c:pt>
                <c:pt idx="22">
                  <c:v>6.096E-2</c:v>
                </c:pt>
                <c:pt idx="23">
                  <c:v>6.6309999999999994E-2</c:v>
                </c:pt>
                <c:pt idx="24">
                  <c:v>6.7390000000000005E-2</c:v>
                </c:pt>
                <c:pt idx="25">
                  <c:v>6.8089999999999998E-2</c:v>
                </c:pt>
                <c:pt idx="26">
                  <c:v>6.8290000000000003E-2</c:v>
                </c:pt>
                <c:pt idx="27">
                  <c:v>6.5960000000000005E-2</c:v>
                </c:pt>
                <c:pt idx="28">
                  <c:v>6.7970000000000003E-2</c:v>
                </c:pt>
                <c:pt idx="29">
                  <c:v>6.7070000000000005E-2</c:v>
                </c:pt>
                <c:pt idx="30">
                  <c:v>7.0209999999999995E-2</c:v>
                </c:pt>
                <c:pt idx="31">
                  <c:v>7.6439999999999994E-2</c:v>
                </c:pt>
                <c:pt idx="32">
                  <c:v>7.4459999999999998E-2</c:v>
                </c:pt>
                <c:pt idx="33">
                  <c:v>7.1989999999999998E-2</c:v>
                </c:pt>
                <c:pt idx="34">
                  <c:v>7.0739999999999997E-2</c:v>
                </c:pt>
                <c:pt idx="35">
                  <c:v>7.1110000000000007E-2</c:v>
                </c:pt>
                <c:pt idx="36">
                  <c:v>6.9440000000000002E-2</c:v>
                </c:pt>
                <c:pt idx="37">
                  <c:v>6.8070000000000006E-2</c:v>
                </c:pt>
                <c:pt idx="38">
                  <c:v>6.5720000000000001E-2</c:v>
                </c:pt>
                <c:pt idx="39">
                  <c:v>6.6879999999999995E-2</c:v>
                </c:pt>
                <c:pt idx="40">
                  <c:v>7.0239999999999997E-2</c:v>
                </c:pt>
                <c:pt idx="41">
                  <c:v>6.5490000000000007E-2</c:v>
                </c:pt>
                <c:pt idx="42">
                  <c:v>6.3560000000000005E-2</c:v>
                </c:pt>
                <c:pt idx="43">
                  <c:v>6.4269999999999994E-2</c:v>
                </c:pt>
                <c:pt idx="44">
                  <c:v>6.2420000000000003E-2</c:v>
                </c:pt>
                <c:pt idx="45">
                  <c:v>6.1179999999999998E-2</c:v>
                </c:pt>
                <c:pt idx="46">
                  <c:v>7.1870000000000003E-2</c:v>
                </c:pt>
                <c:pt idx="47">
                  <c:v>6.8159999999999998E-2</c:v>
                </c:pt>
                <c:pt idx="48">
                  <c:v>6.7780000000000007E-2</c:v>
                </c:pt>
                <c:pt idx="49">
                  <c:v>7.2069999999999995E-2</c:v>
                </c:pt>
                <c:pt idx="50">
                  <c:v>8.0500000000000002E-2</c:v>
                </c:pt>
                <c:pt idx="51">
                  <c:v>7.7719999999999997E-2</c:v>
                </c:pt>
                <c:pt idx="52">
                  <c:v>7.6249999999999998E-2</c:v>
                </c:pt>
                <c:pt idx="53">
                  <c:v>7.6289999999999997E-2</c:v>
                </c:pt>
                <c:pt idx="54">
                  <c:v>8.0369999999999997E-2</c:v>
                </c:pt>
                <c:pt idx="55">
                  <c:v>9.894E-2</c:v>
                </c:pt>
                <c:pt idx="56">
                  <c:v>9.3299999999999994E-2</c:v>
                </c:pt>
                <c:pt idx="57">
                  <c:v>9.4399999999999998E-2</c:v>
                </c:pt>
                <c:pt idx="58">
                  <c:v>8.9090000000000003E-2</c:v>
                </c:pt>
                <c:pt idx="59">
                  <c:v>8.7830000000000005E-2</c:v>
                </c:pt>
                <c:pt idx="60">
                  <c:v>8.6370000000000002E-2</c:v>
                </c:pt>
                <c:pt idx="61">
                  <c:v>9.0270000000000003E-2</c:v>
                </c:pt>
                <c:pt idx="62">
                  <c:v>8.2879999999999995E-2</c:v>
                </c:pt>
                <c:pt idx="63">
                  <c:v>9.3350000000000002E-2</c:v>
                </c:pt>
                <c:pt idx="64">
                  <c:v>9.1300000000000006E-2</c:v>
                </c:pt>
                <c:pt idx="65">
                  <c:v>8.5349999999999995E-2</c:v>
                </c:pt>
                <c:pt idx="66">
                  <c:v>8.3400000000000002E-2</c:v>
                </c:pt>
                <c:pt idx="67">
                  <c:v>8.6669999999999997E-2</c:v>
                </c:pt>
                <c:pt idx="68">
                  <c:v>8.5550000000000001E-2</c:v>
                </c:pt>
                <c:pt idx="69">
                  <c:v>8.0850000000000005E-2</c:v>
                </c:pt>
                <c:pt idx="70">
                  <c:v>7.5389999999999999E-2</c:v>
                </c:pt>
                <c:pt idx="71">
                  <c:v>8.3049999999999999E-2</c:v>
                </c:pt>
                <c:pt idx="72">
                  <c:v>8.2030000000000006E-2</c:v>
                </c:pt>
                <c:pt idx="73">
                  <c:v>8.8059999999999999E-2</c:v>
                </c:pt>
                <c:pt idx="74">
                  <c:v>8.974E-2</c:v>
                </c:pt>
                <c:pt idx="75">
                  <c:v>9.0310000000000001E-2</c:v>
                </c:pt>
                <c:pt idx="76">
                  <c:v>9.2259999999999995E-2</c:v>
                </c:pt>
                <c:pt idx="77">
                  <c:v>8.856E-2</c:v>
                </c:pt>
                <c:pt idx="78">
                  <c:v>8.5680000000000006E-2</c:v>
                </c:pt>
                <c:pt idx="79">
                  <c:v>9.0469999999999995E-2</c:v>
                </c:pt>
                <c:pt idx="80">
                  <c:v>9.2109999999999997E-2</c:v>
                </c:pt>
                <c:pt idx="81">
                  <c:v>9.7470000000000001E-2</c:v>
                </c:pt>
                <c:pt idx="82">
                  <c:v>8.9870000000000005E-2</c:v>
                </c:pt>
                <c:pt idx="83">
                  <c:v>8.8090000000000002E-2</c:v>
                </c:pt>
                <c:pt idx="84">
                  <c:v>8.7690000000000004E-2</c:v>
                </c:pt>
                <c:pt idx="85">
                  <c:v>9.0920000000000001E-2</c:v>
                </c:pt>
                <c:pt idx="86">
                  <c:v>8.6929999999999993E-2</c:v>
                </c:pt>
                <c:pt idx="87">
                  <c:v>8.4739999999999996E-2</c:v>
                </c:pt>
                <c:pt idx="88">
                  <c:v>8.4019999999999997E-2</c:v>
                </c:pt>
                <c:pt idx="89">
                  <c:v>8.3900000000000002E-2</c:v>
                </c:pt>
                <c:pt idx="90">
                  <c:v>8.0089999999999995E-2</c:v>
                </c:pt>
                <c:pt idx="91">
                  <c:v>7.8390000000000001E-2</c:v>
                </c:pt>
                <c:pt idx="92">
                  <c:v>7.6420000000000002E-2</c:v>
                </c:pt>
                <c:pt idx="93">
                  <c:v>8.3989999999999995E-2</c:v>
                </c:pt>
                <c:pt idx="94">
                  <c:v>8.43E-2</c:v>
                </c:pt>
                <c:pt idx="95">
                  <c:v>8.1790000000000002E-2</c:v>
                </c:pt>
                <c:pt idx="96">
                  <c:v>8.4169999999999995E-2</c:v>
                </c:pt>
                <c:pt idx="97">
                  <c:v>8.3150000000000002E-2</c:v>
                </c:pt>
                <c:pt idx="98">
                  <c:v>8.2610000000000003E-2</c:v>
                </c:pt>
                <c:pt idx="99">
                  <c:v>8.3970000000000003E-2</c:v>
                </c:pt>
                <c:pt idx="100">
                  <c:v>8.0729999999999996E-2</c:v>
                </c:pt>
                <c:pt idx="101">
                  <c:v>8.1170000000000006E-2</c:v>
                </c:pt>
                <c:pt idx="102">
                  <c:v>8.2040000000000002E-2</c:v>
                </c:pt>
                <c:pt idx="103">
                  <c:v>8.2949999999999996E-2</c:v>
                </c:pt>
                <c:pt idx="104">
                  <c:v>8.226E-2</c:v>
                </c:pt>
                <c:pt idx="105">
                  <c:v>8.2919999999999994E-2</c:v>
                </c:pt>
                <c:pt idx="106">
                  <c:v>8.2199999999999995E-2</c:v>
                </c:pt>
                <c:pt idx="107">
                  <c:v>8.0729999999999996E-2</c:v>
                </c:pt>
                <c:pt idx="108">
                  <c:v>8.2250000000000004E-2</c:v>
                </c:pt>
                <c:pt idx="109">
                  <c:v>8.2419999999999993E-2</c:v>
                </c:pt>
                <c:pt idx="110">
                  <c:v>8.5599999999999996E-2</c:v>
                </c:pt>
                <c:pt idx="111">
                  <c:v>8.5169999999999996E-2</c:v>
                </c:pt>
                <c:pt idx="112">
                  <c:v>8.3089999999999997E-2</c:v>
                </c:pt>
                <c:pt idx="113">
                  <c:v>8.4010000000000001E-2</c:v>
                </c:pt>
                <c:pt idx="114">
                  <c:v>8.4809999999999997E-2</c:v>
                </c:pt>
                <c:pt idx="115">
                  <c:v>8.2500000000000004E-2</c:v>
                </c:pt>
                <c:pt idx="116">
                  <c:v>8.5319999999999993E-2</c:v>
                </c:pt>
                <c:pt idx="117">
                  <c:v>8.584E-2</c:v>
                </c:pt>
                <c:pt idx="118">
                  <c:v>8.4199999999999997E-2</c:v>
                </c:pt>
                <c:pt idx="119">
                  <c:v>8.0750000000000002E-2</c:v>
                </c:pt>
                <c:pt idx="120">
                  <c:v>7.8560000000000005E-2</c:v>
                </c:pt>
                <c:pt idx="121">
                  <c:v>8.0009999999999998E-2</c:v>
                </c:pt>
                <c:pt idx="122">
                  <c:v>7.8759999999999997E-2</c:v>
                </c:pt>
                <c:pt idx="123">
                  <c:v>8.0409999999999995E-2</c:v>
                </c:pt>
                <c:pt idx="124">
                  <c:v>8.0379999999999993E-2</c:v>
                </c:pt>
                <c:pt idx="125">
                  <c:v>7.8350000000000003E-2</c:v>
                </c:pt>
                <c:pt idx="126">
                  <c:v>8.7090000000000001E-2</c:v>
                </c:pt>
                <c:pt idx="127">
                  <c:v>8.5620000000000002E-2</c:v>
                </c:pt>
                <c:pt idx="128">
                  <c:v>7.5620000000000007E-2</c:v>
                </c:pt>
                <c:pt idx="129">
                  <c:v>8.9719999999999994E-2</c:v>
                </c:pt>
                <c:pt idx="130">
                  <c:v>9.9510000000000001E-2</c:v>
                </c:pt>
                <c:pt idx="131">
                  <c:v>9.8290000000000002E-2</c:v>
                </c:pt>
                <c:pt idx="132">
                  <c:v>9.6879999999999994E-2</c:v>
                </c:pt>
                <c:pt idx="133">
                  <c:v>0.10111000000000001</c:v>
                </c:pt>
                <c:pt idx="134">
                  <c:v>0.10378999999999999</c:v>
                </c:pt>
                <c:pt idx="135">
                  <c:v>9.98E-2</c:v>
                </c:pt>
                <c:pt idx="136">
                  <c:v>0.10173</c:v>
                </c:pt>
                <c:pt idx="137">
                  <c:v>0.10308</c:v>
                </c:pt>
                <c:pt idx="138">
                  <c:v>9.7390000000000004E-2</c:v>
                </c:pt>
                <c:pt idx="139">
                  <c:v>9.9489999999999995E-2</c:v>
                </c:pt>
                <c:pt idx="140">
                  <c:v>9.2939999999999995E-2</c:v>
                </c:pt>
                <c:pt idx="141">
                  <c:v>8.9029999999999998E-2</c:v>
                </c:pt>
                <c:pt idx="142">
                  <c:v>9.0579999999999994E-2</c:v>
                </c:pt>
                <c:pt idx="143">
                  <c:v>0.11020000000000001</c:v>
                </c:pt>
                <c:pt idx="144">
                  <c:v>0.11082</c:v>
                </c:pt>
                <c:pt idx="145">
                  <c:v>0.10884000000000001</c:v>
                </c:pt>
                <c:pt idx="146">
                  <c:v>0.11098</c:v>
                </c:pt>
                <c:pt idx="147">
                  <c:v>0.11446000000000001</c:v>
                </c:pt>
                <c:pt idx="148">
                  <c:v>0.10589</c:v>
                </c:pt>
                <c:pt idx="149">
                  <c:v>0.10051</c:v>
                </c:pt>
                <c:pt idx="150">
                  <c:v>9.7919999999999993E-2</c:v>
                </c:pt>
                <c:pt idx="151">
                  <c:v>0.10381</c:v>
                </c:pt>
                <c:pt idx="152">
                  <c:v>9.8710000000000006E-2</c:v>
                </c:pt>
                <c:pt idx="153">
                  <c:v>9.7530000000000006E-2</c:v>
                </c:pt>
                <c:pt idx="154">
                  <c:v>9.3240000000000003E-2</c:v>
                </c:pt>
                <c:pt idx="155">
                  <c:v>0.100506</c:v>
                </c:pt>
                <c:pt idx="156">
                  <c:v>9.8900000000000002E-2</c:v>
                </c:pt>
                <c:pt idx="157">
                  <c:v>0.107651</c:v>
                </c:pt>
                <c:pt idx="158">
                  <c:v>0.101572</c:v>
                </c:pt>
                <c:pt idx="159">
                  <c:v>9.98E-2</c:v>
                </c:pt>
                <c:pt idx="160">
                  <c:v>0.102885</c:v>
                </c:pt>
                <c:pt idx="161">
                  <c:v>0.107215</c:v>
                </c:pt>
                <c:pt idx="162">
                  <c:v>8.3783999999999997E-2</c:v>
                </c:pt>
                <c:pt idx="163">
                  <c:v>8.3415000000000003E-2</c:v>
                </c:pt>
                <c:pt idx="164">
                  <c:v>8.9598999999999998E-2</c:v>
                </c:pt>
                <c:pt idx="165">
                  <c:v>9.0867000000000003E-2</c:v>
                </c:pt>
                <c:pt idx="166">
                  <c:v>8.7370000000000003E-2</c:v>
                </c:pt>
                <c:pt idx="167">
                  <c:v>8.7769E-2</c:v>
                </c:pt>
                <c:pt idx="168">
                  <c:v>8.4020999999999998E-2</c:v>
                </c:pt>
                <c:pt idx="169">
                  <c:v>8.9895000000000003E-2</c:v>
                </c:pt>
                <c:pt idx="170">
                  <c:v>7.6407000000000003E-2</c:v>
                </c:pt>
                <c:pt idx="171">
                  <c:v>7.578E-2</c:v>
                </c:pt>
                <c:pt idx="172">
                  <c:v>7.2499999999999995E-2</c:v>
                </c:pt>
                <c:pt idx="173">
                  <c:v>7.6123999999999997E-2</c:v>
                </c:pt>
                <c:pt idx="174">
                  <c:v>7.6515E-2</c:v>
                </c:pt>
                <c:pt idx="175">
                  <c:v>6.8748000000000004E-2</c:v>
                </c:pt>
                <c:pt idx="176">
                  <c:v>6.4899999999999999E-2</c:v>
                </c:pt>
                <c:pt idx="177">
                  <c:v>6.2299E-2</c:v>
                </c:pt>
                <c:pt idx="178">
                  <c:v>6.4702999999999997E-2</c:v>
                </c:pt>
                <c:pt idx="179">
                  <c:v>6.4443E-2</c:v>
                </c:pt>
                <c:pt idx="180">
                  <c:v>6.5796999999999994E-2</c:v>
                </c:pt>
                <c:pt idx="181">
                  <c:v>6.5590999999999997E-2</c:v>
                </c:pt>
                <c:pt idx="182">
                  <c:v>6.5606999999999999E-2</c:v>
                </c:pt>
                <c:pt idx="183">
                  <c:v>6.4734E-2</c:v>
                </c:pt>
                <c:pt idx="184">
                  <c:v>6.5710000000000005E-2</c:v>
                </c:pt>
                <c:pt idx="185">
                  <c:v>6.4475000000000005E-2</c:v>
                </c:pt>
                <c:pt idx="186">
                  <c:v>6.4799999999999996E-2</c:v>
                </c:pt>
                <c:pt idx="187">
                  <c:v>6.3317999999999999E-2</c:v>
                </c:pt>
                <c:pt idx="188">
                  <c:v>6.3653000000000001E-2</c:v>
                </c:pt>
                <c:pt idx="189">
                  <c:v>6.1996000000000002E-2</c:v>
                </c:pt>
                <c:pt idx="190">
                  <c:v>6.2447999999999997E-2</c:v>
                </c:pt>
                <c:pt idx="191">
                  <c:v>5.6875000000000002E-2</c:v>
                </c:pt>
                <c:pt idx="192">
                  <c:v>6.1338999999999998E-2</c:v>
                </c:pt>
                <c:pt idx="193">
                  <c:v>6.4884999999999998E-2</c:v>
                </c:pt>
                <c:pt idx="194">
                  <c:v>6.2205000000000003E-2</c:v>
                </c:pt>
                <c:pt idx="195">
                  <c:v>6.0621000000000001E-2</c:v>
                </c:pt>
                <c:pt idx="196">
                  <c:v>6.5007999999999996E-2</c:v>
                </c:pt>
                <c:pt idx="197">
                  <c:v>7.0041999999999993E-2</c:v>
                </c:pt>
                <c:pt idx="198">
                  <c:v>6.8594000000000002E-2</c:v>
                </c:pt>
                <c:pt idx="199">
                  <c:v>7.2230000000000003E-2</c:v>
                </c:pt>
                <c:pt idx="200">
                  <c:v>7.7244999999999994E-2</c:v>
                </c:pt>
                <c:pt idx="201">
                  <c:v>7.7429999999999999E-2</c:v>
                </c:pt>
                <c:pt idx="202">
                  <c:v>7.6099E-2</c:v>
                </c:pt>
                <c:pt idx="203">
                  <c:v>7.5664999999999996E-2</c:v>
                </c:pt>
                <c:pt idx="204">
                  <c:v>8.5468000000000002E-2</c:v>
                </c:pt>
                <c:pt idx="205">
                  <c:v>9.0524999999999994E-2</c:v>
                </c:pt>
                <c:pt idx="206">
                  <c:v>9.2096999999999998E-2</c:v>
                </c:pt>
                <c:pt idx="207">
                  <c:v>9.7210000000000005E-2</c:v>
                </c:pt>
                <c:pt idx="208">
                  <c:v>8.5858000000000004E-2</c:v>
                </c:pt>
                <c:pt idx="209">
                  <c:v>8.6300000000000002E-2</c:v>
                </c:pt>
                <c:pt idx="210">
                  <c:v>8.9391999999999999E-2</c:v>
                </c:pt>
                <c:pt idx="211">
                  <c:v>8.3998000000000003E-2</c:v>
                </c:pt>
                <c:pt idx="212">
                  <c:v>7.6668E-2</c:v>
                </c:pt>
                <c:pt idx="213">
                  <c:v>6.5945000000000004E-2</c:v>
                </c:pt>
                <c:pt idx="214">
                  <c:v>6.3500000000000001E-2</c:v>
                </c:pt>
                <c:pt idx="215">
                  <c:v>6.1992999999999999E-2</c:v>
                </c:pt>
                <c:pt idx="216">
                  <c:v>6.2309999999999997E-2</c:v>
                </c:pt>
                <c:pt idx="217">
                  <c:v>7.0553000000000005E-2</c:v>
                </c:pt>
                <c:pt idx="218">
                  <c:v>6.8231E-2</c:v>
                </c:pt>
                <c:pt idx="219">
                  <c:v>6.1822000000000002E-2</c:v>
                </c:pt>
                <c:pt idx="220">
                  <c:v>6.5953999999999999E-2</c:v>
                </c:pt>
                <c:pt idx="221">
                  <c:v>0.100241</c:v>
                </c:pt>
                <c:pt idx="222">
                  <c:v>9.3798999999999993E-2</c:v>
                </c:pt>
                <c:pt idx="223">
                  <c:v>0.10216500000000001</c:v>
                </c:pt>
                <c:pt idx="224">
                  <c:v>9.7645999999999997E-2</c:v>
                </c:pt>
                <c:pt idx="225">
                  <c:v>0.103017</c:v>
                </c:pt>
                <c:pt idx="226">
                  <c:v>0.103557</c:v>
                </c:pt>
                <c:pt idx="227">
                  <c:v>9.1617000000000004E-2</c:v>
                </c:pt>
                <c:pt idx="228">
                  <c:v>9.0228000000000003E-2</c:v>
                </c:pt>
                <c:pt idx="229">
                  <c:v>8.7451000000000001E-2</c:v>
                </c:pt>
                <c:pt idx="230">
                  <c:v>7.7299999999999994E-2</c:v>
                </c:pt>
                <c:pt idx="231">
                  <c:v>9.6414E-2</c:v>
                </c:pt>
                <c:pt idx="232">
                  <c:v>8.1533999999999995E-2</c:v>
                </c:pt>
                <c:pt idx="233">
                  <c:v>7.1309999999999998E-2</c:v>
                </c:pt>
                <c:pt idx="234">
                  <c:v>7.4445999999999998E-2</c:v>
                </c:pt>
                <c:pt idx="235">
                  <c:v>8.8789999999999994E-2</c:v>
                </c:pt>
                <c:pt idx="236">
                  <c:v>6.1263999999999999E-2</c:v>
                </c:pt>
                <c:pt idx="237">
                  <c:v>6.1565000000000002E-2</c:v>
                </c:pt>
                <c:pt idx="238">
                  <c:v>6.9000000000000006E-2</c:v>
                </c:pt>
                <c:pt idx="239">
                  <c:v>6.6177E-2</c:v>
                </c:pt>
                <c:pt idx="240">
                  <c:v>6.2526999999999999E-2</c:v>
                </c:pt>
                <c:pt idx="241">
                  <c:v>6.4954999999999999E-2</c:v>
                </c:pt>
                <c:pt idx="242">
                  <c:v>6.1263999999999999E-2</c:v>
                </c:pt>
                <c:pt idx="243">
                  <c:v>5.9235999999999997E-2</c:v>
                </c:pt>
                <c:pt idx="244">
                  <c:v>5.8757999999999998E-2</c:v>
                </c:pt>
                <c:pt idx="245">
                  <c:v>6.5140000000000003E-2</c:v>
                </c:pt>
                <c:pt idx="246">
                  <c:v>7.1359000000000006E-2</c:v>
                </c:pt>
                <c:pt idx="247">
                  <c:v>6.6700999999999996E-2</c:v>
                </c:pt>
                <c:pt idx="248">
                  <c:v>4.9599999999999998E-2</c:v>
                </c:pt>
                <c:pt idx="249">
                  <c:v>3.8399000000000003E-2</c:v>
                </c:pt>
                <c:pt idx="250">
                  <c:v>4.8029000000000002E-2</c:v>
                </c:pt>
                <c:pt idx="251">
                  <c:v>5.2080000000000001E-2</c:v>
                </c:pt>
                <c:pt idx="252">
                  <c:v>6.2352999999999999E-2</c:v>
                </c:pt>
                <c:pt idx="253">
                  <c:v>5.5941999999999999E-2</c:v>
                </c:pt>
                <c:pt idx="254">
                  <c:v>8.7193999999999994E-2</c:v>
                </c:pt>
                <c:pt idx="255">
                  <c:v>8.4824999999999998E-2</c:v>
                </c:pt>
                <c:pt idx="256">
                  <c:v>9.4565999999999997E-2</c:v>
                </c:pt>
                <c:pt idx="257">
                  <c:v>9.1911000000000007E-2</c:v>
                </c:pt>
                <c:pt idx="258">
                  <c:v>9.5350000000000004E-2</c:v>
                </c:pt>
                <c:pt idx="259">
                  <c:v>9.0620999999999993E-2</c:v>
                </c:pt>
                <c:pt idx="260">
                  <c:v>8.9150999999999994E-2</c:v>
                </c:pt>
                <c:pt idx="261">
                  <c:v>0.10630000000000001</c:v>
                </c:pt>
                <c:pt idx="262">
                  <c:v>0.10330499999999999</c:v>
                </c:pt>
                <c:pt idx="263">
                  <c:v>0.11899800000000001</c:v>
                </c:pt>
                <c:pt idx="264">
                  <c:v>0.11398</c:v>
                </c:pt>
                <c:pt idx="265">
                  <c:v>0.117177</c:v>
                </c:pt>
                <c:pt idx="266">
                  <c:v>0.11980300000000001</c:v>
                </c:pt>
                <c:pt idx="267">
                  <c:v>0.117562</c:v>
                </c:pt>
                <c:pt idx="268">
                  <c:v>0.108809</c:v>
                </c:pt>
                <c:pt idx="269">
                  <c:v>0.11945500000000001</c:v>
                </c:pt>
                <c:pt idx="270">
                  <c:v>0.113751</c:v>
                </c:pt>
                <c:pt idx="271">
                  <c:v>0.109319</c:v>
                </c:pt>
                <c:pt idx="272">
                  <c:v>0.11167299999999999</c:v>
                </c:pt>
                <c:pt idx="273">
                  <c:v>0.104655</c:v>
                </c:pt>
                <c:pt idx="274">
                  <c:v>0.104501</c:v>
                </c:pt>
                <c:pt idx="275">
                  <c:v>0.11060300000000001</c:v>
                </c:pt>
                <c:pt idx="276">
                  <c:v>0.113056</c:v>
                </c:pt>
                <c:pt idx="277">
                  <c:v>7.6948000000000003E-2</c:v>
                </c:pt>
                <c:pt idx="278">
                  <c:v>7.7634999999999996E-2</c:v>
                </c:pt>
                <c:pt idx="279">
                  <c:v>8.7231000000000003E-2</c:v>
                </c:pt>
                <c:pt idx="280">
                  <c:v>8.1713999999999995E-2</c:v>
                </c:pt>
                <c:pt idx="281">
                  <c:v>8.9458999999999997E-2</c:v>
                </c:pt>
                <c:pt idx="282">
                  <c:v>9.3016000000000001E-2</c:v>
                </c:pt>
                <c:pt idx="283">
                  <c:v>9.3742000000000006E-2</c:v>
                </c:pt>
                <c:pt idx="284">
                  <c:v>0.10326399999999999</c:v>
                </c:pt>
                <c:pt idx="285">
                  <c:v>0.117326</c:v>
                </c:pt>
                <c:pt idx="286">
                  <c:v>0.114367</c:v>
                </c:pt>
                <c:pt idx="287">
                  <c:v>0.125497</c:v>
                </c:pt>
                <c:pt idx="288">
                  <c:v>0.11669</c:v>
                </c:pt>
                <c:pt idx="289">
                  <c:v>0.1135</c:v>
                </c:pt>
                <c:pt idx="290">
                  <c:v>0.11842900000000001</c:v>
                </c:pt>
                <c:pt idx="291">
                  <c:v>0.1245</c:v>
                </c:pt>
                <c:pt idx="292">
                  <c:v>0.13007099999999999</c:v>
                </c:pt>
                <c:pt idx="293">
                  <c:v>0.131355</c:v>
                </c:pt>
                <c:pt idx="294">
                  <c:v>0.13508300000000001</c:v>
                </c:pt>
                <c:pt idx="295">
                  <c:v>0.118669</c:v>
                </c:pt>
                <c:pt idx="296">
                  <c:v>0.13212299999999999</c:v>
                </c:pt>
                <c:pt idx="297">
                  <c:v>0.145145</c:v>
                </c:pt>
                <c:pt idx="298">
                  <c:v>0.14038</c:v>
                </c:pt>
                <c:pt idx="299">
                  <c:v>0.13960700000000001</c:v>
                </c:pt>
                <c:pt idx="300">
                  <c:v>0.10849300000000001</c:v>
                </c:pt>
                <c:pt idx="301">
                  <c:v>0.116199</c:v>
                </c:pt>
                <c:pt idx="302">
                  <c:v>0.12978700000000001</c:v>
                </c:pt>
                <c:pt idx="303">
                  <c:v>0.125751</c:v>
                </c:pt>
                <c:pt idx="304">
                  <c:v>0.104</c:v>
                </c:pt>
                <c:pt idx="305">
                  <c:v>8.8931999999999997E-2</c:v>
                </c:pt>
                <c:pt idx="306">
                  <c:v>8.7386000000000005E-2</c:v>
                </c:pt>
                <c:pt idx="307">
                  <c:v>8.8982000000000006E-2</c:v>
                </c:pt>
                <c:pt idx="308">
                  <c:v>7.4514999999999998E-2</c:v>
                </c:pt>
                <c:pt idx="309">
                  <c:v>8.1498000000000001E-2</c:v>
                </c:pt>
                <c:pt idx="310">
                  <c:v>9.1499999999999998E-2</c:v>
                </c:pt>
                <c:pt idx="311">
                  <c:v>8.5350999999999996E-2</c:v>
                </c:pt>
                <c:pt idx="312">
                  <c:v>9.1335E-2</c:v>
                </c:pt>
                <c:pt idx="313">
                  <c:v>8.9474999999999999E-2</c:v>
                </c:pt>
                <c:pt idx="314">
                  <c:v>9.5205999999999999E-2</c:v>
                </c:pt>
                <c:pt idx="315">
                  <c:v>9.1760999999999995E-2</c:v>
                </c:pt>
                <c:pt idx="316">
                  <c:v>9.9628999999999995E-2</c:v>
                </c:pt>
                <c:pt idx="317">
                  <c:v>9.9652000000000004E-2</c:v>
                </c:pt>
                <c:pt idx="318">
                  <c:v>0.107207</c:v>
                </c:pt>
                <c:pt idx="319">
                  <c:v>0.115176</c:v>
                </c:pt>
                <c:pt idx="320">
                  <c:v>0.100998</c:v>
                </c:pt>
                <c:pt idx="321">
                  <c:v>8.9950000000000002E-2</c:v>
                </c:pt>
                <c:pt idx="322">
                  <c:v>9.3487000000000001E-2</c:v>
                </c:pt>
                <c:pt idx="323">
                  <c:v>8.4012000000000003E-2</c:v>
                </c:pt>
                <c:pt idx="324">
                  <c:v>9.1928999999999997E-2</c:v>
                </c:pt>
                <c:pt idx="325">
                  <c:v>6.7000000000000004E-2</c:v>
                </c:pt>
                <c:pt idx="326">
                  <c:v>5.9499999999999997E-2</c:v>
                </c:pt>
                <c:pt idx="327">
                  <c:v>4.7615999999999999E-2</c:v>
                </c:pt>
                <c:pt idx="328">
                  <c:v>5.1313999999999999E-2</c:v>
                </c:pt>
                <c:pt idx="329">
                  <c:v>4.5525000000000003E-2</c:v>
                </c:pt>
                <c:pt idx="330">
                  <c:v>3.7391000000000001E-2</c:v>
                </c:pt>
                <c:pt idx="331">
                  <c:v>3.5417999999999998E-2</c:v>
                </c:pt>
                <c:pt idx="332">
                  <c:v>3.6486999999999999E-2</c:v>
                </c:pt>
                <c:pt idx="333">
                  <c:v>3.3517999999999999E-2</c:v>
                </c:pt>
                <c:pt idx="334">
                  <c:v>3.6506999999999998E-2</c:v>
                </c:pt>
                <c:pt idx="335">
                  <c:v>3.5130000000000002E-2</c:v>
                </c:pt>
                <c:pt idx="336">
                  <c:v>3.5000999999999997E-2</c:v>
                </c:pt>
                <c:pt idx="337">
                  <c:v>3.6934000000000002E-2</c:v>
                </c:pt>
                <c:pt idx="338">
                  <c:v>3.4820999999999998E-2</c:v>
                </c:pt>
                <c:pt idx="339">
                  <c:v>4.3360999999999997E-2</c:v>
                </c:pt>
                <c:pt idx="340">
                  <c:v>4.6033999999999999E-2</c:v>
                </c:pt>
                <c:pt idx="341">
                  <c:v>4.6815000000000002E-2</c:v>
                </c:pt>
                <c:pt idx="342">
                  <c:v>4.9001000000000003E-2</c:v>
                </c:pt>
                <c:pt idx="343">
                  <c:v>5.1686000000000003E-2</c:v>
                </c:pt>
                <c:pt idx="344">
                  <c:v>4.8634999999999998E-2</c:v>
                </c:pt>
                <c:pt idx="345">
                  <c:v>4.2477000000000001E-2</c:v>
                </c:pt>
                <c:pt idx="346">
                  <c:v>4.1818000000000001E-2</c:v>
                </c:pt>
                <c:pt idx="347">
                  <c:v>4.4491999999999997E-2</c:v>
                </c:pt>
                <c:pt idx="348">
                  <c:v>4.7453000000000002E-2</c:v>
                </c:pt>
                <c:pt idx="349">
                  <c:v>4.4798999999999999E-2</c:v>
                </c:pt>
                <c:pt idx="350">
                  <c:v>3.9188000000000001E-2</c:v>
                </c:pt>
                <c:pt idx="351">
                  <c:v>3.7899000000000002E-2</c:v>
                </c:pt>
                <c:pt idx="352">
                  <c:v>3.2411000000000002E-2</c:v>
                </c:pt>
                <c:pt idx="353">
                  <c:v>3.0306E-2</c:v>
                </c:pt>
                <c:pt idx="354">
                  <c:v>2.9602E-2</c:v>
                </c:pt>
                <c:pt idx="355">
                  <c:v>3.0737E-2</c:v>
                </c:pt>
                <c:pt idx="356">
                  <c:v>3.2107999999999998E-2</c:v>
                </c:pt>
                <c:pt idx="357">
                  <c:v>2.9989999999999999E-2</c:v>
                </c:pt>
                <c:pt idx="358">
                  <c:v>3.0907E-2</c:v>
                </c:pt>
                <c:pt idx="359">
                  <c:v>2.8773E-2</c:v>
                </c:pt>
                <c:pt idx="360">
                  <c:v>2.5248E-2</c:v>
                </c:pt>
                <c:pt idx="361">
                  <c:v>2.3740000000000001E-2</c:v>
                </c:pt>
                <c:pt idx="362">
                  <c:v>2.2440000000000002E-2</c:v>
                </c:pt>
                <c:pt idx="363">
                  <c:v>2.3380999999999999E-2</c:v>
                </c:pt>
                <c:pt idx="364">
                  <c:v>2.3022000000000001E-2</c:v>
                </c:pt>
                <c:pt idx="365">
                  <c:v>2.1059000000000001E-2</c:v>
                </c:pt>
                <c:pt idx="366">
                  <c:v>2.3966000000000001E-2</c:v>
                </c:pt>
                <c:pt idx="367">
                  <c:v>2.3623999999999999E-2</c:v>
                </c:pt>
                <c:pt idx="368">
                  <c:v>2.6176000000000001E-2</c:v>
                </c:pt>
                <c:pt idx="369">
                  <c:v>2.4157000000000001E-2</c:v>
                </c:pt>
                <c:pt idx="370">
                  <c:v>2.324E-2</c:v>
                </c:pt>
                <c:pt idx="371">
                  <c:v>2.3529999999999999E-2</c:v>
                </c:pt>
                <c:pt idx="372">
                  <c:v>2.4808E-2</c:v>
                </c:pt>
                <c:pt idx="373">
                  <c:v>2.3328000000000002E-2</c:v>
                </c:pt>
                <c:pt idx="374">
                  <c:v>2.5527000000000001E-2</c:v>
                </c:pt>
                <c:pt idx="375">
                  <c:v>2.4608999999999999E-2</c:v>
                </c:pt>
                <c:pt idx="376">
                  <c:v>2.2148999999999999E-2</c:v>
                </c:pt>
                <c:pt idx="377">
                  <c:v>2.2280000000000001E-2</c:v>
                </c:pt>
                <c:pt idx="378">
                  <c:v>2.1444000000000001E-2</c:v>
                </c:pt>
                <c:pt idx="379">
                  <c:v>2.0421000000000002E-2</c:v>
                </c:pt>
                <c:pt idx="380">
                  <c:v>2.0167000000000001E-2</c:v>
                </c:pt>
                <c:pt idx="381">
                  <c:v>1.9945000000000001E-2</c:v>
                </c:pt>
                <c:pt idx="382">
                  <c:v>2.1645000000000001E-2</c:v>
                </c:pt>
                <c:pt idx="383">
                  <c:v>2.0299000000000001E-2</c:v>
                </c:pt>
                <c:pt idx="384">
                  <c:v>1.8959E-2</c:v>
                </c:pt>
                <c:pt idx="385">
                  <c:v>2.0131E-2</c:v>
                </c:pt>
                <c:pt idx="386">
                  <c:v>1.9701E-2</c:v>
                </c:pt>
                <c:pt idx="387">
                  <c:v>1.9095999999999998E-2</c:v>
                </c:pt>
                <c:pt idx="388">
                  <c:v>1.9637999999999999E-2</c:v>
                </c:pt>
                <c:pt idx="389">
                  <c:v>1.8239999999999999E-2</c:v>
                </c:pt>
                <c:pt idx="390">
                  <c:v>1.8273000000000001E-2</c:v>
                </c:pt>
                <c:pt idx="391">
                  <c:v>1.7587999999999999E-2</c:v>
                </c:pt>
                <c:pt idx="392">
                  <c:v>1.8318999999999998E-2</c:v>
                </c:pt>
                <c:pt idx="393">
                  <c:v>2.0205000000000001E-2</c:v>
                </c:pt>
                <c:pt idx="394">
                  <c:v>1.8245999999999998E-2</c:v>
                </c:pt>
                <c:pt idx="395">
                  <c:v>1.7666000000000001E-2</c:v>
                </c:pt>
                <c:pt idx="396">
                  <c:v>1.7065E-2</c:v>
                </c:pt>
                <c:pt idx="397">
                  <c:v>1.4741000000000001E-2</c:v>
                </c:pt>
                <c:pt idx="398">
                  <c:v>1.3912000000000001E-2</c:v>
                </c:pt>
                <c:pt idx="399">
                  <c:v>1.3617000000000001E-2</c:v>
                </c:pt>
                <c:pt idx="400">
                  <c:v>1.3299999999999999E-2</c:v>
                </c:pt>
                <c:pt idx="401">
                  <c:v>1.4581999999999999E-2</c:v>
                </c:pt>
                <c:pt idx="402">
                  <c:v>1.3906999999999999E-2</c:v>
                </c:pt>
                <c:pt idx="403">
                  <c:v>1.5247E-2</c:v>
                </c:pt>
                <c:pt idx="404">
                  <c:v>1.3278E-2</c:v>
                </c:pt>
                <c:pt idx="405">
                  <c:v>1.3558000000000001E-2</c:v>
                </c:pt>
                <c:pt idx="406">
                  <c:v>1.2189999999999999E-2</c:v>
                </c:pt>
                <c:pt idx="407">
                  <c:v>1.2593E-2</c:v>
                </c:pt>
                <c:pt idx="408">
                  <c:v>1.2264000000000001E-2</c:v>
                </c:pt>
                <c:pt idx="409">
                  <c:v>1.2718999999999999E-2</c:v>
                </c:pt>
                <c:pt idx="410">
                  <c:v>1.2505E-2</c:v>
                </c:pt>
                <c:pt idx="411">
                  <c:v>1.2135E-2</c:v>
                </c:pt>
                <c:pt idx="412">
                  <c:v>1.0999999999999999E-2</c:v>
                </c:pt>
                <c:pt idx="413">
                  <c:v>1.1499000000000001E-2</c:v>
                </c:pt>
                <c:pt idx="414">
                  <c:v>1.2125E-2</c:v>
                </c:pt>
                <c:pt idx="415">
                  <c:v>1.188E-2</c:v>
                </c:pt>
                <c:pt idx="416">
                  <c:v>1.3409000000000001E-2</c:v>
                </c:pt>
                <c:pt idx="417">
                  <c:v>1.3431E-2</c:v>
                </c:pt>
                <c:pt idx="418">
                  <c:v>1.4373E-2</c:v>
                </c:pt>
                <c:pt idx="419">
                  <c:v>1.2415000000000001E-2</c:v>
                </c:pt>
                <c:pt idx="420">
                  <c:v>1.2330000000000001E-2</c:v>
                </c:pt>
                <c:pt idx="421">
                  <c:v>1.2411E-2</c:v>
                </c:pt>
                <c:pt idx="422">
                  <c:v>1.175E-2</c:v>
                </c:pt>
                <c:pt idx="423">
                  <c:v>1.1671000000000001E-2</c:v>
                </c:pt>
                <c:pt idx="424">
                  <c:v>1.1754000000000001E-2</c:v>
                </c:pt>
                <c:pt idx="425">
                  <c:v>1.162E-2</c:v>
                </c:pt>
                <c:pt idx="426">
                  <c:v>1.1299E-2</c:v>
                </c:pt>
                <c:pt idx="427">
                  <c:v>1.1462999999999999E-2</c:v>
                </c:pt>
                <c:pt idx="428">
                  <c:v>1.3901999999999999E-2</c:v>
                </c:pt>
                <c:pt idx="429">
                  <c:v>1.3243E-2</c:v>
                </c:pt>
                <c:pt idx="430">
                  <c:v>1.2808999999999999E-2</c:v>
                </c:pt>
                <c:pt idx="431">
                  <c:v>1.2241E-2</c:v>
                </c:pt>
                <c:pt idx="432">
                  <c:v>1.273E-2</c:v>
                </c:pt>
                <c:pt idx="433">
                  <c:v>1.1610000000000001E-2</c:v>
                </c:pt>
                <c:pt idx="434">
                  <c:v>1.0668E-2</c:v>
                </c:pt>
                <c:pt idx="435">
                  <c:v>1.0900999999999999E-2</c:v>
                </c:pt>
                <c:pt idx="436">
                  <c:v>1.1098E-2</c:v>
                </c:pt>
                <c:pt idx="437">
                  <c:v>1.1237E-2</c:v>
                </c:pt>
                <c:pt idx="438">
                  <c:v>1.0900999999999999E-2</c:v>
                </c:pt>
                <c:pt idx="439">
                  <c:v>1.1287E-2</c:v>
                </c:pt>
                <c:pt idx="440">
                  <c:v>1.1598000000000001E-2</c:v>
                </c:pt>
                <c:pt idx="441">
                  <c:v>1.0971E-2</c:v>
                </c:pt>
                <c:pt idx="442">
                  <c:v>1.1488999999999999E-2</c:v>
                </c:pt>
                <c:pt idx="443">
                  <c:v>1.2592000000000001E-2</c:v>
                </c:pt>
                <c:pt idx="444">
                  <c:v>1.3377E-2</c:v>
                </c:pt>
                <c:pt idx="445">
                  <c:v>1.1623E-2</c:v>
                </c:pt>
                <c:pt idx="446">
                  <c:v>9.6369999999999997E-3</c:v>
                </c:pt>
                <c:pt idx="447">
                  <c:v>1.0179000000000001E-2</c:v>
                </c:pt>
                <c:pt idx="448">
                  <c:v>8.4150000000000006E-3</c:v>
                </c:pt>
                <c:pt idx="449">
                  <c:v>8.0420000000000005E-3</c:v>
                </c:pt>
                <c:pt idx="450">
                  <c:v>7.8869999999999999E-3</c:v>
                </c:pt>
                <c:pt idx="451">
                  <c:v>8.5100000000000002E-3</c:v>
                </c:pt>
                <c:pt idx="452">
                  <c:v>8.6650000000000008E-3</c:v>
                </c:pt>
                <c:pt idx="453">
                  <c:v>8.7410000000000005E-3</c:v>
                </c:pt>
                <c:pt idx="454">
                  <c:v>8.5520000000000006E-3</c:v>
                </c:pt>
                <c:pt idx="455">
                  <c:v>8.6070000000000001E-3</c:v>
                </c:pt>
                <c:pt idx="456">
                  <c:v>8.8050000000000003E-3</c:v>
                </c:pt>
                <c:pt idx="457">
                  <c:v>8.9599999999999992E-3</c:v>
                </c:pt>
                <c:pt idx="458">
                  <c:v>9.2259999999999998E-3</c:v>
                </c:pt>
                <c:pt idx="459">
                  <c:v>9.8469999999999999E-3</c:v>
                </c:pt>
                <c:pt idx="460">
                  <c:v>1.0067E-2</c:v>
                </c:pt>
                <c:pt idx="461">
                  <c:v>1.0092E-2</c:v>
                </c:pt>
                <c:pt idx="462">
                  <c:v>1.0212000000000001E-2</c:v>
                </c:pt>
                <c:pt idx="463">
                  <c:v>9.5069999999999998E-3</c:v>
                </c:pt>
                <c:pt idx="464">
                  <c:v>9.0130000000000002E-3</c:v>
                </c:pt>
                <c:pt idx="465">
                  <c:v>9.7400000000000004E-3</c:v>
                </c:pt>
                <c:pt idx="466">
                  <c:v>1.0239E-2</c:v>
                </c:pt>
                <c:pt idx="467">
                  <c:v>1.0285000000000001E-2</c:v>
                </c:pt>
                <c:pt idx="468">
                  <c:v>9.7649999999999994E-3</c:v>
                </c:pt>
                <c:pt idx="469">
                  <c:v>1.0508999999999999E-2</c:v>
                </c:pt>
                <c:pt idx="470">
                  <c:v>1.0536E-2</c:v>
                </c:pt>
                <c:pt idx="471">
                  <c:v>1.1361E-2</c:v>
                </c:pt>
                <c:pt idx="472">
                  <c:v>1.1623E-2</c:v>
                </c:pt>
                <c:pt idx="473">
                  <c:v>1.1547999999999999E-2</c:v>
                </c:pt>
                <c:pt idx="474">
                  <c:v>1.1395000000000001E-2</c:v>
                </c:pt>
                <c:pt idx="475">
                  <c:v>1.1648E-2</c:v>
                </c:pt>
                <c:pt idx="476">
                  <c:v>1.1089999999999999E-2</c:v>
                </c:pt>
                <c:pt idx="477">
                  <c:v>1.0043E-2</c:v>
                </c:pt>
                <c:pt idx="478">
                  <c:v>1.0181000000000001E-2</c:v>
                </c:pt>
                <c:pt idx="479">
                  <c:v>1.2277E-2</c:v>
                </c:pt>
                <c:pt idx="480">
                  <c:v>1.2978E-2</c:v>
                </c:pt>
                <c:pt idx="481">
                  <c:v>1.3697000000000001E-2</c:v>
                </c:pt>
                <c:pt idx="482">
                  <c:v>1.3748E-2</c:v>
                </c:pt>
                <c:pt idx="483">
                  <c:v>1.5051E-2</c:v>
                </c:pt>
                <c:pt idx="484">
                  <c:v>1.6531000000000001E-2</c:v>
                </c:pt>
                <c:pt idx="485">
                  <c:v>1.7326999999999999E-2</c:v>
                </c:pt>
                <c:pt idx="486">
                  <c:v>1.7635000000000001E-2</c:v>
                </c:pt>
                <c:pt idx="487">
                  <c:v>1.8919999999999999E-2</c:v>
                </c:pt>
                <c:pt idx="488">
                  <c:v>1.9642E-2</c:v>
                </c:pt>
                <c:pt idx="489">
                  <c:v>1.9061000000000002E-2</c:v>
                </c:pt>
                <c:pt idx="490">
                  <c:v>1.898E-2</c:v>
                </c:pt>
                <c:pt idx="491">
                  <c:v>1.6570000000000001E-2</c:v>
                </c:pt>
                <c:pt idx="492">
                  <c:v>2.0353E-2</c:v>
                </c:pt>
                <c:pt idx="493">
                  <c:v>1.8159999999999999E-2</c:v>
                </c:pt>
                <c:pt idx="494">
                  <c:v>2.0303000000000002E-2</c:v>
                </c:pt>
                <c:pt idx="495">
                  <c:v>2.1766000000000001E-2</c:v>
                </c:pt>
                <c:pt idx="496">
                  <c:v>2.0899000000000001E-2</c:v>
                </c:pt>
                <c:pt idx="497">
                  <c:v>1.9376000000000001E-2</c:v>
                </c:pt>
                <c:pt idx="498">
                  <c:v>1.9699000000000001E-2</c:v>
                </c:pt>
                <c:pt idx="499">
                  <c:v>1.9744999999999999E-2</c:v>
                </c:pt>
                <c:pt idx="500">
                  <c:v>2.2519999999999998E-2</c:v>
                </c:pt>
                <c:pt idx="501">
                  <c:v>1.9487999999999998E-2</c:v>
                </c:pt>
                <c:pt idx="502">
                  <c:v>2.1905999999999998E-2</c:v>
                </c:pt>
                <c:pt idx="503">
                  <c:v>2.0879999999999999E-2</c:v>
                </c:pt>
                <c:pt idx="504">
                  <c:v>2.1500999999999999E-2</c:v>
                </c:pt>
                <c:pt idx="505">
                  <c:v>2.0865999999999999E-2</c:v>
                </c:pt>
                <c:pt idx="506">
                  <c:v>1.9913E-2</c:v>
                </c:pt>
                <c:pt idx="507">
                  <c:v>1.6386999999999999E-2</c:v>
                </c:pt>
                <c:pt idx="508">
                  <c:v>1.7600000000000001E-2</c:v>
                </c:pt>
                <c:pt idx="509">
                  <c:v>1.5869000000000001E-2</c:v>
                </c:pt>
                <c:pt idx="510">
                  <c:v>2.0920999999999999E-2</c:v>
                </c:pt>
                <c:pt idx="511">
                  <c:v>2.0015999999999999E-2</c:v>
                </c:pt>
                <c:pt idx="512">
                  <c:v>2.6221999999999999E-2</c:v>
                </c:pt>
                <c:pt idx="513">
                  <c:v>2.9950000000000001E-2</c:v>
                </c:pt>
                <c:pt idx="514">
                  <c:v>3.1816999999999998E-2</c:v>
                </c:pt>
                <c:pt idx="515">
                  <c:v>2.9937999999999999E-2</c:v>
                </c:pt>
                <c:pt idx="516">
                  <c:v>3.1099000000000002E-2</c:v>
                </c:pt>
                <c:pt idx="517">
                  <c:v>2.7872000000000001E-2</c:v>
                </c:pt>
                <c:pt idx="518">
                  <c:v>2.8454E-2</c:v>
                </c:pt>
                <c:pt idx="519">
                  <c:v>3.3298000000000001E-2</c:v>
                </c:pt>
                <c:pt idx="520">
                  <c:v>2.7094E-2</c:v>
                </c:pt>
                <c:pt idx="521">
                  <c:v>2.6200000000000001E-2</c:v>
                </c:pt>
                <c:pt idx="522">
                  <c:v>2.4920999999999999E-2</c:v>
                </c:pt>
                <c:pt idx="523">
                  <c:v>2.5104999999999999E-2</c:v>
                </c:pt>
                <c:pt idx="524">
                  <c:v>2.4555E-2</c:v>
                </c:pt>
                <c:pt idx="525">
                  <c:v>2.9093000000000001E-2</c:v>
                </c:pt>
                <c:pt idx="526">
                  <c:v>2.5255E-2</c:v>
                </c:pt>
                <c:pt idx="527">
                  <c:v>2.4303999999999999E-2</c:v>
                </c:pt>
                <c:pt idx="528">
                  <c:v>2.4833000000000001E-2</c:v>
                </c:pt>
                <c:pt idx="529">
                  <c:v>2.4899000000000001E-2</c:v>
                </c:pt>
                <c:pt idx="530">
                  <c:v>2.4611999999999998E-2</c:v>
                </c:pt>
                <c:pt idx="531">
                  <c:v>2.5274000000000001E-2</c:v>
                </c:pt>
                <c:pt idx="532">
                  <c:v>2.4087000000000001E-2</c:v>
                </c:pt>
                <c:pt idx="533">
                  <c:v>2.4294E-2</c:v>
                </c:pt>
                <c:pt idx="534">
                  <c:v>2.4611000000000001E-2</c:v>
                </c:pt>
                <c:pt idx="535">
                  <c:v>2.7819E-2</c:v>
                </c:pt>
                <c:pt idx="536">
                  <c:v>2.3185999999999998E-2</c:v>
                </c:pt>
                <c:pt idx="537">
                  <c:v>2.1996000000000002E-2</c:v>
                </c:pt>
                <c:pt idx="538">
                  <c:v>2.2869E-2</c:v>
                </c:pt>
                <c:pt idx="539">
                  <c:v>2.0573000000000001E-2</c:v>
                </c:pt>
                <c:pt idx="540">
                  <c:v>1.8380000000000001E-2</c:v>
                </c:pt>
                <c:pt idx="541">
                  <c:v>1.6955000000000001E-2</c:v>
                </c:pt>
                <c:pt idx="542">
                  <c:v>1.4808E-2</c:v>
                </c:pt>
                <c:pt idx="543">
                  <c:v>1.4931E-2</c:v>
                </c:pt>
                <c:pt idx="544">
                  <c:v>1.4607E-2</c:v>
                </c:pt>
                <c:pt idx="545">
                  <c:v>1.4832E-2</c:v>
                </c:pt>
                <c:pt idx="546">
                  <c:v>1.6150000000000001E-2</c:v>
                </c:pt>
                <c:pt idx="547">
                  <c:v>1.585E-2</c:v>
                </c:pt>
                <c:pt idx="548">
                  <c:v>1.2874999999999999E-2</c:v>
                </c:pt>
                <c:pt idx="549">
                  <c:v>1.1939999999999999E-2</c:v>
                </c:pt>
                <c:pt idx="550">
                  <c:v>1.3115E-2</c:v>
                </c:pt>
                <c:pt idx="551">
                  <c:v>1.3465E-2</c:v>
                </c:pt>
                <c:pt idx="552">
                  <c:v>1.3276E-2</c:v>
                </c:pt>
                <c:pt idx="553">
                  <c:v>1.3782000000000001E-2</c:v>
                </c:pt>
                <c:pt idx="554">
                  <c:v>1.4085E-2</c:v>
                </c:pt>
                <c:pt idx="555">
                  <c:v>1.3828E-2</c:v>
                </c:pt>
                <c:pt idx="556">
                  <c:v>1.2648E-2</c:v>
                </c:pt>
                <c:pt idx="557">
                  <c:v>1.2048E-2</c:v>
                </c:pt>
                <c:pt idx="558">
                  <c:v>1.3426E-2</c:v>
                </c:pt>
                <c:pt idx="559">
                  <c:v>1.1838E-2</c:v>
                </c:pt>
                <c:pt idx="560">
                  <c:v>1.1426E-2</c:v>
                </c:pt>
                <c:pt idx="561">
                  <c:v>1.2048E-2</c:v>
                </c:pt>
                <c:pt idx="562">
                  <c:v>1.0925000000000001E-2</c:v>
                </c:pt>
                <c:pt idx="563">
                  <c:v>1.1306999999999999E-2</c:v>
                </c:pt>
                <c:pt idx="564">
                  <c:v>1.1544E-2</c:v>
                </c:pt>
                <c:pt idx="565">
                  <c:v>1.1089999999999999E-2</c:v>
                </c:pt>
                <c:pt idx="566">
                  <c:v>1.1956E-2</c:v>
                </c:pt>
                <c:pt idx="567">
                  <c:v>1.0451E-2</c:v>
                </c:pt>
                <c:pt idx="568">
                  <c:v>8.685E-3</c:v>
                </c:pt>
                <c:pt idx="569">
                  <c:v>8.123E-3</c:v>
                </c:pt>
                <c:pt idx="570">
                  <c:v>8.3230000000000005E-3</c:v>
                </c:pt>
                <c:pt idx="571">
                  <c:v>8.1119999999999994E-3</c:v>
                </c:pt>
                <c:pt idx="572">
                  <c:v>8.5089999999999992E-3</c:v>
                </c:pt>
                <c:pt idx="573">
                  <c:v>7.1539999999999998E-3</c:v>
                </c:pt>
                <c:pt idx="574">
                  <c:v>7.0569999999999999E-3</c:v>
                </c:pt>
                <c:pt idx="575">
                  <c:v>6.7060000000000002E-3</c:v>
                </c:pt>
                <c:pt idx="576">
                  <c:v>6.5909999999999996E-3</c:v>
                </c:pt>
                <c:pt idx="577">
                  <c:v>6.7400000000000003E-3</c:v>
                </c:pt>
                <c:pt idx="578">
                  <c:v>6.7400000000000003E-3</c:v>
                </c:pt>
                <c:pt idx="579">
                  <c:v>6.5929999999999999E-3</c:v>
                </c:pt>
                <c:pt idx="580">
                  <c:v>7.1149999999999998E-3</c:v>
                </c:pt>
                <c:pt idx="581">
                  <c:v>7.3429999999999997E-3</c:v>
                </c:pt>
                <c:pt idx="582">
                  <c:v>7.2509999999999996E-3</c:v>
                </c:pt>
                <c:pt idx="583">
                  <c:v>7.6030000000000004E-3</c:v>
                </c:pt>
                <c:pt idx="584">
                  <c:v>7.4079999999999997E-3</c:v>
                </c:pt>
                <c:pt idx="585">
                  <c:v>7.5129999999999997E-3</c:v>
                </c:pt>
                <c:pt idx="586">
                  <c:v>7.535E-3</c:v>
                </c:pt>
                <c:pt idx="587">
                  <c:v>7.4110000000000001E-3</c:v>
                </c:pt>
                <c:pt idx="588">
                  <c:v>7.5119999999999996E-3</c:v>
                </c:pt>
                <c:pt idx="589">
                  <c:v>7.7070000000000003E-3</c:v>
                </c:pt>
                <c:pt idx="590">
                  <c:v>7.2220000000000001E-3</c:v>
                </c:pt>
                <c:pt idx="591">
                  <c:v>7.0470000000000003E-3</c:v>
                </c:pt>
                <c:pt idx="592">
                  <c:v>7.1029999999999999E-3</c:v>
                </c:pt>
                <c:pt idx="593">
                  <c:v>7.3090000000000004E-3</c:v>
                </c:pt>
                <c:pt idx="594">
                  <c:v>7.0260000000000001E-3</c:v>
                </c:pt>
                <c:pt idx="595">
                  <c:v>6.8129999999999996E-3</c:v>
                </c:pt>
                <c:pt idx="596">
                  <c:v>7.7229999999999998E-3</c:v>
                </c:pt>
                <c:pt idx="597">
                  <c:v>7.5719999999999997E-3</c:v>
                </c:pt>
                <c:pt idx="598">
                  <c:v>7.4580000000000002E-3</c:v>
                </c:pt>
                <c:pt idx="599">
                  <c:v>7.3800000000000003E-3</c:v>
                </c:pt>
                <c:pt idx="600">
                  <c:v>7.4799999999999997E-3</c:v>
                </c:pt>
                <c:pt idx="601">
                  <c:v>7.5849999999999997E-3</c:v>
                </c:pt>
                <c:pt idx="602">
                  <c:v>7.4330000000000004E-3</c:v>
                </c:pt>
                <c:pt idx="603">
                  <c:v>7.4700000000000001E-3</c:v>
                </c:pt>
                <c:pt idx="604">
                  <c:v>7.3619999999999996E-3</c:v>
                </c:pt>
                <c:pt idx="605">
                  <c:v>7.9710000000000007E-3</c:v>
                </c:pt>
                <c:pt idx="606">
                  <c:v>7.1440000000000002E-3</c:v>
                </c:pt>
                <c:pt idx="607">
                  <c:v>7.0720000000000002E-3</c:v>
                </c:pt>
                <c:pt idx="608">
                  <c:v>7.1830000000000001E-3</c:v>
                </c:pt>
                <c:pt idx="609">
                  <c:v>7.1079999999999997E-3</c:v>
                </c:pt>
                <c:pt idx="610">
                  <c:v>6.973E-3</c:v>
                </c:pt>
                <c:pt idx="611">
                  <c:v>7.4530000000000004E-3</c:v>
                </c:pt>
                <c:pt idx="612">
                  <c:v>7.4099999999999999E-3</c:v>
                </c:pt>
                <c:pt idx="613">
                  <c:v>5.9839999999999997E-3</c:v>
                </c:pt>
                <c:pt idx="614">
                  <c:v>6.502E-3</c:v>
                </c:pt>
                <c:pt idx="615">
                  <c:v>6.143E-3</c:v>
                </c:pt>
                <c:pt idx="616">
                  <c:v>5.8300000000000001E-3</c:v>
                </c:pt>
                <c:pt idx="617">
                  <c:v>5.9080000000000001E-3</c:v>
                </c:pt>
                <c:pt idx="618">
                  <c:v>6.0610000000000004E-3</c:v>
                </c:pt>
                <c:pt idx="619">
                  <c:v>6.1330000000000004E-3</c:v>
                </c:pt>
                <c:pt idx="620">
                  <c:v>5.6800000000000002E-3</c:v>
                </c:pt>
                <c:pt idx="621">
                  <c:v>5.6969999999999998E-3</c:v>
                </c:pt>
                <c:pt idx="622">
                  <c:v>5.0899999999999999E-3</c:v>
                </c:pt>
                <c:pt idx="623">
                  <c:v>5.1139999999999996E-3</c:v>
                </c:pt>
                <c:pt idx="624">
                  <c:v>4.8919999999999996E-3</c:v>
                </c:pt>
                <c:pt idx="625">
                  <c:v>4.8320000000000004E-3</c:v>
                </c:pt>
                <c:pt idx="626">
                  <c:v>4.81E-3</c:v>
                </c:pt>
                <c:pt idx="627">
                  <c:v>4.6839999999999998E-3</c:v>
                </c:pt>
                <c:pt idx="628">
                  <c:v>5.1250000000000002E-3</c:v>
                </c:pt>
                <c:pt idx="629">
                  <c:v>5.0229999999999997E-3</c:v>
                </c:pt>
                <c:pt idx="630">
                  <c:v>5.0099999999999997E-3</c:v>
                </c:pt>
                <c:pt idx="631">
                  <c:v>4.8069999999999996E-3</c:v>
                </c:pt>
                <c:pt idx="632">
                  <c:v>5.0419999999999996E-3</c:v>
                </c:pt>
                <c:pt idx="633">
                  <c:v>5.0540000000000003E-3</c:v>
                </c:pt>
                <c:pt idx="634">
                  <c:v>5.2069999999999998E-3</c:v>
                </c:pt>
                <c:pt idx="635">
                  <c:v>5.3179999999999998E-3</c:v>
                </c:pt>
                <c:pt idx="636">
                  <c:v>5.3880000000000004E-3</c:v>
                </c:pt>
                <c:pt idx="637">
                  <c:v>5.13E-3</c:v>
                </c:pt>
                <c:pt idx="638">
                  <c:v>5.1960000000000001E-3</c:v>
                </c:pt>
                <c:pt idx="639">
                  <c:v>4.8250000000000003E-3</c:v>
                </c:pt>
                <c:pt idx="640">
                  <c:v>4.6189999999999998E-3</c:v>
                </c:pt>
                <c:pt idx="641">
                  <c:v>4.6860000000000001E-3</c:v>
                </c:pt>
                <c:pt idx="642">
                  <c:v>4.62E-3</c:v>
                </c:pt>
                <c:pt idx="643">
                  <c:v>4.5199999999999997E-3</c:v>
                </c:pt>
                <c:pt idx="644">
                  <c:v>4.4039999999999999E-3</c:v>
                </c:pt>
                <c:pt idx="645">
                  <c:v>4.4479999999999997E-3</c:v>
                </c:pt>
                <c:pt idx="646">
                  <c:v>4.2880000000000001E-3</c:v>
                </c:pt>
                <c:pt idx="647">
                  <c:v>4.2709999999999996E-3</c:v>
                </c:pt>
                <c:pt idx="648">
                  <c:v>4.5760000000000002E-3</c:v>
                </c:pt>
                <c:pt idx="649">
                  <c:v>4.7019999999999996E-3</c:v>
                </c:pt>
                <c:pt idx="650">
                  <c:v>4.4019999999999997E-3</c:v>
                </c:pt>
                <c:pt idx="651">
                  <c:v>4.352E-3</c:v>
                </c:pt>
                <c:pt idx="652">
                  <c:v>4.1149999999999997E-3</c:v>
                </c:pt>
                <c:pt idx="653">
                  <c:v>4.3680000000000004E-3</c:v>
                </c:pt>
                <c:pt idx="654">
                  <c:v>4.4149999999999997E-3</c:v>
                </c:pt>
                <c:pt idx="655">
                  <c:v>4.424E-3</c:v>
                </c:pt>
                <c:pt idx="656">
                  <c:v>4.3839999999999999E-3</c:v>
                </c:pt>
                <c:pt idx="657">
                  <c:v>4.4279999999999996E-3</c:v>
                </c:pt>
                <c:pt idx="658">
                  <c:v>4.9620000000000003E-3</c:v>
                </c:pt>
                <c:pt idx="659">
                  <c:v>5.0260000000000001E-3</c:v>
                </c:pt>
                <c:pt idx="660">
                  <c:v>4.8630000000000001E-3</c:v>
                </c:pt>
                <c:pt idx="661">
                  <c:v>4.7470000000000004E-3</c:v>
                </c:pt>
                <c:pt idx="662">
                  <c:v>4.4219999999999997E-3</c:v>
                </c:pt>
                <c:pt idx="663">
                  <c:v>4.5389999999999996E-3</c:v>
                </c:pt>
                <c:pt idx="664">
                  <c:v>4.4270000000000004E-3</c:v>
                </c:pt>
                <c:pt idx="665">
                  <c:v>4.4060000000000002E-3</c:v>
                </c:pt>
                <c:pt idx="666">
                  <c:v>4.5409999999999999E-3</c:v>
                </c:pt>
                <c:pt idx="667">
                  <c:v>4.0949999999999997E-3</c:v>
                </c:pt>
                <c:pt idx="668">
                  <c:v>3.9779999999999998E-3</c:v>
                </c:pt>
                <c:pt idx="669">
                  <c:v>3.6419999999999998E-3</c:v>
                </c:pt>
                <c:pt idx="670">
                  <c:v>3.9399999999999999E-3</c:v>
                </c:pt>
                <c:pt idx="671">
                  <c:v>4.0000000000000001E-3</c:v>
                </c:pt>
                <c:pt idx="672">
                  <c:v>4.0530000000000002E-3</c:v>
                </c:pt>
                <c:pt idx="673">
                  <c:v>3.9220000000000001E-3</c:v>
                </c:pt>
                <c:pt idx="674">
                  <c:v>3.9060000000000002E-3</c:v>
                </c:pt>
                <c:pt idx="675">
                  <c:v>4.0509999999999999E-3</c:v>
                </c:pt>
                <c:pt idx="676">
                  <c:v>3.5590000000000001E-3</c:v>
                </c:pt>
                <c:pt idx="677">
                  <c:v>3.9490000000000003E-3</c:v>
                </c:pt>
                <c:pt idx="678">
                  <c:v>3.859E-3</c:v>
                </c:pt>
                <c:pt idx="679">
                  <c:v>3.9319999999999997E-3</c:v>
                </c:pt>
                <c:pt idx="680">
                  <c:v>3.209E-3</c:v>
                </c:pt>
                <c:pt idx="681">
                  <c:v>3.1570000000000001E-3</c:v>
                </c:pt>
                <c:pt idx="682">
                  <c:v>2.9099999999999998E-3</c:v>
                </c:pt>
                <c:pt idx="683">
                  <c:v>3.5690000000000001E-3</c:v>
                </c:pt>
                <c:pt idx="684">
                  <c:v>3.5109999999999998E-3</c:v>
                </c:pt>
                <c:pt idx="685">
                  <c:v>3.64E-3</c:v>
                </c:pt>
                <c:pt idx="686">
                  <c:v>3.029E-3</c:v>
                </c:pt>
                <c:pt idx="687">
                  <c:v>6.4859999999999996E-3</c:v>
                </c:pt>
                <c:pt idx="688">
                  <c:v>6.6109999999999997E-3</c:v>
                </c:pt>
                <c:pt idx="689">
                  <c:v>6.3470000000000002E-3</c:v>
                </c:pt>
                <c:pt idx="690">
                  <c:v>6.306E-3</c:v>
                </c:pt>
                <c:pt idx="691">
                  <c:v>7.4700000000000001E-3</c:v>
                </c:pt>
                <c:pt idx="692">
                  <c:v>7.659E-3</c:v>
                </c:pt>
                <c:pt idx="693">
                  <c:v>7.7140000000000004E-3</c:v>
                </c:pt>
                <c:pt idx="694">
                  <c:v>7.4380000000000002E-3</c:v>
                </c:pt>
                <c:pt idx="695">
                  <c:v>7.1929999999999997E-3</c:v>
                </c:pt>
                <c:pt idx="696">
                  <c:v>7.3870000000000003E-3</c:v>
                </c:pt>
                <c:pt idx="697">
                  <c:v>6.7279999999999996E-3</c:v>
                </c:pt>
                <c:pt idx="698">
                  <c:v>6.9420000000000003E-3</c:v>
                </c:pt>
                <c:pt idx="699">
                  <c:v>7.0829999999999999E-3</c:v>
                </c:pt>
                <c:pt idx="700">
                  <c:v>7.0689999999999998E-3</c:v>
                </c:pt>
                <c:pt idx="701">
                  <c:v>6.7089999999999997E-3</c:v>
                </c:pt>
                <c:pt idx="702">
                  <c:v>7.5680000000000001E-3</c:v>
                </c:pt>
                <c:pt idx="703">
                  <c:v>8.3649999999999992E-3</c:v>
                </c:pt>
                <c:pt idx="704">
                  <c:v>9.0989999999999994E-3</c:v>
                </c:pt>
                <c:pt idx="705">
                  <c:v>8.7749999999999998E-3</c:v>
                </c:pt>
                <c:pt idx="706">
                  <c:v>8.9219999999999994E-3</c:v>
                </c:pt>
                <c:pt idx="707">
                  <c:v>8.3549999999999996E-3</c:v>
                </c:pt>
                <c:pt idx="708">
                  <c:v>8.744E-3</c:v>
                </c:pt>
                <c:pt idx="709">
                  <c:v>9.4699999999999993E-3</c:v>
                </c:pt>
                <c:pt idx="710">
                  <c:v>9.0900000000000009E-3</c:v>
                </c:pt>
                <c:pt idx="711">
                  <c:v>9.0220000000000005E-3</c:v>
                </c:pt>
                <c:pt idx="712">
                  <c:v>9.7890000000000008E-3</c:v>
                </c:pt>
                <c:pt idx="713">
                  <c:v>1.1018999999999999E-2</c:v>
                </c:pt>
                <c:pt idx="714">
                  <c:v>1.0723E-2</c:v>
                </c:pt>
                <c:pt idx="715">
                  <c:v>1.1084999999999999E-2</c:v>
                </c:pt>
                <c:pt idx="716">
                  <c:v>1.0279999999999999E-2</c:v>
                </c:pt>
                <c:pt idx="717">
                  <c:v>9.8460000000000006E-3</c:v>
                </c:pt>
                <c:pt idx="718">
                  <c:v>9.2250000000000006E-3</c:v>
                </c:pt>
                <c:pt idx="719">
                  <c:v>8.7449999999999993E-3</c:v>
                </c:pt>
                <c:pt idx="720">
                  <c:v>8.8280000000000008E-3</c:v>
                </c:pt>
                <c:pt idx="721">
                  <c:v>8.6420000000000004E-3</c:v>
                </c:pt>
                <c:pt idx="722">
                  <c:v>7.6990000000000001E-3</c:v>
                </c:pt>
                <c:pt idx="723">
                  <c:v>7.7840000000000001E-3</c:v>
                </c:pt>
                <c:pt idx="724">
                  <c:v>7.5750000000000001E-3</c:v>
                </c:pt>
                <c:pt idx="725">
                  <c:v>7.1669999999999998E-3</c:v>
                </c:pt>
                <c:pt idx="726">
                  <c:v>7.1999999999999998E-3</c:v>
                </c:pt>
                <c:pt idx="727">
                  <c:v>7.0159999999999997E-3</c:v>
                </c:pt>
                <c:pt idx="728">
                  <c:v>6.8279999999999999E-3</c:v>
                </c:pt>
                <c:pt idx="729">
                  <c:v>6.6290000000000003E-3</c:v>
                </c:pt>
                <c:pt idx="730">
                  <c:v>6.9280000000000001E-3</c:v>
                </c:pt>
                <c:pt idx="731">
                  <c:v>7.1069999999999996E-3</c:v>
                </c:pt>
                <c:pt idx="732">
                  <c:v>7.2899999999999996E-3</c:v>
                </c:pt>
                <c:pt idx="733">
                  <c:v>7.149E-3</c:v>
                </c:pt>
                <c:pt idx="734">
                  <c:v>7.149E-3</c:v>
                </c:pt>
                <c:pt idx="735">
                  <c:v>7.1329999999999996E-3</c:v>
                </c:pt>
                <c:pt idx="736">
                  <c:v>7.2119999999999997E-3</c:v>
                </c:pt>
                <c:pt idx="737">
                  <c:v>7.3930000000000003E-3</c:v>
                </c:pt>
                <c:pt idx="738">
                  <c:v>7.4099999999999999E-3</c:v>
                </c:pt>
                <c:pt idx="739">
                  <c:v>7.3489999999999996E-3</c:v>
                </c:pt>
                <c:pt idx="740">
                  <c:v>7.5180000000000004E-3</c:v>
                </c:pt>
                <c:pt idx="741">
                  <c:v>7.4689999999999999E-3</c:v>
                </c:pt>
                <c:pt idx="742">
                  <c:v>7.3509999999999999E-3</c:v>
                </c:pt>
                <c:pt idx="743">
                  <c:v>7.2839999999999997E-3</c:v>
                </c:pt>
                <c:pt idx="744">
                  <c:v>7.2179999999999996E-3</c:v>
                </c:pt>
                <c:pt idx="745">
                  <c:v>7.0530000000000002E-3</c:v>
                </c:pt>
                <c:pt idx="746">
                  <c:v>7.2979999999999998E-3</c:v>
                </c:pt>
                <c:pt idx="747">
                  <c:v>7.3920000000000001E-3</c:v>
                </c:pt>
                <c:pt idx="748">
                  <c:v>7.2649999999999998E-3</c:v>
                </c:pt>
                <c:pt idx="749">
                  <c:v>7.2509999999999996E-3</c:v>
                </c:pt>
                <c:pt idx="750">
                  <c:v>7.3920000000000001E-3</c:v>
                </c:pt>
                <c:pt idx="751">
                  <c:v>7.2030000000000002E-3</c:v>
                </c:pt>
                <c:pt idx="752">
                  <c:v>7.3569999999999998E-3</c:v>
                </c:pt>
                <c:pt idx="753">
                  <c:v>7.2350000000000001E-3</c:v>
                </c:pt>
                <c:pt idx="754">
                  <c:v>7.2989999999999999E-3</c:v>
                </c:pt>
                <c:pt idx="755">
                  <c:v>7.3299999999999997E-3</c:v>
                </c:pt>
                <c:pt idx="756">
                  <c:v>7.071E-3</c:v>
                </c:pt>
                <c:pt idx="757">
                  <c:v>7.7549999999999997E-3</c:v>
                </c:pt>
                <c:pt idx="758">
                  <c:v>7.9880000000000003E-3</c:v>
                </c:pt>
                <c:pt idx="759">
                  <c:v>6.9569999999999996E-3</c:v>
                </c:pt>
                <c:pt idx="760">
                  <c:v>7.0169999999999998E-3</c:v>
                </c:pt>
                <c:pt idx="761">
                  <c:v>7.2899999999999996E-3</c:v>
                </c:pt>
                <c:pt idx="763">
                  <c:v>7.2439999999999996E-3</c:v>
                </c:pt>
                <c:pt idx="764">
                  <c:v>7.0479999999999996E-3</c:v>
                </c:pt>
                <c:pt idx="765">
                  <c:v>7.1590000000000004E-3</c:v>
                </c:pt>
                <c:pt idx="766">
                  <c:v>7.3509999999999999E-3</c:v>
                </c:pt>
                <c:pt idx="767">
                  <c:v>7.2160000000000002E-3</c:v>
                </c:pt>
                <c:pt idx="768">
                  <c:v>7.4850000000000003E-3</c:v>
                </c:pt>
                <c:pt idx="769">
                  <c:v>7.8359999999999992E-3</c:v>
                </c:pt>
                <c:pt idx="770">
                  <c:v>7.5500000000000003E-3</c:v>
                </c:pt>
                <c:pt idx="771">
                  <c:v>7.5269999999999998E-3</c:v>
                </c:pt>
                <c:pt idx="772">
                  <c:v>7.3489999999999996E-3</c:v>
                </c:pt>
                <c:pt idx="773">
                  <c:v>6.6059999999999999E-3</c:v>
                </c:pt>
                <c:pt idx="774">
                  <c:v>7.711E-3</c:v>
                </c:pt>
                <c:pt idx="775">
                  <c:v>8.3719999999999992E-3</c:v>
                </c:pt>
                <c:pt idx="776">
                  <c:v>8.3549999999999996E-3</c:v>
                </c:pt>
                <c:pt idx="777">
                  <c:v>8.8260000000000005E-3</c:v>
                </c:pt>
                <c:pt idx="778">
                  <c:v>8.2889999999999995E-3</c:v>
                </c:pt>
                <c:pt idx="779">
                  <c:v>8.6890000000000005E-3</c:v>
                </c:pt>
                <c:pt idx="780">
                  <c:v>8.5880000000000001E-3</c:v>
                </c:pt>
                <c:pt idx="781">
                  <c:v>9.4999999999999998E-3</c:v>
                </c:pt>
                <c:pt idx="782">
                  <c:v>1.0349000000000001E-2</c:v>
                </c:pt>
                <c:pt idx="783">
                  <c:v>9.8340000000000007E-3</c:v>
                </c:pt>
                <c:pt idx="784">
                  <c:v>9.6299999999999997E-3</c:v>
                </c:pt>
                <c:pt idx="785">
                  <c:v>9.2999999999999992E-3</c:v>
                </c:pt>
                <c:pt idx="786">
                  <c:v>9.495E-3</c:v>
                </c:pt>
                <c:pt idx="787">
                  <c:v>9.2359999999999994E-3</c:v>
                </c:pt>
                <c:pt idx="788">
                  <c:v>8.7580000000000002E-3</c:v>
                </c:pt>
                <c:pt idx="789">
                  <c:v>8.3260000000000001E-3</c:v>
                </c:pt>
                <c:pt idx="790">
                  <c:v>8.5380000000000005E-3</c:v>
                </c:pt>
                <c:pt idx="791">
                  <c:v>8.8310000000000003E-3</c:v>
                </c:pt>
                <c:pt idx="792">
                  <c:v>8.6829999999999997E-3</c:v>
                </c:pt>
                <c:pt idx="793">
                  <c:v>8.6119999999999999E-3</c:v>
                </c:pt>
                <c:pt idx="794">
                  <c:v>8.4499999999999992E-3</c:v>
                </c:pt>
                <c:pt idx="795">
                  <c:v>8.352E-3</c:v>
                </c:pt>
                <c:pt idx="796">
                  <c:v>7.45E-3</c:v>
                </c:pt>
                <c:pt idx="797">
                  <c:v>8.0680000000000005E-3</c:v>
                </c:pt>
                <c:pt idx="798">
                  <c:v>7.8639999999999995E-3</c:v>
                </c:pt>
                <c:pt idx="799">
                  <c:v>8.4740000000000006E-3</c:v>
                </c:pt>
                <c:pt idx="800">
                  <c:v>9.1240000000000002E-3</c:v>
                </c:pt>
                <c:pt idx="801">
                  <c:v>9.2759999999999995E-3</c:v>
                </c:pt>
                <c:pt idx="802">
                  <c:v>9.4739999999999998E-3</c:v>
                </c:pt>
                <c:pt idx="803">
                  <c:v>1.0302E-2</c:v>
                </c:pt>
                <c:pt idx="804">
                  <c:v>1.0526000000000001E-2</c:v>
                </c:pt>
                <c:pt idx="805">
                  <c:v>1.0101000000000001E-2</c:v>
                </c:pt>
                <c:pt idx="806">
                  <c:v>9.9909999999999999E-3</c:v>
                </c:pt>
                <c:pt idx="807">
                  <c:v>1.0083999999999999E-2</c:v>
                </c:pt>
                <c:pt idx="808">
                  <c:v>1.0101000000000001E-2</c:v>
                </c:pt>
                <c:pt idx="809">
                  <c:v>1.0074E-2</c:v>
                </c:pt>
                <c:pt idx="810">
                  <c:v>1.0215999999999999E-2</c:v>
                </c:pt>
                <c:pt idx="811">
                  <c:v>1.0057E-2</c:v>
                </c:pt>
                <c:pt idx="812">
                  <c:v>9.9509999999999998E-3</c:v>
                </c:pt>
                <c:pt idx="813">
                  <c:v>1.0616E-2</c:v>
                </c:pt>
                <c:pt idx="814">
                  <c:v>1.0629E-2</c:v>
                </c:pt>
                <c:pt idx="815">
                  <c:v>1.0813E-2</c:v>
                </c:pt>
                <c:pt idx="816">
                  <c:v>1.0643E-2</c:v>
                </c:pt>
                <c:pt idx="817">
                  <c:v>1.0972000000000001E-2</c:v>
                </c:pt>
                <c:pt idx="818">
                  <c:v>1.0999E-2</c:v>
                </c:pt>
                <c:pt idx="819">
                  <c:v>1.1199000000000001E-2</c:v>
                </c:pt>
                <c:pt idx="820">
                  <c:v>1.0970000000000001E-2</c:v>
                </c:pt>
                <c:pt idx="821">
                  <c:v>1.0723999999999999E-2</c:v>
                </c:pt>
                <c:pt idx="822">
                  <c:v>1.0921999999999999E-2</c:v>
                </c:pt>
                <c:pt idx="823">
                  <c:v>1.065E-2</c:v>
                </c:pt>
                <c:pt idx="824">
                  <c:v>1.0834999999999999E-2</c:v>
                </c:pt>
                <c:pt idx="825">
                  <c:v>9.8759999999999994E-3</c:v>
                </c:pt>
                <c:pt idx="826">
                  <c:v>1.0947E-2</c:v>
                </c:pt>
                <c:pt idx="827">
                  <c:v>1.0973999999999999E-2</c:v>
                </c:pt>
                <c:pt idx="828">
                  <c:v>1.0973999999999999E-2</c:v>
                </c:pt>
                <c:pt idx="829">
                  <c:v>1.1924000000000001E-2</c:v>
                </c:pt>
                <c:pt idx="830">
                  <c:v>1.2714E-2</c:v>
                </c:pt>
                <c:pt idx="831">
                  <c:v>1.3370999999999999E-2</c:v>
                </c:pt>
                <c:pt idx="832">
                  <c:v>1.1389E-2</c:v>
                </c:pt>
                <c:pt idx="833">
                  <c:v>1.2315E-2</c:v>
                </c:pt>
                <c:pt idx="834">
                  <c:v>1.2683E-2</c:v>
                </c:pt>
                <c:pt idx="835">
                  <c:v>1.3108E-2</c:v>
                </c:pt>
                <c:pt idx="836">
                  <c:v>1.2626E-2</c:v>
                </c:pt>
                <c:pt idx="837">
                  <c:v>1.1147000000000001E-2</c:v>
                </c:pt>
                <c:pt idx="838">
                  <c:v>9.4990000000000005E-3</c:v>
                </c:pt>
                <c:pt idx="839">
                  <c:v>9.9220000000000003E-3</c:v>
                </c:pt>
                <c:pt idx="840">
                  <c:v>1.0168E-2</c:v>
                </c:pt>
                <c:pt idx="841">
                  <c:v>1.0000999999999999E-2</c:v>
                </c:pt>
                <c:pt idx="842">
                  <c:v>1.0696000000000001E-2</c:v>
                </c:pt>
                <c:pt idx="843">
                  <c:v>1.0999999999999999E-2</c:v>
                </c:pt>
                <c:pt idx="844">
                  <c:v>1.1354E-2</c:v>
                </c:pt>
                <c:pt idx="845">
                  <c:v>1.0966E-2</c:v>
                </c:pt>
                <c:pt idx="846">
                  <c:v>1.1929E-2</c:v>
                </c:pt>
                <c:pt idx="847">
                  <c:v>1.2088E-2</c:v>
                </c:pt>
                <c:pt idx="848">
                  <c:v>1.2251E-2</c:v>
                </c:pt>
                <c:pt idx="849">
                  <c:v>1.1573E-2</c:v>
                </c:pt>
                <c:pt idx="850">
                  <c:v>1.091E-2</c:v>
                </c:pt>
                <c:pt idx="851">
                  <c:v>1.1302E-2</c:v>
                </c:pt>
                <c:pt idx="852">
                  <c:v>1.1277000000000001E-2</c:v>
                </c:pt>
                <c:pt idx="853">
                  <c:v>1.2895E-2</c:v>
                </c:pt>
                <c:pt idx="854">
                  <c:v>1.1975E-2</c:v>
                </c:pt>
                <c:pt idx="855">
                  <c:v>1.1459E-2</c:v>
                </c:pt>
                <c:pt idx="856">
                  <c:v>9.5899999999999996E-3</c:v>
                </c:pt>
                <c:pt idx="857">
                  <c:v>9.0310000000000008E-3</c:v>
                </c:pt>
                <c:pt idx="858">
                  <c:v>9.6299999999999997E-3</c:v>
                </c:pt>
                <c:pt idx="859">
                  <c:v>1.0222E-2</c:v>
                </c:pt>
                <c:pt idx="860">
                  <c:v>1.1051E-2</c:v>
                </c:pt>
                <c:pt idx="861">
                  <c:v>1.1657000000000001E-2</c:v>
                </c:pt>
                <c:pt idx="862">
                  <c:v>1.0951000000000001E-2</c:v>
                </c:pt>
                <c:pt idx="863">
                  <c:v>1.2192E-2</c:v>
                </c:pt>
                <c:pt idx="864">
                  <c:v>1.3387E-2</c:v>
                </c:pt>
                <c:pt idx="865">
                  <c:v>9.0819999999999998E-3</c:v>
                </c:pt>
                <c:pt idx="866">
                  <c:v>7.979E-3</c:v>
                </c:pt>
                <c:pt idx="867">
                  <c:v>8.0499999999999999E-3</c:v>
                </c:pt>
                <c:pt idx="868">
                  <c:v>8.1860000000000006E-3</c:v>
                </c:pt>
                <c:pt idx="869">
                  <c:v>6.7619999999999998E-3</c:v>
                </c:pt>
                <c:pt idx="870">
                  <c:v>6.6909999999999999E-3</c:v>
                </c:pt>
                <c:pt idx="871">
                  <c:v>9.0089999999999996E-3</c:v>
                </c:pt>
                <c:pt idx="872">
                  <c:v>6.1729999999999997E-3</c:v>
                </c:pt>
                <c:pt idx="873">
                  <c:v>5.9459999999999999E-3</c:v>
                </c:pt>
                <c:pt idx="874">
                  <c:v>6.1830000000000001E-3</c:v>
                </c:pt>
                <c:pt idx="875">
                  <c:v>5.3330000000000001E-3</c:v>
                </c:pt>
                <c:pt idx="876">
                  <c:v>5.6649999999999999E-3</c:v>
                </c:pt>
                <c:pt idx="877">
                  <c:v>5.7340000000000004E-3</c:v>
                </c:pt>
                <c:pt idx="878">
                  <c:v>5.8809999999999999E-3</c:v>
                </c:pt>
                <c:pt idx="879">
                  <c:v>6.2690000000000003E-3</c:v>
                </c:pt>
                <c:pt idx="880">
                  <c:v>6.0990000000000003E-3</c:v>
                </c:pt>
                <c:pt idx="881">
                  <c:v>6.3350000000000004E-3</c:v>
                </c:pt>
                <c:pt idx="882">
                  <c:v>7.064E-3</c:v>
                </c:pt>
                <c:pt idx="883">
                  <c:v>6.3759999999999997E-3</c:v>
                </c:pt>
                <c:pt idx="884">
                  <c:v>7.0280000000000004E-3</c:v>
                </c:pt>
                <c:pt idx="885">
                  <c:v>8.2819999999999994E-3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7B-45D6-9D50-B46558AA235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3">
                  <c:v>43826</c:v>
                </c:pt>
                <c:pt idx="764">
                  <c:v>43825</c:v>
                </c:pt>
                <c:pt idx="765">
                  <c:v>43824</c:v>
                </c:pt>
                <c:pt idx="766">
                  <c:v>43823</c:v>
                </c:pt>
                <c:pt idx="767">
                  <c:v>43822</c:v>
                </c:pt>
                <c:pt idx="768">
                  <c:v>43821</c:v>
                </c:pt>
                <c:pt idx="769">
                  <c:v>43820</c:v>
                </c:pt>
                <c:pt idx="770">
                  <c:v>43819</c:v>
                </c:pt>
                <c:pt idx="771">
                  <c:v>43818</c:v>
                </c:pt>
                <c:pt idx="772">
                  <c:v>43817</c:v>
                </c:pt>
                <c:pt idx="773">
                  <c:v>43816</c:v>
                </c:pt>
                <c:pt idx="774">
                  <c:v>43815</c:v>
                </c:pt>
                <c:pt idx="775">
                  <c:v>43814</c:v>
                </c:pt>
                <c:pt idx="776">
                  <c:v>43813</c:v>
                </c:pt>
                <c:pt idx="777">
                  <c:v>43812</c:v>
                </c:pt>
                <c:pt idx="778">
                  <c:v>43811</c:v>
                </c:pt>
                <c:pt idx="779">
                  <c:v>43810</c:v>
                </c:pt>
                <c:pt idx="780">
                  <c:v>43809</c:v>
                </c:pt>
                <c:pt idx="781">
                  <c:v>43808</c:v>
                </c:pt>
                <c:pt idx="782">
                  <c:v>43807</c:v>
                </c:pt>
                <c:pt idx="783">
                  <c:v>43806</c:v>
                </c:pt>
                <c:pt idx="784">
                  <c:v>43805</c:v>
                </c:pt>
                <c:pt idx="785">
                  <c:v>43804</c:v>
                </c:pt>
                <c:pt idx="786">
                  <c:v>43803</c:v>
                </c:pt>
                <c:pt idx="787">
                  <c:v>43802</c:v>
                </c:pt>
                <c:pt idx="788">
                  <c:v>43801</c:v>
                </c:pt>
                <c:pt idx="789">
                  <c:v>43800</c:v>
                </c:pt>
                <c:pt idx="790">
                  <c:v>43799</c:v>
                </c:pt>
                <c:pt idx="791">
                  <c:v>43798</c:v>
                </c:pt>
                <c:pt idx="792">
                  <c:v>43797</c:v>
                </c:pt>
                <c:pt idx="793">
                  <c:v>43796</c:v>
                </c:pt>
                <c:pt idx="794">
                  <c:v>43795</c:v>
                </c:pt>
                <c:pt idx="795">
                  <c:v>43794</c:v>
                </c:pt>
                <c:pt idx="796">
                  <c:v>43793</c:v>
                </c:pt>
                <c:pt idx="797">
                  <c:v>43792</c:v>
                </c:pt>
                <c:pt idx="798">
                  <c:v>43791</c:v>
                </c:pt>
                <c:pt idx="799">
                  <c:v>43790</c:v>
                </c:pt>
                <c:pt idx="800">
                  <c:v>43789</c:v>
                </c:pt>
                <c:pt idx="801">
                  <c:v>43788</c:v>
                </c:pt>
                <c:pt idx="802">
                  <c:v>43787</c:v>
                </c:pt>
                <c:pt idx="803">
                  <c:v>43786</c:v>
                </c:pt>
                <c:pt idx="804">
                  <c:v>43785</c:v>
                </c:pt>
                <c:pt idx="805">
                  <c:v>43784</c:v>
                </c:pt>
                <c:pt idx="806">
                  <c:v>43783</c:v>
                </c:pt>
                <c:pt idx="807">
                  <c:v>43782</c:v>
                </c:pt>
                <c:pt idx="808">
                  <c:v>43781</c:v>
                </c:pt>
                <c:pt idx="809">
                  <c:v>43780</c:v>
                </c:pt>
                <c:pt idx="810">
                  <c:v>43779</c:v>
                </c:pt>
                <c:pt idx="811">
                  <c:v>43778</c:v>
                </c:pt>
                <c:pt idx="812">
                  <c:v>43777</c:v>
                </c:pt>
                <c:pt idx="813">
                  <c:v>43776</c:v>
                </c:pt>
                <c:pt idx="814">
                  <c:v>43775</c:v>
                </c:pt>
                <c:pt idx="815">
                  <c:v>43774</c:v>
                </c:pt>
                <c:pt idx="816">
                  <c:v>43773</c:v>
                </c:pt>
                <c:pt idx="817">
                  <c:v>43772</c:v>
                </c:pt>
                <c:pt idx="818">
                  <c:v>43771</c:v>
                </c:pt>
                <c:pt idx="819">
                  <c:v>43770</c:v>
                </c:pt>
                <c:pt idx="820">
                  <c:v>43769</c:v>
                </c:pt>
                <c:pt idx="821">
                  <c:v>43768</c:v>
                </c:pt>
                <c:pt idx="822">
                  <c:v>43767</c:v>
                </c:pt>
                <c:pt idx="823">
                  <c:v>43766</c:v>
                </c:pt>
                <c:pt idx="824">
                  <c:v>43765</c:v>
                </c:pt>
                <c:pt idx="825">
                  <c:v>43764</c:v>
                </c:pt>
                <c:pt idx="826">
                  <c:v>43763</c:v>
                </c:pt>
                <c:pt idx="827">
                  <c:v>43762</c:v>
                </c:pt>
                <c:pt idx="828">
                  <c:v>43761</c:v>
                </c:pt>
                <c:pt idx="829">
                  <c:v>43760</c:v>
                </c:pt>
                <c:pt idx="830">
                  <c:v>43759</c:v>
                </c:pt>
                <c:pt idx="831">
                  <c:v>43758</c:v>
                </c:pt>
                <c:pt idx="832">
                  <c:v>43757</c:v>
                </c:pt>
                <c:pt idx="833">
                  <c:v>43756</c:v>
                </c:pt>
                <c:pt idx="834">
                  <c:v>43755</c:v>
                </c:pt>
                <c:pt idx="835">
                  <c:v>43754</c:v>
                </c:pt>
                <c:pt idx="836">
                  <c:v>43753</c:v>
                </c:pt>
                <c:pt idx="837">
                  <c:v>43752</c:v>
                </c:pt>
                <c:pt idx="838">
                  <c:v>43751</c:v>
                </c:pt>
                <c:pt idx="839">
                  <c:v>43750</c:v>
                </c:pt>
                <c:pt idx="840">
                  <c:v>43749</c:v>
                </c:pt>
                <c:pt idx="841">
                  <c:v>43748</c:v>
                </c:pt>
                <c:pt idx="842">
                  <c:v>43747</c:v>
                </c:pt>
                <c:pt idx="843">
                  <c:v>43746</c:v>
                </c:pt>
                <c:pt idx="844">
                  <c:v>43745</c:v>
                </c:pt>
                <c:pt idx="845">
                  <c:v>43744</c:v>
                </c:pt>
                <c:pt idx="846">
                  <c:v>43743</c:v>
                </c:pt>
                <c:pt idx="847">
                  <c:v>43742</c:v>
                </c:pt>
                <c:pt idx="848">
                  <c:v>43741</c:v>
                </c:pt>
                <c:pt idx="849">
                  <c:v>43740</c:v>
                </c:pt>
                <c:pt idx="850">
                  <c:v>43739</c:v>
                </c:pt>
                <c:pt idx="851">
                  <c:v>43738</c:v>
                </c:pt>
                <c:pt idx="852">
                  <c:v>43737</c:v>
                </c:pt>
                <c:pt idx="853">
                  <c:v>43736</c:v>
                </c:pt>
                <c:pt idx="854">
                  <c:v>43735</c:v>
                </c:pt>
                <c:pt idx="855">
                  <c:v>43734</c:v>
                </c:pt>
                <c:pt idx="856">
                  <c:v>43733</c:v>
                </c:pt>
                <c:pt idx="857">
                  <c:v>43732</c:v>
                </c:pt>
                <c:pt idx="858">
                  <c:v>43731</c:v>
                </c:pt>
                <c:pt idx="859">
                  <c:v>43730</c:v>
                </c:pt>
                <c:pt idx="860">
                  <c:v>43729</c:v>
                </c:pt>
                <c:pt idx="861">
                  <c:v>43728</c:v>
                </c:pt>
                <c:pt idx="862">
                  <c:v>43727</c:v>
                </c:pt>
                <c:pt idx="863">
                  <c:v>43726</c:v>
                </c:pt>
                <c:pt idx="864">
                  <c:v>43725</c:v>
                </c:pt>
                <c:pt idx="865">
                  <c:v>43724</c:v>
                </c:pt>
                <c:pt idx="866">
                  <c:v>43723</c:v>
                </c:pt>
                <c:pt idx="867">
                  <c:v>43722</c:v>
                </c:pt>
                <c:pt idx="868">
                  <c:v>43721</c:v>
                </c:pt>
                <c:pt idx="869">
                  <c:v>43720</c:v>
                </c:pt>
                <c:pt idx="870">
                  <c:v>43719</c:v>
                </c:pt>
                <c:pt idx="871">
                  <c:v>43718</c:v>
                </c:pt>
                <c:pt idx="872">
                  <c:v>43717</c:v>
                </c:pt>
                <c:pt idx="873">
                  <c:v>43716</c:v>
                </c:pt>
                <c:pt idx="874">
                  <c:v>43715</c:v>
                </c:pt>
                <c:pt idx="875">
                  <c:v>43714</c:v>
                </c:pt>
                <c:pt idx="876">
                  <c:v>43713</c:v>
                </c:pt>
                <c:pt idx="877">
                  <c:v>43712</c:v>
                </c:pt>
                <c:pt idx="878">
                  <c:v>43711</c:v>
                </c:pt>
                <c:pt idx="879">
                  <c:v>43710</c:v>
                </c:pt>
                <c:pt idx="880">
                  <c:v>43709</c:v>
                </c:pt>
                <c:pt idx="881">
                  <c:v>43708</c:v>
                </c:pt>
                <c:pt idx="882">
                  <c:v>43707</c:v>
                </c:pt>
                <c:pt idx="883">
                  <c:v>43706</c:v>
                </c:pt>
                <c:pt idx="884">
                  <c:v>43705</c:v>
                </c:pt>
                <c:pt idx="885">
                  <c:v>43704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-44.18805320576859</c:v>
                </c:pt>
                <c:pt idx="1">
                  <c:v>-44.179440698340024</c:v>
                </c:pt>
                <c:pt idx="2">
                  <c:v>-44.05725662234002</c:v>
                </c:pt>
                <c:pt idx="3">
                  <c:v>-44.119551363723417</c:v>
                </c:pt>
                <c:pt idx="4">
                  <c:v>-44.225040299781114</c:v>
                </c:pt>
                <c:pt idx="5">
                  <c:v>-44.222205351978644</c:v>
                </c:pt>
                <c:pt idx="6">
                  <c:v>-44.223439036314048</c:v>
                </c:pt>
                <c:pt idx="7">
                  <c:v>-43.911100052190434</c:v>
                </c:pt>
                <c:pt idx="8">
                  <c:v>-43.668897284124917</c:v>
                </c:pt>
                <c:pt idx="9">
                  <c:v>-43.849418692983612</c:v>
                </c:pt>
                <c:pt idx="10">
                  <c:v>-43.850742317511916</c:v>
                </c:pt>
                <c:pt idx="11">
                  <c:v>-43.77473583865946</c:v>
                </c:pt>
                <c:pt idx="12">
                  <c:v>-43.460630202394988</c:v>
                </c:pt>
                <c:pt idx="13">
                  <c:v>-43.545784577339695</c:v>
                </c:pt>
                <c:pt idx="14">
                  <c:v>-43.56882470902287</c:v>
                </c:pt>
                <c:pt idx="15">
                  <c:v>-43.438838706498593</c:v>
                </c:pt>
                <c:pt idx="16">
                  <c:v>-43.477129791792706</c:v>
                </c:pt>
                <c:pt idx="17">
                  <c:v>-43.548470703540076</c:v>
                </c:pt>
                <c:pt idx="18">
                  <c:v>-43.473886930387906</c:v>
                </c:pt>
                <c:pt idx="19">
                  <c:v>-43.510811260387904</c:v>
                </c:pt>
                <c:pt idx="20">
                  <c:v>-43.432834286617414</c:v>
                </c:pt>
                <c:pt idx="21">
                  <c:v>-43.206268204177015</c:v>
                </c:pt>
                <c:pt idx="22">
                  <c:v>-43.147257787139978</c:v>
                </c:pt>
                <c:pt idx="23">
                  <c:v>-42.971300438051223</c:v>
                </c:pt>
                <c:pt idx="24">
                  <c:v>-42.771590713902292</c:v>
                </c:pt>
                <c:pt idx="25">
                  <c:v>-42.49711972516883</c:v>
                </c:pt>
                <c:pt idx="26">
                  <c:v>-42.415551180827364</c:v>
                </c:pt>
                <c:pt idx="27">
                  <c:v>-42.555719441709719</c:v>
                </c:pt>
                <c:pt idx="28">
                  <c:v>-42.354938545048064</c:v>
                </c:pt>
                <c:pt idx="29">
                  <c:v>-42.373491257603355</c:v>
                </c:pt>
                <c:pt idx="30">
                  <c:v>-42.119679565589699</c:v>
                </c:pt>
                <c:pt idx="31">
                  <c:v>-41.936356831564218</c:v>
                </c:pt>
                <c:pt idx="32">
                  <c:v>-41.82259142756422</c:v>
                </c:pt>
                <c:pt idx="33">
                  <c:v>-41.933570437034689</c:v>
                </c:pt>
                <c:pt idx="34">
                  <c:v>-41.700044915625881</c:v>
                </c:pt>
                <c:pt idx="35">
                  <c:v>-41.446030133894673</c:v>
                </c:pt>
                <c:pt idx="36">
                  <c:v>-41.600361808615858</c:v>
                </c:pt>
                <c:pt idx="37">
                  <c:v>-41.39325526637586</c:v>
                </c:pt>
                <c:pt idx="38">
                  <c:v>-41.562038266798396</c:v>
                </c:pt>
                <c:pt idx="39">
                  <c:v>-41.748688873074549</c:v>
                </c:pt>
                <c:pt idx="40">
                  <c:v>-41.247050016317786</c:v>
                </c:pt>
                <c:pt idx="41">
                  <c:v>-37.581857373440556</c:v>
                </c:pt>
                <c:pt idx="42">
                  <c:v>-37.742763408423414</c:v>
                </c:pt>
                <c:pt idx="43">
                  <c:v>-37.516510498423422</c:v>
                </c:pt>
                <c:pt idx="44">
                  <c:v>-37.71382835705564</c:v>
                </c:pt>
                <c:pt idx="45">
                  <c:v>-37.847040967434253</c:v>
                </c:pt>
                <c:pt idx="46">
                  <c:v>-37.401324063454574</c:v>
                </c:pt>
                <c:pt idx="47">
                  <c:v>-37.508302896047169</c:v>
                </c:pt>
                <c:pt idx="48">
                  <c:v>-37.532551449060108</c:v>
                </c:pt>
                <c:pt idx="49">
                  <c:v>-37.216130156188825</c:v>
                </c:pt>
                <c:pt idx="50">
                  <c:v>-36.906995151566079</c:v>
                </c:pt>
                <c:pt idx="51">
                  <c:v>-37.104096236852122</c:v>
                </c:pt>
                <c:pt idx="52">
                  <c:v>-36.839703352383744</c:v>
                </c:pt>
                <c:pt idx="53">
                  <c:v>-37.17053962300875</c:v>
                </c:pt>
                <c:pt idx="54">
                  <c:v>-36.919052946607302</c:v>
                </c:pt>
                <c:pt idx="55">
                  <c:v>-36.842369669734758</c:v>
                </c:pt>
                <c:pt idx="56">
                  <c:v>-35.664456073281634</c:v>
                </c:pt>
                <c:pt idx="57">
                  <c:v>-35.211127147759242</c:v>
                </c:pt>
                <c:pt idx="58">
                  <c:v>-35.824407024093027</c:v>
                </c:pt>
                <c:pt idx="59">
                  <c:v>-35.592806972708956</c:v>
                </c:pt>
                <c:pt idx="60">
                  <c:v>-35.489976069119585</c:v>
                </c:pt>
                <c:pt idx="61">
                  <c:v>-35.575369055127652</c:v>
                </c:pt>
                <c:pt idx="62">
                  <c:v>-35.579292691872745</c:v>
                </c:pt>
                <c:pt idx="63">
                  <c:v>-35.195847756900285</c:v>
                </c:pt>
                <c:pt idx="64">
                  <c:v>-35.33933863709413</c:v>
                </c:pt>
                <c:pt idx="65">
                  <c:v>-35.698769388952051</c:v>
                </c:pt>
                <c:pt idx="66">
                  <c:v>-35.647283700892352</c:v>
                </c:pt>
                <c:pt idx="67">
                  <c:v>-35.427157366729752</c:v>
                </c:pt>
                <c:pt idx="68">
                  <c:v>-33.966282135872603</c:v>
                </c:pt>
                <c:pt idx="69">
                  <c:v>-33.813721129133057</c:v>
                </c:pt>
                <c:pt idx="70">
                  <c:v>-33.990997376150602</c:v>
                </c:pt>
                <c:pt idx="71">
                  <c:v>-33.868823614057149</c:v>
                </c:pt>
                <c:pt idx="72">
                  <c:v>-34.009355171462907</c:v>
                </c:pt>
                <c:pt idx="73">
                  <c:v>-33.781364843865894</c:v>
                </c:pt>
                <c:pt idx="74">
                  <c:v>-33.478612358409585</c:v>
                </c:pt>
                <c:pt idx="75">
                  <c:v>-33.541023872472913</c:v>
                </c:pt>
                <c:pt idx="76">
                  <c:v>-32.717216343355261</c:v>
                </c:pt>
                <c:pt idx="77">
                  <c:v>-31.238126439633355</c:v>
                </c:pt>
                <c:pt idx="78">
                  <c:v>-31.354619017021108</c:v>
                </c:pt>
                <c:pt idx="79">
                  <c:v>-31.199794241116248</c:v>
                </c:pt>
                <c:pt idx="80">
                  <c:v>-31.225360135434428</c:v>
                </c:pt>
                <c:pt idx="81">
                  <c:v>-31.078862125237524</c:v>
                </c:pt>
                <c:pt idx="82">
                  <c:v>-31.724389793642736</c:v>
                </c:pt>
                <c:pt idx="83">
                  <c:v>-31.801056905967229</c:v>
                </c:pt>
                <c:pt idx="84">
                  <c:v>-31.652064892053406</c:v>
                </c:pt>
                <c:pt idx="85">
                  <c:v>-31.391027800658751</c:v>
                </c:pt>
                <c:pt idx="86">
                  <c:v>-31.585801494242286</c:v>
                </c:pt>
                <c:pt idx="87">
                  <c:v>-31.615231166539584</c:v>
                </c:pt>
                <c:pt idx="88">
                  <c:v>-31.613792824503221</c:v>
                </c:pt>
                <c:pt idx="89">
                  <c:v>-30.371430126530662</c:v>
                </c:pt>
                <c:pt idx="90">
                  <c:v>-30.648482103044749</c:v>
                </c:pt>
                <c:pt idx="91">
                  <c:v>-30.620279993769696</c:v>
                </c:pt>
                <c:pt idx="92">
                  <c:v>-30.632590016950122</c:v>
                </c:pt>
                <c:pt idx="93">
                  <c:v>-29.978096023661532</c:v>
                </c:pt>
                <c:pt idx="94">
                  <c:v>-29.764615805398986</c:v>
                </c:pt>
                <c:pt idx="95">
                  <c:v>-29.832740811673496</c:v>
                </c:pt>
                <c:pt idx="96">
                  <c:v>-29.646727419847409</c:v>
                </c:pt>
                <c:pt idx="97">
                  <c:v>-29.085612667305035</c:v>
                </c:pt>
                <c:pt idx="98">
                  <c:v>-28.994521130987579</c:v>
                </c:pt>
                <c:pt idx="99">
                  <c:v>-28.743605219876468</c:v>
                </c:pt>
                <c:pt idx="100">
                  <c:v>-28.938854045037754</c:v>
                </c:pt>
                <c:pt idx="101">
                  <c:v>-28.714976249717001</c:v>
                </c:pt>
                <c:pt idx="102">
                  <c:v>-28.677725616517002</c:v>
                </c:pt>
                <c:pt idx="103">
                  <c:v>-28.520422237368063</c:v>
                </c:pt>
                <c:pt idx="104">
                  <c:v>-28.437708283764927</c:v>
                </c:pt>
                <c:pt idx="105">
                  <c:v>-28.273159922802414</c:v>
                </c:pt>
                <c:pt idx="106">
                  <c:v>-28.140151927141567</c:v>
                </c:pt>
                <c:pt idx="107">
                  <c:v>-28.329456315986008</c:v>
                </c:pt>
                <c:pt idx="108">
                  <c:v>-28.389773989374589</c:v>
                </c:pt>
                <c:pt idx="109">
                  <c:v>-27.997094220747858</c:v>
                </c:pt>
                <c:pt idx="110">
                  <c:v>-27.800776983178796</c:v>
                </c:pt>
                <c:pt idx="111">
                  <c:v>-26.903695042199978</c:v>
                </c:pt>
                <c:pt idx="112">
                  <c:v>-26.849919445290315</c:v>
                </c:pt>
                <c:pt idx="113">
                  <c:v>-26.782954066384065</c:v>
                </c:pt>
                <c:pt idx="114">
                  <c:v>-26.760612182710197</c:v>
                </c:pt>
                <c:pt idx="115">
                  <c:v>-26.69842703565137</c:v>
                </c:pt>
                <c:pt idx="116">
                  <c:v>-26.537364907931657</c:v>
                </c:pt>
                <c:pt idx="117">
                  <c:v>-26.405481348345599</c:v>
                </c:pt>
                <c:pt idx="118">
                  <c:v>-26.388045768985133</c:v>
                </c:pt>
                <c:pt idx="119">
                  <c:v>-26.705991081985132</c:v>
                </c:pt>
                <c:pt idx="120">
                  <c:v>-26.787357246195654</c:v>
                </c:pt>
                <c:pt idx="121">
                  <c:v>-26.687210506436617</c:v>
                </c:pt>
                <c:pt idx="122">
                  <c:v>-26.289188400868436</c:v>
                </c:pt>
                <c:pt idx="123">
                  <c:v>-26.03226430660397</c:v>
                </c:pt>
                <c:pt idx="124">
                  <c:v>-26.020542634483974</c:v>
                </c:pt>
                <c:pt idx="125">
                  <c:v>-25.5927675837567</c:v>
                </c:pt>
                <c:pt idx="126">
                  <c:v>-25.425365413925832</c:v>
                </c:pt>
                <c:pt idx="127">
                  <c:v>-25.208350991688548</c:v>
                </c:pt>
                <c:pt idx="128">
                  <c:v>-25.552327455901825</c:v>
                </c:pt>
                <c:pt idx="129">
                  <c:v>-25.300414917223943</c:v>
                </c:pt>
                <c:pt idx="130">
                  <c:v>-25.107409656803771</c:v>
                </c:pt>
                <c:pt idx="131">
                  <c:v>-24.218126173462391</c:v>
                </c:pt>
                <c:pt idx="132">
                  <c:v>-23.912437154598216</c:v>
                </c:pt>
                <c:pt idx="133">
                  <c:v>-23.695715810562607</c:v>
                </c:pt>
                <c:pt idx="134">
                  <c:v>-23.678891995562605</c:v>
                </c:pt>
                <c:pt idx="135">
                  <c:v>-23.73611028560827</c:v>
                </c:pt>
                <c:pt idx="136">
                  <c:v>-23.698951189061503</c:v>
                </c:pt>
                <c:pt idx="137">
                  <c:v>-23.596125801152095</c:v>
                </c:pt>
                <c:pt idx="138">
                  <c:v>-23.671378612047622</c:v>
                </c:pt>
                <c:pt idx="139">
                  <c:v>-23.156419434624507</c:v>
                </c:pt>
                <c:pt idx="140">
                  <c:v>-22.534532659100638</c:v>
                </c:pt>
                <c:pt idx="141">
                  <c:v>-22.555133440951384</c:v>
                </c:pt>
                <c:pt idx="142">
                  <c:v>-22.655273805594565</c:v>
                </c:pt>
                <c:pt idx="143">
                  <c:v>-22.246786215114358</c:v>
                </c:pt>
                <c:pt idx="144">
                  <c:v>-22.424247372749829</c:v>
                </c:pt>
                <c:pt idx="145">
                  <c:v>-22.485067981818847</c:v>
                </c:pt>
                <c:pt idx="146">
                  <c:v>-22.569256104186042</c:v>
                </c:pt>
                <c:pt idx="147">
                  <c:v>-22.199214524875696</c:v>
                </c:pt>
                <c:pt idx="148">
                  <c:v>-22.384724359640437</c:v>
                </c:pt>
                <c:pt idx="149">
                  <c:v>-22.730083125657146</c:v>
                </c:pt>
                <c:pt idx="150">
                  <c:v>-22.731094655242515</c:v>
                </c:pt>
                <c:pt idx="151">
                  <c:v>-22.241240602333072</c:v>
                </c:pt>
                <c:pt idx="152">
                  <c:v>-22.076861787431213</c:v>
                </c:pt>
                <c:pt idx="153">
                  <c:v>-21.935682582480393</c:v>
                </c:pt>
                <c:pt idx="154">
                  <c:v>-22.286046470482194</c:v>
                </c:pt>
                <c:pt idx="155">
                  <c:v>-21.961705396293503</c:v>
                </c:pt>
                <c:pt idx="156">
                  <c:v>-22.057275711033927</c:v>
                </c:pt>
                <c:pt idx="157">
                  <c:v>-21.122956773510452</c:v>
                </c:pt>
                <c:pt idx="158">
                  <c:v>-21.436266932346658</c:v>
                </c:pt>
                <c:pt idx="159">
                  <c:v>-21.453426910561909</c:v>
                </c:pt>
                <c:pt idx="160">
                  <c:v>-20.770203192480373</c:v>
                </c:pt>
                <c:pt idx="161">
                  <c:v>-19.844224102023666</c:v>
                </c:pt>
                <c:pt idx="162">
                  <c:v>-23.262461718479031</c:v>
                </c:pt>
                <c:pt idx="163">
                  <c:v>-23.275830252665202</c:v>
                </c:pt>
                <c:pt idx="164">
                  <c:v>-22.659991213898245</c:v>
                </c:pt>
                <c:pt idx="165">
                  <c:v>-22.504106208770036</c:v>
                </c:pt>
                <c:pt idx="166">
                  <c:v>-22.684075555454399</c:v>
                </c:pt>
                <c:pt idx="167">
                  <c:v>-22.730370272169186</c:v>
                </c:pt>
                <c:pt idx="168">
                  <c:v>-22.648205553850755</c:v>
                </c:pt>
                <c:pt idx="169">
                  <c:v>-22.071843024603567</c:v>
                </c:pt>
                <c:pt idx="170">
                  <c:v>-22.686662381834228</c:v>
                </c:pt>
                <c:pt idx="171">
                  <c:v>-22.922505874150676</c:v>
                </c:pt>
                <c:pt idx="172">
                  <c:v>-23.191254041583697</c:v>
                </c:pt>
                <c:pt idx="173">
                  <c:v>-22.720065335866135</c:v>
                </c:pt>
                <c:pt idx="174">
                  <c:v>-22.909842998038993</c:v>
                </c:pt>
                <c:pt idx="175">
                  <c:v>-22.920400711339113</c:v>
                </c:pt>
                <c:pt idx="176">
                  <c:v>-23.117486331580686</c:v>
                </c:pt>
                <c:pt idx="177">
                  <c:v>-23.176542072656098</c:v>
                </c:pt>
                <c:pt idx="178">
                  <c:v>-23.050350691161437</c:v>
                </c:pt>
                <c:pt idx="179">
                  <c:v>-23.123833857794335</c:v>
                </c:pt>
                <c:pt idx="180">
                  <c:v>-22.854262811986459</c:v>
                </c:pt>
                <c:pt idx="181">
                  <c:v>-22.907844753483786</c:v>
                </c:pt>
                <c:pt idx="182">
                  <c:v>-23.043536167146907</c:v>
                </c:pt>
                <c:pt idx="183">
                  <c:v>-22.904775881917178</c:v>
                </c:pt>
                <c:pt idx="184">
                  <c:v>-23.001348687254914</c:v>
                </c:pt>
                <c:pt idx="185">
                  <c:v>-23.215850228844658</c:v>
                </c:pt>
                <c:pt idx="186">
                  <c:v>-22.821987326641143</c:v>
                </c:pt>
                <c:pt idx="187">
                  <c:v>-23.055566013739234</c:v>
                </c:pt>
                <c:pt idx="188">
                  <c:v>-22.971303979364727</c:v>
                </c:pt>
                <c:pt idx="189">
                  <c:v>-23.174969524211377</c:v>
                </c:pt>
                <c:pt idx="190">
                  <c:v>-23.1864647327764</c:v>
                </c:pt>
                <c:pt idx="191">
                  <c:v>-23.16863215973224</c:v>
                </c:pt>
                <c:pt idx="192">
                  <c:v>-22.881614326530038</c:v>
                </c:pt>
                <c:pt idx="193">
                  <c:v>-22.113617324407407</c:v>
                </c:pt>
                <c:pt idx="194">
                  <c:v>-21.691623337029291</c:v>
                </c:pt>
                <c:pt idx="195">
                  <c:v>-21.716704846005072</c:v>
                </c:pt>
                <c:pt idx="196">
                  <c:v>-21.371490436466615</c:v>
                </c:pt>
                <c:pt idx="197">
                  <c:v>-21.009590115572571</c:v>
                </c:pt>
                <c:pt idx="198">
                  <c:v>-21.163982363456515</c:v>
                </c:pt>
                <c:pt idx="199">
                  <c:v>-20.826968231404152</c:v>
                </c:pt>
                <c:pt idx="200">
                  <c:v>-20.577599332133637</c:v>
                </c:pt>
                <c:pt idx="201">
                  <c:v>-20.595610892486512</c:v>
                </c:pt>
                <c:pt idx="202">
                  <c:v>-20.664338808011038</c:v>
                </c:pt>
                <c:pt idx="203">
                  <c:v>-20.750571415589338</c:v>
                </c:pt>
                <c:pt idx="204">
                  <c:v>-19.980705639962672</c:v>
                </c:pt>
                <c:pt idx="205">
                  <c:v>-19.372628781760302</c:v>
                </c:pt>
                <c:pt idx="206">
                  <c:v>-18.407473235252596</c:v>
                </c:pt>
                <c:pt idx="207">
                  <c:v>-16.572666174552594</c:v>
                </c:pt>
                <c:pt idx="208">
                  <c:v>-17.293762379953979</c:v>
                </c:pt>
                <c:pt idx="209">
                  <c:v>-16.676972461731044</c:v>
                </c:pt>
                <c:pt idx="210">
                  <c:v>-15.313614514252052</c:v>
                </c:pt>
                <c:pt idx="211">
                  <c:v>-15.368200173855536</c:v>
                </c:pt>
                <c:pt idx="212">
                  <c:v>-16.432957591978706</c:v>
                </c:pt>
                <c:pt idx="213">
                  <c:v>-17.263480195817547</c:v>
                </c:pt>
                <c:pt idx="214">
                  <c:v>-17.60119967317727</c:v>
                </c:pt>
                <c:pt idx="215">
                  <c:v>-18.077897218507598</c:v>
                </c:pt>
                <c:pt idx="216">
                  <c:v>-18.28569757942908</c:v>
                </c:pt>
                <c:pt idx="217">
                  <c:v>-17.618853728565842</c:v>
                </c:pt>
                <c:pt idx="218">
                  <c:v>-18.042067960051213</c:v>
                </c:pt>
                <c:pt idx="219">
                  <c:v>-18.153767402152479</c:v>
                </c:pt>
                <c:pt idx="220">
                  <c:v>-18.325356128867647</c:v>
                </c:pt>
                <c:pt idx="221">
                  <c:v>-16.184854086505251</c:v>
                </c:pt>
                <c:pt idx="222">
                  <c:v>-16.898997201117616</c:v>
                </c:pt>
                <c:pt idx="223">
                  <c:v>-16.091578791578193</c:v>
                </c:pt>
                <c:pt idx="224">
                  <c:v>-16.376709850510732</c:v>
                </c:pt>
                <c:pt idx="225">
                  <c:v>-15.710304348088112</c:v>
                </c:pt>
                <c:pt idx="226">
                  <c:v>-13.781288853314038</c:v>
                </c:pt>
                <c:pt idx="227">
                  <c:v>-14.627836614576109</c:v>
                </c:pt>
                <c:pt idx="228">
                  <c:v>-15.048276603102371</c:v>
                </c:pt>
                <c:pt idx="229">
                  <c:v>-15.828651878552719</c:v>
                </c:pt>
                <c:pt idx="230">
                  <c:v>-16.380844146847487</c:v>
                </c:pt>
                <c:pt idx="231">
                  <c:v>-15.125319213225048</c:v>
                </c:pt>
                <c:pt idx="232">
                  <c:v>-16.691191373057855</c:v>
                </c:pt>
                <c:pt idx="233">
                  <c:v>-17.707989026395175</c:v>
                </c:pt>
                <c:pt idx="234">
                  <c:v>-15.02063772311808</c:v>
                </c:pt>
                <c:pt idx="235">
                  <c:v>-11.85259823181903</c:v>
                </c:pt>
                <c:pt idx="236">
                  <c:v>-12.687939776350575</c:v>
                </c:pt>
                <c:pt idx="237">
                  <c:v>-12.504588891894292</c:v>
                </c:pt>
                <c:pt idx="238">
                  <c:v>-12.390968702317947</c:v>
                </c:pt>
                <c:pt idx="239">
                  <c:v>-12.374475337373944</c:v>
                </c:pt>
                <c:pt idx="240">
                  <c:v>-12.553477614611532</c:v>
                </c:pt>
                <c:pt idx="241">
                  <c:v>-12.285484835270449</c:v>
                </c:pt>
                <c:pt idx="242">
                  <c:v>-12.44647120092689</c:v>
                </c:pt>
                <c:pt idx="243">
                  <c:v>-12.558148090398891</c:v>
                </c:pt>
                <c:pt idx="244">
                  <c:v>-12.591119811255854</c:v>
                </c:pt>
                <c:pt idx="245">
                  <c:v>-12.447926103387536</c:v>
                </c:pt>
                <c:pt idx="246">
                  <c:v>-12.188684077132008</c:v>
                </c:pt>
                <c:pt idx="247">
                  <c:v>-11.950334898895006</c:v>
                </c:pt>
                <c:pt idx="248">
                  <c:v>-13.532815656351705</c:v>
                </c:pt>
                <c:pt idx="249">
                  <c:v>-13.872928336798186</c:v>
                </c:pt>
                <c:pt idx="250">
                  <c:v>-13.798472557014236</c:v>
                </c:pt>
                <c:pt idx="251">
                  <c:v>-13.781198352380269</c:v>
                </c:pt>
                <c:pt idx="252">
                  <c:v>-13.669323683728473</c:v>
                </c:pt>
                <c:pt idx="253">
                  <c:v>-13.841265394133936</c:v>
                </c:pt>
                <c:pt idx="254">
                  <c:v>-13.598168455684261</c:v>
                </c:pt>
                <c:pt idx="255">
                  <c:v>-13.570440519470353</c:v>
                </c:pt>
                <c:pt idx="256">
                  <c:v>-13.419219119987712</c:v>
                </c:pt>
                <c:pt idx="257">
                  <c:v>-13.452286005818213</c:v>
                </c:pt>
                <c:pt idx="258">
                  <c:v>-13.042956101580488</c:v>
                </c:pt>
                <c:pt idx="259">
                  <c:v>-13.114459263353947</c:v>
                </c:pt>
                <c:pt idx="260">
                  <c:v>-13.013278955537952</c:v>
                </c:pt>
                <c:pt idx="261">
                  <c:v>-12.711348239640653</c:v>
                </c:pt>
                <c:pt idx="262">
                  <c:v>-12.953730105109813</c:v>
                </c:pt>
                <c:pt idx="263">
                  <c:v>-12.594199119704678</c:v>
                </c:pt>
                <c:pt idx="264">
                  <c:v>-13.071805656143605</c:v>
                </c:pt>
                <c:pt idx="265">
                  <c:v>-12.877715390427475</c:v>
                </c:pt>
                <c:pt idx="266">
                  <c:v>-12.857084768710356</c:v>
                </c:pt>
                <c:pt idx="267">
                  <c:v>-12.90861041942135</c:v>
                </c:pt>
                <c:pt idx="268">
                  <c:v>-13.279429670837308</c:v>
                </c:pt>
                <c:pt idx="269">
                  <c:v>-12.746673809357638</c:v>
                </c:pt>
                <c:pt idx="270">
                  <c:v>-12.419533113188216</c:v>
                </c:pt>
                <c:pt idx="271">
                  <c:v>-12.531844769138235</c:v>
                </c:pt>
                <c:pt idx="272">
                  <c:v>-12.403061083268813</c:v>
                </c:pt>
                <c:pt idx="273">
                  <c:v>-12.650758500246535</c:v>
                </c:pt>
                <c:pt idx="274">
                  <c:v>-12.593717496228045</c:v>
                </c:pt>
                <c:pt idx="275">
                  <c:v>-11.982192337488396</c:v>
                </c:pt>
                <c:pt idx="276">
                  <c:v>-11.409460510163457</c:v>
                </c:pt>
                <c:pt idx="277">
                  <c:v>-12.863411585529628</c:v>
                </c:pt>
                <c:pt idx="278">
                  <c:v>-12.555940968176166</c:v>
                </c:pt>
                <c:pt idx="279">
                  <c:v>-12.222554947145722</c:v>
                </c:pt>
                <c:pt idx="280">
                  <c:v>-13.011520116480465</c:v>
                </c:pt>
                <c:pt idx="281">
                  <c:v>-12.630141164528359</c:v>
                </c:pt>
                <c:pt idx="282">
                  <c:v>-12.343623111161101</c:v>
                </c:pt>
                <c:pt idx="283">
                  <c:v>-12.645313495029502</c:v>
                </c:pt>
                <c:pt idx="284">
                  <c:v>-12.35080066044779</c:v>
                </c:pt>
                <c:pt idx="285">
                  <c:v>-12.235375444716313</c:v>
                </c:pt>
                <c:pt idx="286">
                  <c:v>-11.944751022083052</c:v>
                </c:pt>
                <c:pt idx="287">
                  <c:v>-11.658930799168749</c:v>
                </c:pt>
                <c:pt idx="288">
                  <c:v>-12.018619297987794</c:v>
                </c:pt>
                <c:pt idx="289">
                  <c:v>-12.397165467028406</c:v>
                </c:pt>
                <c:pt idx="290">
                  <c:v>-12.186275203550816</c:v>
                </c:pt>
                <c:pt idx="291">
                  <c:v>-11.966446738126585</c:v>
                </c:pt>
                <c:pt idx="292">
                  <c:v>-11.731757903221544</c:v>
                </c:pt>
                <c:pt idx="293">
                  <c:v>-11.684353734426784</c:v>
                </c:pt>
                <c:pt idx="294">
                  <c:v>-11.469820751023732</c:v>
                </c:pt>
                <c:pt idx="295">
                  <c:v>-12.070302284002903</c:v>
                </c:pt>
                <c:pt idx="296">
                  <c:v>-11.753923328535489</c:v>
                </c:pt>
                <c:pt idx="297">
                  <c:v>-11.039572270839892</c:v>
                </c:pt>
                <c:pt idx="298">
                  <c:v>-10.798056704993614</c:v>
                </c:pt>
                <c:pt idx="299">
                  <c:v>-7.6525648231889916</c:v>
                </c:pt>
                <c:pt idx="300">
                  <c:v>-6.5415204202893547</c:v>
                </c:pt>
                <c:pt idx="301">
                  <c:v>-5.7811333440945019</c:v>
                </c:pt>
                <c:pt idx="302">
                  <c:v>-5.0051293570660826</c:v>
                </c:pt>
                <c:pt idx="303">
                  <c:v>-4.1439872101556885</c:v>
                </c:pt>
                <c:pt idx="304">
                  <c:v>-6.0765764418763997</c:v>
                </c:pt>
                <c:pt idx="305">
                  <c:v>-7.2700536588924178</c:v>
                </c:pt>
                <c:pt idx="306">
                  <c:v>-7.2914395936631164</c:v>
                </c:pt>
                <c:pt idx="307">
                  <c:v>-6.821466568000929</c:v>
                </c:pt>
                <c:pt idx="308">
                  <c:v>-7.7693882211396321</c:v>
                </c:pt>
                <c:pt idx="309">
                  <c:v>-7.490757695200454</c:v>
                </c:pt>
                <c:pt idx="310">
                  <c:v>-6.8550185004628252</c:v>
                </c:pt>
                <c:pt idx="311">
                  <c:v>-7.1431598294450529</c:v>
                </c:pt>
                <c:pt idx="312">
                  <c:v>-6.844708059922155</c:v>
                </c:pt>
                <c:pt idx="313">
                  <c:v>-7.1466096179084069</c:v>
                </c:pt>
                <c:pt idx="314">
                  <c:v>-6.7359806720184539</c:v>
                </c:pt>
                <c:pt idx="315">
                  <c:v>-6.8749643343300129</c:v>
                </c:pt>
                <c:pt idx="316">
                  <c:v>-6.5209644249158716</c:v>
                </c:pt>
                <c:pt idx="317">
                  <c:v>-7.2249807268799229</c:v>
                </c:pt>
                <c:pt idx="318">
                  <c:v>-6.7719867060090264</c:v>
                </c:pt>
                <c:pt idx="319">
                  <c:v>-6.1333778657873239</c:v>
                </c:pt>
                <c:pt idx="320">
                  <c:v>-6.6703342340315324</c:v>
                </c:pt>
                <c:pt idx="321">
                  <c:v>-6.8456810598411089</c:v>
                </c:pt>
                <c:pt idx="322">
                  <c:v>-6.6773407092016006</c:v>
                </c:pt>
                <c:pt idx="323">
                  <c:v>-7.6525951261362284</c:v>
                </c:pt>
                <c:pt idx="324">
                  <c:v>-4.6602570451700149</c:v>
                </c:pt>
                <c:pt idx="325">
                  <c:v>-6.692978718726442</c:v>
                </c:pt>
                <c:pt idx="326">
                  <c:v>-7.0777397529678554</c:v>
                </c:pt>
                <c:pt idx="327">
                  <c:v>-7.9597092967652081</c:v>
                </c:pt>
                <c:pt idx="328">
                  <c:v>-7.3827784283537072</c:v>
                </c:pt>
                <c:pt idx="329">
                  <c:v>-7.6844995538909862</c:v>
                </c:pt>
                <c:pt idx="330">
                  <c:v>-8.2889268472065787</c:v>
                </c:pt>
                <c:pt idx="331">
                  <c:v>-8.2893281898278044</c:v>
                </c:pt>
                <c:pt idx="332">
                  <c:v>-8.2992767365183227</c:v>
                </c:pt>
                <c:pt idx="333">
                  <c:v>-8.3604070478323589</c:v>
                </c:pt>
                <c:pt idx="334">
                  <c:v>-8.3140004818834417</c:v>
                </c:pt>
                <c:pt idx="335">
                  <c:v>-8.170598797514236</c:v>
                </c:pt>
                <c:pt idx="336">
                  <c:v>-8.2187632845172622</c:v>
                </c:pt>
                <c:pt idx="337">
                  <c:v>-8.0113270694430572</c:v>
                </c:pt>
                <c:pt idx="338">
                  <c:v>-8.064208639246651</c:v>
                </c:pt>
                <c:pt idx="339">
                  <c:v>-7.8693466193141921</c:v>
                </c:pt>
                <c:pt idx="340">
                  <c:v>-8.0689099807262075</c:v>
                </c:pt>
                <c:pt idx="341">
                  <c:v>-7.97581406496281</c:v>
                </c:pt>
                <c:pt idx="342">
                  <c:v>-7.9193171582323645</c:v>
                </c:pt>
                <c:pt idx="343">
                  <c:v>-7.7257514530043334</c:v>
                </c:pt>
                <c:pt idx="344">
                  <c:v>-7.8341010943010376</c:v>
                </c:pt>
                <c:pt idx="345">
                  <c:v>-8.1598911067907363</c:v>
                </c:pt>
                <c:pt idx="346">
                  <c:v>-7.597240048890356</c:v>
                </c:pt>
                <c:pt idx="347">
                  <c:v>-7.6247262520903556</c:v>
                </c:pt>
                <c:pt idx="348">
                  <c:v>-7.4705340234012461</c:v>
                </c:pt>
                <c:pt idx="349">
                  <c:v>-7.7131594285430065</c:v>
                </c:pt>
                <c:pt idx="350">
                  <c:v>-7.9667954459132595</c:v>
                </c:pt>
                <c:pt idx="351">
                  <c:v>-8.029224529047184</c:v>
                </c:pt>
                <c:pt idx="352">
                  <c:v>-8.5337984914674703</c:v>
                </c:pt>
                <c:pt idx="353">
                  <c:v>-8.6520581739137636</c:v>
                </c:pt>
                <c:pt idx="354">
                  <c:v>-8.6398570915009945</c:v>
                </c:pt>
                <c:pt idx="355">
                  <c:v>-8.6222966206942644</c:v>
                </c:pt>
                <c:pt idx="356">
                  <c:v>-8.2895834995776472</c:v>
                </c:pt>
                <c:pt idx="357">
                  <c:v>-8.4921310288736702</c:v>
                </c:pt>
                <c:pt idx="358">
                  <c:v>-8.4613844643132605</c:v>
                </c:pt>
                <c:pt idx="359">
                  <c:v>-8.6825757450665471</c:v>
                </c:pt>
                <c:pt idx="360">
                  <c:v>-8.9797309018787281</c:v>
                </c:pt>
                <c:pt idx="361">
                  <c:v>-9.3053395282157769</c:v>
                </c:pt>
                <c:pt idx="362">
                  <c:v>-9.369264448389325</c:v>
                </c:pt>
                <c:pt idx="363">
                  <c:v>-9.2632348256541857</c:v>
                </c:pt>
                <c:pt idx="364">
                  <c:v>-9.2705483030735394</c:v>
                </c:pt>
                <c:pt idx="365">
                  <c:v>-9.3412797321558489</c:v>
                </c:pt>
                <c:pt idx="366">
                  <c:v>-9.2670044315229383</c:v>
                </c:pt>
                <c:pt idx="367">
                  <c:v>-9.4059845526199286</c:v>
                </c:pt>
                <c:pt idx="368">
                  <c:v>-9.1971192263451975</c:v>
                </c:pt>
                <c:pt idx="369">
                  <c:v>-9.2857688754769949</c:v>
                </c:pt>
                <c:pt idx="370">
                  <c:v>-9.3680718744913705</c:v>
                </c:pt>
                <c:pt idx="371">
                  <c:v>-9.7272364927955408</c:v>
                </c:pt>
                <c:pt idx="372">
                  <c:v>-8.5575774110778511</c:v>
                </c:pt>
                <c:pt idx="373">
                  <c:v>-8.7308186050810921</c:v>
                </c:pt>
                <c:pt idx="374">
                  <c:v>-8.421061310212357</c:v>
                </c:pt>
                <c:pt idx="375">
                  <c:v>-8.4285363424934765</c:v>
                </c:pt>
                <c:pt idx="376">
                  <c:v>-8.8298562628477804</c:v>
                </c:pt>
                <c:pt idx="377">
                  <c:v>-8.5249306338913495</c:v>
                </c:pt>
                <c:pt idx="378">
                  <c:v>-8.5902929122869249</c:v>
                </c:pt>
                <c:pt idx="379">
                  <c:v>-8.6734579445172351</c:v>
                </c:pt>
                <c:pt idx="380">
                  <c:v>-8.7506702219869084</c:v>
                </c:pt>
                <c:pt idx="381">
                  <c:v>-8.5341016764639583</c:v>
                </c:pt>
                <c:pt idx="382">
                  <c:v>-7.3716689629617065</c:v>
                </c:pt>
                <c:pt idx="383">
                  <c:v>-7.3916274898916372</c:v>
                </c:pt>
                <c:pt idx="384">
                  <c:v>-7.6303980697393197</c:v>
                </c:pt>
                <c:pt idx="385">
                  <c:v>-7.4823750606961674</c:v>
                </c:pt>
                <c:pt idx="386">
                  <c:v>-7.3748601492663433</c:v>
                </c:pt>
                <c:pt idx="387">
                  <c:v>-7.5989093708655124</c:v>
                </c:pt>
                <c:pt idx="388">
                  <c:v>-7.5914491196696972</c:v>
                </c:pt>
                <c:pt idx="389">
                  <c:v>-7.9563272431075047</c:v>
                </c:pt>
                <c:pt idx="390">
                  <c:v>-7.9639266652819751</c:v>
                </c:pt>
                <c:pt idx="391">
                  <c:v>-8.0498595570426978</c:v>
                </c:pt>
                <c:pt idx="392">
                  <c:v>-7.6602561151201725</c:v>
                </c:pt>
                <c:pt idx="393">
                  <c:v>-6.9977214327020816</c:v>
                </c:pt>
                <c:pt idx="394">
                  <c:v>-7.1072802676203626</c:v>
                </c:pt>
                <c:pt idx="395">
                  <c:v>-7.3979391639839998</c:v>
                </c:pt>
                <c:pt idx="396">
                  <c:v>-7.600072317606986</c:v>
                </c:pt>
                <c:pt idx="397">
                  <c:v>-7.6225319055276559</c:v>
                </c:pt>
                <c:pt idx="398">
                  <c:v>-7.6888169452670709</c:v>
                </c:pt>
                <c:pt idx="399">
                  <c:v>-7.749159925613303</c:v>
                </c:pt>
                <c:pt idx="400">
                  <c:v>-7.9048136271138629</c:v>
                </c:pt>
                <c:pt idx="401">
                  <c:v>-7.6719955071725146</c:v>
                </c:pt>
                <c:pt idx="402">
                  <c:v>-7.6549498096460127</c:v>
                </c:pt>
                <c:pt idx="403">
                  <c:v>-7.4294866262107178</c:v>
                </c:pt>
                <c:pt idx="404">
                  <c:v>-3.291354860641341</c:v>
                </c:pt>
                <c:pt idx="405">
                  <c:v>-3.1822896546507011</c:v>
                </c:pt>
                <c:pt idx="406">
                  <c:v>-3.4684460657759666</c:v>
                </c:pt>
                <c:pt idx="407">
                  <c:v>-3.3346896267009907</c:v>
                </c:pt>
                <c:pt idx="408">
                  <c:v>-3.4594557294878765</c:v>
                </c:pt>
                <c:pt idx="409">
                  <c:v>-3.3602501869221881</c:v>
                </c:pt>
                <c:pt idx="410">
                  <c:v>-3.3825813112888956</c:v>
                </c:pt>
                <c:pt idx="411">
                  <c:v>-3.4796909255148374</c:v>
                </c:pt>
                <c:pt idx="412">
                  <c:v>-3.434733761970949</c:v>
                </c:pt>
                <c:pt idx="413">
                  <c:v>-3.4118307524413156</c:v>
                </c:pt>
                <c:pt idx="414">
                  <c:v>-3.290134663085865</c:v>
                </c:pt>
                <c:pt idx="415">
                  <c:v>-3.3725857017356544</c:v>
                </c:pt>
                <c:pt idx="416">
                  <c:v>-3.1789212488931184</c:v>
                </c:pt>
                <c:pt idx="417">
                  <c:v>-3.1478547496545404</c:v>
                </c:pt>
                <c:pt idx="418">
                  <c:v>-2.8592285987119532</c:v>
                </c:pt>
                <c:pt idx="419">
                  <c:v>-3.3987213726767518</c:v>
                </c:pt>
                <c:pt idx="420">
                  <c:v>-3.2662159671782933</c:v>
                </c:pt>
                <c:pt idx="421">
                  <c:v>-3.2092804666227384</c:v>
                </c:pt>
                <c:pt idx="422">
                  <c:v>-3.337775145988489</c:v>
                </c:pt>
                <c:pt idx="423">
                  <c:v>-3.2913939285971847</c:v>
                </c:pt>
                <c:pt idx="424">
                  <c:v>-3.2681699543478206</c:v>
                </c:pt>
                <c:pt idx="425">
                  <c:v>-3.3313018701125272</c:v>
                </c:pt>
                <c:pt idx="426">
                  <c:v>-3.2976237223051319</c:v>
                </c:pt>
                <c:pt idx="427">
                  <c:v>-3.3041160832006544</c:v>
                </c:pt>
                <c:pt idx="428">
                  <c:v>-3.1115186748470451</c:v>
                </c:pt>
                <c:pt idx="429">
                  <c:v>-3.205838113993833</c:v>
                </c:pt>
                <c:pt idx="430">
                  <c:v>-3.1497192350851733</c:v>
                </c:pt>
                <c:pt idx="431">
                  <c:v>-3.2361428252010027</c:v>
                </c:pt>
                <c:pt idx="432">
                  <c:v>-3.1303848808920169</c:v>
                </c:pt>
                <c:pt idx="433">
                  <c:v>-3.4445639328279816</c:v>
                </c:pt>
                <c:pt idx="434">
                  <c:v>-3.6660992371578791</c:v>
                </c:pt>
                <c:pt idx="435">
                  <c:v>-3.7177894767204553</c:v>
                </c:pt>
                <c:pt idx="436">
                  <c:v>-3.6901218463555745</c:v>
                </c:pt>
                <c:pt idx="437">
                  <c:v>-3.6142049852072495</c:v>
                </c:pt>
                <c:pt idx="438">
                  <c:v>-3.613401876321563</c:v>
                </c:pt>
                <c:pt idx="439">
                  <c:v>-3.530305257821563</c:v>
                </c:pt>
                <c:pt idx="440">
                  <c:v>-3.4819935787637473</c:v>
                </c:pt>
                <c:pt idx="441">
                  <c:v>-3.5168260321955871</c:v>
                </c:pt>
                <c:pt idx="442">
                  <c:v>-3.3801431698773161</c:v>
                </c:pt>
                <c:pt idx="443">
                  <c:v>-2.9598251720738067</c:v>
                </c:pt>
                <c:pt idx="444">
                  <c:v>-2.4766973123622682</c:v>
                </c:pt>
                <c:pt idx="445">
                  <c:v>-2.9143855590661794</c:v>
                </c:pt>
                <c:pt idx="446">
                  <c:v>-3.0341569573512568</c:v>
                </c:pt>
                <c:pt idx="447">
                  <c:v>-2.6642824279905266</c:v>
                </c:pt>
                <c:pt idx="448">
                  <c:v>-3.0339767852077335</c:v>
                </c:pt>
                <c:pt idx="449">
                  <c:v>-3.1269788742986431</c:v>
                </c:pt>
                <c:pt idx="450">
                  <c:v>-3.1874520706979297</c:v>
                </c:pt>
                <c:pt idx="451">
                  <c:v>-3.1187881877540042</c:v>
                </c:pt>
                <c:pt idx="452">
                  <c:v>-3.0357234110591915</c:v>
                </c:pt>
                <c:pt idx="453">
                  <c:v>-3.0257475666390605</c:v>
                </c:pt>
                <c:pt idx="454">
                  <c:v>-3.011117088378191</c:v>
                </c:pt>
                <c:pt idx="455">
                  <c:v>-3.12337860339917</c:v>
                </c:pt>
                <c:pt idx="456">
                  <c:v>-3.0537599048137087</c:v>
                </c:pt>
                <c:pt idx="457">
                  <c:v>-2.9788465402005286</c:v>
                </c:pt>
                <c:pt idx="458">
                  <c:v>-2.9240919827860798</c:v>
                </c:pt>
                <c:pt idx="459">
                  <c:v>-2.8534181850031914</c:v>
                </c:pt>
                <c:pt idx="460">
                  <c:v>-2.8424073044626512</c:v>
                </c:pt>
                <c:pt idx="461">
                  <c:v>-2.8573554486135935</c:v>
                </c:pt>
                <c:pt idx="462">
                  <c:v>-2.7021248346135929</c:v>
                </c:pt>
                <c:pt idx="463">
                  <c:v>-2.7453968561540631</c:v>
                </c:pt>
                <c:pt idx="464">
                  <c:v>-2.8030383045985072</c:v>
                </c:pt>
                <c:pt idx="465">
                  <c:v>-2.6495013377966536</c:v>
                </c:pt>
                <c:pt idx="466">
                  <c:v>-2.5377045796678193</c:v>
                </c:pt>
                <c:pt idx="467">
                  <c:v>-2.5400422868009249</c:v>
                </c:pt>
                <c:pt idx="468">
                  <c:v>-2.585221441583534</c:v>
                </c:pt>
                <c:pt idx="469">
                  <c:v>-2.5208599157457536</c:v>
                </c:pt>
                <c:pt idx="470">
                  <c:v>-2.5441433166022844</c:v>
                </c:pt>
                <c:pt idx="471">
                  <c:v>-2.4308057105884058</c:v>
                </c:pt>
                <c:pt idx="472">
                  <c:v>-2.346871302989622</c:v>
                </c:pt>
                <c:pt idx="473">
                  <c:v>-2.4243829706933253</c:v>
                </c:pt>
                <c:pt idx="474">
                  <c:v>-2.5215271357282898</c:v>
                </c:pt>
                <c:pt idx="475">
                  <c:v>-2.355453038326258</c:v>
                </c:pt>
                <c:pt idx="476">
                  <c:v>-2.4109921623766919</c:v>
                </c:pt>
                <c:pt idx="477">
                  <c:v>-2.6586700120938396</c:v>
                </c:pt>
                <c:pt idx="478">
                  <c:v>-2.8241039648485566</c:v>
                </c:pt>
                <c:pt idx="479">
                  <c:v>-2.3420678855242327</c:v>
                </c:pt>
                <c:pt idx="480">
                  <c:v>-2.2085674737279861</c:v>
                </c:pt>
                <c:pt idx="481">
                  <c:v>-2.0984186202033133</c:v>
                </c:pt>
                <c:pt idx="482">
                  <c:v>-2.0991682044347786</c:v>
                </c:pt>
                <c:pt idx="483">
                  <c:v>-1.5309521813392368</c:v>
                </c:pt>
                <c:pt idx="484">
                  <c:v>-0.37277322706148081</c:v>
                </c:pt>
                <c:pt idx="485">
                  <c:v>0.40654674324779372</c:v>
                </c:pt>
                <c:pt idx="486">
                  <c:v>0.53979432947908745</c:v>
                </c:pt>
                <c:pt idx="487">
                  <c:v>1.325976305166525</c:v>
                </c:pt>
                <c:pt idx="488">
                  <c:v>1.3198867712374616</c:v>
                </c:pt>
                <c:pt idx="489">
                  <c:v>1.6021021895892469</c:v>
                </c:pt>
                <c:pt idx="490">
                  <c:v>1.5675337590734872</c:v>
                </c:pt>
                <c:pt idx="491">
                  <c:v>1.0474272320022642</c:v>
                </c:pt>
                <c:pt idx="492">
                  <c:v>1.6096882762936808</c:v>
                </c:pt>
                <c:pt idx="493">
                  <c:v>1.3985126496447617</c:v>
                </c:pt>
                <c:pt idx="494">
                  <c:v>1.5770302019333431</c:v>
                </c:pt>
                <c:pt idx="495">
                  <c:v>1.6568114231578328</c:v>
                </c:pt>
                <c:pt idx="496">
                  <c:v>1.4632261494776053</c:v>
                </c:pt>
                <c:pt idx="497">
                  <c:v>1.2407703568855468</c:v>
                </c:pt>
                <c:pt idx="498">
                  <c:v>1.2794200660281418</c:v>
                </c:pt>
                <c:pt idx="499">
                  <c:v>1.0961425629735597</c:v>
                </c:pt>
                <c:pt idx="500">
                  <c:v>1.5954738726176887</c:v>
                </c:pt>
                <c:pt idx="501">
                  <c:v>1.0249393779728804</c:v>
                </c:pt>
                <c:pt idx="502">
                  <c:v>1.2504653817219245</c:v>
                </c:pt>
                <c:pt idx="503">
                  <c:v>1.1399539351287384</c:v>
                </c:pt>
                <c:pt idx="504">
                  <c:v>1.0639690863957074</c:v>
                </c:pt>
                <c:pt idx="505">
                  <c:v>1.0977353687675027</c:v>
                </c:pt>
                <c:pt idx="506">
                  <c:v>0.82356948033330679</c:v>
                </c:pt>
                <c:pt idx="507">
                  <c:v>0.19580006246530621</c:v>
                </c:pt>
                <c:pt idx="508">
                  <c:v>0.31339460717860929</c:v>
                </c:pt>
                <c:pt idx="509">
                  <c:v>-4.0551031140642979E-3</c:v>
                </c:pt>
                <c:pt idx="510">
                  <c:v>0.19853089141614166</c:v>
                </c:pt>
                <c:pt idx="511">
                  <c:v>-8.9824215587262814E-3</c:v>
                </c:pt>
                <c:pt idx="512">
                  <c:v>0.46137157902725157</c:v>
                </c:pt>
                <c:pt idx="513">
                  <c:v>0.70629160546648428</c:v>
                </c:pt>
                <c:pt idx="514">
                  <c:v>0.88223734193471182</c:v>
                </c:pt>
                <c:pt idx="515">
                  <c:v>0.46261348620322856</c:v>
                </c:pt>
                <c:pt idx="516">
                  <c:v>0.49386824367449345</c:v>
                </c:pt>
                <c:pt idx="517">
                  <c:v>0.23927119311196196</c:v>
                </c:pt>
                <c:pt idx="518">
                  <c:v>0.16636902933093062</c:v>
                </c:pt>
                <c:pt idx="519">
                  <c:v>0.43454913413836371</c:v>
                </c:pt>
                <c:pt idx="520">
                  <c:v>-0.66087667592524058</c:v>
                </c:pt>
                <c:pt idx="521">
                  <c:v>-0.79123455023920886</c:v>
                </c:pt>
                <c:pt idx="522">
                  <c:v>-0.96825805409365662</c:v>
                </c:pt>
                <c:pt idx="523">
                  <c:v>-1.0179594022857958</c:v>
                </c:pt>
                <c:pt idx="524">
                  <c:v>-1.3208239674198956</c:v>
                </c:pt>
                <c:pt idx="525">
                  <c:v>-0.82477669899183736</c:v>
                </c:pt>
                <c:pt idx="526">
                  <c:v>-1.2062320638794113</c:v>
                </c:pt>
                <c:pt idx="527">
                  <c:v>-1.3380190683397883</c:v>
                </c:pt>
                <c:pt idx="528">
                  <c:v>-1.0902581230167412</c:v>
                </c:pt>
                <c:pt idx="529">
                  <c:v>-1.2415611321910534</c:v>
                </c:pt>
                <c:pt idx="530">
                  <c:v>-1.2451587189192523</c:v>
                </c:pt>
                <c:pt idx="531">
                  <c:v>-1.157202591672875</c:v>
                </c:pt>
                <c:pt idx="532">
                  <c:v>-1.1040248267873793</c:v>
                </c:pt>
                <c:pt idx="533">
                  <c:v>-1.3186722938394835</c:v>
                </c:pt>
                <c:pt idx="534">
                  <c:v>-1.3915327018880894</c:v>
                </c:pt>
                <c:pt idx="535">
                  <c:v>-1.2167787500223082</c:v>
                </c:pt>
                <c:pt idx="536">
                  <c:v>-2.3673388338527857</c:v>
                </c:pt>
                <c:pt idx="537">
                  <c:v>-2.4657970000051557</c:v>
                </c:pt>
                <c:pt idx="538">
                  <c:v>-2.5204686971302168</c:v>
                </c:pt>
                <c:pt idx="539">
                  <c:v>-3.7808979064772763</c:v>
                </c:pt>
                <c:pt idx="540">
                  <c:v>-3.8404348870349896</c:v>
                </c:pt>
                <c:pt idx="541">
                  <c:v>-4.5109623226864999</c:v>
                </c:pt>
                <c:pt idx="542">
                  <c:v>-4.9753240861269159</c:v>
                </c:pt>
                <c:pt idx="543">
                  <c:v>-4.7551943551068119</c:v>
                </c:pt>
                <c:pt idx="544">
                  <c:v>-5.117503170314845</c:v>
                </c:pt>
                <c:pt idx="545">
                  <c:v>-4.9475002409088091</c:v>
                </c:pt>
                <c:pt idx="546">
                  <c:v>-4.6652850438609219</c:v>
                </c:pt>
                <c:pt idx="547">
                  <c:v>-4.9460382221916568</c:v>
                </c:pt>
                <c:pt idx="548">
                  <c:v>-6.333667937887931</c:v>
                </c:pt>
                <c:pt idx="549">
                  <c:v>-6.4254634996951596</c:v>
                </c:pt>
                <c:pt idx="550">
                  <c:v>-6.4796383446170047</c:v>
                </c:pt>
                <c:pt idx="551">
                  <c:v>-6.6767072315275735</c:v>
                </c:pt>
                <c:pt idx="552">
                  <c:v>-6.229572020074202</c:v>
                </c:pt>
                <c:pt idx="553">
                  <c:v>-6.1201863296666783</c:v>
                </c:pt>
                <c:pt idx="554">
                  <c:v>-5.9141616462021114</c:v>
                </c:pt>
                <c:pt idx="555">
                  <c:v>-5.5975809455583345</c:v>
                </c:pt>
                <c:pt idx="556">
                  <c:v>-6.089732535069083</c:v>
                </c:pt>
                <c:pt idx="557">
                  <c:v>-5.7802838994872081</c:v>
                </c:pt>
                <c:pt idx="558">
                  <c:v>-4.8814211797291431</c:v>
                </c:pt>
                <c:pt idx="559">
                  <c:v>-5.4956383510170843</c:v>
                </c:pt>
                <c:pt idx="560">
                  <c:v>-5.553070185530359</c:v>
                </c:pt>
                <c:pt idx="561">
                  <c:v>-5.4369825276704358</c:v>
                </c:pt>
                <c:pt idx="562">
                  <c:v>-5.6836942171726976</c:v>
                </c:pt>
                <c:pt idx="563">
                  <c:v>-5.412715394920883</c:v>
                </c:pt>
                <c:pt idx="564">
                  <c:v>-4.7825601929804193</c:v>
                </c:pt>
                <c:pt idx="565">
                  <c:v>-4.4351911540183435</c:v>
                </c:pt>
                <c:pt idx="566">
                  <c:v>-3.9491389813404836</c:v>
                </c:pt>
                <c:pt idx="567">
                  <c:v>-2.3257940172538287</c:v>
                </c:pt>
                <c:pt idx="568">
                  <c:v>-3.0327845513183451</c:v>
                </c:pt>
                <c:pt idx="569">
                  <c:v>-3.1752330283605978</c:v>
                </c:pt>
                <c:pt idx="570">
                  <c:v>-3.0084353668151445</c:v>
                </c:pt>
                <c:pt idx="571">
                  <c:v>-3.2376616691748565</c:v>
                </c:pt>
                <c:pt idx="572">
                  <c:v>-2.2794011241366872</c:v>
                </c:pt>
                <c:pt idx="573">
                  <c:v>-3.040757633897452</c:v>
                </c:pt>
                <c:pt idx="574">
                  <c:v>-2.987567492137722</c:v>
                </c:pt>
                <c:pt idx="575">
                  <c:v>-2.955000435255871</c:v>
                </c:pt>
                <c:pt idx="576">
                  <c:v>-2.976440901505871</c:v>
                </c:pt>
                <c:pt idx="577">
                  <c:v>-2.9341820565058705</c:v>
                </c:pt>
                <c:pt idx="578">
                  <c:v>-2.9426332369406532</c:v>
                </c:pt>
                <c:pt idx="579">
                  <c:v>-3.0895417125951035</c:v>
                </c:pt>
                <c:pt idx="580">
                  <c:v>-3.005147154353724</c:v>
                </c:pt>
                <c:pt idx="581">
                  <c:v>-2.9328739613888999</c:v>
                </c:pt>
                <c:pt idx="582">
                  <c:v>-2.9937141304739723</c:v>
                </c:pt>
                <c:pt idx="583">
                  <c:v>-2.8736762896779515</c:v>
                </c:pt>
                <c:pt idx="584">
                  <c:v>-2.8437403471406384</c:v>
                </c:pt>
                <c:pt idx="585">
                  <c:v>-2.7746996816116281</c:v>
                </c:pt>
                <c:pt idx="586">
                  <c:v>-2.6753341391116279</c:v>
                </c:pt>
                <c:pt idx="587">
                  <c:v>-2.7388207339896762</c:v>
                </c:pt>
                <c:pt idx="588">
                  <c:v>-2.7541779388953365</c:v>
                </c:pt>
                <c:pt idx="589">
                  <c:v>-2.5083118264141335</c:v>
                </c:pt>
                <c:pt idx="590">
                  <c:v>-2.7128550873708837</c:v>
                </c:pt>
                <c:pt idx="591">
                  <c:v>-2.7545632896174594</c:v>
                </c:pt>
                <c:pt idx="592">
                  <c:v>-2.8386984964876882</c:v>
                </c:pt>
                <c:pt idx="593">
                  <c:v>-2.8046934187376888</c:v>
                </c:pt>
                <c:pt idx="594">
                  <c:v>-2.8363614648915352</c:v>
                </c:pt>
                <c:pt idx="595">
                  <c:v>-2.8742645470343922</c:v>
                </c:pt>
                <c:pt idx="596">
                  <c:v>-2.6737050268073039</c:v>
                </c:pt>
                <c:pt idx="597">
                  <c:v>-2.5748490121240031</c:v>
                </c:pt>
                <c:pt idx="598">
                  <c:v>-2.6037365982004617</c:v>
                </c:pt>
                <c:pt idx="599">
                  <c:v>-2.6032235386620006</c:v>
                </c:pt>
                <c:pt idx="600">
                  <c:v>-2.631828936426706</c:v>
                </c:pt>
                <c:pt idx="601">
                  <c:v>-2.553491016426706</c:v>
                </c:pt>
                <c:pt idx="602">
                  <c:v>-2.6846435295596747</c:v>
                </c:pt>
                <c:pt idx="603">
                  <c:v>-2.6148196864235804</c:v>
                </c:pt>
                <c:pt idx="604">
                  <c:v>-2.4822604068575771</c:v>
                </c:pt>
                <c:pt idx="605">
                  <c:v>-1.9221019695848494</c:v>
                </c:pt>
                <c:pt idx="606">
                  <c:v>-2.1837380478694111</c:v>
                </c:pt>
                <c:pt idx="607">
                  <c:v>-2.2324226898694115</c:v>
                </c:pt>
                <c:pt idx="608">
                  <c:v>-2.0167763452581999</c:v>
                </c:pt>
                <c:pt idx="609">
                  <c:v>-2.00409157117888</c:v>
                </c:pt>
                <c:pt idx="610">
                  <c:v>-2.1539279555087769</c:v>
                </c:pt>
                <c:pt idx="611">
                  <c:v>-1.9427246360173906</c:v>
                </c:pt>
                <c:pt idx="612">
                  <c:v>-1.6861301627850678</c:v>
                </c:pt>
                <c:pt idx="613">
                  <c:v>-2.093129956576715</c:v>
                </c:pt>
                <c:pt idx="614">
                  <c:v>-1.7951619682589577</c:v>
                </c:pt>
                <c:pt idx="615">
                  <c:v>-1.860969385034468</c:v>
                </c:pt>
                <c:pt idx="616">
                  <c:v>-1.9691728980779462</c:v>
                </c:pt>
                <c:pt idx="617">
                  <c:v>-1.8167638220538498</c:v>
                </c:pt>
                <c:pt idx="618">
                  <c:v>-1.7786433891286797</c:v>
                </c:pt>
                <c:pt idx="619">
                  <c:v>-1.8441433042602589</c:v>
                </c:pt>
                <c:pt idx="620">
                  <c:v>-2.0300427710143576</c:v>
                </c:pt>
                <c:pt idx="621">
                  <c:v>-1.5944009835245896</c:v>
                </c:pt>
                <c:pt idx="622">
                  <c:v>-1.7448232946293074</c:v>
                </c:pt>
                <c:pt idx="623">
                  <c:v>-1.7392275381478259</c:v>
                </c:pt>
                <c:pt idx="624">
                  <c:v>-1.7922481413139699</c:v>
                </c:pt>
                <c:pt idx="625">
                  <c:v>-1.7930777965313607</c:v>
                </c:pt>
                <c:pt idx="626">
                  <c:v>-1.7827035007114256</c:v>
                </c:pt>
                <c:pt idx="627">
                  <c:v>-1.8333536404867066</c:v>
                </c:pt>
                <c:pt idx="628">
                  <c:v>-1.7790596538713217</c:v>
                </c:pt>
                <c:pt idx="629">
                  <c:v>-1.7127854964196525</c:v>
                </c:pt>
                <c:pt idx="630">
                  <c:v>-1.7711272599490637</c:v>
                </c:pt>
                <c:pt idx="631">
                  <c:v>-1.9403062081308815</c:v>
                </c:pt>
                <c:pt idx="632">
                  <c:v>-1.8972099869663246</c:v>
                </c:pt>
                <c:pt idx="633">
                  <c:v>-1.8703727153207546</c:v>
                </c:pt>
                <c:pt idx="634">
                  <c:v>-1.9022708409994253</c:v>
                </c:pt>
                <c:pt idx="635">
                  <c:v>-1.7570034124816014</c:v>
                </c:pt>
                <c:pt idx="636">
                  <c:v>-1.7342376555725101</c:v>
                </c:pt>
                <c:pt idx="637">
                  <c:v>-1.7918083142180437</c:v>
                </c:pt>
                <c:pt idx="638">
                  <c:v>-1.6241138142180434</c:v>
                </c:pt>
                <c:pt idx="639">
                  <c:v>-1.7317729969426812</c:v>
                </c:pt>
                <c:pt idx="640">
                  <c:v>-1.7930774595332104</c:v>
                </c:pt>
                <c:pt idx="641">
                  <c:v>-1.7756711007332107</c:v>
                </c:pt>
                <c:pt idx="642">
                  <c:v>-1.7600181907332111</c:v>
                </c:pt>
                <c:pt idx="643">
                  <c:v>-1.7659291564587016</c:v>
                </c:pt>
                <c:pt idx="644">
                  <c:v>-1.7997893865842243</c:v>
                </c:pt>
                <c:pt idx="645">
                  <c:v>-1.7498071337231889</c:v>
                </c:pt>
                <c:pt idx="646">
                  <c:v>-1.7655093195565221</c:v>
                </c:pt>
                <c:pt idx="647">
                  <c:v>-1.7696988627997656</c:v>
                </c:pt>
                <c:pt idx="648">
                  <c:v>-1.6776901598520044</c:v>
                </c:pt>
                <c:pt idx="649">
                  <c:v>-1.6395450668716121</c:v>
                </c:pt>
                <c:pt idx="650">
                  <c:v>-1.6708187930254583</c:v>
                </c:pt>
                <c:pt idx="651">
                  <c:v>-1.6748385405830617</c:v>
                </c:pt>
                <c:pt idx="652">
                  <c:v>-1.7560250237386177</c:v>
                </c:pt>
                <c:pt idx="653">
                  <c:v>-1.7109161163959603</c:v>
                </c:pt>
                <c:pt idx="654">
                  <c:v>-1.6919465400323244</c:v>
                </c:pt>
                <c:pt idx="655">
                  <c:v>-1.7210592972976304</c:v>
                </c:pt>
                <c:pt idx="656">
                  <c:v>-1.6847483521012556</c:v>
                </c:pt>
                <c:pt idx="657">
                  <c:v>-1.6763841777262558</c:v>
                </c:pt>
                <c:pt idx="658">
                  <c:v>-1.628489829980591</c:v>
                </c:pt>
                <c:pt idx="659">
                  <c:v>-1.6202074162750075</c:v>
                </c:pt>
                <c:pt idx="660">
                  <c:v>-1.5598852354211723</c:v>
                </c:pt>
                <c:pt idx="661">
                  <c:v>-1.3557506585790673</c:v>
                </c:pt>
                <c:pt idx="662">
                  <c:v>-1.4601399100527517</c:v>
                </c:pt>
                <c:pt idx="663">
                  <c:v>-1.4385898780251019</c:v>
                </c:pt>
                <c:pt idx="664">
                  <c:v>-1.4501369370106085</c:v>
                </c:pt>
                <c:pt idx="665">
                  <c:v>-1.2650700959773988</c:v>
                </c:pt>
                <c:pt idx="666">
                  <c:v>-0.91319635883454198</c:v>
                </c:pt>
                <c:pt idx="667">
                  <c:v>-1.031691244340933</c:v>
                </c:pt>
                <c:pt idx="668">
                  <c:v>-1.0610211560800633</c:v>
                </c:pt>
                <c:pt idx="669">
                  <c:v>-1.1035137074314145</c:v>
                </c:pt>
                <c:pt idx="670">
                  <c:v>-1.0827722937638684</c:v>
                </c:pt>
                <c:pt idx="671">
                  <c:v>-1.0326263487346288</c:v>
                </c:pt>
                <c:pt idx="672">
                  <c:v>-0.86610425946909209</c:v>
                </c:pt>
                <c:pt idx="673">
                  <c:v>-0.89718877372248562</c:v>
                </c:pt>
                <c:pt idx="674">
                  <c:v>-0.92698350872248558</c:v>
                </c:pt>
                <c:pt idx="675">
                  <c:v>-0.91240173260003687</c:v>
                </c:pt>
                <c:pt idx="676">
                  <c:v>-0.97909357393337004</c:v>
                </c:pt>
                <c:pt idx="677">
                  <c:v>-0.90062747197258575</c:v>
                </c:pt>
                <c:pt idx="678">
                  <c:v>-0.93505174049776563</c:v>
                </c:pt>
                <c:pt idx="679">
                  <c:v>-0.85287373071398198</c:v>
                </c:pt>
                <c:pt idx="680">
                  <c:v>-1.1978942484336703</c:v>
                </c:pt>
                <c:pt idx="681">
                  <c:v>-1.3066153728448053</c:v>
                </c:pt>
                <c:pt idx="682">
                  <c:v>-1.3307803679132986</c:v>
                </c:pt>
                <c:pt idx="683">
                  <c:v>-1.2587592835855674</c:v>
                </c:pt>
                <c:pt idx="684">
                  <c:v>-1.1898694512950647</c:v>
                </c:pt>
                <c:pt idx="685">
                  <c:v>-1.1047175027890408</c:v>
                </c:pt>
                <c:pt idx="686">
                  <c:v>-1.2528213139154776</c:v>
                </c:pt>
                <c:pt idx="687">
                  <c:v>-1.0634102314120462</c:v>
                </c:pt>
                <c:pt idx="688">
                  <c:v>-1.0703232064120463</c:v>
                </c:pt>
                <c:pt idx="689">
                  <c:v>-1.0129487375748367</c:v>
                </c:pt>
                <c:pt idx="690">
                  <c:v>-1.0237804676181268</c:v>
                </c:pt>
                <c:pt idx="691">
                  <c:v>-0.97630415916661906</c:v>
                </c:pt>
                <c:pt idx="692">
                  <c:v>-0.89628397437312723</c:v>
                </c:pt>
                <c:pt idx="693">
                  <c:v>-0.88309745129620398</c:v>
                </c:pt>
                <c:pt idx="694">
                  <c:v>-0.88924878233412852</c:v>
                </c:pt>
                <c:pt idx="695">
                  <c:v>-0.92765827110507826</c:v>
                </c:pt>
                <c:pt idx="696">
                  <c:v>-0.91683010470507831</c:v>
                </c:pt>
                <c:pt idx="697">
                  <c:v>-0.96597527966014884</c:v>
                </c:pt>
                <c:pt idx="698">
                  <c:v>-0.95186925443909631</c:v>
                </c:pt>
                <c:pt idx="699">
                  <c:v>-0.93456086335475885</c:v>
                </c:pt>
                <c:pt idx="700">
                  <c:v>-0.94665935387463662</c:v>
                </c:pt>
                <c:pt idx="701">
                  <c:v>-0.93175785375002596</c:v>
                </c:pt>
                <c:pt idx="702">
                  <c:v>-0.87087149260101326</c:v>
                </c:pt>
                <c:pt idx="703">
                  <c:v>-0.81707208424280431</c:v>
                </c:pt>
                <c:pt idx="704">
                  <c:v>-0.78857304578966503</c:v>
                </c:pt>
                <c:pt idx="705">
                  <c:v>-0.81781228452879529</c:v>
                </c:pt>
                <c:pt idx="706">
                  <c:v>-0.81293979156315321</c:v>
                </c:pt>
                <c:pt idx="707">
                  <c:v>-0.84410337907830468</c:v>
                </c:pt>
                <c:pt idx="708">
                  <c:v>-0.83058412389113867</c:v>
                </c:pt>
                <c:pt idx="709">
                  <c:v>-0.80600034159113865</c:v>
                </c:pt>
                <c:pt idx="710">
                  <c:v>-0.85712014602227615</c:v>
                </c:pt>
                <c:pt idx="711">
                  <c:v>-0.88828226207950989</c:v>
                </c:pt>
                <c:pt idx="712">
                  <c:v>-0.81327232470086919</c:v>
                </c:pt>
                <c:pt idx="713">
                  <c:v>-0.72587132943156363</c:v>
                </c:pt>
                <c:pt idx="714">
                  <c:v>-0.74615003883732034</c:v>
                </c:pt>
                <c:pt idx="715">
                  <c:v>-0.50011463692937053</c:v>
                </c:pt>
                <c:pt idx="716">
                  <c:v>-0.39082235500090984</c:v>
                </c:pt>
                <c:pt idx="717">
                  <c:v>-0.5168659960233728</c:v>
                </c:pt>
                <c:pt idx="718">
                  <c:v>-0.58363843460605003</c:v>
                </c:pt>
                <c:pt idx="719">
                  <c:v>-0.63357270204443694</c:v>
                </c:pt>
                <c:pt idx="720">
                  <c:v>-0.68896946329138053</c:v>
                </c:pt>
                <c:pt idx="721">
                  <c:v>-0.78330930732123172</c:v>
                </c:pt>
                <c:pt idx="722">
                  <c:v>-0.85992212990351025</c:v>
                </c:pt>
                <c:pt idx="723">
                  <c:v>-0.85128842801326654</c:v>
                </c:pt>
                <c:pt idx="724">
                  <c:v>-0.81097582166596105</c:v>
                </c:pt>
                <c:pt idx="725">
                  <c:v>-0.89704450580960726</c:v>
                </c:pt>
                <c:pt idx="726">
                  <c:v>-0.82659361991338076</c:v>
                </c:pt>
                <c:pt idx="727">
                  <c:v>-0.88057553991338078</c:v>
                </c:pt>
                <c:pt idx="728">
                  <c:v>-0.92024982413830447</c:v>
                </c:pt>
                <c:pt idx="729">
                  <c:v>-0.97790386312135513</c:v>
                </c:pt>
                <c:pt idx="730">
                  <c:v>-0.83233674397697066</c:v>
                </c:pt>
                <c:pt idx="731">
                  <c:v>-0.67503256298149583</c:v>
                </c:pt>
                <c:pt idx="732">
                  <c:v>-0.61879946713243872</c:v>
                </c:pt>
                <c:pt idx="733">
                  <c:v>-0.63818235013243862</c:v>
                </c:pt>
                <c:pt idx="734">
                  <c:v>-0.66828855760024974</c:v>
                </c:pt>
                <c:pt idx="735">
                  <c:v>-0.66841607001885428</c:v>
                </c:pt>
                <c:pt idx="736">
                  <c:v>-0.67559998648944242</c:v>
                </c:pt>
                <c:pt idx="737">
                  <c:v>-0.65493679427746054</c:v>
                </c:pt>
                <c:pt idx="738">
                  <c:v>-0.67169150190122306</c:v>
                </c:pt>
                <c:pt idx="739">
                  <c:v>-0.69368082296372291</c:v>
                </c:pt>
                <c:pt idx="740">
                  <c:v>-0.70874882938083494</c:v>
                </c:pt>
                <c:pt idx="741">
                  <c:v>-0.75205302796321061</c:v>
                </c:pt>
                <c:pt idx="742">
                  <c:v>-0.80871335837771863</c:v>
                </c:pt>
                <c:pt idx="743">
                  <c:v>-0.79571407037771869</c:v>
                </c:pt>
                <c:pt idx="744">
                  <c:v>-0.82061904229217875</c:v>
                </c:pt>
                <c:pt idx="745">
                  <c:v>-0.74994527028860047</c:v>
                </c:pt>
                <c:pt idx="746">
                  <c:v>-0.72331036966153783</c:v>
                </c:pt>
                <c:pt idx="747">
                  <c:v>-0.70477347545388769</c:v>
                </c:pt>
                <c:pt idx="748">
                  <c:v>-0.70853777225388759</c:v>
                </c:pt>
                <c:pt idx="749">
                  <c:v>-0.68781773970216331</c:v>
                </c:pt>
                <c:pt idx="750">
                  <c:v>-0.50959464857856729</c:v>
                </c:pt>
                <c:pt idx="751">
                  <c:v>-0.52681484896366038</c:v>
                </c:pt>
                <c:pt idx="752">
                  <c:v>-0.42628663471405548</c:v>
                </c:pt>
                <c:pt idx="753">
                  <c:v>-0.45432421194982775</c:v>
                </c:pt>
                <c:pt idx="754">
                  <c:v>-0.4416057639498277</c:v>
                </c:pt>
                <c:pt idx="755">
                  <c:v>-0.35976094215495574</c:v>
                </c:pt>
                <c:pt idx="756">
                  <c:v>-0.4099477385670337</c:v>
                </c:pt>
                <c:pt idx="757">
                  <c:v>-0.22748901065441238</c:v>
                </c:pt>
                <c:pt idx="758">
                  <c:v>3.5106917025588394E-2</c:v>
                </c:pt>
                <c:pt idx="759">
                  <c:v>-9.5872898324128333E-2</c:v>
                </c:pt>
                <c:pt idx="760">
                  <c:v>-5.9181939554897499E-2</c:v>
                </c:pt>
                <c:pt idx="761">
                  <c:v>6.524558245613989E-3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7B-45D6-9D50-B46558AA2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1062543"/>
        <c:axId val="981065039"/>
      </c:lineChart>
      <c:dateAx>
        <c:axId val="9810625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065039"/>
        <c:crosses val="autoZero"/>
        <c:auto val="1"/>
        <c:lblOffset val="100"/>
        <c:baseTimeUnit val="days"/>
      </c:dateAx>
      <c:valAx>
        <c:axId val="981065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062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7776B4F-B0F3-4A2E-86E2-37924AFCEDA1}">
  <sheetPr codeName="Chart1"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4564" cy="60915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5334C6-8D42-41CA-B1DD-5253C7A7E6B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9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MAX(C3:C1913)</f>
        <v>0.182</v>
      </c>
      <c r="D2" s="4">
        <f>MIN(D3:D1913)</f>
        <v>2.2339999999999999E-3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4.2880000000000001E-2</v>
      </c>
      <c r="C5">
        <v>4.3439999999999999E-2</v>
      </c>
      <c r="D5">
        <v>4.2040000000000001E-2</v>
      </c>
      <c r="E5">
        <v>4.2099999999999999E-2</v>
      </c>
      <c r="F5">
        <v>941993</v>
      </c>
      <c r="G5">
        <v>4.2099999999999999E-2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-0.9142857142857177</v>
      </c>
      <c r="Q5">
        <f t="shared" ref="Q5" si="1">F5*P5</f>
        <v>-861250.74285714608</v>
      </c>
      <c r="R5">
        <f t="shared" ref="R5" si="2">R6+Q5</f>
        <v>-4418805320.5768595</v>
      </c>
      <c r="S5">
        <f t="shared" ref="S5" si="3">R5/100000</f>
        <v>-44188.053205768592</v>
      </c>
      <c r="T5">
        <f t="shared" ref="T5" si="4">S5/1000</f>
        <v>-44.18805320576859</v>
      </c>
    </row>
    <row r="6" spans="1:20" x14ac:dyDescent="0.25">
      <c r="A6" s="5">
        <v>44587</v>
      </c>
      <c r="B6">
        <v>4.3459999999999999E-2</v>
      </c>
      <c r="C6">
        <v>4.666E-2</v>
      </c>
      <c r="D6">
        <v>4.2160000000000003E-2</v>
      </c>
      <c r="E6">
        <v>4.2959999999999998E-2</v>
      </c>
      <c r="F6">
        <v>18959598</v>
      </c>
      <c r="G6">
        <v>4.2959999999999998E-2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-0.64444444444444637</v>
      </c>
      <c r="Q6">
        <f t="shared" ref="Q6" si="6">F6*P6</f>
        <v>-12218407.600000037</v>
      </c>
      <c r="R6">
        <f t="shared" ref="R6" si="7">R7+Q6</f>
        <v>-4417944069.8340025</v>
      </c>
      <c r="S6">
        <f t="shared" ref="S6" si="8">R6/100000</f>
        <v>-44179.440698340026</v>
      </c>
      <c r="T6">
        <f t="shared" ref="T6" si="9">S6/1000</f>
        <v>-44.179440698340024</v>
      </c>
    </row>
    <row r="7" spans="1:20" x14ac:dyDescent="0.25">
      <c r="A7" s="5">
        <v>44586</v>
      </c>
      <c r="B7">
        <v>4.3209999999999998E-2</v>
      </c>
      <c r="C7">
        <v>4.4170000000000001E-2</v>
      </c>
      <c r="D7">
        <v>4.1640000000000003E-2</v>
      </c>
      <c r="E7">
        <v>4.3369999999999999E-2</v>
      </c>
      <c r="F7">
        <v>16946849</v>
      </c>
      <c r="G7">
        <v>4.3369999999999999E-2</v>
      </c>
      <c r="L7" t="s">
        <v>7</v>
      </c>
      <c r="M7" t="s">
        <v>8</v>
      </c>
      <c r="N7" t="s">
        <v>7</v>
      </c>
      <c r="P7">
        <f t="shared" ref="P7" si="10">IF(C7=D7,0,((E7-D7)-(C7-E7))/(C7-D7))</f>
        <v>0.36758893280632182</v>
      </c>
      <c r="Q7">
        <f t="shared" ref="Q7" si="11">F7*P7</f>
        <v>6229474.1383398818</v>
      </c>
      <c r="R7">
        <f t="shared" ref="R7" si="12">R8+Q7</f>
        <v>-4405725662.2340021</v>
      </c>
      <c r="S7">
        <f t="shared" ref="S7" si="13">R7/100000</f>
        <v>-44057.256622340021</v>
      </c>
      <c r="T7">
        <f t="shared" ref="T7" si="14">S7/1000</f>
        <v>-44.05725662234002</v>
      </c>
    </row>
    <row r="8" spans="1:20" x14ac:dyDescent="0.25">
      <c r="A8" s="5">
        <v>44585</v>
      </c>
      <c r="B8">
        <v>4.1640000000000003E-2</v>
      </c>
      <c r="C8">
        <v>4.7980000000000002E-2</v>
      </c>
      <c r="D8">
        <v>3.5499999999999997E-2</v>
      </c>
      <c r="E8">
        <v>4.3189999999999999E-2</v>
      </c>
      <c r="F8">
        <v>45396618</v>
      </c>
      <c r="G8">
        <v>4.3189999999999999E-2</v>
      </c>
      <c r="L8" t="s">
        <v>8</v>
      </c>
      <c r="M8" t="s">
        <v>7</v>
      </c>
      <c r="N8" t="s">
        <v>7</v>
      </c>
      <c r="P8">
        <f t="shared" ref="P8" si="15">IF(C8=D8,0,((E8-D8)-(C8-E8))/(C8-D8))</f>
        <v>0.23237179487179477</v>
      </c>
      <c r="Q8">
        <f t="shared" ref="Q8" si="16">F8*P8</f>
        <v>10548893.605769226</v>
      </c>
      <c r="R8">
        <f t="shared" ref="R8" si="17">R9+Q8</f>
        <v>-4411955136.3723421</v>
      </c>
      <c r="S8">
        <f t="shared" ref="S8" si="18">R8/100000</f>
        <v>-44119.551363723418</v>
      </c>
      <c r="T8">
        <f t="shared" ref="T8" si="19">S8/1000</f>
        <v>-44.119551363723417</v>
      </c>
    </row>
    <row r="9" spans="1:20" x14ac:dyDescent="0.25">
      <c r="A9" s="5">
        <v>44584</v>
      </c>
      <c r="B9">
        <v>4.0489999999999998E-2</v>
      </c>
      <c r="C9">
        <v>4.3740000000000001E-2</v>
      </c>
      <c r="D9">
        <v>3.9690000000000003E-2</v>
      </c>
      <c r="E9">
        <v>4.1680000000000002E-2</v>
      </c>
      <c r="F9">
        <v>16402198</v>
      </c>
      <c r="G9">
        <v>4.1680000000000002E-2</v>
      </c>
      <c r="L9" t="s">
        <v>8</v>
      </c>
      <c r="M9" t="s">
        <v>7</v>
      </c>
      <c r="N9" t="s">
        <v>7</v>
      </c>
      <c r="P9">
        <f t="shared" ref="P9" si="20">IF(C9=D9,0,((E9-D9)-(C9-E9))/(C9-D9))</f>
        <v>-1.7283950617284112E-2</v>
      </c>
      <c r="Q9">
        <f t="shared" ref="Q9" si="21">F9*P9</f>
        <v>-283494.78024691623</v>
      </c>
      <c r="R9">
        <f t="shared" ref="R9" si="22">R10+Q9</f>
        <v>-4422504029.9781113</v>
      </c>
      <c r="S9">
        <f t="shared" ref="S9" si="23">R9/100000</f>
        <v>-44225.040299781111</v>
      </c>
      <c r="T9">
        <f t="shared" ref="T9" si="24">S9/1000</f>
        <v>-44.225040299781114</v>
      </c>
    </row>
    <row r="10" spans="1:20" x14ac:dyDescent="0.25">
      <c r="A10" s="5">
        <v>44583</v>
      </c>
      <c r="B10">
        <v>4.394E-2</v>
      </c>
      <c r="C10">
        <v>4.4569999999999999E-2</v>
      </c>
      <c r="D10">
        <v>3.6519999999999997E-2</v>
      </c>
      <c r="E10">
        <v>4.0559999999999999E-2</v>
      </c>
      <c r="F10">
        <v>33103863</v>
      </c>
      <c r="G10">
        <v>4.0559999999999999E-2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3.7267080745344398E-3</v>
      </c>
      <c r="Q10">
        <f t="shared" ref="Q10" si="26">F10*P10</f>
        <v>123368.43354038188</v>
      </c>
      <c r="R10">
        <f t="shared" ref="R10" si="27">R11+Q10</f>
        <v>-4422220535.1978645</v>
      </c>
      <c r="S10">
        <f t="shared" ref="S10" si="28">R10/100000</f>
        <v>-44222.205351978642</v>
      </c>
      <c r="T10">
        <f t="shared" ref="T10" si="29">S10/1000</f>
        <v>-44.222205351978644</v>
      </c>
    </row>
    <row r="11" spans="1:20" x14ac:dyDescent="0.25">
      <c r="A11" s="5">
        <v>44582</v>
      </c>
      <c r="B11">
        <v>5.296E-2</v>
      </c>
      <c r="C11">
        <v>5.3319999999999999E-2</v>
      </c>
      <c r="D11">
        <v>4.3450000000000003E-2</v>
      </c>
      <c r="E11">
        <v>4.3979999999999998E-2</v>
      </c>
      <c r="F11">
        <v>34991893</v>
      </c>
      <c r="G11">
        <v>4.3979999999999998E-2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-0.89260385005065934</v>
      </c>
      <c r="Q11">
        <f t="shared" ref="Q11" si="31">F11*P11</f>
        <v>-31233898.412360717</v>
      </c>
      <c r="R11">
        <f t="shared" ref="R11" si="32">R12+Q11</f>
        <v>-4422343903.6314049</v>
      </c>
      <c r="S11">
        <f t="shared" ref="S11" si="33">R11/100000</f>
        <v>-44223.439036314048</v>
      </c>
      <c r="T11">
        <f t="shared" ref="T11" si="34">S11/1000</f>
        <v>-44.223439036314048</v>
      </c>
    </row>
    <row r="12" spans="1:20" x14ac:dyDescent="0.25">
      <c r="A12" s="5">
        <v>44581</v>
      </c>
      <c r="B12">
        <v>5.7239999999999999E-2</v>
      </c>
      <c r="C12">
        <v>5.9080000000000001E-2</v>
      </c>
      <c r="D12">
        <v>5.2670000000000002E-2</v>
      </c>
      <c r="E12">
        <v>5.3030000000000001E-2</v>
      </c>
      <c r="F12">
        <v>27285057</v>
      </c>
      <c r="G12">
        <v>5.3030000000000001E-2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-0.88767550702028108</v>
      </c>
      <c r="Q12">
        <f t="shared" ref="Q12" si="36">F12*P12</f>
        <v>-24220276.806552269</v>
      </c>
      <c r="R12">
        <f t="shared" ref="R12" si="37">R13+Q12</f>
        <v>-4391110005.2190437</v>
      </c>
      <c r="S12">
        <f t="shared" ref="S12" si="38">R12/100000</f>
        <v>-43911.100052190435</v>
      </c>
      <c r="T12">
        <f t="shared" ref="T12" si="39">S12/1000</f>
        <v>-43.911100052190434</v>
      </c>
    </row>
    <row r="13" spans="1:20" x14ac:dyDescent="0.25">
      <c r="A13" s="5">
        <v>44580</v>
      </c>
      <c r="B13">
        <v>5.4039999999999998E-2</v>
      </c>
      <c r="C13">
        <v>6.0260000000000001E-2</v>
      </c>
      <c r="D13">
        <v>5.2900000000000003E-2</v>
      </c>
      <c r="E13">
        <v>5.7290000000000001E-2</v>
      </c>
      <c r="F13">
        <v>93566026</v>
      </c>
      <c r="G13">
        <v>5.7290000000000001E-2</v>
      </c>
      <c r="L13" t="s">
        <v>8</v>
      </c>
      <c r="M13" t="s">
        <v>7</v>
      </c>
      <c r="N13" t="s">
        <v>7</v>
      </c>
      <c r="P13">
        <f t="shared" ref="P13" si="40">IF(C13=D13,0,((E13-D13)-(C13-E13))/(C13-D13))</f>
        <v>0.19293478260869537</v>
      </c>
      <c r="Q13">
        <f t="shared" ref="Q13" si="41">F13*P13</f>
        <v>18052140.88586954</v>
      </c>
      <c r="R13">
        <f t="shared" ref="R13" si="42">R14+Q13</f>
        <v>-4366889728.4124918</v>
      </c>
      <c r="S13">
        <f t="shared" ref="S13" si="43">R13/100000</f>
        <v>-43668.89728412492</v>
      </c>
      <c r="T13">
        <f t="shared" ref="T13" si="44">S13/1000</f>
        <v>-43.668897284124917</v>
      </c>
    </row>
    <row r="14" spans="1:20" x14ac:dyDescent="0.25">
      <c r="A14" s="5">
        <v>44579</v>
      </c>
      <c r="B14">
        <v>5.4789999999999998E-2</v>
      </c>
      <c r="C14">
        <v>5.5379999999999999E-2</v>
      </c>
      <c r="D14">
        <v>5.2729999999999999E-2</v>
      </c>
      <c r="E14">
        <v>5.4080000000000003E-2</v>
      </c>
      <c r="F14">
        <v>7015210</v>
      </c>
      <c r="G14">
        <v>5.4080000000000003E-2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1.886792452830505E-2</v>
      </c>
      <c r="Q14">
        <f t="shared" ref="Q14" si="46">F14*P14</f>
        <v>132362.45283021088</v>
      </c>
      <c r="R14">
        <f t="shared" ref="R14" si="47">R15+Q14</f>
        <v>-4384941869.2983618</v>
      </c>
      <c r="S14">
        <f t="shared" ref="S14" si="48">R14/100000</f>
        <v>-43849.418692983614</v>
      </c>
      <c r="T14">
        <f t="shared" ref="T14" si="49">S14/1000</f>
        <v>-43.849418692983612</v>
      </c>
    </row>
    <row r="15" spans="1:20" x14ac:dyDescent="0.25">
      <c r="A15" s="5">
        <v>44578</v>
      </c>
      <c r="B15">
        <v>5.6619999999999997E-2</v>
      </c>
      <c r="C15">
        <v>5.8799999999999998E-2</v>
      </c>
      <c r="D15">
        <v>5.3920000000000003E-2</v>
      </c>
      <c r="E15">
        <v>5.4719999999999998E-2</v>
      </c>
      <c r="F15">
        <v>11308281</v>
      </c>
      <c r="G15">
        <v>5.4719999999999998E-2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-0.67213114754098524</v>
      </c>
      <c r="Q15">
        <f t="shared" ref="Q15" si="51">F15*P15</f>
        <v>-7600647.8852459202</v>
      </c>
      <c r="R15">
        <f t="shared" ref="R15" si="52">R16+Q15</f>
        <v>-4385074231.7511921</v>
      </c>
      <c r="S15">
        <f t="shared" ref="S15" si="53">R15/100000</f>
        <v>-43850.742317511918</v>
      </c>
      <c r="T15">
        <f t="shared" ref="T15" si="54">S15/1000</f>
        <v>-43.850742317511916</v>
      </c>
    </row>
    <row r="16" spans="1:20" x14ac:dyDescent="0.25">
      <c r="A16" s="5">
        <v>44577</v>
      </c>
      <c r="B16">
        <v>5.6669999999999998E-2</v>
      </c>
      <c r="C16">
        <v>6.2549999999999994E-2</v>
      </c>
      <c r="D16">
        <v>5.6500000000000002E-2</v>
      </c>
      <c r="E16">
        <v>5.6619999999999997E-2</v>
      </c>
      <c r="F16">
        <v>32708074</v>
      </c>
      <c r="G16">
        <v>5.6619999999999997E-2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-0.96033057851239823</v>
      </c>
      <c r="Q16">
        <f t="shared" ref="Q16" si="56">F16*P16</f>
        <v>-31410563.626446333</v>
      </c>
      <c r="R16">
        <f t="shared" ref="R16" si="57">R17+Q16</f>
        <v>-4377473583.8659458</v>
      </c>
      <c r="S16">
        <f t="shared" ref="S16" si="58">R16/100000</f>
        <v>-43774.735838659457</v>
      </c>
      <c r="T16">
        <f t="shared" ref="T16" si="59">S16/1000</f>
        <v>-43.77473583865946</v>
      </c>
    </row>
    <row r="17" spans="1:20" x14ac:dyDescent="0.25">
      <c r="A17" s="5">
        <v>44576</v>
      </c>
      <c r="B17">
        <v>5.4390000000000001E-2</v>
      </c>
      <c r="C17">
        <v>5.9279999999999999E-2</v>
      </c>
      <c r="D17">
        <v>5.2949999999999997E-2</v>
      </c>
      <c r="E17">
        <v>5.6770000000000001E-2</v>
      </c>
      <c r="F17">
        <v>41147114</v>
      </c>
      <c r="G17">
        <v>5.6770000000000001E-2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0.20695102685624095</v>
      </c>
      <c r="Q17">
        <f t="shared" ref="Q17" si="61">F17*P17</f>
        <v>8515437.4944708087</v>
      </c>
      <c r="R17">
        <f t="shared" ref="R17" si="62">R18+Q17</f>
        <v>-4346063020.2394991</v>
      </c>
      <c r="S17">
        <f t="shared" ref="S17" si="63">R17/100000</f>
        <v>-43460.63020239499</v>
      </c>
      <c r="T17">
        <f t="shared" ref="T17" si="64">S17/1000</f>
        <v>-43.460630202394988</v>
      </c>
    </row>
    <row r="18" spans="1:20" x14ac:dyDescent="0.25">
      <c r="A18" s="5">
        <v>44575</v>
      </c>
      <c r="B18">
        <v>5.4780000000000002E-2</v>
      </c>
      <c r="C18">
        <v>5.5579999999999997E-2</v>
      </c>
      <c r="D18">
        <v>5.2549999999999999E-2</v>
      </c>
      <c r="E18">
        <v>5.4339999999999999E-2</v>
      </c>
      <c r="F18">
        <v>12693018</v>
      </c>
      <c r="G18">
        <v>5.4339999999999999E-2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0.18151815181518227</v>
      </c>
      <c r="Q18">
        <f t="shared" ref="Q18" si="66">F18*P18</f>
        <v>2304013.1683168411</v>
      </c>
      <c r="R18">
        <f t="shared" ref="R18" si="67">R19+Q18</f>
        <v>-4354578457.7339697</v>
      </c>
      <c r="S18">
        <f t="shared" ref="S18" si="68">R18/100000</f>
        <v>-43545.784577339698</v>
      </c>
      <c r="T18">
        <f t="shared" ref="T18" si="69">S18/1000</f>
        <v>-43.545784577339695</v>
      </c>
    </row>
    <row r="19" spans="1:20" x14ac:dyDescent="0.25">
      <c r="A19" s="5">
        <v>44574</v>
      </c>
      <c r="B19">
        <v>5.6890000000000003E-2</v>
      </c>
      <c r="C19">
        <v>5.842E-2</v>
      </c>
      <c r="D19">
        <v>5.4300000000000001E-2</v>
      </c>
      <c r="E19">
        <v>5.4640000000000001E-2</v>
      </c>
      <c r="F19">
        <v>15568091</v>
      </c>
      <c r="G19">
        <v>5.4640000000000001E-2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-0.83495145631067957</v>
      </c>
      <c r="Q19">
        <f t="shared" ref="Q19" si="71">F19*P19</f>
        <v>-12998600.252427183</v>
      </c>
      <c r="R19">
        <f t="shared" ref="R19" si="72">R20+Q19</f>
        <v>-4356882470.9022865</v>
      </c>
      <c r="S19">
        <f t="shared" ref="S19" si="73">R19/100000</f>
        <v>-43568.824709022869</v>
      </c>
      <c r="T19">
        <f t="shared" ref="T19" si="74">S19/1000</f>
        <v>-43.56882470902287</v>
      </c>
    </row>
    <row r="20" spans="1:20" x14ac:dyDescent="0.25">
      <c r="A20" s="5">
        <v>44573</v>
      </c>
      <c r="B20">
        <v>5.5239999999999997E-2</v>
      </c>
      <c r="C20">
        <v>5.7820000000000003E-2</v>
      </c>
      <c r="D20">
        <v>5.5100000000000003E-2</v>
      </c>
      <c r="E20">
        <v>5.6860000000000001E-2</v>
      </c>
      <c r="F20">
        <v>13018969</v>
      </c>
      <c r="G20">
        <v>5.6860000000000001E-2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0.29411764705882171</v>
      </c>
      <c r="Q20">
        <f t="shared" ref="Q20" si="76">F20*P20</f>
        <v>3829108.5294117411</v>
      </c>
      <c r="R20">
        <f t="shared" ref="R20" si="77">R21+Q20</f>
        <v>-4343883870.6498594</v>
      </c>
      <c r="S20">
        <f t="shared" ref="S20" si="78">R20/100000</f>
        <v>-43438.838706498595</v>
      </c>
      <c r="T20">
        <f t="shared" ref="T20" si="79">S20/1000</f>
        <v>-43.438838706498593</v>
      </c>
    </row>
    <row r="21" spans="1:20" x14ac:dyDescent="0.25">
      <c r="A21" s="5">
        <v>44572</v>
      </c>
      <c r="B21">
        <v>5.2170000000000001E-2</v>
      </c>
      <c r="C21">
        <v>5.6390000000000003E-2</v>
      </c>
      <c r="D21">
        <v>5.1639999999999998E-2</v>
      </c>
      <c r="E21">
        <v>5.5199999999999999E-2</v>
      </c>
      <c r="F21">
        <v>14298284</v>
      </c>
      <c r="G21">
        <v>5.5199999999999999E-2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0.49894736842105158</v>
      </c>
      <c r="Q21">
        <f t="shared" ref="Q21" si="81">F21*P21</f>
        <v>7134091.1747368267</v>
      </c>
      <c r="R21">
        <f t="shared" ref="R21" si="82">R22+Q21</f>
        <v>-4347712979.1792707</v>
      </c>
      <c r="S21">
        <f t="shared" ref="S21" si="83">R21/100000</f>
        <v>-43477.129791792708</v>
      </c>
      <c r="T21">
        <f t="shared" ref="T21" si="84">S21/1000</f>
        <v>-43.477129791792706</v>
      </c>
    </row>
    <row r="22" spans="1:20" x14ac:dyDescent="0.25">
      <c r="A22" s="5">
        <v>44571</v>
      </c>
      <c r="B22">
        <v>5.5759999999999997E-2</v>
      </c>
      <c r="C22">
        <v>5.7149999999999999E-2</v>
      </c>
      <c r="D22">
        <v>4.9790000000000001E-2</v>
      </c>
      <c r="E22">
        <v>5.2200000000000003E-2</v>
      </c>
      <c r="F22">
        <v>21611676</v>
      </c>
      <c r="G22">
        <v>5.2200000000000003E-2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-0.34510869565217311</v>
      </c>
      <c r="Q22">
        <f t="shared" ref="Q22" si="86">F22*P22</f>
        <v>-7458377.3152173739</v>
      </c>
      <c r="R22">
        <f t="shared" ref="R22" si="87">R23+Q22</f>
        <v>-4354847070.3540077</v>
      </c>
      <c r="S22">
        <f t="shared" ref="S22" si="88">R22/100000</f>
        <v>-43548.470703540079</v>
      </c>
      <c r="T22">
        <f t="shared" ref="T22" si="89">S22/1000</f>
        <v>-43.548470703540076</v>
      </c>
    </row>
    <row r="23" spans="1:20" x14ac:dyDescent="0.25">
      <c r="A23" s="5">
        <v>44570</v>
      </c>
      <c r="B23">
        <v>5.4170000000000003E-2</v>
      </c>
      <c r="C23">
        <v>5.67E-2</v>
      </c>
      <c r="D23">
        <v>5.3670000000000002E-2</v>
      </c>
      <c r="E23">
        <v>5.5690000000000003E-2</v>
      </c>
      <c r="F23">
        <v>11077299</v>
      </c>
      <c r="G23">
        <v>5.5690000000000003E-2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0.33333333333333487</v>
      </c>
      <c r="Q23">
        <f t="shared" ref="Q23" si="91">F23*P23</f>
        <v>3692433.0000000172</v>
      </c>
      <c r="R23">
        <f t="shared" ref="R23" si="92">R24+Q23</f>
        <v>-4347388693.0387907</v>
      </c>
      <c r="S23">
        <f t="shared" ref="S23" si="93">R23/100000</f>
        <v>-43473.886930387904</v>
      </c>
      <c r="T23">
        <f t="shared" ref="T23" si="94">S23/1000</f>
        <v>-43.473886930387906</v>
      </c>
    </row>
    <row r="24" spans="1:20" x14ac:dyDescent="0.25">
      <c r="A24" s="5">
        <v>44569</v>
      </c>
      <c r="B24">
        <v>5.5190000000000003E-2</v>
      </c>
      <c r="C24">
        <v>5.7700000000000001E-2</v>
      </c>
      <c r="D24">
        <v>5.2819999999999999E-2</v>
      </c>
      <c r="E24">
        <v>5.4179999999999999E-2</v>
      </c>
      <c r="F24">
        <v>17617020</v>
      </c>
      <c r="G24">
        <v>5.4179999999999999E-2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-0.44262295081967235</v>
      </c>
      <c r="Q24">
        <f t="shared" ref="Q24" si="96">F24*P24</f>
        <v>-7797697.3770491844</v>
      </c>
      <c r="R24">
        <f t="shared" ref="R24" si="97">R25+Q24</f>
        <v>-4351081126.0387907</v>
      </c>
      <c r="S24">
        <f t="shared" ref="S24" si="98">R24/100000</f>
        <v>-43510.811260387905</v>
      </c>
      <c r="T24">
        <f t="shared" ref="T24" si="99">S24/1000</f>
        <v>-43.510811260387904</v>
      </c>
    </row>
    <row r="25" spans="1:20" x14ac:dyDescent="0.25">
      <c r="A25" s="5">
        <v>44568</v>
      </c>
      <c r="B25">
        <v>5.9720000000000002E-2</v>
      </c>
      <c r="C25">
        <v>6.1629999999999997E-2</v>
      </c>
      <c r="D25">
        <v>5.45E-2</v>
      </c>
      <c r="E25">
        <v>5.518E-2</v>
      </c>
      <c r="F25">
        <v>27996814</v>
      </c>
      <c r="G25">
        <v>5.518E-2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-0.80925666199158475</v>
      </c>
      <c r="Q25">
        <f t="shared" ref="Q25" si="101">F25*P25</f>
        <v>-22656608.244039267</v>
      </c>
      <c r="R25">
        <f t="shared" ref="R25" si="102">R26+Q25</f>
        <v>-4343283428.6617413</v>
      </c>
      <c r="S25">
        <f t="shared" ref="S25" si="103">R25/100000</f>
        <v>-43432.834286617413</v>
      </c>
      <c r="T25">
        <f t="shared" ref="T25" si="104">S25/1000</f>
        <v>-43.432834286617414</v>
      </c>
    </row>
    <row r="26" spans="1:20" x14ac:dyDescent="0.25">
      <c r="A26" s="5">
        <v>44567</v>
      </c>
      <c r="B26">
        <v>6.0999999999999999E-2</v>
      </c>
      <c r="C26">
        <v>6.1429999999999998E-2</v>
      </c>
      <c r="D26">
        <v>5.8999999999999997E-2</v>
      </c>
      <c r="E26">
        <v>5.9729999999999998E-2</v>
      </c>
      <c r="F26">
        <v>14783022</v>
      </c>
      <c r="G26">
        <v>5.9729999999999998E-2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-0.39917695473250947</v>
      </c>
      <c r="Q26">
        <f t="shared" ref="Q26" si="106">F26*P26</f>
        <v>-5901041.7037036913</v>
      </c>
      <c r="R26">
        <f t="shared" ref="R26" si="107">R27+Q26</f>
        <v>-4320626820.4177017</v>
      </c>
      <c r="S26">
        <f t="shared" ref="S26" si="108">R26/100000</f>
        <v>-43206.268204177017</v>
      </c>
      <c r="T26">
        <f t="shared" ref="T26" si="109">S26/1000</f>
        <v>-43.206268204177015</v>
      </c>
    </row>
    <row r="27" spans="1:20" x14ac:dyDescent="0.25">
      <c r="A27" s="5">
        <v>44566</v>
      </c>
      <c r="B27">
        <v>6.6430000000000003E-2</v>
      </c>
      <c r="C27">
        <v>6.8449999999999997E-2</v>
      </c>
      <c r="D27">
        <v>0.06</v>
      </c>
      <c r="E27">
        <v>6.096E-2</v>
      </c>
      <c r="F27">
        <v>22769366</v>
      </c>
      <c r="G27">
        <v>6.096E-2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-0.77278106508875677</v>
      </c>
      <c r="Q27">
        <f t="shared" ref="Q27" si="111">F27*P27</f>
        <v>-17595734.908875726</v>
      </c>
      <c r="R27">
        <f t="shared" ref="R27" si="112">R28+Q27</f>
        <v>-4314725778.7139978</v>
      </c>
      <c r="S27">
        <f t="shared" ref="S27" si="113">R27/100000</f>
        <v>-43147.257787139977</v>
      </c>
      <c r="T27">
        <f t="shared" ref="T27" si="114">S27/1000</f>
        <v>-43.147257787139978</v>
      </c>
    </row>
    <row r="28" spans="1:20" x14ac:dyDescent="0.25">
      <c r="A28" s="5">
        <v>44565</v>
      </c>
      <c r="B28">
        <v>6.7390000000000005E-2</v>
      </c>
      <c r="C28">
        <v>6.9559999999999997E-2</v>
      </c>
      <c r="D28">
        <v>6.5799999999999997E-2</v>
      </c>
      <c r="E28">
        <v>6.6309999999999994E-2</v>
      </c>
      <c r="F28">
        <v>27405422</v>
      </c>
      <c r="G28">
        <v>6.6309999999999994E-2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-0.72872340425532089</v>
      </c>
      <c r="Q28">
        <f t="shared" ref="Q28" si="116">F28*P28</f>
        <v>-19970972.414893664</v>
      </c>
      <c r="R28">
        <f t="shared" ref="R28" si="117">R29+Q28</f>
        <v>-4297130043.8051224</v>
      </c>
      <c r="S28">
        <f t="shared" ref="S28" si="118">R28/100000</f>
        <v>-42971.300438051221</v>
      </c>
      <c r="T28">
        <f t="shared" ref="T28" si="119">S28/1000</f>
        <v>-42.971300438051223</v>
      </c>
    </row>
    <row r="29" spans="1:20" x14ac:dyDescent="0.25">
      <c r="A29" s="5">
        <v>44564</v>
      </c>
      <c r="B29">
        <v>6.8000000000000005E-2</v>
      </c>
      <c r="C29">
        <v>7.1870000000000003E-2</v>
      </c>
      <c r="D29">
        <v>6.658E-2</v>
      </c>
      <c r="E29">
        <v>6.7390000000000005E-2</v>
      </c>
      <c r="F29">
        <v>39562712</v>
      </c>
      <c r="G29">
        <v>6.7390000000000005E-2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-0.6937618147447997</v>
      </c>
      <c r="Q29">
        <f t="shared" ref="Q29" si="121">F29*P29</f>
        <v>-27447098.873345863</v>
      </c>
      <c r="R29">
        <f t="shared" ref="R29" si="122">R30+Q29</f>
        <v>-4277159071.3902287</v>
      </c>
      <c r="S29">
        <f t="shared" ref="S29" si="123">R29/100000</f>
        <v>-42771.590713902289</v>
      </c>
      <c r="T29">
        <f t="shared" ref="T29" si="124">S29/1000</f>
        <v>-42.771590713902292</v>
      </c>
    </row>
    <row r="30" spans="1:20" x14ac:dyDescent="0.25">
      <c r="A30" s="5">
        <v>44563</v>
      </c>
      <c r="B30">
        <v>6.8269999999999997E-2</v>
      </c>
      <c r="C30">
        <v>7.0930000000000007E-2</v>
      </c>
      <c r="D30">
        <v>6.6830000000000001E-2</v>
      </c>
      <c r="E30">
        <v>6.8089999999999998E-2</v>
      </c>
      <c r="F30">
        <v>21166521</v>
      </c>
      <c r="G30">
        <v>6.8089999999999998E-2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-0.38536585365853887</v>
      </c>
      <c r="Q30">
        <f t="shared" ref="Q30" si="126">F30*P30</f>
        <v>-8156854.4341463903</v>
      </c>
      <c r="R30">
        <f t="shared" ref="R30" si="127">R31+Q30</f>
        <v>-4249711972.5168829</v>
      </c>
      <c r="S30">
        <f t="shared" ref="S30" si="128">R30/100000</f>
        <v>-42497.119725168828</v>
      </c>
      <c r="T30">
        <f t="shared" ref="T30" si="129">S30/1000</f>
        <v>-42.49711972516883</v>
      </c>
    </row>
    <row r="31" spans="1:20" x14ac:dyDescent="0.25">
      <c r="A31" s="5">
        <v>44562</v>
      </c>
      <c r="B31">
        <v>6.5989999999999993E-2</v>
      </c>
      <c r="C31">
        <v>6.8470000000000003E-2</v>
      </c>
      <c r="D31">
        <v>6.5750000000000003E-2</v>
      </c>
      <c r="E31">
        <v>6.8290000000000003E-2</v>
      </c>
      <c r="F31">
        <v>16154986</v>
      </c>
      <c r="G31">
        <v>6.8290000000000003E-2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0.86764705882352966</v>
      </c>
      <c r="Q31">
        <f t="shared" ref="Q31" si="131">F31*P31</f>
        <v>14016826.088235298</v>
      </c>
      <c r="R31">
        <f t="shared" ref="R31" si="132">R32+Q31</f>
        <v>-4241555118.0827365</v>
      </c>
      <c r="S31">
        <f t="shared" ref="S31" si="133">R31/100000</f>
        <v>-42415.551180827366</v>
      </c>
      <c r="T31">
        <f t="shared" ref="T31" si="134">S31/1000</f>
        <v>-42.415551180827364</v>
      </c>
    </row>
    <row r="32" spans="1:20" x14ac:dyDescent="0.25">
      <c r="A32" s="5">
        <v>44561</v>
      </c>
      <c r="B32">
        <v>6.7979999999999999E-2</v>
      </c>
      <c r="C32">
        <v>7.1499999999999994E-2</v>
      </c>
      <c r="D32">
        <v>6.4850000000000005E-2</v>
      </c>
      <c r="E32">
        <v>6.5960000000000005E-2</v>
      </c>
      <c r="F32">
        <v>30139796</v>
      </c>
      <c r="G32">
        <v>6.5960000000000005E-2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-0.66616541353383407</v>
      </c>
      <c r="Q32">
        <f t="shared" ref="Q32" si="136">F32*P32</f>
        <v>-20078089.666165397</v>
      </c>
      <c r="R32">
        <f t="shared" ref="R32" si="137">R33+Q32</f>
        <v>-4255571944.1709719</v>
      </c>
      <c r="S32">
        <f t="shared" ref="S32" si="138">R32/100000</f>
        <v>-42555.71944170972</v>
      </c>
      <c r="T32">
        <f t="shared" ref="T32" si="139">S32/1000</f>
        <v>-42.555719441709719</v>
      </c>
    </row>
    <row r="33" spans="1:20" x14ac:dyDescent="0.25">
      <c r="A33" s="5">
        <v>44560</v>
      </c>
      <c r="B33">
        <v>6.7110000000000003E-2</v>
      </c>
      <c r="C33">
        <v>6.9800000000000001E-2</v>
      </c>
      <c r="D33">
        <v>6.5729999999999997E-2</v>
      </c>
      <c r="E33">
        <v>6.7970000000000003E-2</v>
      </c>
      <c r="F33">
        <v>18416961</v>
      </c>
      <c r="G33">
        <v>6.7970000000000003E-2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0.1007371007371025</v>
      </c>
      <c r="Q33">
        <f t="shared" ref="Q33" si="141">F33*P33</f>
        <v>1855271.255528288</v>
      </c>
      <c r="R33">
        <f t="shared" ref="R33" si="142">R34+Q33</f>
        <v>-4235493854.5048065</v>
      </c>
      <c r="S33">
        <f t="shared" ref="S33" si="143">R33/100000</f>
        <v>-42354.938545048062</v>
      </c>
      <c r="T33">
        <f t="shared" ref="T33" si="144">S33/1000</f>
        <v>-42.354938545048064</v>
      </c>
    </row>
    <row r="34" spans="1:20" x14ac:dyDescent="0.25">
      <c r="A34" s="5">
        <v>44559</v>
      </c>
      <c r="B34">
        <v>7.0300000000000001E-2</v>
      </c>
      <c r="C34">
        <v>7.5109999999999996E-2</v>
      </c>
      <c r="D34">
        <v>6.6320000000000004E-2</v>
      </c>
      <c r="E34">
        <v>6.7070000000000005E-2</v>
      </c>
      <c r="F34">
        <v>30603632</v>
      </c>
      <c r="G34">
        <v>6.7070000000000005E-2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-0.82935153583617716</v>
      </c>
      <c r="Q34">
        <f t="shared" ref="Q34" si="146">F34*P34</f>
        <v>-25381169.201365177</v>
      </c>
      <c r="R34">
        <f t="shared" ref="R34" si="147">R35+Q34</f>
        <v>-4237349125.760335</v>
      </c>
      <c r="S34">
        <f t="shared" ref="S34" si="148">R34/100000</f>
        <v>-42373.491257603353</v>
      </c>
      <c r="T34">
        <f t="shared" ref="T34" si="149">S34/1000</f>
        <v>-42.373491257603355</v>
      </c>
    </row>
    <row r="35" spans="1:20" x14ac:dyDescent="0.25">
      <c r="A35" s="5">
        <v>44558</v>
      </c>
      <c r="B35">
        <v>7.6439999999999994E-2</v>
      </c>
      <c r="C35">
        <v>7.6439999999999994E-2</v>
      </c>
      <c r="D35">
        <v>6.8589999999999998E-2</v>
      </c>
      <c r="E35">
        <v>7.0209999999999995E-2</v>
      </c>
      <c r="F35">
        <v>31216561</v>
      </c>
      <c r="G35">
        <v>7.0209999999999995E-2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-0.58726114649681593</v>
      </c>
      <c r="Q35">
        <f t="shared" ref="Q35" si="151">F35*P35</f>
        <v>-18332273.402547792</v>
      </c>
      <c r="R35">
        <f t="shared" ref="R35" si="152">R36+Q35</f>
        <v>-4211967956.55897</v>
      </c>
      <c r="S35">
        <f t="shared" ref="S35" si="153">R35/100000</f>
        <v>-42119.6795655897</v>
      </c>
      <c r="T35">
        <f t="shared" ref="T35" si="154">S35/1000</f>
        <v>-42.119679565589699</v>
      </c>
    </row>
    <row r="36" spans="1:20" x14ac:dyDescent="0.25">
      <c r="A36" s="5">
        <v>44557</v>
      </c>
      <c r="B36">
        <v>7.4499999999999997E-2</v>
      </c>
      <c r="C36">
        <v>8.0100000000000005E-2</v>
      </c>
      <c r="D36">
        <v>7.3999999999999996E-2</v>
      </c>
      <c r="E36">
        <v>7.6439999999999994E-2</v>
      </c>
      <c r="F36">
        <v>56882702</v>
      </c>
      <c r="G36">
        <v>7.6439999999999994E-2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-0.20000000000000182</v>
      </c>
      <c r="Q36">
        <f t="shared" ref="Q36" si="156">F36*P36</f>
        <v>-11376540.400000103</v>
      </c>
      <c r="R36">
        <f t="shared" ref="R36" si="157">R37+Q36</f>
        <v>-4193635683.1564221</v>
      </c>
      <c r="S36">
        <f t="shared" ref="S36" si="158">R36/100000</f>
        <v>-41936.356831564219</v>
      </c>
      <c r="T36">
        <f t="shared" ref="T36" si="159">S36/1000</f>
        <v>-41.936356831564218</v>
      </c>
    </row>
    <row r="37" spans="1:20" x14ac:dyDescent="0.25">
      <c r="A37" s="5">
        <v>44556</v>
      </c>
      <c r="B37">
        <v>7.195E-2</v>
      </c>
      <c r="C37">
        <v>7.5990000000000002E-2</v>
      </c>
      <c r="D37">
        <v>7.1080000000000004E-2</v>
      </c>
      <c r="E37">
        <v>7.4459999999999998E-2</v>
      </c>
      <c r="F37">
        <v>29454429</v>
      </c>
      <c r="G37">
        <v>7.4459999999999998E-2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0.37678207739307362</v>
      </c>
      <c r="Q37">
        <f t="shared" ref="Q37" si="161">F37*P37</f>
        <v>11097900.947046792</v>
      </c>
      <c r="R37">
        <f t="shared" ref="R37" si="162">R38+Q37</f>
        <v>-4182259142.756422</v>
      </c>
      <c r="S37">
        <f t="shared" ref="S37" si="163">R37/100000</f>
        <v>-41822.591427564221</v>
      </c>
      <c r="T37">
        <f t="shared" ref="T37" si="164">S37/1000</f>
        <v>-41.82259142756422</v>
      </c>
    </row>
    <row r="38" spans="1:20" x14ac:dyDescent="0.25">
      <c r="A38" s="5">
        <v>44555</v>
      </c>
      <c r="B38">
        <v>7.0739999999999997E-2</v>
      </c>
      <c r="C38">
        <v>7.8E-2</v>
      </c>
      <c r="D38">
        <v>7.0050000000000001E-2</v>
      </c>
      <c r="E38">
        <v>7.1989999999999998E-2</v>
      </c>
      <c r="F38">
        <v>45614936</v>
      </c>
      <c r="G38">
        <v>7.1989999999999998E-2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-0.51194968553459175</v>
      </c>
      <c r="Q38">
        <f t="shared" ref="Q38" si="166">F38*P38</f>
        <v>-23352552.140880529</v>
      </c>
      <c r="R38">
        <f t="shared" ref="R38" si="167">R39+Q38</f>
        <v>-4193357043.7034688</v>
      </c>
      <c r="S38">
        <f t="shared" ref="S38" si="168">R38/100000</f>
        <v>-41933.570437034687</v>
      </c>
      <c r="T38">
        <f t="shared" ref="T38" si="169">S38/1000</f>
        <v>-41.933570437034689</v>
      </c>
    </row>
    <row r="39" spans="1:20" x14ac:dyDescent="0.25">
      <c r="A39" s="5">
        <v>44554</v>
      </c>
      <c r="B39">
        <v>7.1129999999999999E-2</v>
      </c>
      <c r="C39">
        <v>7.4249999999999997E-2</v>
      </c>
      <c r="D39">
        <v>6.9860000000000005E-2</v>
      </c>
      <c r="E39">
        <v>7.0739999999999997E-2</v>
      </c>
      <c r="F39">
        <v>42400186</v>
      </c>
      <c r="G39">
        <v>7.0739999999999997E-2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-0.59908883826879555</v>
      </c>
      <c r="Q39">
        <f t="shared" ref="Q39" si="171">F39*P39</f>
        <v>-25401478.173120849</v>
      </c>
      <c r="R39">
        <f t="shared" ref="R39" si="172">R40+Q39</f>
        <v>-4170004491.5625882</v>
      </c>
      <c r="S39">
        <f t="shared" ref="S39" si="173">R39/100000</f>
        <v>-41700.044915625884</v>
      </c>
      <c r="T39">
        <f t="shared" ref="T39" si="174">S39/1000</f>
        <v>-41.700044915625881</v>
      </c>
    </row>
    <row r="40" spans="1:20" x14ac:dyDescent="0.25">
      <c r="A40" s="5">
        <v>44553</v>
      </c>
      <c r="B40">
        <v>6.9500000000000006E-2</v>
      </c>
      <c r="C40">
        <v>7.2529999999999997E-2</v>
      </c>
      <c r="D40">
        <v>6.7150000000000001E-2</v>
      </c>
      <c r="E40">
        <v>7.1110000000000007E-2</v>
      </c>
      <c r="F40">
        <v>32689150</v>
      </c>
      <c r="G40">
        <v>7.1110000000000007E-2</v>
      </c>
      <c r="L40" t="s">
        <v>7</v>
      </c>
      <c r="M40" t="s">
        <v>7</v>
      </c>
      <c r="N40" t="s">
        <v>7</v>
      </c>
      <c r="P40">
        <f t="shared" ref="P40" si="175">IF(C40=D40,0,((E40-D40)-(C40-E40))/(C40-D40))</f>
        <v>0.47211895910780977</v>
      </c>
      <c r="Q40">
        <f t="shared" ref="Q40" si="176">F40*P40</f>
        <v>15433167.472119059</v>
      </c>
      <c r="R40">
        <f t="shared" ref="R40" si="177">R41+Q40</f>
        <v>-4144603013.3894672</v>
      </c>
      <c r="S40">
        <f t="shared" ref="S40" si="178">R40/100000</f>
        <v>-41446.030133894674</v>
      </c>
      <c r="T40">
        <f t="shared" ref="T40" si="179">S40/1000</f>
        <v>-41.446030133894673</v>
      </c>
    </row>
    <row r="41" spans="1:20" x14ac:dyDescent="0.25">
      <c r="A41" s="5">
        <v>44552</v>
      </c>
      <c r="B41">
        <v>6.8059999999999996E-2</v>
      </c>
      <c r="C41">
        <v>7.4999999999999997E-2</v>
      </c>
      <c r="D41">
        <v>6.7500000000000004E-2</v>
      </c>
      <c r="E41">
        <v>6.9440000000000002E-2</v>
      </c>
      <c r="F41">
        <v>42908814</v>
      </c>
      <c r="G41">
        <v>6.9440000000000002E-2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-0.48266666666666691</v>
      </c>
      <c r="Q41">
        <f t="shared" ref="Q41" si="181">F41*P41</f>
        <v>-20710654.224000011</v>
      </c>
      <c r="R41">
        <f t="shared" ref="R41" si="182">R42+Q41</f>
        <v>-4160036180.8615861</v>
      </c>
      <c r="S41">
        <f t="shared" ref="S41" si="183">R41/100000</f>
        <v>-41600.36180861586</v>
      </c>
      <c r="T41">
        <f t="shared" ref="T41" si="184">S41/1000</f>
        <v>-41.600361808615858</v>
      </c>
    </row>
    <row r="42" spans="1:20" x14ac:dyDescent="0.25">
      <c r="A42" s="5">
        <v>44551</v>
      </c>
      <c r="B42">
        <v>6.5869999999999998E-2</v>
      </c>
      <c r="C42">
        <v>6.8909999999999999E-2</v>
      </c>
      <c r="D42">
        <v>6.4649999999999999E-2</v>
      </c>
      <c r="E42">
        <v>6.8070000000000006E-2</v>
      </c>
      <c r="F42">
        <v>27868821</v>
      </c>
      <c r="G42">
        <v>6.8070000000000006E-2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0.60563380281690449</v>
      </c>
      <c r="Q42">
        <f t="shared" ref="Q42" si="186">F42*P42</f>
        <v>16878300.042253606</v>
      </c>
      <c r="R42">
        <f t="shared" ref="R42" si="187">R43+Q42</f>
        <v>-4139325526.6375861</v>
      </c>
      <c r="S42">
        <f t="shared" ref="S42" si="188">R42/100000</f>
        <v>-41393.255266375862</v>
      </c>
      <c r="T42">
        <f t="shared" ref="T42" si="189">S42/1000</f>
        <v>-41.39325526637586</v>
      </c>
    </row>
    <row r="43" spans="1:20" x14ac:dyDescent="0.25">
      <c r="A43" s="5">
        <v>44550</v>
      </c>
      <c r="B43">
        <v>6.6820000000000004E-2</v>
      </c>
      <c r="C43">
        <v>6.7140000000000005E-2</v>
      </c>
      <c r="D43">
        <v>6.2359999999999999E-2</v>
      </c>
      <c r="E43">
        <v>6.5720000000000001E-2</v>
      </c>
      <c r="F43">
        <v>45989170</v>
      </c>
      <c r="G43">
        <v>6.5720000000000001E-2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0.40585774058577295</v>
      </c>
      <c r="Q43">
        <f t="shared" ref="Q43" si="191">F43*P43</f>
        <v>18665060.627615012</v>
      </c>
      <c r="R43">
        <f t="shared" ref="R43" si="192">R44+Q43</f>
        <v>-4156203826.6798396</v>
      </c>
      <c r="S43">
        <f t="shared" ref="S43" si="193">R43/100000</f>
        <v>-41562.038266798394</v>
      </c>
      <c r="T43">
        <f t="shared" ref="T43" si="194">S43/1000</f>
        <v>-41.562038266798396</v>
      </c>
    </row>
    <row r="44" spans="1:20" x14ac:dyDescent="0.25">
      <c r="A44" s="5">
        <v>44549</v>
      </c>
      <c r="B44">
        <v>7.0239999999999997E-2</v>
      </c>
      <c r="C44">
        <v>7.2690000000000005E-2</v>
      </c>
      <c r="D44">
        <v>6.4920000000000005E-2</v>
      </c>
      <c r="E44">
        <v>6.6879999999999995E-2</v>
      </c>
      <c r="F44">
        <v>101239842</v>
      </c>
      <c r="G44">
        <v>6.6879999999999995E-2</v>
      </c>
      <c r="L44" t="s">
        <v>7</v>
      </c>
      <c r="M44" t="s">
        <v>7</v>
      </c>
      <c r="N44" t="s">
        <v>8</v>
      </c>
      <c r="P44">
        <f t="shared" ref="P44" si="195">IF(C44=D44,0,((E44-D44)-(C44-E44))/(C44-D44))</f>
        <v>-0.49549549549549815</v>
      </c>
      <c r="Q44">
        <f t="shared" ref="Q44" si="196">F44*P44</f>
        <v>-50163885.675675943</v>
      </c>
      <c r="R44">
        <f t="shared" ref="R44" si="197">R45+Q44</f>
        <v>-4174868887.3074546</v>
      </c>
      <c r="S44">
        <f t="shared" ref="S44" si="198">R44/100000</f>
        <v>-41748.688873074549</v>
      </c>
      <c r="T44">
        <f t="shared" ref="T44" si="199">S44/1000</f>
        <v>-41.748688873074549</v>
      </c>
    </row>
    <row r="45" spans="1:20" x14ac:dyDescent="0.25">
      <c r="A45" s="5">
        <v>44548</v>
      </c>
      <c r="B45">
        <v>6.5390000000000004E-2</v>
      </c>
      <c r="C45">
        <v>8.7840000000000001E-2</v>
      </c>
      <c r="D45">
        <v>6.3649999999999998E-2</v>
      </c>
      <c r="E45">
        <v>7.0239999999999997E-2</v>
      </c>
      <c r="F45">
        <v>805277112</v>
      </c>
      <c r="G45">
        <v>7.0239999999999997E-2</v>
      </c>
      <c r="L45" t="s">
        <v>8</v>
      </c>
      <c r="M45" t="s">
        <v>8</v>
      </c>
      <c r="N45" t="s">
        <v>8</v>
      </c>
      <c r="P45">
        <f t="shared" ref="P45" si="200">IF(C45=D45,0,((E45-D45)-(C45-E45))/(C45-D45))</f>
        <v>-0.45514675485737927</v>
      </c>
      <c r="Q45">
        <f t="shared" ref="Q45" si="201">F45*P45</f>
        <v>-366519264.28772235</v>
      </c>
      <c r="R45">
        <f t="shared" ref="R45" si="202">R46+Q45</f>
        <v>-4124705001.6317787</v>
      </c>
      <c r="S45">
        <f t="shared" ref="S45" si="203">R45/100000</f>
        <v>-41247.050016317786</v>
      </c>
      <c r="T45">
        <f t="shared" ref="T45" si="204">S45/1000</f>
        <v>-41.247050016317786</v>
      </c>
    </row>
    <row r="46" spans="1:20" x14ac:dyDescent="0.25">
      <c r="A46" s="5">
        <v>44547</v>
      </c>
      <c r="B46">
        <v>6.3799999999999996E-2</v>
      </c>
      <c r="C46">
        <v>6.88E-2</v>
      </c>
      <c r="D46">
        <v>6.0049999999999999E-2</v>
      </c>
      <c r="E46">
        <v>6.5490000000000007E-2</v>
      </c>
      <c r="F46">
        <v>66099897</v>
      </c>
      <c r="G46">
        <v>6.5490000000000007E-2</v>
      </c>
      <c r="L46" t="s">
        <v>8</v>
      </c>
      <c r="M46" t="s">
        <v>8</v>
      </c>
      <c r="N46" t="s">
        <v>7</v>
      </c>
      <c r="P46">
        <f t="shared" ref="P46" si="205">IF(C46=D46,0,((E46-D46)-(C46-E46))/(C46-D46))</f>
        <v>0.24342857142857299</v>
      </c>
      <c r="Q46">
        <f t="shared" ref="Q46" si="206">F46*P46</f>
        <v>16090603.498285817</v>
      </c>
      <c r="R46">
        <f t="shared" ref="R46" si="207">R47+Q46</f>
        <v>-3758185737.3440561</v>
      </c>
      <c r="S46">
        <f t="shared" ref="S46" si="208">R46/100000</f>
        <v>-37581.857373440558</v>
      </c>
      <c r="T46">
        <f t="shared" ref="T46" si="209">S46/1000</f>
        <v>-37.581857373440556</v>
      </c>
    </row>
    <row r="47" spans="1:20" x14ac:dyDescent="0.25">
      <c r="A47" s="5">
        <v>44546</v>
      </c>
      <c r="B47">
        <v>6.4269999999999994E-2</v>
      </c>
      <c r="C47">
        <v>6.726E-2</v>
      </c>
      <c r="D47">
        <v>6.3560000000000005E-2</v>
      </c>
      <c r="E47">
        <v>6.3560000000000005E-2</v>
      </c>
      <c r="F47">
        <v>22625291</v>
      </c>
      <c r="G47">
        <v>6.3560000000000005E-2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-1</v>
      </c>
      <c r="Q47">
        <f t="shared" ref="Q47" si="211">F47*P47</f>
        <v>-22625291</v>
      </c>
      <c r="R47">
        <f t="shared" ref="R47" si="212">R48+Q47</f>
        <v>-3774276340.8423419</v>
      </c>
      <c r="S47">
        <f t="shared" ref="S47" si="213">R47/100000</f>
        <v>-37742.763408423416</v>
      </c>
      <c r="T47">
        <f t="shared" ref="T47" si="214">S47/1000</f>
        <v>-37.742763408423414</v>
      </c>
    </row>
    <row r="48" spans="1:20" x14ac:dyDescent="0.25">
      <c r="A48" s="5">
        <v>44545</v>
      </c>
      <c r="B48">
        <v>6.2579999999999997E-2</v>
      </c>
      <c r="C48">
        <v>6.4990000000000006E-2</v>
      </c>
      <c r="D48">
        <v>5.8409999999999997E-2</v>
      </c>
      <c r="E48">
        <v>6.4269999999999994E-2</v>
      </c>
      <c r="F48">
        <v>25259757</v>
      </c>
      <c r="G48">
        <v>6.4269999999999994E-2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0.78115501519756492</v>
      </c>
      <c r="Q48">
        <f t="shared" ref="Q48" si="216">F48*P48</f>
        <v>19731785.863221798</v>
      </c>
      <c r="R48">
        <f t="shared" ref="R48" si="217">R49+Q48</f>
        <v>-3751651049.8423419</v>
      </c>
      <c r="S48">
        <f t="shared" ref="S48" si="218">R48/100000</f>
        <v>-37516.51049842342</v>
      </c>
      <c r="T48">
        <f t="shared" ref="T48" si="219">S48/1000</f>
        <v>-37.516510498423422</v>
      </c>
    </row>
    <row r="49" spans="1:20" x14ac:dyDescent="0.25">
      <c r="A49" s="5">
        <v>44544</v>
      </c>
      <c r="B49">
        <v>6.1190000000000001E-2</v>
      </c>
      <c r="C49">
        <v>6.3850000000000004E-2</v>
      </c>
      <c r="D49">
        <v>5.9360000000000003E-2</v>
      </c>
      <c r="E49">
        <v>6.2420000000000003E-2</v>
      </c>
      <c r="F49">
        <v>36694762</v>
      </c>
      <c r="G49">
        <v>6.2420000000000003E-2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0.36302895322939849</v>
      </c>
      <c r="Q49">
        <f t="shared" ref="Q49" si="221">F49*P49</f>
        <v>13321261.03786191</v>
      </c>
      <c r="R49">
        <f t="shared" ref="R49" si="222">R50+Q49</f>
        <v>-3771382835.7055635</v>
      </c>
      <c r="S49">
        <f t="shared" ref="S49" si="223">R49/100000</f>
        <v>-37713.828357055638</v>
      </c>
      <c r="T49">
        <f t="shared" ref="T49" si="224">S49/1000</f>
        <v>-37.71382835705564</v>
      </c>
    </row>
    <row r="50" spans="1:20" x14ac:dyDescent="0.25">
      <c r="A50" s="5">
        <v>44543</v>
      </c>
      <c r="B50">
        <v>7.1849999999999997E-2</v>
      </c>
      <c r="C50">
        <v>7.2309999999999999E-2</v>
      </c>
      <c r="D50">
        <v>6.0499999999999998E-2</v>
      </c>
      <c r="E50">
        <v>6.1179999999999998E-2</v>
      </c>
      <c r="F50">
        <v>50372408</v>
      </c>
      <c r="G50">
        <v>6.1179999999999998E-2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-0.88484335309060114</v>
      </c>
      <c r="Q50">
        <f t="shared" ref="Q50" si="226">F50*P50</f>
        <v>-44571690.397967823</v>
      </c>
      <c r="R50">
        <f t="shared" ref="R50" si="227">R51+Q50</f>
        <v>-3784704096.7434254</v>
      </c>
      <c r="S50">
        <f t="shared" ref="S50" si="228">R50/100000</f>
        <v>-37847.040967434252</v>
      </c>
      <c r="T50">
        <f t="shared" ref="T50" si="229">S50/1000</f>
        <v>-37.847040967434253</v>
      </c>
    </row>
    <row r="51" spans="1:20" x14ac:dyDescent="0.25">
      <c r="A51" s="5">
        <v>44542</v>
      </c>
      <c r="B51">
        <v>7.1400000000000005E-2</v>
      </c>
      <c r="C51">
        <v>7.2910000000000003E-2</v>
      </c>
      <c r="D51">
        <v>6.8589999999999998E-2</v>
      </c>
      <c r="E51">
        <v>7.1870000000000003E-2</v>
      </c>
      <c r="F51">
        <v>20631632</v>
      </c>
      <c r="G51">
        <v>7.1870000000000003E-2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0.51851851851851938</v>
      </c>
      <c r="Q51">
        <f t="shared" ref="Q51" si="231">F51*P51</f>
        <v>10697883.259259276</v>
      </c>
      <c r="R51">
        <f t="shared" ref="R51" si="232">R52+Q51</f>
        <v>-3740132406.3454576</v>
      </c>
      <c r="S51">
        <f t="shared" ref="S51" si="233">R51/100000</f>
        <v>-37401.324063454573</v>
      </c>
      <c r="T51">
        <f t="shared" ref="T51" si="234">S51/1000</f>
        <v>-37.401324063454574</v>
      </c>
    </row>
    <row r="52" spans="1:20" x14ac:dyDescent="0.25">
      <c r="A52" s="5">
        <v>44541</v>
      </c>
      <c r="B52">
        <v>6.7750000000000005E-2</v>
      </c>
      <c r="C52">
        <v>6.9419999999999996E-2</v>
      </c>
      <c r="D52">
        <v>6.4009999999999997E-2</v>
      </c>
      <c r="E52">
        <v>6.8159999999999998E-2</v>
      </c>
      <c r="F52">
        <v>4539262</v>
      </c>
      <c r="G52">
        <v>6.8159999999999998E-2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0.5341959334565628</v>
      </c>
      <c r="Q52">
        <f t="shared" ref="Q52" si="236">F52*P52</f>
        <v>2424855.301293904</v>
      </c>
      <c r="R52">
        <f t="shared" ref="R52" si="237">R53+Q52</f>
        <v>-3750830289.6047168</v>
      </c>
      <c r="S52">
        <f t="shared" ref="S52" si="238">R52/100000</f>
        <v>-37508.302896047171</v>
      </c>
      <c r="T52">
        <f t="shared" ref="T52" si="239">S52/1000</f>
        <v>-37.508302896047169</v>
      </c>
    </row>
    <row r="53" spans="1:20" x14ac:dyDescent="0.25">
      <c r="A53" s="5">
        <v>44540</v>
      </c>
      <c r="B53">
        <v>7.1980000000000002E-2</v>
      </c>
      <c r="C53">
        <v>7.5560000000000002E-2</v>
      </c>
      <c r="D53">
        <v>6.7479999999999998E-2</v>
      </c>
      <c r="E53">
        <v>6.7780000000000007E-2</v>
      </c>
      <c r="F53">
        <v>34180268</v>
      </c>
      <c r="G53">
        <v>6.7780000000000007E-2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-0.92574257425742368</v>
      </c>
      <c r="Q53">
        <f t="shared" ref="Q53" si="241">F53*P53</f>
        <v>-31642129.287128642</v>
      </c>
      <c r="R53">
        <f t="shared" ref="R53" si="242">R54+Q53</f>
        <v>-3753255144.9060106</v>
      </c>
      <c r="S53">
        <f t="shared" ref="S53" si="243">R53/100000</f>
        <v>-37532.551449060105</v>
      </c>
      <c r="T53">
        <f t="shared" ref="T53" si="244">S53/1000</f>
        <v>-37.532551449060108</v>
      </c>
    </row>
    <row r="54" spans="1:20" x14ac:dyDescent="0.25">
      <c r="A54" s="5">
        <v>44539</v>
      </c>
      <c r="B54">
        <v>8.0570000000000003E-2</v>
      </c>
      <c r="C54">
        <v>8.1079999999999999E-2</v>
      </c>
      <c r="D54">
        <v>7.1669999999999998E-2</v>
      </c>
      <c r="E54">
        <v>7.2069999999999995E-2</v>
      </c>
      <c r="F54">
        <v>33785835</v>
      </c>
      <c r="G54">
        <v>7.2069999999999995E-2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-0.91498405951115891</v>
      </c>
      <c r="Q54">
        <f t="shared" ref="Q54" si="246">F54*P54</f>
        <v>-30913500.462274194</v>
      </c>
      <c r="R54">
        <f t="shared" ref="R54" si="247">R55+Q54</f>
        <v>-3721613015.6188822</v>
      </c>
      <c r="S54">
        <f t="shared" ref="S54" si="248">R54/100000</f>
        <v>-37216.130156188825</v>
      </c>
      <c r="T54">
        <f t="shared" ref="T54" si="249">S54/1000</f>
        <v>-37.216130156188825</v>
      </c>
    </row>
    <row r="55" spans="1:20" x14ac:dyDescent="0.25">
      <c r="A55" s="5">
        <v>44538</v>
      </c>
      <c r="B55">
        <v>7.7700000000000005E-2</v>
      </c>
      <c r="C55">
        <v>8.3000000000000004E-2</v>
      </c>
      <c r="D55">
        <v>7.4260000000000007E-2</v>
      </c>
      <c r="E55">
        <v>8.0500000000000002E-2</v>
      </c>
      <c r="F55">
        <v>46060521</v>
      </c>
      <c r="G55">
        <v>8.0500000000000002E-2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0.42791762013729912</v>
      </c>
      <c r="Q55">
        <f t="shared" ref="Q55" si="251">F55*P55</f>
        <v>19710108.52860409</v>
      </c>
      <c r="R55">
        <f t="shared" ref="R55" si="252">R56+Q55</f>
        <v>-3690699515.1566081</v>
      </c>
      <c r="S55">
        <f t="shared" ref="S55" si="253">R55/100000</f>
        <v>-36906.99515156608</v>
      </c>
      <c r="T55">
        <f t="shared" ref="T55" si="254">S55/1000</f>
        <v>-36.906995151566079</v>
      </c>
    </row>
    <row r="56" spans="1:20" x14ac:dyDescent="0.25">
      <c r="A56" s="5">
        <v>44537</v>
      </c>
      <c r="B56">
        <v>7.6109999999999997E-2</v>
      </c>
      <c r="C56">
        <v>8.3030000000000007E-2</v>
      </c>
      <c r="D56">
        <v>7.5600000000000001E-2</v>
      </c>
      <c r="E56">
        <v>7.7719999999999997E-2</v>
      </c>
      <c r="F56">
        <v>61581164</v>
      </c>
      <c r="G56">
        <v>7.7719999999999997E-2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-0.42934051144010899</v>
      </c>
      <c r="Q56">
        <f t="shared" ref="Q56" si="256">F56*P56</f>
        <v>-26439288.446837228</v>
      </c>
      <c r="R56">
        <f t="shared" ref="R56" si="257">R57+Q56</f>
        <v>-3710409623.6852121</v>
      </c>
      <c r="S56">
        <f t="shared" ref="S56" si="258">R56/100000</f>
        <v>-37104.096236852121</v>
      </c>
      <c r="T56">
        <f t="shared" ref="T56" si="259">S56/1000</f>
        <v>-37.104096236852122</v>
      </c>
    </row>
    <row r="57" spans="1:20" x14ac:dyDescent="0.25">
      <c r="A57" s="5">
        <v>44536</v>
      </c>
      <c r="B57">
        <v>7.6270000000000004E-2</v>
      </c>
      <c r="C57">
        <v>7.7450000000000005E-2</v>
      </c>
      <c r="D57">
        <v>6.7210000000000006E-2</v>
      </c>
      <c r="E57">
        <v>7.6249999999999998E-2</v>
      </c>
      <c r="F57">
        <v>43211268</v>
      </c>
      <c r="G57">
        <v>7.6249999999999998E-2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0.76562499999999867</v>
      </c>
      <c r="Q57">
        <f t="shared" ref="Q57" si="261">F57*P57</f>
        <v>33083627.062499944</v>
      </c>
      <c r="R57">
        <f t="shared" ref="R57" si="262">R58+Q57</f>
        <v>-3683970335.2383747</v>
      </c>
      <c r="S57">
        <f t="shared" ref="S57" si="263">R57/100000</f>
        <v>-36839.703352383745</v>
      </c>
      <c r="T57">
        <f t="shared" ref="T57" si="264">S57/1000</f>
        <v>-36.839703352383744</v>
      </c>
    </row>
    <row r="58" spans="1:20" x14ac:dyDescent="0.25">
      <c r="A58" s="5">
        <v>44535</v>
      </c>
      <c r="B58">
        <v>8.0379999999999993E-2</v>
      </c>
      <c r="C58">
        <v>8.4370000000000001E-2</v>
      </c>
      <c r="D58">
        <v>7.331E-2</v>
      </c>
      <c r="E58">
        <v>7.6289999999999997E-2</v>
      </c>
      <c r="F58">
        <v>54538091</v>
      </c>
      <c r="G58">
        <v>7.6289999999999997E-2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-0.46112115732368963</v>
      </c>
      <c r="Q58">
        <f t="shared" ref="Q58" si="266">F58*P58</f>
        <v>-25148667.640144702</v>
      </c>
      <c r="R58">
        <f t="shared" ref="R58" si="267">R59+Q58</f>
        <v>-3717053962.3008747</v>
      </c>
      <c r="S58">
        <f t="shared" ref="S58" si="268">R58/100000</f>
        <v>-37170.53962300875</v>
      </c>
      <c r="T58">
        <f t="shared" ref="T58" si="269">S58/1000</f>
        <v>-37.17053962300875</v>
      </c>
    </row>
    <row r="59" spans="1:20" x14ac:dyDescent="0.25">
      <c r="A59" s="5">
        <v>44534</v>
      </c>
      <c r="B59">
        <v>9.887E-2</v>
      </c>
      <c r="C59">
        <v>9.8970000000000002E-2</v>
      </c>
      <c r="D59">
        <v>6.3350000000000004E-2</v>
      </c>
      <c r="E59">
        <v>8.0369999999999997E-2</v>
      </c>
      <c r="F59">
        <v>172877109</v>
      </c>
      <c r="G59">
        <v>8.0369999999999997E-2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-4.4357102751263672E-2</v>
      </c>
      <c r="Q59">
        <f t="shared" ref="Q59" si="271">F59*P59</f>
        <v>-7668327.6872544093</v>
      </c>
      <c r="R59">
        <f t="shared" ref="R59" si="272">R60+Q59</f>
        <v>-3691905294.6607299</v>
      </c>
      <c r="S59">
        <f t="shared" ref="S59" si="273">R59/100000</f>
        <v>-36919.052946607299</v>
      </c>
      <c r="T59">
        <f t="shared" ref="T59" si="274">S59/1000</f>
        <v>-36.919052946607302</v>
      </c>
    </row>
    <row r="60" spans="1:20" x14ac:dyDescent="0.25">
      <c r="A60" s="5">
        <v>44533</v>
      </c>
      <c r="B60">
        <v>9.3460000000000001E-2</v>
      </c>
      <c r="C60">
        <v>0.11700000000000001</v>
      </c>
      <c r="D60">
        <v>9.1399999999999995E-2</v>
      </c>
      <c r="E60">
        <v>9.894E-2</v>
      </c>
      <c r="F60">
        <v>286640571</v>
      </c>
      <c r="G60">
        <v>9.894E-2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-0.4109374999999999</v>
      </c>
      <c r="Q60">
        <f t="shared" ref="Q60" si="276">F60*P60</f>
        <v>-117791359.64531247</v>
      </c>
      <c r="R60">
        <f t="shared" ref="R60" si="277">R61+Q60</f>
        <v>-3684236966.9734755</v>
      </c>
      <c r="S60">
        <f t="shared" ref="S60" si="278">R60/100000</f>
        <v>-36842.369669734755</v>
      </c>
      <c r="T60">
        <f t="shared" ref="T60" si="279">S60/1000</f>
        <v>-36.842369669734758</v>
      </c>
    </row>
    <row r="61" spans="1:20" x14ac:dyDescent="0.25">
      <c r="A61" s="5">
        <v>44532</v>
      </c>
      <c r="B61">
        <v>9.4210000000000002E-2</v>
      </c>
      <c r="C61">
        <v>9.9599999999999994E-2</v>
      </c>
      <c r="D61">
        <v>9.0219999999999995E-2</v>
      </c>
      <c r="E61">
        <v>9.3299999999999994E-2</v>
      </c>
      <c r="F61">
        <v>132056687</v>
      </c>
      <c r="G61">
        <v>9.3299999999999994E-2</v>
      </c>
      <c r="L61" t="s">
        <v>8</v>
      </c>
      <c r="M61" t="s">
        <v>8</v>
      </c>
      <c r="N61" t="s">
        <v>8</v>
      </c>
      <c r="P61">
        <f t="shared" ref="P61" si="280">IF(C61=D61,0,((E61-D61)-(C61-E61))/(C61-D61))</f>
        <v>-0.34328358208955234</v>
      </c>
      <c r="Q61">
        <f t="shared" ref="Q61" si="281">F61*P61</f>
        <v>-45332892.552238822</v>
      </c>
      <c r="R61">
        <f t="shared" ref="R61" si="282">R62+Q61</f>
        <v>-3566445607.3281631</v>
      </c>
      <c r="S61">
        <f t="shared" ref="S61" si="283">R61/100000</f>
        <v>-35664.456073281632</v>
      </c>
      <c r="T61">
        <f t="shared" ref="T61" si="284">S61/1000</f>
        <v>-35.664456073281634</v>
      </c>
    </row>
    <row r="62" spans="1:20" x14ac:dyDescent="0.25">
      <c r="A62" s="5">
        <v>44531</v>
      </c>
      <c r="B62">
        <v>8.9160000000000003E-2</v>
      </c>
      <c r="C62">
        <v>9.4409999999999994E-2</v>
      </c>
      <c r="D62">
        <v>8.7099999999999997E-2</v>
      </c>
      <c r="E62">
        <v>9.4399999999999998E-2</v>
      </c>
      <c r="F62">
        <v>61496240</v>
      </c>
      <c r="G62">
        <v>9.4399999999999998E-2</v>
      </c>
      <c r="L62" t="s">
        <v>7</v>
      </c>
      <c r="M62" t="s">
        <v>7</v>
      </c>
      <c r="N62" t="s">
        <v>8</v>
      </c>
      <c r="P62">
        <f t="shared" ref="P62" si="285">IF(C62=D62,0,((E62-D62)-(C62-E62))/(C62-D62))</f>
        <v>0.99726402188782592</v>
      </c>
      <c r="Q62">
        <f t="shared" ref="Q62" si="286">F62*P62</f>
        <v>61327987.633378997</v>
      </c>
      <c r="R62">
        <f t="shared" ref="R62" si="287">R63+Q62</f>
        <v>-3521112714.7759242</v>
      </c>
      <c r="S62">
        <f t="shared" ref="S62" si="288">R62/100000</f>
        <v>-35211.127147759245</v>
      </c>
      <c r="T62">
        <f t="shared" ref="T62" si="289">S62/1000</f>
        <v>-35.211127147759242</v>
      </c>
    </row>
    <row r="63" spans="1:20" x14ac:dyDescent="0.25">
      <c r="A63" s="5">
        <v>44530</v>
      </c>
      <c r="B63">
        <v>8.7779999999999997E-2</v>
      </c>
      <c r="C63">
        <v>9.5000000000000001E-2</v>
      </c>
      <c r="D63">
        <v>8.6330000000000004E-2</v>
      </c>
      <c r="E63">
        <v>8.9090000000000003E-2</v>
      </c>
      <c r="F63">
        <v>63745157</v>
      </c>
      <c r="G63">
        <v>8.9090000000000003E-2</v>
      </c>
      <c r="L63" t="s">
        <v>8</v>
      </c>
      <c r="M63" t="s">
        <v>7</v>
      </c>
      <c r="N63" t="s">
        <v>8</v>
      </c>
      <c r="P63">
        <f t="shared" ref="P63" si="290">IF(C63=D63,0,((E63-D63)-(C63-E63))/(C63-D63))</f>
        <v>-0.3633217993079586</v>
      </c>
      <c r="Q63">
        <f t="shared" ref="Q63" si="291">F63*P63</f>
        <v>-23160005.138408311</v>
      </c>
      <c r="R63">
        <f t="shared" ref="R63" si="292">R64+Q63</f>
        <v>-3582440702.4093032</v>
      </c>
      <c r="S63">
        <f t="shared" ref="S63" si="293">R63/100000</f>
        <v>-35824.40702409303</v>
      </c>
      <c r="T63">
        <f t="shared" ref="T63" si="294">S63/1000</f>
        <v>-35.824407024093027</v>
      </c>
    </row>
    <row r="64" spans="1:20" x14ac:dyDescent="0.25">
      <c r="A64" s="5">
        <v>44529</v>
      </c>
      <c r="B64">
        <v>8.6040000000000005E-2</v>
      </c>
      <c r="C64">
        <v>9.1869999999999993E-2</v>
      </c>
      <c r="D64">
        <v>8.5099999999999995E-2</v>
      </c>
      <c r="E64">
        <v>8.7830000000000005E-2</v>
      </c>
      <c r="F64">
        <v>53142383</v>
      </c>
      <c r="G64">
        <v>8.7830000000000005E-2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-0.19350073855243399</v>
      </c>
      <c r="Q64">
        <f t="shared" ref="Q64" si="296">F64*P64</f>
        <v>-10283090.358936314</v>
      </c>
      <c r="R64">
        <f t="shared" ref="R64" si="297">R65+Q64</f>
        <v>-3559280697.270895</v>
      </c>
      <c r="S64">
        <f t="shared" ref="S64" si="298">R64/100000</f>
        <v>-35592.806972708953</v>
      </c>
      <c r="T64">
        <f t="shared" ref="T64" si="299">S64/1000</f>
        <v>-35.592806972708956</v>
      </c>
    </row>
    <row r="65" spans="1:20" x14ac:dyDescent="0.25">
      <c r="A65" s="5">
        <v>44528</v>
      </c>
      <c r="B65">
        <v>9.0270000000000003E-2</v>
      </c>
      <c r="C65">
        <v>9.0520000000000003E-2</v>
      </c>
      <c r="D65">
        <v>8.0600000000000005E-2</v>
      </c>
      <c r="E65">
        <v>8.6370000000000002E-2</v>
      </c>
      <c r="F65">
        <v>52290026</v>
      </c>
      <c r="G65">
        <v>8.6370000000000002E-2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0.16330645161290289</v>
      </c>
      <c r="Q65">
        <f t="shared" ref="Q65" si="301">F65*P65</f>
        <v>8539298.6008064337</v>
      </c>
      <c r="R65">
        <f t="shared" ref="R65" si="302">R66+Q65</f>
        <v>-3548997606.9119587</v>
      </c>
      <c r="S65">
        <f t="shared" ref="S65" si="303">R65/100000</f>
        <v>-35489.976069119584</v>
      </c>
      <c r="T65">
        <f t="shared" ref="T65" si="304">S65/1000</f>
        <v>-35.489976069119585</v>
      </c>
    </row>
    <row r="66" spans="1:20" x14ac:dyDescent="0.25">
      <c r="A66" s="5">
        <v>44527</v>
      </c>
      <c r="B66">
        <v>8.2619999999999999E-2</v>
      </c>
      <c r="C66">
        <v>9.7890000000000005E-2</v>
      </c>
      <c r="D66">
        <v>8.2589999999999997E-2</v>
      </c>
      <c r="E66">
        <v>9.0270000000000003E-2</v>
      </c>
      <c r="F66">
        <v>100052737</v>
      </c>
      <c r="G66">
        <v>9.0270000000000003E-2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3.9215686274512718E-3</v>
      </c>
      <c r="Q66">
        <f t="shared" ref="Q66" si="306">F66*P66</f>
        <v>392363.6745098331</v>
      </c>
      <c r="R66">
        <f t="shared" ref="R66" si="307">R67+Q66</f>
        <v>-3557536905.5127649</v>
      </c>
      <c r="S66">
        <f t="shared" ref="S66" si="308">R66/100000</f>
        <v>-35575.369055127652</v>
      </c>
      <c r="T66">
        <f t="shared" ref="T66" si="309">S66/1000</f>
        <v>-35.575369055127652</v>
      </c>
    </row>
    <row r="67" spans="1:20" x14ac:dyDescent="0.25">
      <c r="A67" s="5">
        <v>44526</v>
      </c>
      <c r="B67">
        <v>9.3350000000000002E-2</v>
      </c>
      <c r="C67">
        <v>9.393E-2</v>
      </c>
      <c r="D67">
        <v>8.1220000000000001E-2</v>
      </c>
      <c r="E67">
        <v>8.2879999999999995E-2</v>
      </c>
      <c r="F67">
        <v>51901865</v>
      </c>
      <c r="G67">
        <v>8.2879999999999995E-2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-0.7387883556254925</v>
      </c>
      <c r="Q67">
        <f t="shared" ref="Q67" si="311">F67*P67</f>
        <v>-38344493.497246303</v>
      </c>
      <c r="R67">
        <f t="shared" ref="R67" si="312">R68+Q67</f>
        <v>-3557929269.1872749</v>
      </c>
      <c r="S67">
        <f t="shared" ref="S67" si="313">R67/100000</f>
        <v>-35579.292691872746</v>
      </c>
      <c r="T67">
        <f t="shared" ref="T67" si="314">S67/1000</f>
        <v>-35.579292691872745</v>
      </c>
    </row>
    <row r="68" spans="1:20" x14ac:dyDescent="0.25">
      <c r="A68" s="5">
        <v>44525</v>
      </c>
      <c r="B68">
        <v>9.257E-2</v>
      </c>
      <c r="C68">
        <v>9.6979999999999997E-2</v>
      </c>
      <c r="D68">
        <v>8.8209999999999997E-2</v>
      </c>
      <c r="E68">
        <v>9.3350000000000002E-2</v>
      </c>
      <c r="F68">
        <v>83338743</v>
      </c>
      <c r="G68">
        <v>9.3350000000000002E-2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0.17217787913341065</v>
      </c>
      <c r="Q68">
        <f t="shared" ref="Q68" si="316">F68*P68</f>
        <v>14349088.019384373</v>
      </c>
      <c r="R68">
        <f t="shared" ref="R68" si="317">R69+Q68</f>
        <v>-3519584775.6900287</v>
      </c>
      <c r="S68">
        <f t="shared" ref="S68" si="318">R68/100000</f>
        <v>-35195.847756900286</v>
      </c>
      <c r="T68">
        <f t="shared" ref="T68" si="319">S68/1000</f>
        <v>-35.195847756900285</v>
      </c>
    </row>
    <row r="69" spans="1:20" x14ac:dyDescent="0.25">
      <c r="A69" s="5">
        <v>44524</v>
      </c>
      <c r="B69">
        <v>8.5120000000000001E-2</v>
      </c>
      <c r="C69">
        <v>9.4280000000000003E-2</v>
      </c>
      <c r="D69">
        <v>8.3299999999999999E-2</v>
      </c>
      <c r="E69">
        <v>9.1300000000000006E-2</v>
      </c>
      <c r="F69">
        <v>78616527</v>
      </c>
      <c r="G69">
        <v>9.1300000000000006E-2</v>
      </c>
      <c r="L69" t="s">
        <v>8</v>
      </c>
      <c r="M69" t="s">
        <v>7</v>
      </c>
      <c r="N69" t="s">
        <v>8</v>
      </c>
      <c r="P69">
        <f t="shared" ref="P69" si="320">IF(C69=D69,0,((E69-D69)-(C69-E69))/(C69-D69))</f>
        <v>0.45719489981785144</v>
      </c>
      <c r="Q69">
        <f t="shared" ref="Q69" si="321">F69*P69</f>
        <v>35943075.185792416</v>
      </c>
      <c r="R69">
        <f t="shared" ref="R69" si="322">R70+Q69</f>
        <v>-3533933863.7094131</v>
      </c>
      <c r="S69">
        <f t="shared" ref="S69" si="323">R69/100000</f>
        <v>-35339.33863709413</v>
      </c>
      <c r="T69">
        <f t="shared" ref="T69" si="324">S69/1000</f>
        <v>-35.33933863709413</v>
      </c>
    </row>
    <row r="70" spans="1:20" x14ac:dyDescent="0.25">
      <c r="A70" s="5">
        <v>44523</v>
      </c>
      <c r="B70">
        <v>8.3040000000000003E-2</v>
      </c>
      <c r="C70">
        <v>8.9200000000000002E-2</v>
      </c>
      <c r="D70">
        <v>8.2500000000000004E-2</v>
      </c>
      <c r="E70">
        <v>8.5349999999999995E-2</v>
      </c>
      <c r="F70">
        <v>34495411</v>
      </c>
      <c r="G70">
        <v>8.5349999999999995E-2</v>
      </c>
      <c r="L70" t="s">
        <v>8</v>
      </c>
      <c r="M70" t="s">
        <v>7</v>
      </c>
      <c r="N70" t="s">
        <v>8</v>
      </c>
      <c r="P70">
        <f t="shared" ref="P70" si="325">IF(C70=D70,0,((E70-D70)-(C70-E70))/(C70-D70))</f>
        <v>-0.14925373134328584</v>
      </c>
      <c r="Q70">
        <f t="shared" ref="Q70" si="326">F70*P70</f>
        <v>-5148568.8059702273</v>
      </c>
      <c r="R70">
        <f t="shared" ref="R70" si="327">R71+Q70</f>
        <v>-3569876938.8952055</v>
      </c>
      <c r="S70">
        <f t="shared" ref="S70" si="328">R70/100000</f>
        <v>-35698.769388952052</v>
      </c>
      <c r="T70">
        <f t="shared" ref="T70" si="329">S70/1000</f>
        <v>-35.698769388952051</v>
      </c>
    </row>
    <row r="71" spans="1:20" x14ac:dyDescent="0.25">
      <c r="A71" s="5">
        <v>44522</v>
      </c>
      <c r="B71">
        <v>8.6720000000000005E-2</v>
      </c>
      <c r="C71">
        <v>8.8160000000000002E-2</v>
      </c>
      <c r="D71">
        <v>8.201E-2</v>
      </c>
      <c r="E71">
        <v>8.3400000000000002E-2</v>
      </c>
      <c r="F71">
        <v>40171423</v>
      </c>
      <c r="G71">
        <v>8.3400000000000002E-2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-0.5479674796747962</v>
      </c>
      <c r="Q71">
        <f t="shared" ref="Q71" si="331">F71*P71</f>
        <v>-22012633.416260142</v>
      </c>
      <c r="R71">
        <f t="shared" ref="R71" si="332">R72+Q71</f>
        <v>-3564728370.0892353</v>
      </c>
      <c r="S71">
        <f t="shared" ref="S71" si="333">R71/100000</f>
        <v>-35647.283700892352</v>
      </c>
      <c r="T71">
        <f t="shared" ref="T71" si="334">S71/1000</f>
        <v>-35.647283700892352</v>
      </c>
    </row>
    <row r="72" spans="1:20" x14ac:dyDescent="0.25">
      <c r="A72" s="5">
        <v>44521</v>
      </c>
      <c r="B72">
        <v>8.5489999999999997E-2</v>
      </c>
      <c r="C72">
        <v>0.10199999999999999</v>
      </c>
      <c r="D72">
        <v>8.4849999999999995E-2</v>
      </c>
      <c r="E72">
        <v>8.6669999999999997E-2</v>
      </c>
      <c r="F72">
        <v>185447892</v>
      </c>
      <c r="G72">
        <v>8.6669999999999997E-2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-0.787755102040816</v>
      </c>
      <c r="Q72">
        <f t="shared" ref="Q72" si="336">F72*P72</f>
        <v>-146087523.08571422</v>
      </c>
      <c r="R72">
        <f t="shared" ref="R72" si="337">R73+Q72</f>
        <v>-3542715736.6729751</v>
      </c>
      <c r="S72">
        <f t="shared" ref="S72" si="338">R72/100000</f>
        <v>-35427.157366729749</v>
      </c>
      <c r="T72">
        <f t="shared" ref="T72" si="339">S72/1000</f>
        <v>-35.427157366729752</v>
      </c>
    </row>
    <row r="73" spans="1:20" x14ac:dyDescent="0.25">
      <c r="A73" s="5">
        <v>44520</v>
      </c>
      <c r="B73">
        <v>8.0850000000000005E-2</v>
      </c>
      <c r="C73">
        <v>9.4960000000000003E-2</v>
      </c>
      <c r="D73">
        <v>7.9409999999999994E-2</v>
      </c>
      <c r="E73">
        <v>8.5550000000000001E-2</v>
      </c>
      <c r="F73">
        <v>72548124</v>
      </c>
      <c r="G73">
        <v>8.5550000000000001E-2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-0.2102893890675237</v>
      </c>
      <c r="Q73">
        <f t="shared" ref="Q73" si="341">F73*P73</f>
        <v>-15256100.673954954</v>
      </c>
      <c r="R73">
        <f t="shared" ref="R73" si="342">R74+Q73</f>
        <v>-3396628213.5872607</v>
      </c>
      <c r="S73">
        <f t="shared" ref="S73" si="343">R73/100000</f>
        <v>-33966.282135872607</v>
      </c>
      <c r="T73">
        <f t="shared" ref="T73" si="344">S73/1000</f>
        <v>-33.966282135872603</v>
      </c>
    </row>
    <row r="74" spans="1:20" x14ac:dyDescent="0.25">
      <c r="A74" s="5">
        <v>44519</v>
      </c>
      <c r="B74">
        <v>7.5439999999999993E-2</v>
      </c>
      <c r="C74">
        <v>8.1549999999999997E-2</v>
      </c>
      <c r="D74">
        <v>7.2999999999999995E-2</v>
      </c>
      <c r="E74">
        <v>8.0850000000000005E-2</v>
      </c>
      <c r="F74">
        <v>21198768</v>
      </c>
      <c r="G74">
        <v>8.0850000000000005E-2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0.83625730994152236</v>
      </c>
      <c r="Q74">
        <f t="shared" ref="Q74" si="346">F74*P74</f>
        <v>17727624.701754425</v>
      </c>
      <c r="R74">
        <f t="shared" ref="R74" si="347">R75+Q74</f>
        <v>-3381372112.9133058</v>
      </c>
      <c r="S74">
        <f t="shared" ref="S74" si="348">R74/100000</f>
        <v>-33813.72112913306</v>
      </c>
      <c r="T74">
        <f t="shared" ref="T74" si="349">S74/1000</f>
        <v>-33.813721129133057</v>
      </c>
    </row>
    <row r="75" spans="1:20" x14ac:dyDescent="0.25">
      <c r="A75" s="5">
        <v>44518</v>
      </c>
      <c r="B75">
        <v>8.3000000000000004E-2</v>
      </c>
      <c r="C75">
        <v>8.3699999999999997E-2</v>
      </c>
      <c r="D75">
        <v>7.2999999999999995E-2</v>
      </c>
      <c r="E75">
        <v>7.5389999999999999E-2</v>
      </c>
      <c r="F75">
        <v>22082082</v>
      </c>
      <c r="G75">
        <v>7.5389999999999999E-2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-0.5532710280373826</v>
      </c>
      <c r="Q75">
        <f t="shared" ref="Q75" si="351">F75*P75</f>
        <v>-12217376.209345782</v>
      </c>
      <c r="R75">
        <f t="shared" ref="R75" si="352">R76+Q75</f>
        <v>-3399099737.6150603</v>
      </c>
      <c r="S75">
        <f t="shared" ref="S75" si="353">R75/100000</f>
        <v>-33990.997376150604</v>
      </c>
      <c r="T75">
        <f t="shared" ref="T75" si="354">S75/1000</f>
        <v>-33.990997376150602</v>
      </c>
    </row>
    <row r="76" spans="1:20" x14ac:dyDescent="0.25">
      <c r="A76" s="5">
        <v>44517</v>
      </c>
      <c r="B76">
        <v>8.1890000000000004E-2</v>
      </c>
      <c r="C76">
        <v>8.3390000000000006E-2</v>
      </c>
      <c r="D76">
        <v>7.8880000000000006E-2</v>
      </c>
      <c r="E76">
        <v>8.3049999999999999E-2</v>
      </c>
      <c r="F76">
        <v>16548233</v>
      </c>
      <c r="G76">
        <v>8.3049999999999999E-2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0.8492239467849193</v>
      </c>
      <c r="Q76">
        <f t="shared" ref="Q76" si="356">F76*P76</f>
        <v>14053155.740576446</v>
      </c>
      <c r="R76">
        <f t="shared" ref="R76" si="357">R77+Q76</f>
        <v>-3386882361.4057145</v>
      </c>
      <c r="S76">
        <f t="shared" ref="S76" si="358">R76/100000</f>
        <v>-33868.823614057146</v>
      </c>
      <c r="T76">
        <f t="shared" ref="T76" si="359">S76/1000</f>
        <v>-33.868823614057149</v>
      </c>
    </row>
    <row r="77" spans="1:20" x14ac:dyDescent="0.25">
      <c r="A77" s="5">
        <v>44516</v>
      </c>
      <c r="B77">
        <v>8.8039999999999993E-2</v>
      </c>
      <c r="C77">
        <v>9.3020000000000005E-2</v>
      </c>
      <c r="D77">
        <v>7.9619999999999996E-2</v>
      </c>
      <c r="E77">
        <v>8.2030000000000006E-2</v>
      </c>
      <c r="F77">
        <v>35606881</v>
      </c>
      <c r="G77">
        <v>8.2030000000000006E-2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-0.64029850746268546</v>
      </c>
      <c r="Q77">
        <f t="shared" ref="Q77" si="361">F77*P77</f>
        <v>-22799032.759701453</v>
      </c>
      <c r="R77">
        <f t="shared" ref="R77" si="362">R78+Q77</f>
        <v>-3400935517.1462908</v>
      </c>
      <c r="S77">
        <f t="shared" ref="S77" si="363">R77/100000</f>
        <v>-34009.355171462907</v>
      </c>
      <c r="T77">
        <f t="shared" ref="T77" si="364">S77/1000</f>
        <v>-34.009355171462907</v>
      </c>
    </row>
    <row r="78" spans="1:20" x14ac:dyDescent="0.25">
      <c r="A78" s="5">
        <v>44515</v>
      </c>
      <c r="B78">
        <v>8.9770000000000003E-2</v>
      </c>
      <c r="C78">
        <v>9.2999999999999999E-2</v>
      </c>
      <c r="D78">
        <v>8.7849999999999998E-2</v>
      </c>
      <c r="E78">
        <v>8.8059999999999999E-2</v>
      </c>
      <c r="F78">
        <v>32963537</v>
      </c>
      <c r="G78">
        <v>8.8059999999999999E-2</v>
      </c>
      <c r="L78" t="s">
        <v>8</v>
      </c>
      <c r="M78" t="s">
        <v>7</v>
      </c>
      <c r="N78" t="s">
        <v>8</v>
      </c>
      <c r="P78">
        <f t="shared" ref="P78" si="365">IF(C78=D78,0,((E78-D78)-(C78-E78))/(C78-D78))</f>
        <v>-0.91844660194174688</v>
      </c>
      <c r="Q78">
        <f t="shared" ref="Q78" si="366">F78*P78</f>
        <v>-30275248.545631044</v>
      </c>
      <c r="R78">
        <f t="shared" ref="R78" si="367">R79+Q78</f>
        <v>-3378136484.3865895</v>
      </c>
      <c r="S78">
        <f t="shared" ref="S78" si="368">R78/100000</f>
        <v>-33781.364843865893</v>
      </c>
      <c r="T78">
        <f t="shared" ref="T78" si="369">S78/1000</f>
        <v>-33.781364843865894</v>
      </c>
    </row>
    <row r="79" spans="1:20" x14ac:dyDescent="0.25">
      <c r="A79" s="5">
        <v>44514</v>
      </c>
      <c r="B79">
        <v>9.0300000000000005E-2</v>
      </c>
      <c r="C79">
        <v>9.1289999999999996E-2</v>
      </c>
      <c r="D79">
        <v>8.7499999999999994E-2</v>
      </c>
      <c r="E79">
        <v>8.974E-2</v>
      </c>
      <c r="F79">
        <v>34281107</v>
      </c>
      <c r="G79">
        <v>8.974E-2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0.18205804749340626</v>
      </c>
      <c r="Q79">
        <f t="shared" ref="Q79" si="371">F79*P79</f>
        <v>6241151.4063325422</v>
      </c>
      <c r="R79">
        <f t="shared" ref="R79" si="372">R80+Q79</f>
        <v>-3347861235.8409586</v>
      </c>
      <c r="S79">
        <f t="shared" ref="S79" si="373">R79/100000</f>
        <v>-33478.612358409584</v>
      </c>
      <c r="T79">
        <f t="shared" ref="T79" si="374">S79/1000</f>
        <v>-33.478612358409585</v>
      </c>
    </row>
    <row r="80" spans="1:20" x14ac:dyDescent="0.25">
      <c r="A80" s="5">
        <v>44513</v>
      </c>
      <c r="B80">
        <v>9.2480000000000007E-2</v>
      </c>
      <c r="C80">
        <v>9.8500000000000004E-2</v>
      </c>
      <c r="D80">
        <v>8.9660000000000004E-2</v>
      </c>
      <c r="E80">
        <v>9.0310000000000001E-2</v>
      </c>
      <c r="F80">
        <v>96584331</v>
      </c>
      <c r="G80">
        <v>9.0310000000000001E-2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-0.85294117647058876</v>
      </c>
      <c r="Q80">
        <f t="shared" ref="Q80" si="376">F80*P80</f>
        <v>-82380752.911764756</v>
      </c>
      <c r="R80">
        <f t="shared" ref="R80" si="377">R81+Q80</f>
        <v>-3354102387.2472911</v>
      </c>
      <c r="S80">
        <f t="shared" ref="S80" si="378">R80/100000</f>
        <v>-33541.023872472913</v>
      </c>
      <c r="T80">
        <f t="shared" ref="T80" si="379">S80/1000</f>
        <v>-33.541023872472913</v>
      </c>
    </row>
    <row r="81" spans="1:20" x14ac:dyDescent="0.25">
      <c r="A81" s="5">
        <v>44512</v>
      </c>
      <c r="B81">
        <v>8.8539999999999994E-2</v>
      </c>
      <c r="C81">
        <v>0.11548</v>
      </c>
      <c r="D81">
        <v>8.6999999999999994E-2</v>
      </c>
      <c r="E81">
        <v>9.2259999999999995E-2</v>
      </c>
      <c r="F81">
        <v>234546105</v>
      </c>
      <c r="G81">
        <v>9.2259999999999995E-2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-0.6306179775280899</v>
      </c>
      <c r="Q81">
        <f t="shared" ref="Q81" si="381">F81*P81</f>
        <v>-147908990.37219101</v>
      </c>
      <c r="R81">
        <f t="shared" ref="R81" si="382">R82+Q81</f>
        <v>-3271721634.3355265</v>
      </c>
      <c r="S81">
        <f t="shared" ref="S81" si="383">R81/100000</f>
        <v>-32717.216343355263</v>
      </c>
      <c r="T81">
        <f t="shared" ref="T81" si="384">S81/1000</f>
        <v>-32.717216343355261</v>
      </c>
    </row>
    <row r="82" spans="1:20" x14ac:dyDescent="0.25">
      <c r="A82" s="5">
        <v>44511</v>
      </c>
      <c r="B82">
        <v>8.5680000000000006E-2</v>
      </c>
      <c r="C82">
        <v>8.9440000000000006E-2</v>
      </c>
      <c r="D82">
        <v>8.4540000000000004E-2</v>
      </c>
      <c r="E82">
        <v>8.856E-2</v>
      </c>
      <c r="F82">
        <v>18178778</v>
      </c>
      <c r="G82">
        <v>8.856E-2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0.64081632653061005</v>
      </c>
      <c r="Q82">
        <f t="shared" ref="Q82" si="386">F82*P82</f>
        <v>11649257.738775469</v>
      </c>
      <c r="R82">
        <f t="shared" ref="R82" si="387">R83+Q82</f>
        <v>-3123812643.9633355</v>
      </c>
      <c r="S82">
        <f t="shared" ref="S82" si="388">R82/100000</f>
        <v>-31238.126439633354</v>
      </c>
      <c r="T82">
        <f t="shared" ref="T82" si="389">S82/1000</f>
        <v>-31.238126439633355</v>
      </c>
    </row>
    <row r="83" spans="1:20" x14ac:dyDescent="0.25">
      <c r="A83" s="5">
        <v>44510</v>
      </c>
      <c r="B83">
        <v>9.0469999999999995E-2</v>
      </c>
      <c r="C83">
        <v>9.2929999999999999E-2</v>
      </c>
      <c r="D83">
        <v>8.3260000000000001E-2</v>
      </c>
      <c r="E83">
        <v>8.5680000000000006E-2</v>
      </c>
      <c r="F83">
        <v>30997010</v>
      </c>
      <c r="G83">
        <v>8.5680000000000006E-2</v>
      </c>
      <c r="L83" t="s">
        <v>7</v>
      </c>
      <c r="M83" t="s">
        <v>8</v>
      </c>
      <c r="N83" t="s">
        <v>8</v>
      </c>
      <c r="P83">
        <f t="shared" ref="P83" si="390">IF(C83=D83,0,((E83-D83)-(C83-E83))/(C83-D83))</f>
        <v>-0.49948293691830281</v>
      </c>
      <c r="Q83">
        <f t="shared" ref="Q83" si="391">F83*P83</f>
        <v>-15482477.590486001</v>
      </c>
      <c r="R83">
        <f t="shared" ref="R83" si="392">R84+Q83</f>
        <v>-3135461901.7021108</v>
      </c>
      <c r="S83">
        <f t="shared" ref="S83" si="393">R83/100000</f>
        <v>-31354.619017021108</v>
      </c>
      <c r="T83">
        <f t="shared" ref="T83" si="394">S83/1000</f>
        <v>-31.354619017021108</v>
      </c>
    </row>
    <row r="84" spans="1:20" x14ac:dyDescent="0.25">
      <c r="A84" s="5">
        <v>44509</v>
      </c>
      <c r="B84">
        <v>9.2100000000000001E-2</v>
      </c>
      <c r="C84">
        <v>9.2810000000000004E-2</v>
      </c>
      <c r="D84">
        <v>8.7529999999999997E-2</v>
      </c>
      <c r="E84">
        <v>9.0469999999999995E-2</v>
      </c>
      <c r="F84">
        <v>22497987</v>
      </c>
      <c r="G84">
        <v>9.0469999999999995E-2</v>
      </c>
      <c r="L84" t="s">
        <v>7</v>
      </c>
      <c r="M84" t="s">
        <v>8</v>
      </c>
      <c r="N84" t="s">
        <v>8</v>
      </c>
      <c r="P84">
        <f t="shared" ref="P84" si="395">IF(C84=D84,0,((E84-D84)-(C84-E84))/(C84-D84))</f>
        <v>0.11363636363636148</v>
      </c>
      <c r="Q84">
        <f t="shared" ref="Q84" si="396">F84*P84</f>
        <v>2556589.4318181332</v>
      </c>
      <c r="R84">
        <f t="shared" ref="R84" si="397">R85+Q84</f>
        <v>-3119979424.1116247</v>
      </c>
      <c r="S84">
        <f t="shared" ref="S84" si="398">R84/100000</f>
        <v>-31199.794241116248</v>
      </c>
      <c r="T84">
        <f t="shared" ref="T84" si="399">S84/1000</f>
        <v>-31.199794241116248</v>
      </c>
    </row>
    <row r="85" spans="1:20" x14ac:dyDescent="0.25">
      <c r="A85" s="5">
        <v>44508</v>
      </c>
      <c r="B85">
        <v>9.7470000000000001E-2</v>
      </c>
      <c r="C85">
        <v>9.7680000000000003E-2</v>
      </c>
      <c r="D85">
        <v>9.0569999999999998E-2</v>
      </c>
      <c r="E85">
        <v>9.2109999999999997E-2</v>
      </c>
      <c r="F85">
        <v>25846175</v>
      </c>
      <c r="G85">
        <v>9.2109999999999997E-2</v>
      </c>
      <c r="L85" t="s">
        <v>7</v>
      </c>
      <c r="M85" t="s">
        <v>8</v>
      </c>
      <c r="N85" t="s">
        <v>8</v>
      </c>
      <c r="P85">
        <f t="shared" ref="P85" si="400">IF(C85=D85,0,((E85-D85)-(C85-E85))/(C85-D85))</f>
        <v>-0.56680731364275705</v>
      </c>
      <c r="Q85">
        <f t="shared" ref="Q85" si="401">F85*P85</f>
        <v>-14649801.019690586</v>
      </c>
      <c r="R85">
        <f t="shared" ref="R85" si="402">R86+Q85</f>
        <v>-3122536013.5434427</v>
      </c>
      <c r="S85">
        <f t="shared" ref="S85" si="403">R85/100000</f>
        <v>-31225.360135434428</v>
      </c>
      <c r="T85">
        <f t="shared" ref="T85" si="404">S85/1000</f>
        <v>-31.225360135434428</v>
      </c>
    </row>
    <row r="86" spans="1:20" x14ac:dyDescent="0.25">
      <c r="A86" s="5">
        <v>44507</v>
      </c>
      <c r="B86">
        <v>0.09</v>
      </c>
      <c r="C86">
        <v>9.8900000000000002E-2</v>
      </c>
      <c r="D86">
        <v>8.8929999999999995E-2</v>
      </c>
      <c r="E86">
        <v>9.7470000000000001E-2</v>
      </c>
      <c r="F86">
        <v>90519140</v>
      </c>
      <c r="G86">
        <v>9.7470000000000001E-2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0.71313941825476435</v>
      </c>
      <c r="Q86">
        <f t="shared" ref="Q86" si="406">F86*P86</f>
        <v>64552766.840521567</v>
      </c>
      <c r="R86">
        <f t="shared" ref="R86" si="407">R87+Q86</f>
        <v>-3107886212.5237522</v>
      </c>
      <c r="S86">
        <f t="shared" ref="S86" si="408">R86/100000</f>
        <v>-31078.862125237523</v>
      </c>
      <c r="T86">
        <f t="shared" ref="T86" si="409">S86/1000</f>
        <v>-31.078862125237524</v>
      </c>
    </row>
    <row r="87" spans="1:20" x14ac:dyDescent="0.25">
      <c r="A87" s="5">
        <v>44506</v>
      </c>
      <c r="B87">
        <v>8.8010000000000005E-2</v>
      </c>
      <c r="C87">
        <v>9.2200000000000004E-2</v>
      </c>
      <c r="D87">
        <v>8.5790000000000005E-2</v>
      </c>
      <c r="E87">
        <v>8.9870000000000005E-2</v>
      </c>
      <c r="F87">
        <v>28082068</v>
      </c>
      <c r="G87">
        <v>8.9870000000000005E-2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0.27301092043681774</v>
      </c>
      <c r="Q87">
        <f t="shared" ref="Q87" si="411">F87*P87</f>
        <v>7666711.2324493052</v>
      </c>
      <c r="R87">
        <f t="shared" ref="R87" si="412">R88+Q87</f>
        <v>-3172438979.3642735</v>
      </c>
      <c r="S87">
        <f t="shared" ref="S87" si="413">R87/100000</f>
        <v>-31724.389793642735</v>
      </c>
      <c r="T87">
        <f t="shared" ref="T87" si="414">S87/1000</f>
        <v>-31.724389793642736</v>
      </c>
    </row>
    <row r="88" spans="1:20" x14ac:dyDescent="0.25">
      <c r="A88" s="5">
        <v>44505</v>
      </c>
      <c r="B88">
        <v>8.7639999999999996E-2</v>
      </c>
      <c r="C88">
        <v>9.2499999999999999E-2</v>
      </c>
      <c r="D88">
        <v>8.6929999999999993E-2</v>
      </c>
      <c r="E88">
        <v>8.8090000000000002E-2</v>
      </c>
      <c r="F88">
        <v>25534939</v>
      </c>
      <c r="G88">
        <v>8.8090000000000002E-2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-0.58348294434470127</v>
      </c>
      <c r="Q88">
        <f t="shared" ref="Q88" si="416">F88*P88</f>
        <v>-14899201.391382342</v>
      </c>
      <c r="R88">
        <f t="shared" ref="R88" si="417">R89+Q88</f>
        <v>-3180105690.5967231</v>
      </c>
      <c r="S88">
        <f t="shared" ref="S88" si="418">R88/100000</f>
        <v>-31801.056905967231</v>
      </c>
      <c r="T88">
        <f t="shared" ref="T88" si="419">S88/1000</f>
        <v>-31.801056905967229</v>
      </c>
    </row>
    <row r="89" spans="1:20" x14ac:dyDescent="0.25">
      <c r="A89" s="5">
        <v>44504</v>
      </c>
      <c r="B89">
        <v>9.0999999999999998E-2</v>
      </c>
      <c r="C89">
        <v>9.6000000000000002E-2</v>
      </c>
      <c r="D89">
        <v>8.5889999999999994E-2</v>
      </c>
      <c r="E89">
        <v>8.7690000000000004E-2</v>
      </c>
      <c r="F89">
        <v>40538940</v>
      </c>
      <c r="G89">
        <v>8.7690000000000004E-2</v>
      </c>
      <c r="L89" t="s">
        <v>8</v>
      </c>
      <c r="M89" t="s">
        <v>7</v>
      </c>
      <c r="N89" t="s">
        <v>8</v>
      </c>
      <c r="P89">
        <f t="shared" ref="P89" si="420">IF(C89=D89,0,((E89-D89)-(C89-E89))/(C89-D89))</f>
        <v>-0.6439169139465859</v>
      </c>
      <c r="Q89">
        <f t="shared" ref="Q89" si="421">F89*P89</f>
        <v>-26103709.139465809</v>
      </c>
      <c r="R89">
        <f t="shared" ref="R89" si="422">R90+Q89</f>
        <v>-3165206489.2053409</v>
      </c>
      <c r="S89">
        <f t="shared" ref="S89" si="423">R89/100000</f>
        <v>-31652.064892053408</v>
      </c>
      <c r="T89">
        <f t="shared" ref="T89" si="424">S89/1000</f>
        <v>-31.652064892053406</v>
      </c>
    </row>
    <row r="90" spans="1:20" x14ac:dyDescent="0.25">
      <c r="A90" s="5">
        <v>44503</v>
      </c>
      <c r="B90">
        <v>8.6860000000000007E-2</v>
      </c>
      <c r="C90">
        <v>9.3600000000000003E-2</v>
      </c>
      <c r="D90">
        <v>8.5339999999999999E-2</v>
      </c>
      <c r="E90">
        <v>9.0920000000000001E-2</v>
      </c>
      <c r="F90">
        <v>55476921</v>
      </c>
      <c r="G90">
        <v>9.0920000000000001E-2</v>
      </c>
      <c r="L90" t="s">
        <v>8</v>
      </c>
      <c r="M90" t="s">
        <v>7</v>
      </c>
      <c r="N90" t="s">
        <v>8</v>
      </c>
      <c r="P90">
        <f t="shared" ref="P90" si="425">IF(C90=D90,0,((E90-D90)-(C90-E90))/(C90-D90))</f>
        <v>0.3510895883777238</v>
      </c>
      <c r="Q90">
        <f t="shared" ref="Q90" si="426">F90*P90</f>
        <v>19477369.358353503</v>
      </c>
      <c r="R90">
        <f t="shared" ref="R90" si="427">R91+Q90</f>
        <v>-3139102780.0658751</v>
      </c>
      <c r="S90">
        <f t="shared" ref="S90" si="428">R90/100000</f>
        <v>-31391.02780065875</v>
      </c>
      <c r="T90">
        <f t="shared" ref="T90" si="429">S90/1000</f>
        <v>-31.391027800658751</v>
      </c>
    </row>
    <row r="91" spans="1:20" x14ac:dyDescent="0.25">
      <c r="A91" s="5">
        <v>44502</v>
      </c>
      <c r="B91">
        <v>8.473E-2</v>
      </c>
      <c r="C91">
        <v>8.8999999999999996E-2</v>
      </c>
      <c r="D91">
        <v>8.4559999999999996E-2</v>
      </c>
      <c r="E91">
        <v>8.6929999999999993E-2</v>
      </c>
      <c r="F91">
        <v>43555915</v>
      </c>
      <c r="G91">
        <v>8.6929999999999993E-2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6.7567567567566392E-2</v>
      </c>
      <c r="Q91">
        <f t="shared" ref="Q91" si="431">F91*P91</f>
        <v>2942967.2297296785</v>
      </c>
      <c r="R91">
        <f t="shared" ref="R91" si="432">R92+Q91</f>
        <v>-3158580149.4242287</v>
      </c>
      <c r="S91">
        <f t="shared" ref="S91" si="433">R91/100000</f>
        <v>-31585.801494242285</v>
      </c>
      <c r="T91">
        <f t="shared" ref="T91" si="434">S91/1000</f>
        <v>-31.585801494242286</v>
      </c>
    </row>
    <row r="92" spans="1:20" x14ac:dyDescent="0.25">
      <c r="A92" s="5">
        <v>44501</v>
      </c>
      <c r="B92">
        <v>8.3879999999999996E-2</v>
      </c>
      <c r="C92">
        <v>8.7499999999999994E-2</v>
      </c>
      <c r="D92">
        <v>8.2000000000000003E-2</v>
      </c>
      <c r="E92">
        <v>8.4739999999999996E-2</v>
      </c>
      <c r="F92">
        <v>39554406</v>
      </c>
      <c r="G92">
        <v>8.4739999999999996E-2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-3.6363636363647557E-3</v>
      </c>
      <c r="Q92">
        <f t="shared" ref="Q92" si="436">F92*P92</f>
        <v>-143834.20363640791</v>
      </c>
      <c r="R92">
        <f t="shared" ref="R92" si="437">R93+Q92</f>
        <v>-3161523116.6539583</v>
      </c>
      <c r="S92">
        <f t="shared" ref="S92" si="438">R92/100000</f>
        <v>-31615.231166539583</v>
      </c>
      <c r="T92">
        <f t="shared" ref="T92" si="439">S92/1000</f>
        <v>-31.615231166539584</v>
      </c>
    </row>
    <row r="93" spans="1:20" x14ac:dyDescent="0.25">
      <c r="A93" s="5">
        <v>44500</v>
      </c>
      <c r="B93">
        <v>8.3909999999999998E-2</v>
      </c>
      <c r="C93">
        <v>0.107</v>
      </c>
      <c r="D93">
        <v>8.0759999999999998E-2</v>
      </c>
      <c r="E93">
        <v>8.4019999999999997E-2</v>
      </c>
      <c r="F93">
        <v>165312359</v>
      </c>
      <c r="G93">
        <v>8.4019999999999997E-2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-0.7515243902439025</v>
      </c>
      <c r="Q93">
        <f t="shared" ref="Q93" si="441">F93*P93</f>
        <v>-124236269.79725611</v>
      </c>
      <c r="R93">
        <f t="shared" ref="R93" si="442">R94+Q93</f>
        <v>-3161379282.4503222</v>
      </c>
      <c r="S93">
        <f t="shared" ref="S93" si="443">R93/100000</f>
        <v>-31613.79282450322</v>
      </c>
      <c r="T93">
        <f t="shared" ref="T93" si="444">S93/1000</f>
        <v>-31.613792824503221</v>
      </c>
    </row>
    <row r="94" spans="1:20" x14ac:dyDescent="0.25">
      <c r="A94" s="5">
        <v>44499</v>
      </c>
      <c r="B94">
        <v>8.0189999999999997E-2</v>
      </c>
      <c r="C94">
        <v>8.4830000000000003E-2</v>
      </c>
      <c r="D94">
        <v>7.9149999999999998E-2</v>
      </c>
      <c r="E94">
        <v>8.3900000000000002E-2</v>
      </c>
      <c r="F94">
        <v>41195163</v>
      </c>
      <c r="G94">
        <v>8.3900000000000002E-2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0.67253521126760585</v>
      </c>
      <c r="Q94">
        <f t="shared" ref="Q94" si="446">F94*P94</f>
        <v>27705197.65140846</v>
      </c>
      <c r="R94">
        <f t="shared" ref="R94" si="447">R95+Q94</f>
        <v>-3037143012.6530662</v>
      </c>
      <c r="S94">
        <f t="shared" ref="S94" si="448">R94/100000</f>
        <v>-30371.43012653066</v>
      </c>
      <c r="T94">
        <f t="shared" ref="T94" si="449">S94/1000</f>
        <v>-30.371430126530662</v>
      </c>
    </row>
    <row r="95" spans="1:20" x14ac:dyDescent="0.25">
      <c r="A95" s="5">
        <v>44498</v>
      </c>
      <c r="B95">
        <v>7.8589999999999993E-2</v>
      </c>
      <c r="C95">
        <v>8.2659999999999997E-2</v>
      </c>
      <c r="D95">
        <v>7.7969999999999998E-2</v>
      </c>
      <c r="E95">
        <v>8.0089999999999995E-2</v>
      </c>
      <c r="F95">
        <v>29392865</v>
      </c>
      <c r="G95">
        <v>8.0089999999999995E-2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-9.5948827292112154E-2</v>
      </c>
      <c r="Q95">
        <f t="shared" ref="Q95" si="451">F95*P95</f>
        <v>-2820210.9275053679</v>
      </c>
      <c r="R95">
        <f t="shared" ref="R95" si="452">R96+Q95</f>
        <v>-3064848210.3044748</v>
      </c>
      <c r="S95">
        <f t="shared" ref="S95" si="453">R95/100000</f>
        <v>-30648.482103044749</v>
      </c>
      <c r="T95">
        <f t="shared" ref="T95" si="454">S95/1000</f>
        <v>-30.648482103044749</v>
      </c>
    </row>
    <row r="96" spans="1:20" x14ac:dyDescent="0.25">
      <c r="A96" s="5">
        <v>44497</v>
      </c>
      <c r="B96">
        <v>7.6520000000000005E-2</v>
      </c>
      <c r="C96">
        <v>8.1519999999999995E-2</v>
      </c>
      <c r="D96">
        <v>7.4980000000000005E-2</v>
      </c>
      <c r="E96">
        <v>7.8390000000000001E-2</v>
      </c>
      <c r="F96">
        <v>28752697</v>
      </c>
      <c r="G96">
        <v>7.8390000000000001E-2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4.2813455657492797E-2</v>
      </c>
      <c r="Q96">
        <f t="shared" ref="Q96" si="456">F96*P96</f>
        <v>1231002.3180428261</v>
      </c>
      <c r="R96">
        <f t="shared" ref="R96" si="457">R97+Q96</f>
        <v>-3062027999.3769693</v>
      </c>
      <c r="S96">
        <f t="shared" ref="S96" si="458">R96/100000</f>
        <v>-30620.279993769695</v>
      </c>
      <c r="T96">
        <f t="shared" ref="T96" si="459">S96/1000</f>
        <v>-30.620279993769696</v>
      </c>
    </row>
    <row r="97" spans="1:20" x14ac:dyDescent="0.25">
      <c r="A97" s="5">
        <v>44496</v>
      </c>
      <c r="B97">
        <v>8.3989999999999995E-2</v>
      </c>
      <c r="C97">
        <v>8.5330000000000003E-2</v>
      </c>
      <c r="D97">
        <v>7.639E-2</v>
      </c>
      <c r="E97">
        <v>7.6420000000000002E-2</v>
      </c>
      <c r="F97">
        <v>65891625</v>
      </c>
      <c r="G97">
        <v>7.6420000000000002E-2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-0.9932885906040263</v>
      </c>
      <c r="Q97">
        <f t="shared" ref="Q97" si="461">F97*P97</f>
        <v>-65449399.328859024</v>
      </c>
      <c r="R97">
        <f t="shared" ref="R97" si="462">R98+Q97</f>
        <v>-3063259001.6950121</v>
      </c>
      <c r="S97">
        <f t="shared" ref="S97" si="463">R97/100000</f>
        <v>-30632.590016950122</v>
      </c>
      <c r="T97">
        <f t="shared" ref="T97" si="464">S97/1000</f>
        <v>-30.632590016950122</v>
      </c>
    </row>
    <row r="98" spans="1:20" x14ac:dyDescent="0.25">
      <c r="A98" s="5">
        <v>44495</v>
      </c>
      <c r="B98">
        <v>8.4489999999999996E-2</v>
      </c>
      <c r="C98">
        <v>8.5970000000000005E-2</v>
      </c>
      <c r="D98">
        <v>8.3379999999999996E-2</v>
      </c>
      <c r="E98">
        <v>8.3989999999999995E-2</v>
      </c>
      <c r="F98">
        <v>40358669</v>
      </c>
      <c r="G98">
        <v>8.3989999999999995E-2</v>
      </c>
      <c r="L98" t="s">
        <v>8</v>
      </c>
      <c r="M98" t="s">
        <v>7</v>
      </c>
      <c r="N98" t="s">
        <v>7</v>
      </c>
      <c r="P98">
        <f t="shared" ref="P98" si="465">IF(C98=D98,0,((E98-D98)-(C98-E98))/(C98-D98))</f>
        <v>-0.52895752895753101</v>
      </c>
      <c r="Q98">
        <f t="shared" ref="Q98" si="466">F98*P98</f>
        <v>-21348021.826254908</v>
      </c>
      <c r="R98">
        <f t="shared" ref="R98" si="467">R99+Q98</f>
        <v>-2997809602.3661532</v>
      </c>
      <c r="S98">
        <f t="shared" ref="S98" si="468">R98/100000</f>
        <v>-29978.096023661532</v>
      </c>
      <c r="T98">
        <f t="shared" ref="T98" si="469">S98/1000</f>
        <v>-29.978096023661532</v>
      </c>
    </row>
    <row r="99" spans="1:20" x14ac:dyDescent="0.25">
      <c r="A99" s="5">
        <v>44494</v>
      </c>
      <c r="B99">
        <v>8.1900000000000001E-2</v>
      </c>
      <c r="C99">
        <v>8.6010000000000003E-2</v>
      </c>
      <c r="D99">
        <v>8.1420000000000006E-2</v>
      </c>
      <c r="E99">
        <v>8.43E-2</v>
      </c>
      <c r="F99">
        <v>26725964</v>
      </c>
      <c r="G99">
        <v>8.43E-2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0.25490196078431182</v>
      </c>
      <c r="Q99">
        <f t="shared" ref="Q99" si="471">F99*P99</f>
        <v>6812500.627450929</v>
      </c>
      <c r="R99">
        <f t="shared" ref="R99" si="472">R100+Q99</f>
        <v>-2976461580.5398984</v>
      </c>
      <c r="S99">
        <f t="shared" ref="S99" si="473">R99/100000</f>
        <v>-29764.615805398986</v>
      </c>
      <c r="T99">
        <f t="shared" ref="T99" si="474">S99/1000</f>
        <v>-29.764615805398986</v>
      </c>
    </row>
    <row r="100" spans="1:20" x14ac:dyDescent="0.25">
      <c r="A100" s="5">
        <v>44493</v>
      </c>
      <c r="B100">
        <v>8.4290000000000004E-2</v>
      </c>
      <c r="C100">
        <v>8.6349999999999996E-2</v>
      </c>
      <c r="D100">
        <v>8.0600000000000005E-2</v>
      </c>
      <c r="E100">
        <v>8.1790000000000002E-2</v>
      </c>
      <c r="F100">
        <v>31738190</v>
      </c>
      <c r="G100">
        <v>8.1790000000000002E-2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-0.5860869565217397</v>
      </c>
      <c r="Q100">
        <f t="shared" ref="Q100" si="476">F100*P100</f>
        <v>-18601339.182608712</v>
      </c>
      <c r="R100">
        <f t="shared" ref="R100" si="477">R101+Q100</f>
        <v>-2983274081.1673493</v>
      </c>
      <c r="S100">
        <f t="shared" ref="S100" si="478">R100/100000</f>
        <v>-29832.740811673495</v>
      </c>
      <c r="T100">
        <f t="shared" ref="T100" si="479">S100/1000</f>
        <v>-29.832740811673496</v>
      </c>
    </row>
    <row r="101" spans="1:20" x14ac:dyDescent="0.25">
      <c r="A101" s="5">
        <v>44492</v>
      </c>
      <c r="B101">
        <v>8.3150000000000002E-2</v>
      </c>
      <c r="C101">
        <v>9.11E-2</v>
      </c>
      <c r="D101">
        <v>8.2839999999999997E-2</v>
      </c>
      <c r="E101">
        <v>8.4169999999999995E-2</v>
      </c>
      <c r="F101">
        <v>82764426</v>
      </c>
      <c r="G101">
        <v>8.4169999999999995E-2</v>
      </c>
      <c r="L101" t="s">
        <v>8</v>
      </c>
      <c r="M101" t="s">
        <v>7</v>
      </c>
      <c r="N101" t="s">
        <v>7</v>
      </c>
      <c r="P101">
        <f t="shared" ref="P101" si="480">IF(C101=D101,0,((E101-D101)-(C101-E101))/(C101-D101))</f>
        <v>-0.67796610169491589</v>
      </c>
      <c r="Q101">
        <f t="shared" ref="Q101" si="481">F101*P101</f>
        <v>-56111475.254237339</v>
      </c>
      <c r="R101">
        <f t="shared" ref="R101" si="482">R102+Q101</f>
        <v>-2964672741.9847407</v>
      </c>
      <c r="S101">
        <f t="shared" ref="S101" si="483">R101/100000</f>
        <v>-29646.727419847408</v>
      </c>
      <c r="T101">
        <f t="shared" ref="T101" si="484">S101/1000</f>
        <v>-29.646727419847409</v>
      </c>
    </row>
    <row r="102" spans="1:20" x14ac:dyDescent="0.25">
      <c r="A102" s="5">
        <v>44491</v>
      </c>
      <c r="B102">
        <v>8.2449999999999996E-2</v>
      </c>
      <c r="C102">
        <v>8.5419999999999996E-2</v>
      </c>
      <c r="D102">
        <v>8.2269999999999996E-2</v>
      </c>
      <c r="E102">
        <v>8.3150000000000002E-2</v>
      </c>
      <c r="F102">
        <v>20643046</v>
      </c>
      <c r="G102">
        <v>8.3150000000000002E-2</v>
      </c>
      <c r="L102" t="s">
        <v>8</v>
      </c>
      <c r="M102" t="s">
        <v>7</v>
      </c>
      <c r="N102" t="s">
        <v>7</v>
      </c>
      <c r="P102">
        <f t="shared" ref="P102" si="485">IF(C102=D102,0,((E102-D102)-(C102-E102))/(C102-D102))</f>
        <v>-0.44126984126983759</v>
      </c>
      <c r="Q102">
        <f t="shared" ref="Q102" si="486">F102*P102</f>
        <v>-9109153.631745955</v>
      </c>
      <c r="R102">
        <f t="shared" ref="R102" si="487">R103+Q102</f>
        <v>-2908561266.7305036</v>
      </c>
      <c r="S102">
        <f t="shared" ref="S102" si="488">R102/100000</f>
        <v>-29085.612667305035</v>
      </c>
      <c r="T102">
        <f t="shared" ref="T102" si="489">S102/1000</f>
        <v>-29.085612667305035</v>
      </c>
    </row>
    <row r="103" spans="1:20" x14ac:dyDescent="0.25">
      <c r="A103" s="5">
        <v>44490</v>
      </c>
      <c r="B103">
        <v>8.3779999999999993E-2</v>
      </c>
      <c r="C103">
        <v>8.5889999999999994E-2</v>
      </c>
      <c r="D103">
        <v>8.2290000000000002E-2</v>
      </c>
      <c r="E103">
        <v>8.2610000000000003E-2</v>
      </c>
      <c r="F103">
        <v>30516800</v>
      </c>
      <c r="G103">
        <v>8.2610000000000003E-2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-0.82222222222222141</v>
      </c>
      <c r="Q103">
        <f t="shared" ref="Q103" si="491">F103*P103</f>
        <v>-25091591.111111086</v>
      </c>
      <c r="R103">
        <f t="shared" ref="R103" si="492">R104+Q103</f>
        <v>-2899452113.0987577</v>
      </c>
      <c r="S103">
        <f t="shared" ref="S103" si="493">R103/100000</f>
        <v>-28994.521130987578</v>
      </c>
      <c r="T103">
        <f t="shared" ref="T103" si="494">S103/1000</f>
        <v>-28.994521130987579</v>
      </c>
    </row>
    <row r="104" spans="1:20" x14ac:dyDescent="0.25">
      <c r="A104" s="5">
        <v>44489</v>
      </c>
      <c r="B104">
        <v>8.0769999999999995E-2</v>
      </c>
      <c r="C104">
        <v>8.4570000000000006E-2</v>
      </c>
      <c r="D104">
        <v>7.9920000000000005E-2</v>
      </c>
      <c r="E104">
        <v>8.3970000000000003E-2</v>
      </c>
      <c r="F104">
        <v>26316146</v>
      </c>
      <c r="G104">
        <v>8.3970000000000003E-2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0.74193548387096642</v>
      </c>
      <c r="Q104">
        <f t="shared" ref="Q104" si="496">F104*P104</f>
        <v>19524882.516128998</v>
      </c>
      <c r="R104">
        <f t="shared" ref="R104" si="497">R105+Q104</f>
        <v>-2874360521.9876466</v>
      </c>
      <c r="S104">
        <f t="shared" ref="S104" si="498">R104/100000</f>
        <v>-28743.605219876466</v>
      </c>
      <c r="T104">
        <f t="shared" ref="T104" si="499">S104/1000</f>
        <v>-28.743605219876468</v>
      </c>
    </row>
    <row r="105" spans="1:20" x14ac:dyDescent="0.25">
      <c r="A105" s="5">
        <v>44488</v>
      </c>
      <c r="B105">
        <v>8.1070000000000003E-2</v>
      </c>
      <c r="C105">
        <v>8.5059999999999997E-2</v>
      </c>
      <c r="D105">
        <v>7.9759999999999998E-2</v>
      </c>
      <c r="E105">
        <v>8.0729999999999996E-2</v>
      </c>
      <c r="F105">
        <v>35314057</v>
      </c>
      <c r="G105">
        <v>8.0729999999999996E-2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-0.63396226415094381</v>
      </c>
      <c r="Q105">
        <f t="shared" ref="Q105" si="501">F105*P105</f>
        <v>-22387779.532075487</v>
      </c>
      <c r="R105">
        <f t="shared" ref="R105" si="502">R106+Q105</f>
        <v>-2893885404.5037756</v>
      </c>
      <c r="S105">
        <f t="shared" ref="S105" si="503">R105/100000</f>
        <v>-28938.854045037755</v>
      </c>
      <c r="T105">
        <f t="shared" ref="T105" si="504">S105/1000</f>
        <v>-28.938854045037754</v>
      </c>
    </row>
    <row r="106" spans="1:20" x14ac:dyDescent="0.25">
      <c r="A106" s="5">
        <v>44487</v>
      </c>
      <c r="B106">
        <v>8.2000000000000003E-2</v>
      </c>
      <c r="C106">
        <v>8.3000000000000004E-2</v>
      </c>
      <c r="D106">
        <v>0.08</v>
      </c>
      <c r="E106">
        <v>8.1170000000000006E-2</v>
      </c>
      <c r="F106">
        <v>16932106</v>
      </c>
      <c r="G106">
        <v>8.1170000000000006E-2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-0.21999999999999778</v>
      </c>
      <c r="Q106">
        <f t="shared" ref="Q106" si="506">F106*P106</f>
        <v>-3725063.3199999626</v>
      </c>
      <c r="R106">
        <f t="shared" ref="R106" si="507">R107+Q106</f>
        <v>-2871497624.9717002</v>
      </c>
      <c r="S106">
        <f t="shared" ref="S106" si="508">R106/100000</f>
        <v>-28714.976249717001</v>
      </c>
      <c r="T106">
        <f t="shared" ref="T106" si="509">S106/1000</f>
        <v>-28.714976249717001</v>
      </c>
    </row>
    <row r="107" spans="1:20" x14ac:dyDescent="0.25">
      <c r="A107" s="5">
        <v>44486</v>
      </c>
      <c r="B107">
        <v>8.2949999999999996E-2</v>
      </c>
      <c r="C107">
        <v>8.813E-2</v>
      </c>
      <c r="D107">
        <v>7.9670000000000005E-2</v>
      </c>
      <c r="E107">
        <v>8.2040000000000002E-2</v>
      </c>
      <c r="F107">
        <v>35773833</v>
      </c>
      <c r="G107">
        <v>8.2040000000000002E-2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-0.43971631205673795</v>
      </c>
      <c r="Q107">
        <f t="shared" ref="Q107" si="511">F107*P107</f>
        <v>-15730337.914893629</v>
      </c>
      <c r="R107">
        <f t="shared" ref="R107" si="512">R108+Q107</f>
        <v>-2867772561.6517</v>
      </c>
      <c r="S107">
        <f t="shared" ref="S107" si="513">R107/100000</f>
        <v>-28677.725616517</v>
      </c>
      <c r="T107">
        <f t="shared" ref="T107" si="514">S107/1000</f>
        <v>-28.677725616517002</v>
      </c>
    </row>
    <row r="108" spans="1:20" x14ac:dyDescent="0.25">
      <c r="A108" s="5">
        <v>44485</v>
      </c>
      <c r="B108">
        <v>8.2369999999999999E-2</v>
      </c>
      <c r="C108">
        <v>8.5529999999999995E-2</v>
      </c>
      <c r="D108">
        <v>8.1699999999999995E-2</v>
      </c>
      <c r="E108">
        <v>8.2949999999999996E-2</v>
      </c>
      <c r="F108">
        <v>23819131</v>
      </c>
      <c r="G108">
        <v>8.2949999999999996E-2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-0.34725848563968614</v>
      </c>
      <c r="Q108">
        <f t="shared" ref="Q108" si="516">F108*P108</f>
        <v>-8271395.3603133028</v>
      </c>
      <c r="R108">
        <f t="shared" ref="R108" si="517">R109+Q108</f>
        <v>-2852042223.7368064</v>
      </c>
      <c r="S108">
        <f t="shared" ref="S108" si="518">R108/100000</f>
        <v>-28520.422237368064</v>
      </c>
      <c r="T108">
        <f t="shared" ref="T108" si="519">S108/1000</f>
        <v>-28.520422237368063</v>
      </c>
    </row>
    <row r="109" spans="1:20" x14ac:dyDescent="0.25">
      <c r="A109" s="5">
        <v>44484</v>
      </c>
      <c r="B109">
        <v>8.2970000000000002E-2</v>
      </c>
      <c r="C109">
        <v>8.8999999999999996E-2</v>
      </c>
      <c r="D109">
        <v>7.9130000000000006E-2</v>
      </c>
      <c r="E109">
        <v>8.226E-2</v>
      </c>
      <c r="F109">
        <v>44988707</v>
      </c>
      <c r="G109">
        <v>8.226E-2</v>
      </c>
      <c r="L109" t="s">
        <v>8</v>
      </c>
      <c r="M109" t="s">
        <v>7</v>
      </c>
      <c r="N109" t="s">
        <v>7</v>
      </c>
      <c r="P109">
        <f t="shared" ref="P109" si="520">IF(C109=D109,0,((E109-D109)-(C109-E109))/(C109-D109))</f>
        <v>-0.36575481256332376</v>
      </c>
      <c r="Q109">
        <f t="shared" ref="Q109" si="521">F109*P109</f>
        <v>-16454836.096251292</v>
      </c>
      <c r="R109">
        <f t="shared" ref="R109" si="522">R110+Q109</f>
        <v>-2843770828.376493</v>
      </c>
      <c r="S109">
        <f t="shared" ref="S109" si="523">R109/100000</f>
        <v>-28437.708283764929</v>
      </c>
      <c r="T109">
        <f t="shared" ref="T109" si="524">S109/1000</f>
        <v>-28.437708283764927</v>
      </c>
    </row>
    <row r="110" spans="1:20" x14ac:dyDescent="0.25">
      <c r="A110" s="5">
        <v>44483</v>
      </c>
      <c r="B110">
        <v>8.2220000000000001E-2</v>
      </c>
      <c r="C110">
        <v>8.5930000000000006E-2</v>
      </c>
      <c r="D110">
        <v>8.1920000000000007E-2</v>
      </c>
      <c r="E110">
        <v>8.2919999999999994E-2</v>
      </c>
      <c r="F110">
        <v>26535426</v>
      </c>
      <c r="G110">
        <v>8.2919999999999994E-2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-0.50124688279302387</v>
      </c>
      <c r="Q110">
        <f t="shared" ref="Q110" si="526">F110*P110</f>
        <v>-13300799.566084959</v>
      </c>
      <c r="R110">
        <f t="shared" ref="R110" si="527">R111+Q110</f>
        <v>-2827315992.2802415</v>
      </c>
      <c r="S110">
        <f t="shared" ref="S110" si="528">R110/100000</f>
        <v>-28273.159922802413</v>
      </c>
      <c r="T110">
        <f t="shared" ref="T110" si="529">S110/1000</f>
        <v>-28.273159922802414</v>
      </c>
    </row>
    <row r="111" spans="1:20" x14ac:dyDescent="0.25">
      <c r="A111" s="5">
        <v>44482</v>
      </c>
      <c r="B111">
        <v>8.0729999999999996E-2</v>
      </c>
      <c r="C111">
        <v>8.2720000000000002E-2</v>
      </c>
      <c r="D111">
        <v>7.8219999999999998E-2</v>
      </c>
      <c r="E111">
        <v>8.2199999999999995E-2</v>
      </c>
      <c r="F111">
        <v>24620513</v>
      </c>
      <c r="G111">
        <v>8.2199999999999995E-2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0.76888888888888618</v>
      </c>
      <c r="Q111">
        <f t="shared" ref="Q111" si="531">F111*P111</f>
        <v>18930438.884444378</v>
      </c>
      <c r="R111">
        <f t="shared" ref="R111" si="532">R112+Q111</f>
        <v>-2814015192.7141566</v>
      </c>
      <c r="S111">
        <f t="shared" ref="S111" si="533">R111/100000</f>
        <v>-28140.151927141567</v>
      </c>
      <c r="T111">
        <f t="shared" ref="T111" si="534">S111/1000</f>
        <v>-28.140151927141567</v>
      </c>
    </row>
    <row r="112" spans="1:20" x14ac:dyDescent="0.25">
      <c r="A112" s="5">
        <v>44481</v>
      </c>
      <c r="B112">
        <v>8.2129999999999995E-2</v>
      </c>
      <c r="C112">
        <v>8.2669999999999993E-2</v>
      </c>
      <c r="D112">
        <v>7.7240000000000003E-2</v>
      </c>
      <c r="E112">
        <v>8.0729999999999996E-2</v>
      </c>
      <c r="F112">
        <v>21130643</v>
      </c>
      <c r="G112">
        <v>8.0729999999999996E-2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0.28545119705340671</v>
      </c>
      <c r="Q112">
        <f t="shared" ref="Q112" si="536">F112*P112</f>
        <v>6031767.3388581891</v>
      </c>
      <c r="R112">
        <f t="shared" ref="R112" si="537">R113+Q112</f>
        <v>-2832945631.5986009</v>
      </c>
      <c r="S112">
        <f t="shared" ref="S112" si="538">R112/100000</f>
        <v>-28329.456315986008</v>
      </c>
      <c r="T112">
        <f t="shared" ref="T112" si="539">S112/1000</f>
        <v>-28.329456315986008</v>
      </c>
    </row>
    <row r="113" spans="1:20" x14ac:dyDescent="0.25">
      <c r="A113" s="5">
        <v>44480</v>
      </c>
      <c r="B113">
        <v>8.2430000000000003E-2</v>
      </c>
      <c r="C113">
        <v>9.3810000000000004E-2</v>
      </c>
      <c r="D113">
        <v>8.0119999999999997E-2</v>
      </c>
      <c r="E113">
        <v>8.2250000000000004E-2</v>
      </c>
      <c r="F113">
        <v>57007275</v>
      </c>
      <c r="G113">
        <v>8.2250000000000004E-2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-0.68882395909422856</v>
      </c>
      <c r="Q113">
        <f t="shared" ref="Q113" si="541">F113*P113</f>
        <v>-39267976.862673439</v>
      </c>
      <c r="R113">
        <f t="shared" ref="R113" si="542">R114+Q113</f>
        <v>-2838977398.937459</v>
      </c>
      <c r="S113">
        <f t="shared" ref="S113" si="543">R113/100000</f>
        <v>-28389.773989374589</v>
      </c>
      <c r="T113">
        <f t="shared" ref="T113" si="544">S113/1000</f>
        <v>-28.389773989374589</v>
      </c>
    </row>
    <row r="114" spans="1:20" x14ac:dyDescent="0.25">
      <c r="A114" s="5">
        <v>44479</v>
      </c>
      <c r="B114">
        <v>8.5699999999999998E-2</v>
      </c>
      <c r="C114">
        <v>8.7510000000000004E-2</v>
      </c>
      <c r="D114">
        <v>8.208E-2</v>
      </c>
      <c r="E114">
        <v>8.2419999999999993E-2</v>
      </c>
      <c r="F114">
        <v>22442160</v>
      </c>
      <c r="G114">
        <v>8.2419999999999993E-2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-0.87476979742173377</v>
      </c>
      <c r="Q114">
        <f t="shared" ref="Q114" si="546">F114*P114</f>
        <v>-19631723.756906137</v>
      </c>
      <c r="R114">
        <f t="shared" ref="R114" si="547">R115+Q114</f>
        <v>-2799709422.0747857</v>
      </c>
      <c r="S114">
        <f t="shared" ref="S114" si="548">R114/100000</f>
        <v>-27997.094220747858</v>
      </c>
      <c r="T114">
        <f t="shared" ref="T114" si="549">S114/1000</f>
        <v>-27.997094220747858</v>
      </c>
    </row>
    <row r="115" spans="1:20" x14ac:dyDescent="0.25">
      <c r="A115" s="5">
        <v>44478</v>
      </c>
      <c r="B115">
        <v>8.5209999999999994E-2</v>
      </c>
      <c r="C115">
        <v>9.8000000000000004E-2</v>
      </c>
      <c r="D115">
        <v>8.4309999999999996E-2</v>
      </c>
      <c r="E115">
        <v>8.5599999999999996E-2</v>
      </c>
      <c r="F115">
        <v>110540520</v>
      </c>
      <c r="G115">
        <v>8.5599999999999996E-2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-0.81154127100073059</v>
      </c>
      <c r="Q115">
        <f t="shared" ref="Q115" si="551">F115*P115</f>
        <v>-89708194.097881675</v>
      </c>
      <c r="R115">
        <f t="shared" ref="R115" si="552">R116+Q115</f>
        <v>-2780077698.3178797</v>
      </c>
      <c r="S115">
        <f t="shared" ref="S115" si="553">R115/100000</f>
        <v>-27800.776983178795</v>
      </c>
      <c r="T115">
        <f t="shared" ref="T115" si="554">S115/1000</f>
        <v>-27.800776983178796</v>
      </c>
    </row>
    <row r="116" spans="1:20" x14ac:dyDescent="0.25">
      <c r="A116" s="5">
        <v>44477</v>
      </c>
      <c r="B116">
        <v>8.3089999999999997E-2</v>
      </c>
      <c r="C116">
        <v>8.8679999999999995E-2</v>
      </c>
      <c r="D116">
        <v>8.2369999999999999E-2</v>
      </c>
      <c r="E116">
        <v>8.5169999999999996E-2</v>
      </c>
      <c r="F116">
        <v>47792115</v>
      </c>
      <c r="G116">
        <v>8.5169999999999996E-2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-0.11251980982567397</v>
      </c>
      <c r="Q116">
        <f t="shared" ref="Q116" si="556">F116*P116</f>
        <v>-5377559.6909667403</v>
      </c>
      <c r="R116">
        <f t="shared" ref="R116" si="557">R117+Q116</f>
        <v>-2690369504.2199979</v>
      </c>
      <c r="S116">
        <f t="shared" ref="S116" si="558">R116/100000</f>
        <v>-26903.695042199979</v>
      </c>
      <c r="T116">
        <f t="shared" ref="T116" si="559">S116/1000</f>
        <v>-26.903695042199978</v>
      </c>
    </row>
    <row r="117" spans="1:20" x14ac:dyDescent="0.25">
      <c r="A117" s="5">
        <v>44476</v>
      </c>
      <c r="B117">
        <v>8.4000000000000005E-2</v>
      </c>
      <c r="C117">
        <v>8.5459999999999994E-2</v>
      </c>
      <c r="D117">
        <v>8.1619999999999998E-2</v>
      </c>
      <c r="E117">
        <v>8.3089999999999997E-2</v>
      </c>
      <c r="F117">
        <v>28571895</v>
      </c>
      <c r="G117">
        <v>8.3089999999999997E-2</v>
      </c>
      <c r="L117" t="s">
        <v>7</v>
      </c>
      <c r="M117" t="s">
        <v>8</v>
      </c>
      <c r="N117" t="s">
        <v>7</v>
      </c>
      <c r="P117">
        <f t="shared" ref="P117" si="560">IF(C117=D117,0,((E117-D117)-(C117-E117))/(C117-D117))</f>
        <v>-0.23437499999999972</v>
      </c>
      <c r="Q117">
        <f t="shared" ref="Q117" si="561">F117*P117</f>
        <v>-6696537.8906249916</v>
      </c>
      <c r="R117">
        <f t="shared" ref="R117" si="562">R118+Q117</f>
        <v>-2684991944.5290313</v>
      </c>
      <c r="S117">
        <f t="shared" ref="S117" si="563">R117/100000</f>
        <v>-26849.919445290314</v>
      </c>
      <c r="T117">
        <f t="shared" ref="T117" si="564">S117/1000</f>
        <v>-26.849919445290315</v>
      </c>
    </row>
    <row r="118" spans="1:20" x14ac:dyDescent="0.25">
      <c r="A118" s="5">
        <v>44475</v>
      </c>
      <c r="B118">
        <v>8.498E-2</v>
      </c>
      <c r="C118">
        <v>8.6720000000000005E-2</v>
      </c>
      <c r="D118">
        <v>8.1629999999999994E-2</v>
      </c>
      <c r="E118">
        <v>8.4010000000000001E-2</v>
      </c>
      <c r="F118">
        <v>34460663</v>
      </c>
      <c r="G118">
        <v>8.4010000000000001E-2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-6.483300589390889E-2</v>
      </c>
      <c r="Q118">
        <f t="shared" ref="Q118" si="566">F118*P118</f>
        <v>-2234188.3673870079</v>
      </c>
      <c r="R118">
        <f t="shared" ref="R118" si="567">R119+Q118</f>
        <v>-2678295406.6384063</v>
      </c>
      <c r="S118">
        <f t="shared" ref="S118" si="568">R118/100000</f>
        <v>-26782.954066384063</v>
      </c>
      <c r="T118">
        <f t="shared" ref="T118" si="569">S118/1000</f>
        <v>-26.782954066384065</v>
      </c>
    </row>
    <row r="119" spans="1:20" x14ac:dyDescent="0.25">
      <c r="A119" s="5">
        <v>44474</v>
      </c>
      <c r="B119">
        <v>8.2949999999999996E-2</v>
      </c>
      <c r="C119">
        <v>8.8169999999999998E-2</v>
      </c>
      <c r="D119">
        <v>8.2390000000000005E-2</v>
      </c>
      <c r="E119">
        <v>8.4809999999999997E-2</v>
      </c>
      <c r="F119">
        <v>38237250</v>
      </c>
      <c r="G119">
        <v>8.4809999999999997E-2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-0.16262975778546909</v>
      </c>
      <c r="Q119">
        <f t="shared" ref="Q119" si="571">F119*P119</f>
        <v>-6218514.7058824282</v>
      </c>
      <c r="R119">
        <f t="shared" ref="R119" si="572">R120+Q119</f>
        <v>-2676061218.2710195</v>
      </c>
      <c r="S119">
        <f t="shared" ref="S119" si="573">R119/100000</f>
        <v>-26760.612182710196</v>
      </c>
      <c r="T119">
        <f t="shared" ref="T119" si="574">S119/1000</f>
        <v>-26.760612182710197</v>
      </c>
    </row>
    <row r="120" spans="1:20" x14ac:dyDescent="0.25">
      <c r="A120" s="5">
        <v>44473</v>
      </c>
      <c r="B120">
        <v>8.541E-2</v>
      </c>
      <c r="C120">
        <v>8.5510000000000003E-2</v>
      </c>
      <c r="D120">
        <v>8.1299999999999997E-2</v>
      </c>
      <c r="E120">
        <v>8.2500000000000004E-2</v>
      </c>
      <c r="F120">
        <v>37462517</v>
      </c>
      <c r="G120">
        <v>8.2500000000000004E-2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-0.42992874109263418</v>
      </c>
      <c r="Q120">
        <f t="shared" ref="Q120" si="576">F120*P120</f>
        <v>-16106212.771971406</v>
      </c>
      <c r="R120">
        <f t="shared" ref="R120" si="577">R121+Q120</f>
        <v>-2669842703.5651369</v>
      </c>
      <c r="S120">
        <f t="shared" ref="S120" si="578">R120/100000</f>
        <v>-26698.42703565137</v>
      </c>
      <c r="T120">
        <f t="shared" ref="T120" si="579">S120/1000</f>
        <v>-26.69842703565137</v>
      </c>
    </row>
    <row r="121" spans="1:20" x14ac:dyDescent="0.25">
      <c r="A121" s="5">
        <v>44472</v>
      </c>
      <c r="B121">
        <v>8.584E-2</v>
      </c>
      <c r="C121">
        <v>8.8090000000000002E-2</v>
      </c>
      <c r="D121">
        <v>8.3500000000000005E-2</v>
      </c>
      <c r="E121">
        <v>8.5319999999999993E-2</v>
      </c>
      <c r="F121">
        <v>63720583</v>
      </c>
      <c r="G121">
        <v>8.5319999999999993E-2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-0.20697167755991741</v>
      </c>
      <c r="Q121">
        <f t="shared" ref="Q121" si="581">F121*P121</f>
        <v>-13188355.958605954</v>
      </c>
      <c r="R121">
        <f t="shared" ref="R121" si="582">R122+Q121</f>
        <v>-2653736490.7931657</v>
      </c>
      <c r="S121">
        <f t="shared" ref="S121" si="583">R121/100000</f>
        <v>-26537.364907931656</v>
      </c>
      <c r="T121">
        <f t="shared" ref="T121" si="584">S121/1000</f>
        <v>-26.537364907931657</v>
      </c>
    </row>
    <row r="122" spans="1:20" x14ac:dyDescent="0.25">
      <c r="A122" s="5">
        <v>44471</v>
      </c>
      <c r="B122">
        <v>8.4019999999999997E-2</v>
      </c>
      <c r="C122">
        <v>8.9380000000000001E-2</v>
      </c>
      <c r="D122">
        <v>8.2500000000000004E-2</v>
      </c>
      <c r="E122">
        <v>8.584E-2</v>
      </c>
      <c r="F122">
        <v>59978393</v>
      </c>
      <c r="G122">
        <v>8.584E-2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-2.9069767441861308E-2</v>
      </c>
      <c r="Q122">
        <f t="shared" ref="Q122" si="586">F122*P122</f>
        <v>-1743557.9360465622</v>
      </c>
      <c r="R122">
        <f t="shared" ref="R122" si="587">R123+Q122</f>
        <v>-2640548134.8345599</v>
      </c>
      <c r="S122">
        <f t="shared" ref="S122" si="588">R122/100000</f>
        <v>-26405.481348345598</v>
      </c>
      <c r="T122">
        <f t="shared" ref="T122" si="589">S122/1000</f>
        <v>-26.405481348345599</v>
      </c>
    </row>
    <row r="123" spans="1:20" x14ac:dyDescent="0.25">
      <c r="A123" s="5">
        <v>44470</v>
      </c>
      <c r="B123">
        <v>8.0750000000000002E-2</v>
      </c>
      <c r="C123">
        <v>8.4970000000000004E-2</v>
      </c>
      <c r="D123">
        <v>7.9170000000000004E-2</v>
      </c>
      <c r="E123">
        <v>8.4199999999999997E-2</v>
      </c>
      <c r="F123">
        <v>43288329</v>
      </c>
      <c r="G123">
        <v>8.4199999999999997E-2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0.73448275862068735</v>
      </c>
      <c r="Q123">
        <f t="shared" ref="Q123" si="591">F123*P123</f>
        <v>31794531.2999999</v>
      </c>
      <c r="R123">
        <f t="shared" ref="R123" si="592">R124+Q123</f>
        <v>-2638804576.8985133</v>
      </c>
      <c r="S123">
        <f t="shared" ref="S123" si="593">R123/100000</f>
        <v>-26388.045768985132</v>
      </c>
      <c r="T123">
        <f t="shared" ref="T123" si="594">S123/1000</f>
        <v>-26.388045768985133</v>
      </c>
    </row>
    <row r="124" spans="1:20" x14ac:dyDescent="0.25">
      <c r="A124" s="5">
        <v>44469</v>
      </c>
      <c r="B124">
        <v>7.8560000000000005E-2</v>
      </c>
      <c r="C124">
        <v>8.201E-2</v>
      </c>
      <c r="D124">
        <v>7.8210000000000002E-2</v>
      </c>
      <c r="E124">
        <v>8.0750000000000002E-2</v>
      </c>
      <c r="F124">
        <v>24155580</v>
      </c>
      <c r="G124">
        <v>8.0750000000000002E-2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0.336842105263159</v>
      </c>
      <c r="Q124">
        <f t="shared" ref="Q124" si="596">F124*P124</f>
        <v>8136616.421052658</v>
      </c>
      <c r="R124">
        <f t="shared" ref="R124" si="597">R125+Q124</f>
        <v>-2670599108.198513</v>
      </c>
      <c r="S124">
        <f t="shared" ref="S124" si="598">R124/100000</f>
        <v>-26705.991081985132</v>
      </c>
      <c r="T124">
        <f t="shared" ref="T124" si="599">S124/1000</f>
        <v>-26.705991081985132</v>
      </c>
    </row>
    <row r="125" spans="1:20" x14ac:dyDescent="0.25">
      <c r="A125" s="5">
        <v>44468</v>
      </c>
      <c r="B125">
        <v>8.0009999999999998E-2</v>
      </c>
      <c r="C125">
        <v>8.3280000000000007E-2</v>
      </c>
      <c r="D125">
        <v>7.664E-2</v>
      </c>
      <c r="E125">
        <v>7.8560000000000005E-2</v>
      </c>
      <c r="F125">
        <v>23749084</v>
      </c>
      <c r="G125">
        <v>7.8560000000000005E-2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-0.42168674698795089</v>
      </c>
      <c r="Q125">
        <f t="shared" ref="Q125" si="601">F125*P125</f>
        <v>-10014673.975903593</v>
      </c>
      <c r="R125">
        <f t="shared" ref="R125" si="602">R126+Q125</f>
        <v>-2678735724.6195655</v>
      </c>
      <c r="S125">
        <f t="shared" ref="S125" si="603">R125/100000</f>
        <v>-26787.357246195654</v>
      </c>
      <c r="T125">
        <f t="shared" ref="T125" si="604">S125/1000</f>
        <v>-26.787357246195654</v>
      </c>
    </row>
    <row r="126" spans="1:20" x14ac:dyDescent="0.25">
      <c r="A126" s="5">
        <v>44467</v>
      </c>
      <c r="B126">
        <v>7.8759999999999997E-2</v>
      </c>
      <c r="C126">
        <v>8.6999999999999994E-2</v>
      </c>
      <c r="D126">
        <v>7.8200000000000006E-2</v>
      </c>
      <c r="E126">
        <v>8.0009999999999998E-2</v>
      </c>
      <c r="F126">
        <v>67617655</v>
      </c>
      <c r="G126">
        <v>8.0009999999999998E-2</v>
      </c>
      <c r="L126" t="s">
        <v>8</v>
      </c>
      <c r="M126" t="s">
        <v>7</v>
      </c>
      <c r="N126" t="s">
        <v>7</v>
      </c>
      <c r="P126">
        <f t="shared" ref="P126" si="605">IF(C126=D126,0,((E126-D126)-(C126-E126))/(C126-D126))</f>
        <v>-0.58863636363636485</v>
      </c>
      <c r="Q126">
        <f t="shared" ref="Q126" si="606">F126*P126</f>
        <v>-39802210.556818262</v>
      </c>
      <c r="R126">
        <f t="shared" ref="R126" si="607">R127+Q126</f>
        <v>-2668721050.643662</v>
      </c>
      <c r="S126">
        <f t="shared" ref="S126" si="608">R126/100000</f>
        <v>-26687.210506436619</v>
      </c>
      <c r="T126">
        <f t="shared" ref="T126" si="609">S126/1000</f>
        <v>-26.687210506436617</v>
      </c>
    </row>
    <row r="127" spans="1:20" x14ac:dyDescent="0.25">
      <c r="A127" s="5">
        <v>44466</v>
      </c>
      <c r="B127">
        <v>8.0170000000000005E-2</v>
      </c>
      <c r="C127">
        <v>8.43E-2</v>
      </c>
      <c r="D127">
        <v>7.825E-2</v>
      </c>
      <c r="E127">
        <v>7.8759999999999997E-2</v>
      </c>
      <c r="F127">
        <v>30902401</v>
      </c>
      <c r="G127">
        <v>7.8759999999999997E-2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-0.83140495867768704</v>
      </c>
      <c r="Q127">
        <f t="shared" ref="Q127" si="611">F127*P127</f>
        <v>-25692409.426446315</v>
      </c>
      <c r="R127">
        <f t="shared" ref="R127" si="612">R128+Q127</f>
        <v>-2628918840.0868435</v>
      </c>
      <c r="S127">
        <f t="shared" ref="S127" si="613">R127/100000</f>
        <v>-26289.188400868436</v>
      </c>
      <c r="T127">
        <f t="shared" ref="T127" si="614">S127/1000</f>
        <v>-26.289188400868436</v>
      </c>
    </row>
    <row r="128" spans="1:20" x14ac:dyDescent="0.25">
      <c r="A128" s="5">
        <v>44465</v>
      </c>
      <c r="B128">
        <v>8.0460000000000004E-2</v>
      </c>
      <c r="C128">
        <v>8.7999999999999995E-2</v>
      </c>
      <c r="D128">
        <v>7.2999999999999995E-2</v>
      </c>
      <c r="E128">
        <v>8.0409999999999995E-2</v>
      </c>
      <c r="F128">
        <v>97680601</v>
      </c>
      <c r="G128">
        <v>8.0409999999999995E-2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-1.1999999999999974E-2</v>
      </c>
      <c r="Q128">
        <f t="shared" ref="Q128" si="616">F128*P128</f>
        <v>-1172167.2119999975</v>
      </c>
      <c r="R128">
        <f t="shared" ref="R128" si="617">R129+Q128</f>
        <v>-2603226430.6603971</v>
      </c>
      <c r="S128">
        <f t="shared" ref="S128" si="618">R128/100000</f>
        <v>-26032.264306603971</v>
      </c>
      <c r="T128">
        <f t="shared" ref="T128" si="619">S128/1000</f>
        <v>-26.03226430660397</v>
      </c>
    </row>
    <row r="129" spans="1:20" x14ac:dyDescent="0.25">
      <c r="A129" s="5">
        <v>44464</v>
      </c>
      <c r="B129">
        <v>7.8530000000000003E-2</v>
      </c>
      <c r="C129">
        <v>9.1300000000000006E-2</v>
      </c>
      <c r="D129">
        <v>7.6999999999999999E-2</v>
      </c>
      <c r="E129">
        <v>8.0379999999999993E-2</v>
      </c>
      <c r="F129">
        <v>81129751</v>
      </c>
      <c r="G129">
        <v>8.0379999999999993E-2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-0.52727272727272834</v>
      </c>
      <c r="Q129">
        <f t="shared" ref="Q129" si="621">F129*P129</f>
        <v>-42777505.07272736</v>
      </c>
      <c r="R129">
        <f t="shared" ref="R129" si="622">R130+Q129</f>
        <v>-2602054263.4483972</v>
      </c>
      <c r="S129">
        <f t="shared" ref="S129" si="623">R129/100000</f>
        <v>-26020.542634483973</v>
      </c>
      <c r="T129">
        <f t="shared" ref="T129" si="624">S129/1000</f>
        <v>-26.020542634483974</v>
      </c>
    </row>
    <row r="130" spans="1:20" x14ac:dyDescent="0.25">
      <c r="A130" s="5">
        <v>44463</v>
      </c>
      <c r="B130">
        <v>8.7090000000000001E-2</v>
      </c>
      <c r="C130">
        <v>8.7690000000000004E-2</v>
      </c>
      <c r="D130">
        <v>7.3499999999999996E-2</v>
      </c>
      <c r="E130">
        <v>7.8350000000000003E-2</v>
      </c>
      <c r="F130">
        <v>52905051</v>
      </c>
      <c r="G130">
        <v>7.8350000000000003E-2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-0.3164200140944321</v>
      </c>
      <c r="Q130">
        <f t="shared" ref="Q130" si="626">F130*P130</f>
        <v>-16740216.983086649</v>
      </c>
      <c r="R130">
        <f t="shared" ref="R130" si="627">R131+Q130</f>
        <v>-2559276758.37567</v>
      </c>
      <c r="S130">
        <f t="shared" ref="S130" si="628">R130/100000</f>
        <v>-25592.7675837567</v>
      </c>
      <c r="T130">
        <f t="shared" ref="T130" si="629">S130/1000</f>
        <v>-25.5927675837567</v>
      </c>
    </row>
    <row r="131" spans="1:20" x14ac:dyDescent="0.25">
      <c r="A131" s="5">
        <v>44462</v>
      </c>
      <c r="B131">
        <v>8.5370000000000001E-2</v>
      </c>
      <c r="C131">
        <v>9.2759999999999995E-2</v>
      </c>
      <c r="D131">
        <v>8.3909999999999998E-2</v>
      </c>
      <c r="E131">
        <v>8.7090000000000001E-2</v>
      </c>
      <c r="F131">
        <v>77131632</v>
      </c>
      <c r="G131">
        <v>8.7090000000000001E-2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-0.28135593220338906</v>
      </c>
      <c r="Q131">
        <f t="shared" ref="Q131" si="631">F131*P131</f>
        <v>-21701442.223728754</v>
      </c>
      <c r="R131">
        <f t="shared" ref="R131" si="632">R132+Q131</f>
        <v>-2542536541.3925834</v>
      </c>
      <c r="S131">
        <f t="shared" ref="S131" si="633">R131/100000</f>
        <v>-25425.365413925832</v>
      </c>
      <c r="T131">
        <f t="shared" ref="T131" si="634">S131/1000</f>
        <v>-25.425365413925832</v>
      </c>
    </row>
    <row r="132" spans="1:20" x14ac:dyDescent="0.25">
      <c r="A132" s="5">
        <v>44461</v>
      </c>
      <c r="B132">
        <v>7.5749999999999998E-2</v>
      </c>
      <c r="C132">
        <v>8.8010000000000005E-2</v>
      </c>
      <c r="D132">
        <v>7.46E-2</v>
      </c>
      <c r="E132">
        <v>8.5620000000000002E-2</v>
      </c>
      <c r="F132">
        <v>53449877</v>
      </c>
      <c r="G132">
        <v>8.5620000000000002E-2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0.64354958985831434</v>
      </c>
      <c r="Q132">
        <f t="shared" ref="Q132" si="636">F132*P132</f>
        <v>34397646.421327353</v>
      </c>
      <c r="R132">
        <f t="shared" ref="R132" si="637">R133+Q132</f>
        <v>-2520835099.1688547</v>
      </c>
      <c r="S132">
        <f t="shared" ref="S132" si="638">R132/100000</f>
        <v>-25208.350991688549</v>
      </c>
      <c r="T132">
        <f t="shared" ref="T132" si="639">S132/1000</f>
        <v>-25.208350991688548</v>
      </c>
    </row>
    <row r="133" spans="1:20" x14ac:dyDescent="0.25">
      <c r="A133" s="5">
        <v>44460</v>
      </c>
      <c r="B133">
        <v>8.4790000000000004E-2</v>
      </c>
      <c r="C133">
        <v>8.881E-2</v>
      </c>
      <c r="D133">
        <v>7.2169999999999998E-2</v>
      </c>
      <c r="E133">
        <v>7.5620000000000007E-2</v>
      </c>
      <c r="F133">
        <v>43037214</v>
      </c>
      <c r="G133">
        <v>7.5620000000000007E-2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-0.58533653846153744</v>
      </c>
      <c r="Q133">
        <f t="shared" ref="Q133" si="641">F133*P133</f>
        <v>-25191253.867788419</v>
      </c>
      <c r="R133">
        <f t="shared" ref="R133" si="642">R134+Q133</f>
        <v>-2555232745.5901823</v>
      </c>
      <c r="S133">
        <f t="shared" ref="S133" si="643">R133/100000</f>
        <v>-25552.327455901825</v>
      </c>
      <c r="T133">
        <f t="shared" ref="T133" si="644">S133/1000</f>
        <v>-25.552327455901825</v>
      </c>
    </row>
    <row r="134" spans="1:20" x14ac:dyDescent="0.25">
      <c r="A134" s="5">
        <v>44459</v>
      </c>
      <c r="B134">
        <v>9.9680000000000005E-2</v>
      </c>
      <c r="C134">
        <v>0.10017</v>
      </c>
      <c r="D134">
        <v>8.7080000000000005E-2</v>
      </c>
      <c r="E134">
        <v>8.9719999999999994E-2</v>
      </c>
      <c r="F134">
        <v>32348769</v>
      </c>
      <c r="G134">
        <v>8.9719999999999994E-2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-0.5966386554621862</v>
      </c>
      <c r="Q134">
        <f t="shared" ref="Q134" si="646">F134*P134</f>
        <v>-19300526.042016849</v>
      </c>
      <c r="R134">
        <f t="shared" ref="R134" si="647">R135+Q134</f>
        <v>-2530041491.722394</v>
      </c>
      <c r="S134">
        <f t="shared" ref="S134" si="648">R134/100000</f>
        <v>-25300.414917223941</v>
      </c>
      <c r="T134">
        <f t="shared" ref="T134" si="649">S134/1000</f>
        <v>-25.300414917223943</v>
      </c>
    </row>
    <row r="135" spans="1:20" x14ac:dyDescent="0.25">
      <c r="A135" s="5">
        <v>44458</v>
      </c>
      <c r="B135">
        <v>9.8250000000000004E-2</v>
      </c>
      <c r="C135">
        <v>0.11589000000000001</v>
      </c>
      <c r="D135">
        <v>9.5180000000000001E-2</v>
      </c>
      <c r="E135">
        <v>9.9510000000000001E-2</v>
      </c>
      <c r="F135">
        <v>152838680</v>
      </c>
      <c r="G135">
        <v>9.9510000000000001E-2</v>
      </c>
      <c r="L135" t="s">
        <v>8</v>
      </c>
      <c r="M135" t="s">
        <v>8</v>
      </c>
      <c r="N135" t="s">
        <v>8</v>
      </c>
      <c r="P135">
        <f t="shared" ref="P135" si="650">IF(C135=D135,0,((E135-D135)-(C135-E135))/(C135-D135))</f>
        <v>-0.58184451955577021</v>
      </c>
      <c r="Q135">
        <f t="shared" ref="Q135" si="651">F135*P135</f>
        <v>-88928348.33413811</v>
      </c>
      <c r="R135">
        <f t="shared" ref="R135" si="652">R136+Q135</f>
        <v>-2510740965.680377</v>
      </c>
      <c r="S135">
        <f t="shared" ref="S135" si="653">R135/100000</f>
        <v>-25107.409656803771</v>
      </c>
      <c r="T135">
        <f t="shared" ref="T135" si="654">S135/1000</f>
        <v>-25.107409656803771</v>
      </c>
    </row>
    <row r="136" spans="1:20" x14ac:dyDescent="0.25">
      <c r="A136" s="5">
        <v>44457</v>
      </c>
      <c r="B136">
        <v>9.6879999999999994E-2</v>
      </c>
      <c r="C136">
        <v>0.108</v>
      </c>
      <c r="D136">
        <v>9.5409999999999995E-2</v>
      </c>
      <c r="E136">
        <v>9.8290000000000002E-2</v>
      </c>
      <c r="F136">
        <v>56348825</v>
      </c>
      <c r="G136">
        <v>9.8290000000000002E-2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-0.54249404289118242</v>
      </c>
      <c r="Q136">
        <f t="shared" ref="Q136" si="656">F136*P136</f>
        <v>-30568901.886417732</v>
      </c>
      <c r="R136">
        <f t="shared" ref="R136" si="657">R137+Q136</f>
        <v>-2421812617.3462391</v>
      </c>
      <c r="S136">
        <f t="shared" ref="S136" si="658">R136/100000</f>
        <v>-24218.126173462391</v>
      </c>
      <c r="T136">
        <f t="shared" ref="T136" si="659">S136/1000</f>
        <v>-24.218126173462391</v>
      </c>
    </row>
    <row r="137" spans="1:20" x14ac:dyDescent="0.25">
      <c r="A137" s="5">
        <v>44456</v>
      </c>
      <c r="B137">
        <v>0.10113999999999999</v>
      </c>
      <c r="C137">
        <v>0.10488</v>
      </c>
      <c r="D137">
        <v>9.4769999999999993E-2</v>
      </c>
      <c r="E137">
        <v>9.6879999999999994E-2</v>
      </c>
      <c r="F137">
        <v>37199538</v>
      </c>
      <c r="G137">
        <v>9.6879999999999994E-2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-0.58259149357072226</v>
      </c>
      <c r="Q137">
        <f t="shared" ref="Q137" si="661">F137*P137</f>
        <v>-21672134.40356084</v>
      </c>
      <c r="R137">
        <f t="shared" ref="R137" si="662">R138+Q137</f>
        <v>-2391243715.4598212</v>
      </c>
      <c r="S137">
        <f t="shared" ref="S137" si="663">R137/100000</f>
        <v>-23912.437154598214</v>
      </c>
      <c r="T137">
        <f t="shared" ref="T137" si="664">S137/1000</f>
        <v>-23.912437154598216</v>
      </c>
    </row>
    <row r="138" spans="1:20" x14ac:dyDescent="0.25">
      <c r="A138" s="5">
        <v>44455</v>
      </c>
      <c r="B138">
        <v>0.10381</v>
      </c>
      <c r="C138">
        <v>0.10471999999999999</v>
      </c>
      <c r="D138">
        <v>9.7879999999999995E-2</v>
      </c>
      <c r="E138">
        <v>0.10111000000000001</v>
      </c>
      <c r="F138">
        <v>30282867</v>
      </c>
      <c r="G138">
        <v>0.10111000000000001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-5.5555555555552284E-2</v>
      </c>
      <c r="Q138">
        <f t="shared" ref="Q138" si="666">F138*P138</f>
        <v>-1682381.499999901</v>
      </c>
      <c r="R138">
        <f t="shared" ref="R138" si="667">R139+Q138</f>
        <v>-2369571581.0562606</v>
      </c>
      <c r="S138">
        <f t="shared" ref="S138" si="668">R138/100000</f>
        <v>-23695.715810562608</v>
      </c>
      <c r="T138">
        <f t="shared" ref="T138" si="669">S138/1000</f>
        <v>-23.695715810562607</v>
      </c>
    </row>
    <row r="139" spans="1:20" x14ac:dyDescent="0.25">
      <c r="A139" s="5">
        <v>44454</v>
      </c>
      <c r="B139">
        <v>9.9769999999999998E-2</v>
      </c>
      <c r="C139">
        <v>0.10879</v>
      </c>
      <c r="D139">
        <v>9.7839999999999996E-2</v>
      </c>
      <c r="E139">
        <v>0.10378999999999999</v>
      </c>
      <c r="F139">
        <v>65951608</v>
      </c>
      <c r="G139">
        <v>0.10378999999999999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8.675799086757921E-2</v>
      </c>
      <c r="Q139">
        <f t="shared" ref="Q139" si="671">F139*P139</f>
        <v>5721829.0045661638</v>
      </c>
      <c r="R139">
        <f t="shared" ref="R139" si="672">R140+Q139</f>
        <v>-2367889199.5562606</v>
      </c>
      <c r="S139">
        <f t="shared" ref="S139" si="673">R139/100000</f>
        <v>-23678.891995562604</v>
      </c>
      <c r="T139">
        <f t="shared" ref="T139" si="674">S139/1000</f>
        <v>-23.678891995562605</v>
      </c>
    </row>
    <row r="140" spans="1:20" x14ac:dyDescent="0.25">
      <c r="A140" s="5">
        <v>44453</v>
      </c>
      <c r="B140">
        <v>0.10188</v>
      </c>
      <c r="C140">
        <v>0.10213999999999999</v>
      </c>
      <c r="D140">
        <v>9.7970000000000002E-2</v>
      </c>
      <c r="E140">
        <v>9.98E-2</v>
      </c>
      <c r="F140">
        <v>30383026</v>
      </c>
      <c r="G140">
        <v>9.98E-2</v>
      </c>
      <c r="L140" t="s">
        <v>7</v>
      </c>
      <c r="M140" t="s">
        <v>7</v>
      </c>
      <c r="N140" t="s">
        <v>8</v>
      </c>
      <c r="P140">
        <f t="shared" ref="P140" si="675">IF(C140=D140,0,((E140-D140)-(C140-E140))/(C140-D140))</f>
        <v>-0.12230215827338067</v>
      </c>
      <c r="Q140">
        <f t="shared" ref="Q140" si="676">F140*P140</f>
        <v>-3715909.6546762399</v>
      </c>
      <c r="R140">
        <f t="shared" ref="R140" si="677">R141+Q140</f>
        <v>-2373611028.5608268</v>
      </c>
      <c r="S140">
        <f t="shared" ref="S140" si="678">R140/100000</f>
        <v>-23736.110285608269</v>
      </c>
      <c r="T140">
        <f t="shared" ref="T140" si="679">S140/1000</f>
        <v>-23.73611028560827</v>
      </c>
    </row>
    <row r="141" spans="1:20" x14ac:dyDescent="0.25">
      <c r="A141" s="5">
        <v>44452</v>
      </c>
      <c r="B141">
        <v>0.10308</v>
      </c>
      <c r="C141">
        <v>0.11121</v>
      </c>
      <c r="D141">
        <v>9.3990000000000004E-2</v>
      </c>
      <c r="E141">
        <v>0.10173</v>
      </c>
      <c r="F141">
        <v>101761677</v>
      </c>
      <c r="G141">
        <v>0.10173</v>
      </c>
      <c r="L141" t="s">
        <v>8</v>
      </c>
      <c r="M141" t="s">
        <v>7</v>
      </c>
      <c r="N141" t="s">
        <v>8</v>
      </c>
      <c r="P141">
        <f t="shared" ref="P141" si="680">IF(C141=D141,0,((E141-D141)-(C141-E141))/(C141-D141))</f>
        <v>-0.10104529616724771</v>
      </c>
      <c r="Q141">
        <f t="shared" ref="Q141" si="681">F141*P141</f>
        <v>-10282538.790940799</v>
      </c>
      <c r="R141">
        <f t="shared" ref="R141" si="682">R142+Q141</f>
        <v>-2369895118.9061503</v>
      </c>
      <c r="S141">
        <f t="shared" ref="S141" si="683">R141/100000</f>
        <v>-23698.951189061503</v>
      </c>
      <c r="T141">
        <f t="shared" ref="T141" si="684">S141/1000</f>
        <v>-23.698951189061503</v>
      </c>
    </row>
    <row r="142" spans="1:20" x14ac:dyDescent="0.25">
      <c r="A142" s="5">
        <v>44451</v>
      </c>
      <c r="B142">
        <v>9.7360000000000002E-2</v>
      </c>
      <c r="C142">
        <v>0.10946</v>
      </c>
      <c r="D142">
        <v>9.4719999999999999E-2</v>
      </c>
      <c r="E142">
        <v>0.10308</v>
      </c>
      <c r="F142">
        <v>56021537</v>
      </c>
      <c r="G142">
        <v>0.10308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0.13432835820895583</v>
      </c>
      <c r="Q142">
        <f t="shared" ref="Q142" si="686">F142*P142</f>
        <v>7525281.089552273</v>
      </c>
      <c r="R142">
        <f t="shared" ref="R142" si="687">R143+Q142</f>
        <v>-2359612580.1152096</v>
      </c>
      <c r="S142">
        <f t="shared" ref="S142" si="688">R142/100000</f>
        <v>-23596.125801152095</v>
      </c>
      <c r="T142">
        <f t="shared" ref="T142" si="689">S142/1000</f>
        <v>-23.596125801152095</v>
      </c>
    </row>
    <row r="143" spans="1:20" x14ac:dyDescent="0.25">
      <c r="A143" s="5">
        <v>44450</v>
      </c>
      <c r="B143">
        <v>9.9489999999999995E-2</v>
      </c>
      <c r="C143">
        <v>0.10509</v>
      </c>
      <c r="D143">
        <v>9.5659999999999995E-2</v>
      </c>
      <c r="E143">
        <v>9.7390000000000004E-2</v>
      </c>
      <c r="F143">
        <v>81341123</v>
      </c>
      <c r="G143">
        <v>9.7390000000000004E-2</v>
      </c>
      <c r="L143" t="s">
        <v>7</v>
      </c>
      <c r="M143" t="s">
        <v>7</v>
      </c>
      <c r="N143" t="s">
        <v>8</v>
      </c>
      <c r="P143">
        <f t="shared" ref="P143" si="690">IF(C143=D143,0,((E143-D143)-(C143-E143))/(C143-D143))</f>
        <v>-0.63308589607635035</v>
      </c>
      <c r="Q143">
        <f t="shared" ref="Q143" si="691">F143*P143</f>
        <v>-51495917.742311634</v>
      </c>
      <c r="R143">
        <f t="shared" ref="R143" si="692">R144+Q143</f>
        <v>-2367137861.204762</v>
      </c>
      <c r="S143">
        <f t="shared" ref="S143" si="693">R143/100000</f>
        <v>-23671.378612047622</v>
      </c>
      <c r="T143">
        <f t="shared" ref="T143" si="694">S143/1000</f>
        <v>-23.671378612047622</v>
      </c>
    </row>
    <row r="144" spans="1:20" x14ac:dyDescent="0.25">
      <c r="A144" s="5">
        <v>44449</v>
      </c>
      <c r="B144">
        <v>9.3030000000000002E-2</v>
      </c>
      <c r="C144">
        <v>0.12</v>
      </c>
      <c r="D144">
        <v>8.7739999999999999E-2</v>
      </c>
      <c r="E144">
        <v>9.9489999999999995E-2</v>
      </c>
      <c r="F144">
        <v>229019034</v>
      </c>
      <c r="G144">
        <v>9.9489999999999995E-2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-0.27154370737755751</v>
      </c>
      <c r="Q144">
        <f t="shared" ref="Q144" si="696">F144*P144</f>
        <v>-62188677.552386895</v>
      </c>
      <c r="R144">
        <f t="shared" ref="R144" si="697">R145+Q144</f>
        <v>-2315641943.4624505</v>
      </c>
      <c r="S144">
        <f t="shared" ref="S144" si="698">R144/100000</f>
        <v>-23156.419434624506</v>
      </c>
      <c r="T144">
        <f t="shared" ref="T144" si="699">S144/1000</f>
        <v>-23.156419434624507</v>
      </c>
    </row>
    <row r="145" spans="1:20" x14ac:dyDescent="0.25">
      <c r="A145" s="5">
        <v>44448</v>
      </c>
      <c r="B145">
        <v>8.9080000000000006E-2</v>
      </c>
      <c r="C145">
        <v>9.7729999999999997E-2</v>
      </c>
      <c r="D145">
        <v>8.7679999999999994E-2</v>
      </c>
      <c r="E145">
        <v>9.2939999999999995E-2</v>
      </c>
      <c r="F145">
        <v>44050608</v>
      </c>
      <c r="G145">
        <v>9.2939999999999995E-2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4.6766169154228661E-2</v>
      </c>
      <c r="Q145">
        <f t="shared" ref="Q145" si="701">F145*P145</f>
        <v>2060078.1850746183</v>
      </c>
      <c r="R145">
        <f t="shared" ref="R145" si="702">R146+Q145</f>
        <v>-2253453265.9100637</v>
      </c>
      <c r="S145">
        <f t="shared" ref="S145" si="703">R145/100000</f>
        <v>-22534.532659100638</v>
      </c>
      <c r="T145">
        <f t="shared" ref="T145" si="704">S145/1000</f>
        <v>-22.534532659100638</v>
      </c>
    </row>
    <row r="146" spans="1:20" x14ac:dyDescent="0.25">
      <c r="A146" s="5">
        <v>44447</v>
      </c>
      <c r="B146">
        <v>9.0700000000000003E-2</v>
      </c>
      <c r="C146">
        <v>9.2700000000000005E-2</v>
      </c>
      <c r="D146">
        <v>8.1629999999999994E-2</v>
      </c>
      <c r="E146">
        <v>8.9029999999999998E-2</v>
      </c>
      <c r="F146">
        <v>29719942</v>
      </c>
      <c r="G146">
        <v>8.9029999999999998E-2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0.33694670280036076</v>
      </c>
      <c r="Q146">
        <f t="shared" ref="Q146" si="706">F146*P146</f>
        <v>10014036.464317959</v>
      </c>
      <c r="R146">
        <f t="shared" ref="R146" si="707">R147+Q146</f>
        <v>-2255513344.0951385</v>
      </c>
      <c r="S146">
        <f t="shared" ref="S146" si="708">R146/100000</f>
        <v>-22555.133440951384</v>
      </c>
      <c r="T146">
        <f t="shared" ref="T146" si="709">S146/1000</f>
        <v>-22.555133440951384</v>
      </c>
    </row>
    <row r="147" spans="1:20" x14ac:dyDescent="0.25">
      <c r="A147" s="5">
        <v>44446</v>
      </c>
      <c r="B147">
        <v>0.11020000000000001</v>
      </c>
      <c r="C147">
        <v>0.11761000000000001</v>
      </c>
      <c r="D147">
        <v>8.2000000000000003E-2</v>
      </c>
      <c r="E147">
        <v>9.0579999999999994E-2</v>
      </c>
      <c r="F147">
        <v>78841426</v>
      </c>
      <c r="G147">
        <v>9.0579999999999994E-2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-0.51811288963774282</v>
      </c>
      <c r="Q147">
        <f t="shared" ref="Q147" si="711">F147*P147</f>
        <v>-40848759.048020266</v>
      </c>
      <c r="R147">
        <f t="shared" ref="R147" si="712">R148+Q147</f>
        <v>-2265527380.5594563</v>
      </c>
      <c r="S147">
        <f t="shared" ref="S147" si="713">R147/100000</f>
        <v>-22655.273805594563</v>
      </c>
      <c r="T147">
        <f t="shared" ref="T147" si="714">S147/1000</f>
        <v>-22.655273805594565</v>
      </c>
    </row>
    <row r="148" spans="1:20" x14ac:dyDescent="0.25">
      <c r="A148" s="5">
        <v>44445</v>
      </c>
      <c r="B148">
        <v>0.11082</v>
      </c>
      <c r="C148">
        <v>0.11261</v>
      </c>
      <c r="D148">
        <v>0.10449</v>
      </c>
      <c r="E148">
        <v>0.11020000000000001</v>
      </c>
      <c r="F148">
        <v>43666200</v>
      </c>
      <c r="G148">
        <v>0.11020000000000001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0.40640394088670079</v>
      </c>
      <c r="Q148">
        <f t="shared" ref="Q148" si="716">F148*P148</f>
        <v>17746115.763546854</v>
      </c>
      <c r="R148">
        <f t="shared" ref="R148" si="717">R149+Q148</f>
        <v>-2224678621.511436</v>
      </c>
      <c r="S148">
        <f t="shared" ref="S148" si="718">R148/100000</f>
        <v>-22246.78621511436</v>
      </c>
      <c r="T148">
        <f t="shared" ref="T148" si="719">S148/1000</f>
        <v>-22.246786215114358</v>
      </c>
    </row>
    <row r="149" spans="1:20" x14ac:dyDescent="0.25">
      <c r="A149" s="5">
        <v>44444</v>
      </c>
      <c r="B149">
        <v>0.10897</v>
      </c>
      <c r="C149">
        <v>0.11339</v>
      </c>
      <c r="D149">
        <v>0.10716000000000001</v>
      </c>
      <c r="E149">
        <v>0.11082</v>
      </c>
      <c r="F149">
        <v>34762605</v>
      </c>
      <c r="G149">
        <v>0.11082</v>
      </c>
      <c r="L149" t="s">
        <v>8</v>
      </c>
      <c r="M149" t="s">
        <v>7</v>
      </c>
      <c r="N149" t="s">
        <v>8</v>
      </c>
      <c r="P149">
        <f t="shared" ref="P149" si="720">IF(C149=D149,0,((E149-D149)-(C149-E149))/(C149-D149))</f>
        <v>0.17495987158908408</v>
      </c>
      <c r="Q149">
        <f t="shared" ref="Q149" si="721">F149*P149</f>
        <v>6082060.9069020525</v>
      </c>
      <c r="R149">
        <f t="shared" ref="R149" si="722">R150+Q149</f>
        <v>-2242424737.2749829</v>
      </c>
      <c r="S149">
        <f t="shared" ref="S149" si="723">R149/100000</f>
        <v>-22424.247372749829</v>
      </c>
      <c r="T149">
        <f t="shared" ref="T149" si="724">S149/1000</f>
        <v>-22.424247372749829</v>
      </c>
    </row>
    <row r="150" spans="1:20" x14ac:dyDescent="0.25">
      <c r="A150" s="5">
        <v>44443</v>
      </c>
      <c r="B150">
        <v>0.11098</v>
      </c>
      <c r="C150">
        <v>0.11323</v>
      </c>
      <c r="D150">
        <v>0.10249999999999999</v>
      </c>
      <c r="E150">
        <v>0.10884000000000001</v>
      </c>
      <c r="F150">
        <v>46325054</v>
      </c>
      <c r="G150">
        <v>0.10884000000000001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0.18173345759552847</v>
      </c>
      <c r="Q150">
        <f t="shared" ref="Q150" si="726">F150*P150</f>
        <v>8418812.2367195673</v>
      </c>
      <c r="R150">
        <f t="shared" ref="R150" si="727">R151+Q150</f>
        <v>-2248506798.1818848</v>
      </c>
      <c r="S150">
        <f t="shared" ref="S150" si="728">R150/100000</f>
        <v>-22485.067981818847</v>
      </c>
      <c r="T150">
        <f t="shared" ref="T150" si="729">S150/1000</f>
        <v>-22.485067981818847</v>
      </c>
    </row>
    <row r="151" spans="1:20" x14ac:dyDescent="0.25">
      <c r="A151" s="5">
        <v>44442</v>
      </c>
      <c r="B151">
        <v>0.11422</v>
      </c>
      <c r="C151">
        <v>0.11742</v>
      </c>
      <c r="D151">
        <v>0.10929999999999999</v>
      </c>
      <c r="E151">
        <v>0.11098</v>
      </c>
      <c r="F151">
        <v>63124740</v>
      </c>
      <c r="G151">
        <v>0.11098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-0.58620689655172398</v>
      </c>
      <c r="Q151">
        <f t="shared" ref="Q151" si="731">F151*P151</f>
        <v>-37004157.931034476</v>
      </c>
      <c r="R151">
        <f t="shared" ref="R151" si="732">R152+Q151</f>
        <v>-2256925610.4186044</v>
      </c>
      <c r="S151">
        <f t="shared" ref="S151" si="733">R151/100000</f>
        <v>-22569.256104186043</v>
      </c>
      <c r="T151">
        <f t="shared" ref="T151" si="734">S151/1000</f>
        <v>-22.569256104186042</v>
      </c>
    </row>
    <row r="152" spans="1:20" x14ac:dyDescent="0.25">
      <c r="A152" s="5">
        <v>44441</v>
      </c>
      <c r="B152">
        <v>0.10571</v>
      </c>
      <c r="C152">
        <v>0.12280000000000001</v>
      </c>
      <c r="D152">
        <v>0.10431</v>
      </c>
      <c r="E152">
        <v>0.11446000000000001</v>
      </c>
      <c r="F152">
        <v>189507008</v>
      </c>
      <c r="G152">
        <v>0.11446000000000001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9.7890751757707159E-2</v>
      </c>
      <c r="Q152">
        <f t="shared" ref="Q152" si="736">F152*P152</f>
        <v>18550983.476473823</v>
      </c>
      <c r="R152">
        <f t="shared" ref="R152" si="737">R153+Q152</f>
        <v>-2219921452.4875698</v>
      </c>
      <c r="S152">
        <f t="shared" ref="S152" si="738">R152/100000</f>
        <v>-22199.214524875697</v>
      </c>
      <c r="T152">
        <f t="shared" ref="T152" si="739">S152/1000</f>
        <v>-22.199214524875696</v>
      </c>
    </row>
    <row r="153" spans="1:20" x14ac:dyDescent="0.25">
      <c r="A153" s="5">
        <v>44440</v>
      </c>
      <c r="B153">
        <v>0.10051</v>
      </c>
      <c r="C153">
        <v>0.10598</v>
      </c>
      <c r="D153">
        <v>9.8799999999999999E-2</v>
      </c>
      <c r="E153">
        <v>0.10589</v>
      </c>
      <c r="F153">
        <v>35423942</v>
      </c>
      <c r="G153">
        <v>0.10589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0.9749303621169898</v>
      </c>
      <c r="Q153">
        <f t="shared" ref="Q153" si="741">F153*P153</f>
        <v>34535876.601671241</v>
      </c>
      <c r="R153">
        <f t="shared" ref="R153" si="742">R154+Q153</f>
        <v>-2238472435.9640436</v>
      </c>
      <c r="S153">
        <f t="shared" ref="S153" si="743">R153/100000</f>
        <v>-22384.724359640437</v>
      </c>
      <c r="T153">
        <f t="shared" ref="T153" si="744">S153/1000</f>
        <v>-22.384724359640437</v>
      </c>
    </row>
    <row r="154" spans="1:20" x14ac:dyDescent="0.25">
      <c r="A154" s="5">
        <v>44439</v>
      </c>
      <c r="B154">
        <v>9.8049999999999998E-2</v>
      </c>
      <c r="C154">
        <v>0.1046</v>
      </c>
      <c r="D154">
        <v>9.64E-2</v>
      </c>
      <c r="E154">
        <v>0.10051</v>
      </c>
      <c r="F154">
        <v>41472713</v>
      </c>
      <c r="G154">
        <v>0.10051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2.4390243902446497E-3</v>
      </c>
      <c r="Q154">
        <f t="shared" ref="Q154" si="746">F154*P154</f>
        <v>101152.95853661635</v>
      </c>
      <c r="R154">
        <f t="shared" ref="R154" si="747">R155+Q154</f>
        <v>-2273008312.5657148</v>
      </c>
      <c r="S154">
        <f t="shared" ref="S154" si="748">R154/100000</f>
        <v>-22730.083125657147</v>
      </c>
      <c r="T154">
        <f t="shared" ref="T154" si="749">S154/1000</f>
        <v>-22.730083125657146</v>
      </c>
    </row>
    <row r="155" spans="1:20" x14ac:dyDescent="0.25">
      <c r="A155" s="5">
        <v>44438</v>
      </c>
      <c r="B155">
        <v>0.10410999999999999</v>
      </c>
      <c r="C155">
        <v>0.10754</v>
      </c>
      <c r="D155">
        <v>9.7159999999999996E-2</v>
      </c>
      <c r="E155">
        <v>9.7919999999999993E-2</v>
      </c>
      <c r="F155">
        <v>57389222</v>
      </c>
      <c r="G155">
        <v>9.7919999999999993E-2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-0.85356454720616637</v>
      </c>
      <c r="Q155">
        <f t="shared" ref="Q155" si="751">F155*P155</f>
        <v>-48985405.290944159</v>
      </c>
      <c r="R155">
        <f t="shared" ref="R155" si="752">R156+Q155</f>
        <v>-2273109465.5242515</v>
      </c>
      <c r="S155">
        <f t="shared" ref="S155" si="753">R155/100000</f>
        <v>-22731.094655242516</v>
      </c>
      <c r="T155">
        <f t="shared" ref="T155" si="754">S155/1000</f>
        <v>-22.731094655242515</v>
      </c>
    </row>
    <row r="156" spans="1:20" x14ac:dyDescent="0.25">
      <c r="A156" s="5">
        <v>44437</v>
      </c>
      <c r="B156">
        <v>9.8909999999999998E-2</v>
      </c>
      <c r="C156">
        <v>0.115</v>
      </c>
      <c r="D156">
        <v>9.5130000000000006E-2</v>
      </c>
      <c r="E156">
        <v>0.10381</v>
      </c>
      <c r="F156">
        <v>130127771</v>
      </c>
      <c r="G156">
        <v>0.10381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-0.12632108706592915</v>
      </c>
      <c r="Q156">
        <f t="shared" ref="Q156" si="756">F156*P156</f>
        <v>-16437881.490186291</v>
      </c>
      <c r="R156">
        <f t="shared" ref="R156" si="757">R157+Q156</f>
        <v>-2224124060.2333074</v>
      </c>
      <c r="S156">
        <f t="shared" ref="S156" si="758">R156/100000</f>
        <v>-22241.240602333073</v>
      </c>
      <c r="T156">
        <f t="shared" ref="T156" si="759">S156/1000</f>
        <v>-22.241240602333072</v>
      </c>
    </row>
    <row r="157" spans="1:20" x14ac:dyDescent="0.25">
      <c r="A157" s="5">
        <v>44436</v>
      </c>
      <c r="B157">
        <v>9.7530000000000006E-2</v>
      </c>
      <c r="C157">
        <v>0.1045</v>
      </c>
      <c r="D157">
        <v>9.5350000000000004E-2</v>
      </c>
      <c r="E157">
        <v>9.8710000000000006E-2</v>
      </c>
      <c r="F157">
        <v>53160071</v>
      </c>
      <c r="G157">
        <v>9.8710000000000006E-2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-0.2655737704918022</v>
      </c>
      <c r="Q157">
        <f t="shared" ref="Q157" si="761">F157*P157</f>
        <v>-14117920.495081909</v>
      </c>
      <c r="R157">
        <f t="shared" ref="R157" si="762">R158+Q157</f>
        <v>-2207686178.7431211</v>
      </c>
      <c r="S157">
        <f t="shared" ref="S157" si="763">R157/100000</f>
        <v>-22076.861787431211</v>
      </c>
      <c r="T157">
        <f t="shared" ref="T157" si="764">S157/1000</f>
        <v>-22.076861787431213</v>
      </c>
    </row>
    <row r="158" spans="1:20" x14ac:dyDescent="0.25">
      <c r="A158" s="5">
        <v>44435</v>
      </c>
      <c r="B158">
        <v>9.3200000000000005E-2</v>
      </c>
      <c r="C158">
        <v>9.9540000000000003E-2</v>
      </c>
      <c r="D158">
        <v>8.8429999999999995E-2</v>
      </c>
      <c r="E158">
        <v>9.7530000000000006E-2</v>
      </c>
      <c r="F158">
        <v>54901873</v>
      </c>
      <c r="G158">
        <v>9.7530000000000006E-2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0.63816381638163888</v>
      </c>
      <c r="Q158">
        <f t="shared" ref="Q158" si="766">F158*P158</f>
        <v>35036388.800180055</v>
      </c>
      <c r="R158">
        <f t="shared" ref="R158" si="767">R159+Q158</f>
        <v>-2193568258.2480392</v>
      </c>
      <c r="S158">
        <f t="shared" ref="S158" si="768">R158/100000</f>
        <v>-21935.682582480393</v>
      </c>
      <c r="T158">
        <f t="shared" ref="T158" si="769">S158/1000</f>
        <v>-21.935682582480393</v>
      </c>
    </row>
    <row r="159" spans="1:20" x14ac:dyDescent="0.25">
      <c r="A159" s="5">
        <v>44434</v>
      </c>
      <c r="B159">
        <v>0.100506</v>
      </c>
      <c r="C159">
        <v>0.102697</v>
      </c>
      <c r="D159">
        <v>9.1609999999999997E-2</v>
      </c>
      <c r="E159">
        <v>9.3240000000000003E-2</v>
      </c>
      <c r="F159">
        <v>45943139</v>
      </c>
      <c r="G159">
        <v>9.3240000000000003E-2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-0.70596193740416591</v>
      </c>
      <c r="Q159">
        <f t="shared" ref="Q159" si="771">F159*P159</f>
        <v>-32434107.418868892</v>
      </c>
      <c r="R159">
        <f t="shared" ref="R159" si="772">R160+Q159</f>
        <v>-2228604647.0482192</v>
      </c>
      <c r="S159">
        <f t="shared" ref="S159" si="773">R159/100000</f>
        <v>-22286.046470482193</v>
      </c>
      <c r="T159">
        <f t="shared" ref="T159" si="774">S159/1000</f>
        <v>-22.286046470482194</v>
      </c>
    </row>
    <row r="160" spans="1:20" x14ac:dyDescent="0.25">
      <c r="A160" s="5">
        <v>44433</v>
      </c>
      <c r="B160">
        <v>9.8972000000000004E-2</v>
      </c>
      <c r="C160">
        <v>0.10440000000000001</v>
      </c>
      <c r="D160">
        <v>9.5000000000000001E-2</v>
      </c>
      <c r="E160">
        <v>0.100506</v>
      </c>
      <c r="F160">
        <v>55729588</v>
      </c>
      <c r="G160">
        <v>0.100506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0.17148936170212634</v>
      </c>
      <c r="Q160">
        <f t="shared" ref="Q160" si="776">F160*P160</f>
        <v>9557031.4740424789</v>
      </c>
      <c r="R160">
        <f t="shared" ref="R160" si="777">R161+Q160</f>
        <v>-2196170539.6293502</v>
      </c>
      <c r="S160">
        <f t="shared" ref="S160" si="778">R160/100000</f>
        <v>-21961.705396293502</v>
      </c>
      <c r="T160">
        <f t="shared" ref="T160" si="779">S160/1000</f>
        <v>-21.961705396293503</v>
      </c>
    </row>
    <row r="161" spans="1:20" x14ac:dyDescent="0.25">
      <c r="A161" s="5">
        <v>44432</v>
      </c>
      <c r="B161">
        <v>0.107598</v>
      </c>
      <c r="C161">
        <v>0.1139</v>
      </c>
      <c r="D161">
        <v>9.8882999999999999E-2</v>
      </c>
      <c r="E161">
        <v>9.8900000000000002E-2</v>
      </c>
      <c r="F161">
        <v>93643913</v>
      </c>
      <c r="G161">
        <v>9.8900000000000002E-2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-0.99773589931411022</v>
      </c>
      <c r="Q161">
        <f t="shared" ref="Q161" si="781">F161*P161</f>
        <v>-93431893.752347291</v>
      </c>
      <c r="R161">
        <f t="shared" ref="R161" si="782">R162+Q161</f>
        <v>-2205727571.1033926</v>
      </c>
      <c r="S161">
        <f t="shared" ref="S161" si="783">R161/100000</f>
        <v>-22057.275711033926</v>
      </c>
      <c r="T161">
        <f t="shared" ref="T161" si="784">S161/1000</f>
        <v>-22.057275711033927</v>
      </c>
    </row>
    <row r="162" spans="1:20" x14ac:dyDescent="0.25">
      <c r="A162" s="5">
        <v>44431</v>
      </c>
      <c r="B162">
        <v>9.9928000000000003E-2</v>
      </c>
      <c r="C162">
        <v>0.1125</v>
      </c>
      <c r="D162">
        <v>9.9507999999999999E-2</v>
      </c>
      <c r="E162">
        <v>0.107651</v>
      </c>
      <c r="F162">
        <v>123573940</v>
      </c>
      <c r="G162">
        <v>0.107651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0.25354064039408791</v>
      </c>
      <c r="Q162">
        <f t="shared" ref="Q162" si="786">F162*P162</f>
        <v>31331015.883620597</v>
      </c>
      <c r="R162">
        <f t="shared" ref="R162" si="787">R163+Q162</f>
        <v>-2112295677.3510454</v>
      </c>
      <c r="S162">
        <f t="shared" ref="S162" si="788">R162/100000</f>
        <v>-21122.956773510454</v>
      </c>
      <c r="T162">
        <f t="shared" ref="T162" si="789">S162/1000</f>
        <v>-21.122956773510452</v>
      </c>
    </row>
    <row r="163" spans="1:20" x14ac:dyDescent="0.25">
      <c r="A163" s="5">
        <v>44430</v>
      </c>
      <c r="B163">
        <v>9.9675E-2</v>
      </c>
      <c r="C163">
        <v>0.10299999999999999</v>
      </c>
      <c r="D163">
        <v>9.9302000000000001E-2</v>
      </c>
      <c r="E163">
        <v>0.101572</v>
      </c>
      <c r="F163">
        <v>7536532</v>
      </c>
      <c r="G163">
        <v>0.101572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0.22769064359112956</v>
      </c>
      <c r="Q163">
        <f t="shared" ref="Q163" si="791">F163*P163</f>
        <v>1715997.8215251428</v>
      </c>
      <c r="R163">
        <f t="shared" ref="R163" si="792">R164+Q163</f>
        <v>-2143626693.2346659</v>
      </c>
      <c r="S163">
        <f t="shared" ref="S163" si="793">R163/100000</f>
        <v>-21436.266932346658</v>
      </c>
      <c r="T163">
        <f t="shared" ref="T163" si="794">S163/1000</f>
        <v>-21.436266932346658</v>
      </c>
    </row>
    <row r="164" spans="1:20" x14ac:dyDescent="0.25">
      <c r="A164" s="5">
        <v>44429</v>
      </c>
      <c r="B164">
        <v>0.1028</v>
      </c>
      <c r="C164">
        <v>0.10696600000000001</v>
      </c>
      <c r="D164">
        <v>9.8626000000000005E-2</v>
      </c>
      <c r="E164">
        <v>9.98E-2</v>
      </c>
      <c r="F164">
        <v>95094890</v>
      </c>
      <c r="G164">
        <v>9.98E-2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-0.71846522781774713</v>
      </c>
      <c r="Q164">
        <f t="shared" ref="Q164" si="796">F164*P164</f>
        <v>-68322371.8081536</v>
      </c>
      <c r="R164">
        <f t="shared" ref="R164" si="797">R165+Q164</f>
        <v>-2145342691.056191</v>
      </c>
      <c r="S164">
        <f t="shared" ref="S164" si="798">R164/100000</f>
        <v>-21453.42691056191</v>
      </c>
      <c r="T164">
        <f t="shared" ref="T164" si="799">S164/1000</f>
        <v>-21.453426910561909</v>
      </c>
    </row>
    <row r="165" spans="1:20" x14ac:dyDescent="0.25">
      <c r="A165" s="5">
        <v>44428</v>
      </c>
      <c r="B165">
        <v>0.107209</v>
      </c>
      <c r="C165">
        <v>0.109706</v>
      </c>
      <c r="D165">
        <v>9.9436999999999998E-2</v>
      </c>
      <c r="E165">
        <v>0.102885</v>
      </c>
      <c r="F165">
        <v>281911630</v>
      </c>
      <c r="G165">
        <v>0.102885</v>
      </c>
      <c r="L165" t="s">
        <v>7</v>
      </c>
      <c r="M165" t="s">
        <v>8</v>
      </c>
      <c r="N165" t="s">
        <v>8</v>
      </c>
      <c r="P165">
        <f t="shared" ref="P165" si="800">IF(C165=D165,0,((E165-D165)-(C165-E165))/(C165-D165))</f>
        <v>-0.3284643100594008</v>
      </c>
      <c r="Q165">
        <f t="shared" ref="Q165" si="801">F165*P165</f>
        <v>-92597909.045671076</v>
      </c>
      <c r="R165">
        <f t="shared" ref="R165" si="802">R166+Q165</f>
        <v>-2077020319.2480373</v>
      </c>
      <c r="S165">
        <f t="shared" ref="S165" si="803">R165/100000</f>
        <v>-20770.203192480374</v>
      </c>
      <c r="T165">
        <f t="shared" ref="T165" si="804">S165/1000</f>
        <v>-20.770203192480373</v>
      </c>
    </row>
    <row r="166" spans="1:20" x14ac:dyDescent="0.25">
      <c r="A166" s="5">
        <v>44427</v>
      </c>
      <c r="B166">
        <v>8.3599999999999994E-2</v>
      </c>
      <c r="C166">
        <v>0.116435</v>
      </c>
      <c r="D166">
        <v>8.2014000000000004E-2</v>
      </c>
      <c r="E166">
        <v>0.107215</v>
      </c>
      <c r="F166">
        <v>736244021</v>
      </c>
      <c r="G166">
        <v>0.107215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0.46428052642282364</v>
      </c>
      <c r="Q166">
        <f t="shared" ref="Q166" si="806">F166*P166</f>
        <v>341823761.64553642</v>
      </c>
      <c r="R166">
        <f t="shared" ref="R166" si="807">R167+Q166</f>
        <v>-1984422410.2023664</v>
      </c>
      <c r="S166">
        <f t="shared" ref="S166" si="808">R166/100000</f>
        <v>-19844.224102023665</v>
      </c>
      <c r="T166">
        <f t="shared" ref="T166" si="809">S166/1000</f>
        <v>-19.844224102023666</v>
      </c>
    </row>
    <row r="167" spans="1:20" x14ac:dyDescent="0.25">
      <c r="A167" s="5">
        <v>44426</v>
      </c>
      <c r="B167">
        <v>8.3517999999999995E-2</v>
      </c>
      <c r="C167">
        <v>8.7315000000000004E-2</v>
      </c>
      <c r="D167">
        <v>7.9923999999999995E-2</v>
      </c>
      <c r="E167">
        <v>8.3783999999999997E-2</v>
      </c>
      <c r="F167">
        <v>30032473</v>
      </c>
      <c r="G167">
        <v>8.3783999999999997E-2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4.4513597618724879E-2</v>
      </c>
      <c r="Q167">
        <f t="shared" ref="Q167" si="811">F167*P167</f>
        <v>1336853.4186172192</v>
      </c>
      <c r="R167">
        <f t="shared" ref="R167" si="812">R168+Q167</f>
        <v>-2326246171.8479028</v>
      </c>
      <c r="S167">
        <f t="shared" ref="S167" si="813">R167/100000</f>
        <v>-23262.46171847903</v>
      </c>
      <c r="T167">
        <f t="shared" ref="T167" si="814">S167/1000</f>
        <v>-23.262461718479031</v>
      </c>
    </row>
    <row r="168" spans="1:20" x14ac:dyDescent="0.25">
      <c r="A168" s="5">
        <v>44425</v>
      </c>
      <c r="B168">
        <v>8.9861999999999997E-2</v>
      </c>
      <c r="C168">
        <v>9.5122999999999999E-2</v>
      </c>
      <c r="D168">
        <v>8.2666000000000003E-2</v>
      </c>
      <c r="E168">
        <v>8.3415000000000003E-2</v>
      </c>
      <c r="F168">
        <v>70001888</v>
      </c>
      <c r="G168">
        <v>8.3415000000000003E-2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-0.87974632736613956</v>
      </c>
      <c r="Q168">
        <f t="shared" ref="Q168" si="816">F168*P168</f>
        <v>-61583903.876695834</v>
      </c>
      <c r="R168">
        <f t="shared" ref="R168" si="817">R169+Q168</f>
        <v>-2327583025.26652</v>
      </c>
      <c r="S168">
        <f t="shared" ref="S168" si="818">R168/100000</f>
        <v>-23275.830252665201</v>
      </c>
      <c r="T168">
        <f t="shared" ref="T168" si="819">S168/1000</f>
        <v>-23.275830252665202</v>
      </c>
    </row>
    <row r="169" spans="1:20" x14ac:dyDescent="0.25">
      <c r="A169" s="5">
        <v>44424</v>
      </c>
      <c r="B169">
        <v>9.0867000000000003E-2</v>
      </c>
      <c r="C169">
        <v>9.3900999999999998E-2</v>
      </c>
      <c r="D169">
        <v>8.6881E-2</v>
      </c>
      <c r="E169">
        <v>8.9598999999999998E-2</v>
      </c>
      <c r="F169">
        <v>69085400</v>
      </c>
      <c r="G169">
        <v>8.9598999999999998E-2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-0.22564102564102598</v>
      </c>
      <c r="Q169">
        <f t="shared" ref="Q169" si="821">F169*P169</f>
        <v>-15588500.512820536</v>
      </c>
      <c r="R169">
        <f t="shared" ref="R169" si="822">R170+Q169</f>
        <v>-2265999121.3898244</v>
      </c>
      <c r="S169">
        <f t="shared" ref="S169" si="823">R169/100000</f>
        <v>-22659.991213898244</v>
      </c>
      <c r="T169">
        <f t="shared" ref="T169" si="824">S169/1000</f>
        <v>-22.659991213898245</v>
      </c>
    </row>
    <row r="170" spans="1:20" x14ac:dyDescent="0.25">
      <c r="A170" s="5">
        <v>44423</v>
      </c>
      <c r="B170">
        <v>8.7570999999999996E-2</v>
      </c>
      <c r="C170">
        <v>9.4549999999999995E-2</v>
      </c>
      <c r="D170">
        <v>8.4000000000000005E-2</v>
      </c>
      <c r="E170">
        <v>9.0867000000000003E-2</v>
      </c>
      <c r="F170">
        <v>59631803</v>
      </c>
      <c r="G170">
        <v>9.0867000000000003E-2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0.30180094786729944</v>
      </c>
      <c r="Q170">
        <f t="shared" ref="Q170" si="826">F170*P170</f>
        <v>17996934.668436069</v>
      </c>
      <c r="R170">
        <f t="shared" ref="R170" si="827">R171+Q170</f>
        <v>-2250410620.8770037</v>
      </c>
      <c r="S170">
        <f t="shared" ref="S170" si="828">R170/100000</f>
        <v>-22504.106208770037</v>
      </c>
      <c r="T170">
        <f t="shared" ref="T170" si="829">S170/1000</f>
        <v>-22.504106208770036</v>
      </c>
    </row>
    <row r="171" spans="1:20" x14ac:dyDescent="0.25">
      <c r="A171" s="5">
        <v>44422</v>
      </c>
      <c r="B171">
        <v>8.7388999999999994E-2</v>
      </c>
      <c r="C171">
        <v>9.0338000000000002E-2</v>
      </c>
      <c r="D171">
        <v>8.3756999999999998E-2</v>
      </c>
      <c r="E171">
        <v>8.7370000000000003E-2</v>
      </c>
      <c r="F171">
        <v>47234966</v>
      </c>
      <c r="G171">
        <v>8.7370000000000003E-2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9.8009421060630042E-2</v>
      </c>
      <c r="Q171">
        <f t="shared" ref="Q171" si="831">F171*P171</f>
        <v>4629471.6714785444</v>
      </c>
      <c r="R171">
        <f t="shared" ref="R171" si="832">R172+Q171</f>
        <v>-2268407555.5454397</v>
      </c>
      <c r="S171">
        <f t="shared" ref="S171" si="833">R171/100000</f>
        <v>-22684.075555454398</v>
      </c>
      <c r="T171">
        <f t="shared" ref="T171" si="834">S171/1000</f>
        <v>-22.684075555454399</v>
      </c>
    </row>
    <row r="172" spans="1:20" x14ac:dyDescent="0.25">
      <c r="A172" s="5">
        <v>44421</v>
      </c>
      <c r="B172">
        <v>8.4006999999999998E-2</v>
      </c>
      <c r="C172">
        <v>9.3799999999999994E-2</v>
      </c>
      <c r="D172">
        <v>8.2952999999999999E-2</v>
      </c>
      <c r="E172">
        <v>8.7769E-2</v>
      </c>
      <c r="F172">
        <v>73353144</v>
      </c>
      <c r="G172">
        <v>8.7769E-2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-0.11201253802894758</v>
      </c>
      <c r="Q172">
        <f t="shared" ref="Q172" si="836">F172*P172</f>
        <v>-8216471.8318428677</v>
      </c>
      <c r="R172">
        <f t="shared" ref="R172" si="837">R173+Q172</f>
        <v>-2273037027.2169185</v>
      </c>
      <c r="S172">
        <f t="shared" ref="S172" si="838">R172/100000</f>
        <v>-22730.370272169184</v>
      </c>
      <c r="T172">
        <f t="shared" ref="T172" si="839">S172/1000</f>
        <v>-22.730370272169186</v>
      </c>
    </row>
    <row r="173" spans="1:20" x14ac:dyDescent="0.25">
      <c r="A173" s="5">
        <v>44420</v>
      </c>
      <c r="B173">
        <v>8.9895000000000003E-2</v>
      </c>
      <c r="C173">
        <v>9.5000000000000001E-2</v>
      </c>
      <c r="D173">
        <v>7.8979999999999995E-2</v>
      </c>
      <c r="E173">
        <v>8.4020999999999998E-2</v>
      </c>
      <c r="F173">
        <v>155495583</v>
      </c>
      <c r="G173">
        <v>8.4020999999999998E-2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-0.3706616729088637</v>
      </c>
      <c r="Q173">
        <f t="shared" ref="Q173" si="841">F173*P173</f>
        <v>-57636252.924719065</v>
      </c>
      <c r="R173">
        <f t="shared" ref="R173" si="842">R174+Q173</f>
        <v>-2264820555.3850756</v>
      </c>
      <c r="S173">
        <f t="shared" ref="S173" si="843">R173/100000</f>
        <v>-22648.205553850756</v>
      </c>
      <c r="T173">
        <f t="shared" ref="T173" si="844">S173/1000</f>
        <v>-22.648205553850755</v>
      </c>
    </row>
    <row r="174" spans="1:20" x14ac:dyDescent="0.25">
      <c r="A174" s="5">
        <v>44419</v>
      </c>
      <c r="B174">
        <v>7.6383999999999994E-2</v>
      </c>
      <c r="C174">
        <v>9.8238000000000006E-2</v>
      </c>
      <c r="D174">
        <v>7.5850000000000001E-2</v>
      </c>
      <c r="E174">
        <v>8.9895000000000003E-2</v>
      </c>
      <c r="F174">
        <v>241399084</v>
      </c>
      <c r="G174">
        <v>8.9895000000000003E-2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0.25469001250669993</v>
      </c>
      <c r="Q174">
        <f t="shared" ref="Q174" si="846">F174*P174</f>
        <v>61481935.723065905</v>
      </c>
      <c r="R174">
        <f t="shared" ref="R174" si="847">R175+Q174</f>
        <v>-2207184302.4603567</v>
      </c>
      <c r="S174">
        <f t="shared" ref="S174" si="848">R174/100000</f>
        <v>-22071.843024603568</v>
      </c>
      <c r="T174">
        <f t="shared" ref="T174" si="849">S174/1000</f>
        <v>-22.071843024603567</v>
      </c>
    </row>
    <row r="175" spans="1:20" x14ac:dyDescent="0.25">
      <c r="A175" s="5">
        <v>44418</v>
      </c>
      <c r="B175">
        <v>7.5658000000000003E-2</v>
      </c>
      <c r="C175">
        <v>7.6999999999999999E-2</v>
      </c>
      <c r="D175">
        <v>7.3485999999999996E-2</v>
      </c>
      <c r="E175">
        <v>7.6407000000000003E-2</v>
      </c>
      <c r="F175">
        <v>35599400</v>
      </c>
      <c r="G175">
        <v>7.6407000000000003E-2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0.66249288560045771</v>
      </c>
      <c r="Q175">
        <f t="shared" ref="Q175" si="851">F175*P175</f>
        <v>23584349.231644936</v>
      </c>
      <c r="R175">
        <f t="shared" ref="R175" si="852">R176+Q175</f>
        <v>-2268666238.1834226</v>
      </c>
      <c r="S175">
        <f t="shared" ref="S175" si="853">R175/100000</f>
        <v>-22686.662381834227</v>
      </c>
      <c r="T175">
        <f t="shared" ref="T175" si="854">S175/1000</f>
        <v>-22.686662381834228</v>
      </c>
    </row>
    <row r="176" spans="1:20" x14ac:dyDescent="0.25">
      <c r="A176" s="5">
        <v>44417</v>
      </c>
      <c r="B176">
        <v>7.2706999999999994E-2</v>
      </c>
      <c r="C176">
        <v>7.7329999999999996E-2</v>
      </c>
      <c r="D176">
        <v>6.9491999999999998E-2</v>
      </c>
      <c r="E176">
        <v>7.578E-2</v>
      </c>
      <c r="F176">
        <v>44458593</v>
      </c>
      <c r="G176">
        <v>7.578E-2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0.60449094156672711</v>
      </c>
      <c r="Q176">
        <f t="shared" ref="Q176" si="856">F176*P176</f>
        <v>26874816.743301902</v>
      </c>
      <c r="R176">
        <f t="shared" ref="R176" si="857">R177+Q176</f>
        <v>-2292250587.4150677</v>
      </c>
      <c r="S176">
        <f t="shared" ref="S176" si="858">R176/100000</f>
        <v>-22922.505874150676</v>
      </c>
      <c r="T176">
        <f t="shared" ref="T176" si="859">S176/1000</f>
        <v>-22.922505874150676</v>
      </c>
    </row>
    <row r="177" spans="1:20" x14ac:dyDescent="0.25">
      <c r="A177" s="5">
        <v>44416</v>
      </c>
      <c r="B177">
        <v>7.6110999999999998E-2</v>
      </c>
      <c r="C177">
        <v>7.6948000000000003E-2</v>
      </c>
      <c r="D177">
        <v>7.2147000000000003E-2</v>
      </c>
      <c r="E177">
        <v>7.2499999999999995E-2</v>
      </c>
      <c r="F177">
        <v>55242417</v>
      </c>
      <c r="G177">
        <v>7.2499999999999995E-2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-0.85294730264528551</v>
      </c>
      <c r="Q177">
        <f t="shared" ref="Q177" si="861">F177*P177</f>
        <v>-47118870.571756065</v>
      </c>
      <c r="R177">
        <f t="shared" ref="R177" si="862">R178+Q177</f>
        <v>-2319125404.1583695</v>
      </c>
      <c r="S177">
        <f t="shared" ref="S177" si="863">R177/100000</f>
        <v>-23191.254041583696</v>
      </c>
      <c r="T177">
        <f t="shared" ref="T177" si="864">S177/1000</f>
        <v>-23.191254041583697</v>
      </c>
    </row>
    <row r="178" spans="1:20" x14ac:dyDescent="0.25">
      <c r="A178" s="5">
        <v>44415</v>
      </c>
      <c r="B178">
        <v>7.6517000000000002E-2</v>
      </c>
      <c r="C178">
        <v>7.8389E-2</v>
      </c>
      <c r="D178">
        <v>7.2221999999999995E-2</v>
      </c>
      <c r="E178">
        <v>7.6123999999999997E-2</v>
      </c>
      <c r="F178">
        <v>71494126</v>
      </c>
      <c r="G178">
        <v>7.6123999999999997E-2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0.26544511107507668</v>
      </c>
      <c r="Q178">
        <f t="shared" ref="Q178" si="866">F178*P178</f>
        <v>18977766.217285529</v>
      </c>
      <c r="R178">
        <f t="shared" ref="R178" si="867">R179+Q178</f>
        <v>-2272006533.5866137</v>
      </c>
      <c r="S178">
        <f t="shared" ref="S178" si="868">R178/100000</f>
        <v>-22720.065335866137</v>
      </c>
      <c r="T178">
        <f t="shared" ref="T178" si="869">S178/1000</f>
        <v>-22.720065335866135</v>
      </c>
    </row>
    <row r="179" spans="1:20" x14ac:dyDescent="0.25">
      <c r="A179" s="5">
        <v>44414</v>
      </c>
      <c r="B179">
        <v>6.8625000000000005E-2</v>
      </c>
      <c r="C179">
        <v>8.5000000000000006E-2</v>
      </c>
      <c r="D179">
        <v>6.794E-2</v>
      </c>
      <c r="E179">
        <v>7.6515E-2</v>
      </c>
      <c r="F179">
        <v>200127321</v>
      </c>
      <c r="G179">
        <v>7.6515E-2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5.2754982415001662E-3</v>
      </c>
      <c r="Q179">
        <f t="shared" ref="Q179" si="871">F179*P179</f>
        <v>1055771.3300116393</v>
      </c>
      <c r="R179">
        <f t="shared" ref="R179" si="872">R180+Q179</f>
        <v>-2290984299.8038993</v>
      </c>
      <c r="S179">
        <f t="shared" ref="S179" si="873">R179/100000</f>
        <v>-22909.842998038992</v>
      </c>
      <c r="T179">
        <f t="shared" ref="T179" si="874">S179/1000</f>
        <v>-22.909842998038993</v>
      </c>
    </row>
    <row r="180" spans="1:20" x14ac:dyDescent="0.25">
      <c r="A180" s="5">
        <v>44413</v>
      </c>
      <c r="B180">
        <v>6.5034999999999996E-2</v>
      </c>
      <c r="C180">
        <v>7.0999999999999994E-2</v>
      </c>
      <c r="D180">
        <v>6.4501000000000003E-2</v>
      </c>
      <c r="E180">
        <v>6.8748000000000004E-2</v>
      </c>
      <c r="F180">
        <v>64203481</v>
      </c>
      <c r="G180">
        <v>6.8748000000000004E-2</v>
      </c>
      <c r="L180" t="s">
        <v>8</v>
      </c>
      <c r="M180" t="s">
        <v>8</v>
      </c>
      <c r="N180" t="s">
        <v>7</v>
      </c>
      <c r="P180">
        <f t="shared" ref="P180" si="875">IF(C180=D180,0,((E180-D180)-(C180-E180))/(C180-D180))</f>
        <v>0.30697030312355955</v>
      </c>
      <c r="Q180">
        <f t="shared" ref="Q180" si="876">F180*P180</f>
        <v>19708562.024157695</v>
      </c>
      <c r="R180">
        <f t="shared" ref="R180" si="877">R181+Q180</f>
        <v>-2292040071.1339111</v>
      </c>
      <c r="S180">
        <f t="shared" ref="S180" si="878">R180/100000</f>
        <v>-22920.400711339113</v>
      </c>
      <c r="T180">
        <f t="shared" ref="T180" si="879">S180/1000</f>
        <v>-22.920400711339113</v>
      </c>
    </row>
    <row r="181" spans="1:20" x14ac:dyDescent="0.25">
      <c r="A181" s="5">
        <v>44412</v>
      </c>
      <c r="B181">
        <v>6.2418000000000001E-2</v>
      </c>
      <c r="C181">
        <v>6.6666000000000003E-2</v>
      </c>
      <c r="D181">
        <v>6.2184000000000003E-2</v>
      </c>
      <c r="E181">
        <v>6.4899999999999999E-2</v>
      </c>
      <c r="F181">
        <v>27861877</v>
      </c>
      <c r="G181">
        <v>6.4899999999999999E-2</v>
      </c>
      <c r="L181" t="s">
        <v>8</v>
      </c>
      <c r="M181" t="s">
        <v>8</v>
      </c>
      <c r="N181" t="s">
        <v>7</v>
      </c>
      <c r="P181">
        <f t="shared" ref="P181" si="880">IF(C181=D181,0,((E181-D181)-(C181-E181))/(C181-D181))</f>
        <v>0.21195894689870426</v>
      </c>
      <c r="Q181">
        <f t="shared" ref="Q181" si="881">F181*P181</f>
        <v>5905574.1075412296</v>
      </c>
      <c r="R181">
        <f t="shared" ref="R181" si="882">R182+Q181</f>
        <v>-2311748633.1580687</v>
      </c>
      <c r="S181">
        <f t="shared" ref="S181" si="883">R181/100000</f>
        <v>-23117.486331580687</v>
      </c>
      <c r="T181">
        <f t="shared" ref="T181" si="884">S181/1000</f>
        <v>-23.117486331580686</v>
      </c>
    </row>
    <row r="182" spans="1:20" x14ac:dyDescent="0.25">
      <c r="A182" s="5">
        <v>44411</v>
      </c>
      <c r="B182">
        <v>6.4666000000000001E-2</v>
      </c>
      <c r="C182">
        <v>6.6087999999999994E-2</v>
      </c>
      <c r="D182">
        <v>6.1030000000000001E-2</v>
      </c>
      <c r="E182">
        <v>6.2299E-2</v>
      </c>
      <c r="F182">
        <v>25328413</v>
      </c>
      <c r="G182">
        <v>6.2299E-2</v>
      </c>
      <c r="L182" t="s">
        <v>7</v>
      </c>
      <c r="M182" t="s">
        <v>8</v>
      </c>
      <c r="N182" t="s">
        <v>7</v>
      </c>
      <c r="P182">
        <f t="shared" ref="P182" si="885">IF(C182=D182,0,((E182-D182)-(C182-E182))/(C182-D182))</f>
        <v>-0.49822064056939463</v>
      </c>
      <c r="Q182">
        <f t="shared" ref="Q182" si="886">F182*P182</f>
        <v>-12619138.149466183</v>
      </c>
      <c r="R182">
        <f t="shared" ref="R182" si="887">R183+Q182</f>
        <v>-2317654207.2656097</v>
      </c>
      <c r="S182">
        <f t="shared" ref="S182" si="888">R182/100000</f>
        <v>-23176.542072656099</v>
      </c>
      <c r="T182">
        <f t="shared" ref="T182" si="889">S182/1000</f>
        <v>-23.176542072656098</v>
      </c>
    </row>
    <row r="183" spans="1:20" x14ac:dyDescent="0.25">
      <c r="A183" s="5">
        <v>44410</v>
      </c>
      <c r="B183">
        <v>6.4273999999999998E-2</v>
      </c>
      <c r="C183">
        <v>6.5339999999999995E-2</v>
      </c>
      <c r="D183">
        <v>6.3267000000000004E-2</v>
      </c>
      <c r="E183">
        <v>6.4702999999999997E-2</v>
      </c>
      <c r="F183">
        <v>19065157</v>
      </c>
      <c r="G183">
        <v>6.4702999999999997E-2</v>
      </c>
      <c r="L183" t="s">
        <v>7</v>
      </c>
      <c r="M183" t="s">
        <v>8</v>
      </c>
      <c r="N183" t="s">
        <v>7</v>
      </c>
      <c r="P183">
        <f t="shared" ref="P183" si="890">IF(C183=D183,0,((E183-D183)-(C183-E183))/(C183-D183))</f>
        <v>0.3854317414375289</v>
      </c>
      <c r="Q183">
        <f t="shared" ref="Q183" si="891">F183*P183</f>
        <v>7348316.6632898943</v>
      </c>
      <c r="R183">
        <f t="shared" ref="R183" si="892">R184+Q183</f>
        <v>-2305035069.1161437</v>
      </c>
      <c r="S183">
        <f t="shared" ref="S183" si="893">R183/100000</f>
        <v>-23050.350691161439</v>
      </c>
      <c r="T183">
        <f t="shared" ref="T183" si="894">S183/1000</f>
        <v>-23.050350691161437</v>
      </c>
    </row>
    <row r="184" spans="1:20" x14ac:dyDescent="0.25">
      <c r="A184" s="5">
        <v>44409</v>
      </c>
      <c r="B184">
        <v>6.5902000000000002E-2</v>
      </c>
      <c r="C184">
        <v>6.88E-2</v>
      </c>
      <c r="D184">
        <v>6.3824000000000006E-2</v>
      </c>
      <c r="E184">
        <v>6.4443E-2</v>
      </c>
      <c r="F184">
        <v>35885113</v>
      </c>
      <c r="G184">
        <v>6.4443E-2</v>
      </c>
      <c r="L184" t="s">
        <v>8</v>
      </c>
      <c r="M184" t="s">
        <v>8</v>
      </c>
      <c r="N184" t="s">
        <v>7</v>
      </c>
      <c r="P184">
        <f t="shared" ref="P184" si="895">IF(C184=D184,0,((E184-D184)-(C184-E184))/(C184-D184))</f>
        <v>-0.75120578778135239</v>
      </c>
      <c r="Q184">
        <f t="shared" ref="Q184" si="896">F184*P184</f>
        <v>-26957104.580787849</v>
      </c>
      <c r="R184">
        <f t="shared" ref="R184" si="897">R185+Q184</f>
        <v>-2312383385.7794337</v>
      </c>
      <c r="S184">
        <f t="shared" ref="S184" si="898">R184/100000</f>
        <v>-23123.833857794336</v>
      </c>
      <c r="T184">
        <f t="shared" ref="T184" si="899">S184/1000</f>
        <v>-23.123833857794335</v>
      </c>
    </row>
    <row r="185" spans="1:20" x14ac:dyDescent="0.25">
      <c r="A185" s="5">
        <v>44408</v>
      </c>
      <c r="B185">
        <v>6.5570000000000003E-2</v>
      </c>
      <c r="C185">
        <v>6.6611000000000004E-2</v>
      </c>
      <c r="D185">
        <v>6.4554E-2</v>
      </c>
      <c r="E185">
        <v>6.5796999999999994E-2</v>
      </c>
      <c r="F185">
        <v>25691854</v>
      </c>
      <c r="G185">
        <v>6.5796999999999994E-2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0.20855614973261266</v>
      </c>
      <c r="Q185">
        <f t="shared" ref="Q185" si="901">F185*P185</f>
        <v>5358194.1497324239</v>
      </c>
      <c r="R185">
        <f t="shared" ref="R185" si="902">R186+Q185</f>
        <v>-2285426281.1986461</v>
      </c>
      <c r="S185">
        <f t="shared" ref="S185" si="903">R185/100000</f>
        <v>-22854.26281198646</v>
      </c>
      <c r="T185">
        <f t="shared" ref="T185" si="904">S185/1000</f>
        <v>-22.854262811986459</v>
      </c>
    </row>
    <row r="186" spans="1:20" x14ac:dyDescent="0.25">
      <c r="A186" s="5">
        <v>44407</v>
      </c>
      <c r="B186">
        <v>6.5765000000000004E-2</v>
      </c>
      <c r="C186">
        <v>6.7100000000000007E-2</v>
      </c>
      <c r="D186">
        <v>6.2207999999999999E-2</v>
      </c>
      <c r="E186">
        <v>6.5590999999999997E-2</v>
      </c>
      <c r="F186">
        <v>35421686</v>
      </c>
      <c r="G186">
        <v>6.5590999999999997E-2</v>
      </c>
      <c r="L186" t="s">
        <v>7</v>
      </c>
      <c r="M186" t="s">
        <v>8</v>
      </c>
      <c r="N186" t="s">
        <v>7</v>
      </c>
      <c r="P186">
        <f t="shared" ref="P186" si="905">IF(C186=D186,0,((E186-D186)-(C186-E186))/(C186-D186))</f>
        <v>0.3830744071954178</v>
      </c>
      <c r="Q186">
        <f t="shared" ref="Q186" si="906">F186*P186</f>
        <v>13569141.36631223</v>
      </c>
      <c r="R186">
        <f t="shared" ref="R186" si="907">R187+Q186</f>
        <v>-2290784475.3483787</v>
      </c>
      <c r="S186">
        <f t="shared" ref="S186" si="908">R186/100000</f>
        <v>-22907.844753483787</v>
      </c>
      <c r="T186">
        <f t="shared" ref="T186" si="909">S186/1000</f>
        <v>-22.907844753483786</v>
      </c>
    </row>
    <row r="187" spans="1:20" x14ac:dyDescent="0.25">
      <c r="A187" s="5">
        <v>44406</v>
      </c>
      <c r="B187">
        <v>6.4901E-2</v>
      </c>
      <c r="C187">
        <v>6.9699999999999998E-2</v>
      </c>
      <c r="D187">
        <v>6.3214000000000006E-2</v>
      </c>
      <c r="E187">
        <v>6.5606999999999999E-2</v>
      </c>
      <c r="F187">
        <v>52941130</v>
      </c>
      <c r="G187">
        <v>6.5606999999999999E-2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-0.2621029910576641</v>
      </c>
      <c r="Q187">
        <f t="shared" ref="Q187" si="911">F187*P187</f>
        <v>-13876028.522972632</v>
      </c>
      <c r="R187">
        <f t="shared" ref="R187" si="912">R188+Q187</f>
        <v>-2304353616.7146907</v>
      </c>
      <c r="S187">
        <f t="shared" ref="S187" si="913">R187/100000</f>
        <v>-23043.536167146907</v>
      </c>
      <c r="T187">
        <f t="shared" ref="T187" si="914">S187/1000</f>
        <v>-23.043536167146907</v>
      </c>
    </row>
    <row r="188" spans="1:20" x14ac:dyDescent="0.25">
      <c r="A188" s="5">
        <v>44405</v>
      </c>
      <c r="B188">
        <v>6.5568000000000001E-2</v>
      </c>
      <c r="C188">
        <v>6.6026000000000001E-2</v>
      </c>
      <c r="D188">
        <v>6.2087999999999997E-2</v>
      </c>
      <c r="E188">
        <v>6.4734E-2</v>
      </c>
      <c r="F188">
        <v>28087423</v>
      </c>
      <c r="G188">
        <v>6.4734E-2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0.34382935500253925</v>
      </c>
      <c r="Q188">
        <f t="shared" ref="Q188" si="916">F188*P188</f>
        <v>9657280.5337734856</v>
      </c>
      <c r="R188">
        <f t="shared" ref="R188" si="917">R189+Q188</f>
        <v>-2290477588.1917181</v>
      </c>
      <c r="S188">
        <f t="shared" ref="S188" si="918">R188/100000</f>
        <v>-22904.77588191718</v>
      </c>
      <c r="T188">
        <f t="shared" ref="T188" si="919">S188/1000</f>
        <v>-22.904775881917178</v>
      </c>
    </row>
    <row r="189" spans="1:20" x14ac:dyDescent="0.25">
      <c r="A189" s="5">
        <v>44404</v>
      </c>
      <c r="B189">
        <v>6.4487000000000003E-2</v>
      </c>
      <c r="C189">
        <v>6.7000000000000004E-2</v>
      </c>
      <c r="D189">
        <v>6.1150000000000003E-2</v>
      </c>
      <c r="E189">
        <v>6.5710000000000005E-2</v>
      </c>
      <c r="F189">
        <v>38374129</v>
      </c>
      <c r="G189">
        <v>6.5710000000000005E-2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0.55897435897435921</v>
      </c>
      <c r="Q189">
        <f t="shared" ref="Q189" si="921">F189*P189</f>
        <v>21450154.158974368</v>
      </c>
      <c r="R189">
        <f t="shared" ref="R189" si="922">R190+Q189</f>
        <v>-2300134868.7254915</v>
      </c>
      <c r="S189">
        <f t="shared" ref="S189" si="923">R189/100000</f>
        <v>-23001.348687254915</v>
      </c>
      <c r="T189">
        <f t="shared" ref="T189" si="924">S189/1000</f>
        <v>-23.001348687254914</v>
      </c>
    </row>
    <row r="190" spans="1:20" x14ac:dyDescent="0.25">
      <c r="A190" s="5">
        <v>44403</v>
      </c>
      <c r="B190">
        <v>6.4791000000000001E-2</v>
      </c>
      <c r="C190">
        <v>6.9800000000000001E-2</v>
      </c>
      <c r="D190">
        <v>6.3265000000000002E-2</v>
      </c>
      <c r="E190">
        <v>6.4475000000000005E-2</v>
      </c>
      <c r="F190">
        <v>62549066</v>
      </c>
      <c r="G190">
        <v>6.4475000000000005E-2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-0.62968630451415364</v>
      </c>
      <c r="Q190">
        <f t="shared" ref="Q190" si="926">F190*P190</f>
        <v>-39386290.220351897</v>
      </c>
      <c r="R190">
        <f t="shared" ref="R190" si="927">R191+Q190</f>
        <v>-2321585022.8844657</v>
      </c>
      <c r="S190">
        <f t="shared" ref="S190" si="928">R190/100000</f>
        <v>-23215.850228844658</v>
      </c>
      <c r="T190">
        <f t="shared" ref="T190" si="929">S190/1000</f>
        <v>-23.215850228844658</v>
      </c>
    </row>
    <row r="191" spans="1:20" x14ac:dyDescent="0.25">
      <c r="A191" s="5">
        <v>44402</v>
      </c>
      <c r="B191">
        <v>6.3285999999999995E-2</v>
      </c>
      <c r="C191">
        <v>6.5500000000000003E-2</v>
      </c>
      <c r="D191">
        <v>6.1351000000000003E-2</v>
      </c>
      <c r="E191">
        <v>6.4799999999999996E-2</v>
      </c>
      <c r="F191">
        <v>35253473</v>
      </c>
      <c r="G191">
        <v>6.4799999999999996E-2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0.66256929380573337</v>
      </c>
      <c r="Q191">
        <f t="shared" ref="Q191" si="931">F191*P191</f>
        <v>23357868.70980949</v>
      </c>
      <c r="R191">
        <f t="shared" ref="R191" si="932">R192+Q191</f>
        <v>-2282198732.664114</v>
      </c>
      <c r="S191">
        <f t="shared" ref="S191" si="933">R191/100000</f>
        <v>-22821.987326641141</v>
      </c>
      <c r="T191">
        <f t="shared" ref="T191:T197" si="934">S191/1000</f>
        <v>-22.821987326641143</v>
      </c>
    </row>
    <row r="192" spans="1:20" x14ac:dyDescent="0.25">
      <c r="A192" s="5">
        <v>44401</v>
      </c>
      <c r="B192">
        <v>6.3658000000000006E-2</v>
      </c>
      <c r="C192">
        <v>6.5699999999999995E-2</v>
      </c>
      <c r="D192">
        <v>6.1886999999999998E-2</v>
      </c>
      <c r="E192">
        <v>6.3317999999999999E-2</v>
      </c>
      <c r="F192">
        <v>33784557</v>
      </c>
      <c r="G192">
        <v>6.3317999999999999E-2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-0.24940991345397176</v>
      </c>
      <c r="Q192">
        <f t="shared" ref="Q192" si="936">F192*P192</f>
        <v>-8426203.4374507759</v>
      </c>
      <c r="R192">
        <f t="shared" ref="R192" si="937">R193+Q192</f>
        <v>-2305556601.3739233</v>
      </c>
      <c r="S192">
        <f t="shared" ref="S192" si="938">R192/100000</f>
        <v>-23055.566013739233</v>
      </c>
      <c r="T192">
        <f t="shared" si="934"/>
        <v>-23.055566013739234</v>
      </c>
    </row>
    <row r="193" spans="1:20" x14ac:dyDescent="0.25">
      <c r="A193" s="5">
        <v>44400</v>
      </c>
      <c r="B193">
        <v>6.2015000000000001E-2</v>
      </c>
      <c r="C193">
        <v>6.4059000000000005E-2</v>
      </c>
      <c r="D193">
        <v>5.9429000000000003E-2</v>
      </c>
      <c r="E193">
        <v>6.3653000000000001E-2</v>
      </c>
      <c r="F193">
        <v>24698048</v>
      </c>
      <c r="G193">
        <v>6.3653000000000001E-2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0.82462203023757952</v>
      </c>
      <c r="Q193">
        <f t="shared" ref="Q193" si="940">F193*P193</f>
        <v>20366554.484665189</v>
      </c>
      <c r="R193">
        <f t="shared" ref="R193" si="941">R194+Q193</f>
        <v>-2297130397.9364724</v>
      </c>
      <c r="S193">
        <f t="shared" ref="S193" si="942">R193/100000</f>
        <v>-22971.303979364726</v>
      </c>
      <c r="T193">
        <f t="shared" si="934"/>
        <v>-22.971303979364727</v>
      </c>
    </row>
    <row r="194" spans="1:20" x14ac:dyDescent="0.25">
      <c r="A194" s="5">
        <v>44399</v>
      </c>
      <c r="B194">
        <v>6.2328000000000001E-2</v>
      </c>
      <c r="C194">
        <v>6.3275999999999999E-2</v>
      </c>
      <c r="D194">
        <v>6.0600000000000001E-2</v>
      </c>
      <c r="E194">
        <v>6.1996000000000002E-2</v>
      </c>
      <c r="F194">
        <v>26518257</v>
      </c>
      <c r="G194">
        <v>6.1996000000000002E-2</v>
      </c>
      <c r="L194" t="s">
        <v>7</v>
      </c>
      <c r="M194" t="s">
        <v>8</v>
      </c>
      <c r="N194" t="s">
        <v>7</v>
      </c>
      <c r="P194">
        <f t="shared" ref="P194" si="943">IF(C194=D194,0,((E194-D194)-(C194-E194))/(C194-D194))</f>
        <v>4.3348281016444348E-2</v>
      </c>
      <c r="Q194">
        <f t="shared" ref="Q194" si="944">F194*P194</f>
        <v>1149520.8565022924</v>
      </c>
      <c r="R194">
        <f t="shared" ref="R194" si="945">R195+Q194</f>
        <v>-2317496952.4211378</v>
      </c>
      <c r="S194">
        <f t="shared" ref="S194" si="946">R194/100000</f>
        <v>-23174.969524211378</v>
      </c>
      <c r="T194">
        <f t="shared" si="934"/>
        <v>-23.174969524211377</v>
      </c>
    </row>
    <row r="195" spans="1:20" x14ac:dyDescent="0.25">
      <c r="A195" s="5">
        <v>44398</v>
      </c>
      <c r="B195">
        <v>5.6963E-2</v>
      </c>
      <c r="C195">
        <v>7.0000000000000007E-2</v>
      </c>
      <c r="D195">
        <v>5.5302999999999998E-2</v>
      </c>
      <c r="E195">
        <v>6.2447999999999997E-2</v>
      </c>
      <c r="F195">
        <v>64394429</v>
      </c>
      <c r="G195">
        <v>6.2447999999999997E-2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-2.7692726406750443E-2</v>
      </c>
      <c r="Q195">
        <f t="shared" ref="Q195" si="948">F195*P195</f>
        <v>-1783257.3044159166</v>
      </c>
      <c r="R195">
        <f t="shared" ref="R195" si="949">R196+Q195</f>
        <v>-2318646473.2776399</v>
      </c>
      <c r="S195">
        <f t="shared" ref="S195" si="950">R195/100000</f>
        <v>-23186.4647327764</v>
      </c>
      <c r="T195">
        <f t="shared" si="934"/>
        <v>-23.1864647327764</v>
      </c>
    </row>
    <row r="196" spans="1:20" x14ac:dyDescent="0.25">
      <c r="A196" s="5">
        <v>44397</v>
      </c>
      <c r="B196">
        <v>6.1356000000000001E-2</v>
      </c>
      <c r="C196">
        <v>6.2087999999999997E-2</v>
      </c>
      <c r="D196">
        <v>5.4462000000000003E-2</v>
      </c>
      <c r="E196">
        <v>5.6875000000000002E-2</v>
      </c>
      <c r="F196">
        <v>78171357</v>
      </c>
      <c r="G196">
        <v>5.6875000000000002E-2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-0.36716496197220028</v>
      </c>
      <c r="Q196">
        <f t="shared" ref="Q196" si="952">F196*P196</f>
        <v>-28701783.320220292</v>
      </c>
      <c r="R196">
        <f t="shared" ref="R196" si="953">R197+Q196</f>
        <v>-2316863215.9732242</v>
      </c>
      <c r="S196">
        <f t="shared" ref="S196" si="954">R196/100000</f>
        <v>-23168.632159732242</v>
      </c>
      <c r="T196">
        <f t="shared" si="934"/>
        <v>-23.16863215973224</v>
      </c>
    </row>
    <row r="197" spans="1:20" x14ac:dyDescent="0.25">
      <c r="A197" s="5">
        <v>44396</v>
      </c>
      <c r="B197">
        <v>6.4884999999999998E-2</v>
      </c>
      <c r="C197">
        <v>6.8000000000000005E-2</v>
      </c>
      <c r="D197">
        <v>5.8784999999999997E-2</v>
      </c>
      <c r="E197">
        <v>6.1338999999999998E-2</v>
      </c>
      <c r="F197">
        <v>172317808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-0.44568638090070567</v>
      </c>
      <c r="Q197">
        <f t="shared" ref="Q197" si="956">F197*P197</f>
        <v>-76799700.21226266</v>
      </c>
      <c r="R197">
        <f t="shared" ref="R197" si="957">R198+Q197</f>
        <v>-2288161432.6530037</v>
      </c>
      <c r="S197">
        <f t="shared" ref="S197" si="958">R197/100000</f>
        <v>-22881.614326530038</v>
      </c>
      <c r="T197">
        <f t="shared" si="934"/>
        <v>-22.881614326530038</v>
      </c>
    </row>
    <row r="198" spans="1:20" x14ac:dyDescent="0.25">
      <c r="A198" s="5">
        <v>44395</v>
      </c>
      <c r="B198">
        <v>6.2220999999999999E-2</v>
      </c>
      <c r="C198">
        <v>7.1719000000000005E-2</v>
      </c>
      <c r="D198">
        <v>6.1298999999999999E-2</v>
      </c>
      <c r="E198">
        <v>6.4884999999999998E-2</v>
      </c>
      <c r="F198">
        <v>135381076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-0.31170825335892571</v>
      </c>
      <c r="Q198">
        <f t="shared" ref="Q198:Q261" si="960">F198*P198</f>
        <v>-42199398.737811975</v>
      </c>
      <c r="R198">
        <f t="shared" ref="R198:R261" si="961">R199+Q198</f>
        <v>-2211361732.4407411</v>
      </c>
      <c r="S198">
        <f t="shared" ref="S198:S261" si="962">R198/100000</f>
        <v>-22113.617324407409</v>
      </c>
      <c r="T198">
        <f t="shared" ref="T198:T261" si="963">S198/1000</f>
        <v>-22.113617324407407</v>
      </c>
    </row>
    <row r="199" spans="1:20" x14ac:dyDescent="0.25">
      <c r="A199" s="5">
        <v>44394</v>
      </c>
      <c r="B199">
        <v>6.0736999999999999E-2</v>
      </c>
      <c r="C199">
        <v>6.4000000000000001E-2</v>
      </c>
      <c r="D199">
        <v>6.0035999999999999E-2</v>
      </c>
      <c r="E199">
        <v>6.2205000000000003E-2</v>
      </c>
      <c r="F199">
        <v>26583717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9.4349142280526252E-2</v>
      </c>
      <c r="Q199">
        <f t="shared" si="960"/>
        <v>2508150.8975782446</v>
      </c>
      <c r="R199">
        <f t="shared" si="961"/>
        <v>-2169162333.702929</v>
      </c>
      <c r="S199">
        <f t="shared" si="962"/>
        <v>-21691.62333702929</v>
      </c>
      <c r="T199">
        <f t="shared" si="963"/>
        <v>-21.691623337029291</v>
      </c>
    </row>
    <row r="200" spans="1:20" x14ac:dyDescent="0.25">
      <c r="A200" s="5">
        <v>44393</v>
      </c>
      <c r="B200">
        <v>6.5140000000000003E-2</v>
      </c>
      <c r="C200">
        <v>6.6165000000000002E-2</v>
      </c>
      <c r="D200">
        <v>6.0444999999999999E-2</v>
      </c>
      <c r="E200">
        <v>6.0621000000000001E-2</v>
      </c>
      <c r="F200">
        <v>36785142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-0.93846153846153757</v>
      </c>
      <c r="Q200">
        <f t="shared" si="960"/>
        <v>-34521440.953846119</v>
      </c>
      <c r="R200">
        <f t="shared" si="961"/>
        <v>-2171670484.6005073</v>
      </c>
      <c r="S200">
        <f t="shared" si="962"/>
        <v>-21716.704846005072</v>
      </c>
      <c r="T200">
        <f t="shared" si="963"/>
        <v>-21.716704846005072</v>
      </c>
    </row>
    <row r="201" spans="1:20" x14ac:dyDescent="0.25">
      <c r="A201" s="5">
        <v>44392</v>
      </c>
      <c r="B201">
        <v>7.0021E-2</v>
      </c>
      <c r="C201">
        <v>7.1910000000000002E-2</v>
      </c>
      <c r="D201">
        <v>6.3632999999999995E-2</v>
      </c>
      <c r="E201">
        <v>6.5007999999999996E-2</v>
      </c>
      <c r="F201">
        <v>54196652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-0.66775401715597438</v>
      </c>
      <c r="Q201">
        <f t="shared" si="960"/>
        <v>-36190032.089404374</v>
      </c>
      <c r="R201">
        <f t="shared" si="961"/>
        <v>-2137149043.6466613</v>
      </c>
      <c r="S201">
        <f t="shared" si="962"/>
        <v>-21371.490436466614</v>
      </c>
      <c r="T201">
        <f t="shared" si="963"/>
        <v>-21.371490436466615</v>
      </c>
    </row>
    <row r="202" spans="1:20" x14ac:dyDescent="0.25">
      <c r="A202" s="5">
        <v>44391</v>
      </c>
      <c r="B202">
        <v>6.8520999999999999E-2</v>
      </c>
      <c r="C202">
        <v>7.3523000000000005E-2</v>
      </c>
      <c r="D202">
        <v>6.4009999999999997E-2</v>
      </c>
      <c r="E202">
        <v>7.0041999999999993E-2</v>
      </c>
      <c r="F202">
        <v>57574812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0.26815936087459075</v>
      </c>
      <c r="Q202">
        <f t="shared" si="960"/>
        <v>15439224.788394717</v>
      </c>
      <c r="R202">
        <f t="shared" si="961"/>
        <v>-2100959011.5572569</v>
      </c>
      <c r="S202">
        <f t="shared" si="962"/>
        <v>-21009.59011557257</v>
      </c>
      <c r="T202">
        <f t="shared" si="963"/>
        <v>-21.009590115572571</v>
      </c>
    </row>
    <row r="203" spans="1:20" x14ac:dyDescent="0.25">
      <c r="A203" s="5">
        <v>44390</v>
      </c>
      <c r="B203">
        <v>7.2368000000000002E-2</v>
      </c>
      <c r="C203">
        <v>7.3835999999999999E-2</v>
      </c>
      <c r="D203">
        <v>6.7419000000000007E-2</v>
      </c>
      <c r="E203">
        <v>6.8594000000000002E-2</v>
      </c>
      <c r="F203">
        <v>53174814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-0.63378525790868101</v>
      </c>
      <c r="Q203">
        <f t="shared" si="960"/>
        <v>-33701413.205236144</v>
      </c>
      <c r="R203">
        <f t="shared" si="961"/>
        <v>-2116398236.3456516</v>
      </c>
      <c r="S203">
        <f t="shared" si="962"/>
        <v>-21163.982363456515</v>
      </c>
      <c r="T203">
        <f t="shared" si="963"/>
        <v>-21.163982363456515</v>
      </c>
    </row>
    <row r="204" spans="1:20" x14ac:dyDescent="0.25">
      <c r="A204" s="5">
        <v>44389</v>
      </c>
      <c r="B204">
        <v>7.7251E-2</v>
      </c>
      <c r="C204">
        <v>7.8751000000000002E-2</v>
      </c>
      <c r="D204">
        <v>7.0430000000000006E-2</v>
      </c>
      <c r="E204">
        <v>7.2230000000000003E-2</v>
      </c>
      <c r="F204">
        <v>43952523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-0.56735969234467076</v>
      </c>
      <c r="Q204">
        <f t="shared" si="960"/>
        <v>-24936889.927052066</v>
      </c>
      <c r="R204">
        <f t="shared" si="961"/>
        <v>-2082696823.1404154</v>
      </c>
      <c r="S204">
        <f t="shared" si="962"/>
        <v>-20826.968231404153</v>
      </c>
      <c r="T204">
        <f t="shared" si="963"/>
        <v>-20.826968231404152</v>
      </c>
    </row>
    <row r="205" spans="1:20" x14ac:dyDescent="0.25">
      <c r="A205" s="5">
        <v>44388</v>
      </c>
      <c r="B205">
        <v>7.7426999999999996E-2</v>
      </c>
      <c r="C205">
        <v>7.9100000000000004E-2</v>
      </c>
      <c r="D205">
        <v>7.5245999999999993E-2</v>
      </c>
      <c r="E205">
        <v>7.7244999999999994E-2</v>
      </c>
      <c r="F205">
        <v>48205940</v>
      </c>
      <c r="G205">
        <v>0</v>
      </c>
      <c r="L205" t="s">
        <v>8</v>
      </c>
      <c r="M205" t="s">
        <v>7</v>
      </c>
      <c r="N205" t="s">
        <v>7</v>
      </c>
      <c r="P205">
        <f t="shared" si="959"/>
        <v>3.7363777893095737E-2</v>
      </c>
      <c r="Q205">
        <f t="shared" si="960"/>
        <v>1801156.0352878994</v>
      </c>
      <c r="R205">
        <f t="shared" si="961"/>
        <v>-2057759933.2133634</v>
      </c>
      <c r="S205">
        <f t="shared" si="962"/>
        <v>-20577.599332133635</v>
      </c>
      <c r="T205">
        <f t="shared" si="963"/>
        <v>-20.577599332133637</v>
      </c>
    </row>
    <row r="206" spans="1:20" x14ac:dyDescent="0.25">
      <c r="A206" s="5">
        <v>44387</v>
      </c>
      <c r="B206">
        <v>7.5941999999999996E-2</v>
      </c>
      <c r="C206">
        <v>7.9849000000000003E-2</v>
      </c>
      <c r="D206">
        <v>7.4406E-2</v>
      </c>
      <c r="E206">
        <v>7.7429999999999999E-2</v>
      </c>
      <c r="F206">
        <v>61832404</v>
      </c>
      <c r="G206">
        <v>0</v>
      </c>
      <c r="L206" t="s">
        <v>8</v>
      </c>
      <c r="M206" t="s">
        <v>7</v>
      </c>
      <c r="N206" t="s">
        <v>7</v>
      </c>
      <c r="P206">
        <f t="shared" si="959"/>
        <v>0.11115193826933567</v>
      </c>
      <c r="Q206">
        <f t="shared" si="960"/>
        <v>6872791.5524526238</v>
      </c>
      <c r="R206">
        <f t="shared" si="961"/>
        <v>-2059561089.2486513</v>
      </c>
      <c r="S206">
        <f t="shared" si="962"/>
        <v>-20595.610892486511</v>
      </c>
      <c r="T206">
        <f t="shared" si="963"/>
        <v>-20.595610892486512</v>
      </c>
    </row>
    <row r="207" spans="1:20" x14ac:dyDescent="0.25">
      <c r="A207" s="5">
        <v>44386</v>
      </c>
      <c r="B207">
        <v>7.5664999999999996E-2</v>
      </c>
      <c r="C207">
        <v>7.8597E-2</v>
      </c>
      <c r="D207">
        <v>7.2753999999999999E-2</v>
      </c>
      <c r="E207">
        <v>7.6099E-2</v>
      </c>
      <c r="F207">
        <v>59487264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0.14495978093445155</v>
      </c>
      <c r="Q207">
        <f t="shared" si="960"/>
        <v>8623260.7578298859</v>
      </c>
      <c r="R207">
        <f t="shared" si="961"/>
        <v>-2066433880.8011038</v>
      </c>
      <c r="S207">
        <f t="shared" si="962"/>
        <v>-20664.338808011038</v>
      </c>
      <c r="T207">
        <f t="shared" si="963"/>
        <v>-20.664338808011038</v>
      </c>
    </row>
    <row r="208" spans="1:20" x14ac:dyDescent="0.25">
      <c r="A208" s="5">
        <v>44385</v>
      </c>
      <c r="B208">
        <v>8.5468000000000002E-2</v>
      </c>
      <c r="C208">
        <v>8.5468000000000002E-2</v>
      </c>
      <c r="D208">
        <v>7.4577000000000004E-2</v>
      </c>
      <c r="E208">
        <v>7.5664999999999996E-2</v>
      </c>
      <c r="F208">
        <v>96208929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-0.80020200165274225</v>
      </c>
      <c r="Q208">
        <f t="shared" si="960"/>
        <v>-76986577.562666565</v>
      </c>
      <c r="R208">
        <f t="shared" si="961"/>
        <v>-2075057141.5589337</v>
      </c>
      <c r="S208">
        <f t="shared" si="962"/>
        <v>-20750.571415589337</v>
      </c>
      <c r="T208">
        <f t="shared" si="963"/>
        <v>-20.750571415589338</v>
      </c>
    </row>
    <row r="209" spans="1:20" x14ac:dyDescent="0.25">
      <c r="A209" s="5">
        <v>44384</v>
      </c>
      <c r="B209">
        <v>9.0524999999999994E-2</v>
      </c>
      <c r="C209">
        <v>9.2496999999999996E-2</v>
      </c>
      <c r="D209">
        <v>8.1882999999999997E-2</v>
      </c>
      <c r="E209">
        <v>8.5468000000000002E-2</v>
      </c>
      <c r="F209">
        <v>187402084</v>
      </c>
      <c r="G209">
        <v>0</v>
      </c>
      <c r="L209" t="s">
        <v>7</v>
      </c>
      <c r="M209" t="s">
        <v>7</v>
      </c>
      <c r="N209" t="s">
        <v>8</v>
      </c>
      <c r="P209">
        <f t="shared" si="959"/>
        <v>-0.32447710570943933</v>
      </c>
      <c r="Q209">
        <f t="shared" si="960"/>
        <v>-60807685.820237227</v>
      </c>
      <c r="R209">
        <f t="shared" si="961"/>
        <v>-1998070563.9962671</v>
      </c>
      <c r="S209">
        <f t="shared" si="962"/>
        <v>-19980.705639962671</v>
      </c>
      <c r="T209">
        <f t="shared" si="963"/>
        <v>-19.980705639962672</v>
      </c>
    </row>
    <row r="210" spans="1:20" x14ac:dyDescent="0.25">
      <c r="A210" s="5">
        <v>44383</v>
      </c>
      <c r="B210">
        <v>9.2218999999999995E-2</v>
      </c>
      <c r="C210">
        <v>9.9418000000000006E-2</v>
      </c>
      <c r="D210">
        <v>8.7276999999999993E-2</v>
      </c>
      <c r="E210">
        <v>9.0524999999999994E-2</v>
      </c>
      <c r="F210">
        <v>207581107</v>
      </c>
      <c r="G210">
        <v>0</v>
      </c>
      <c r="L210" t="s">
        <v>7</v>
      </c>
      <c r="M210" t="s">
        <v>8</v>
      </c>
      <c r="N210" t="s">
        <v>8</v>
      </c>
      <c r="P210">
        <f t="shared" si="959"/>
        <v>-0.46495346347088423</v>
      </c>
      <c r="Q210">
        <f t="shared" si="960"/>
        <v>-96515554.650770217</v>
      </c>
      <c r="R210">
        <f t="shared" si="961"/>
        <v>-1937262878.1760299</v>
      </c>
      <c r="S210">
        <f t="shared" si="962"/>
        <v>-19372.628781760301</v>
      </c>
      <c r="T210">
        <f t="shared" si="963"/>
        <v>-19.372628781760302</v>
      </c>
    </row>
    <row r="211" spans="1:20" x14ac:dyDescent="0.25">
      <c r="A211" s="5">
        <v>44382</v>
      </c>
      <c r="B211">
        <v>9.7210000000000005E-2</v>
      </c>
      <c r="C211">
        <v>0.104667</v>
      </c>
      <c r="D211">
        <v>8.8666999999999996E-2</v>
      </c>
      <c r="E211">
        <v>9.2096999999999998E-2</v>
      </c>
      <c r="F211">
        <v>321191608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-0.5712499999999997</v>
      </c>
      <c r="Q211">
        <f t="shared" si="960"/>
        <v>-183480706.0699999</v>
      </c>
      <c r="R211">
        <f t="shared" si="961"/>
        <v>-1840747323.5252597</v>
      </c>
      <c r="S211">
        <f t="shared" si="962"/>
        <v>-18407.473235252597</v>
      </c>
      <c r="T211">
        <f t="shared" si="963"/>
        <v>-18.407473235252596</v>
      </c>
    </row>
    <row r="212" spans="1:20" x14ac:dyDescent="0.25">
      <c r="A212" s="5">
        <v>44381</v>
      </c>
      <c r="B212">
        <v>8.5858000000000004E-2</v>
      </c>
      <c r="C212">
        <v>0.105979</v>
      </c>
      <c r="D212">
        <v>8.5151000000000004E-2</v>
      </c>
      <c r="E212">
        <v>9.7210000000000005E-2</v>
      </c>
      <c r="F212">
        <v>456504309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0.15796043787209532</v>
      </c>
      <c r="Q212">
        <f t="shared" si="960"/>
        <v>72109620.540138304</v>
      </c>
      <c r="R212">
        <f t="shared" si="961"/>
        <v>-1657266617.4552598</v>
      </c>
      <c r="S212">
        <f t="shared" si="962"/>
        <v>-16572.666174552596</v>
      </c>
      <c r="T212">
        <f t="shared" si="963"/>
        <v>-16.572666174552594</v>
      </c>
    </row>
    <row r="213" spans="1:20" x14ac:dyDescent="0.25">
      <c r="A213" s="5">
        <v>44380</v>
      </c>
      <c r="B213">
        <v>8.6266999999999996E-2</v>
      </c>
      <c r="C213">
        <v>8.9418999999999998E-2</v>
      </c>
      <c r="D213">
        <v>8.5085999999999995E-2</v>
      </c>
      <c r="E213">
        <v>8.5858000000000004E-2</v>
      </c>
      <c r="F213">
        <v>95824694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-0.64366489729978849</v>
      </c>
      <c r="Q213">
        <f t="shared" si="960"/>
        <v>-61678991.822293662</v>
      </c>
      <c r="R213">
        <f t="shared" si="961"/>
        <v>-1729376237.995398</v>
      </c>
      <c r="S213">
        <f t="shared" si="962"/>
        <v>-17293.76237995398</v>
      </c>
      <c r="T213">
        <f t="shared" si="963"/>
        <v>-17.293762379953979</v>
      </c>
    </row>
    <row r="214" spans="1:20" x14ac:dyDescent="0.25">
      <c r="A214" s="5">
        <v>44379</v>
      </c>
      <c r="B214">
        <v>8.9370000000000005E-2</v>
      </c>
      <c r="C214">
        <v>9.6000000000000002E-2</v>
      </c>
      <c r="D214">
        <v>8.4099999999999994E-2</v>
      </c>
      <c r="E214">
        <v>8.6300000000000002E-2</v>
      </c>
      <c r="F214">
        <v>216319461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-0.63025210084033512</v>
      </c>
      <c r="Q214">
        <f t="shared" si="960"/>
        <v>-136335794.74789894</v>
      </c>
      <c r="R214">
        <f t="shared" si="961"/>
        <v>-1667697246.1731043</v>
      </c>
      <c r="S214">
        <f t="shared" si="962"/>
        <v>-16676.972461731042</v>
      </c>
      <c r="T214">
        <f t="shared" si="963"/>
        <v>-16.676972461731044</v>
      </c>
    </row>
    <row r="215" spans="1:20" x14ac:dyDescent="0.25">
      <c r="A215" s="5">
        <v>44378</v>
      </c>
      <c r="B215">
        <v>8.3998000000000003E-2</v>
      </c>
      <c r="C215">
        <v>9.7799999999999998E-2</v>
      </c>
      <c r="D215">
        <v>8.0801999999999999E-2</v>
      </c>
      <c r="E215">
        <v>8.9391999999999999E-2</v>
      </c>
      <c r="F215">
        <v>509806067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1.0707142016707943E-2</v>
      </c>
      <c r="Q215">
        <f t="shared" si="960"/>
        <v>5458565.9603483249</v>
      </c>
      <c r="R215">
        <f t="shared" si="961"/>
        <v>-1531361451.4252052</v>
      </c>
      <c r="S215">
        <f t="shared" si="962"/>
        <v>-15313.614514252053</v>
      </c>
      <c r="T215">
        <f t="shared" si="963"/>
        <v>-15.313614514252052</v>
      </c>
    </row>
    <row r="216" spans="1:20" x14ac:dyDescent="0.25">
      <c r="A216" s="5">
        <v>44377</v>
      </c>
      <c r="B216">
        <v>7.6600000000000001E-2</v>
      </c>
      <c r="C216">
        <v>9.2999999999999999E-2</v>
      </c>
      <c r="D216">
        <v>6.9129999999999997E-2</v>
      </c>
      <c r="E216">
        <v>8.3998000000000003E-2</v>
      </c>
      <c r="F216">
        <v>433272410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0.24574780058651066</v>
      </c>
      <c r="Q216">
        <f t="shared" si="960"/>
        <v>106475741.81231689</v>
      </c>
      <c r="R216">
        <f t="shared" si="961"/>
        <v>-1536820017.3855536</v>
      </c>
      <c r="S216">
        <f t="shared" si="962"/>
        <v>-15368.200173855535</v>
      </c>
      <c r="T216">
        <f t="shared" si="963"/>
        <v>-15.368200173855536</v>
      </c>
    </row>
    <row r="217" spans="1:20" x14ac:dyDescent="0.25">
      <c r="A217" s="5">
        <v>44376</v>
      </c>
      <c r="B217">
        <v>6.5964999999999996E-2</v>
      </c>
      <c r="C217">
        <v>8.4988999999999995E-2</v>
      </c>
      <c r="D217">
        <v>6.2799999999999995E-2</v>
      </c>
      <c r="E217">
        <v>7.6668E-2</v>
      </c>
      <c r="F217">
        <v>332224014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0.24998873315606879</v>
      </c>
      <c r="Q217">
        <f t="shared" si="960"/>
        <v>83052260.383884057</v>
      </c>
      <c r="R217">
        <f t="shared" si="961"/>
        <v>-1643295759.1978705</v>
      </c>
      <c r="S217">
        <f t="shared" si="962"/>
        <v>-16432.957591978706</v>
      </c>
      <c r="T217">
        <f t="shared" si="963"/>
        <v>-16.432957591978706</v>
      </c>
    </row>
    <row r="218" spans="1:20" x14ac:dyDescent="0.25">
      <c r="A218" s="5">
        <v>44375</v>
      </c>
      <c r="B218">
        <v>6.3445000000000001E-2</v>
      </c>
      <c r="C218">
        <v>6.7219000000000001E-2</v>
      </c>
      <c r="D218">
        <v>6.1106000000000001E-2</v>
      </c>
      <c r="E218">
        <v>6.5945000000000004E-2</v>
      </c>
      <c r="F218">
        <v>57909654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0.58318337968264444</v>
      </c>
      <c r="Q218">
        <f t="shared" si="960"/>
        <v>33771947.735972568</v>
      </c>
      <c r="R218">
        <f t="shared" si="961"/>
        <v>-1726348019.5817544</v>
      </c>
      <c r="S218">
        <f t="shared" si="962"/>
        <v>-17263.480195817545</v>
      </c>
      <c r="T218">
        <f t="shared" si="963"/>
        <v>-17.263480195817547</v>
      </c>
    </row>
    <row r="219" spans="1:20" x14ac:dyDescent="0.25">
      <c r="A219" s="5">
        <v>44374</v>
      </c>
      <c r="B219">
        <v>6.2128000000000003E-2</v>
      </c>
      <c r="C219">
        <v>6.4093999999999998E-2</v>
      </c>
      <c r="D219">
        <v>5.8326999999999997E-2</v>
      </c>
      <c r="E219">
        <v>6.3500000000000001E-2</v>
      </c>
      <c r="F219">
        <v>60037448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0.79400034680076392</v>
      </c>
      <c r="Q219">
        <f t="shared" si="960"/>
        <v>47669754.533032827</v>
      </c>
      <c r="R219">
        <f t="shared" si="961"/>
        <v>-1760119967.3177271</v>
      </c>
      <c r="S219">
        <f t="shared" si="962"/>
        <v>-17601.199673177271</v>
      </c>
      <c r="T219">
        <f t="shared" si="963"/>
        <v>-17.60119967317727</v>
      </c>
    </row>
    <row r="220" spans="1:20" x14ac:dyDescent="0.25">
      <c r="A220" s="5">
        <v>44373</v>
      </c>
      <c r="B220">
        <v>6.2309999999999997E-2</v>
      </c>
      <c r="C220">
        <v>6.4390000000000003E-2</v>
      </c>
      <c r="D220">
        <v>5.7347000000000002E-2</v>
      </c>
      <c r="E220">
        <v>6.1992999999999999E-2</v>
      </c>
      <c r="F220">
        <v>65075053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0.31932415163992528</v>
      </c>
      <c r="Q220">
        <f t="shared" si="960"/>
        <v>20780036.092148174</v>
      </c>
      <c r="R220">
        <f t="shared" si="961"/>
        <v>-1807789721.85076</v>
      </c>
      <c r="S220">
        <f t="shared" si="962"/>
        <v>-18077.897218507598</v>
      </c>
      <c r="T220">
        <f t="shared" si="963"/>
        <v>-18.077897218507598</v>
      </c>
    </row>
    <row r="221" spans="1:20" x14ac:dyDescent="0.25">
      <c r="A221" s="5">
        <v>44372</v>
      </c>
      <c r="B221">
        <v>7.0576E-2</v>
      </c>
      <c r="C221">
        <v>7.3151999999999995E-2</v>
      </c>
      <c r="D221">
        <v>6.0780000000000001E-2</v>
      </c>
      <c r="E221">
        <v>6.2309999999999997E-2</v>
      </c>
      <c r="F221">
        <v>88597424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-0.75266731328807024</v>
      </c>
      <c r="Q221">
        <f t="shared" si="960"/>
        <v>-66684385.086323991</v>
      </c>
      <c r="R221">
        <f t="shared" si="961"/>
        <v>-1828569757.942908</v>
      </c>
      <c r="S221">
        <f t="shared" si="962"/>
        <v>-18285.697579429081</v>
      </c>
      <c r="T221">
        <f t="shared" si="963"/>
        <v>-18.28569757942908</v>
      </c>
    </row>
    <row r="222" spans="1:20" x14ac:dyDescent="0.25">
      <c r="A222" s="5">
        <v>44371</v>
      </c>
      <c r="B222">
        <v>6.8231E-2</v>
      </c>
      <c r="C222">
        <v>7.4362999999999999E-2</v>
      </c>
      <c r="D222">
        <v>6.2365999999999998E-2</v>
      </c>
      <c r="E222">
        <v>7.0553000000000005E-2</v>
      </c>
      <c r="F222">
        <v>115999569</v>
      </c>
      <c r="G222">
        <v>0</v>
      </c>
      <c r="L222" t="s">
        <v>7</v>
      </c>
      <c r="M222" t="s">
        <v>7</v>
      </c>
      <c r="N222" t="s">
        <v>8</v>
      </c>
      <c r="P222">
        <f t="shared" si="959"/>
        <v>0.36484121030257671</v>
      </c>
      <c r="Q222">
        <f t="shared" si="960"/>
        <v>42321423.148537256</v>
      </c>
      <c r="R222">
        <f t="shared" si="961"/>
        <v>-1761885372.8565841</v>
      </c>
      <c r="S222">
        <f t="shared" si="962"/>
        <v>-17618.853728565842</v>
      </c>
      <c r="T222">
        <f t="shared" si="963"/>
        <v>-17.618853728565842</v>
      </c>
    </row>
    <row r="223" spans="1:20" x14ac:dyDescent="0.25">
      <c r="A223" s="5">
        <v>44370</v>
      </c>
      <c r="B223">
        <v>6.1957999999999999E-2</v>
      </c>
      <c r="C223">
        <v>7.6452000000000006E-2</v>
      </c>
      <c r="D223">
        <v>5.8796000000000001E-2</v>
      </c>
      <c r="E223">
        <v>6.8231E-2</v>
      </c>
      <c r="F223">
        <v>162451841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6.8758495695513844E-2</v>
      </c>
      <c r="Q223">
        <f t="shared" si="960"/>
        <v>11169944.210126799</v>
      </c>
      <c r="R223">
        <f t="shared" si="961"/>
        <v>-1804206796.0051212</v>
      </c>
      <c r="S223">
        <f t="shared" si="962"/>
        <v>-18042.067960051212</v>
      </c>
      <c r="T223">
        <f t="shared" si="963"/>
        <v>-18.042067960051213</v>
      </c>
    </row>
    <row r="224" spans="1:20" x14ac:dyDescent="0.25">
      <c r="A224" s="5">
        <v>44369</v>
      </c>
      <c r="B224">
        <v>6.5963999999999995E-2</v>
      </c>
      <c r="C224">
        <v>7.2926000000000005E-2</v>
      </c>
      <c r="D224">
        <v>4.9284000000000001E-2</v>
      </c>
      <c r="E224">
        <v>6.1822000000000002E-2</v>
      </c>
      <c r="F224">
        <v>282894050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6.0654766940191084E-2</v>
      </c>
      <c r="Q224">
        <f t="shared" si="960"/>
        <v>17158872.671516765</v>
      </c>
      <c r="R224">
        <f t="shared" si="961"/>
        <v>-1815376740.2152481</v>
      </c>
      <c r="S224">
        <f t="shared" si="962"/>
        <v>-18153.76740215248</v>
      </c>
      <c r="T224">
        <f t="shared" si="963"/>
        <v>-18.153767402152479</v>
      </c>
    </row>
    <row r="225" spans="1:20" x14ac:dyDescent="0.25">
      <c r="A225" s="5">
        <v>44368</v>
      </c>
      <c r="B225">
        <v>0.100249</v>
      </c>
      <c r="C225">
        <v>0.10179299999999999</v>
      </c>
      <c r="D225">
        <v>6.3658000000000006E-2</v>
      </c>
      <c r="E225">
        <v>6.5953999999999999E-2</v>
      </c>
      <c r="F225">
        <v>243353443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-0.87958568244394952</v>
      </c>
      <c r="Q225">
        <f t="shared" si="960"/>
        <v>-214050204.23623976</v>
      </c>
      <c r="R225">
        <f t="shared" si="961"/>
        <v>-1832535612.8867648</v>
      </c>
      <c r="S225">
        <f t="shared" si="962"/>
        <v>-18325.356128867646</v>
      </c>
      <c r="T225">
        <f t="shared" si="963"/>
        <v>-18.325356128867647</v>
      </c>
    </row>
    <row r="226" spans="1:20" x14ac:dyDescent="0.25">
      <c r="A226" s="5">
        <v>44367</v>
      </c>
      <c r="B226">
        <v>9.3861E-2</v>
      </c>
      <c r="C226">
        <v>0.10293099999999999</v>
      </c>
      <c r="D226">
        <v>8.5595000000000004E-2</v>
      </c>
      <c r="E226">
        <v>0.100241</v>
      </c>
      <c r="F226">
        <v>103549557</v>
      </c>
      <c r="G226">
        <v>0</v>
      </c>
      <c r="L226" t="s">
        <v>7</v>
      </c>
      <c r="M226" t="s">
        <v>7</v>
      </c>
      <c r="N226" t="s">
        <v>8</v>
      </c>
      <c r="P226">
        <f t="shared" si="959"/>
        <v>0.68966312874942326</v>
      </c>
      <c r="Q226">
        <f t="shared" si="960"/>
        <v>71414311.461236745</v>
      </c>
      <c r="R226">
        <f t="shared" si="961"/>
        <v>-1618485408.6505251</v>
      </c>
      <c r="S226">
        <f t="shared" si="962"/>
        <v>-16184.854086505251</v>
      </c>
      <c r="T226">
        <f t="shared" si="963"/>
        <v>-16.184854086505251</v>
      </c>
    </row>
    <row r="227" spans="1:20" x14ac:dyDescent="0.25">
      <c r="A227" s="5">
        <v>44366</v>
      </c>
      <c r="B227">
        <v>0.102049</v>
      </c>
      <c r="C227">
        <v>0.10280300000000001</v>
      </c>
      <c r="D227">
        <v>9.3532000000000004E-2</v>
      </c>
      <c r="E227">
        <v>9.3798999999999993E-2</v>
      </c>
      <c r="F227">
        <v>85676732</v>
      </c>
      <c r="G227">
        <v>0</v>
      </c>
      <c r="L227" t="s">
        <v>8</v>
      </c>
      <c r="M227" t="s">
        <v>7</v>
      </c>
      <c r="N227" t="s">
        <v>8</v>
      </c>
      <c r="P227">
        <f t="shared" si="959"/>
        <v>-0.94240103548700471</v>
      </c>
      <c r="Q227">
        <f t="shared" si="960"/>
        <v>-80741840.953942597</v>
      </c>
      <c r="R227">
        <f t="shared" si="961"/>
        <v>-1689899720.1117618</v>
      </c>
      <c r="S227">
        <f t="shared" si="962"/>
        <v>-16898.997201117618</v>
      </c>
      <c r="T227">
        <f t="shared" si="963"/>
        <v>-16.898997201117616</v>
      </c>
    </row>
    <row r="228" spans="1:20" x14ac:dyDescent="0.25">
      <c r="A228" s="5">
        <v>44365</v>
      </c>
      <c r="B228">
        <v>9.7555000000000003E-2</v>
      </c>
      <c r="C228">
        <v>0.1094</v>
      </c>
      <c r="D228">
        <v>9.1835E-2</v>
      </c>
      <c r="E228">
        <v>0.10216500000000001</v>
      </c>
      <c r="F228">
        <v>161819937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0.17620267577569115</v>
      </c>
      <c r="Q228">
        <f t="shared" si="960"/>
        <v>28513105.89325377</v>
      </c>
      <c r="R228">
        <f t="shared" si="961"/>
        <v>-1609157879.1578193</v>
      </c>
      <c r="S228">
        <f t="shared" si="962"/>
        <v>-16091.578791578193</v>
      </c>
      <c r="T228">
        <f t="shared" si="963"/>
        <v>-16.091578791578193</v>
      </c>
    </row>
    <row r="229" spans="1:20" x14ac:dyDescent="0.25">
      <c r="A229" s="5">
        <v>44364</v>
      </c>
      <c r="B229">
        <v>0.103004</v>
      </c>
      <c r="C229">
        <v>0.107615</v>
      </c>
      <c r="D229">
        <v>9.5306000000000002E-2</v>
      </c>
      <c r="E229">
        <v>9.7645999999999997E-2</v>
      </c>
      <c r="F229">
        <v>107521108</v>
      </c>
      <c r="G229">
        <v>0</v>
      </c>
      <c r="L229" t="s">
        <v>7</v>
      </c>
      <c r="M229" t="s">
        <v>7</v>
      </c>
      <c r="N229" t="s">
        <v>8</v>
      </c>
      <c r="P229">
        <f t="shared" si="959"/>
        <v>-0.61979039727029084</v>
      </c>
      <c r="Q229">
        <f t="shared" si="960"/>
        <v>-66640550.242261849</v>
      </c>
      <c r="R229">
        <f t="shared" si="961"/>
        <v>-1637670985.0510731</v>
      </c>
      <c r="S229">
        <f t="shared" si="962"/>
        <v>-16376.709850510731</v>
      </c>
      <c r="T229">
        <f t="shared" si="963"/>
        <v>-16.376709850510732</v>
      </c>
    </row>
    <row r="230" spans="1:20" x14ac:dyDescent="0.25">
      <c r="A230" s="5">
        <v>44363</v>
      </c>
      <c r="B230">
        <v>0.103964</v>
      </c>
      <c r="C230">
        <v>0.1193</v>
      </c>
      <c r="D230">
        <v>9.8718E-2</v>
      </c>
      <c r="E230">
        <v>0.103017</v>
      </c>
      <c r="F230">
        <v>331300041</v>
      </c>
      <c r="G230">
        <v>0</v>
      </c>
      <c r="L230" t="s">
        <v>8</v>
      </c>
      <c r="M230" t="s">
        <v>8</v>
      </c>
      <c r="N230" t="s">
        <v>8</v>
      </c>
      <c r="P230">
        <f t="shared" si="959"/>
        <v>-0.58225634049169206</v>
      </c>
      <c r="Q230">
        <f t="shared" si="960"/>
        <v>-192901549.47740754</v>
      </c>
      <c r="R230">
        <f t="shared" si="961"/>
        <v>-1571030434.8088112</v>
      </c>
      <c r="S230">
        <f t="shared" si="962"/>
        <v>-15710.304348088112</v>
      </c>
      <c r="T230">
        <f t="shared" si="963"/>
        <v>-15.710304348088112</v>
      </c>
    </row>
    <row r="231" spans="1:20" x14ac:dyDescent="0.25">
      <c r="A231" s="5">
        <v>44362</v>
      </c>
      <c r="B231">
        <v>9.1630000000000003E-2</v>
      </c>
      <c r="C231">
        <v>0.1085</v>
      </c>
      <c r="D231">
        <v>8.9452000000000004E-2</v>
      </c>
      <c r="E231">
        <v>0.103557</v>
      </c>
      <c r="F231">
        <v>175999146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0.48099538009239773</v>
      </c>
      <c r="Q231">
        <f t="shared" si="960"/>
        <v>84654776.126207396</v>
      </c>
      <c r="R231">
        <f t="shared" si="961"/>
        <v>-1378128885.3314037</v>
      </c>
      <c r="S231">
        <f t="shared" si="962"/>
        <v>-13781.288853314038</v>
      </c>
      <c r="T231">
        <f t="shared" si="963"/>
        <v>-13.781288853314038</v>
      </c>
    </row>
    <row r="232" spans="1:20" x14ac:dyDescent="0.25">
      <c r="A232" s="5">
        <v>44361</v>
      </c>
      <c r="B232">
        <v>9.0112999999999999E-2</v>
      </c>
      <c r="C232">
        <v>9.4602000000000006E-2</v>
      </c>
      <c r="D232">
        <v>8.3121E-2</v>
      </c>
      <c r="E232">
        <v>9.1617000000000004E-2</v>
      </c>
      <c r="F232">
        <v>87589757</v>
      </c>
      <c r="G232">
        <v>0</v>
      </c>
      <c r="L232" t="s">
        <v>8</v>
      </c>
      <c r="M232" t="s">
        <v>8</v>
      </c>
      <c r="N232" t="s">
        <v>8</v>
      </c>
      <c r="P232">
        <f t="shared" si="959"/>
        <v>0.48001045205121501</v>
      </c>
      <c r="Q232">
        <f t="shared" si="960"/>
        <v>42043998.852626078</v>
      </c>
      <c r="R232">
        <f t="shared" si="961"/>
        <v>-1462783661.4576111</v>
      </c>
      <c r="S232">
        <f t="shared" si="962"/>
        <v>-14627.83661457611</v>
      </c>
      <c r="T232">
        <f t="shared" si="963"/>
        <v>-14.627836614576109</v>
      </c>
    </row>
    <row r="233" spans="1:20" x14ac:dyDescent="0.25">
      <c r="A233" s="5">
        <v>44360</v>
      </c>
      <c r="B233">
        <v>8.7712999999999999E-2</v>
      </c>
      <c r="C233">
        <v>9.2600000000000002E-2</v>
      </c>
      <c r="D233">
        <v>7.8743999999999995E-2</v>
      </c>
      <c r="E233">
        <v>9.0228000000000003E-2</v>
      </c>
      <c r="F233">
        <v>118666372</v>
      </c>
      <c r="G233">
        <v>0</v>
      </c>
      <c r="L233" t="s">
        <v>8</v>
      </c>
      <c r="M233" t="s">
        <v>8</v>
      </c>
      <c r="N233" t="s">
        <v>8</v>
      </c>
      <c r="P233">
        <f t="shared" si="959"/>
        <v>0.65762124711316428</v>
      </c>
      <c r="Q233">
        <f t="shared" si="960"/>
        <v>78037527.545034677</v>
      </c>
      <c r="R233">
        <f t="shared" si="961"/>
        <v>-1504827660.3102372</v>
      </c>
      <c r="S233">
        <f t="shared" si="962"/>
        <v>-15048.276603102371</v>
      </c>
      <c r="T233">
        <f t="shared" si="963"/>
        <v>-15.048276603102371</v>
      </c>
    </row>
    <row r="234" spans="1:20" x14ac:dyDescent="0.25">
      <c r="A234" s="5">
        <v>44359</v>
      </c>
      <c r="B234">
        <v>7.6897999999999994E-2</v>
      </c>
      <c r="C234">
        <v>9.4838000000000006E-2</v>
      </c>
      <c r="D234">
        <v>7.1110999999999994E-2</v>
      </c>
      <c r="E234">
        <v>8.7451000000000001E-2</v>
      </c>
      <c r="F234">
        <v>146340511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0.37733383908627294</v>
      </c>
      <c r="Q234">
        <f t="shared" si="960"/>
        <v>55219226.829476953</v>
      </c>
      <c r="R234">
        <f t="shared" si="961"/>
        <v>-1582865187.8552718</v>
      </c>
      <c r="S234">
        <f t="shared" si="962"/>
        <v>-15828.651878552719</v>
      </c>
      <c r="T234">
        <f t="shared" si="963"/>
        <v>-15.828651878552719</v>
      </c>
    </row>
    <row r="235" spans="1:20" x14ac:dyDescent="0.25">
      <c r="A235" s="5">
        <v>44358</v>
      </c>
      <c r="B235">
        <v>9.6414E-2</v>
      </c>
      <c r="C235">
        <v>9.9154999999999993E-2</v>
      </c>
      <c r="D235">
        <v>7.4999999999999997E-2</v>
      </c>
      <c r="E235">
        <v>7.7299999999999994E-2</v>
      </c>
      <c r="F235">
        <v>155086703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-0.80956323742496406</v>
      </c>
      <c r="Q235">
        <f t="shared" si="960"/>
        <v>-125552493.36224389</v>
      </c>
      <c r="R235">
        <f t="shared" si="961"/>
        <v>-1638084414.6847486</v>
      </c>
      <c r="S235">
        <f t="shared" si="962"/>
        <v>-16380.844146847487</v>
      </c>
      <c r="T235">
        <f t="shared" si="963"/>
        <v>-16.380844146847487</v>
      </c>
    </row>
    <row r="236" spans="1:20" x14ac:dyDescent="0.25">
      <c r="A236" s="5">
        <v>44357</v>
      </c>
      <c r="B236">
        <v>8.1533999999999995E-2</v>
      </c>
      <c r="C236">
        <v>0.10100000000000001</v>
      </c>
      <c r="D236">
        <v>7.9048999999999994E-2</v>
      </c>
      <c r="E236">
        <v>9.6414E-2</v>
      </c>
      <c r="F236">
        <v>268976131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0.58216026604710458</v>
      </c>
      <c r="Q236">
        <f t="shared" si="960"/>
        <v>156587215.98328087</v>
      </c>
      <c r="R236">
        <f t="shared" si="961"/>
        <v>-1512531921.3225048</v>
      </c>
      <c r="S236">
        <f t="shared" si="962"/>
        <v>-15125.319213225048</v>
      </c>
      <c r="T236">
        <f t="shared" si="963"/>
        <v>-15.125319213225048</v>
      </c>
    </row>
    <row r="237" spans="1:20" x14ac:dyDescent="0.25">
      <c r="A237" s="5">
        <v>44356</v>
      </c>
      <c r="B237">
        <v>7.1504999999999999E-2</v>
      </c>
      <c r="C237">
        <v>8.8999999999999996E-2</v>
      </c>
      <c r="D237">
        <v>6.5573999999999993E-2</v>
      </c>
      <c r="E237">
        <v>8.1533999999999995E-2</v>
      </c>
      <c r="F237">
        <v>280427382</v>
      </c>
      <c r="G237">
        <v>0</v>
      </c>
      <c r="L237" t="s">
        <v>7</v>
      </c>
      <c r="M237" t="s">
        <v>7</v>
      </c>
      <c r="N237" t="s">
        <v>7</v>
      </c>
      <c r="P237">
        <f t="shared" si="959"/>
        <v>0.36258857679501411</v>
      </c>
      <c r="Q237">
        <f t="shared" si="960"/>
        <v>101679765.33373176</v>
      </c>
      <c r="R237">
        <f t="shared" si="961"/>
        <v>-1669119137.3057857</v>
      </c>
      <c r="S237">
        <f t="shared" si="962"/>
        <v>-16691.191373057856</v>
      </c>
      <c r="T237">
        <f t="shared" si="963"/>
        <v>-16.691191373057855</v>
      </c>
    </row>
    <row r="238" spans="1:20" x14ac:dyDescent="0.25">
      <c r="A238" s="5">
        <v>44355</v>
      </c>
      <c r="B238">
        <v>7.4428999999999995E-2</v>
      </c>
      <c r="C238">
        <v>9.5902000000000001E-2</v>
      </c>
      <c r="D238">
        <v>6.9585999999999995E-2</v>
      </c>
      <c r="E238">
        <v>7.1309999999999998E-2</v>
      </c>
      <c r="F238">
        <v>309254578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-0.86897704818361432</v>
      </c>
      <c r="Q238">
        <f t="shared" si="960"/>
        <v>-268735130.32770932</v>
      </c>
      <c r="R238">
        <f t="shared" si="961"/>
        <v>-1770798902.6395173</v>
      </c>
      <c r="S238">
        <f t="shared" si="962"/>
        <v>-17707.989026395175</v>
      </c>
      <c r="T238">
        <f t="shared" si="963"/>
        <v>-17.707989026395175</v>
      </c>
    </row>
    <row r="239" spans="1:20" x14ac:dyDescent="0.25">
      <c r="A239" s="5">
        <v>44354</v>
      </c>
      <c r="B239">
        <v>8.8789999999999994E-2</v>
      </c>
      <c r="C239">
        <v>9.5000000000000001E-2</v>
      </c>
      <c r="D239">
        <v>7.3999999999999996E-2</v>
      </c>
      <c r="E239">
        <v>7.4445999999999998E-2</v>
      </c>
      <c r="F239">
        <v>330857516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-0.95752380952380933</v>
      </c>
      <c r="Q239">
        <f t="shared" si="960"/>
        <v>-316803949.12990469</v>
      </c>
      <c r="R239">
        <f t="shared" si="961"/>
        <v>-1502063772.3118079</v>
      </c>
      <c r="S239">
        <f t="shared" si="962"/>
        <v>-15020.63772311808</v>
      </c>
      <c r="T239">
        <f t="shared" si="963"/>
        <v>-15.02063772311808</v>
      </c>
    </row>
    <row r="240" spans="1:20" x14ac:dyDescent="0.25">
      <c r="A240" s="5">
        <v>44353</v>
      </c>
      <c r="B240">
        <v>6.1265E-2</v>
      </c>
      <c r="C240">
        <v>0.1046</v>
      </c>
      <c r="D240">
        <v>6.0422999999999998E-2</v>
      </c>
      <c r="E240">
        <v>8.8789999999999994E-2</v>
      </c>
      <c r="F240">
        <v>293882961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0.28424293184236121</v>
      </c>
      <c r="Q240">
        <f t="shared" si="960"/>
        <v>83534154.453154296</v>
      </c>
      <c r="R240">
        <f t="shared" si="961"/>
        <v>-1185259823.1819031</v>
      </c>
      <c r="S240">
        <f t="shared" si="962"/>
        <v>-11852.598231819031</v>
      </c>
      <c r="T240">
        <f t="shared" si="963"/>
        <v>-11.85259823181903</v>
      </c>
    </row>
    <row r="241" spans="1:20" x14ac:dyDescent="0.25">
      <c r="A241" s="5">
        <v>44352</v>
      </c>
      <c r="B241">
        <v>6.1865999999999997E-2</v>
      </c>
      <c r="C241">
        <v>6.7799999999999999E-2</v>
      </c>
      <c r="D241">
        <v>5.9541999999999998E-2</v>
      </c>
      <c r="E241">
        <v>6.1263999999999999E-2</v>
      </c>
      <c r="F241">
        <v>31452256</v>
      </c>
      <c r="G241">
        <v>0</v>
      </c>
      <c r="L241" t="s">
        <v>8</v>
      </c>
      <c r="M241" t="s">
        <v>7</v>
      </c>
      <c r="N241" t="s">
        <v>7</v>
      </c>
      <c r="P241">
        <f t="shared" si="959"/>
        <v>-0.58294986679583405</v>
      </c>
      <c r="Q241">
        <f t="shared" si="960"/>
        <v>-18335088.445628472</v>
      </c>
      <c r="R241">
        <f t="shared" si="961"/>
        <v>-1268793977.6350574</v>
      </c>
      <c r="S241">
        <f t="shared" si="962"/>
        <v>-12687.939776350575</v>
      </c>
      <c r="T241">
        <f t="shared" si="963"/>
        <v>-12.687939776350575</v>
      </c>
    </row>
    <row r="242" spans="1:20" x14ac:dyDescent="0.25">
      <c r="A242" s="5">
        <v>44351</v>
      </c>
      <c r="B242">
        <v>6.9140999999999994E-2</v>
      </c>
      <c r="C242">
        <v>6.9156999999999996E-2</v>
      </c>
      <c r="D242">
        <v>5.8841999999999998E-2</v>
      </c>
      <c r="E242">
        <v>6.1565000000000002E-2</v>
      </c>
      <c r="F242">
        <v>24070492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-0.47203102278235504</v>
      </c>
      <c r="Q242">
        <f t="shared" si="960"/>
        <v>-11362018.957634496</v>
      </c>
      <c r="R242">
        <f t="shared" si="961"/>
        <v>-1250458889.189429</v>
      </c>
      <c r="S242">
        <f t="shared" si="962"/>
        <v>-12504.588891894291</v>
      </c>
      <c r="T242">
        <f t="shared" si="963"/>
        <v>-12.504588891894292</v>
      </c>
    </row>
    <row r="243" spans="1:20" x14ac:dyDescent="0.25">
      <c r="A243" s="5">
        <v>44350</v>
      </c>
      <c r="B243">
        <v>6.6280000000000006E-2</v>
      </c>
      <c r="C243">
        <v>7.3455000000000006E-2</v>
      </c>
      <c r="D243">
        <v>6.4882999999999996E-2</v>
      </c>
      <c r="E243">
        <v>6.9000000000000006E-2</v>
      </c>
      <c r="F243">
        <v>41828735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-3.9430704619690934E-2</v>
      </c>
      <c r="Q243">
        <f t="shared" si="960"/>
        <v>-1649336.4944003278</v>
      </c>
      <c r="R243">
        <f t="shared" si="961"/>
        <v>-1239096870.2317946</v>
      </c>
      <c r="S243">
        <f t="shared" si="962"/>
        <v>-12390.968702317947</v>
      </c>
      <c r="T243">
        <f t="shared" si="963"/>
        <v>-12.390968702317947</v>
      </c>
    </row>
    <row r="244" spans="1:20" x14ac:dyDescent="0.25">
      <c r="A244" s="5">
        <v>44349</v>
      </c>
      <c r="B244">
        <v>6.2692999999999999E-2</v>
      </c>
      <c r="C244">
        <v>6.694E-2</v>
      </c>
      <c r="D244">
        <v>6.13E-2</v>
      </c>
      <c r="E244">
        <v>6.6177E-2</v>
      </c>
      <c r="F244">
        <v>24539933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0.7294326241134752</v>
      </c>
      <c r="Q244">
        <f t="shared" si="960"/>
        <v>17900227.723758865</v>
      </c>
      <c r="R244">
        <f t="shared" si="961"/>
        <v>-1237447533.7373943</v>
      </c>
      <c r="S244">
        <f t="shared" si="962"/>
        <v>-12374.475337373944</v>
      </c>
      <c r="T244">
        <f t="shared" si="963"/>
        <v>-12.374475337373944</v>
      </c>
    </row>
    <row r="245" spans="1:20" x14ac:dyDescent="0.25">
      <c r="A245" s="5">
        <v>44348</v>
      </c>
      <c r="B245">
        <v>6.4954999999999999E-2</v>
      </c>
      <c r="C245">
        <v>6.8000000000000005E-2</v>
      </c>
      <c r="D245">
        <v>6.1291999999999999E-2</v>
      </c>
      <c r="E245">
        <v>6.2526999999999999E-2</v>
      </c>
      <c r="F245">
        <v>42418489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-0.63178294573643445</v>
      </c>
      <c r="Q245">
        <f t="shared" si="960"/>
        <v>-26799277.93410854</v>
      </c>
      <c r="R245">
        <f t="shared" si="961"/>
        <v>-1255347761.4611533</v>
      </c>
      <c r="S245">
        <f t="shared" si="962"/>
        <v>-12553.477614611533</v>
      </c>
      <c r="T245">
        <f t="shared" si="963"/>
        <v>-12.553477614611532</v>
      </c>
    </row>
    <row r="246" spans="1:20" x14ac:dyDescent="0.25">
      <c r="A246" s="5">
        <v>44347</v>
      </c>
      <c r="B246">
        <v>6.1018000000000003E-2</v>
      </c>
      <c r="C246">
        <v>6.5054000000000001E-2</v>
      </c>
      <c r="D246">
        <v>5.7718999999999999E-2</v>
      </c>
      <c r="E246">
        <v>6.4954999999999999E-2</v>
      </c>
      <c r="F246">
        <v>16545257</v>
      </c>
      <c r="G246">
        <v>0</v>
      </c>
      <c r="L246" t="s">
        <v>8</v>
      </c>
      <c r="M246" t="s">
        <v>7</v>
      </c>
      <c r="N246" t="s">
        <v>7</v>
      </c>
      <c r="P246">
        <f t="shared" si="959"/>
        <v>0.97300613496932464</v>
      </c>
      <c r="Q246">
        <f t="shared" si="960"/>
        <v>16098636.565644164</v>
      </c>
      <c r="R246">
        <f t="shared" si="961"/>
        <v>-1228548483.5270448</v>
      </c>
      <c r="S246">
        <f t="shared" si="962"/>
        <v>-12285.484835270448</v>
      </c>
      <c r="T246">
        <f t="shared" si="963"/>
        <v>-12.285484835270449</v>
      </c>
    </row>
    <row r="247" spans="1:20" x14ac:dyDescent="0.25">
      <c r="A247" s="5">
        <v>44346</v>
      </c>
      <c r="B247">
        <v>5.9229999999999998E-2</v>
      </c>
      <c r="C247">
        <v>6.4000000000000001E-2</v>
      </c>
      <c r="D247">
        <v>5.3999999999999999E-2</v>
      </c>
      <c r="E247">
        <v>6.1263999999999999E-2</v>
      </c>
      <c r="F247">
        <v>24663624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0.45279999999999965</v>
      </c>
      <c r="Q247">
        <f t="shared" si="960"/>
        <v>11167688.947199991</v>
      </c>
      <c r="R247">
        <f t="shared" si="961"/>
        <v>-1244647120.092689</v>
      </c>
      <c r="S247">
        <f t="shared" si="962"/>
        <v>-12446.47120092689</v>
      </c>
      <c r="T247">
        <f t="shared" si="963"/>
        <v>-12.44647120092689</v>
      </c>
    </row>
    <row r="248" spans="1:20" x14ac:dyDescent="0.25">
      <c r="A248" s="5">
        <v>44345</v>
      </c>
      <c r="B248">
        <v>5.8735999999999997E-2</v>
      </c>
      <c r="C248">
        <v>6.3127000000000003E-2</v>
      </c>
      <c r="D248">
        <v>5.3605E-2</v>
      </c>
      <c r="E248">
        <v>5.9235999999999997E-2</v>
      </c>
      <c r="F248">
        <v>18043490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0.18273471959672244</v>
      </c>
      <c r="Q248">
        <f t="shared" si="960"/>
        <v>3297172.0856962656</v>
      </c>
      <c r="R248">
        <f t="shared" si="961"/>
        <v>-1255814809.0398891</v>
      </c>
      <c r="S248">
        <f t="shared" si="962"/>
        <v>-12558.14809039889</v>
      </c>
      <c r="T248">
        <f t="shared" si="963"/>
        <v>-12.558148090398891</v>
      </c>
    </row>
    <row r="249" spans="1:20" x14ac:dyDescent="0.25">
      <c r="A249" s="5">
        <v>44344</v>
      </c>
      <c r="B249">
        <v>6.5171999999999994E-2</v>
      </c>
      <c r="C249">
        <v>6.5991999999999995E-2</v>
      </c>
      <c r="D249">
        <v>5.6149999999999999E-2</v>
      </c>
      <c r="E249">
        <v>5.8757999999999998E-2</v>
      </c>
      <c r="F249">
        <v>30465034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-0.47002641739483841</v>
      </c>
      <c r="Q249">
        <f t="shared" si="960"/>
        <v>-14319370.786831943</v>
      </c>
      <c r="R249">
        <f t="shared" si="961"/>
        <v>-1259111981.1255853</v>
      </c>
      <c r="S249">
        <f t="shared" si="962"/>
        <v>-12591.119811255854</v>
      </c>
      <c r="T249">
        <f t="shared" si="963"/>
        <v>-12.591119811255854</v>
      </c>
    </row>
    <row r="250" spans="1:20" x14ac:dyDescent="0.25">
      <c r="A250" s="5">
        <v>44343</v>
      </c>
      <c r="B250">
        <v>7.1359000000000006E-2</v>
      </c>
      <c r="C250">
        <v>7.1875999999999995E-2</v>
      </c>
      <c r="D250">
        <v>6.3055E-2</v>
      </c>
      <c r="E250">
        <v>6.5140000000000003E-2</v>
      </c>
      <c r="F250">
        <v>49167360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-0.52726448248497804</v>
      </c>
      <c r="Q250">
        <f t="shared" si="960"/>
        <v>-25924202.62555261</v>
      </c>
      <c r="R250">
        <f t="shared" si="961"/>
        <v>-1244792610.3387535</v>
      </c>
      <c r="S250">
        <f t="shared" si="962"/>
        <v>-12447.926103387535</v>
      </c>
      <c r="T250">
        <f t="shared" si="963"/>
        <v>-12.447926103387536</v>
      </c>
    </row>
    <row r="251" spans="1:20" x14ac:dyDescent="0.25">
      <c r="A251" s="5">
        <v>44342</v>
      </c>
      <c r="B251">
        <v>6.6699999999999995E-2</v>
      </c>
      <c r="C251">
        <v>8.1799999999999998E-2</v>
      </c>
      <c r="D251">
        <v>6.3217999999999996E-2</v>
      </c>
      <c r="E251">
        <v>7.1359000000000006E-2</v>
      </c>
      <c r="F251">
        <v>192565410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-0.12377569691098818</v>
      </c>
      <c r="Q251">
        <f t="shared" si="960"/>
        <v>-23834917.823700171</v>
      </c>
      <c r="R251">
        <f t="shared" si="961"/>
        <v>-1218868407.7132008</v>
      </c>
      <c r="S251">
        <f t="shared" si="962"/>
        <v>-12188.684077132008</v>
      </c>
      <c r="T251">
        <f t="shared" si="963"/>
        <v>-12.188684077132008</v>
      </c>
    </row>
    <row r="252" spans="1:20" x14ac:dyDescent="0.25">
      <c r="A252" s="5">
        <v>44341</v>
      </c>
      <c r="B252">
        <v>4.9822999999999999E-2</v>
      </c>
      <c r="C252">
        <v>7.8278E-2</v>
      </c>
      <c r="D252">
        <v>4.5022E-2</v>
      </c>
      <c r="E252">
        <v>6.6700999999999996E-2</v>
      </c>
      <c r="F252">
        <v>520956049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0.30376473418330507</v>
      </c>
      <c r="Q252">
        <f t="shared" si="960"/>
        <v>158248075.74566984</v>
      </c>
      <c r="R252">
        <f t="shared" si="961"/>
        <v>-1195033489.8895006</v>
      </c>
      <c r="S252">
        <f t="shared" si="962"/>
        <v>-11950.334898895006</v>
      </c>
      <c r="T252">
        <f t="shared" si="963"/>
        <v>-11.950334898895006</v>
      </c>
    </row>
    <row r="253" spans="1:20" x14ac:dyDescent="0.25">
      <c r="A253" s="5">
        <v>44340</v>
      </c>
      <c r="B253">
        <v>3.8517000000000003E-2</v>
      </c>
      <c r="C253">
        <v>5.0192000000000001E-2</v>
      </c>
      <c r="D253">
        <v>3.8299E-2</v>
      </c>
      <c r="E253">
        <v>4.9599999999999998E-2</v>
      </c>
      <c r="F253">
        <v>37771595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0.90044564029260876</v>
      </c>
      <c r="Q253">
        <f t="shared" si="960"/>
        <v>34011268.044648096</v>
      </c>
      <c r="R253">
        <f t="shared" si="961"/>
        <v>-1353281565.6351705</v>
      </c>
      <c r="S253">
        <f t="shared" si="962"/>
        <v>-13532.815656351704</v>
      </c>
      <c r="T253">
        <f t="shared" si="963"/>
        <v>-13.532815656351705</v>
      </c>
    </row>
    <row r="254" spans="1:20" x14ac:dyDescent="0.25">
      <c r="A254" s="5">
        <v>44339</v>
      </c>
      <c r="B254">
        <v>4.8006E-2</v>
      </c>
      <c r="C254">
        <v>4.9186000000000001E-2</v>
      </c>
      <c r="D254">
        <v>3.1042E-2</v>
      </c>
      <c r="E254">
        <v>3.8399000000000003E-2</v>
      </c>
      <c r="F254">
        <v>39385588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-0.18904320987654297</v>
      </c>
      <c r="Q254">
        <f t="shared" si="960"/>
        <v>-7445577.9783950523</v>
      </c>
      <c r="R254">
        <f t="shared" si="961"/>
        <v>-1387292833.6798186</v>
      </c>
      <c r="S254">
        <f t="shared" si="962"/>
        <v>-13872.928336798186</v>
      </c>
      <c r="T254">
        <f t="shared" si="963"/>
        <v>-13.872928336798186</v>
      </c>
    </row>
    <row r="255" spans="1:20" x14ac:dyDescent="0.25">
      <c r="A255" s="5">
        <v>44338</v>
      </c>
      <c r="B255">
        <v>5.1912E-2</v>
      </c>
      <c r="C255">
        <v>5.2998000000000003E-2</v>
      </c>
      <c r="D255">
        <v>4.3477000000000002E-2</v>
      </c>
      <c r="E255">
        <v>4.8029000000000002E-2</v>
      </c>
      <c r="F255">
        <v>39440696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-4.3797920386514089E-2</v>
      </c>
      <c r="Q255">
        <f t="shared" si="960"/>
        <v>-1727420.4633967048</v>
      </c>
      <c r="R255">
        <f t="shared" si="961"/>
        <v>-1379847255.7014236</v>
      </c>
      <c r="S255">
        <f t="shared" si="962"/>
        <v>-13798.472557014236</v>
      </c>
      <c r="T255">
        <f t="shared" si="963"/>
        <v>-13.798472557014236</v>
      </c>
    </row>
    <row r="256" spans="1:20" x14ac:dyDescent="0.25">
      <c r="A256" s="5">
        <v>44337</v>
      </c>
      <c r="B256">
        <v>6.2775999999999998E-2</v>
      </c>
      <c r="C256">
        <v>6.4820000000000003E-2</v>
      </c>
      <c r="D256">
        <v>4.4200000000000003E-2</v>
      </c>
      <c r="E256">
        <v>5.2080000000000001E-2</v>
      </c>
      <c r="F256">
        <v>47466166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-0.23569350145489831</v>
      </c>
      <c r="Q256">
        <f t="shared" si="960"/>
        <v>-11187466.865179446</v>
      </c>
      <c r="R256">
        <f t="shared" si="961"/>
        <v>-1378119835.2380269</v>
      </c>
      <c r="S256">
        <f t="shared" si="962"/>
        <v>-13781.198352380268</v>
      </c>
      <c r="T256">
        <f t="shared" si="963"/>
        <v>-13.781198352380269</v>
      </c>
    </row>
    <row r="257" spans="1:20" x14ac:dyDescent="0.25">
      <c r="A257" s="5">
        <v>44336</v>
      </c>
      <c r="B257">
        <v>5.5967999999999997E-2</v>
      </c>
      <c r="C257">
        <v>6.7250000000000004E-2</v>
      </c>
      <c r="D257">
        <v>5.0701000000000003E-2</v>
      </c>
      <c r="E257">
        <v>6.2352999999999999E-2</v>
      </c>
      <c r="F257">
        <v>42123810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0.40818176324853406</v>
      </c>
      <c r="Q257">
        <f t="shared" si="960"/>
        <v>17194171.040546231</v>
      </c>
      <c r="R257">
        <f t="shared" si="961"/>
        <v>-1366932368.3728473</v>
      </c>
      <c r="S257">
        <f t="shared" si="962"/>
        <v>-13669.323683728473</v>
      </c>
      <c r="T257">
        <f t="shared" si="963"/>
        <v>-13.669323683728473</v>
      </c>
    </row>
    <row r="258" spans="1:20" x14ac:dyDescent="0.25">
      <c r="A258" s="5">
        <v>44335</v>
      </c>
      <c r="B258">
        <v>8.7462999999999999E-2</v>
      </c>
      <c r="C258">
        <v>8.8525999999999994E-2</v>
      </c>
      <c r="D258">
        <v>4.2625999999999997E-2</v>
      </c>
      <c r="E258">
        <v>5.5941999999999999E-2</v>
      </c>
      <c r="F258">
        <v>57910263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-0.41978213507625262</v>
      </c>
      <c r="Q258">
        <f t="shared" si="960"/>
        <v>-24309693.844967313</v>
      </c>
      <c r="R258">
        <f t="shared" si="961"/>
        <v>-1384126539.4133935</v>
      </c>
      <c r="S258">
        <f t="shared" si="962"/>
        <v>-13841.265394133936</v>
      </c>
      <c r="T258">
        <f t="shared" si="963"/>
        <v>-13.841265394133936</v>
      </c>
    </row>
    <row r="259" spans="1:20" x14ac:dyDescent="0.25">
      <c r="A259" s="5">
        <v>44334</v>
      </c>
      <c r="B259">
        <v>8.4824999999999998E-2</v>
      </c>
      <c r="C259">
        <v>9.1377E-2</v>
      </c>
      <c r="D259">
        <v>8.4000000000000005E-2</v>
      </c>
      <c r="E259">
        <v>8.7193999999999994E-2</v>
      </c>
      <c r="F259">
        <v>20682405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-0.13406533821336836</v>
      </c>
      <c r="Q259">
        <f t="shared" si="960"/>
        <v>-2772793.621390861</v>
      </c>
      <c r="R259">
        <f t="shared" si="961"/>
        <v>-1359816845.5684261</v>
      </c>
      <c r="S259">
        <f t="shared" si="962"/>
        <v>-13598.168455684261</v>
      </c>
      <c r="T259">
        <f t="shared" si="963"/>
        <v>-13.598168455684261</v>
      </c>
    </row>
    <row r="260" spans="1:20" x14ac:dyDescent="0.25">
      <c r="A260" s="5">
        <v>44333</v>
      </c>
      <c r="B260">
        <v>9.4656000000000004E-2</v>
      </c>
      <c r="C260">
        <v>9.4899999999999998E-2</v>
      </c>
      <c r="D260">
        <v>8.3031999999999995E-2</v>
      </c>
      <c r="E260">
        <v>8.4824999999999998E-2</v>
      </c>
      <c r="F260">
        <v>21669833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-0.69784293899561811</v>
      </c>
      <c r="Q260">
        <f t="shared" si="960"/>
        <v>-15122139.948264232</v>
      </c>
      <c r="R260">
        <f t="shared" si="961"/>
        <v>-1357044051.9470353</v>
      </c>
      <c r="S260">
        <f t="shared" si="962"/>
        <v>-13570.440519470352</v>
      </c>
      <c r="T260">
        <f t="shared" si="963"/>
        <v>-13.570440519470353</v>
      </c>
    </row>
    <row r="261" spans="1:20" x14ac:dyDescent="0.25">
      <c r="A261" s="5">
        <v>44332</v>
      </c>
      <c r="B261">
        <v>9.1943999999999998E-2</v>
      </c>
      <c r="C261">
        <v>9.9747000000000002E-2</v>
      </c>
      <c r="D261">
        <v>8.7688000000000002E-2</v>
      </c>
      <c r="E261">
        <v>9.4565999999999997E-2</v>
      </c>
      <c r="F261">
        <v>23497559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0.14072476988141555</v>
      </c>
      <c r="Q261">
        <f t="shared" si="960"/>
        <v>3306688.5830499851</v>
      </c>
      <c r="R261">
        <f t="shared" si="961"/>
        <v>-1341921911.9987712</v>
      </c>
      <c r="S261">
        <f t="shared" si="962"/>
        <v>-13419.219119987712</v>
      </c>
      <c r="T261">
        <f t="shared" si="963"/>
        <v>-13.419219119987712</v>
      </c>
    </row>
    <row r="262" spans="1:20" x14ac:dyDescent="0.25">
      <c r="A262" s="5">
        <v>44331</v>
      </c>
      <c r="B262">
        <v>9.5738000000000004E-2</v>
      </c>
      <c r="C262">
        <v>0.106</v>
      </c>
      <c r="D262">
        <v>9.0461E-2</v>
      </c>
      <c r="E262">
        <v>9.1911000000000007E-2</v>
      </c>
      <c r="F262">
        <v>50325005</v>
      </c>
      <c r="G262">
        <v>0</v>
      </c>
      <c r="L262" t="s">
        <v>8</v>
      </c>
      <c r="M262" t="s">
        <v>8</v>
      </c>
      <c r="N262" t="s">
        <v>7</v>
      </c>
      <c r="P262">
        <f t="shared" ref="P262:P325" si="964">IF(C262=D262,0,((E262-D262)-(C262-E262))/(C262-D262))</f>
        <v>-0.81337280391273481</v>
      </c>
      <c r="Q262">
        <f t="shared" ref="Q262:Q325" si="965">F262*P262</f>
        <v>-40932990.423772402</v>
      </c>
      <c r="R262">
        <f t="shared" ref="R262:R325" si="966">R263+Q262</f>
        <v>-1345228600.5818212</v>
      </c>
      <c r="S262">
        <f t="shared" ref="S262:S325" si="967">R262/100000</f>
        <v>-13452.286005818212</v>
      </c>
      <c r="T262">
        <f t="shared" ref="T262:T325" si="968">S262/1000</f>
        <v>-13.452286005818213</v>
      </c>
    </row>
    <row r="263" spans="1:20" x14ac:dyDescent="0.25">
      <c r="A263" s="5">
        <v>44330</v>
      </c>
      <c r="B263">
        <v>9.0620999999999993E-2</v>
      </c>
      <c r="C263">
        <v>9.8336000000000007E-2</v>
      </c>
      <c r="D263">
        <v>9.0001999999999999E-2</v>
      </c>
      <c r="E263">
        <v>9.5350000000000004E-2</v>
      </c>
      <c r="F263">
        <v>25228931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0.28341732661387098</v>
      </c>
      <c r="Q263">
        <f t="shared" si="965"/>
        <v>7150316.1773458142</v>
      </c>
      <c r="R263">
        <f t="shared" si="966"/>
        <v>-1304295610.1580489</v>
      </c>
      <c r="S263">
        <f t="shared" si="967"/>
        <v>-13042.956101580488</v>
      </c>
      <c r="T263">
        <f t="shared" si="968"/>
        <v>-13.042956101580488</v>
      </c>
    </row>
    <row r="264" spans="1:20" x14ac:dyDescent="0.25">
      <c r="A264" s="5">
        <v>44329</v>
      </c>
      <c r="B264">
        <v>8.9150999999999994E-2</v>
      </c>
      <c r="C264">
        <v>0.104021</v>
      </c>
      <c r="D264">
        <v>8.3000000000000004E-2</v>
      </c>
      <c r="E264">
        <v>9.0620999999999993E-2</v>
      </c>
      <c r="F264">
        <v>36804140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-0.27491556062984734</v>
      </c>
      <c r="Q264">
        <f t="shared" si="965"/>
        <v>-10118030.781599389</v>
      </c>
      <c r="R264">
        <f t="shared" si="966"/>
        <v>-1311445926.3353946</v>
      </c>
      <c r="S264">
        <f t="shared" si="967"/>
        <v>-13114.459263353947</v>
      </c>
      <c r="T264">
        <f t="shared" si="968"/>
        <v>-13.114459263353947</v>
      </c>
    </row>
    <row r="265" spans="1:20" x14ac:dyDescent="0.25">
      <c r="A265" s="5">
        <v>44328</v>
      </c>
      <c r="B265">
        <v>0.106617</v>
      </c>
      <c r="C265">
        <v>0.10936899999999999</v>
      </c>
      <c r="D265">
        <v>8.8590000000000002E-2</v>
      </c>
      <c r="E265">
        <v>8.9150999999999994E-2</v>
      </c>
      <c r="F265">
        <v>31916459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-0.94600317628374875</v>
      </c>
      <c r="Q265">
        <f t="shared" si="965"/>
        <v>-30193071.589730039</v>
      </c>
      <c r="R265">
        <f t="shared" si="966"/>
        <v>-1301327895.5537953</v>
      </c>
      <c r="S265">
        <f t="shared" si="967"/>
        <v>-13013.278955537953</v>
      </c>
      <c r="T265">
        <f t="shared" si="968"/>
        <v>-13.013278955537952</v>
      </c>
    </row>
    <row r="266" spans="1:20" x14ac:dyDescent="0.25">
      <c r="A266" s="5">
        <v>44327</v>
      </c>
      <c r="B266">
        <v>0.10330400000000001</v>
      </c>
      <c r="C266">
        <v>0.10684200000000001</v>
      </c>
      <c r="D266">
        <v>0.1</v>
      </c>
      <c r="E266">
        <v>0.10630000000000001</v>
      </c>
      <c r="F266">
        <v>28801263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0.84156679333528184</v>
      </c>
      <c r="Q266">
        <f t="shared" si="965"/>
        <v>24238186.546916101</v>
      </c>
      <c r="R266">
        <f t="shared" si="966"/>
        <v>-1271134823.9640653</v>
      </c>
      <c r="S266">
        <f t="shared" si="967"/>
        <v>-12711.348239640653</v>
      </c>
      <c r="T266">
        <f t="shared" si="968"/>
        <v>-12.711348239640653</v>
      </c>
    </row>
    <row r="267" spans="1:20" x14ac:dyDescent="0.25">
      <c r="A267" s="5">
        <v>44326</v>
      </c>
      <c r="B267">
        <v>0.11899999999999999</v>
      </c>
      <c r="C267">
        <v>0.125448</v>
      </c>
      <c r="D267">
        <v>9.2459E-2</v>
      </c>
      <c r="E267">
        <v>0.10330499999999999</v>
      </c>
      <c r="F267">
        <v>104988649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-0.34244748249416512</v>
      </c>
      <c r="Q267">
        <f t="shared" si="965"/>
        <v>-35953098.540513545</v>
      </c>
      <c r="R267">
        <f t="shared" si="966"/>
        <v>-1295373010.5109813</v>
      </c>
      <c r="S267">
        <f t="shared" si="967"/>
        <v>-12953.730105109813</v>
      </c>
      <c r="T267">
        <f t="shared" si="968"/>
        <v>-12.953730105109813</v>
      </c>
    </row>
    <row r="268" spans="1:20" x14ac:dyDescent="0.25">
      <c r="A268" s="5">
        <v>44325</v>
      </c>
      <c r="B268">
        <v>0.113984</v>
      </c>
      <c r="C268">
        <v>0.1215</v>
      </c>
      <c r="D268">
        <v>0.108459</v>
      </c>
      <c r="E268">
        <v>0.11899800000000001</v>
      </c>
      <c r="F268">
        <v>77497410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0.61628709454796549</v>
      </c>
      <c r="Q268">
        <f t="shared" si="965"/>
        <v>47760653.643892445</v>
      </c>
      <c r="R268">
        <f t="shared" si="966"/>
        <v>-1259419911.9704678</v>
      </c>
      <c r="S268">
        <f t="shared" si="967"/>
        <v>-12594.199119704677</v>
      </c>
      <c r="T268">
        <f t="shared" si="968"/>
        <v>-12.594199119704678</v>
      </c>
    </row>
    <row r="269" spans="1:20" x14ac:dyDescent="0.25">
      <c r="A269" s="5">
        <v>44324</v>
      </c>
      <c r="B269">
        <v>0.117147</v>
      </c>
      <c r="C269">
        <v>0.12075</v>
      </c>
      <c r="D269">
        <v>0.113</v>
      </c>
      <c r="E269">
        <v>0.11398</v>
      </c>
      <c r="F269">
        <v>25979267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-0.74709677419354947</v>
      </c>
      <c r="Q269">
        <f t="shared" si="965"/>
        <v>-19409026.571612932</v>
      </c>
      <c r="R269">
        <f t="shared" si="966"/>
        <v>-1307180565.6143603</v>
      </c>
      <c r="S269">
        <f t="shared" si="967"/>
        <v>-13071.805656143604</v>
      </c>
      <c r="T269">
        <f t="shared" si="968"/>
        <v>-13.071805656143605</v>
      </c>
    </row>
    <row r="270" spans="1:20" x14ac:dyDescent="0.25">
      <c r="A270" s="5">
        <v>44323</v>
      </c>
      <c r="B270">
        <v>0.11983099999999999</v>
      </c>
      <c r="C270">
        <v>0.121263</v>
      </c>
      <c r="D270">
        <v>0.11359900000000001</v>
      </c>
      <c r="E270">
        <v>0.117177</v>
      </c>
      <c r="F270">
        <v>31124623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-6.6283924843423173E-2</v>
      </c>
      <c r="Q270">
        <f t="shared" si="965"/>
        <v>-2063062.1717118802</v>
      </c>
      <c r="R270">
        <f t="shared" si="966"/>
        <v>-1287771539.0427475</v>
      </c>
      <c r="S270">
        <f t="shared" si="967"/>
        <v>-12877.715390427475</v>
      </c>
      <c r="T270">
        <f t="shared" si="968"/>
        <v>-12.877715390427475</v>
      </c>
    </row>
    <row r="271" spans="1:20" x14ac:dyDescent="0.25">
      <c r="A271" s="5">
        <v>44322</v>
      </c>
      <c r="B271">
        <v>0.117366</v>
      </c>
      <c r="C271">
        <v>0.124331</v>
      </c>
      <c r="D271">
        <v>0.114345</v>
      </c>
      <c r="E271">
        <v>0.11980300000000001</v>
      </c>
      <c r="F271">
        <v>55326360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9.313038253555124E-2</v>
      </c>
      <c r="Q271">
        <f t="shared" si="965"/>
        <v>5152565.0710996203</v>
      </c>
      <c r="R271">
        <f t="shared" si="966"/>
        <v>-1285708476.8710356</v>
      </c>
      <c r="S271">
        <f t="shared" si="967"/>
        <v>-12857.084768710356</v>
      </c>
      <c r="T271">
        <f t="shared" si="968"/>
        <v>-12.857084768710356</v>
      </c>
    </row>
    <row r="272" spans="1:20" x14ac:dyDescent="0.25">
      <c r="A272" s="5">
        <v>44321</v>
      </c>
      <c r="B272">
        <v>0.10856200000000001</v>
      </c>
      <c r="C272">
        <v>0.12042899999999999</v>
      </c>
      <c r="D272">
        <v>0.10695399999999999</v>
      </c>
      <c r="E272">
        <v>0.117562</v>
      </c>
      <c r="F272">
        <v>64549663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0.5744712430426725</v>
      </c>
      <c r="Q272">
        <f t="shared" si="965"/>
        <v>37081925.141595602</v>
      </c>
      <c r="R272">
        <f t="shared" si="966"/>
        <v>-1290861041.9421351</v>
      </c>
      <c r="S272">
        <f t="shared" si="967"/>
        <v>-12908.610419421351</v>
      </c>
      <c r="T272">
        <f t="shared" si="968"/>
        <v>-12.90861041942135</v>
      </c>
    </row>
    <row r="273" spans="1:20" x14ac:dyDescent="0.25">
      <c r="A273" s="5">
        <v>44320</v>
      </c>
      <c r="B273">
        <v>0.119542</v>
      </c>
      <c r="C273">
        <v>0.1242</v>
      </c>
      <c r="D273">
        <v>0.10745300000000001</v>
      </c>
      <c r="E273">
        <v>0.108809</v>
      </c>
      <c r="F273">
        <v>63570092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-0.83806054815787945</v>
      </c>
      <c r="Q273">
        <f t="shared" si="965"/>
        <v>-53275586.147966824</v>
      </c>
      <c r="R273">
        <f t="shared" si="966"/>
        <v>-1327942967.0837307</v>
      </c>
      <c r="S273">
        <f t="shared" si="967"/>
        <v>-13279.429670837308</v>
      </c>
      <c r="T273">
        <f t="shared" si="968"/>
        <v>-13.279429670837308</v>
      </c>
    </row>
    <row r="274" spans="1:20" x14ac:dyDescent="0.25">
      <c r="A274" s="5">
        <v>44319</v>
      </c>
      <c r="B274">
        <v>0.11375200000000001</v>
      </c>
      <c r="C274">
        <v>0.12989999999999999</v>
      </c>
      <c r="D274">
        <v>0.113751</v>
      </c>
      <c r="E274">
        <v>0.11945500000000001</v>
      </c>
      <c r="F274">
        <v>111432084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-0.29357854975540199</v>
      </c>
      <c r="Q274">
        <f t="shared" si="965"/>
        <v>-32714069.616942134</v>
      </c>
      <c r="R274">
        <f t="shared" si="966"/>
        <v>-1274667380.9357638</v>
      </c>
      <c r="S274">
        <f t="shared" si="967"/>
        <v>-12746.673809357639</v>
      </c>
      <c r="T274">
        <f t="shared" si="968"/>
        <v>-12.746673809357638</v>
      </c>
    </row>
    <row r="275" spans="1:20" x14ac:dyDescent="0.25">
      <c r="A275" s="5">
        <v>44318</v>
      </c>
      <c r="B275">
        <v>0.109316</v>
      </c>
      <c r="C275">
        <v>0.12046999999999999</v>
      </c>
      <c r="D275">
        <v>0.104144</v>
      </c>
      <c r="E275">
        <v>0.113751</v>
      </c>
      <c r="F275">
        <v>63490308</v>
      </c>
      <c r="G275">
        <v>0</v>
      </c>
      <c r="L275" t="s">
        <v>8</v>
      </c>
      <c r="M275" t="s">
        <v>7</v>
      </c>
      <c r="N275" t="s">
        <v>8</v>
      </c>
      <c r="P275">
        <f t="shared" si="964"/>
        <v>0.17689574911184716</v>
      </c>
      <c r="Q275">
        <f t="shared" si="965"/>
        <v>11231165.595001902</v>
      </c>
      <c r="R275">
        <f t="shared" si="966"/>
        <v>-1241953311.3188217</v>
      </c>
      <c r="S275">
        <f t="shared" si="967"/>
        <v>-12419.533113188216</v>
      </c>
      <c r="T275">
        <f t="shared" si="968"/>
        <v>-12.419533113188216</v>
      </c>
    </row>
    <row r="276" spans="1:20" x14ac:dyDescent="0.25">
      <c r="A276" s="5">
        <v>44317</v>
      </c>
      <c r="B276">
        <v>0.11167000000000001</v>
      </c>
      <c r="C276">
        <v>0.11358500000000001</v>
      </c>
      <c r="D276">
        <v>0.10739700000000001</v>
      </c>
      <c r="E276">
        <v>0.109319</v>
      </c>
      <c r="F276">
        <v>33998014</v>
      </c>
      <c r="G276">
        <v>0</v>
      </c>
      <c r="L276" t="s">
        <v>8</v>
      </c>
      <c r="M276" t="s">
        <v>7</v>
      </c>
      <c r="N276" t="s">
        <v>8</v>
      </c>
      <c r="P276">
        <f t="shared" si="964"/>
        <v>-0.37879767291532207</v>
      </c>
      <c r="Q276">
        <f t="shared" si="965"/>
        <v>-12878368.58694254</v>
      </c>
      <c r="R276">
        <f t="shared" si="966"/>
        <v>-1253184476.9138236</v>
      </c>
      <c r="S276">
        <f t="shared" si="967"/>
        <v>-12531.844769138235</v>
      </c>
      <c r="T276">
        <f t="shared" si="968"/>
        <v>-12.531844769138235</v>
      </c>
    </row>
    <row r="277" spans="1:20" x14ac:dyDescent="0.25">
      <c r="A277" s="5">
        <v>44316</v>
      </c>
      <c r="B277">
        <v>0.104564</v>
      </c>
      <c r="C277">
        <v>0.11531</v>
      </c>
      <c r="D277">
        <v>0.102965</v>
      </c>
      <c r="E277">
        <v>0.11167299999999999</v>
      </c>
      <c r="F277">
        <v>60300229</v>
      </c>
      <c r="G277">
        <v>0</v>
      </c>
      <c r="L277" t="s">
        <v>8</v>
      </c>
      <c r="M277" t="s">
        <v>7</v>
      </c>
      <c r="N277" t="s">
        <v>8</v>
      </c>
      <c r="P277">
        <f t="shared" si="964"/>
        <v>0.41077359254758966</v>
      </c>
      <c r="Q277">
        <f t="shared" si="965"/>
        <v>24769741.69777235</v>
      </c>
      <c r="R277">
        <f t="shared" si="966"/>
        <v>-1240306108.3268812</v>
      </c>
      <c r="S277">
        <f t="shared" si="967"/>
        <v>-12403.061083268813</v>
      </c>
      <c r="T277">
        <f t="shared" si="968"/>
        <v>-12.403061083268813</v>
      </c>
    </row>
    <row r="278" spans="1:20" x14ac:dyDescent="0.25">
      <c r="A278" s="5">
        <v>44315</v>
      </c>
      <c r="B278">
        <v>0.104453</v>
      </c>
      <c r="C278">
        <v>0.109</v>
      </c>
      <c r="D278">
        <v>0.101211</v>
      </c>
      <c r="E278">
        <v>0.104655</v>
      </c>
      <c r="F278">
        <v>49311030</v>
      </c>
      <c r="G278">
        <v>0</v>
      </c>
      <c r="L278" t="s">
        <v>7</v>
      </c>
      <c r="M278" t="s">
        <v>7</v>
      </c>
      <c r="N278" t="s">
        <v>8</v>
      </c>
      <c r="P278">
        <f t="shared" si="964"/>
        <v>-0.11567595326742823</v>
      </c>
      <c r="Q278">
        <f t="shared" si="965"/>
        <v>-5704100.4018487511</v>
      </c>
      <c r="R278">
        <f t="shared" si="966"/>
        <v>-1265075850.0246534</v>
      </c>
      <c r="S278">
        <f t="shared" si="967"/>
        <v>-12650.758500246535</v>
      </c>
      <c r="T278">
        <f t="shared" si="968"/>
        <v>-12.650758500246535</v>
      </c>
    </row>
    <row r="279" spans="1:20" x14ac:dyDescent="0.25">
      <c r="A279" s="5">
        <v>44314</v>
      </c>
      <c r="B279">
        <v>0.11079799999999999</v>
      </c>
      <c r="C279">
        <v>0.116026</v>
      </c>
      <c r="D279">
        <v>0.102982</v>
      </c>
      <c r="E279">
        <v>0.104501</v>
      </c>
      <c r="F279">
        <v>79719510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-0.76709598282735469</v>
      </c>
      <c r="Q279">
        <f t="shared" si="965"/>
        <v>-61152515.873965129</v>
      </c>
      <c r="R279">
        <f t="shared" si="966"/>
        <v>-1259371749.6228046</v>
      </c>
      <c r="S279">
        <f t="shared" si="967"/>
        <v>-12593.717496228046</v>
      </c>
      <c r="T279">
        <f t="shared" si="968"/>
        <v>-12.593717496228045</v>
      </c>
    </row>
    <row r="280" spans="1:20" x14ac:dyDescent="0.25">
      <c r="A280" s="5">
        <v>44313</v>
      </c>
      <c r="B280">
        <v>0.113079</v>
      </c>
      <c r="C280">
        <v>0.1215</v>
      </c>
      <c r="D280">
        <v>0.106091</v>
      </c>
      <c r="E280">
        <v>0.11060300000000001</v>
      </c>
      <c r="F280">
        <v>138218085</v>
      </c>
      <c r="G280">
        <v>0</v>
      </c>
      <c r="L280" t="s">
        <v>7</v>
      </c>
      <c r="M280" t="s">
        <v>8</v>
      </c>
      <c r="N280" t="s">
        <v>8</v>
      </c>
      <c r="P280">
        <f t="shared" si="964"/>
        <v>-0.4143682263612169</v>
      </c>
      <c r="Q280">
        <f t="shared" si="965"/>
        <v>-57273182.732493915</v>
      </c>
      <c r="R280">
        <f t="shared" si="966"/>
        <v>-1198219233.7488396</v>
      </c>
      <c r="S280">
        <f t="shared" si="967"/>
        <v>-11982.192337488395</v>
      </c>
      <c r="T280">
        <f t="shared" si="968"/>
        <v>-11.982192337488396</v>
      </c>
    </row>
    <row r="281" spans="1:20" x14ac:dyDescent="0.25">
      <c r="A281" s="5">
        <v>44312</v>
      </c>
      <c r="B281">
        <v>7.6937000000000005E-2</v>
      </c>
      <c r="C281">
        <v>0.12764700000000001</v>
      </c>
      <c r="D281">
        <v>7.6100000000000001E-2</v>
      </c>
      <c r="E281">
        <v>0.113056</v>
      </c>
      <c r="F281">
        <v>335107606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0.43387588026461271</v>
      </c>
      <c r="Q281">
        <f t="shared" si="965"/>
        <v>145395107.53661701</v>
      </c>
      <c r="R281">
        <f t="shared" si="966"/>
        <v>-1140946051.0163457</v>
      </c>
      <c r="S281">
        <f t="shared" si="967"/>
        <v>-11409.460510163457</v>
      </c>
      <c r="T281">
        <f t="shared" si="968"/>
        <v>-11.409460510163457</v>
      </c>
    </row>
    <row r="282" spans="1:20" x14ac:dyDescent="0.25">
      <c r="A282" s="5">
        <v>44311</v>
      </c>
      <c r="B282">
        <v>7.7634999999999996E-2</v>
      </c>
      <c r="C282">
        <v>8.9899999999999994E-2</v>
      </c>
      <c r="D282">
        <v>7.1219000000000005E-2</v>
      </c>
      <c r="E282">
        <v>7.6948000000000003E-2</v>
      </c>
      <c r="F282">
        <v>79521786</v>
      </c>
      <c r="G282">
        <v>0</v>
      </c>
      <c r="L282" t="s">
        <v>8</v>
      </c>
      <c r="M282" t="s">
        <v>7</v>
      </c>
      <c r="N282" t="s">
        <v>7</v>
      </c>
      <c r="P282">
        <f t="shared" si="964"/>
        <v>-0.38664953696268922</v>
      </c>
      <c r="Q282">
        <f t="shared" si="965"/>
        <v>-30747061.735346064</v>
      </c>
      <c r="R282">
        <f t="shared" si="966"/>
        <v>-1286341158.5529628</v>
      </c>
      <c r="S282">
        <f t="shared" si="967"/>
        <v>-12863.411585529628</v>
      </c>
      <c r="T282">
        <f t="shared" si="968"/>
        <v>-12.863411585529628</v>
      </c>
    </row>
    <row r="283" spans="1:20" x14ac:dyDescent="0.25">
      <c r="A283" s="5">
        <v>44310</v>
      </c>
      <c r="B283">
        <v>8.7054999999999993E-2</v>
      </c>
      <c r="C283">
        <v>8.7499999999999994E-2</v>
      </c>
      <c r="D283">
        <v>7.6397999999999994E-2</v>
      </c>
      <c r="E283">
        <v>7.7634999999999996E-2</v>
      </c>
      <c r="F283">
        <v>42898141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-0.77715726896054727</v>
      </c>
      <c r="Q283">
        <f t="shared" si="965"/>
        <v>-33338602.10304448</v>
      </c>
      <c r="R283">
        <f t="shared" si="966"/>
        <v>-1255594096.8176167</v>
      </c>
      <c r="S283">
        <f t="shared" si="967"/>
        <v>-12555.940968176166</v>
      </c>
      <c r="T283">
        <f t="shared" si="968"/>
        <v>-12.555940968176166</v>
      </c>
    </row>
    <row r="284" spans="1:20" x14ac:dyDescent="0.25">
      <c r="A284" s="5">
        <v>44309</v>
      </c>
      <c r="B284">
        <v>8.1677E-2</v>
      </c>
      <c r="C284">
        <v>8.7639999999999996E-2</v>
      </c>
      <c r="D284">
        <v>6.8714999999999998E-2</v>
      </c>
      <c r="E284">
        <v>8.7231000000000003E-2</v>
      </c>
      <c r="F284">
        <v>82460738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0.95677675033025178</v>
      </c>
      <c r="Q284">
        <f t="shared" si="965"/>
        <v>78896516.933474302</v>
      </c>
      <c r="R284">
        <f t="shared" si="966"/>
        <v>-1222255494.7145722</v>
      </c>
      <c r="S284">
        <f t="shared" si="967"/>
        <v>-12222.554947145722</v>
      </c>
      <c r="T284">
        <f t="shared" si="968"/>
        <v>-12.222554947145722</v>
      </c>
    </row>
    <row r="285" spans="1:20" x14ac:dyDescent="0.25">
      <c r="A285" s="5">
        <v>44308</v>
      </c>
      <c r="B285">
        <v>8.9457999999999996E-2</v>
      </c>
      <c r="C285">
        <v>9.6500000000000002E-2</v>
      </c>
      <c r="D285">
        <v>8.0005000000000007E-2</v>
      </c>
      <c r="E285">
        <v>8.1713999999999995E-2</v>
      </c>
      <c r="F285">
        <v>48106185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-0.7927856926341329</v>
      </c>
      <c r="Q285">
        <f t="shared" si="965"/>
        <v>-38137895.195210733</v>
      </c>
      <c r="R285">
        <f t="shared" si="966"/>
        <v>-1301152011.6480465</v>
      </c>
      <c r="S285">
        <f t="shared" si="967"/>
        <v>-13011.520116480466</v>
      </c>
      <c r="T285">
        <f t="shared" si="968"/>
        <v>-13.011520116480465</v>
      </c>
    </row>
    <row r="286" spans="1:20" x14ac:dyDescent="0.25">
      <c r="A286" s="5">
        <v>44307</v>
      </c>
      <c r="B286">
        <v>9.3238000000000001E-2</v>
      </c>
      <c r="C286">
        <v>9.7041000000000002E-2</v>
      </c>
      <c r="D286">
        <v>8.8000999999999996E-2</v>
      </c>
      <c r="E286">
        <v>8.9458999999999997E-2</v>
      </c>
      <c r="F286">
        <v>42294631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-0.67743362831858411</v>
      </c>
      <c r="Q286">
        <f t="shared" si="965"/>
        <v>-28651805.336725667</v>
      </c>
      <c r="R286">
        <f t="shared" si="966"/>
        <v>-1263014116.4528358</v>
      </c>
      <c r="S286">
        <f t="shared" si="967"/>
        <v>-12630.141164528359</v>
      </c>
      <c r="T286">
        <f t="shared" si="968"/>
        <v>-12.630141164528359</v>
      </c>
    </row>
    <row r="287" spans="1:20" x14ac:dyDescent="0.25">
      <c r="A287" s="5">
        <v>44306</v>
      </c>
      <c r="B287">
        <v>9.3741000000000005E-2</v>
      </c>
      <c r="C287">
        <v>9.5452999999999996E-2</v>
      </c>
      <c r="D287">
        <v>8.3765999999999993E-2</v>
      </c>
      <c r="E287">
        <v>9.3016000000000001E-2</v>
      </c>
      <c r="F287">
        <v>51751879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0.58295542055275196</v>
      </c>
      <c r="Q287">
        <f t="shared" si="965"/>
        <v>30169038.386840131</v>
      </c>
      <c r="R287">
        <f t="shared" si="966"/>
        <v>-1234362311.1161101</v>
      </c>
      <c r="S287">
        <f t="shared" si="967"/>
        <v>-12343.623111161101</v>
      </c>
      <c r="T287">
        <f t="shared" si="968"/>
        <v>-12.343623111161101</v>
      </c>
    </row>
    <row r="288" spans="1:20" x14ac:dyDescent="0.25">
      <c r="A288" s="5">
        <v>44305</v>
      </c>
      <c r="B288">
        <v>0.10333100000000001</v>
      </c>
      <c r="C288">
        <v>0.10773000000000001</v>
      </c>
      <c r="D288">
        <v>9.0003E-2</v>
      </c>
      <c r="E288">
        <v>9.3742000000000006E-2</v>
      </c>
      <c r="F288">
        <v>50939887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-0.57815761268122023</v>
      </c>
      <c r="Q288">
        <f t="shared" si="965"/>
        <v>-29451283.458171126</v>
      </c>
      <c r="R288">
        <f t="shared" si="966"/>
        <v>-1264531349.5029502</v>
      </c>
      <c r="S288">
        <f t="shared" si="967"/>
        <v>-12645.313495029503</v>
      </c>
      <c r="T288">
        <f t="shared" si="968"/>
        <v>-12.645313495029502</v>
      </c>
    </row>
    <row r="289" spans="1:20" x14ac:dyDescent="0.25">
      <c r="A289" s="5">
        <v>44304</v>
      </c>
      <c r="B289">
        <v>0.117077</v>
      </c>
      <c r="C289">
        <v>0.117947</v>
      </c>
      <c r="D289">
        <v>9.3100000000000002E-2</v>
      </c>
      <c r="E289">
        <v>0.10326399999999999</v>
      </c>
      <c r="F289">
        <v>63464712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-0.18187306314645671</v>
      </c>
      <c r="Q289">
        <f t="shared" si="965"/>
        <v>-11542521.573147688</v>
      </c>
      <c r="R289">
        <f t="shared" si="966"/>
        <v>-1235080066.0447791</v>
      </c>
      <c r="S289">
        <f t="shared" si="967"/>
        <v>-12350.800660447791</v>
      </c>
      <c r="T289">
        <f t="shared" si="968"/>
        <v>-12.35080066044779</v>
      </c>
    </row>
    <row r="290" spans="1:20" x14ac:dyDescent="0.25">
      <c r="A290" s="5">
        <v>44303</v>
      </c>
      <c r="B290">
        <v>0.114369</v>
      </c>
      <c r="C290">
        <v>0.125</v>
      </c>
      <c r="D290">
        <v>0.113744</v>
      </c>
      <c r="E290">
        <v>0.117326</v>
      </c>
      <c r="F290">
        <v>79943023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-0.36353944562899765</v>
      </c>
      <c r="Q290">
        <f t="shared" si="965"/>
        <v>-29062442.263326209</v>
      </c>
      <c r="R290">
        <f t="shared" si="966"/>
        <v>-1223537544.4716313</v>
      </c>
      <c r="S290">
        <f t="shared" si="967"/>
        <v>-12235.375444716314</v>
      </c>
      <c r="T290">
        <f t="shared" si="968"/>
        <v>-12.235375444716313</v>
      </c>
    </row>
    <row r="291" spans="1:20" x14ac:dyDescent="0.25">
      <c r="A291" s="5">
        <v>44302</v>
      </c>
      <c r="B291">
        <v>0.125497</v>
      </c>
      <c r="C291">
        <v>0.128085</v>
      </c>
      <c r="D291">
        <v>0.11029</v>
      </c>
      <c r="E291">
        <v>0.114367</v>
      </c>
      <c r="F291">
        <v>52755636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-0.54178139926945812</v>
      </c>
      <c r="Q291">
        <f t="shared" si="965"/>
        <v>-28582022.291430198</v>
      </c>
      <c r="R291">
        <f t="shared" si="966"/>
        <v>-1194475102.2083051</v>
      </c>
      <c r="S291">
        <f t="shared" si="967"/>
        <v>-11944.751022083052</v>
      </c>
      <c r="T291">
        <f t="shared" si="968"/>
        <v>-11.944751022083052</v>
      </c>
    </row>
    <row r="292" spans="1:20" x14ac:dyDescent="0.25">
      <c r="A292" s="5">
        <v>44301</v>
      </c>
      <c r="B292">
        <v>0.11684</v>
      </c>
      <c r="C292">
        <v>0.129139</v>
      </c>
      <c r="D292">
        <v>0.114964</v>
      </c>
      <c r="E292">
        <v>0.125497</v>
      </c>
      <c r="F292">
        <v>73989036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0.48613756613756548</v>
      </c>
      <c r="Q292">
        <f t="shared" si="965"/>
        <v>35968849.881904714</v>
      </c>
      <c r="R292">
        <f t="shared" si="966"/>
        <v>-1165893079.9168749</v>
      </c>
      <c r="S292">
        <f t="shared" si="967"/>
        <v>-11658.930799168749</v>
      </c>
      <c r="T292">
        <f t="shared" si="968"/>
        <v>-11.658930799168749</v>
      </c>
    </row>
    <row r="293" spans="1:20" x14ac:dyDescent="0.25">
      <c r="A293" s="5">
        <v>44300</v>
      </c>
      <c r="B293">
        <v>0.113624</v>
      </c>
      <c r="C293">
        <v>0.119258</v>
      </c>
      <c r="D293">
        <v>0.108251</v>
      </c>
      <c r="E293">
        <v>0.11669</v>
      </c>
      <c r="F293">
        <v>70970153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0.53338784409920958</v>
      </c>
      <c r="Q293">
        <f t="shared" si="965"/>
        <v>37854616.904061049</v>
      </c>
      <c r="R293">
        <f t="shared" si="966"/>
        <v>-1201861929.7987795</v>
      </c>
      <c r="S293">
        <f t="shared" si="967"/>
        <v>-12018.619297987794</v>
      </c>
      <c r="T293">
        <f t="shared" si="968"/>
        <v>-12.018619297987794</v>
      </c>
    </row>
    <row r="294" spans="1:20" x14ac:dyDescent="0.25">
      <c r="A294" s="5">
        <v>44299</v>
      </c>
      <c r="B294">
        <v>0.118395</v>
      </c>
      <c r="C294">
        <v>0.11884</v>
      </c>
      <c r="D294">
        <v>0.111053</v>
      </c>
      <c r="E294">
        <v>0.1135</v>
      </c>
      <c r="F294">
        <v>56764690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-0.37151663028123694</v>
      </c>
      <c r="Q294">
        <f t="shared" si="965"/>
        <v>-21089026.347759027</v>
      </c>
      <c r="R294">
        <f t="shared" si="966"/>
        <v>-1239716546.7028406</v>
      </c>
      <c r="S294">
        <f t="shared" si="967"/>
        <v>-12397.165467028406</v>
      </c>
      <c r="T294">
        <f t="shared" si="968"/>
        <v>-12.397165467028406</v>
      </c>
    </row>
    <row r="295" spans="1:20" x14ac:dyDescent="0.25">
      <c r="A295" s="5">
        <v>44298</v>
      </c>
      <c r="B295">
        <v>0.124179</v>
      </c>
      <c r="C295">
        <v>0.12634799999999999</v>
      </c>
      <c r="D295">
        <v>0.11489199999999999</v>
      </c>
      <c r="E295">
        <v>0.11842900000000001</v>
      </c>
      <c r="F295">
        <v>57470445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-0.38250698324022098</v>
      </c>
      <c r="Q295">
        <f t="shared" si="965"/>
        <v>-21982846.54242304</v>
      </c>
      <c r="R295">
        <f t="shared" si="966"/>
        <v>-1218627520.3550816</v>
      </c>
      <c r="S295">
        <f t="shared" si="967"/>
        <v>-12186.275203550815</v>
      </c>
      <c r="T295">
        <f t="shared" si="968"/>
        <v>-12.186275203550816</v>
      </c>
    </row>
    <row r="296" spans="1:20" x14ac:dyDescent="0.25">
      <c r="A296" s="5">
        <v>44297</v>
      </c>
      <c r="B296">
        <v>0.12954499999999999</v>
      </c>
      <c r="C296">
        <v>0.13225000000000001</v>
      </c>
      <c r="D296">
        <v>0.123088</v>
      </c>
      <c r="E296">
        <v>0.1245</v>
      </c>
      <c r="F296">
        <v>33925830</v>
      </c>
      <c r="G296">
        <v>0</v>
      </c>
      <c r="L296" t="s">
        <v>8</v>
      </c>
      <c r="M296" t="s">
        <v>8</v>
      </c>
      <c r="N296" t="s">
        <v>7</v>
      </c>
      <c r="P296">
        <f t="shared" si="964"/>
        <v>-0.69177035581750801</v>
      </c>
      <c r="Q296">
        <f t="shared" si="965"/>
        <v>-23468883.490504287</v>
      </c>
      <c r="R296">
        <f t="shared" si="966"/>
        <v>-1196644673.8126585</v>
      </c>
      <c r="S296">
        <f t="shared" si="967"/>
        <v>-11966.446738126586</v>
      </c>
      <c r="T296">
        <f t="shared" si="968"/>
        <v>-11.966446738126585</v>
      </c>
    </row>
    <row r="297" spans="1:20" x14ac:dyDescent="0.25">
      <c r="A297" s="5">
        <v>44296</v>
      </c>
      <c r="B297">
        <v>0.131354</v>
      </c>
      <c r="C297">
        <v>0.14099100000000001</v>
      </c>
      <c r="D297">
        <v>0.120547</v>
      </c>
      <c r="E297">
        <v>0.13007099999999999</v>
      </c>
      <c r="F297">
        <v>69421979</v>
      </c>
      <c r="G297">
        <v>0</v>
      </c>
      <c r="L297" t="s">
        <v>7</v>
      </c>
      <c r="M297" t="s">
        <v>8</v>
      </c>
      <c r="N297" t="s">
        <v>7</v>
      </c>
      <c r="P297">
        <f t="shared" si="964"/>
        <v>-6.8284093132460477E-2</v>
      </c>
      <c r="Q297">
        <f t="shared" si="965"/>
        <v>-4740416.8794757156</v>
      </c>
      <c r="R297">
        <f t="shared" si="966"/>
        <v>-1173175790.3221543</v>
      </c>
      <c r="S297">
        <f t="shared" si="967"/>
        <v>-11731.757903221544</v>
      </c>
      <c r="T297">
        <f t="shared" si="968"/>
        <v>-11.731757903221544</v>
      </c>
    </row>
    <row r="298" spans="1:20" x14ac:dyDescent="0.25">
      <c r="A298" s="5">
        <v>44295</v>
      </c>
      <c r="B298">
        <v>0.135073</v>
      </c>
      <c r="C298">
        <v>0.13797999999999999</v>
      </c>
      <c r="D298">
        <v>0.12736600000000001</v>
      </c>
      <c r="E298">
        <v>0.131355</v>
      </c>
      <c r="F298">
        <v>86382894</v>
      </c>
      <c r="G298">
        <v>0</v>
      </c>
      <c r="L298" t="s">
        <v>7</v>
      </c>
      <c r="M298" t="s">
        <v>8</v>
      </c>
      <c r="N298" t="s">
        <v>7</v>
      </c>
      <c r="P298">
        <f t="shared" si="964"/>
        <v>-0.24835123421895641</v>
      </c>
      <c r="Q298">
        <f t="shared" si="965"/>
        <v>-21453298.340305284</v>
      </c>
      <c r="R298">
        <f t="shared" si="966"/>
        <v>-1168435373.4426785</v>
      </c>
      <c r="S298">
        <f t="shared" si="967"/>
        <v>-11684.353734426784</v>
      </c>
      <c r="T298">
        <f t="shared" si="968"/>
        <v>-11.684353734426784</v>
      </c>
    </row>
    <row r="299" spans="1:20" x14ac:dyDescent="0.25">
      <c r="A299" s="5">
        <v>44294</v>
      </c>
      <c r="B299">
        <v>0.118005</v>
      </c>
      <c r="C299">
        <v>0.14000000000000001</v>
      </c>
      <c r="D299">
        <v>0.11719499999999999</v>
      </c>
      <c r="E299">
        <v>0.13508300000000001</v>
      </c>
      <c r="F299">
        <v>105573829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0.56877877658408238</v>
      </c>
      <c r="Q299">
        <f t="shared" si="965"/>
        <v>60048153.29791712</v>
      </c>
      <c r="R299">
        <f t="shared" si="966"/>
        <v>-1146982075.1023731</v>
      </c>
      <c r="S299">
        <f t="shared" si="967"/>
        <v>-11469.820751023732</v>
      </c>
      <c r="T299">
        <f t="shared" si="968"/>
        <v>-11.469820751023732</v>
      </c>
    </row>
    <row r="300" spans="1:20" x14ac:dyDescent="0.25">
      <c r="A300" s="5">
        <v>44293</v>
      </c>
      <c r="B300">
        <v>0.132496</v>
      </c>
      <c r="C300">
        <v>0.133993</v>
      </c>
      <c r="D300">
        <v>0.109828</v>
      </c>
      <c r="E300">
        <v>0.118669</v>
      </c>
      <c r="F300">
        <v>117928389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-0.26828057107386721</v>
      </c>
      <c r="Q300">
        <f t="shared" si="965"/>
        <v>-31637895.546741161</v>
      </c>
      <c r="R300">
        <f t="shared" si="966"/>
        <v>-1207030228.4002903</v>
      </c>
      <c r="S300">
        <f t="shared" si="967"/>
        <v>-12070.302284002903</v>
      </c>
      <c r="T300">
        <f t="shared" si="968"/>
        <v>-12.070302284002903</v>
      </c>
    </row>
    <row r="301" spans="1:20" x14ac:dyDescent="0.25">
      <c r="A301" s="5">
        <v>44292</v>
      </c>
      <c r="B301">
        <v>0.145174</v>
      </c>
      <c r="C301">
        <v>0.154999</v>
      </c>
      <c r="D301">
        <v>0.12671399999999999</v>
      </c>
      <c r="E301">
        <v>0.13212299999999999</v>
      </c>
      <c r="F301">
        <v>115677676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-0.6175357963584942</v>
      </c>
      <c r="Q301">
        <f t="shared" si="965"/>
        <v>-71435105.769559875</v>
      </c>
      <c r="R301">
        <f t="shared" si="966"/>
        <v>-1175392332.853549</v>
      </c>
      <c r="S301">
        <f t="shared" si="967"/>
        <v>-11753.923328535489</v>
      </c>
      <c r="T301">
        <f t="shared" si="968"/>
        <v>-11.753923328535489</v>
      </c>
    </row>
    <row r="302" spans="1:20" x14ac:dyDescent="0.25">
      <c r="A302" s="5">
        <v>44291</v>
      </c>
      <c r="B302">
        <v>0.14010300000000001</v>
      </c>
      <c r="C302">
        <v>0.15943499999999999</v>
      </c>
      <c r="D302">
        <v>0.13400000000000001</v>
      </c>
      <c r="E302">
        <v>0.145145</v>
      </c>
      <c r="F302">
        <v>195324274</v>
      </c>
      <c r="G302">
        <v>0</v>
      </c>
      <c r="L302" t="s">
        <v>8</v>
      </c>
      <c r="M302" t="s">
        <v>8</v>
      </c>
      <c r="N302" t="s">
        <v>7</v>
      </c>
      <c r="P302">
        <f t="shared" si="964"/>
        <v>-0.12364851582465149</v>
      </c>
      <c r="Q302">
        <f t="shared" si="965"/>
        <v>-24151556.584627561</v>
      </c>
      <c r="R302">
        <f t="shared" si="966"/>
        <v>-1103957227.0839891</v>
      </c>
      <c r="S302">
        <f t="shared" si="967"/>
        <v>-11039.572270839892</v>
      </c>
      <c r="T302">
        <f t="shared" si="968"/>
        <v>-11.039572270839892</v>
      </c>
    </row>
    <row r="303" spans="1:20" x14ac:dyDescent="0.25">
      <c r="A303" s="5">
        <v>44290</v>
      </c>
      <c r="B303">
        <v>0.13930100000000001</v>
      </c>
      <c r="C303">
        <v>0.17199999999999999</v>
      </c>
      <c r="D303">
        <v>0.1331</v>
      </c>
      <c r="E303">
        <v>0.14038</v>
      </c>
      <c r="F303">
        <v>502710083</v>
      </c>
      <c r="G303">
        <v>0</v>
      </c>
      <c r="L303" t="s">
        <v>7</v>
      </c>
      <c r="M303" t="s">
        <v>7</v>
      </c>
      <c r="N303" t="s">
        <v>7</v>
      </c>
      <c r="P303">
        <f t="shared" si="964"/>
        <v>-0.62570694087403544</v>
      </c>
      <c r="Q303">
        <f t="shared" si="965"/>
        <v>-314549188.18046248</v>
      </c>
      <c r="R303">
        <f t="shared" si="966"/>
        <v>-1079805670.4993615</v>
      </c>
      <c r="S303">
        <f t="shared" si="967"/>
        <v>-10798.056704993614</v>
      </c>
      <c r="T303">
        <f t="shared" si="968"/>
        <v>-10.798056704993614</v>
      </c>
    </row>
    <row r="304" spans="1:20" x14ac:dyDescent="0.25">
      <c r="A304" s="5">
        <v>44289</v>
      </c>
      <c r="B304">
        <v>0.10831499999999999</v>
      </c>
      <c r="C304">
        <v>0.182</v>
      </c>
      <c r="D304">
        <v>0.10767699999999999</v>
      </c>
      <c r="E304">
        <v>0.13960700000000001</v>
      </c>
      <c r="F304">
        <v>789220617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-0.14077741748852943</v>
      </c>
      <c r="Q304">
        <f t="shared" si="965"/>
        <v>-111104440.28996378</v>
      </c>
      <c r="R304">
        <f t="shared" si="966"/>
        <v>-765256482.31889915</v>
      </c>
      <c r="S304">
        <f t="shared" si="967"/>
        <v>-7652.5648231889918</v>
      </c>
      <c r="T304">
        <f t="shared" si="968"/>
        <v>-7.6525648231889916</v>
      </c>
    </row>
    <row r="305" spans="1:20" x14ac:dyDescent="0.25">
      <c r="A305" s="5">
        <v>44288</v>
      </c>
      <c r="B305">
        <v>0.115873</v>
      </c>
      <c r="C305">
        <v>0.12336999999999999</v>
      </c>
      <c r="D305">
        <v>0.105962</v>
      </c>
      <c r="E305">
        <v>0.10849300000000001</v>
      </c>
      <c r="F305">
        <v>107215440</v>
      </c>
      <c r="G305">
        <v>0</v>
      </c>
      <c r="L305" t="s">
        <v>7</v>
      </c>
      <c r="M305" t="s">
        <v>7</v>
      </c>
      <c r="N305" t="s">
        <v>7</v>
      </c>
      <c r="P305">
        <f t="shared" si="964"/>
        <v>-0.70921415441176394</v>
      </c>
      <c r="Q305">
        <f t="shared" si="965"/>
        <v>-76038707.619485214</v>
      </c>
      <c r="R305">
        <f t="shared" si="966"/>
        <v>-654152042.02893543</v>
      </c>
      <c r="S305">
        <f t="shared" si="967"/>
        <v>-6541.5204202893547</v>
      </c>
      <c r="T305">
        <f t="shared" si="968"/>
        <v>-6.5415204202893547</v>
      </c>
    </row>
    <row r="306" spans="1:20" x14ac:dyDescent="0.25">
      <c r="A306" s="5">
        <v>44287</v>
      </c>
      <c r="B306">
        <v>0.12920999999999999</v>
      </c>
      <c r="C306">
        <v>0.129828</v>
      </c>
      <c r="D306">
        <v>0.1135</v>
      </c>
      <c r="E306">
        <v>0.116199</v>
      </c>
      <c r="F306">
        <v>115924914</v>
      </c>
      <c r="G306">
        <v>0</v>
      </c>
      <c r="L306" t="s">
        <v>7</v>
      </c>
      <c r="M306" t="s">
        <v>7</v>
      </c>
      <c r="N306" t="s">
        <v>8</v>
      </c>
      <c r="P306">
        <f t="shared" si="964"/>
        <v>-0.66940225379715901</v>
      </c>
      <c r="Q306">
        <f t="shared" si="965"/>
        <v>-77600398.702841833</v>
      </c>
      <c r="R306">
        <f t="shared" si="966"/>
        <v>-578113334.40945017</v>
      </c>
      <c r="S306">
        <f t="shared" si="967"/>
        <v>-5781.1333440945018</v>
      </c>
      <c r="T306">
        <f t="shared" si="968"/>
        <v>-5.7811333440945019</v>
      </c>
    </row>
    <row r="307" spans="1:20" x14ac:dyDescent="0.25">
      <c r="A307" s="5">
        <v>44286</v>
      </c>
      <c r="B307">
        <v>0.12564400000000001</v>
      </c>
      <c r="C307">
        <v>0.14999899999999999</v>
      </c>
      <c r="D307">
        <v>0.1176</v>
      </c>
      <c r="E307">
        <v>0.12978700000000001</v>
      </c>
      <c r="F307">
        <v>347665351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-0.24769283002561696</v>
      </c>
      <c r="Q307">
        <f t="shared" si="965"/>
        <v>-86114214.691039458</v>
      </c>
      <c r="R307">
        <f t="shared" si="966"/>
        <v>-500512935.7066083</v>
      </c>
      <c r="S307">
        <f t="shared" si="967"/>
        <v>-5005.1293570660828</v>
      </c>
      <c r="T307">
        <f t="shared" si="968"/>
        <v>-5.0051293570660826</v>
      </c>
    </row>
    <row r="308" spans="1:20" x14ac:dyDescent="0.25">
      <c r="A308" s="5">
        <v>44285</v>
      </c>
      <c r="B308">
        <v>0.104</v>
      </c>
      <c r="C308">
        <v>0.128911</v>
      </c>
      <c r="D308">
        <v>9.8225999999999994E-2</v>
      </c>
      <c r="E308">
        <v>0.125751</v>
      </c>
      <c r="F308">
        <v>243388059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0.79403617402639759</v>
      </c>
      <c r="Q308">
        <f t="shared" si="965"/>
        <v>193258923.17207113</v>
      </c>
      <c r="R308">
        <f t="shared" si="966"/>
        <v>-414398721.01556885</v>
      </c>
      <c r="S308">
        <f t="shared" si="967"/>
        <v>-4143.9872101556884</v>
      </c>
      <c r="T308">
        <f t="shared" si="968"/>
        <v>-4.1439872101556885</v>
      </c>
    </row>
    <row r="309" spans="1:20" x14ac:dyDescent="0.25">
      <c r="A309" s="5">
        <v>44284</v>
      </c>
      <c r="B309">
        <v>8.8931999999999997E-2</v>
      </c>
      <c r="C309">
        <v>0.104196</v>
      </c>
      <c r="D309">
        <v>8.8090000000000002E-2</v>
      </c>
      <c r="E309">
        <v>0.104</v>
      </c>
      <c r="F309">
        <v>122324959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0.97566124425679845</v>
      </c>
      <c r="Q309">
        <f t="shared" si="965"/>
        <v>119347721.70160186</v>
      </c>
      <c r="R309">
        <f t="shared" si="966"/>
        <v>-607657644.18763995</v>
      </c>
      <c r="S309">
        <f t="shared" si="967"/>
        <v>-6076.5764418763993</v>
      </c>
      <c r="T309">
        <f t="shared" si="968"/>
        <v>-6.0765764418763997</v>
      </c>
    </row>
    <row r="310" spans="1:20" x14ac:dyDescent="0.25">
      <c r="A310" s="5">
        <v>44283</v>
      </c>
      <c r="B310">
        <v>8.7386000000000005E-2</v>
      </c>
      <c r="C310">
        <v>9.1999999999999998E-2</v>
      </c>
      <c r="D310">
        <v>8.5611000000000007E-2</v>
      </c>
      <c r="E310">
        <v>8.8931999999999997E-2</v>
      </c>
      <c r="F310">
        <v>54005825</v>
      </c>
      <c r="G310">
        <v>0</v>
      </c>
      <c r="L310" t="s">
        <v>7</v>
      </c>
      <c r="M310" t="s">
        <v>8</v>
      </c>
      <c r="N310" t="s">
        <v>7</v>
      </c>
      <c r="P310">
        <f t="shared" si="964"/>
        <v>3.9599311316323313E-2</v>
      </c>
      <c r="Q310">
        <f t="shared" si="965"/>
        <v>2138593.4770698766</v>
      </c>
      <c r="R310">
        <f t="shared" si="966"/>
        <v>-727005365.88924181</v>
      </c>
      <c r="S310">
        <f t="shared" si="967"/>
        <v>-7270.0536588924178</v>
      </c>
      <c r="T310">
        <f t="shared" si="968"/>
        <v>-7.2700536588924178</v>
      </c>
    </row>
    <row r="311" spans="1:20" x14ac:dyDescent="0.25">
      <c r="A311" s="5">
        <v>44282</v>
      </c>
      <c r="B311">
        <v>8.9207999999999996E-2</v>
      </c>
      <c r="C311">
        <v>9.69E-2</v>
      </c>
      <c r="D311">
        <v>8.4395999999999999E-2</v>
      </c>
      <c r="E311">
        <v>8.7386000000000005E-2</v>
      </c>
      <c r="F311">
        <v>90075762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-0.52175303902751025</v>
      </c>
      <c r="Q311">
        <f t="shared" si="965"/>
        <v>-46997302.566218726</v>
      </c>
      <c r="R311">
        <f t="shared" si="966"/>
        <v>-729143959.36631167</v>
      </c>
      <c r="S311">
        <f t="shared" si="967"/>
        <v>-7291.4395936631163</v>
      </c>
      <c r="T311">
        <f t="shared" si="968"/>
        <v>-7.2914395936631164</v>
      </c>
    </row>
    <row r="312" spans="1:20" x14ac:dyDescent="0.25">
      <c r="A312" s="5">
        <v>44281</v>
      </c>
      <c r="B312">
        <v>7.4518000000000001E-2</v>
      </c>
      <c r="C312">
        <v>9.1466000000000006E-2</v>
      </c>
      <c r="D312">
        <v>7.3859999999999995E-2</v>
      </c>
      <c r="E312">
        <v>8.8982000000000006E-2</v>
      </c>
      <c r="F312">
        <v>132054982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0.71782346927183927</v>
      </c>
      <c r="Q312">
        <f t="shared" si="965"/>
        <v>94792165.313870281</v>
      </c>
      <c r="R312">
        <f t="shared" si="966"/>
        <v>-682146656.80009294</v>
      </c>
      <c r="S312">
        <f t="shared" si="967"/>
        <v>-6821.4665680009293</v>
      </c>
      <c r="T312">
        <f t="shared" si="968"/>
        <v>-6.821466568000929</v>
      </c>
    </row>
    <row r="313" spans="1:20" x14ac:dyDescent="0.25">
      <c r="A313" s="5">
        <v>44280</v>
      </c>
      <c r="B313">
        <v>8.1499000000000002E-2</v>
      </c>
      <c r="C313">
        <v>8.4098999999999993E-2</v>
      </c>
      <c r="D313">
        <v>7.0879999999999999E-2</v>
      </c>
      <c r="E313">
        <v>7.4514999999999998E-2</v>
      </c>
      <c r="F313">
        <v>61913211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-0.45003404190937274</v>
      </c>
      <c r="Q313">
        <f t="shared" si="965"/>
        <v>-27863052.593917836</v>
      </c>
      <c r="R313">
        <f t="shared" si="966"/>
        <v>-776938822.11396325</v>
      </c>
      <c r="S313">
        <f t="shared" si="967"/>
        <v>-7769.3882211396322</v>
      </c>
      <c r="T313">
        <f t="shared" si="968"/>
        <v>-7.7693882211396321</v>
      </c>
    </row>
    <row r="314" spans="1:20" x14ac:dyDescent="0.25">
      <c r="A314" s="5">
        <v>44279</v>
      </c>
      <c r="B314">
        <v>9.1499999999999998E-2</v>
      </c>
      <c r="C314">
        <v>9.4426999999999997E-2</v>
      </c>
      <c r="D314">
        <v>8.1048999999999996E-2</v>
      </c>
      <c r="E314">
        <v>8.1498000000000001E-2</v>
      </c>
      <c r="F314">
        <v>68148389</v>
      </c>
      <c r="G314">
        <v>0</v>
      </c>
      <c r="L314" t="s">
        <v>8</v>
      </c>
      <c r="M314" t="s">
        <v>8</v>
      </c>
      <c r="N314" t="s">
        <v>7</v>
      </c>
      <c r="P314">
        <f t="shared" si="964"/>
        <v>-0.93287486918821871</v>
      </c>
      <c r="Q314">
        <f t="shared" si="965"/>
        <v>-63573919.47376284</v>
      </c>
      <c r="R314">
        <f t="shared" si="966"/>
        <v>-749075769.5200454</v>
      </c>
      <c r="S314">
        <f t="shared" si="967"/>
        <v>-7490.7576952004538</v>
      </c>
      <c r="T314">
        <f t="shared" si="968"/>
        <v>-7.490757695200454</v>
      </c>
    </row>
    <row r="315" spans="1:20" x14ac:dyDescent="0.25">
      <c r="A315" s="5">
        <v>44278</v>
      </c>
      <c r="B315">
        <v>8.5139999999999993E-2</v>
      </c>
      <c r="C315">
        <v>0.10191799999999999</v>
      </c>
      <c r="D315">
        <v>7.6991000000000004E-2</v>
      </c>
      <c r="E315">
        <v>9.1499999999999998E-2</v>
      </c>
      <c r="F315">
        <v>175568294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0.16411922814618682</v>
      </c>
      <c r="Q315">
        <f t="shared" si="965"/>
        <v>28814132.898222804</v>
      </c>
      <c r="R315">
        <f t="shared" si="966"/>
        <v>-685501850.04628253</v>
      </c>
      <c r="S315">
        <f t="shared" si="967"/>
        <v>-6855.0185004628256</v>
      </c>
      <c r="T315">
        <f t="shared" si="968"/>
        <v>-6.8550185004628252</v>
      </c>
    </row>
    <row r="316" spans="1:20" x14ac:dyDescent="0.25">
      <c r="A316" s="5">
        <v>44277</v>
      </c>
      <c r="B316">
        <v>9.1336000000000001E-2</v>
      </c>
      <c r="C316">
        <v>9.5295000000000005E-2</v>
      </c>
      <c r="D316">
        <v>8.2761000000000001E-2</v>
      </c>
      <c r="E316">
        <v>8.5350999999999996E-2</v>
      </c>
      <c r="F316">
        <v>50867480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-0.58672411041965944</v>
      </c>
      <c r="Q316">
        <f t="shared" si="965"/>
        <v>-29845176.95228982</v>
      </c>
      <c r="R316">
        <f t="shared" si="966"/>
        <v>-714315982.94450533</v>
      </c>
      <c r="S316">
        <f t="shared" si="967"/>
        <v>-7143.1598294450532</v>
      </c>
      <c r="T316">
        <f t="shared" si="968"/>
        <v>-7.1431598294450529</v>
      </c>
    </row>
    <row r="317" spans="1:20" x14ac:dyDescent="0.25">
      <c r="A317" s="5">
        <v>44276</v>
      </c>
      <c r="B317">
        <v>8.9222999999999997E-2</v>
      </c>
      <c r="C317">
        <v>9.1535000000000005E-2</v>
      </c>
      <c r="D317">
        <v>8.6152000000000006E-2</v>
      </c>
      <c r="E317">
        <v>9.1335E-2</v>
      </c>
      <c r="F317">
        <v>32613608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0.92569199331227725</v>
      </c>
      <c r="Q317">
        <f t="shared" si="965"/>
        <v>30190155.798625231</v>
      </c>
      <c r="R317">
        <f t="shared" si="966"/>
        <v>-684470805.99221551</v>
      </c>
      <c r="S317">
        <f t="shared" si="967"/>
        <v>-6844.7080599221554</v>
      </c>
      <c r="T317">
        <f t="shared" si="968"/>
        <v>-6.844708059922155</v>
      </c>
    </row>
    <row r="318" spans="1:20" x14ac:dyDescent="0.25">
      <c r="A318" s="5">
        <v>44275</v>
      </c>
      <c r="B318">
        <v>9.5348000000000002E-2</v>
      </c>
      <c r="C318">
        <v>9.7734000000000001E-2</v>
      </c>
      <c r="D318">
        <v>8.8756000000000002E-2</v>
      </c>
      <c r="E318">
        <v>8.9474999999999999E-2</v>
      </c>
      <c r="F318">
        <v>48894253</v>
      </c>
      <c r="G318">
        <v>0</v>
      </c>
      <c r="L318" t="s">
        <v>8</v>
      </c>
      <c r="M318" t="s">
        <v>7</v>
      </c>
      <c r="N318" t="s">
        <v>7</v>
      </c>
      <c r="P318">
        <f t="shared" si="964"/>
        <v>-0.83983069725996939</v>
      </c>
      <c r="Q318">
        <f t="shared" si="965"/>
        <v>-41062894.588995352</v>
      </c>
      <c r="R318">
        <f t="shared" si="966"/>
        <v>-714660961.79084074</v>
      </c>
      <c r="S318">
        <f t="shared" si="967"/>
        <v>-7146.609617908407</v>
      </c>
      <c r="T318">
        <f t="shared" si="968"/>
        <v>-7.1466096179084069</v>
      </c>
    </row>
    <row r="319" spans="1:20" x14ac:dyDescent="0.25">
      <c r="A319" s="5">
        <v>44274</v>
      </c>
      <c r="B319">
        <v>9.1391E-2</v>
      </c>
      <c r="C319">
        <v>0.101808</v>
      </c>
      <c r="D319">
        <v>8.6683999999999997E-2</v>
      </c>
      <c r="E319">
        <v>9.5205999999999999E-2</v>
      </c>
      <c r="F319">
        <v>109478589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0.12695054218460758</v>
      </c>
      <c r="Q319">
        <f t="shared" si="965"/>
        <v>13898366.231155815</v>
      </c>
      <c r="R319">
        <f t="shared" si="966"/>
        <v>-673598067.20184541</v>
      </c>
      <c r="S319">
        <f t="shared" si="967"/>
        <v>-6735.9806720184542</v>
      </c>
      <c r="T319">
        <f t="shared" si="968"/>
        <v>-6.7359806720184539</v>
      </c>
    </row>
    <row r="320" spans="1:20" x14ac:dyDescent="0.25">
      <c r="A320" s="5">
        <v>44273</v>
      </c>
      <c r="B320">
        <v>0.100261</v>
      </c>
      <c r="C320">
        <v>0.100769</v>
      </c>
      <c r="D320">
        <v>8.8888999999999996E-2</v>
      </c>
      <c r="E320">
        <v>9.1760999999999995E-2</v>
      </c>
      <c r="F320">
        <v>68538444</v>
      </c>
      <c r="G320">
        <v>0</v>
      </c>
      <c r="L320" t="s">
        <v>7</v>
      </c>
      <c r="M320" t="s">
        <v>7</v>
      </c>
      <c r="N320" t="s">
        <v>7</v>
      </c>
      <c r="P320">
        <f t="shared" si="964"/>
        <v>-0.51649831649831668</v>
      </c>
      <c r="Q320">
        <f t="shared" si="965"/>
        <v>-35399990.941414155</v>
      </c>
      <c r="R320">
        <f t="shared" si="966"/>
        <v>-687496433.43300128</v>
      </c>
      <c r="S320">
        <f t="shared" si="967"/>
        <v>-6874.9643343300131</v>
      </c>
      <c r="T320">
        <f t="shared" si="968"/>
        <v>-6.8749643343300129</v>
      </c>
    </row>
    <row r="321" spans="1:20" x14ac:dyDescent="0.25">
      <c r="A321" s="5">
        <v>44272</v>
      </c>
      <c r="B321">
        <v>9.9693000000000004E-2</v>
      </c>
      <c r="C321">
        <v>0.100482</v>
      </c>
      <c r="D321">
        <v>9.0523000000000006E-2</v>
      </c>
      <c r="E321">
        <v>9.9628999999999995E-2</v>
      </c>
      <c r="F321">
        <v>84954542</v>
      </c>
      <c r="G321">
        <v>0</v>
      </c>
      <c r="L321" t="s">
        <v>7</v>
      </c>
      <c r="M321" t="s">
        <v>7</v>
      </c>
      <c r="N321" t="s">
        <v>7</v>
      </c>
      <c r="P321">
        <f t="shared" si="964"/>
        <v>0.82869766040767001</v>
      </c>
      <c r="Q321">
        <f t="shared" si="965"/>
        <v>70401630.196405143</v>
      </c>
      <c r="R321">
        <f t="shared" si="966"/>
        <v>-652096442.49158716</v>
      </c>
      <c r="S321">
        <f t="shared" si="967"/>
        <v>-6520.9644249158719</v>
      </c>
      <c r="T321">
        <f t="shared" si="968"/>
        <v>-6.5209644249158716</v>
      </c>
    </row>
    <row r="322" spans="1:20" x14ac:dyDescent="0.25">
      <c r="A322" s="5">
        <v>44271</v>
      </c>
      <c r="B322">
        <v>0.107305</v>
      </c>
      <c r="C322">
        <v>0.108954</v>
      </c>
      <c r="D322">
        <v>9.7196000000000005E-2</v>
      </c>
      <c r="E322">
        <v>9.9652000000000004E-2</v>
      </c>
      <c r="F322">
        <v>77801690</v>
      </c>
      <c r="G322">
        <v>0</v>
      </c>
      <c r="L322" t="s">
        <v>8</v>
      </c>
      <c r="M322" t="s">
        <v>7</v>
      </c>
      <c r="N322" t="s">
        <v>8</v>
      </c>
      <c r="P322">
        <f t="shared" si="964"/>
        <v>-0.58224187787038584</v>
      </c>
      <c r="Q322">
        <f t="shared" si="965"/>
        <v>-45299402.087089621</v>
      </c>
      <c r="R322">
        <f t="shared" si="966"/>
        <v>-722498072.68799233</v>
      </c>
      <c r="S322">
        <f t="shared" si="967"/>
        <v>-7224.9807268799232</v>
      </c>
      <c r="T322">
        <f t="shared" si="968"/>
        <v>-7.2249807268799229</v>
      </c>
    </row>
    <row r="323" spans="1:20" x14ac:dyDescent="0.25">
      <c r="A323" s="5">
        <v>44270</v>
      </c>
      <c r="B323">
        <v>0.115177</v>
      </c>
      <c r="C323">
        <v>0.12670000000000001</v>
      </c>
      <c r="D323">
        <v>9.8463999999999996E-2</v>
      </c>
      <c r="E323">
        <v>0.107207</v>
      </c>
      <c r="F323">
        <v>167737295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-0.38071964867545</v>
      </c>
      <c r="Q323">
        <f t="shared" si="965"/>
        <v>-63860884.022170313</v>
      </c>
      <c r="R323">
        <f t="shared" si="966"/>
        <v>-677198670.60090268</v>
      </c>
      <c r="S323">
        <f t="shared" si="967"/>
        <v>-6771.9867060090264</v>
      </c>
      <c r="T323">
        <f t="shared" si="968"/>
        <v>-6.7719867060090264</v>
      </c>
    </row>
    <row r="324" spans="1:20" x14ac:dyDescent="0.25">
      <c r="A324" s="5">
        <v>44269</v>
      </c>
      <c r="B324">
        <v>0.100399</v>
      </c>
      <c r="C324">
        <v>0.12670000000000001</v>
      </c>
      <c r="D324">
        <v>9.4759999999999997E-2</v>
      </c>
      <c r="E324">
        <v>0.115176</v>
      </c>
      <c r="F324">
        <v>192874341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0.27839699436443316</v>
      </c>
      <c r="Q324">
        <f t="shared" si="965"/>
        <v>53695636.824420758</v>
      </c>
      <c r="R324">
        <f t="shared" si="966"/>
        <v>-613337786.57873237</v>
      </c>
      <c r="S324">
        <f t="shared" si="967"/>
        <v>-6133.3778657873236</v>
      </c>
      <c r="T324">
        <f t="shared" si="968"/>
        <v>-6.1333778657873239</v>
      </c>
    </row>
    <row r="325" spans="1:20" x14ac:dyDescent="0.25">
      <c r="A325" s="5">
        <v>44268</v>
      </c>
      <c r="B325">
        <v>8.9954000000000006E-2</v>
      </c>
      <c r="C325">
        <v>0.112439</v>
      </c>
      <c r="D325">
        <v>8.6728E-2</v>
      </c>
      <c r="E325">
        <v>0.100998</v>
      </c>
      <c r="F325">
        <v>159361691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0.11003072614834165</v>
      </c>
      <c r="Q325">
        <f t="shared" si="965"/>
        <v>17534682.580957644</v>
      </c>
      <c r="R325">
        <f t="shared" si="966"/>
        <v>-667033423.40315318</v>
      </c>
      <c r="S325">
        <f t="shared" si="967"/>
        <v>-6670.3342340315321</v>
      </c>
      <c r="T325">
        <f t="shared" si="968"/>
        <v>-6.6703342340315324</v>
      </c>
    </row>
    <row r="326" spans="1:20" x14ac:dyDescent="0.25">
      <c r="A326" s="5">
        <v>44267</v>
      </c>
      <c r="B326">
        <v>9.3188999999999994E-2</v>
      </c>
      <c r="C326">
        <v>9.9210000000000007E-2</v>
      </c>
      <c r="D326">
        <v>8.2322000000000006E-2</v>
      </c>
      <c r="E326">
        <v>8.9950000000000002E-2</v>
      </c>
      <c r="F326">
        <v>174199255</v>
      </c>
      <c r="G326">
        <v>0</v>
      </c>
      <c r="L326" t="s">
        <v>8</v>
      </c>
      <c r="M326" t="s">
        <v>8</v>
      </c>
      <c r="N326" t="s">
        <v>7</v>
      </c>
      <c r="P326">
        <f t="shared" ref="P326:P389" si="969">IF(C326=D326,0,((E326-D326)-(C326-E326))/(C326-D326))</f>
        <v>-9.6636665087636686E-2</v>
      </c>
      <c r="Q326">
        <f t="shared" ref="Q326:Q389" si="970">F326*P326</f>
        <v>-16834035.063950822</v>
      </c>
      <c r="R326">
        <f t="shared" ref="R326:R389" si="971">R327+Q326</f>
        <v>-684568105.98411083</v>
      </c>
      <c r="S326">
        <f t="shared" ref="S326:S389" si="972">R326/100000</f>
        <v>-6845.6810598411084</v>
      </c>
      <c r="T326">
        <f t="shared" ref="T326:T389" si="973">S326/1000</f>
        <v>-6.8456810598411089</v>
      </c>
    </row>
    <row r="327" spans="1:20" x14ac:dyDescent="0.25">
      <c r="A327" s="5">
        <v>44266</v>
      </c>
      <c r="B327">
        <v>8.4392999999999996E-2</v>
      </c>
      <c r="C327">
        <v>0.1</v>
      </c>
      <c r="D327">
        <v>7.7895000000000006E-2</v>
      </c>
      <c r="E327">
        <v>9.3487000000000001E-2</v>
      </c>
      <c r="F327">
        <v>237449046</v>
      </c>
      <c r="G327">
        <v>0</v>
      </c>
      <c r="L327" t="s">
        <v>7</v>
      </c>
      <c r="M327" t="s">
        <v>7</v>
      </c>
      <c r="N327" t="s">
        <v>7</v>
      </c>
      <c r="P327">
        <f t="shared" si="969"/>
        <v>0.41072155620900203</v>
      </c>
      <c r="Q327">
        <f t="shared" si="970"/>
        <v>97525441.693462908</v>
      </c>
      <c r="R327">
        <f t="shared" si="971"/>
        <v>-667734070.92016006</v>
      </c>
      <c r="S327">
        <f t="shared" si="972"/>
        <v>-6677.3407092016005</v>
      </c>
      <c r="T327">
        <f t="shared" si="973"/>
        <v>-6.6773407092016006</v>
      </c>
    </row>
    <row r="328" spans="1:20" x14ac:dyDescent="0.25">
      <c r="A328" s="5">
        <v>44265</v>
      </c>
      <c r="B328">
        <v>9.1928999999999997E-2</v>
      </c>
      <c r="C328">
        <v>0.1148</v>
      </c>
      <c r="D328">
        <v>8.1380999999999995E-2</v>
      </c>
      <c r="E328">
        <v>8.4012000000000003E-2</v>
      </c>
      <c r="F328">
        <v>355154833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-0.84254466022322583</v>
      </c>
      <c r="Q328">
        <f t="shared" si="970"/>
        <v>-299233808.09662151</v>
      </c>
      <c r="R328">
        <f t="shared" si="971"/>
        <v>-765259512.6136229</v>
      </c>
      <c r="S328">
        <f t="shared" si="972"/>
        <v>-7652.5951261362288</v>
      </c>
      <c r="T328">
        <f t="shared" si="973"/>
        <v>-7.6525951261362284</v>
      </c>
    </row>
    <row r="329" spans="1:20" x14ac:dyDescent="0.25">
      <c r="A329" s="5">
        <v>44264</v>
      </c>
      <c r="B329">
        <v>6.7272999999999999E-2</v>
      </c>
      <c r="C329">
        <v>9.7000000000000003E-2</v>
      </c>
      <c r="D329">
        <v>6.6952999999999999E-2</v>
      </c>
      <c r="E329">
        <v>9.1928999999999997E-2</v>
      </c>
      <c r="F329">
        <v>306843447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0.66246214264319203</v>
      </c>
      <c r="Q329">
        <f t="shared" si="970"/>
        <v>203272167.35564274</v>
      </c>
      <c r="R329">
        <f t="shared" si="971"/>
        <v>-466025704.51700145</v>
      </c>
      <c r="S329">
        <f t="shared" si="972"/>
        <v>-4660.2570451700149</v>
      </c>
      <c r="T329">
        <f t="shared" si="973"/>
        <v>-4.6602570451700149</v>
      </c>
    </row>
    <row r="330" spans="1:20" x14ac:dyDescent="0.25">
      <c r="A330" s="5">
        <v>44263</v>
      </c>
      <c r="B330">
        <v>5.9499999999999997E-2</v>
      </c>
      <c r="C330">
        <v>7.2568999999999995E-2</v>
      </c>
      <c r="D330">
        <v>5.8799999999999998E-2</v>
      </c>
      <c r="E330">
        <v>6.7000000000000004E-2</v>
      </c>
      <c r="F330">
        <v>201359737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0.19108141477231577</v>
      </c>
      <c r="Q330">
        <f t="shared" si="970"/>
        <v>38476103.424141422</v>
      </c>
      <c r="R330">
        <f t="shared" si="971"/>
        <v>-669297871.87264419</v>
      </c>
      <c r="S330">
        <f t="shared" si="972"/>
        <v>-6692.9787187264419</v>
      </c>
      <c r="T330">
        <f t="shared" si="973"/>
        <v>-6.692978718726442</v>
      </c>
    </row>
    <row r="331" spans="1:20" x14ac:dyDescent="0.25">
      <c r="A331" s="5">
        <v>44262</v>
      </c>
      <c r="B331">
        <v>4.7357999999999997E-2</v>
      </c>
      <c r="C331">
        <v>6.4885999999999999E-2</v>
      </c>
      <c r="D331">
        <v>4.7357999999999997E-2</v>
      </c>
      <c r="E331">
        <v>5.9499999999999997E-2</v>
      </c>
      <c r="F331">
        <v>228821228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0.38544043815609297</v>
      </c>
      <c r="Q331">
        <f t="shared" si="970"/>
        <v>88196954.379735246</v>
      </c>
      <c r="R331">
        <f t="shared" si="971"/>
        <v>-707773975.29678559</v>
      </c>
      <c r="S331">
        <f t="shared" si="972"/>
        <v>-7077.7397529678556</v>
      </c>
      <c r="T331">
        <f t="shared" si="973"/>
        <v>-7.0777397529678554</v>
      </c>
    </row>
    <row r="332" spans="1:20" x14ac:dyDescent="0.25">
      <c r="A332" s="5">
        <v>44261</v>
      </c>
      <c r="B332">
        <v>5.1312000000000003E-2</v>
      </c>
      <c r="C332">
        <v>5.4495000000000002E-2</v>
      </c>
      <c r="D332">
        <v>4.6286000000000001E-2</v>
      </c>
      <c r="E332">
        <v>4.7615999999999999E-2</v>
      </c>
      <c r="F332">
        <v>85349171</v>
      </c>
      <c r="G332">
        <v>0</v>
      </c>
      <c r="L332" t="s">
        <v>7</v>
      </c>
      <c r="M332" t="s">
        <v>7</v>
      </c>
      <c r="N332" t="s">
        <v>8</v>
      </c>
      <c r="P332">
        <f t="shared" si="969"/>
        <v>-0.67596540382507064</v>
      </c>
      <c r="Q332">
        <f t="shared" si="970"/>
        <v>-57693086.841150008</v>
      </c>
      <c r="R332">
        <f t="shared" si="971"/>
        <v>-795970929.67652082</v>
      </c>
      <c r="S332">
        <f t="shared" si="972"/>
        <v>-7959.7092967652079</v>
      </c>
      <c r="T332">
        <f t="shared" si="973"/>
        <v>-7.9597092967652081</v>
      </c>
    </row>
    <row r="333" spans="1:20" x14ac:dyDescent="0.25">
      <c r="A333" s="5">
        <v>44260</v>
      </c>
      <c r="B333">
        <v>4.5451999999999999E-2</v>
      </c>
      <c r="C333">
        <v>6.1499999999999999E-2</v>
      </c>
      <c r="D333">
        <v>3.9370000000000002E-2</v>
      </c>
      <c r="E333">
        <v>5.1313999999999999E-2</v>
      </c>
      <c r="F333">
        <v>379811633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7.9439674649796468E-2</v>
      </c>
      <c r="Q333">
        <f t="shared" si="970"/>
        <v>30172112.553727899</v>
      </c>
      <c r="R333">
        <f t="shared" si="971"/>
        <v>-738277842.83537078</v>
      </c>
      <c r="S333">
        <f t="shared" si="972"/>
        <v>-7382.7784283537076</v>
      </c>
      <c r="T333">
        <f t="shared" si="973"/>
        <v>-7.3827784283537072</v>
      </c>
    </row>
    <row r="334" spans="1:20" x14ac:dyDescent="0.25">
      <c r="A334" s="5">
        <v>44259</v>
      </c>
      <c r="B334">
        <v>3.7377000000000001E-2</v>
      </c>
      <c r="C334">
        <v>4.8627999999999998E-2</v>
      </c>
      <c r="D334">
        <v>3.6979999999999999E-2</v>
      </c>
      <c r="E334">
        <v>4.5525000000000003E-2</v>
      </c>
      <c r="F334">
        <v>129370987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0.46720467032967117</v>
      </c>
      <c r="Q334">
        <f t="shared" si="970"/>
        <v>60442729.331559174</v>
      </c>
      <c r="R334">
        <f t="shared" si="971"/>
        <v>-768449955.38909864</v>
      </c>
      <c r="S334">
        <f t="shared" si="972"/>
        <v>-7684.4995538909861</v>
      </c>
      <c r="T334">
        <f t="shared" si="973"/>
        <v>-7.6844995538909862</v>
      </c>
    </row>
    <row r="335" spans="1:20" x14ac:dyDescent="0.25">
      <c r="A335" s="5">
        <v>44258</v>
      </c>
      <c r="B335">
        <v>3.5582999999999997E-2</v>
      </c>
      <c r="C335">
        <v>3.9573999999999998E-2</v>
      </c>
      <c r="D335">
        <v>3.5201999999999997E-2</v>
      </c>
      <c r="E335">
        <v>3.7391000000000001E-2</v>
      </c>
      <c r="F335">
        <v>29244499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1.372369624887008E-3</v>
      </c>
      <c r="Q335">
        <f t="shared" si="970"/>
        <v>40134.26212263848</v>
      </c>
      <c r="R335">
        <f t="shared" si="971"/>
        <v>-828892684.72065783</v>
      </c>
      <c r="S335">
        <f t="shared" si="972"/>
        <v>-8288.9268472065778</v>
      </c>
      <c r="T335">
        <f t="shared" si="973"/>
        <v>-8.2889268472065787</v>
      </c>
    </row>
    <row r="336" spans="1:20" x14ac:dyDescent="0.25">
      <c r="A336" s="5">
        <v>44257</v>
      </c>
      <c r="B336">
        <v>3.6430999999999998E-2</v>
      </c>
      <c r="C336">
        <v>3.7034999999999998E-2</v>
      </c>
      <c r="D336">
        <v>3.3681000000000003E-2</v>
      </c>
      <c r="E336">
        <v>3.5417999999999998E-2</v>
      </c>
      <c r="F336">
        <v>27806188</v>
      </c>
      <c r="G336">
        <v>0</v>
      </c>
      <c r="L336" t="s">
        <v>7</v>
      </c>
      <c r="M336" t="s">
        <v>8</v>
      </c>
      <c r="N336" t="s">
        <v>7</v>
      </c>
      <c r="P336">
        <f t="shared" si="969"/>
        <v>3.5778175313057617E-2</v>
      </c>
      <c r="Q336">
        <f t="shared" si="970"/>
        <v>994854.66905183892</v>
      </c>
      <c r="R336">
        <f t="shared" si="971"/>
        <v>-828932818.98278046</v>
      </c>
      <c r="S336">
        <f t="shared" si="972"/>
        <v>-8289.3281898278037</v>
      </c>
      <c r="T336">
        <f t="shared" si="973"/>
        <v>-8.2893281898278044</v>
      </c>
    </row>
    <row r="337" spans="1:20" x14ac:dyDescent="0.25">
      <c r="A337" s="5">
        <v>44256</v>
      </c>
      <c r="B337">
        <v>3.3517999999999999E-2</v>
      </c>
      <c r="C337">
        <v>3.7871000000000002E-2</v>
      </c>
      <c r="D337">
        <v>3.3517999999999999E-2</v>
      </c>
      <c r="E337">
        <v>3.6486999999999999E-2</v>
      </c>
      <c r="F337">
        <v>16788659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0.36411670112565936</v>
      </c>
      <c r="Q337">
        <f t="shared" si="970"/>
        <v>6113031.131403611</v>
      </c>
      <c r="R337">
        <f t="shared" si="971"/>
        <v>-829927673.65183234</v>
      </c>
      <c r="S337">
        <f t="shared" si="972"/>
        <v>-8299.2767365183227</v>
      </c>
      <c r="T337">
        <f t="shared" si="973"/>
        <v>-8.2992767365183227</v>
      </c>
    </row>
    <row r="338" spans="1:20" x14ac:dyDescent="0.25">
      <c r="A338" s="5">
        <v>44255</v>
      </c>
      <c r="B338">
        <v>3.6511000000000002E-2</v>
      </c>
      <c r="C338">
        <v>3.7442999999999997E-2</v>
      </c>
      <c r="D338">
        <v>3.1257E-2</v>
      </c>
      <c r="E338">
        <v>3.3517999999999999E-2</v>
      </c>
      <c r="F338">
        <v>17251864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-0.26899450371807299</v>
      </c>
      <c r="Q338">
        <f t="shared" si="970"/>
        <v>-4640656.5948916897</v>
      </c>
      <c r="R338">
        <f t="shared" si="971"/>
        <v>-836040704.78323591</v>
      </c>
      <c r="S338">
        <f t="shared" si="972"/>
        <v>-8360.4070478323592</v>
      </c>
      <c r="T338">
        <f t="shared" si="973"/>
        <v>-8.3604070478323589</v>
      </c>
    </row>
    <row r="339" spans="1:20" x14ac:dyDescent="0.25">
      <c r="A339" s="5">
        <v>44254</v>
      </c>
      <c r="B339">
        <v>3.5131999999999997E-2</v>
      </c>
      <c r="C339">
        <v>3.9784E-2</v>
      </c>
      <c r="D339">
        <v>3.4821999999999999E-2</v>
      </c>
      <c r="E339">
        <v>3.6506999999999998E-2</v>
      </c>
      <c r="F339">
        <v>44695927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-0.32083837162434559</v>
      </c>
      <c r="Q339">
        <f t="shared" si="970"/>
        <v>-14340168.436920622</v>
      </c>
      <c r="R339">
        <f t="shared" si="971"/>
        <v>-831400048.18834424</v>
      </c>
      <c r="S339">
        <f t="shared" si="972"/>
        <v>-8314.0004818834423</v>
      </c>
      <c r="T339">
        <f t="shared" si="973"/>
        <v>-8.3140004818834417</v>
      </c>
    </row>
    <row r="340" spans="1:20" x14ac:dyDescent="0.25">
      <c r="A340" s="5">
        <v>44253</v>
      </c>
      <c r="B340">
        <v>3.5159999999999997E-2</v>
      </c>
      <c r="C340">
        <v>3.6955000000000002E-2</v>
      </c>
      <c r="D340">
        <v>3.2000000000000001E-2</v>
      </c>
      <c r="E340">
        <v>3.5130000000000002E-2</v>
      </c>
      <c r="F340">
        <v>18287742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0.26337033299697282</v>
      </c>
      <c r="Q340">
        <f t="shared" si="970"/>
        <v>4816448.7003027257</v>
      </c>
      <c r="R340">
        <f t="shared" si="971"/>
        <v>-817059879.7514236</v>
      </c>
      <c r="S340">
        <f t="shared" si="972"/>
        <v>-8170.5987975142361</v>
      </c>
      <c r="T340">
        <f t="shared" si="973"/>
        <v>-8.170598797514236</v>
      </c>
    </row>
    <row r="341" spans="1:20" x14ac:dyDescent="0.25">
      <c r="A341" s="5">
        <v>44252</v>
      </c>
      <c r="B341">
        <v>3.6934000000000002E-2</v>
      </c>
      <c r="C341">
        <v>4.0660000000000002E-2</v>
      </c>
      <c r="D341">
        <v>3.5000000000000003E-2</v>
      </c>
      <c r="E341">
        <v>3.5000999999999997E-2</v>
      </c>
      <c r="F341">
        <v>20750954</v>
      </c>
      <c r="G341">
        <v>0</v>
      </c>
      <c r="L341" t="s">
        <v>8</v>
      </c>
      <c r="M341" t="s">
        <v>8</v>
      </c>
      <c r="N341" t="s">
        <v>7</v>
      </c>
      <c r="P341">
        <f t="shared" si="969"/>
        <v>-0.99964664310954277</v>
      </c>
      <c r="Q341">
        <f t="shared" si="970"/>
        <v>-20743621.50742054</v>
      </c>
      <c r="R341">
        <f t="shared" si="971"/>
        <v>-821876328.45172632</v>
      </c>
      <c r="S341">
        <f t="shared" si="972"/>
        <v>-8218.7632845172629</v>
      </c>
      <c r="T341">
        <f t="shared" si="973"/>
        <v>-8.2187632845172622</v>
      </c>
    </row>
    <row r="342" spans="1:20" x14ac:dyDescent="0.25">
      <c r="A342" s="5">
        <v>44251</v>
      </c>
      <c r="B342">
        <v>3.5002999999999999E-2</v>
      </c>
      <c r="C342">
        <v>3.9784E-2</v>
      </c>
      <c r="D342">
        <v>3.2605000000000002E-2</v>
      </c>
      <c r="E342">
        <v>3.6934000000000002E-2</v>
      </c>
      <c r="F342">
        <v>25668478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0.2060175511909739</v>
      </c>
      <c r="Q342">
        <f t="shared" si="970"/>
        <v>5288156.9803593876</v>
      </c>
      <c r="R342">
        <f t="shared" si="971"/>
        <v>-801132706.94430578</v>
      </c>
      <c r="S342">
        <f t="shared" si="972"/>
        <v>-8011.3270694430576</v>
      </c>
      <c r="T342">
        <f t="shared" si="973"/>
        <v>-8.0113270694430572</v>
      </c>
    </row>
    <row r="343" spans="1:20" x14ac:dyDescent="0.25">
      <c r="A343" s="5">
        <v>44250</v>
      </c>
      <c r="B343">
        <v>4.3402000000000003E-2</v>
      </c>
      <c r="C343">
        <v>4.3402000000000003E-2</v>
      </c>
      <c r="D343">
        <v>3.0817000000000001E-2</v>
      </c>
      <c r="E343">
        <v>3.4820999999999998E-2</v>
      </c>
      <c r="F343">
        <v>53579605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-0.36368692888359216</v>
      </c>
      <c r="Q343">
        <f t="shared" si="970"/>
        <v>-19486201.993245959</v>
      </c>
      <c r="R343">
        <f t="shared" si="971"/>
        <v>-806420863.92466521</v>
      </c>
      <c r="S343">
        <f t="shared" si="972"/>
        <v>-8064.2086392466517</v>
      </c>
      <c r="T343">
        <f t="shared" si="973"/>
        <v>-8.064208639246651</v>
      </c>
    </row>
    <row r="344" spans="1:20" x14ac:dyDescent="0.25">
      <c r="A344" s="5">
        <v>44249</v>
      </c>
      <c r="B344">
        <v>4.6054999999999999E-2</v>
      </c>
      <c r="C344">
        <v>4.7065000000000003E-2</v>
      </c>
      <c r="D344">
        <v>3.3000000000000002E-2</v>
      </c>
      <c r="E344">
        <v>4.3360999999999997E-2</v>
      </c>
      <c r="F344">
        <v>42164018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0.4733025239957333</v>
      </c>
      <c r="Q344">
        <f t="shared" si="970"/>
        <v>19956336.14120153</v>
      </c>
      <c r="R344">
        <f t="shared" si="971"/>
        <v>-786934661.93141925</v>
      </c>
      <c r="S344">
        <f t="shared" si="972"/>
        <v>-7869.3466193141921</v>
      </c>
      <c r="T344">
        <f t="shared" si="973"/>
        <v>-7.8693466193141921</v>
      </c>
    </row>
    <row r="345" spans="1:20" x14ac:dyDescent="0.25">
      <c r="A345" s="5">
        <v>44248</v>
      </c>
      <c r="B345">
        <v>4.6497999999999998E-2</v>
      </c>
      <c r="C345">
        <v>4.9340000000000002E-2</v>
      </c>
      <c r="D345">
        <v>4.4394999999999997E-2</v>
      </c>
      <c r="E345">
        <v>4.6033999999999999E-2</v>
      </c>
      <c r="F345">
        <v>27616035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-0.33710819009100101</v>
      </c>
      <c r="Q345">
        <f t="shared" si="970"/>
        <v>-9309591.5763397366</v>
      </c>
      <c r="R345">
        <f t="shared" si="971"/>
        <v>-806890998.07262075</v>
      </c>
      <c r="S345">
        <f t="shared" si="972"/>
        <v>-8068.9099807262073</v>
      </c>
      <c r="T345">
        <f t="shared" si="973"/>
        <v>-8.0689099807262075</v>
      </c>
    </row>
    <row r="346" spans="1:20" x14ac:dyDescent="0.25">
      <c r="A346" s="5">
        <v>44247</v>
      </c>
      <c r="B346">
        <v>4.9001000000000003E-2</v>
      </c>
      <c r="C346">
        <v>5.1936999999999997E-2</v>
      </c>
      <c r="D346">
        <v>4.2999999999999997E-2</v>
      </c>
      <c r="E346">
        <v>4.6815000000000002E-2</v>
      </c>
      <c r="F346">
        <v>38631435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-0.14624594382902414</v>
      </c>
      <c r="Q346">
        <f t="shared" si="970"/>
        <v>-5649690.6730445977</v>
      </c>
      <c r="R346">
        <f t="shared" si="971"/>
        <v>-797581406.49628103</v>
      </c>
      <c r="S346">
        <f t="shared" si="972"/>
        <v>-7975.8140649628103</v>
      </c>
      <c r="T346">
        <f t="shared" si="973"/>
        <v>-7.97581406496281</v>
      </c>
    </row>
    <row r="347" spans="1:20" x14ac:dyDescent="0.25">
      <c r="A347" s="5">
        <v>44246</v>
      </c>
      <c r="B347">
        <v>5.1687999999999998E-2</v>
      </c>
      <c r="C347">
        <v>5.2098999999999999E-2</v>
      </c>
      <c r="D347">
        <v>4.8502999999999998E-2</v>
      </c>
      <c r="E347">
        <v>4.9001000000000003E-2</v>
      </c>
      <c r="F347">
        <v>26771626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-0.72302558398219963</v>
      </c>
      <c r="Q347">
        <f t="shared" si="970"/>
        <v>-19356570.522803038</v>
      </c>
      <c r="R347">
        <f t="shared" si="971"/>
        <v>-791931715.82323647</v>
      </c>
      <c r="S347">
        <f t="shared" si="972"/>
        <v>-7919.3171582323648</v>
      </c>
      <c r="T347">
        <f t="shared" si="973"/>
        <v>-7.9193171582323645</v>
      </c>
    </row>
    <row r="348" spans="1:20" x14ac:dyDescent="0.25">
      <c r="A348" s="5">
        <v>44245</v>
      </c>
      <c r="B348">
        <v>4.8634999999999998E-2</v>
      </c>
      <c r="C348">
        <v>5.4446000000000001E-2</v>
      </c>
      <c r="D348">
        <v>4.7620999999999997E-2</v>
      </c>
      <c r="E348">
        <v>5.1686000000000003E-2</v>
      </c>
      <c r="F348">
        <v>56665617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0.19120879120879219</v>
      </c>
      <c r="Q348">
        <f t="shared" si="970"/>
        <v>10834964.129670385</v>
      </c>
      <c r="R348">
        <f t="shared" si="971"/>
        <v>-772575145.3004334</v>
      </c>
      <c r="S348">
        <f t="shared" si="972"/>
        <v>-7725.7514530043336</v>
      </c>
      <c r="T348">
        <f t="shared" si="973"/>
        <v>-7.7257514530043334</v>
      </c>
    </row>
    <row r="349" spans="1:20" x14ac:dyDescent="0.25">
      <c r="A349" s="5">
        <v>44244</v>
      </c>
      <c r="B349">
        <v>4.2314999999999998E-2</v>
      </c>
      <c r="C349">
        <v>5.0906E-2</v>
      </c>
      <c r="D349">
        <v>4.0711999999999998E-2</v>
      </c>
      <c r="E349">
        <v>4.8634999999999998E-2</v>
      </c>
      <c r="F349">
        <v>58759791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0.55444379046497905</v>
      </c>
      <c r="Q349">
        <f t="shared" si="970"/>
        <v>32579001.248969961</v>
      </c>
      <c r="R349">
        <f t="shared" si="971"/>
        <v>-783410109.43010378</v>
      </c>
      <c r="S349">
        <f t="shared" si="972"/>
        <v>-7834.1010943010378</v>
      </c>
      <c r="T349">
        <f t="shared" si="973"/>
        <v>-7.8341010943010376</v>
      </c>
    </row>
    <row r="350" spans="1:20" x14ac:dyDescent="0.25">
      <c r="A350" s="5">
        <v>44243</v>
      </c>
      <c r="B350">
        <v>4.1792999999999997E-2</v>
      </c>
      <c r="C350">
        <v>4.8500000000000001E-2</v>
      </c>
      <c r="D350">
        <v>4.0107999999999998E-2</v>
      </c>
      <c r="E350">
        <v>4.2477000000000001E-2</v>
      </c>
      <c r="F350">
        <v>129221885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-0.43541468064823591</v>
      </c>
      <c r="Q350">
        <f t="shared" si="970"/>
        <v>-56265105.790038064</v>
      </c>
      <c r="R350">
        <f t="shared" si="971"/>
        <v>-815989110.67907369</v>
      </c>
      <c r="S350">
        <f t="shared" si="972"/>
        <v>-8159.8911067907366</v>
      </c>
      <c r="T350">
        <f t="shared" si="973"/>
        <v>-8.1598911067907363</v>
      </c>
    </row>
    <row r="351" spans="1:20" x14ac:dyDescent="0.25">
      <c r="A351" s="5">
        <v>44242</v>
      </c>
      <c r="B351">
        <v>4.4253000000000001E-2</v>
      </c>
      <c r="C351">
        <v>4.5190000000000001E-2</v>
      </c>
      <c r="D351">
        <v>3.7789999999999997E-2</v>
      </c>
      <c r="E351">
        <v>4.1818000000000001E-2</v>
      </c>
      <c r="F351">
        <v>31005778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8.8648648648649117E-2</v>
      </c>
      <c r="Q351">
        <f t="shared" si="970"/>
        <v>2748620.3200000147</v>
      </c>
      <c r="R351">
        <f t="shared" si="971"/>
        <v>-759724004.88903558</v>
      </c>
      <c r="S351">
        <f t="shared" si="972"/>
        <v>-7597.2400488903559</v>
      </c>
      <c r="T351">
        <f t="shared" si="973"/>
        <v>-7.597240048890356</v>
      </c>
    </row>
    <row r="352" spans="1:20" x14ac:dyDescent="0.25">
      <c r="A352" s="5">
        <v>44241</v>
      </c>
      <c r="B352">
        <v>4.7215E-2</v>
      </c>
      <c r="C352">
        <v>5.1999999999999998E-2</v>
      </c>
      <c r="D352">
        <v>4.1366E-2</v>
      </c>
      <c r="E352">
        <v>4.4491999999999997E-2</v>
      </c>
      <c r="F352">
        <v>37418534</v>
      </c>
      <c r="G352">
        <v>0</v>
      </c>
      <c r="L352" t="s">
        <v>7</v>
      </c>
      <c r="M352" t="s">
        <v>8</v>
      </c>
      <c r="N352" t="s">
        <v>8</v>
      </c>
      <c r="P352">
        <f t="shared" si="969"/>
        <v>-0.41207447808914849</v>
      </c>
      <c r="Q352">
        <f t="shared" si="970"/>
        <v>-15419222.868911058</v>
      </c>
      <c r="R352">
        <f t="shared" si="971"/>
        <v>-762472625.20903563</v>
      </c>
      <c r="S352">
        <f t="shared" si="972"/>
        <v>-7624.726252090356</v>
      </c>
      <c r="T352">
        <f t="shared" si="973"/>
        <v>-7.6247262520903556</v>
      </c>
    </row>
    <row r="353" spans="1:20" x14ac:dyDescent="0.25">
      <c r="A353" s="5">
        <v>44240</v>
      </c>
      <c r="B353">
        <v>4.4792999999999999E-2</v>
      </c>
      <c r="C353">
        <v>4.9251999999999997E-2</v>
      </c>
      <c r="D353">
        <v>4.3008999999999999E-2</v>
      </c>
      <c r="E353">
        <v>4.7453000000000002E-2</v>
      </c>
      <c r="F353">
        <v>57266934</v>
      </c>
      <c r="G353">
        <v>0</v>
      </c>
      <c r="L353" t="s">
        <v>7</v>
      </c>
      <c r="M353" t="s">
        <v>8</v>
      </c>
      <c r="N353" t="s">
        <v>8</v>
      </c>
      <c r="P353">
        <f t="shared" si="969"/>
        <v>0.42367451545731366</v>
      </c>
      <c r="Q353">
        <f t="shared" si="970"/>
        <v>24262540.514175963</v>
      </c>
      <c r="R353">
        <f t="shared" si="971"/>
        <v>-747053402.34012461</v>
      </c>
      <c r="S353">
        <f t="shared" si="972"/>
        <v>-7470.5340234012465</v>
      </c>
      <c r="T353">
        <f t="shared" si="973"/>
        <v>-7.4705340234012461</v>
      </c>
    </row>
    <row r="354" spans="1:20" x14ac:dyDescent="0.25">
      <c r="A354" s="5">
        <v>44239</v>
      </c>
      <c r="B354">
        <v>3.9237000000000001E-2</v>
      </c>
      <c r="C354">
        <v>4.8998E-2</v>
      </c>
      <c r="D354">
        <v>3.7225000000000001E-2</v>
      </c>
      <c r="E354">
        <v>4.4798999999999999E-2</v>
      </c>
      <c r="F354">
        <v>88475758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0.28667289560859566</v>
      </c>
      <c r="Q354">
        <f t="shared" si="970"/>
        <v>25363601.737025373</v>
      </c>
      <c r="R354">
        <f t="shared" si="971"/>
        <v>-771315942.85430062</v>
      </c>
      <c r="S354">
        <f t="shared" si="972"/>
        <v>-7713.1594285430065</v>
      </c>
      <c r="T354">
        <f t="shared" si="973"/>
        <v>-7.7131594285430065</v>
      </c>
    </row>
    <row r="355" spans="1:20" x14ac:dyDescent="0.25">
      <c r="A355" s="5">
        <v>44238</v>
      </c>
      <c r="B355">
        <v>3.7897E-2</v>
      </c>
      <c r="C355">
        <v>4.3124999999999997E-2</v>
      </c>
      <c r="D355">
        <v>3.465E-2</v>
      </c>
      <c r="E355">
        <v>3.9188000000000001E-2</v>
      </c>
      <c r="F355">
        <v>88034356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7.0914454277286668E-2</v>
      </c>
      <c r="Q355">
        <f t="shared" si="970"/>
        <v>6242908.3133923775</v>
      </c>
      <c r="R355">
        <f t="shared" si="971"/>
        <v>-796679544.591326</v>
      </c>
      <c r="S355">
        <f t="shared" si="972"/>
        <v>-7966.7954459132598</v>
      </c>
      <c r="T355">
        <f t="shared" si="973"/>
        <v>-7.9667954459132595</v>
      </c>
    </row>
    <row r="356" spans="1:20" x14ac:dyDescent="0.25">
      <c r="A356" s="5">
        <v>44237</v>
      </c>
      <c r="B356">
        <v>3.2551999999999998E-2</v>
      </c>
      <c r="C356">
        <v>3.9912999999999997E-2</v>
      </c>
      <c r="D356">
        <v>3.0567E-2</v>
      </c>
      <c r="E356">
        <v>3.7899000000000002E-2</v>
      </c>
      <c r="F356">
        <v>88675221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0.56901348170340349</v>
      </c>
      <c r="Q356">
        <f t="shared" si="970"/>
        <v>50457396.242028758</v>
      </c>
      <c r="R356">
        <f t="shared" si="971"/>
        <v>-802922452.9047184</v>
      </c>
      <c r="S356">
        <f t="shared" si="972"/>
        <v>-8029.2245290471838</v>
      </c>
      <c r="T356">
        <f t="shared" si="973"/>
        <v>-8.029224529047184</v>
      </c>
    </row>
    <row r="357" spans="1:20" x14ac:dyDescent="0.25">
      <c r="A357" s="5">
        <v>44236</v>
      </c>
      <c r="B357">
        <v>3.0306E-2</v>
      </c>
      <c r="C357">
        <v>3.4000000000000002E-2</v>
      </c>
      <c r="D357">
        <v>2.9670999999999999E-2</v>
      </c>
      <c r="E357">
        <v>3.2411000000000002E-2</v>
      </c>
      <c r="F357">
        <v>44478381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0.26588126588126632</v>
      </c>
      <c r="Q357">
        <f t="shared" si="970"/>
        <v>11825968.244629264</v>
      </c>
      <c r="R357">
        <f t="shared" si="971"/>
        <v>-853379849.14674711</v>
      </c>
      <c r="S357">
        <f t="shared" si="972"/>
        <v>-8533.7984914674707</v>
      </c>
      <c r="T357">
        <f t="shared" si="973"/>
        <v>-8.5337984914674703</v>
      </c>
    </row>
    <row r="358" spans="1:20" x14ac:dyDescent="0.25">
      <c r="A358" s="5">
        <v>44235</v>
      </c>
      <c r="B358">
        <v>2.9602E-2</v>
      </c>
      <c r="C358">
        <v>3.1699999999999999E-2</v>
      </c>
      <c r="D358">
        <v>2.9006000000000001E-2</v>
      </c>
      <c r="E358">
        <v>3.0306E-2</v>
      </c>
      <c r="F358">
        <v>34967783</v>
      </c>
      <c r="G358">
        <v>0</v>
      </c>
      <c r="L358" t="s">
        <v>8</v>
      </c>
      <c r="M358" t="s">
        <v>7</v>
      </c>
      <c r="N358" t="s">
        <v>8</v>
      </c>
      <c r="P358">
        <f t="shared" si="969"/>
        <v>-3.4892353377876904E-2</v>
      </c>
      <c r="Q358">
        <f t="shared" si="970"/>
        <v>-1220108.2412769166</v>
      </c>
      <c r="R358">
        <f t="shared" si="971"/>
        <v>-865205817.39137638</v>
      </c>
      <c r="S358">
        <f t="shared" si="972"/>
        <v>-8652.0581739137633</v>
      </c>
      <c r="T358">
        <f t="shared" si="973"/>
        <v>-8.6520581739137636</v>
      </c>
    </row>
    <row r="359" spans="1:20" x14ac:dyDescent="0.25">
      <c r="A359" s="5">
        <v>44234</v>
      </c>
      <c r="B359">
        <v>3.0735999999999999E-2</v>
      </c>
      <c r="C359">
        <v>3.1453000000000002E-2</v>
      </c>
      <c r="D359">
        <v>2.8007000000000001E-2</v>
      </c>
      <c r="E359">
        <v>2.9602E-2</v>
      </c>
      <c r="F359">
        <v>23638040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-7.4289030760302577E-2</v>
      </c>
      <c r="Q359">
        <f t="shared" si="970"/>
        <v>-1756047.0806732627</v>
      </c>
      <c r="R359">
        <f t="shared" si="971"/>
        <v>-863985709.15009952</v>
      </c>
      <c r="S359">
        <f t="shared" si="972"/>
        <v>-8639.857091500995</v>
      </c>
      <c r="T359">
        <f t="shared" si="973"/>
        <v>-8.6398570915009945</v>
      </c>
    </row>
    <row r="360" spans="1:20" x14ac:dyDescent="0.25">
      <c r="A360" s="5">
        <v>44233</v>
      </c>
      <c r="B360">
        <v>3.2252999999999997E-2</v>
      </c>
      <c r="C360">
        <v>3.5000000000000003E-2</v>
      </c>
      <c r="D360">
        <v>2.9752000000000001E-2</v>
      </c>
      <c r="E360">
        <v>3.0737E-2</v>
      </c>
      <c r="F360">
        <v>53266579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-0.62461890243902463</v>
      </c>
      <c r="Q360">
        <f t="shared" si="970"/>
        <v>-33271312.111661598</v>
      </c>
      <c r="R360">
        <f t="shared" si="971"/>
        <v>-862229662.0694263</v>
      </c>
      <c r="S360">
        <f t="shared" si="972"/>
        <v>-8622.2966206942638</v>
      </c>
      <c r="T360">
        <f t="shared" si="973"/>
        <v>-8.6222966206942644</v>
      </c>
    </row>
    <row r="361" spans="1:20" x14ac:dyDescent="0.25">
      <c r="A361" s="5">
        <v>44232</v>
      </c>
      <c r="B361">
        <v>2.9989999999999999E-2</v>
      </c>
      <c r="C361">
        <v>3.2835000000000003E-2</v>
      </c>
      <c r="D361">
        <v>2.9440000000000001E-2</v>
      </c>
      <c r="E361">
        <v>3.2107999999999998E-2</v>
      </c>
      <c r="F361">
        <v>35427556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0.57172312223858324</v>
      </c>
      <c r="Q361">
        <f t="shared" si="970"/>
        <v>20254752.929602254</v>
      </c>
      <c r="R361">
        <f t="shared" si="971"/>
        <v>-828958349.95776474</v>
      </c>
      <c r="S361">
        <f t="shared" si="972"/>
        <v>-8289.5834995776477</v>
      </c>
      <c r="T361">
        <f t="shared" si="973"/>
        <v>-8.2895834995776472</v>
      </c>
    </row>
    <row r="362" spans="1:20" x14ac:dyDescent="0.25">
      <c r="A362" s="5">
        <v>44231</v>
      </c>
      <c r="B362">
        <v>3.0908000000000001E-2</v>
      </c>
      <c r="C362">
        <v>3.2045999999999998E-2</v>
      </c>
      <c r="D362">
        <v>2.8156E-2</v>
      </c>
      <c r="E362">
        <v>2.9989999999999999E-2</v>
      </c>
      <c r="F362">
        <v>53875737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-5.7069408740359928E-2</v>
      </c>
      <c r="Q362">
        <f t="shared" si="970"/>
        <v>-3074656.4560411326</v>
      </c>
      <c r="R362">
        <f t="shared" si="971"/>
        <v>-849213102.88736701</v>
      </c>
      <c r="S362">
        <f t="shared" si="972"/>
        <v>-8492.1310288736695</v>
      </c>
      <c r="T362">
        <f t="shared" si="973"/>
        <v>-8.4921310288736702</v>
      </c>
    </row>
    <row r="363" spans="1:20" x14ac:dyDescent="0.25">
      <c r="A363" s="5">
        <v>44230</v>
      </c>
      <c r="B363">
        <v>2.8735E-2</v>
      </c>
      <c r="C363">
        <v>3.2634999999999997E-2</v>
      </c>
      <c r="D363">
        <v>2.7616999999999999E-2</v>
      </c>
      <c r="E363">
        <v>3.0907E-2</v>
      </c>
      <c r="F363">
        <v>71058761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0.31127939418094958</v>
      </c>
      <c r="Q363">
        <f t="shared" si="970"/>
        <v>22119128.075328887</v>
      </c>
      <c r="R363">
        <f t="shared" si="971"/>
        <v>-846138446.43132591</v>
      </c>
      <c r="S363">
        <f t="shared" si="972"/>
        <v>-8461.3844643132597</v>
      </c>
      <c r="T363">
        <f t="shared" si="973"/>
        <v>-8.4613844643132605</v>
      </c>
    </row>
    <row r="364" spans="1:20" x14ac:dyDescent="0.25">
      <c r="A364" s="5">
        <v>44229</v>
      </c>
      <c r="B364">
        <v>2.5273E-2</v>
      </c>
      <c r="C364">
        <v>3.0957999999999999E-2</v>
      </c>
      <c r="D364">
        <v>2.4521000000000001E-2</v>
      </c>
      <c r="E364">
        <v>2.8773E-2</v>
      </c>
      <c r="F364">
        <v>92539320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0.32111231940344881</v>
      </c>
      <c r="Q364">
        <f t="shared" si="970"/>
        <v>29715515.681217957</v>
      </c>
      <c r="R364">
        <f t="shared" si="971"/>
        <v>-868257574.50665486</v>
      </c>
      <c r="S364">
        <f t="shared" si="972"/>
        <v>-8682.5757450665478</v>
      </c>
      <c r="T364">
        <f t="shared" si="973"/>
        <v>-8.6825757450665471</v>
      </c>
    </row>
    <row r="365" spans="1:20" x14ac:dyDescent="0.25">
      <c r="A365" s="5">
        <v>44228</v>
      </c>
      <c r="B365">
        <v>2.3741999999999999E-2</v>
      </c>
      <c r="C365">
        <v>2.5581E-2</v>
      </c>
      <c r="D365">
        <v>2.2709E-2</v>
      </c>
      <c r="E365">
        <v>2.5248E-2</v>
      </c>
      <c r="F365">
        <v>42391114</v>
      </c>
      <c r="G365">
        <v>0</v>
      </c>
      <c r="L365" t="s">
        <v>8</v>
      </c>
      <c r="M365" t="s">
        <v>8</v>
      </c>
      <c r="N365" t="s">
        <v>7</v>
      </c>
      <c r="P365">
        <f t="shared" si="969"/>
        <v>0.76810584958217265</v>
      </c>
      <c r="Q365">
        <f t="shared" si="970"/>
        <v>32560862.633704733</v>
      </c>
      <c r="R365">
        <f t="shared" si="971"/>
        <v>-897973090.18787277</v>
      </c>
      <c r="S365">
        <f t="shared" si="972"/>
        <v>-8979.7309018787273</v>
      </c>
      <c r="T365">
        <f t="shared" si="973"/>
        <v>-8.9797309018787281</v>
      </c>
    </row>
    <row r="366" spans="1:20" x14ac:dyDescent="0.25">
      <c r="A366" s="5">
        <v>44227</v>
      </c>
      <c r="B366">
        <v>2.2440000000000002E-2</v>
      </c>
      <c r="C366">
        <v>2.5000000000000001E-2</v>
      </c>
      <c r="D366">
        <v>2.2119E-2</v>
      </c>
      <c r="E366">
        <v>2.3740000000000001E-2</v>
      </c>
      <c r="F366">
        <v>51015982</v>
      </c>
      <c r="G366">
        <v>0</v>
      </c>
      <c r="L366" t="s">
        <v>8</v>
      </c>
      <c r="M366" t="s">
        <v>8</v>
      </c>
      <c r="N366" t="s">
        <v>7</v>
      </c>
      <c r="P366">
        <f t="shared" si="969"/>
        <v>0.12530371398819853</v>
      </c>
      <c r="Q366">
        <f t="shared" si="970"/>
        <v>6392492.0173550844</v>
      </c>
      <c r="R366">
        <f t="shared" si="971"/>
        <v>-930533952.82157755</v>
      </c>
      <c r="S366">
        <f t="shared" si="972"/>
        <v>-9305.3395282157762</v>
      </c>
      <c r="T366">
        <f t="shared" si="973"/>
        <v>-9.3053395282157769</v>
      </c>
    </row>
    <row r="367" spans="1:20" x14ac:dyDescent="0.25">
      <c r="A367" s="5">
        <v>44226</v>
      </c>
      <c r="B367">
        <v>2.3382E-2</v>
      </c>
      <c r="C367">
        <v>2.3733000000000001E-2</v>
      </c>
      <c r="D367">
        <v>2.1999999999999999E-2</v>
      </c>
      <c r="E367">
        <v>2.2440000000000002E-2</v>
      </c>
      <c r="F367">
        <v>21541540</v>
      </c>
      <c r="G367">
        <v>0</v>
      </c>
      <c r="L367" t="s">
        <v>8</v>
      </c>
      <c r="M367" t="s">
        <v>8</v>
      </c>
      <c r="N367" t="s">
        <v>7</v>
      </c>
      <c r="P367">
        <f t="shared" si="969"/>
        <v>-0.49221004039238037</v>
      </c>
      <c r="Q367">
        <f t="shared" si="970"/>
        <v>-10602962.273514077</v>
      </c>
      <c r="R367">
        <f t="shared" si="971"/>
        <v>-936926444.83893263</v>
      </c>
      <c r="S367">
        <f t="shared" si="972"/>
        <v>-9369.2644483893255</v>
      </c>
      <c r="T367">
        <f t="shared" si="973"/>
        <v>-9.369264448389325</v>
      </c>
    </row>
    <row r="368" spans="1:20" x14ac:dyDescent="0.25">
      <c r="A368" s="5">
        <v>44225</v>
      </c>
      <c r="B368">
        <v>2.3019000000000001E-2</v>
      </c>
      <c r="C368">
        <v>2.4986000000000001E-2</v>
      </c>
      <c r="D368">
        <v>2.1731E-2</v>
      </c>
      <c r="E368">
        <v>2.3380999999999999E-2</v>
      </c>
      <c r="F368">
        <v>52900820</v>
      </c>
      <c r="G368">
        <v>0</v>
      </c>
      <c r="L368" t="s">
        <v>7</v>
      </c>
      <c r="M368" t="s">
        <v>8</v>
      </c>
      <c r="N368" t="s">
        <v>7</v>
      </c>
      <c r="P368">
        <f t="shared" si="969"/>
        <v>1.3824884792625627E-2</v>
      </c>
      <c r="Q368">
        <f t="shared" si="970"/>
        <v>731347.74193542567</v>
      </c>
      <c r="R368">
        <f t="shared" si="971"/>
        <v>-926323482.5654186</v>
      </c>
      <c r="S368">
        <f t="shared" si="972"/>
        <v>-9263.2348256541864</v>
      </c>
      <c r="T368">
        <f t="shared" si="973"/>
        <v>-9.2632348256541857</v>
      </c>
    </row>
    <row r="369" spans="1:20" x14ac:dyDescent="0.25">
      <c r="A369" s="5">
        <v>44224</v>
      </c>
      <c r="B369">
        <v>2.0927999999999999E-2</v>
      </c>
      <c r="C369">
        <v>2.4747999999999999E-2</v>
      </c>
      <c r="D369">
        <v>2.052E-2</v>
      </c>
      <c r="E369">
        <v>2.3022000000000001E-2</v>
      </c>
      <c r="F369">
        <v>38537691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0.18353831598864773</v>
      </c>
      <c r="Q369">
        <f t="shared" si="970"/>
        <v>7073142.9082308654</v>
      </c>
      <c r="R369">
        <f t="shared" si="971"/>
        <v>-927054830.30735397</v>
      </c>
      <c r="S369">
        <f t="shared" si="972"/>
        <v>-9270.5483030735395</v>
      </c>
      <c r="T369">
        <f t="shared" si="973"/>
        <v>-9.2705483030735394</v>
      </c>
    </row>
    <row r="370" spans="1:20" x14ac:dyDescent="0.25">
      <c r="A370" s="5">
        <v>44223</v>
      </c>
      <c r="B370">
        <v>2.383E-2</v>
      </c>
      <c r="C370">
        <v>2.383E-2</v>
      </c>
      <c r="D370">
        <v>1.9722E-2</v>
      </c>
      <c r="E370">
        <v>2.1059000000000001E-2</v>
      </c>
      <c r="F370">
        <v>21277750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-0.34907497565725354</v>
      </c>
      <c r="Q370">
        <f t="shared" si="970"/>
        <v>-7427530.0632911269</v>
      </c>
      <c r="R370">
        <f t="shared" si="971"/>
        <v>-934127973.21558487</v>
      </c>
      <c r="S370">
        <f t="shared" si="972"/>
        <v>-9341.2797321558483</v>
      </c>
      <c r="T370">
        <f t="shared" si="973"/>
        <v>-9.3412797321558489</v>
      </c>
    </row>
    <row r="371" spans="1:20" x14ac:dyDescent="0.25">
      <c r="A371" s="5">
        <v>44222</v>
      </c>
      <c r="B371">
        <v>2.3460000000000002E-2</v>
      </c>
      <c r="C371">
        <v>2.4072E-2</v>
      </c>
      <c r="D371">
        <v>2.2577E-2</v>
      </c>
      <c r="E371">
        <v>2.3966000000000001E-2</v>
      </c>
      <c r="F371">
        <v>16194488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0.85819397993311242</v>
      </c>
      <c r="Q371">
        <f t="shared" si="970"/>
        <v>13898012.109699029</v>
      </c>
      <c r="R371">
        <f t="shared" si="971"/>
        <v>-926700443.1522938</v>
      </c>
      <c r="S371">
        <f t="shared" si="972"/>
        <v>-9267.0044315229388</v>
      </c>
      <c r="T371">
        <f t="shared" si="973"/>
        <v>-9.2670044315229383</v>
      </c>
    </row>
    <row r="372" spans="1:20" x14ac:dyDescent="0.25">
      <c r="A372" s="5">
        <v>44221</v>
      </c>
      <c r="B372">
        <v>2.6120000000000001E-2</v>
      </c>
      <c r="C372">
        <v>2.6627000000000001E-2</v>
      </c>
      <c r="D372">
        <v>2.3088999999999998E-2</v>
      </c>
      <c r="E372">
        <v>2.3623999999999999E-2</v>
      </c>
      <c r="F372">
        <v>29941877</v>
      </c>
      <c r="G372">
        <v>0</v>
      </c>
      <c r="L372" t="s">
        <v>7</v>
      </c>
      <c r="M372" t="s">
        <v>7</v>
      </c>
      <c r="N372" t="s">
        <v>7</v>
      </c>
      <c r="P372">
        <f t="shared" si="969"/>
        <v>-0.69756924816280363</v>
      </c>
      <c r="Q372">
        <f t="shared" si="970"/>
        <v>-20886532.627473142</v>
      </c>
      <c r="R372">
        <f t="shared" si="971"/>
        <v>-940598455.26199281</v>
      </c>
      <c r="S372">
        <f t="shared" si="972"/>
        <v>-9405.9845526199279</v>
      </c>
      <c r="T372">
        <f t="shared" si="973"/>
        <v>-9.4059845526199286</v>
      </c>
    </row>
    <row r="373" spans="1:20" x14ac:dyDescent="0.25">
      <c r="A373" s="5">
        <v>44220</v>
      </c>
      <c r="B373">
        <v>2.4157000000000001E-2</v>
      </c>
      <c r="C373">
        <v>2.7650000000000001E-2</v>
      </c>
      <c r="D373">
        <v>2.3826E-2</v>
      </c>
      <c r="E373">
        <v>2.6176000000000001E-2</v>
      </c>
      <c r="F373">
        <v>38698203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0.22907949790795021</v>
      </c>
      <c r="Q373">
        <f t="shared" si="970"/>
        <v>8864964.9131799322</v>
      </c>
      <c r="R373">
        <f t="shared" si="971"/>
        <v>-919711922.6345197</v>
      </c>
      <c r="S373">
        <f t="shared" si="972"/>
        <v>-9197.1192263451976</v>
      </c>
      <c r="T373">
        <f t="shared" si="973"/>
        <v>-9.1971192263451975</v>
      </c>
    </row>
    <row r="374" spans="1:20" x14ac:dyDescent="0.25">
      <c r="A374" s="5">
        <v>44219</v>
      </c>
      <c r="B374">
        <v>2.3222E-2</v>
      </c>
      <c r="C374">
        <v>2.4754999999999999E-2</v>
      </c>
      <c r="D374">
        <v>2.2807000000000001E-2</v>
      </c>
      <c r="E374">
        <v>2.4157000000000001E-2</v>
      </c>
      <c r="F374">
        <v>21319979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0.38603696098562795</v>
      </c>
      <c r="Q374">
        <f t="shared" si="970"/>
        <v>8230299.9014374074</v>
      </c>
      <c r="R374">
        <f t="shared" si="971"/>
        <v>-928576887.54769957</v>
      </c>
      <c r="S374">
        <f t="shared" si="972"/>
        <v>-9285.7688754769952</v>
      </c>
      <c r="T374">
        <f t="shared" si="973"/>
        <v>-9.2857688754769949</v>
      </c>
    </row>
    <row r="375" spans="1:20" x14ac:dyDescent="0.25">
      <c r="A375" s="5">
        <v>44218</v>
      </c>
      <c r="B375">
        <v>2.3529999999999999E-2</v>
      </c>
      <c r="C375">
        <v>2.4340000000000001E-2</v>
      </c>
      <c r="D375">
        <v>2.0625000000000001E-2</v>
      </c>
      <c r="E375">
        <v>2.324E-2</v>
      </c>
      <c r="F375">
        <v>88072380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0.40780619111709265</v>
      </c>
      <c r="Q375">
        <f t="shared" si="970"/>
        <v>35916461.830417208</v>
      </c>
      <c r="R375">
        <f t="shared" si="971"/>
        <v>-936807187.44913697</v>
      </c>
      <c r="S375">
        <f t="shared" si="972"/>
        <v>-9368.0718744913702</v>
      </c>
      <c r="T375">
        <f t="shared" si="973"/>
        <v>-9.3680718744913705</v>
      </c>
    </row>
    <row r="376" spans="1:20" x14ac:dyDescent="0.25">
      <c r="A376" s="5">
        <v>44217</v>
      </c>
      <c r="B376">
        <v>2.4729999999999999E-2</v>
      </c>
      <c r="C376">
        <v>3.2959000000000002E-2</v>
      </c>
      <c r="D376">
        <v>2.3224999999999999E-2</v>
      </c>
      <c r="E376">
        <v>2.3529999999999999E-2</v>
      </c>
      <c r="F376">
        <v>124785856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-0.93733305937949463</v>
      </c>
      <c r="Q376">
        <f t="shared" si="970"/>
        <v>-116965908.17176907</v>
      </c>
      <c r="R376">
        <f t="shared" si="971"/>
        <v>-972723649.27955413</v>
      </c>
      <c r="S376">
        <f t="shared" si="972"/>
        <v>-9727.2364927955405</v>
      </c>
      <c r="T376">
        <f t="shared" si="973"/>
        <v>-9.7272364927955408</v>
      </c>
    </row>
    <row r="377" spans="1:20" x14ac:dyDescent="0.25">
      <c r="A377" s="5">
        <v>44216</v>
      </c>
      <c r="B377">
        <v>2.3328000000000002E-2</v>
      </c>
      <c r="C377">
        <v>2.5849E-2</v>
      </c>
      <c r="D377">
        <v>2.2147E-2</v>
      </c>
      <c r="E377">
        <v>2.4808E-2</v>
      </c>
      <c r="F377">
        <v>39588821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0.43760129659643426</v>
      </c>
      <c r="Q377">
        <f t="shared" si="970"/>
        <v>17324119.400324143</v>
      </c>
      <c r="R377">
        <f t="shared" si="971"/>
        <v>-855757741.10778511</v>
      </c>
      <c r="S377">
        <f t="shared" si="972"/>
        <v>-8557.5774110778511</v>
      </c>
      <c r="T377">
        <f t="shared" si="973"/>
        <v>-8.5575774110778511</v>
      </c>
    </row>
    <row r="378" spans="1:20" x14ac:dyDescent="0.25">
      <c r="A378" s="5">
        <v>44215</v>
      </c>
      <c r="B378">
        <v>2.5527000000000001E-2</v>
      </c>
      <c r="C378">
        <v>2.5711999999999999E-2</v>
      </c>
      <c r="D378">
        <v>2.3198E-2</v>
      </c>
      <c r="E378">
        <v>2.3328000000000002E-2</v>
      </c>
      <c r="F378">
        <v>34548795</v>
      </c>
      <c r="G378">
        <v>0</v>
      </c>
      <c r="L378" t="s">
        <v>7</v>
      </c>
      <c r="M378" t="s">
        <v>7</v>
      </c>
      <c r="N378" t="s">
        <v>8</v>
      </c>
      <c r="P378">
        <f t="shared" si="969"/>
        <v>-0.89657915672235344</v>
      </c>
      <c r="Q378">
        <f t="shared" si="970"/>
        <v>-30975729.486873463</v>
      </c>
      <c r="R378">
        <f t="shared" si="971"/>
        <v>-873081860.50810921</v>
      </c>
      <c r="S378">
        <f t="shared" si="972"/>
        <v>-8730.8186050810928</v>
      </c>
      <c r="T378">
        <f t="shared" si="973"/>
        <v>-8.7308186050810921</v>
      </c>
    </row>
    <row r="379" spans="1:20" x14ac:dyDescent="0.25">
      <c r="A379" s="5">
        <v>44214</v>
      </c>
      <c r="B379">
        <v>2.4544E-2</v>
      </c>
      <c r="C379">
        <v>2.7182000000000001E-2</v>
      </c>
      <c r="D379">
        <v>2.3824000000000001E-2</v>
      </c>
      <c r="E379">
        <v>2.5527000000000001E-2</v>
      </c>
      <c r="F379">
        <v>52294080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1.4294222751637711E-2</v>
      </c>
      <c r="Q379">
        <f t="shared" si="970"/>
        <v>747503.22811196255</v>
      </c>
      <c r="R379">
        <f t="shared" si="971"/>
        <v>-842106131.0212357</v>
      </c>
      <c r="S379">
        <f t="shared" si="972"/>
        <v>-8421.0613102123571</v>
      </c>
      <c r="T379">
        <f t="shared" si="973"/>
        <v>-8.421061310212357</v>
      </c>
    </row>
    <row r="380" spans="1:20" x14ac:dyDescent="0.25">
      <c r="A380" s="5">
        <v>44213</v>
      </c>
      <c r="B380">
        <v>2.2258E-2</v>
      </c>
      <c r="C380">
        <v>2.6239999999999999E-2</v>
      </c>
      <c r="D380">
        <v>2.0199999999999999E-2</v>
      </c>
      <c r="E380">
        <v>2.4608999999999999E-2</v>
      </c>
      <c r="F380">
        <v>87256023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0.45993377483443693</v>
      </c>
      <c r="Q380">
        <f t="shared" si="970"/>
        <v>40131992.035430446</v>
      </c>
      <c r="R380">
        <f t="shared" si="971"/>
        <v>-842853634.24934769</v>
      </c>
      <c r="S380">
        <f t="shared" si="972"/>
        <v>-8428.5363424934767</v>
      </c>
      <c r="T380">
        <f t="shared" si="973"/>
        <v>-8.4285363424934765</v>
      </c>
    </row>
    <row r="381" spans="1:20" x14ac:dyDescent="0.25">
      <c r="A381" s="5">
        <v>44212</v>
      </c>
      <c r="B381">
        <v>2.2280000000000001E-2</v>
      </c>
      <c r="C381">
        <v>2.53E-2</v>
      </c>
      <c r="D381">
        <v>2.1467E-2</v>
      </c>
      <c r="E381">
        <v>2.2148999999999999E-2</v>
      </c>
      <c r="F381">
        <v>47338191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-0.64414296895382273</v>
      </c>
      <c r="Q381">
        <f t="shared" si="970"/>
        <v>-30492562.89564313</v>
      </c>
      <c r="R381">
        <f t="shared" si="971"/>
        <v>-882985626.28477812</v>
      </c>
      <c r="S381">
        <f t="shared" si="972"/>
        <v>-8829.8562628477812</v>
      </c>
      <c r="T381">
        <f t="shared" si="973"/>
        <v>-8.8298562628477804</v>
      </c>
    </row>
    <row r="382" spans="1:20" x14ac:dyDescent="0.25">
      <c r="A382" s="5">
        <v>44211</v>
      </c>
      <c r="B382">
        <v>2.1343000000000001E-2</v>
      </c>
      <c r="C382">
        <v>2.4237999999999999E-2</v>
      </c>
      <c r="D382">
        <v>1.9900000000000001E-2</v>
      </c>
      <c r="E382">
        <v>2.2280000000000001E-2</v>
      </c>
      <c r="F382">
        <v>67189944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9.7279852466575015E-2</v>
      </c>
      <c r="Q382">
        <f t="shared" si="970"/>
        <v>6536227.8395574372</v>
      </c>
      <c r="R382">
        <f t="shared" si="971"/>
        <v>-852493063.389135</v>
      </c>
      <c r="S382">
        <f t="shared" si="972"/>
        <v>-8524.9306338913502</v>
      </c>
      <c r="T382">
        <f t="shared" si="973"/>
        <v>-8.5249306338913495</v>
      </c>
    </row>
    <row r="383" spans="1:20" x14ac:dyDescent="0.25">
      <c r="A383" s="5">
        <v>44210</v>
      </c>
      <c r="B383">
        <v>2.0454E-2</v>
      </c>
      <c r="C383">
        <v>2.2749999999999999E-2</v>
      </c>
      <c r="D383">
        <v>1.9727999999999999E-2</v>
      </c>
      <c r="E383">
        <v>2.1444000000000001E-2</v>
      </c>
      <c r="F383">
        <v>61298714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0.13567174056916084</v>
      </c>
      <c r="Q383">
        <f t="shared" si="970"/>
        <v>8316503.2230311874</v>
      </c>
      <c r="R383">
        <f t="shared" si="971"/>
        <v>-859029291.22869241</v>
      </c>
      <c r="S383">
        <f t="shared" si="972"/>
        <v>-8590.2929122869245</v>
      </c>
      <c r="T383">
        <f t="shared" si="973"/>
        <v>-8.5902929122869249</v>
      </c>
    </row>
    <row r="384" spans="1:20" x14ac:dyDescent="0.25">
      <c r="A384" s="5">
        <v>44209</v>
      </c>
      <c r="B384">
        <v>2.0167999999999998E-2</v>
      </c>
      <c r="C384">
        <v>2.0879999999999999E-2</v>
      </c>
      <c r="D384">
        <v>1.9726E-2</v>
      </c>
      <c r="E384">
        <v>2.0421000000000002E-2</v>
      </c>
      <c r="F384">
        <v>37755495</v>
      </c>
      <c r="G384">
        <v>0</v>
      </c>
      <c r="L384" t="s">
        <v>8</v>
      </c>
      <c r="M384" t="s">
        <v>7</v>
      </c>
      <c r="N384" t="s">
        <v>8</v>
      </c>
      <c r="P384">
        <f t="shared" si="969"/>
        <v>0.20450606585788891</v>
      </c>
      <c r="Q384">
        <f t="shared" si="970"/>
        <v>7721227.7469671955</v>
      </c>
      <c r="R384">
        <f t="shared" si="971"/>
        <v>-867345794.45172358</v>
      </c>
      <c r="S384">
        <f t="shared" si="972"/>
        <v>-8673.4579445172349</v>
      </c>
      <c r="T384">
        <f t="shared" si="973"/>
        <v>-8.6734579445172351</v>
      </c>
    </row>
    <row r="385" spans="1:20" x14ac:dyDescent="0.25">
      <c r="A385" s="5">
        <v>44208</v>
      </c>
      <c r="B385">
        <v>1.9945999999999998E-2</v>
      </c>
      <c r="C385">
        <v>2.2792E-2</v>
      </c>
      <c r="D385">
        <v>1.8804999999999999E-2</v>
      </c>
      <c r="E385">
        <v>2.0167000000000001E-2</v>
      </c>
      <c r="F385">
        <v>68365700</v>
      </c>
      <c r="G385">
        <v>0</v>
      </c>
      <c r="L385" t="s">
        <v>7</v>
      </c>
      <c r="M385" t="s">
        <v>7</v>
      </c>
      <c r="N385" t="s">
        <v>8</v>
      </c>
      <c r="P385">
        <f t="shared" si="969"/>
        <v>-0.31677953348382154</v>
      </c>
      <c r="Q385">
        <f t="shared" si="970"/>
        <v>-21656854.552294899</v>
      </c>
      <c r="R385">
        <f t="shared" si="971"/>
        <v>-875067022.19869077</v>
      </c>
      <c r="S385">
        <f t="shared" si="972"/>
        <v>-8750.6702219869076</v>
      </c>
      <c r="T385">
        <f t="shared" si="973"/>
        <v>-8.7506702219869084</v>
      </c>
    </row>
    <row r="386" spans="1:20" x14ac:dyDescent="0.25">
      <c r="A386" s="5">
        <v>44207</v>
      </c>
      <c r="B386">
        <v>2.1669999999999998E-2</v>
      </c>
      <c r="C386">
        <v>2.555E-2</v>
      </c>
      <c r="D386">
        <v>1.8446000000000001E-2</v>
      </c>
      <c r="E386">
        <v>1.9945000000000001E-2</v>
      </c>
      <c r="F386">
        <v>201118412</v>
      </c>
      <c r="G386">
        <v>0</v>
      </c>
      <c r="L386" t="s">
        <v>8</v>
      </c>
      <c r="M386" t="s">
        <v>8</v>
      </c>
      <c r="N386" t="s">
        <v>8</v>
      </c>
      <c r="P386">
        <f t="shared" si="969"/>
        <v>-0.57798423423423406</v>
      </c>
      <c r="Q386">
        <f t="shared" si="970"/>
        <v>-116243271.3502252</v>
      </c>
      <c r="R386">
        <f t="shared" si="971"/>
        <v>-853410167.64639592</v>
      </c>
      <c r="S386">
        <f t="shared" si="972"/>
        <v>-8534.1016764639589</v>
      </c>
      <c r="T386">
        <f t="shared" si="973"/>
        <v>-8.5341016764639583</v>
      </c>
    </row>
    <row r="387" spans="1:20" x14ac:dyDescent="0.25">
      <c r="A387" s="5">
        <v>44206</v>
      </c>
      <c r="B387">
        <v>2.0296999999999999E-2</v>
      </c>
      <c r="C387">
        <v>2.4500000000000001E-2</v>
      </c>
      <c r="D387">
        <v>1.8662999999999999E-2</v>
      </c>
      <c r="E387">
        <v>2.1645000000000001E-2</v>
      </c>
      <c r="F387">
        <v>91730647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2.1757752270002068E-2</v>
      </c>
      <c r="Q387">
        <f t="shared" si="970"/>
        <v>1995852.6929930083</v>
      </c>
      <c r="R387">
        <f t="shared" si="971"/>
        <v>-737166896.29617071</v>
      </c>
      <c r="S387">
        <f t="shared" si="972"/>
        <v>-7371.6689629617067</v>
      </c>
      <c r="T387">
        <f t="shared" si="973"/>
        <v>-7.3716689629617065</v>
      </c>
    </row>
    <row r="388" spans="1:20" x14ac:dyDescent="0.25">
      <c r="A388" s="5">
        <v>44205</v>
      </c>
      <c r="B388">
        <v>1.8893E-2</v>
      </c>
      <c r="C388">
        <v>2.1000000000000001E-2</v>
      </c>
      <c r="D388">
        <v>1.7979999999999999E-2</v>
      </c>
      <c r="E388">
        <v>2.0299000000000001E-2</v>
      </c>
      <c r="F388">
        <v>44566573</v>
      </c>
      <c r="G388">
        <v>0</v>
      </c>
      <c r="L388" t="s">
        <v>8</v>
      </c>
      <c r="M388" t="s">
        <v>7</v>
      </c>
      <c r="N388" t="s">
        <v>7</v>
      </c>
      <c r="P388">
        <f t="shared" si="969"/>
        <v>0.53576158940397367</v>
      </c>
      <c r="Q388">
        <f t="shared" si="970"/>
        <v>23877057.984768219</v>
      </c>
      <c r="R388">
        <f t="shared" si="971"/>
        <v>-739162748.98916376</v>
      </c>
      <c r="S388">
        <f t="shared" si="972"/>
        <v>-7391.6274898916372</v>
      </c>
      <c r="T388">
        <f t="shared" si="973"/>
        <v>-7.3916274898916372</v>
      </c>
    </row>
    <row r="389" spans="1:20" x14ac:dyDescent="0.25">
      <c r="A389" s="5">
        <v>44204</v>
      </c>
      <c r="B389">
        <v>2.0191000000000001E-2</v>
      </c>
      <c r="C389">
        <v>2.12E-2</v>
      </c>
      <c r="D389">
        <v>1.8002000000000001E-2</v>
      </c>
      <c r="E389">
        <v>1.8959E-2</v>
      </c>
      <c r="F389">
        <v>36867413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-0.40150093808630416</v>
      </c>
      <c r="Q389">
        <f t="shared" si="970"/>
        <v>-14802300.904315205</v>
      </c>
      <c r="R389">
        <f t="shared" si="971"/>
        <v>-763039806.97393203</v>
      </c>
      <c r="S389">
        <f t="shared" si="972"/>
        <v>-7630.3980697393199</v>
      </c>
      <c r="T389">
        <f t="shared" si="973"/>
        <v>-7.6303980697393197</v>
      </c>
    </row>
    <row r="390" spans="1:20" x14ac:dyDescent="0.25">
      <c r="A390" s="5">
        <v>44203</v>
      </c>
      <c r="B390">
        <v>1.9701E-2</v>
      </c>
      <c r="C390">
        <v>2.1600000000000001E-2</v>
      </c>
      <c r="D390">
        <v>1.932E-2</v>
      </c>
      <c r="E390">
        <v>2.0131E-2</v>
      </c>
      <c r="F390">
        <v>37254407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-0.28859649122807113</v>
      </c>
      <c r="Q390">
        <f t="shared" ref="Q390:Q453" si="975">F390*P390</f>
        <v>-10751491.142982492</v>
      </c>
      <c r="R390">
        <f t="shared" ref="R390:R453" si="976">R391+Q390</f>
        <v>-748237506.06961679</v>
      </c>
      <c r="S390">
        <f t="shared" ref="S390:S453" si="977">R390/100000</f>
        <v>-7482.3750606961676</v>
      </c>
      <c r="T390">
        <f t="shared" ref="T390:T453" si="978">S390/1000</f>
        <v>-7.4823750606961674</v>
      </c>
    </row>
    <row r="391" spans="1:20" x14ac:dyDescent="0.25">
      <c r="A391" s="5">
        <v>44202</v>
      </c>
      <c r="B391">
        <v>1.9098E-2</v>
      </c>
      <c r="C391">
        <v>2.0242E-2</v>
      </c>
      <c r="D391">
        <v>1.8315999999999999E-2</v>
      </c>
      <c r="E391">
        <v>1.9701E-2</v>
      </c>
      <c r="F391">
        <v>51127820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0.43821391484942923</v>
      </c>
      <c r="Q391">
        <f t="shared" si="975"/>
        <v>22404922.159916945</v>
      </c>
      <c r="R391">
        <f t="shared" si="976"/>
        <v>-737486014.92663431</v>
      </c>
      <c r="S391">
        <f t="shared" si="977"/>
        <v>-7374.8601492663429</v>
      </c>
      <c r="T391">
        <f t="shared" si="978"/>
        <v>-7.3748601492663433</v>
      </c>
    </row>
    <row r="392" spans="1:20" x14ac:dyDescent="0.25">
      <c r="A392" s="5">
        <v>44201</v>
      </c>
      <c r="B392">
        <v>1.9637999999999999E-2</v>
      </c>
      <c r="C392">
        <v>2.0781000000000001E-2</v>
      </c>
      <c r="D392">
        <v>1.7436E-2</v>
      </c>
      <c r="E392">
        <v>1.9095999999999998E-2</v>
      </c>
      <c r="F392">
        <v>99818161</v>
      </c>
      <c r="G392">
        <v>0</v>
      </c>
      <c r="L392" t="s">
        <v>7</v>
      </c>
      <c r="M392" t="s">
        <v>8</v>
      </c>
      <c r="N392" t="s">
        <v>7</v>
      </c>
      <c r="P392">
        <f t="shared" si="974"/>
        <v>-7.4738415545602928E-3</v>
      </c>
      <c r="Q392">
        <f t="shared" si="975"/>
        <v>-746025.11958158959</v>
      </c>
      <c r="R392">
        <f t="shared" si="976"/>
        <v>-759890937.08655131</v>
      </c>
      <c r="S392">
        <f t="shared" si="977"/>
        <v>-7598.9093708655128</v>
      </c>
      <c r="T392">
        <f t="shared" si="978"/>
        <v>-7.5989093708655124</v>
      </c>
    </row>
    <row r="393" spans="1:20" x14ac:dyDescent="0.25">
      <c r="A393" s="5">
        <v>44200</v>
      </c>
      <c r="B393">
        <v>1.821E-2</v>
      </c>
      <c r="C393">
        <v>2.1274999999999999E-2</v>
      </c>
      <c r="D393">
        <v>1.6202000000000001E-2</v>
      </c>
      <c r="E393">
        <v>1.9637999999999999E-2</v>
      </c>
      <c r="F393">
        <v>102891980</v>
      </c>
      <c r="G393">
        <v>0</v>
      </c>
      <c r="L393" t="s">
        <v>8</v>
      </c>
      <c r="M393" t="s">
        <v>7</v>
      </c>
      <c r="N393" t="s">
        <v>7</v>
      </c>
      <c r="P393">
        <f t="shared" si="974"/>
        <v>0.35462251133451594</v>
      </c>
      <c r="Q393">
        <f t="shared" si="975"/>
        <v>36487812.343780786</v>
      </c>
      <c r="R393">
        <f t="shared" si="976"/>
        <v>-759144911.96696973</v>
      </c>
      <c r="S393">
        <f t="shared" si="977"/>
        <v>-7591.4491196696972</v>
      </c>
      <c r="T393">
        <f t="shared" si="978"/>
        <v>-7.5914491196696972</v>
      </c>
    </row>
    <row r="394" spans="1:20" x14ac:dyDescent="0.25">
      <c r="A394" s="5">
        <v>44199</v>
      </c>
      <c r="B394">
        <v>1.8208999999999999E-2</v>
      </c>
      <c r="C394">
        <v>1.9E-2</v>
      </c>
      <c r="D394">
        <v>1.7441000000000002E-2</v>
      </c>
      <c r="E394">
        <v>1.8239999999999999E-2</v>
      </c>
      <c r="F394">
        <v>30378203</v>
      </c>
      <c r="G394">
        <v>0</v>
      </c>
      <c r="L394" t="s">
        <v>8</v>
      </c>
      <c r="M394" t="s">
        <v>7</v>
      </c>
      <c r="N394" t="s">
        <v>8</v>
      </c>
      <c r="P394">
        <f t="shared" si="974"/>
        <v>2.5016035920460183E-2</v>
      </c>
      <c r="Q394">
        <f t="shared" si="975"/>
        <v>759942.21744703129</v>
      </c>
      <c r="R394">
        <f t="shared" si="976"/>
        <v>-795632724.31075048</v>
      </c>
      <c r="S394">
        <f t="shared" si="977"/>
        <v>-7956.3272431075047</v>
      </c>
      <c r="T394">
        <f t="shared" si="978"/>
        <v>-7.9563272431075047</v>
      </c>
    </row>
    <row r="395" spans="1:20" x14ac:dyDescent="0.25">
      <c r="A395" s="5">
        <v>44198</v>
      </c>
      <c r="B395">
        <v>1.7587999999999999E-2</v>
      </c>
      <c r="C395">
        <v>1.9213000000000001E-2</v>
      </c>
      <c r="D395">
        <v>1.6997999999999999E-2</v>
      </c>
      <c r="E395">
        <v>1.8273000000000001E-2</v>
      </c>
      <c r="F395">
        <v>56818315</v>
      </c>
      <c r="G395">
        <v>0</v>
      </c>
      <c r="L395" t="s">
        <v>7</v>
      </c>
      <c r="M395" t="s">
        <v>7</v>
      </c>
      <c r="N395" t="s">
        <v>8</v>
      </c>
      <c r="P395">
        <f t="shared" si="974"/>
        <v>0.15124153498871409</v>
      </c>
      <c r="Q395">
        <f t="shared" si="975"/>
        <v>8593289.176072279</v>
      </c>
      <c r="R395">
        <f t="shared" si="976"/>
        <v>-796392666.52819753</v>
      </c>
      <c r="S395">
        <f t="shared" si="977"/>
        <v>-7963.9266652819751</v>
      </c>
      <c r="T395">
        <f t="shared" si="978"/>
        <v>-7.9639266652819751</v>
      </c>
    </row>
    <row r="396" spans="1:20" x14ac:dyDescent="0.25">
      <c r="A396" s="5">
        <v>44197</v>
      </c>
      <c r="B396">
        <v>1.8318999999999998E-2</v>
      </c>
      <c r="C396">
        <v>2.0185000000000002E-2</v>
      </c>
      <c r="D396">
        <v>1.7396999999999999E-2</v>
      </c>
      <c r="E396">
        <v>1.7587999999999999E-2</v>
      </c>
      <c r="F396">
        <v>45146068</v>
      </c>
      <c r="G396">
        <v>0</v>
      </c>
      <c r="L396" t="s">
        <v>7</v>
      </c>
      <c r="M396" t="s">
        <v>7</v>
      </c>
      <c r="N396" t="s">
        <v>8</v>
      </c>
      <c r="P396">
        <f t="shared" si="974"/>
        <v>-0.86298421807747483</v>
      </c>
      <c r="Q396">
        <f t="shared" si="975"/>
        <v>-38960344.192252509</v>
      </c>
      <c r="R396">
        <f t="shared" si="976"/>
        <v>-804985955.70426977</v>
      </c>
      <c r="S396">
        <f t="shared" si="977"/>
        <v>-8049.8595570426978</v>
      </c>
      <c r="T396">
        <f t="shared" si="978"/>
        <v>-8.0498595570426978</v>
      </c>
    </row>
    <row r="397" spans="1:20" x14ac:dyDescent="0.25">
      <c r="A397" s="5">
        <v>44196</v>
      </c>
      <c r="B397">
        <v>2.0205000000000001E-2</v>
      </c>
      <c r="C397">
        <v>2.2183999999999999E-2</v>
      </c>
      <c r="D397">
        <v>1.7850000000000001E-2</v>
      </c>
      <c r="E397">
        <v>1.8318999999999998E-2</v>
      </c>
      <c r="F397">
        <v>84553160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-0.78357175819104874</v>
      </c>
      <c r="Q397">
        <f t="shared" si="975"/>
        <v>-66253468.241809055</v>
      </c>
      <c r="R397">
        <f t="shared" si="976"/>
        <v>-766025611.51201725</v>
      </c>
      <c r="S397">
        <f t="shared" si="977"/>
        <v>-7660.2561151201726</v>
      </c>
      <c r="T397">
        <f t="shared" si="978"/>
        <v>-7.6602561151201725</v>
      </c>
    </row>
    <row r="398" spans="1:20" x14ac:dyDescent="0.25">
      <c r="A398" s="5">
        <v>44195</v>
      </c>
      <c r="B398">
        <v>1.8237E-2</v>
      </c>
      <c r="C398">
        <v>2.1999999999999999E-2</v>
      </c>
      <c r="D398">
        <v>1.8023000000000001E-2</v>
      </c>
      <c r="E398">
        <v>2.0205000000000001E-2</v>
      </c>
      <c r="F398">
        <v>112587981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9.7309529796329425E-2</v>
      </c>
      <c r="Q398">
        <f t="shared" si="975"/>
        <v>10955883.491828071</v>
      </c>
      <c r="R398">
        <f t="shared" si="976"/>
        <v>-699772143.27020824</v>
      </c>
      <c r="S398">
        <f t="shared" si="977"/>
        <v>-6997.721432702082</v>
      </c>
      <c r="T398">
        <f t="shared" si="978"/>
        <v>-6.9977214327020816</v>
      </c>
    </row>
    <row r="399" spans="1:20" x14ac:dyDescent="0.25">
      <c r="A399" s="5">
        <v>44194</v>
      </c>
      <c r="B399">
        <v>1.7394E-2</v>
      </c>
      <c r="C399">
        <v>1.9515999999999999E-2</v>
      </c>
      <c r="D399">
        <v>1.5556E-2</v>
      </c>
      <c r="E399">
        <v>1.8245999999999998E-2</v>
      </c>
      <c r="F399">
        <v>81056988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0.35858585858585817</v>
      </c>
      <c r="Q399">
        <f t="shared" si="975"/>
        <v>29065889.636363603</v>
      </c>
      <c r="R399">
        <f t="shared" si="976"/>
        <v>-710728026.76203632</v>
      </c>
      <c r="S399">
        <f t="shared" si="977"/>
        <v>-7107.2802676203628</v>
      </c>
      <c r="T399">
        <f t="shared" si="978"/>
        <v>-7.1072802676203626</v>
      </c>
    </row>
    <row r="400" spans="1:20" x14ac:dyDescent="0.25">
      <c r="A400" s="5">
        <v>44193</v>
      </c>
      <c r="B400">
        <v>1.6855999999999999E-2</v>
      </c>
      <c r="C400">
        <v>1.7958999999999999E-2</v>
      </c>
      <c r="D400">
        <v>1.6532000000000002E-2</v>
      </c>
      <c r="E400">
        <v>1.7666000000000001E-2</v>
      </c>
      <c r="F400">
        <v>34297742</v>
      </c>
      <c r="G400">
        <v>0</v>
      </c>
      <c r="L400" t="s">
        <v>7</v>
      </c>
      <c r="M400" t="s">
        <v>7</v>
      </c>
      <c r="N400" t="s">
        <v>8</v>
      </c>
      <c r="P400">
        <f t="shared" si="974"/>
        <v>0.58934828311142451</v>
      </c>
      <c r="Q400">
        <f t="shared" si="975"/>
        <v>20213315.362298597</v>
      </c>
      <c r="R400">
        <f t="shared" si="976"/>
        <v>-739793916.39839995</v>
      </c>
      <c r="S400">
        <f t="shared" si="977"/>
        <v>-7397.9391639839996</v>
      </c>
      <c r="T400">
        <f t="shared" si="978"/>
        <v>-7.3979391639839998</v>
      </c>
    </row>
    <row r="401" spans="1:20" x14ac:dyDescent="0.25">
      <c r="A401" s="5">
        <v>44192</v>
      </c>
      <c r="B401">
        <v>1.4741000000000001E-2</v>
      </c>
      <c r="C401">
        <v>1.9470000000000001E-2</v>
      </c>
      <c r="D401">
        <v>1.4579E-2</v>
      </c>
      <c r="E401">
        <v>1.7065E-2</v>
      </c>
      <c r="F401">
        <v>135617092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1.6561030464117655E-2</v>
      </c>
      <c r="Q401">
        <f t="shared" si="975"/>
        <v>2245958.7920670467</v>
      </c>
      <c r="R401">
        <f t="shared" si="976"/>
        <v>-760007231.76069856</v>
      </c>
      <c r="S401">
        <f t="shared" si="977"/>
        <v>-7600.072317606986</v>
      </c>
      <c r="T401">
        <f t="shared" si="978"/>
        <v>-7.600072317606986</v>
      </c>
    </row>
    <row r="402" spans="1:20" x14ac:dyDescent="0.25">
      <c r="A402" s="5">
        <v>44191</v>
      </c>
      <c r="B402">
        <v>1.3976000000000001E-2</v>
      </c>
      <c r="C402">
        <v>1.5542E-2</v>
      </c>
      <c r="D402">
        <v>1.37E-2</v>
      </c>
      <c r="E402">
        <v>1.4741000000000001E-2</v>
      </c>
      <c r="F402">
        <v>50873768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0.13029315960912088</v>
      </c>
      <c r="Q402">
        <f t="shared" si="975"/>
        <v>6628503.9739413867</v>
      </c>
      <c r="R402">
        <f t="shared" si="976"/>
        <v>-762253190.55276561</v>
      </c>
      <c r="S402">
        <f t="shared" si="977"/>
        <v>-7622.5319055276559</v>
      </c>
      <c r="T402">
        <f t="shared" si="978"/>
        <v>-7.6225319055276559</v>
      </c>
    </row>
    <row r="403" spans="1:20" x14ac:dyDescent="0.25">
      <c r="A403" s="5">
        <v>44190</v>
      </c>
      <c r="B403">
        <v>1.3643000000000001E-2</v>
      </c>
      <c r="C403">
        <v>1.4449E-2</v>
      </c>
      <c r="D403">
        <v>1.2976E-2</v>
      </c>
      <c r="E403">
        <v>1.3912000000000001E-2</v>
      </c>
      <c r="F403">
        <v>22276995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0.27087576374745531</v>
      </c>
      <c r="Q403">
        <f t="shared" si="975"/>
        <v>6034298.0346232429</v>
      </c>
      <c r="R403">
        <f t="shared" si="976"/>
        <v>-768881694.52670705</v>
      </c>
      <c r="S403">
        <f t="shared" si="977"/>
        <v>-7688.8169452670709</v>
      </c>
      <c r="T403">
        <f t="shared" si="978"/>
        <v>-7.6888169452670709</v>
      </c>
    </row>
    <row r="404" spans="1:20" x14ac:dyDescent="0.25">
      <c r="A404" s="5">
        <v>44189</v>
      </c>
      <c r="B404">
        <v>1.3278E-2</v>
      </c>
      <c r="C404">
        <v>1.4456999999999999E-2</v>
      </c>
      <c r="D404">
        <v>1.1778E-2</v>
      </c>
      <c r="E404">
        <v>1.3617000000000001E-2</v>
      </c>
      <c r="F404">
        <v>41741368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0.37290033594624933</v>
      </c>
      <c r="Q404">
        <f t="shared" si="975"/>
        <v>15565370.150056021</v>
      </c>
      <c r="R404">
        <f t="shared" si="976"/>
        <v>-774915992.56133032</v>
      </c>
      <c r="S404">
        <f t="shared" si="977"/>
        <v>-7749.1599256133031</v>
      </c>
      <c r="T404">
        <f t="shared" si="978"/>
        <v>-7.749159925613303</v>
      </c>
    </row>
    <row r="405" spans="1:20" x14ac:dyDescent="0.25">
      <c r="A405" s="5">
        <v>44188</v>
      </c>
      <c r="B405">
        <v>1.4597000000000001E-2</v>
      </c>
      <c r="C405">
        <v>1.5795E-2</v>
      </c>
      <c r="D405">
        <v>1.2385E-2</v>
      </c>
      <c r="E405">
        <v>1.3299999999999999E-2</v>
      </c>
      <c r="F405">
        <v>50247455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-0.4633431085043993</v>
      </c>
      <c r="Q405">
        <f t="shared" si="975"/>
        <v>-23281811.994134922</v>
      </c>
      <c r="R405">
        <f t="shared" si="976"/>
        <v>-790481362.71138632</v>
      </c>
      <c r="S405">
        <f t="shared" si="977"/>
        <v>-7904.8136271138628</v>
      </c>
      <c r="T405">
        <f t="shared" si="978"/>
        <v>-7.9048136271138629</v>
      </c>
    </row>
    <row r="406" spans="1:20" x14ac:dyDescent="0.25">
      <c r="A406" s="5">
        <v>44187</v>
      </c>
      <c r="B406">
        <v>1.3901999999999999E-2</v>
      </c>
      <c r="C406">
        <v>1.6603E-2</v>
      </c>
      <c r="D406">
        <v>1.2640999999999999E-2</v>
      </c>
      <c r="E406">
        <v>1.4581999999999999E-2</v>
      </c>
      <c r="F406">
        <v>84418817</v>
      </c>
      <c r="G406">
        <v>0</v>
      </c>
      <c r="M406" t="s">
        <v>8</v>
      </c>
      <c r="N406" t="s">
        <v>7</v>
      </c>
      <c r="P406">
        <f t="shared" si="974"/>
        <v>-2.0191822311963706E-2</v>
      </c>
      <c r="Q406">
        <f t="shared" si="975"/>
        <v>-1704569.7526501811</v>
      </c>
      <c r="R406">
        <f>R407+Q406</f>
        <v>-767199550.71725142</v>
      </c>
      <c r="S406">
        <f t="shared" si="977"/>
        <v>-7671.9955071725144</v>
      </c>
      <c r="T406">
        <f t="shared" si="978"/>
        <v>-7.6719955071725146</v>
      </c>
    </row>
    <row r="407" spans="1:20" x14ac:dyDescent="0.25">
      <c r="A407" s="5">
        <v>44186</v>
      </c>
      <c r="B407">
        <v>1.5247E-2</v>
      </c>
      <c r="C407">
        <v>1.555E-2</v>
      </c>
      <c r="D407">
        <v>1.2999999999999999E-2</v>
      </c>
      <c r="E407">
        <v>1.3906999999999999E-2</v>
      </c>
      <c r="F407">
        <v>78115641</v>
      </c>
      <c r="G407">
        <v>0</v>
      </c>
      <c r="M407" t="s">
        <v>7</v>
      </c>
      <c r="N407" t="s">
        <v>7</v>
      </c>
      <c r="P407">
        <f t="shared" si="974"/>
        <v>-0.28862745098039233</v>
      </c>
      <c r="Q407">
        <f t="shared" si="975"/>
        <v>-22546318.343529426</v>
      </c>
      <c r="R407">
        <f t="shared" si="976"/>
        <v>-765494980.96460128</v>
      </c>
      <c r="S407">
        <f t="shared" si="977"/>
        <v>-7654.9498096460129</v>
      </c>
      <c r="T407">
        <f t="shared" si="978"/>
        <v>-7.6549498096460127</v>
      </c>
    </row>
    <row r="408" spans="1:20" x14ac:dyDescent="0.25">
      <c r="A408" s="5">
        <v>44185</v>
      </c>
      <c r="B408">
        <v>1.3162999999999999E-2</v>
      </c>
      <c r="C408">
        <v>2.1999999999999999E-2</v>
      </c>
      <c r="D408">
        <v>1.3157E-2</v>
      </c>
      <c r="E408">
        <v>1.5247E-2</v>
      </c>
      <c r="F408">
        <v>784763011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-0.52730973651475743</v>
      </c>
      <c r="Q408">
        <f t="shared" si="975"/>
        <v>-413813176.55693769</v>
      </c>
      <c r="R408">
        <f t="shared" si="976"/>
        <v>-742948662.62107182</v>
      </c>
      <c r="S408">
        <f t="shared" si="977"/>
        <v>-7429.486626210718</v>
      </c>
      <c r="T408">
        <f t="shared" si="978"/>
        <v>-7.4294866262107178</v>
      </c>
    </row>
    <row r="409" spans="1:20" x14ac:dyDescent="0.25">
      <c r="A409" s="5">
        <v>44184</v>
      </c>
      <c r="B409">
        <v>1.3644E-2</v>
      </c>
      <c r="C409">
        <v>1.4163E-2</v>
      </c>
      <c r="D409">
        <v>1.2881E-2</v>
      </c>
      <c r="E409">
        <v>1.3278E-2</v>
      </c>
      <c r="F409">
        <v>28651966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-0.38065522620904879</v>
      </c>
      <c r="Q409">
        <f t="shared" si="975"/>
        <v>-10906520.599063976</v>
      </c>
      <c r="R409">
        <f t="shared" si="976"/>
        <v>-329135486.06413412</v>
      </c>
      <c r="S409">
        <f t="shared" si="977"/>
        <v>-3291.354860641341</v>
      </c>
      <c r="T409">
        <f t="shared" si="978"/>
        <v>-3.291354860641341</v>
      </c>
    </row>
    <row r="410" spans="1:20" x14ac:dyDescent="0.25">
      <c r="A410" s="5">
        <v>44183</v>
      </c>
      <c r="B410">
        <v>1.2163E-2</v>
      </c>
      <c r="C410">
        <v>1.3884000000000001E-2</v>
      </c>
      <c r="D410">
        <v>1.2E-2</v>
      </c>
      <c r="E410">
        <v>1.3558000000000001E-2</v>
      </c>
      <c r="F410">
        <v>43759633</v>
      </c>
      <c r="G410">
        <v>0</v>
      </c>
      <c r="L410" t="s">
        <v>8</v>
      </c>
      <c r="M410" t="s">
        <v>8</v>
      </c>
      <c r="N410" t="s">
        <v>8</v>
      </c>
      <c r="P410">
        <f t="shared" si="974"/>
        <v>0.65392781316348214</v>
      </c>
      <c r="Q410">
        <f t="shared" si="975"/>
        <v>28615641.112526547</v>
      </c>
      <c r="R410">
        <f t="shared" si="976"/>
        <v>-318228965.46507013</v>
      </c>
      <c r="S410">
        <f t="shared" si="977"/>
        <v>-3182.2896546507013</v>
      </c>
      <c r="T410">
        <f t="shared" si="978"/>
        <v>-3.1822896546507011</v>
      </c>
    </row>
    <row r="411" spans="1:20" x14ac:dyDescent="0.25">
      <c r="A411" s="5">
        <v>44182</v>
      </c>
      <c r="B411">
        <v>1.2593E-2</v>
      </c>
      <c r="C411">
        <v>1.2999999999999999E-2</v>
      </c>
      <c r="D411">
        <v>1.1972999999999999E-2</v>
      </c>
      <c r="E411">
        <v>1.2189999999999999E-2</v>
      </c>
      <c r="F411">
        <v>23164901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-0.57740993184031131</v>
      </c>
      <c r="Q411">
        <f t="shared" si="975"/>
        <v>-13375643.907497559</v>
      </c>
      <c r="R411">
        <f t="shared" si="976"/>
        <v>-346844606.57759666</v>
      </c>
      <c r="S411">
        <f t="shared" si="977"/>
        <v>-3468.4460657759664</v>
      </c>
      <c r="T411">
        <f t="shared" si="978"/>
        <v>-3.4684460657759666</v>
      </c>
    </row>
    <row r="412" spans="1:20" x14ac:dyDescent="0.25">
      <c r="A412" s="5">
        <v>44181</v>
      </c>
      <c r="B412">
        <v>1.2264000000000001E-2</v>
      </c>
      <c r="C412">
        <v>1.269E-2</v>
      </c>
      <c r="D412">
        <v>1.1897E-2</v>
      </c>
      <c r="E412">
        <v>1.2593E-2</v>
      </c>
      <c r="F412">
        <v>16517449</v>
      </c>
      <c r="G412">
        <v>0</v>
      </c>
      <c r="L412" t="s">
        <v>7</v>
      </c>
      <c r="M412" t="s">
        <v>8</v>
      </c>
      <c r="N412" t="s">
        <v>8</v>
      </c>
      <c r="P412">
        <f t="shared" si="974"/>
        <v>0.75535939470365743</v>
      </c>
      <c r="Q412">
        <f t="shared" si="975"/>
        <v>12476610.278688531</v>
      </c>
      <c r="R412">
        <f t="shared" si="976"/>
        <v>-333468962.67009908</v>
      </c>
      <c r="S412">
        <f t="shared" si="977"/>
        <v>-3334.6896267009906</v>
      </c>
      <c r="T412">
        <f t="shared" si="978"/>
        <v>-3.3346896267009907</v>
      </c>
    </row>
    <row r="413" spans="1:20" x14ac:dyDescent="0.25">
      <c r="A413" s="5">
        <v>44180</v>
      </c>
      <c r="B413">
        <v>1.2671999999999999E-2</v>
      </c>
      <c r="C413">
        <v>1.2869E-2</v>
      </c>
      <c r="D413">
        <v>1.2222E-2</v>
      </c>
      <c r="E413">
        <v>1.2264000000000001E-2</v>
      </c>
      <c r="F413">
        <v>11400708</v>
      </c>
      <c r="G413">
        <v>0</v>
      </c>
      <c r="L413" t="s">
        <v>7</v>
      </c>
      <c r="M413" t="s">
        <v>8</v>
      </c>
      <c r="N413" t="s">
        <v>8</v>
      </c>
      <c r="P413">
        <f t="shared" si="974"/>
        <v>-0.87017001545594941</v>
      </c>
      <c r="Q413">
        <f t="shared" si="975"/>
        <v>-9920554.2565687653</v>
      </c>
      <c r="R413">
        <f t="shared" si="976"/>
        <v>-345945572.94878763</v>
      </c>
      <c r="S413">
        <f t="shared" si="977"/>
        <v>-3459.4557294878764</v>
      </c>
      <c r="T413">
        <f t="shared" si="978"/>
        <v>-3.4594557294878765</v>
      </c>
    </row>
    <row r="414" spans="1:20" x14ac:dyDescent="0.25">
      <c r="A414" s="5">
        <v>44179</v>
      </c>
      <c r="B414">
        <v>1.2503999999999999E-2</v>
      </c>
      <c r="C414">
        <v>1.3082999999999999E-2</v>
      </c>
      <c r="D414">
        <v>1.2253999999999999E-2</v>
      </c>
      <c r="E414">
        <v>1.2718999999999999E-2</v>
      </c>
      <c r="F414">
        <v>18329210</v>
      </c>
      <c r="G414">
        <v>0</v>
      </c>
      <c r="L414" t="s">
        <v>8</v>
      </c>
      <c r="M414" t="s">
        <v>8</v>
      </c>
      <c r="N414" t="s">
        <v>8</v>
      </c>
      <c r="P414">
        <f t="shared" si="974"/>
        <v>0.12183353437877009</v>
      </c>
      <c r="Q414">
        <f t="shared" si="975"/>
        <v>2233112.4366706964</v>
      </c>
      <c r="R414">
        <f t="shared" si="976"/>
        <v>-336025018.69221884</v>
      </c>
      <c r="S414">
        <f t="shared" si="977"/>
        <v>-3360.2501869221883</v>
      </c>
      <c r="T414">
        <f t="shared" si="978"/>
        <v>-3.3602501869221881</v>
      </c>
    </row>
    <row r="415" spans="1:20" x14ac:dyDescent="0.25">
      <c r="A415" s="5">
        <v>44178</v>
      </c>
      <c r="B415">
        <v>1.2134000000000001E-2</v>
      </c>
      <c r="C415">
        <v>1.2735E-2</v>
      </c>
      <c r="D415">
        <v>1.1779E-2</v>
      </c>
      <c r="E415">
        <v>1.2505E-2</v>
      </c>
      <c r="F415">
        <v>18717095</v>
      </c>
      <c r="G415">
        <v>0</v>
      </c>
      <c r="L415" t="s">
        <v>7</v>
      </c>
      <c r="M415" t="s">
        <v>8</v>
      </c>
      <c r="N415" t="s">
        <v>8</v>
      </c>
      <c r="P415">
        <f t="shared" si="974"/>
        <v>0.51882845188284676</v>
      </c>
      <c r="Q415">
        <f t="shared" si="975"/>
        <v>9710961.422594171</v>
      </c>
      <c r="R415">
        <f t="shared" si="976"/>
        <v>-338258131.12888956</v>
      </c>
      <c r="S415">
        <f t="shared" si="977"/>
        <v>-3382.5813112888954</v>
      </c>
      <c r="T415">
        <f t="shared" si="978"/>
        <v>-3.3825813112888956</v>
      </c>
    </row>
    <row r="416" spans="1:20" x14ac:dyDescent="0.25">
      <c r="A416" s="5">
        <v>44177</v>
      </c>
      <c r="B416">
        <v>1.1112E-2</v>
      </c>
      <c r="C416">
        <v>1.3455999999999999E-2</v>
      </c>
      <c r="D416">
        <v>1.1018E-2</v>
      </c>
      <c r="E416">
        <v>1.2135E-2</v>
      </c>
      <c r="F416">
        <v>53728218</v>
      </c>
      <c r="G416">
        <v>0</v>
      </c>
      <c r="L416" t="s">
        <v>8</v>
      </c>
      <c r="M416" t="s">
        <v>8</v>
      </c>
      <c r="N416" t="s">
        <v>8</v>
      </c>
      <c r="P416">
        <f t="shared" si="974"/>
        <v>-8.3675143560295068E-2</v>
      </c>
      <c r="Q416">
        <f t="shared" si="975"/>
        <v>-4495716.3543888293</v>
      </c>
      <c r="R416">
        <f t="shared" si="976"/>
        <v>-347969092.55148375</v>
      </c>
      <c r="S416">
        <f t="shared" si="977"/>
        <v>-3479.6909255148375</v>
      </c>
      <c r="T416">
        <f t="shared" si="978"/>
        <v>-3.4796909255148374</v>
      </c>
    </row>
    <row r="417" spans="1:20" x14ac:dyDescent="0.25">
      <c r="A417" s="5">
        <v>44176</v>
      </c>
      <c r="B417">
        <v>1.1620999999999999E-2</v>
      </c>
      <c r="C417">
        <v>1.1622E-2</v>
      </c>
      <c r="D417">
        <v>1.0559000000000001E-2</v>
      </c>
      <c r="E417">
        <v>1.0999999999999999E-2</v>
      </c>
      <c r="F417">
        <v>13450773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-0.17027281279398154</v>
      </c>
      <c r="Q417">
        <f t="shared" si="975"/>
        <v>-2290300.9529633415</v>
      </c>
      <c r="R417">
        <f t="shared" si="976"/>
        <v>-343473376.19709492</v>
      </c>
      <c r="S417">
        <f t="shared" si="977"/>
        <v>-3434.7337619709492</v>
      </c>
      <c r="T417">
        <f t="shared" si="978"/>
        <v>-3.434733761970949</v>
      </c>
    </row>
    <row r="418" spans="1:20" x14ac:dyDescent="0.25">
      <c r="A418" s="5">
        <v>44175</v>
      </c>
      <c r="B418">
        <v>1.2101000000000001E-2</v>
      </c>
      <c r="C418">
        <v>1.2396000000000001E-2</v>
      </c>
      <c r="D418">
        <v>1.1341E-2</v>
      </c>
      <c r="E418">
        <v>1.1499000000000001E-2</v>
      </c>
      <c r="F418">
        <v>17373393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-0.70047393364928889</v>
      </c>
      <c r="Q418">
        <f t="shared" si="975"/>
        <v>-12169608.93554502</v>
      </c>
      <c r="R418">
        <f t="shared" si="976"/>
        <v>-341183075.24413157</v>
      </c>
      <c r="S418">
        <f t="shared" si="977"/>
        <v>-3411.8307524413158</v>
      </c>
      <c r="T418">
        <f t="shared" si="978"/>
        <v>-3.4118307524413156</v>
      </c>
    </row>
    <row r="419" spans="1:20" x14ac:dyDescent="0.25">
      <c r="A419" s="5">
        <v>44174</v>
      </c>
      <c r="B419">
        <v>1.1759E-2</v>
      </c>
      <c r="C419">
        <v>1.2428E-2</v>
      </c>
      <c r="D419">
        <v>1.1006E-2</v>
      </c>
      <c r="E419">
        <v>1.2125E-2</v>
      </c>
      <c r="F419">
        <v>14368306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0.57383966244725804</v>
      </c>
      <c r="Q419">
        <f t="shared" si="975"/>
        <v>8245103.8649789123</v>
      </c>
      <c r="R419">
        <f t="shared" si="976"/>
        <v>-329013466.30858654</v>
      </c>
      <c r="S419">
        <f t="shared" si="977"/>
        <v>-3290.1346630858652</v>
      </c>
      <c r="T419">
        <f t="shared" si="978"/>
        <v>-3.290134663085865</v>
      </c>
    </row>
    <row r="420" spans="1:20" x14ac:dyDescent="0.25">
      <c r="A420" s="5">
        <v>44173</v>
      </c>
      <c r="B420">
        <v>1.3487000000000001E-2</v>
      </c>
      <c r="C420">
        <v>1.3690000000000001E-2</v>
      </c>
      <c r="D420">
        <v>1.1734E-2</v>
      </c>
      <c r="E420">
        <v>1.188E-2</v>
      </c>
      <c r="F420">
        <v>22764884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-0.85071574642126768</v>
      </c>
      <c r="Q420">
        <f t="shared" si="975"/>
        <v>-19366445.284253575</v>
      </c>
      <c r="R420">
        <f t="shared" si="976"/>
        <v>-337258570.17356545</v>
      </c>
      <c r="S420">
        <f t="shared" si="977"/>
        <v>-3372.5857017356543</v>
      </c>
      <c r="T420">
        <f t="shared" si="978"/>
        <v>-3.3725857017356544</v>
      </c>
    </row>
    <row r="421" spans="1:20" x14ac:dyDescent="0.25">
      <c r="A421" s="5">
        <v>44172</v>
      </c>
      <c r="B421">
        <v>1.357E-2</v>
      </c>
      <c r="C421">
        <v>1.3772E-2</v>
      </c>
      <c r="D421">
        <v>1.3181E-2</v>
      </c>
      <c r="E421">
        <v>1.3409000000000001E-2</v>
      </c>
      <c r="F421">
        <v>13600223</v>
      </c>
      <c r="G421">
        <v>0</v>
      </c>
      <c r="L421" t="s">
        <v>7</v>
      </c>
      <c r="M421" t="s">
        <v>8</v>
      </c>
      <c r="N421" t="s">
        <v>8</v>
      </c>
      <c r="P421">
        <f t="shared" si="974"/>
        <v>-0.22842639593908304</v>
      </c>
      <c r="Q421">
        <f t="shared" si="975"/>
        <v>-3106649.9238578239</v>
      </c>
      <c r="R421">
        <f t="shared" si="976"/>
        <v>-317892124.88931185</v>
      </c>
      <c r="S421">
        <f t="shared" si="977"/>
        <v>-3178.9212488931184</v>
      </c>
      <c r="T421">
        <f t="shared" si="978"/>
        <v>-3.1789212488931184</v>
      </c>
    </row>
    <row r="422" spans="1:20" x14ac:dyDescent="0.25">
      <c r="A422" s="5">
        <v>44171</v>
      </c>
      <c r="B422">
        <v>1.4349000000000001E-2</v>
      </c>
      <c r="C422">
        <v>1.4449999999999999E-2</v>
      </c>
      <c r="D422">
        <v>1.3283E-2</v>
      </c>
      <c r="E422">
        <v>1.3431E-2</v>
      </c>
      <c r="F422">
        <v>38671265</v>
      </c>
      <c r="G422">
        <v>0</v>
      </c>
      <c r="L422" t="s">
        <v>7</v>
      </c>
      <c r="M422" t="s">
        <v>8</v>
      </c>
      <c r="N422" t="s">
        <v>8</v>
      </c>
      <c r="P422">
        <f t="shared" si="974"/>
        <v>-0.74635818337617721</v>
      </c>
      <c r="Q422">
        <f t="shared" si="975"/>
        <v>-28862615.094258744</v>
      </c>
      <c r="R422">
        <f t="shared" si="976"/>
        <v>-314785474.96545404</v>
      </c>
      <c r="S422">
        <f t="shared" si="977"/>
        <v>-3147.8547496545402</v>
      </c>
      <c r="T422">
        <f t="shared" si="978"/>
        <v>-3.1478547496545404</v>
      </c>
    </row>
    <row r="423" spans="1:20" x14ac:dyDescent="0.25">
      <c r="A423" s="5">
        <v>44170</v>
      </c>
      <c r="B423">
        <v>1.2501999999999999E-2</v>
      </c>
      <c r="C423">
        <v>1.4567E-2</v>
      </c>
      <c r="D423">
        <v>1.2408000000000001E-2</v>
      </c>
      <c r="E423">
        <v>1.4373E-2</v>
      </c>
      <c r="F423">
        <v>65768769</v>
      </c>
      <c r="G423">
        <v>0</v>
      </c>
      <c r="L423" t="s">
        <v>8</v>
      </c>
      <c r="M423" t="s">
        <v>8</v>
      </c>
      <c r="N423" t="s">
        <v>8</v>
      </c>
      <c r="P423">
        <f t="shared" si="974"/>
        <v>0.82028716998610485</v>
      </c>
      <c r="Q423">
        <f t="shared" si="975"/>
        <v>53949277.39647986</v>
      </c>
      <c r="R423">
        <f t="shared" si="976"/>
        <v>-285922859.87119532</v>
      </c>
      <c r="S423">
        <f t="shared" si="977"/>
        <v>-2859.2285987119531</v>
      </c>
      <c r="T423">
        <f t="shared" si="978"/>
        <v>-2.8592285987119532</v>
      </c>
    </row>
    <row r="424" spans="1:20" x14ac:dyDescent="0.25">
      <c r="A424" s="5">
        <v>44169</v>
      </c>
      <c r="B424">
        <v>1.2416999999999999E-2</v>
      </c>
      <c r="C424">
        <v>1.3180000000000001E-2</v>
      </c>
      <c r="D424">
        <v>1.2207000000000001E-2</v>
      </c>
      <c r="E424">
        <v>1.2415000000000001E-2</v>
      </c>
      <c r="F424">
        <v>23146815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-0.57245632065775975</v>
      </c>
      <c r="Q424">
        <f t="shared" si="975"/>
        <v>-13250540.549845843</v>
      </c>
      <c r="R424">
        <f t="shared" si="976"/>
        <v>-339872137.26767516</v>
      </c>
      <c r="S424">
        <f t="shared" si="977"/>
        <v>-3398.7213726767518</v>
      </c>
      <c r="T424">
        <f t="shared" si="978"/>
        <v>-3.3987213726767518</v>
      </c>
    </row>
    <row r="425" spans="1:20" x14ac:dyDescent="0.25">
      <c r="A425" s="5">
        <v>44168</v>
      </c>
      <c r="B425">
        <v>1.2432E-2</v>
      </c>
      <c r="C425">
        <v>1.2999999999999999E-2</v>
      </c>
      <c r="D425">
        <v>1.192E-2</v>
      </c>
      <c r="E425">
        <v>1.2330000000000001E-2</v>
      </c>
      <c r="F425">
        <v>23650131</v>
      </c>
      <c r="G425">
        <v>0</v>
      </c>
      <c r="L425" t="s">
        <v>8</v>
      </c>
      <c r="M425" t="s">
        <v>7</v>
      </c>
      <c r="N425" t="s">
        <v>8</v>
      </c>
      <c r="P425">
        <f t="shared" si="974"/>
        <v>-0.24074074074073912</v>
      </c>
      <c r="Q425">
        <f t="shared" si="975"/>
        <v>-5693550.0555555169</v>
      </c>
      <c r="R425">
        <f t="shared" si="976"/>
        <v>-326621596.71782935</v>
      </c>
      <c r="S425">
        <f t="shared" si="977"/>
        <v>-3266.2159671782933</v>
      </c>
      <c r="T425">
        <f t="shared" si="978"/>
        <v>-3.2662159671782933</v>
      </c>
    </row>
    <row r="426" spans="1:20" x14ac:dyDescent="0.25">
      <c r="A426" s="5">
        <v>44167</v>
      </c>
      <c r="B426">
        <v>1.1750999999999999E-2</v>
      </c>
      <c r="C426">
        <v>1.255E-2</v>
      </c>
      <c r="D426">
        <v>1.1604E-2</v>
      </c>
      <c r="E426">
        <v>1.2411E-2</v>
      </c>
      <c r="F426">
        <v>18197001</v>
      </c>
      <c r="G426">
        <v>0</v>
      </c>
      <c r="L426" t="s">
        <v>7</v>
      </c>
      <c r="M426" t="s">
        <v>7</v>
      </c>
      <c r="N426" t="s">
        <v>8</v>
      </c>
      <c r="P426">
        <f t="shared" si="974"/>
        <v>0.70613107822410115</v>
      </c>
      <c r="Q426">
        <f t="shared" si="975"/>
        <v>12849467.936575048</v>
      </c>
      <c r="R426">
        <f t="shared" si="976"/>
        <v>-320928046.66227382</v>
      </c>
      <c r="S426">
        <f t="shared" si="977"/>
        <v>-3209.2804666227385</v>
      </c>
      <c r="T426">
        <f t="shared" si="978"/>
        <v>-3.2092804666227384</v>
      </c>
    </row>
    <row r="427" spans="1:20" x14ac:dyDescent="0.25">
      <c r="A427" s="5">
        <v>44166</v>
      </c>
      <c r="B427">
        <v>1.1748E-2</v>
      </c>
      <c r="C427">
        <v>1.2685E-2</v>
      </c>
      <c r="D427">
        <v>1.1167E-2</v>
      </c>
      <c r="E427">
        <v>1.175E-2</v>
      </c>
      <c r="F427">
        <v>20001900</v>
      </c>
      <c r="G427">
        <v>0</v>
      </c>
      <c r="L427" t="s">
        <v>8</v>
      </c>
      <c r="M427" t="s">
        <v>7</v>
      </c>
      <c r="N427" t="s">
        <v>8</v>
      </c>
      <c r="P427">
        <f t="shared" si="974"/>
        <v>-0.23188405797101438</v>
      </c>
      <c r="Q427">
        <f t="shared" si="975"/>
        <v>-4638121.7391304327</v>
      </c>
      <c r="R427">
        <f t="shared" si="976"/>
        <v>-333777514.59884888</v>
      </c>
      <c r="S427">
        <f t="shared" si="977"/>
        <v>-3337.7751459884889</v>
      </c>
      <c r="T427">
        <f t="shared" si="978"/>
        <v>-3.337775145988489</v>
      </c>
    </row>
    <row r="428" spans="1:20" x14ac:dyDescent="0.25">
      <c r="A428" s="5">
        <v>44165</v>
      </c>
      <c r="B428">
        <v>1.1877E-2</v>
      </c>
      <c r="C428">
        <v>1.2116999999999999E-2</v>
      </c>
      <c r="D428">
        <v>1.1331000000000001E-2</v>
      </c>
      <c r="E428">
        <v>1.1671000000000001E-2</v>
      </c>
      <c r="F428">
        <v>17220796</v>
      </c>
      <c r="G428">
        <v>0</v>
      </c>
      <c r="L428" t="s">
        <v>8</v>
      </c>
      <c r="M428" t="s">
        <v>7</v>
      </c>
      <c r="N428" t="s">
        <v>8</v>
      </c>
      <c r="P428">
        <f t="shared" si="974"/>
        <v>-0.13486005089058353</v>
      </c>
      <c r="Q428">
        <f t="shared" si="975"/>
        <v>-2322397.4249363574</v>
      </c>
      <c r="R428">
        <f t="shared" si="976"/>
        <v>-329139392.85971844</v>
      </c>
      <c r="S428">
        <f t="shared" si="977"/>
        <v>-3291.3939285971846</v>
      </c>
      <c r="T428">
        <f t="shared" si="978"/>
        <v>-3.2913939285971847</v>
      </c>
    </row>
    <row r="429" spans="1:20" x14ac:dyDescent="0.25">
      <c r="A429" s="5">
        <v>44164</v>
      </c>
      <c r="B429">
        <v>1.1665E-2</v>
      </c>
      <c r="C429">
        <v>1.1976000000000001E-2</v>
      </c>
      <c r="D429">
        <v>1.1296E-2</v>
      </c>
      <c r="E429">
        <v>1.1754000000000001E-2</v>
      </c>
      <c r="F429">
        <v>18190552</v>
      </c>
      <c r="G429">
        <v>0</v>
      </c>
      <c r="L429" t="s">
        <v>7</v>
      </c>
      <c r="M429" t="s">
        <v>7</v>
      </c>
      <c r="N429" t="s">
        <v>8</v>
      </c>
      <c r="P429">
        <f t="shared" si="974"/>
        <v>0.34705882352941186</v>
      </c>
      <c r="Q429">
        <f t="shared" si="975"/>
        <v>6313191.5764705902</v>
      </c>
      <c r="R429">
        <f t="shared" si="976"/>
        <v>-326816995.43478209</v>
      </c>
      <c r="S429">
        <f t="shared" si="977"/>
        <v>-3268.1699543478207</v>
      </c>
      <c r="T429">
        <f t="shared" si="978"/>
        <v>-3.2681699543478206</v>
      </c>
    </row>
    <row r="430" spans="1:20" x14ac:dyDescent="0.25">
      <c r="A430" s="5">
        <v>44163</v>
      </c>
      <c r="B430">
        <v>1.1325E-2</v>
      </c>
      <c r="C430">
        <v>1.2359E-2</v>
      </c>
      <c r="D430">
        <v>1.1195999999999999E-2</v>
      </c>
      <c r="E430">
        <v>1.162E-2</v>
      </c>
      <c r="F430">
        <v>12434186</v>
      </c>
      <c r="G430">
        <v>0</v>
      </c>
      <c r="L430" t="s">
        <v>8</v>
      </c>
      <c r="M430" t="s">
        <v>7</v>
      </c>
      <c r="N430" t="s">
        <v>8</v>
      </c>
      <c r="P430">
        <f t="shared" si="974"/>
        <v>-0.27085124677557959</v>
      </c>
      <c r="Q430">
        <f t="shared" si="975"/>
        <v>-3367814.7807394569</v>
      </c>
      <c r="R430">
        <f t="shared" si="976"/>
        <v>-333130187.0112527</v>
      </c>
      <c r="S430">
        <f t="shared" si="977"/>
        <v>-3331.301870112527</v>
      </c>
      <c r="T430">
        <f t="shared" si="978"/>
        <v>-3.3313018701125272</v>
      </c>
    </row>
    <row r="431" spans="1:20" x14ac:dyDescent="0.25">
      <c r="A431" s="5">
        <v>44162</v>
      </c>
      <c r="B431">
        <v>1.1390000000000001E-2</v>
      </c>
      <c r="C431">
        <v>1.1783999999999999E-2</v>
      </c>
      <c r="D431">
        <v>1.0711999999999999E-2</v>
      </c>
      <c r="E431">
        <v>1.1299E-2</v>
      </c>
      <c r="F431">
        <v>6823344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9.5149253731344585E-2</v>
      </c>
      <c r="Q431">
        <f t="shared" si="975"/>
        <v>649236.08955224766</v>
      </c>
      <c r="R431">
        <f t="shared" si="976"/>
        <v>-329762372.23051322</v>
      </c>
      <c r="S431">
        <f t="shared" si="977"/>
        <v>-3297.6237223051321</v>
      </c>
      <c r="T431">
        <f t="shared" si="978"/>
        <v>-3.2976237223051319</v>
      </c>
    </row>
    <row r="432" spans="1:20" x14ac:dyDescent="0.25">
      <c r="A432" s="5">
        <v>44161</v>
      </c>
      <c r="B432">
        <v>1.3913E-2</v>
      </c>
      <c r="C432">
        <v>1.44E-2</v>
      </c>
      <c r="D432">
        <v>1.0701E-2</v>
      </c>
      <c r="E432">
        <v>1.1462999999999999E-2</v>
      </c>
      <c r="F432">
        <v>32754842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-0.58799675587996814</v>
      </c>
      <c r="Q432">
        <f t="shared" si="975"/>
        <v>-19259740.835360926</v>
      </c>
      <c r="R432">
        <f t="shared" si="976"/>
        <v>-330411608.32006544</v>
      </c>
      <c r="S432">
        <f t="shared" si="977"/>
        <v>-3304.1160832006544</v>
      </c>
      <c r="T432">
        <f t="shared" si="978"/>
        <v>-3.3041160832006544</v>
      </c>
    </row>
    <row r="433" spans="1:20" x14ac:dyDescent="0.25">
      <c r="A433" s="5">
        <v>44160</v>
      </c>
      <c r="B433">
        <v>1.3243E-2</v>
      </c>
      <c r="C433">
        <v>1.4805E-2</v>
      </c>
      <c r="D433">
        <v>1.2625000000000001E-2</v>
      </c>
      <c r="E433">
        <v>1.3901999999999999E-2</v>
      </c>
      <c r="F433">
        <v>54977641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0.17155963302752186</v>
      </c>
      <c r="Q433">
        <f t="shared" si="975"/>
        <v>9431943.91467884</v>
      </c>
      <c r="R433">
        <f t="shared" si="976"/>
        <v>-311151867.48470449</v>
      </c>
      <c r="S433">
        <f t="shared" si="977"/>
        <v>-3111.5186748470451</v>
      </c>
      <c r="T433">
        <f t="shared" si="978"/>
        <v>-3.1115186748470451</v>
      </c>
    </row>
    <row r="434" spans="1:20" x14ac:dyDescent="0.25">
      <c r="A434" s="5">
        <v>44159</v>
      </c>
      <c r="B434">
        <v>1.2808999999999999E-2</v>
      </c>
      <c r="C434">
        <v>1.422E-2</v>
      </c>
      <c r="D434">
        <v>1.2534E-2</v>
      </c>
      <c r="E434">
        <v>1.3243E-2</v>
      </c>
      <c r="F434">
        <v>35304638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-0.15895610913404559</v>
      </c>
      <c r="Q434">
        <f t="shared" si="975"/>
        <v>-5611887.8908659732</v>
      </c>
      <c r="R434">
        <f t="shared" si="976"/>
        <v>-320583811.39938331</v>
      </c>
      <c r="S434">
        <f t="shared" si="977"/>
        <v>-3205.8381139938328</v>
      </c>
      <c r="T434">
        <f t="shared" si="978"/>
        <v>-3.205838113993833</v>
      </c>
    </row>
    <row r="435" spans="1:20" x14ac:dyDescent="0.25">
      <c r="A435" s="5">
        <v>44158</v>
      </c>
      <c r="B435">
        <v>1.2241E-2</v>
      </c>
      <c r="C435">
        <v>1.324E-2</v>
      </c>
      <c r="D435">
        <v>1.1945000000000001E-2</v>
      </c>
      <c r="E435">
        <v>1.2808999999999999E-2</v>
      </c>
      <c r="F435">
        <v>25847240</v>
      </c>
      <c r="G435">
        <v>0</v>
      </c>
      <c r="L435" t="s">
        <v>7</v>
      </c>
      <c r="M435" t="s">
        <v>8</v>
      </c>
      <c r="N435" t="s">
        <v>7</v>
      </c>
      <c r="P435">
        <f t="shared" si="974"/>
        <v>0.33436293436293274</v>
      </c>
      <c r="Q435">
        <f t="shared" si="975"/>
        <v>8642359.0115829688</v>
      </c>
      <c r="R435">
        <f t="shared" si="976"/>
        <v>-314971923.50851732</v>
      </c>
      <c r="S435">
        <f t="shared" si="977"/>
        <v>-3149.7192350851733</v>
      </c>
      <c r="T435">
        <f t="shared" si="978"/>
        <v>-3.1497192350851733</v>
      </c>
    </row>
    <row r="436" spans="1:20" x14ac:dyDescent="0.25">
      <c r="A436" s="5">
        <v>44157</v>
      </c>
      <c r="B436">
        <v>1.2644000000000001E-2</v>
      </c>
      <c r="C436">
        <v>1.3403999999999999E-2</v>
      </c>
      <c r="D436">
        <v>1.1501000000000001E-2</v>
      </c>
      <c r="E436">
        <v>1.2241E-2</v>
      </c>
      <c r="F436">
        <v>47578574</v>
      </c>
      <c r="G436">
        <v>0</v>
      </c>
      <c r="L436" t="s">
        <v>8</v>
      </c>
      <c r="M436" t="s">
        <v>8</v>
      </c>
      <c r="N436" t="s">
        <v>7</v>
      </c>
      <c r="P436">
        <f t="shared" si="974"/>
        <v>-0.22228060956384663</v>
      </c>
      <c r="Q436">
        <f t="shared" si="975"/>
        <v>-10575794.430898584</v>
      </c>
      <c r="R436">
        <f t="shared" si="976"/>
        <v>-323614282.5201003</v>
      </c>
      <c r="S436">
        <f t="shared" si="977"/>
        <v>-3236.1428252010028</v>
      </c>
      <c r="T436">
        <f t="shared" si="978"/>
        <v>-3.2361428252010027</v>
      </c>
    </row>
    <row r="437" spans="1:20" x14ac:dyDescent="0.25">
      <c r="A437" s="5">
        <v>44156</v>
      </c>
      <c r="B437">
        <v>1.1617000000000001E-2</v>
      </c>
      <c r="C437">
        <v>1.2936E-2</v>
      </c>
      <c r="D437">
        <v>1.1592999999999999E-2</v>
      </c>
      <c r="E437">
        <v>1.273E-2</v>
      </c>
      <c r="F437">
        <v>45321425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0.69322412509307596</v>
      </c>
      <c r="Q437">
        <f t="shared" si="975"/>
        <v>31417905.19359646</v>
      </c>
      <c r="R437">
        <f t="shared" si="976"/>
        <v>-313038488.08920169</v>
      </c>
      <c r="S437">
        <f t="shared" si="977"/>
        <v>-3130.384880892017</v>
      </c>
      <c r="T437">
        <f t="shared" si="978"/>
        <v>-3.1303848808920169</v>
      </c>
    </row>
    <row r="438" spans="1:20" x14ac:dyDescent="0.25">
      <c r="A438" s="5">
        <v>44155</v>
      </c>
      <c r="B438">
        <v>1.0668E-2</v>
      </c>
      <c r="C438">
        <v>1.1899E-2</v>
      </c>
      <c r="D438">
        <v>1.025E-2</v>
      </c>
      <c r="E438">
        <v>1.1610000000000001E-2</v>
      </c>
      <c r="F438">
        <v>34109404</v>
      </c>
      <c r="G438">
        <v>0</v>
      </c>
      <c r="L438" t="s">
        <v>8</v>
      </c>
      <c r="M438" t="s">
        <v>8</v>
      </c>
      <c r="N438" t="s">
        <v>7</v>
      </c>
      <c r="P438">
        <f t="shared" si="974"/>
        <v>0.64948453608247492</v>
      </c>
      <c r="Q438">
        <f t="shared" si="975"/>
        <v>22153530.432989713</v>
      </c>
      <c r="R438">
        <f t="shared" si="976"/>
        <v>-344456393.28279817</v>
      </c>
      <c r="S438">
        <f t="shared" si="977"/>
        <v>-3444.5639328279817</v>
      </c>
      <c r="T438">
        <f t="shared" si="978"/>
        <v>-3.4445639328279816</v>
      </c>
    </row>
    <row r="439" spans="1:20" x14ac:dyDescent="0.25">
      <c r="A439" s="5">
        <v>44154</v>
      </c>
      <c r="B439">
        <v>1.0919E-2</v>
      </c>
      <c r="C439">
        <v>1.0973E-2</v>
      </c>
      <c r="D439">
        <v>1.0149999999999999E-2</v>
      </c>
      <c r="E439">
        <v>1.0668E-2</v>
      </c>
      <c r="F439">
        <v>19972332</v>
      </c>
      <c r="G439">
        <v>0</v>
      </c>
      <c r="L439" t="s">
        <v>8</v>
      </c>
      <c r="M439" t="s">
        <v>7</v>
      </c>
      <c r="N439" t="s">
        <v>7</v>
      </c>
      <c r="P439">
        <f t="shared" si="974"/>
        <v>0.25880923450789933</v>
      </c>
      <c r="Q439">
        <f t="shared" si="975"/>
        <v>5169023.9562576218</v>
      </c>
      <c r="R439">
        <f t="shared" si="976"/>
        <v>-366609923.71578789</v>
      </c>
      <c r="S439">
        <f t="shared" si="977"/>
        <v>-3666.0992371578791</v>
      </c>
      <c r="T439">
        <f t="shared" si="978"/>
        <v>-3.6660992371578791</v>
      </c>
    </row>
    <row r="440" spans="1:20" x14ac:dyDescent="0.25">
      <c r="A440" s="5">
        <v>44153</v>
      </c>
      <c r="B440">
        <v>1.1001E-2</v>
      </c>
      <c r="C440">
        <v>1.1835E-2</v>
      </c>
      <c r="D440">
        <v>1.0081E-2</v>
      </c>
      <c r="E440">
        <v>1.0900999999999999E-2</v>
      </c>
      <c r="F440">
        <v>42569319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-6.4994298745724766E-2</v>
      </c>
      <c r="Q440">
        <f t="shared" si="975"/>
        <v>-2766763.0364880576</v>
      </c>
      <c r="R440">
        <f t="shared" si="976"/>
        <v>-371778947.67204553</v>
      </c>
      <c r="S440">
        <f t="shared" si="977"/>
        <v>-3717.7894767204552</v>
      </c>
      <c r="T440">
        <f t="shared" si="978"/>
        <v>-3.7177894767204553</v>
      </c>
    </row>
    <row r="441" spans="1:20" x14ac:dyDescent="0.25">
      <c r="A441" s="5">
        <v>44152</v>
      </c>
      <c r="B441">
        <v>1.1147000000000001E-2</v>
      </c>
      <c r="C441">
        <v>1.1853000000000001E-2</v>
      </c>
      <c r="D441">
        <v>1.0808E-2</v>
      </c>
      <c r="E441">
        <v>1.1098E-2</v>
      </c>
      <c r="F441">
        <v>17060886</v>
      </c>
      <c r="G441">
        <v>0</v>
      </c>
      <c r="L441" t="s">
        <v>8</v>
      </c>
      <c r="M441" t="s">
        <v>7</v>
      </c>
      <c r="N441" t="s">
        <v>8</v>
      </c>
      <c r="P441">
        <f t="shared" si="974"/>
        <v>-0.44497607655502369</v>
      </c>
      <c r="Q441">
        <f t="shared" si="975"/>
        <v>-7591686.1148325317</v>
      </c>
      <c r="R441">
        <f t="shared" si="976"/>
        <v>-369012184.63555747</v>
      </c>
      <c r="S441">
        <f t="shared" si="977"/>
        <v>-3690.1218463555747</v>
      </c>
      <c r="T441">
        <f t="shared" si="978"/>
        <v>-3.6901218463555745</v>
      </c>
    </row>
    <row r="442" spans="1:20" x14ac:dyDescent="0.25">
      <c r="A442" s="5">
        <v>44151</v>
      </c>
      <c r="B442">
        <v>1.0858E-2</v>
      </c>
      <c r="C442">
        <v>1.176E-2</v>
      </c>
      <c r="D442">
        <v>1.0718999999999999E-2</v>
      </c>
      <c r="E442">
        <v>1.1237E-2</v>
      </c>
      <c r="F442">
        <v>16720727</v>
      </c>
      <c r="G442">
        <v>0</v>
      </c>
      <c r="L442" t="s">
        <v>8</v>
      </c>
      <c r="M442" t="s">
        <v>7</v>
      </c>
      <c r="N442" t="s">
        <v>8</v>
      </c>
      <c r="P442">
        <f t="shared" si="974"/>
        <v>-4.8030739673372335E-3</v>
      </c>
      <c r="Q442">
        <f t="shared" si="975"/>
        <v>-80310.888568652794</v>
      </c>
      <c r="R442">
        <f t="shared" si="976"/>
        <v>-361420498.52072495</v>
      </c>
      <c r="S442">
        <f t="shared" si="977"/>
        <v>-3614.2049852072496</v>
      </c>
      <c r="T442">
        <f t="shared" si="978"/>
        <v>-3.6142049852072495</v>
      </c>
    </row>
    <row r="443" spans="1:20" x14ac:dyDescent="0.25">
      <c r="A443" s="5">
        <v>44150</v>
      </c>
      <c r="B443">
        <v>1.1269E-2</v>
      </c>
      <c r="C443">
        <v>1.1742000000000001E-2</v>
      </c>
      <c r="D443">
        <v>1.0662E-2</v>
      </c>
      <c r="E443">
        <v>1.0900999999999999E-2</v>
      </c>
      <c r="F443">
        <v>14907699</v>
      </c>
      <c r="G443">
        <v>0</v>
      </c>
      <c r="L443" t="s">
        <v>7</v>
      </c>
      <c r="M443" t="s">
        <v>7</v>
      </c>
      <c r="N443" t="s">
        <v>8</v>
      </c>
      <c r="P443">
        <f t="shared" si="974"/>
        <v>-0.55740740740740857</v>
      </c>
      <c r="Q443">
        <f t="shared" si="975"/>
        <v>-8309661.8500000173</v>
      </c>
      <c r="R443">
        <f t="shared" si="976"/>
        <v>-361340187.63215631</v>
      </c>
      <c r="S443">
        <f t="shared" si="977"/>
        <v>-3613.4018763215631</v>
      </c>
      <c r="T443">
        <f t="shared" si="978"/>
        <v>-3.613401876321563</v>
      </c>
    </row>
    <row r="444" spans="1:20" x14ac:dyDescent="0.25">
      <c r="A444" s="5">
        <v>44149</v>
      </c>
      <c r="B444">
        <v>1.1664000000000001E-2</v>
      </c>
      <c r="C444">
        <v>1.1945000000000001E-2</v>
      </c>
      <c r="D444">
        <v>1.1011E-2</v>
      </c>
      <c r="E444">
        <v>1.1287E-2</v>
      </c>
      <c r="F444">
        <v>11812332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-0.40899357601713071</v>
      </c>
      <c r="Q444">
        <f t="shared" si="975"/>
        <v>-4831167.9057815857</v>
      </c>
      <c r="R444">
        <f t="shared" si="976"/>
        <v>-353030525.78215629</v>
      </c>
      <c r="S444">
        <f t="shared" si="977"/>
        <v>-3530.3052578215629</v>
      </c>
      <c r="T444">
        <f t="shared" si="978"/>
        <v>-3.530305257821563</v>
      </c>
    </row>
    <row r="445" spans="1:20" x14ac:dyDescent="0.25">
      <c r="A445" s="5">
        <v>44148</v>
      </c>
      <c r="B445">
        <v>1.0952E-2</v>
      </c>
      <c r="C445">
        <v>1.2E-2</v>
      </c>
      <c r="D445">
        <v>1.0951000000000001E-2</v>
      </c>
      <c r="E445">
        <v>1.1598000000000001E-2</v>
      </c>
      <c r="F445">
        <v>14913977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0.23355576739752196</v>
      </c>
      <c r="Q445">
        <f t="shared" si="975"/>
        <v>3483245.3431839924</v>
      </c>
      <c r="R445">
        <f t="shared" si="976"/>
        <v>-348199357.87637472</v>
      </c>
      <c r="S445">
        <f t="shared" si="977"/>
        <v>-3481.9935787637473</v>
      </c>
      <c r="T445">
        <f t="shared" si="978"/>
        <v>-3.4819935787637473</v>
      </c>
    </row>
    <row r="446" spans="1:20" x14ac:dyDescent="0.25">
      <c r="A446" s="5">
        <v>44147</v>
      </c>
      <c r="B446">
        <v>1.1488999999999999E-2</v>
      </c>
      <c r="C446">
        <v>1.1932999999999999E-2</v>
      </c>
      <c r="D446">
        <v>1.0914999999999999E-2</v>
      </c>
      <c r="E446">
        <v>1.0971E-2</v>
      </c>
      <c r="F446">
        <v>15357964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-0.88998035363457662</v>
      </c>
      <c r="Q446">
        <f t="shared" si="975"/>
        <v>-13668286.231827097</v>
      </c>
      <c r="R446">
        <f t="shared" si="976"/>
        <v>-351682603.21955872</v>
      </c>
      <c r="S446">
        <f t="shared" si="977"/>
        <v>-3516.8260321955872</v>
      </c>
      <c r="T446">
        <f t="shared" si="978"/>
        <v>-3.5168260321955871</v>
      </c>
    </row>
    <row r="447" spans="1:20" x14ac:dyDescent="0.25">
      <c r="A447" s="5">
        <v>44146</v>
      </c>
      <c r="B447">
        <v>1.2577E-2</v>
      </c>
      <c r="C447">
        <v>1.2832E-2</v>
      </c>
      <c r="D447">
        <v>1.1407E-2</v>
      </c>
      <c r="E447">
        <v>1.1488999999999999E-2</v>
      </c>
      <c r="F447">
        <v>47498267</v>
      </c>
      <c r="G447">
        <v>0</v>
      </c>
      <c r="L447" t="s">
        <v>7</v>
      </c>
      <c r="M447" t="s">
        <v>7</v>
      </c>
      <c r="N447" t="s">
        <v>8</v>
      </c>
      <c r="P447">
        <f t="shared" si="974"/>
        <v>-0.88491228070175609</v>
      </c>
      <c r="Q447">
        <f t="shared" si="975"/>
        <v>-42031799.780350961</v>
      </c>
      <c r="R447">
        <f t="shared" si="976"/>
        <v>-338014316.98773164</v>
      </c>
      <c r="S447">
        <f t="shared" si="977"/>
        <v>-3380.1431698773163</v>
      </c>
      <c r="T447">
        <f t="shared" si="978"/>
        <v>-3.3801431698773161</v>
      </c>
    </row>
    <row r="448" spans="1:20" x14ac:dyDescent="0.25">
      <c r="A448" s="5">
        <v>44145</v>
      </c>
      <c r="B448">
        <v>1.3381000000000001E-2</v>
      </c>
      <c r="C448">
        <v>1.3776999999999999E-2</v>
      </c>
      <c r="D448">
        <v>1.2529E-2</v>
      </c>
      <c r="E448">
        <v>1.2592000000000001E-2</v>
      </c>
      <c r="F448">
        <v>53738286</v>
      </c>
      <c r="G448">
        <v>0</v>
      </c>
      <c r="L448" t="s">
        <v>7</v>
      </c>
      <c r="M448" t="s">
        <v>8</v>
      </c>
      <c r="N448" t="s">
        <v>8</v>
      </c>
      <c r="P448">
        <f t="shared" si="974"/>
        <v>-0.89903846153846056</v>
      </c>
      <c r="Q448">
        <f t="shared" si="975"/>
        <v>-48312785.971153796</v>
      </c>
      <c r="R448">
        <f t="shared" si="976"/>
        <v>-295982517.20738065</v>
      </c>
      <c r="S448">
        <f t="shared" si="977"/>
        <v>-2959.8251720738067</v>
      </c>
      <c r="T448">
        <f t="shared" si="978"/>
        <v>-2.9598251720738067</v>
      </c>
    </row>
    <row r="449" spans="1:20" x14ac:dyDescent="0.25">
      <c r="A449" s="5">
        <v>44144</v>
      </c>
      <c r="B449">
        <v>1.1771E-2</v>
      </c>
      <c r="C449">
        <v>1.4322E-2</v>
      </c>
      <c r="D449">
        <v>1.0921E-2</v>
      </c>
      <c r="E449">
        <v>1.3377E-2</v>
      </c>
      <c r="F449">
        <v>98516064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0.44428109379594249</v>
      </c>
      <c r="Q449">
        <f t="shared" si="975"/>
        <v>43768824.670391075</v>
      </c>
      <c r="R449">
        <f t="shared" si="976"/>
        <v>-247669731.23622686</v>
      </c>
      <c r="S449">
        <f t="shared" si="977"/>
        <v>-2476.6973123622683</v>
      </c>
      <c r="T449">
        <f t="shared" si="978"/>
        <v>-2.4766973123622682</v>
      </c>
    </row>
    <row r="450" spans="1:20" x14ac:dyDescent="0.25">
      <c r="A450" s="5">
        <v>44143</v>
      </c>
      <c r="B450">
        <v>9.6740000000000003E-3</v>
      </c>
      <c r="C450">
        <v>1.2753E-2</v>
      </c>
      <c r="D450">
        <v>9.6100000000000005E-3</v>
      </c>
      <c r="E450">
        <v>1.1623E-2</v>
      </c>
      <c r="F450">
        <v>42632107</v>
      </c>
      <c r="G450">
        <v>0</v>
      </c>
      <c r="L450" t="s">
        <v>8</v>
      </c>
      <c r="M450" t="s">
        <v>8</v>
      </c>
      <c r="N450" t="s">
        <v>8</v>
      </c>
      <c r="P450">
        <f t="shared" si="974"/>
        <v>0.28094177537384613</v>
      </c>
      <c r="Q450">
        <f t="shared" si="975"/>
        <v>11977139.828507774</v>
      </c>
      <c r="R450">
        <f t="shared" si="976"/>
        <v>-291438555.90661794</v>
      </c>
      <c r="S450">
        <f t="shared" si="977"/>
        <v>-2914.3855590661792</v>
      </c>
      <c r="T450">
        <f t="shared" si="978"/>
        <v>-2.9143855590661794</v>
      </c>
    </row>
    <row r="451" spans="1:20" x14ac:dyDescent="0.25">
      <c r="A451" s="5">
        <v>44142</v>
      </c>
      <c r="B451">
        <v>1.0179000000000001E-2</v>
      </c>
      <c r="C451">
        <v>1.1847E-2</v>
      </c>
      <c r="D451">
        <v>8.9999999999999993E-3</v>
      </c>
      <c r="E451">
        <v>9.6369999999999997E-3</v>
      </c>
      <c r="F451">
        <v>66944233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-0.55251141552511396</v>
      </c>
      <c r="Q451">
        <f t="shared" si="975"/>
        <v>-36987452.936073042</v>
      </c>
      <c r="R451">
        <f t="shared" si="976"/>
        <v>-303415695.73512572</v>
      </c>
      <c r="S451">
        <f t="shared" si="977"/>
        <v>-3034.156957351257</v>
      </c>
      <c r="T451">
        <f t="shared" si="978"/>
        <v>-3.0341569573512568</v>
      </c>
    </row>
    <row r="452" spans="1:20" x14ac:dyDescent="0.25">
      <c r="A452" s="5">
        <v>44141</v>
      </c>
      <c r="B452">
        <v>8.2970000000000006E-3</v>
      </c>
      <c r="C452">
        <v>1.018E-2</v>
      </c>
      <c r="D452">
        <v>8.2970000000000006E-3</v>
      </c>
      <c r="E452">
        <v>1.0179000000000001E-2</v>
      </c>
      <c r="F452">
        <v>37008744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0.99893786510886962</v>
      </c>
      <c r="Q452">
        <f t="shared" si="975"/>
        <v>36969435.721720688</v>
      </c>
      <c r="R452">
        <f t="shared" si="976"/>
        <v>-266428242.79905266</v>
      </c>
      <c r="S452">
        <f t="shared" si="977"/>
        <v>-2664.2824279905267</v>
      </c>
      <c r="T452">
        <f t="shared" si="978"/>
        <v>-2.6642824279905266</v>
      </c>
    </row>
    <row r="453" spans="1:20" x14ac:dyDescent="0.25">
      <c r="A453" s="5">
        <v>44140</v>
      </c>
      <c r="B453">
        <v>8.0330000000000002E-3</v>
      </c>
      <c r="C453">
        <v>8.7829999999999991E-3</v>
      </c>
      <c r="D453">
        <v>7.6059999999999999E-3</v>
      </c>
      <c r="E453">
        <v>8.4150000000000006E-3</v>
      </c>
      <c r="F453">
        <v>24821646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0.37468139337298423</v>
      </c>
      <c r="Q453">
        <f t="shared" si="975"/>
        <v>9300208.9090909604</v>
      </c>
      <c r="R453">
        <f t="shared" si="976"/>
        <v>-303397678.52077335</v>
      </c>
      <c r="S453">
        <f t="shared" si="977"/>
        <v>-3033.9767852077334</v>
      </c>
      <c r="T453">
        <f t="shared" si="978"/>
        <v>-3.0339767852077335</v>
      </c>
    </row>
    <row r="454" spans="1:20" x14ac:dyDescent="0.25">
      <c r="A454" s="5">
        <v>44139</v>
      </c>
      <c r="B454">
        <v>7.9019999999999993E-3</v>
      </c>
      <c r="C454">
        <v>8.1720000000000004E-3</v>
      </c>
      <c r="D454">
        <v>7.6109999999999997E-3</v>
      </c>
      <c r="E454">
        <v>8.0420000000000005E-3</v>
      </c>
      <c r="F454">
        <v>11270918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0.53654188948306691</v>
      </c>
      <c r="Q454">
        <f t="shared" ref="Q454:Q517" si="980">F454*P454</f>
        <v>6047319.6399287097</v>
      </c>
      <c r="R454">
        <f t="shared" ref="R454:R517" si="981">R455+Q454</f>
        <v>-312697887.42986429</v>
      </c>
      <c r="S454">
        <f t="shared" ref="S454:S517" si="982">R454/100000</f>
        <v>-3126.9788742986429</v>
      </c>
      <c r="T454">
        <f t="shared" ref="T454:T517" si="983">S454/1000</f>
        <v>-3.1269788742986431</v>
      </c>
    </row>
    <row r="455" spans="1:20" x14ac:dyDescent="0.25">
      <c r="A455" s="5">
        <v>44138</v>
      </c>
      <c r="B455">
        <v>8.5100000000000002E-3</v>
      </c>
      <c r="C455">
        <v>8.5100000000000002E-3</v>
      </c>
      <c r="D455">
        <v>7.6540000000000002E-3</v>
      </c>
      <c r="E455">
        <v>7.8869999999999999E-3</v>
      </c>
      <c r="F455">
        <v>15070842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-0.45560747663551471</v>
      </c>
      <c r="Q455">
        <f t="shared" si="980"/>
        <v>-6866388.2943925336</v>
      </c>
      <c r="R455">
        <f t="shared" si="981"/>
        <v>-318745207.06979299</v>
      </c>
      <c r="S455">
        <f t="shared" si="982"/>
        <v>-3187.4520706979297</v>
      </c>
      <c r="T455">
        <f t="shared" si="983"/>
        <v>-3.1874520706979297</v>
      </c>
    </row>
    <row r="456" spans="1:20" x14ac:dyDescent="0.25">
      <c r="A456" s="5">
        <v>44137</v>
      </c>
      <c r="B456">
        <v>8.6870000000000003E-3</v>
      </c>
      <c r="C456">
        <v>9.2940000000000002E-3</v>
      </c>
      <c r="D456">
        <v>8.4650000000000003E-3</v>
      </c>
      <c r="E456">
        <v>8.5100000000000002E-3</v>
      </c>
      <c r="F456">
        <v>9318092</v>
      </c>
      <c r="G456">
        <v>0</v>
      </c>
      <c r="L456" t="s">
        <v>8</v>
      </c>
      <c r="M456" t="s">
        <v>8</v>
      </c>
      <c r="N456" t="s">
        <v>7</v>
      </c>
      <c r="P456">
        <f t="shared" si="979"/>
        <v>-0.89143546441495802</v>
      </c>
      <c r="Q456">
        <f t="shared" si="980"/>
        <v>-8306477.6694813054</v>
      </c>
      <c r="R456">
        <f t="shared" si="981"/>
        <v>-311878818.77540046</v>
      </c>
      <c r="S456">
        <f t="shared" si="982"/>
        <v>-3118.7881877540044</v>
      </c>
      <c r="T456">
        <f t="shared" si="983"/>
        <v>-3.1187881877540042</v>
      </c>
    </row>
    <row r="457" spans="1:20" x14ac:dyDescent="0.25">
      <c r="A457" s="5">
        <v>44136</v>
      </c>
      <c r="B457">
        <v>8.7460000000000003E-3</v>
      </c>
      <c r="C457">
        <v>8.9259999999999999E-3</v>
      </c>
      <c r="D457">
        <v>8.4690000000000008E-3</v>
      </c>
      <c r="E457">
        <v>8.6650000000000008E-3</v>
      </c>
      <c r="F457">
        <v>7013786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-0.14223194748358692</v>
      </c>
      <c r="Q457">
        <f t="shared" si="980"/>
        <v>-997584.44201311714</v>
      </c>
      <c r="R457">
        <f t="shared" si="981"/>
        <v>-303572341.10591918</v>
      </c>
      <c r="S457">
        <f t="shared" si="982"/>
        <v>-3035.7234110591917</v>
      </c>
      <c r="T457">
        <f t="shared" si="983"/>
        <v>-3.0357234110591915</v>
      </c>
    </row>
    <row r="458" spans="1:20" x14ac:dyDescent="0.25">
      <c r="A458" s="5">
        <v>44135</v>
      </c>
      <c r="B458">
        <v>8.5450000000000005E-3</v>
      </c>
      <c r="C458">
        <v>9.1000000000000004E-3</v>
      </c>
      <c r="D458">
        <v>8.5019999999999991E-3</v>
      </c>
      <c r="E458">
        <v>8.7410000000000005E-3</v>
      </c>
      <c r="F458">
        <v>7290855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-0.20066889632106741</v>
      </c>
      <c r="Q458">
        <f t="shared" si="980"/>
        <v>-1463047.8260869358</v>
      </c>
      <c r="R458">
        <f t="shared" si="981"/>
        <v>-302574756.66390604</v>
      </c>
      <c r="S458">
        <f t="shared" si="982"/>
        <v>-3025.7475666390606</v>
      </c>
      <c r="T458">
        <f t="shared" si="983"/>
        <v>-3.0257475666390605</v>
      </c>
    </row>
    <row r="459" spans="1:20" x14ac:dyDescent="0.25">
      <c r="A459" s="5">
        <v>44134</v>
      </c>
      <c r="B459">
        <v>8.5509999999999996E-3</v>
      </c>
      <c r="C459">
        <v>8.6650000000000008E-3</v>
      </c>
      <c r="D459">
        <v>7.9500000000000005E-3</v>
      </c>
      <c r="E459">
        <v>8.5520000000000006E-3</v>
      </c>
      <c r="F459">
        <v>16414516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0.68391608391608338</v>
      </c>
      <c r="Q459">
        <f t="shared" si="980"/>
        <v>11226151.502097894</v>
      </c>
      <c r="R459">
        <f t="shared" si="981"/>
        <v>-301111708.8378191</v>
      </c>
      <c r="S459">
        <f t="shared" si="982"/>
        <v>-3011.1170883781911</v>
      </c>
      <c r="T459">
        <f t="shared" si="983"/>
        <v>-3.011117088378191</v>
      </c>
    </row>
    <row r="460" spans="1:20" x14ac:dyDescent="0.25">
      <c r="A460" s="5">
        <v>44133</v>
      </c>
      <c r="B460">
        <v>8.8000000000000005E-3</v>
      </c>
      <c r="C460">
        <v>9.0480000000000005E-3</v>
      </c>
      <c r="D460">
        <v>8.5389999999999997E-3</v>
      </c>
      <c r="E460">
        <v>8.6070000000000001E-3</v>
      </c>
      <c r="F460">
        <v>9500246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-0.73280943025540179</v>
      </c>
      <c r="Q460">
        <f t="shared" si="980"/>
        <v>-6961869.8585461602</v>
      </c>
      <c r="R460">
        <f t="shared" si="981"/>
        <v>-312337860.339917</v>
      </c>
      <c r="S460">
        <f t="shared" si="982"/>
        <v>-3123.3786033991701</v>
      </c>
      <c r="T460">
        <f t="shared" si="983"/>
        <v>-3.12337860339917</v>
      </c>
    </row>
    <row r="461" spans="1:20" x14ac:dyDescent="0.25">
      <c r="A461" s="5">
        <v>44132</v>
      </c>
      <c r="B461">
        <v>9.0609999999999996E-3</v>
      </c>
      <c r="C461">
        <v>9.3390000000000001E-3</v>
      </c>
      <c r="D461">
        <v>8.6409999999999994E-3</v>
      </c>
      <c r="E461">
        <v>8.8050000000000003E-3</v>
      </c>
      <c r="F461">
        <v>14132305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-0.53008595988538454</v>
      </c>
      <c r="Q461">
        <f t="shared" si="980"/>
        <v>-7491336.4613180198</v>
      </c>
      <c r="R461">
        <f t="shared" si="981"/>
        <v>-305375990.48137087</v>
      </c>
      <c r="S461">
        <f t="shared" si="982"/>
        <v>-3053.7599048137085</v>
      </c>
      <c r="T461">
        <f t="shared" si="983"/>
        <v>-3.0537599048137087</v>
      </c>
    </row>
    <row r="462" spans="1:20" x14ac:dyDescent="0.25">
      <c r="A462" s="5">
        <v>44131</v>
      </c>
      <c r="B462">
        <v>9.2079999999999992E-3</v>
      </c>
      <c r="C462">
        <v>9.3410000000000003E-3</v>
      </c>
      <c r="D462">
        <v>8.8149999999999999E-3</v>
      </c>
      <c r="E462">
        <v>8.9599999999999992E-3</v>
      </c>
      <c r="F462">
        <v>12203770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-0.44866920152091566</v>
      </c>
      <c r="Q462">
        <f t="shared" si="980"/>
        <v>-5475455.7414449053</v>
      </c>
      <c r="R462">
        <f t="shared" si="981"/>
        <v>-297884654.02005285</v>
      </c>
      <c r="S462">
        <f t="shared" si="982"/>
        <v>-2978.8465402005286</v>
      </c>
      <c r="T462">
        <f t="shared" si="983"/>
        <v>-2.9788465402005286</v>
      </c>
    </row>
    <row r="463" spans="1:20" x14ac:dyDescent="0.25">
      <c r="A463" s="5">
        <v>44130</v>
      </c>
      <c r="B463">
        <v>9.8040000000000002E-3</v>
      </c>
      <c r="C463">
        <v>1.0085999999999999E-2</v>
      </c>
      <c r="D463">
        <v>8.9990000000000001E-3</v>
      </c>
      <c r="E463">
        <v>9.2259999999999998E-3</v>
      </c>
      <c r="F463">
        <v>12136243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-0.58233670653173897</v>
      </c>
      <c r="Q463">
        <f t="shared" si="980"/>
        <v>-7067379.778288871</v>
      </c>
      <c r="R463">
        <f t="shared" si="981"/>
        <v>-292409198.27860796</v>
      </c>
      <c r="S463">
        <f t="shared" si="982"/>
        <v>-2924.0919827860798</v>
      </c>
      <c r="T463">
        <f t="shared" si="983"/>
        <v>-2.9240919827860798</v>
      </c>
    </row>
    <row r="464" spans="1:20" x14ac:dyDescent="0.25">
      <c r="A464" s="5">
        <v>44129</v>
      </c>
      <c r="B464">
        <v>1.0055E-2</v>
      </c>
      <c r="C464">
        <v>1.0104999999999999E-2</v>
      </c>
      <c r="D464">
        <v>9.6609999999999994E-3</v>
      </c>
      <c r="E464">
        <v>9.8469999999999999E-3</v>
      </c>
      <c r="F464">
        <v>6790043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-0.16216216216216026</v>
      </c>
      <c r="Q464">
        <f t="shared" si="980"/>
        <v>-1101088.0540540412</v>
      </c>
      <c r="R464">
        <f t="shared" si="981"/>
        <v>-285341818.50031912</v>
      </c>
      <c r="S464">
        <f t="shared" si="982"/>
        <v>-2853.4181850031914</v>
      </c>
      <c r="T464">
        <f t="shared" si="983"/>
        <v>-2.8534181850031914</v>
      </c>
    </row>
    <row r="465" spans="1:20" x14ac:dyDescent="0.25">
      <c r="A465" s="5">
        <v>44128</v>
      </c>
      <c r="B465">
        <v>1.0135E-2</v>
      </c>
      <c r="C465">
        <v>1.0177E-2</v>
      </c>
      <c r="D465">
        <v>9.9120000000000007E-3</v>
      </c>
      <c r="E465">
        <v>1.0067E-2</v>
      </c>
      <c r="F465">
        <v>8802796</v>
      </c>
      <c r="G465">
        <v>0</v>
      </c>
      <c r="L465" t="s">
        <v>7</v>
      </c>
      <c r="M465" t="s">
        <v>8</v>
      </c>
      <c r="N465" t="s">
        <v>7</v>
      </c>
      <c r="P465">
        <f t="shared" si="979"/>
        <v>0.16981132075471031</v>
      </c>
      <c r="Q465">
        <f t="shared" si="980"/>
        <v>1494814.4150942808</v>
      </c>
      <c r="R465">
        <f t="shared" si="981"/>
        <v>-284240730.4462651</v>
      </c>
      <c r="S465">
        <f t="shared" si="982"/>
        <v>-2842.4073044626512</v>
      </c>
      <c r="T465">
        <f t="shared" si="983"/>
        <v>-2.8424073044626512</v>
      </c>
    </row>
    <row r="466" spans="1:20" x14ac:dyDescent="0.25">
      <c r="A466" s="5">
        <v>44127</v>
      </c>
      <c r="B466">
        <v>1.0208999999999999E-2</v>
      </c>
      <c r="C466">
        <v>1.1056E-2</v>
      </c>
      <c r="D466">
        <v>1.0016000000000001E-2</v>
      </c>
      <c r="E466">
        <v>1.0092E-2</v>
      </c>
      <c r="F466">
        <v>18180162</v>
      </c>
      <c r="G466">
        <v>0</v>
      </c>
      <c r="L466" t="s">
        <v>8</v>
      </c>
      <c r="M466" t="s">
        <v>8</v>
      </c>
      <c r="N466" t="s">
        <v>7</v>
      </c>
      <c r="P466">
        <f t="shared" si="979"/>
        <v>-0.85384615384615437</v>
      </c>
      <c r="Q466">
        <f t="shared" si="980"/>
        <v>-15523061.40000001</v>
      </c>
      <c r="R466">
        <f t="shared" si="981"/>
        <v>-285735544.86135936</v>
      </c>
      <c r="S466">
        <f t="shared" si="982"/>
        <v>-2857.3554486135936</v>
      </c>
      <c r="T466">
        <f t="shared" si="983"/>
        <v>-2.8573554486135935</v>
      </c>
    </row>
    <row r="467" spans="1:20" x14ac:dyDescent="0.25">
      <c r="A467" s="5">
        <v>44126</v>
      </c>
      <c r="B467">
        <v>9.6039999999999997E-3</v>
      </c>
      <c r="C467">
        <v>1.0699E-2</v>
      </c>
      <c r="D467">
        <v>9.5499999999999995E-3</v>
      </c>
      <c r="E467">
        <v>1.0212000000000001E-2</v>
      </c>
      <c r="F467">
        <v>28411173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0.15230635335074102</v>
      </c>
      <c r="Q467">
        <f t="shared" si="980"/>
        <v>4327202.1540470328</v>
      </c>
      <c r="R467">
        <f t="shared" si="981"/>
        <v>-270212483.46135932</v>
      </c>
      <c r="S467">
        <f t="shared" si="982"/>
        <v>-2702.1248346135931</v>
      </c>
      <c r="T467">
        <f t="shared" si="983"/>
        <v>-2.7021248346135929</v>
      </c>
    </row>
    <row r="468" spans="1:20" x14ac:dyDescent="0.25">
      <c r="A468" s="5">
        <v>44125</v>
      </c>
      <c r="B468">
        <v>8.9969999999999998E-3</v>
      </c>
      <c r="C468">
        <v>9.7280000000000005E-3</v>
      </c>
      <c r="D468">
        <v>8.9630000000000005E-3</v>
      </c>
      <c r="E468">
        <v>9.5069999999999998E-3</v>
      </c>
      <c r="F468">
        <v>13651922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0.42222222222222039</v>
      </c>
      <c r="Q468">
        <f t="shared" si="980"/>
        <v>5764144.8444444193</v>
      </c>
      <c r="R468">
        <f t="shared" si="981"/>
        <v>-274539685.61540633</v>
      </c>
      <c r="S468">
        <f t="shared" si="982"/>
        <v>-2745.3968561540632</v>
      </c>
      <c r="T468">
        <f t="shared" si="983"/>
        <v>-2.7453968561540631</v>
      </c>
    </row>
    <row r="469" spans="1:20" x14ac:dyDescent="0.25">
      <c r="A469" s="5">
        <v>44124</v>
      </c>
      <c r="B469">
        <v>9.7649999999999994E-3</v>
      </c>
      <c r="C469">
        <v>9.8300000000000002E-3</v>
      </c>
      <c r="D469">
        <v>8.9669999999999993E-3</v>
      </c>
      <c r="E469">
        <v>9.0130000000000002E-3</v>
      </c>
      <c r="F469">
        <v>17185785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-0.89339513325608144</v>
      </c>
      <c r="Q469">
        <f t="shared" si="980"/>
        <v>-15353696.680185366</v>
      </c>
      <c r="R469">
        <f t="shared" si="981"/>
        <v>-280303830.45985073</v>
      </c>
      <c r="S469">
        <f t="shared" si="982"/>
        <v>-2803.0383045985072</v>
      </c>
      <c r="T469">
        <f t="shared" si="983"/>
        <v>-2.8030383045985072</v>
      </c>
    </row>
    <row r="470" spans="1:20" x14ac:dyDescent="0.25">
      <c r="A470" s="5">
        <v>44123</v>
      </c>
      <c r="B470">
        <v>1.0239E-2</v>
      </c>
      <c r="C470">
        <v>1.0307E-2</v>
      </c>
      <c r="D470">
        <v>9.6550000000000004E-3</v>
      </c>
      <c r="E470">
        <v>9.7400000000000004E-3</v>
      </c>
      <c r="F470">
        <v>15122715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-0.73926380368098155</v>
      </c>
      <c r="Q470">
        <f t="shared" si="980"/>
        <v>-11179675.812883435</v>
      </c>
      <c r="R470">
        <f t="shared" si="981"/>
        <v>-264950133.77966538</v>
      </c>
      <c r="S470">
        <f t="shared" si="982"/>
        <v>-2649.5013377966538</v>
      </c>
      <c r="T470">
        <f t="shared" si="983"/>
        <v>-2.6495013377966536</v>
      </c>
    </row>
    <row r="471" spans="1:20" x14ac:dyDescent="0.25">
      <c r="A471" s="5">
        <v>44122</v>
      </c>
      <c r="B471">
        <v>1.0305999999999999E-2</v>
      </c>
      <c r="C471">
        <v>1.0377000000000001E-2</v>
      </c>
      <c r="D471">
        <v>1.0083999999999999E-2</v>
      </c>
      <c r="E471">
        <v>1.0239E-2</v>
      </c>
      <c r="F471">
        <v>4029107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5.8020477815698163E-2</v>
      </c>
      <c r="Q471">
        <f t="shared" si="980"/>
        <v>233770.71331057418</v>
      </c>
      <c r="R471">
        <f t="shared" si="981"/>
        <v>-253770457.96678194</v>
      </c>
      <c r="S471">
        <f t="shared" si="982"/>
        <v>-2537.7045796678194</v>
      </c>
      <c r="T471">
        <f t="shared" si="983"/>
        <v>-2.5377045796678193</v>
      </c>
    </row>
    <row r="472" spans="1:20" x14ac:dyDescent="0.25">
      <c r="A472" s="5">
        <v>44121</v>
      </c>
      <c r="B472">
        <v>9.7400000000000004E-3</v>
      </c>
      <c r="C472">
        <v>1.0572E-2</v>
      </c>
      <c r="D472">
        <v>9.6290000000000004E-3</v>
      </c>
      <c r="E472">
        <v>1.0285000000000001E-2</v>
      </c>
      <c r="F472">
        <v>11545784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0.39130434782608858</v>
      </c>
      <c r="Q472">
        <f t="shared" si="980"/>
        <v>4517915.4782608887</v>
      </c>
      <c r="R472">
        <f t="shared" si="981"/>
        <v>-254004228.68009251</v>
      </c>
      <c r="S472">
        <f t="shared" si="982"/>
        <v>-2540.042286800925</v>
      </c>
      <c r="T472">
        <f t="shared" si="983"/>
        <v>-2.5400422868009249</v>
      </c>
    </row>
    <row r="473" spans="1:20" x14ac:dyDescent="0.25">
      <c r="A473" s="5">
        <v>44120</v>
      </c>
      <c r="B473">
        <v>1.0482E-2</v>
      </c>
      <c r="C473">
        <v>1.0543E-2</v>
      </c>
      <c r="D473">
        <v>9.606E-3</v>
      </c>
      <c r="E473">
        <v>9.7649999999999994E-3</v>
      </c>
      <c r="F473">
        <v>9742609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-0.66061899679829383</v>
      </c>
      <c r="Q473">
        <f t="shared" si="980"/>
        <v>-6436152.5837780284</v>
      </c>
      <c r="R473">
        <f t="shared" si="981"/>
        <v>-258522144.15835339</v>
      </c>
      <c r="S473">
        <f t="shared" si="982"/>
        <v>-2585.2214415835338</v>
      </c>
      <c r="T473">
        <f t="shared" si="983"/>
        <v>-2.585221441583534</v>
      </c>
    </row>
    <row r="474" spans="1:20" x14ac:dyDescent="0.25">
      <c r="A474" s="5">
        <v>44119</v>
      </c>
      <c r="B474">
        <v>1.0515E-2</v>
      </c>
      <c r="C474">
        <v>1.0692999999999999E-2</v>
      </c>
      <c r="D474">
        <v>1.0226000000000001E-2</v>
      </c>
      <c r="E474">
        <v>1.0508999999999999E-2</v>
      </c>
      <c r="F474">
        <v>10983180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0.21199143468950465</v>
      </c>
      <c r="Q474">
        <f t="shared" si="980"/>
        <v>2328340.0856530736</v>
      </c>
      <c r="R474">
        <f t="shared" si="981"/>
        <v>-252085991.57457536</v>
      </c>
      <c r="S474">
        <f t="shared" si="982"/>
        <v>-2520.8599157457538</v>
      </c>
      <c r="T474">
        <f t="shared" si="983"/>
        <v>-2.5208599157457536</v>
      </c>
    </row>
    <row r="475" spans="1:20" x14ac:dyDescent="0.25">
      <c r="A475" s="5">
        <v>44118</v>
      </c>
      <c r="B475">
        <v>1.1403E-2</v>
      </c>
      <c r="C475">
        <v>1.1497E-2</v>
      </c>
      <c r="D475">
        <v>1.0200000000000001E-2</v>
      </c>
      <c r="E475">
        <v>1.0536E-2</v>
      </c>
      <c r="F475">
        <v>23519820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-0.48188126445643853</v>
      </c>
      <c r="Q475">
        <f t="shared" si="980"/>
        <v>-11333760.601387832</v>
      </c>
      <c r="R475">
        <f t="shared" si="981"/>
        <v>-254414331.66022843</v>
      </c>
      <c r="S475">
        <f t="shared" si="982"/>
        <v>-2544.1433166022844</v>
      </c>
      <c r="T475">
        <f t="shared" si="983"/>
        <v>-2.5441433166022844</v>
      </c>
    </row>
    <row r="476" spans="1:20" x14ac:dyDescent="0.25">
      <c r="A476" s="5">
        <v>44117</v>
      </c>
      <c r="B476">
        <v>1.1601E-2</v>
      </c>
      <c r="C476">
        <v>1.1892E-2</v>
      </c>
      <c r="D476">
        <v>1.1233999999999999E-2</v>
      </c>
      <c r="E476">
        <v>1.1361E-2</v>
      </c>
      <c r="F476">
        <v>13670505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-0.61398176291793238</v>
      </c>
      <c r="Q476">
        <f t="shared" si="980"/>
        <v>-8393440.75987841</v>
      </c>
      <c r="R476">
        <f t="shared" si="981"/>
        <v>-243080571.0588406</v>
      </c>
      <c r="S476">
        <f t="shared" si="982"/>
        <v>-2430.8057105884059</v>
      </c>
      <c r="T476">
        <f t="shared" si="983"/>
        <v>-2.4308057105884058</v>
      </c>
    </row>
    <row r="477" spans="1:20" x14ac:dyDescent="0.25">
      <c r="A477" s="5">
        <v>44116</v>
      </c>
      <c r="B477">
        <v>1.1547E-2</v>
      </c>
      <c r="C477">
        <v>1.1815000000000001E-2</v>
      </c>
      <c r="D477">
        <v>1.1004999999999999E-2</v>
      </c>
      <c r="E477">
        <v>1.1623E-2</v>
      </c>
      <c r="F477">
        <v>14738134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0.52592592592592391</v>
      </c>
      <c r="Q477">
        <f t="shared" si="980"/>
        <v>7751166.7703703409</v>
      </c>
      <c r="R477">
        <f t="shared" si="981"/>
        <v>-234687130.29896221</v>
      </c>
      <c r="S477">
        <f t="shared" si="982"/>
        <v>-2346.8713029896221</v>
      </c>
      <c r="T477">
        <f t="shared" si="983"/>
        <v>-2.346871302989622</v>
      </c>
    </row>
    <row r="478" spans="1:20" x14ac:dyDescent="0.25">
      <c r="A478" s="5">
        <v>44115</v>
      </c>
      <c r="B478">
        <v>1.1395000000000001E-2</v>
      </c>
      <c r="C478">
        <v>1.1723000000000001E-2</v>
      </c>
      <c r="D478">
        <v>1.0865E-2</v>
      </c>
      <c r="E478">
        <v>1.1547999999999999E-2</v>
      </c>
      <c r="F478">
        <v>16407420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0.59207459207458901</v>
      </c>
      <c r="Q478">
        <f t="shared" si="980"/>
        <v>9714416.5034964532</v>
      </c>
      <c r="R478">
        <f t="shared" si="981"/>
        <v>-242438297.06933254</v>
      </c>
      <c r="S478">
        <f t="shared" si="982"/>
        <v>-2424.3829706933252</v>
      </c>
      <c r="T478">
        <f t="shared" si="983"/>
        <v>-2.4243829706933253</v>
      </c>
    </row>
    <row r="479" spans="1:20" x14ac:dyDescent="0.25">
      <c r="A479" s="5">
        <v>44114</v>
      </c>
      <c r="B479">
        <v>1.1651E-2</v>
      </c>
      <c r="C479">
        <v>1.2049000000000001E-2</v>
      </c>
      <c r="D479">
        <v>1.136E-2</v>
      </c>
      <c r="E479">
        <v>1.1395000000000001E-2</v>
      </c>
      <c r="F479">
        <v>18485469</v>
      </c>
      <c r="G479">
        <v>0</v>
      </c>
      <c r="L479" t="s">
        <v>7</v>
      </c>
      <c r="M479" t="s">
        <v>8</v>
      </c>
      <c r="N479" t="s">
        <v>7</v>
      </c>
      <c r="P479">
        <f t="shared" si="979"/>
        <v>-0.89840348330914288</v>
      </c>
      <c r="Q479">
        <f t="shared" si="980"/>
        <v>-16607409.740203178</v>
      </c>
      <c r="R479">
        <f t="shared" si="981"/>
        <v>-252152713.57282901</v>
      </c>
      <c r="S479">
        <f t="shared" si="982"/>
        <v>-2521.52713572829</v>
      </c>
      <c r="T479">
        <f t="shared" si="983"/>
        <v>-2.5215271357282898</v>
      </c>
    </row>
    <row r="480" spans="1:20" x14ac:dyDescent="0.25">
      <c r="A480" s="5">
        <v>44113</v>
      </c>
      <c r="B480">
        <v>1.1106E-2</v>
      </c>
      <c r="C480">
        <v>1.2156999999999999E-2</v>
      </c>
      <c r="D480">
        <v>1.0888E-2</v>
      </c>
      <c r="E480">
        <v>1.1648E-2</v>
      </c>
      <c r="F480">
        <v>28079342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0.1977935382190712</v>
      </c>
      <c r="Q480">
        <f t="shared" si="980"/>
        <v>5553912.405043371</v>
      </c>
      <c r="R480">
        <f t="shared" si="981"/>
        <v>-235545303.83262584</v>
      </c>
      <c r="S480">
        <f t="shared" si="982"/>
        <v>-2355.4530383262581</v>
      </c>
      <c r="T480">
        <f t="shared" si="983"/>
        <v>-2.355453038326258</v>
      </c>
    </row>
    <row r="481" spans="1:20" x14ac:dyDescent="0.25">
      <c r="A481" s="5">
        <v>44112</v>
      </c>
      <c r="B481">
        <v>1.0043E-2</v>
      </c>
      <c r="C481">
        <v>1.1324000000000001E-2</v>
      </c>
      <c r="D481">
        <v>9.6270000000000001E-3</v>
      </c>
      <c r="E481">
        <v>1.1089999999999999E-2</v>
      </c>
      <c r="F481">
        <v>34199293</v>
      </c>
      <c r="G481">
        <v>0</v>
      </c>
      <c r="L481" t="s">
        <v>8</v>
      </c>
      <c r="M481" t="s">
        <v>8</v>
      </c>
      <c r="N481" t="s">
        <v>7</v>
      </c>
      <c r="P481">
        <f t="shared" si="979"/>
        <v>0.7242192103712416</v>
      </c>
      <c r="Q481">
        <f t="shared" si="980"/>
        <v>24767784.971714731</v>
      </c>
      <c r="R481">
        <f t="shared" si="981"/>
        <v>-241099216.2376692</v>
      </c>
      <c r="S481">
        <f t="shared" si="982"/>
        <v>-2410.9921623766918</v>
      </c>
      <c r="T481">
        <f t="shared" si="983"/>
        <v>-2.4109921623766919</v>
      </c>
    </row>
    <row r="482" spans="1:20" x14ac:dyDescent="0.25">
      <c r="A482" s="5">
        <v>44111</v>
      </c>
      <c r="B482">
        <v>1.0181000000000001E-2</v>
      </c>
      <c r="C482">
        <v>1.0220999999999999E-2</v>
      </c>
      <c r="D482">
        <v>9.4260000000000004E-3</v>
      </c>
      <c r="E482">
        <v>1.0043E-2</v>
      </c>
      <c r="F482">
        <v>29958996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0.55220125786163621</v>
      </c>
      <c r="Q482">
        <f t="shared" si="980"/>
        <v>16543395.275471728</v>
      </c>
      <c r="R482">
        <f t="shared" si="981"/>
        <v>-265867001.20938393</v>
      </c>
      <c r="S482">
        <f t="shared" si="982"/>
        <v>-2658.6700120938394</v>
      </c>
      <c r="T482">
        <f t="shared" si="983"/>
        <v>-2.6586700120938396</v>
      </c>
    </row>
    <row r="483" spans="1:20" x14ac:dyDescent="0.25">
      <c r="A483" s="5">
        <v>44110</v>
      </c>
      <c r="B483">
        <v>1.2290000000000001E-2</v>
      </c>
      <c r="C483">
        <v>1.2326E-2</v>
      </c>
      <c r="D483">
        <v>1.0106E-2</v>
      </c>
      <c r="E483">
        <v>1.0181000000000001E-2</v>
      </c>
      <c r="F483">
        <v>51696623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-0.93243243243243201</v>
      </c>
      <c r="Q483">
        <f t="shared" si="980"/>
        <v>-48203607.932432413</v>
      </c>
      <c r="R483">
        <f t="shared" si="981"/>
        <v>-282410396.48485565</v>
      </c>
      <c r="S483">
        <f t="shared" si="982"/>
        <v>-2824.1039648485566</v>
      </c>
      <c r="T483">
        <f t="shared" si="983"/>
        <v>-2.8241039648485566</v>
      </c>
    </row>
    <row r="484" spans="1:20" x14ac:dyDescent="0.25">
      <c r="A484" s="5">
        <v>44109</v>
      </c>
      <c r="B484">
        <v>1.2977000000000001E-2</v>
      </c>
      <c r="C484">
        <v>1.3183E-2</v>
      </c>
      <c r="D484">
        <v>1.2064E-2</v>
      </c>
      <c r="E484">
        <v>1.2277E-2</v>
      </c>
      <c r="F484">
        <v>21556560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-0.61930294906166294</v>
      </c>
      <c r="Q484">
        <f t="shared" si="980"/>
        <v>-13350041.17962468</v>
      </c>
      <c r="R484">
        <f t="shared" si="981"/>
        <v>-234206788.55242327</v>
      </c>
      <c r="S484">
        <f t="shared" si="982"/>
        <v>-2342.0678855242327</v>
      </c>
      <c r="T484">
        <f t="shared" si="983"/>
        <v>-2.3420678855242327</v>
      </c>
    </row>
    <row r="485" spans="1:20" x14ac:dyDescent="0.25">
      <c r="A485" s="5">
        <v>44108</v>
      </c>
      <c r="B485">
        <v>1.3698999999999999E-2</v>
      </c>
      <c r="C485">
        <v>1.3709000000000001E-2</v>
      </c>
      <c r="D485">
        <v>1.2716E-2</v>
      </c>
      <c r="E485">
        <v>1.2978E-2</v>
      </c>
      <c r="F485">
        <v>23321495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-0.47230614300100732</v>
      </c>
      <c r="Q485">
        <f t="shared" si="980"/>
        <v>-11014885.352467278</v>
      </c>
      <c r="R485">
        <f t="shared" si="981"/>
        <v>-220856747.37279859</v>
      </c>
      <c r="S485">
        <f t="shared" si="982"/>
        <v>-2208.567473727986</v>
      </c>
      <c r="T485">
        <f t="shared" si="983"/>
        <v>-2.2085674737279861</v>
      </c>
    </row>
    <row r="486" spans="1:20" x14ac:dyDescent="0.25">
      <c r="A486" s="5">
        <v>44107</v>
      </c>
      <c r="B486">
        <v>1.3735000000000001E-2</v>
      </c>
      <c r="C486">
        <v>1.3972E-2</v>
      </c>
      <c r="D486">
        <v>1.3419E-2</v>
      </c>
      <c r="E486">
        <v>1.3697000000000001E-2</v>
      </c>
      <c r="F486">
        <v>13817336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5.4249547920456912E-3</v>
      </c>
      <c r="Q486">
        <f t="shared" si="980"/>
        <v>74958.423146505447</v>
      </c>
      <c r="R486">
        <f t="shared" si="981"/>
        <v>-209841862.02033132</v>
      </c>
      <c r="S486">
        <f t="shared" si="982"/>
        <v>-2098.4186202033134</v>
      </c>
      <c r="T486">
        <f t="shared" si="983"/>
        <v>-2.0984186202033133</v>
      </c>
    </row>
    <row r="487" spans="1:20" x14ac:dyDescent="0.25">
      <c r="A487" s="5">
        <v>44106</v>
      </c>
      <c r="B487">
        <v>1.5058999999999999E-2</v>
      </c>
      <c r="C487">
        <v>1.5361E-2</v>
      </c>
      <c r="D487">
        <v>1.3006E-2</v>
      </c>
      <c r="E487">
        <v>1.3748E-2</v>
      </c>
      <c r="F487">
        <v>153633609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-0.36985138004246304</v>
      </c>
      <c r="Q487">
        <f t="shared" si="980"/>
        <v>-56821602.309554167</v>
      </c>
      <c r="R487">
        <f t="shared" si="981"/>
        <v>-209916820.44347784</v>
      </c>
      <c r="S487">
        <f t="shared" si="982"/>
        <v>-2099.1682044347785</v>
      </c>
      <c r="T487">
        <f t="shared" si="983"/>
        <v>-2.0991682044347786</v>
      </c>
    </row>
    <row r="488" spans="1:20" x14ac:dyDescent="0.25">
      <c r="A488" s="5">
        <v>44105</v>
      </c>
      <c r="B488">
        <v>1.6531000000000001E-2</v>
      </c>
      <c r="C488">
        <v>1.7153000000000002E-2</v>
      </c>
      <c r="D488">
        <v>1.464E-2</v>
      </c>
      <c r="E488">
        <v>1.5051E-2</v>
      </c>
      <c r="F488">
        <v>172117310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-0.67290091524074835</v>
      </c>
      <c r="Q488">
        <f t="shared" si="980"/>
        <v>-115817895.42777561</v>
      </c>
      <c r="R488">
        <f t="shared" si="981"/>
        <v>-153095218.13392368</v>
      </c>
      <c r="S488">
        <f t="shared" si="982"/>
        <v>-1530.9521813392369</v>
      </c>
      <c r="T488">
        <f t="shared" si="983"/>
        <v>-1.5309521813392368</v>
      </c>
    </row>
    <row r="489" spans="1:20" x14ac:dyDescent="0.25">
      <c r="A489" s="5">
        <v>44104</v>
      </c>
      <c r="B489">
        <v>1.7326999999999999E-2</v>
      </c>
      <c r="C489">
        <v>1.7336000000000001E-2</v>
      </c>
      <c r="D489">
        <v>1.6365999999999999E-2</v>
      </c>
      <c r="E489">
        <v>1.6531000000000001E-2</v>
      </c>
      <c r="F489">
        <v>118115683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-0.65979381443298646</v>
      </c>
      <c r="Q489">
        <f t="shared" si="980"/>
        <v>-77931997.030927449</v>
      </c>
      <c r="R489">
        <f t="shared" si="981"/>
        <v>-37277322.706148081</v>
      </c>
      <c r="S489">
        <f t="shared" si="982"/>
        <v>-372.77322706148078</v>
      </c>
      <c r="T489">
        <f t="shared" si="983"/>
        <v>-0.37277322706148081</v>
      </c>
    </row>
    <row r="490" spans="1:20" x14ac:dyDescent="0.25">
      <c r="A490" s="5">
        <v>44103</v>
      </c>
      <c r="B490">
        <v>1.7634E-2</v>
      </c>
      <c r="C490">
        <v>1.8169000000000001E-2</v>
      </c>
      <c r="D490">
        <v>1.6698999999999999E-2</v>
      </c>
      <c r="E490">
        <v>1.7326999999999999E-2</v>
      </c>
      <c r="F490">
        <v>91529884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-0.14557823129251837</v>
      </c>
      <c r="Q490">
        <f t="shared" si="980"/>
        <v>-13324758.623129377</v>
      </c>
      <c r="R490">
        <f t="shared" si="981"/>
        <v>40654674.324779369</v>
      </c>
      <c r="S490">
        <f t="shared" si="982"/>
        <v>406.5467432477937</v>
      </c>
      <c r="T490">
        <f t="shared" si="983"/>
        <v>0.40654674324779372</v>
      </c>
    </row>
    <row r="491" spans="1:20" x14ac:dyDescent="0.25">
      <c r="A491" s="5">
        <v>44102</v>
      </c>
      <c r="B491">
        <v>1.8919999999999999E-2</v>
      </c>
      <c r="C491">
        <v>1.9469E-2</v>
      </c>
      <c r="D491">
        <v>1.7447000000000001E-2</v>
      </c>
      <c r="E491">
        <v>1.7635000000000001E-2</v>
      </c>
      <c r="F491">
        <v>96577154</v>
      </c>
      <c r="G491">
        <v>0</v>
      </c>
      <c r="L491" t="s">
        <v>7</v>
      </c>
      <c r="M491" t="s">
        <v>8</v>
      </c>
      <c r="N491" t="s">
        <v>7</v>
      </c>
      <c r="P491">
        <f t="shared" si="979"/>
        <v>-0.81404549950543947</v>
      </c>
      <c r="Q491">
        <f t="shared" si="980"/>
        <v>-78618197.56874375</v>
      </c>
      <c r="R491">
        <f t="shared" si="981"/>
        <v>53979432.947908744</v>
      </c>
      <c r="S491">
        <f t="shared" si="982"/>
        <v>539.79432947908742</v>
      </c>
      <c r="T491">
        <f t="shared" si="983"/>
        <v>0.53979432947908745</v>
      </c>
    </row>
    <row r="492" spans="1:20" x14ac:dyDescent="0.25">
      <c r="A492" s="5">
        <v>44101</v>
      </c>
      <c r="B492">
        <v>1.9636000000000001E-2</v>
      </c>
      <c r="C492">
        <v>0.02</v>
      </c>
      <c r="D492">
        <v>1.7829000000000001E-2</v>
      </c>
      <c r="E492">
        <v>1.8919999999999999E-2</v>
      </c>
      <c r="F492">
        <v>120185256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5.0667894979258988E-3</v>
      </c>
      <c r="Q492">
        <f t="shared" si="980"/>
        <v>608953.39290633565</v>
      </c>
      <c r="R492">
        <f t="shared" si="981"/>
        <v>132597630.51665249</v>
      </c>
      <c r="S492">
        <f t="shared" si="982"/>
        <v>1325.976305166525</v>
      </c>
      <c r="T492">
        <f t="shared" si="983"/>
        <v>1.325976305166525</v>
      </c>
    </row>
    <row r="493" spans="1:20" x14ac:dyDescent="0.25">
      <c r="A493" s="5">
        <v>44100</v>
      </c>
      <c r="B493">
        <v>1.9061000000000002E-2</v>
      </c>
      <c r="C493">
        <v>2.0687000000000001E-2</v>
      </c>
      <c r="D493">
        <v>1.9061000000000002E-2</v>
      </c>
      <c r="E493">
        <v>1.9642E-2</v>
      </c>
      <c r="F493">
        <v>98897041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-0.28536285362853808</v>
      </c>
      <c r="Q493">
        <f t="shared" si="980"/>
        <v>-28221541.835178528</v>
      </c>
      <c r="R493">
        <f t="shared" si="981"/>
        <v>131988677.12374616</v>
      </c>
      <c r="S493">
        <f t="shared" si="982"/>
        <v>1319.8867712374615</v>
      </c>
      <c r="T493">
        <f t="shared" si="983"/>
        <v>1.3198867712374616</v>
      </c>
    </row>
    <row r="494" spans="1:20" x14ac:dyDescent="0.25">
      <c r="A494" s="5">
        <v>44099</v>
      </c>
      <c r="B494">
        <v>1.8983E-2</v>
      </c>
      <c r="C494">
        <v>2.0230000000000001E-2</v>
      </c>
      <c r="D494">
        <v>1.7787000000000001E-2</v>
      </c>
      <c r="E494">
        <v>1.9061000000000002E-2</v>
      </c>
      <c r="F494">
        <v>80429215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4.2979942693410107E-2</v>
      </c>
      <c r="Q494">
        <f t="shared" si="980"/>
        <v>3456843.0515759606</v>
      </c>
      <c r="R494">
        <f t="shared" si="981"/>
        <v>160210218.95892468</v>
      </c>
      <c r="S494">
        <f t="shared" si="982"/>
        <v>1602.1021895892468</v>
      </c>
      <c r="T494">
        <f t="shared" si="983"/>
        <v>1.6021021895892469</v>
      </c>
    </row>
    <row r="495" spans="1:20" x14ac:dyDescent="0.25">
      <c r="A495" s="5">
        <v>44098</v>
      </c>
      <c r="B495">
        <v>1.6570999999999999E-2</v>
      </c>
      <c r="C495">
        <v>1.9300000000000001E-2</v>
      </c>
      <c r="D495">
        <v>1.6168999999999999E-2</v>
      </c>
      <c r="E495">
        <v>1.898E-2</v>
      </c>
      <c r="F495">
        <v>65373486</v>
      </c>
      <c r="G495">
        <v>0</v>
      </c>
      <c r="L495" t="s">
        <v>7</v>
      </c>
      <c r="M495" t="s">
        <v>8</v>
      </c>
      <c r="N495" t="s">
        <v>7</v>
      </c>
      <c r="P495">
        <f t="shared" si="979"/>
        <v>0.79559246247205329</v>
      </c>
      <c r="Q495">
        <f t="shared" si="980"/>
        <v>52010652.707122304</v>
      </c>
      <c r="R495">
        <f t="shared" si="981"/>
        <v>156753375.90734872</v>
      </c>
      <c r="S495">
        <f t="shared" si="982"/>
        <v>1567.5337590734873</v>
      </c>
      <c r="T495">
        <f t="shared" si="983"/>
        <v>1.5675337590734872</v>
      </c>
    </row>
    <row r="496" spans="1:20" x14ac:dyDescent="0.25">
      <c r="A496" s="5">
        <v>44097</v>
      </c>
      <c r="B496">
        <v>2.0405E-2</v>
      </c>
      <c r="C496">
        <v>2.0799999999999999E-2</v>
      </c>
      <c r="D496">
        <v>1.6291E-2</v>
      </c>
      <c r="E496">
        <v>1.6570000000000001E-2</v>
      </c>
      <c r="F496">
        <v>64166921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-0.87624750499001924</v>
      </c>
      <c r="Q496">
        <f t="shared" si="980"/>
        <v>-56226104.42914167</v>
      </c>
      <c r="R496">
        <f t="shared" si="981"/>
        <v>104742723.20022643</v>
      </c>
      <c r="S496">
        <f t="shared" si="982"/>
        <v>1047.4272320022642</v>
      </c>
      <c r="T496">
        <f t="shared" si="983"/>
        <v>1.0474272320022642</v>
      </c>
    </row>
    <row r="497" spans="1:20" x14ac:dyDescent="0.25">
      <c r="A497" s="5">
        <v>44096</v>
      </c>
      <c r="B497">
        <v>1.8159999999999999E-2</v>
      </c>
      <c r="C497">
        <v>2.0993000000000001E-2</v>
      </c>
      <c r="D497">
        <v>1.78E-2</v>
      </c>
      <c r="E497">
        <v>2.0353E-2</v>
      </c>
      <c r="F497">
        <v>35247453</v>
      </c>
      <c r="G497">
        <v>0</v>
      </c>
      <c r="L497" t="s">
        <v>8</v>
      </c>
      <c r="M497" t="s">
        <v>8</v>
      </c>
      <c r="N497" t="s">
        <v>8</v>
      </c>
      <c r="P497">
        <f t="shared" si="979"/>
        <v>0.59912308174130824</v>
      </c>
      <c r="Q497">
        <f t="shared" si="980"/>
        <v>21117562.664891921</v>
      </c>
      <c r="R497">
        <f t="shared" si="981"/>
        <v>160968827.6293681</v>
      </c>
      <c r="S497">
        <f t="shared" si="982"/>
        <v>1609.6882762936809</v>
      </c>
      <c r="T497">
        <f t="shared" si="983"/>
        <v>1.6096882762936808</v>
      </c>
    </row>
    <row r="498" spans="1:20" x14ac:dyDescent="0.25">
      <c r="A498" s="5">
        <v>44095</v>
      </c>
      <c r="B498">
        <v>2.0303000000000002E-2</v>
      </c>
      <c r="C498">
        <v>2.1155E-2</v>
      </c>
      <c r="D498">
        <v>1.6969000000000001E-2</v>
      </c>
      <c r="E498">
        <v>1.8159999999999999E-2</v>
      </c>
      <c r="F498">
        <v>41423197</v>
      </c>
      <c r="G498">
        <v>0</v>
      </c>
      <c r="L498" t="s">
        <v>7</v>
      </c>
      <c r="M498" t="s">
        <v>7</v>
      </c>
      <c r="N498" t="s">
        <v>8</v>
      </c>
      <c r="P498">
        <f t="shared" si="979"/>
        <v>-0.43096034400382321</v>
      </c>
      <c r="Q498">
        <f t="shared" si="980"/>
        <v>-17851755.228858139</v>
      </c>
      <c r="R498">
        <f t="shared" si="981"/>
        <v>139851264.96447617</v>
      </c>
      <c r="S498">
        <f t="shared" si="982"/>
        <v>1398.5126496447617</v>
      </c>
      <c r="T498">
        <f t="shared" si="983"/>
        <v>1.3985126496447617</v>
      </c>
    </row>
    <row r="499" spans="1:20" x14ac:dyDescent="0.25">
      <c r="A499" s="5">
        <v>44094</v>
      </c>
      <c r="B499">
        <v>2.1866E-2</v>
      </c>
      <c r="C499">
        <v>2.1950000000000001E-2</v>
      </c>
      <c r="D499">
        <v>1.9304000000000002E-2</v>
      </c>
      <c r="E499">
        <v>2.0303000000000002E-2</v>
      </c>
      <c r="F499">
        <v>32577332</v>
      </c>
      <c r="G499">
        <v>0</v>
      </c>
      <c r="L499" t="s">
        <v>7</v>
      </c>
      <c r="M499" t="s">
        <v>8</v>
      </c>
      <c r="N499" t="s">
        <v>8</v>
      </c>
      <c r="P499">
        <f t="shared" si="979"/>
        <v>-0.24489795918367327</v>
      </c>
      <c r="Q499">
        <f t="shared" si="980"/>
        <v>-7978122.1224489734</v>
      </c>
      <c r="R499">
        <f t="shared" si="981"/>
        <v>157703020.19333431</v>
      </c>
      <c r="S499">
        <f t="shared" si="982"/>
        <v>1577.0302019333431</v>
      </c>
      <c r="T499">
        <f t="shared" si="983"/>
        <v>1.5770302019333431</v>
      </c>
    </row>
    <row r="500" spans="1:20" x14ac:dyDescent="0.25">
      <c r="A500" s="5">
        <v>44093</v>
      </c>
      <c r="B500">
        <v>2.0983000000000002E-2</v>
      </c>
      <c r="C500">
        <v>2.24E-2</v>
      </c>
      <c r="D500">
        <v>2.0285999999999998E-2</v>
      </c>
      <c r="E500">
        <v>2.1766000000000001E-2</v>
      </c>
      <c r="F500">
        <v>48373436</v>
      </c>
      <c r="G500">
        <v>0</v>
      </c>
      <c r="L500" t="s">
        <v>8</v>
      </c>
      <c r="M500" t="s">
        <v>8</v>
      </c>
      <c r="N500" t="s">
        <v>8</v>
      </c>
      <c r="P500">
        <f t="shared" si="979"/>
        <v>0.40018921475875235</v>
      </c>
      <c r="Q500">
        <f t="shared" si="980"/>
        <v>19358527.368022762</v>
      </c>
      <c r="R500">
        <f t="shared" si="981"/>
        <v>165681142.31578329</v>
      </c>
      <c r="S500">
        <f t="shared" si="982"/>
        <v>1656.8114231578329</v>
      </c>
      <c r="T500">
        <f t="shared" si="983"/>
        <v>1.6568114231578328</v>
      </c>
    </row>
    <row r="501" spans="1:20" x14ac:dyDescent="0.25">
      <c r="A501" s="5">
        <v>44092</v>
      </c>
      <c r="B501">
        <v>1.9532000000000001E-2</v>
      </c>
      <c r="C501">
        <v>2.1697999999999999E-2</v>
      </c>
      <c r="D501">
        <v>1.8928E-2</v>
      </c>
      <c r="E501">
        <v>2.0899000000000001E-2</v>
      </c>
      <c r="F501">
        <v>52577009</v>
      </c>
      <c r="G501">
        <v>0</v>
      </c>
      <c r="L501" t="s">
        <v>8</v>
      </c>
      <c r="M501" t="s">
        <v>8</v>
      </c>
      <c r="N501" t="s">
        <v>8</v>
      </c>
      <c r="P501">
        <f t="shared" si="979"/>
        <v>0.42310469314079557</v>
      </c>
      <c r="Q501">
        <f t="shared" si="980"/>
        <v>22245579.259205848</v>
      </c>
      <c r="R501">
        <f t="shared" si="981"/>
        <v>146322614.94776052</v>
      </c>
      <c r="S501">
        <f t="shared" si="982"/>
        <v>1463.2261494776053</v>
      </c>
      <c r="T501">
        <f t="shared" si="983"/>
        <v>1.4632261494776053</v>
      </c>
    </row>
    <row r="502" spans="1:20" x14ac:dyDescent="0.25">
      <c r="A502" s="5">
        <v>44091</v>
      </c>
      <c r="B502">
        <v>1.9695000000000001E-2</v>
      </c>
      <c r="C502">
        <v>2.0593E-2</v>
      </c>
      <c r="D502">
        <v>1.8412000000000001E-2</v>
      </c>
      <c r="E502">
        <v>1.9376000000000001E-2</v>
      </c>
      <c r="F502">
        <v>33318188</v>
      </c>
      <c r="G502">
        <v>0</v>
      </c>
      <c r="L502" t="s">
        <v>8</v>
      </c>
      <c r="M502" t="s">
        <v>7</v>
      </c>
      <c r="N502" t="s">
        <v>8</v>
      </c>
      <c r="P502">
        <f t="shared" si="979"/>
        <v>-0.11600183402109118</v>
      </c>
      <c r="Q502">
        <f t="shared" si="980"/>
        <v>-3864970.914259512</v>
      </c>
      <c r="R502">
        <f t="shared" si="981"/>
        <v>124077035.68855469</v>
      </c>
      <c r="S502">
        <f t="shared" si="982"/>
        <v>1240.7703568855468</v>
      </c>
      <c r="T502">
        <f t="shared" si="983"/>
        <v>1.2407703568855468</v>
      </c>
    </row>
    <row r="503" spans="1:20" x14ac:dyDescent="0.25">
      <c r="A503" s="5">
        <v>44090</v>
      </c>
      <c r="B503">
        <v>1.9744000000000001E-2</v>
      </c>
      <c r="C503">
        <v>2.01E-2</v>
      </c>
      <c r="D503">
        <v>1.8103000000000001E-2</v>
      </c>
      <c r="E503">
        <v>1.9699000000000001E-2</v>
      </c>
      <c r="F503">
        <v>30628048</v>
      </c>
      <c r="G503">
        <v>0</v>
      </c>
      <c r="L503" t="s">
        <v>7</v>
      </c>
      <c r="M503" t="s">
        <v>7</v>
      </c>
      <c r="N503" t="s">
        <v>8</v>
      </c>
      <c r="P503">
        <f t="shared" si="979"/>
        <v>0.59839759639459311</v>
      </c>
      <c r="Q503">
        <f t="shared" si="980"/>
        <v>18327750.305458225</v>
      </c>
      <c r="R503">
        <f t="shared" si="981"/>
        <v>127942006.6028142</v>
      </c>
      <c r="S503">
        <f t="shared" si="982"/>
        <v>1279.4200660281419</v>
      </c>
      <c r="T503">
        <f t="shared" si="983"/>
        <v>1.2794200660281418</v>
      </c>
    </row>
    <row r="504" spans="1:20" x14ac:dyDescent="0.25">
      <c r="A504" s="5">
        <v>44089</v>
      </c>
      <c r="B504">
        <v>2.2609000000000001E-2</v>
      </c>
      <c r="C504">
        <v>2.3480000000000001E-2</v>
      </c>
      <c r="D504">
        <v>1.9265000000000001E-2</v>
      </c>
      <c r="E504">
        <v>1.9744999999999999E-2</v>
      </c>
      <c r="F504">
        <v>64659953</v>
      </c>
      <c r="G504">
        <v>0</v>
      </c>
      <c r="L504" t="s">
        <v>8</v>
      </c>
      <c r="M504" t="s">
        <v>8</v>
      </c>
      <c r="N504" t="s">
        <v>8</v>
      </c>
      <c r="P504">
        <f t="shared" si="979"/>
        <v>-0.77224199288256334</v>
      </c>
      <c r="Q504">
        <f t="shared" si="980"/>
        <v>-49933130.964412883</v>
      </c>
      <c r="R504">
        <f t="shared" si="981"/>
        <v>109614256.29735596</v>
      </c>
      <c r="S504">
        <f t="shared" si="982"/>
        <v>1096.1425629735597</v>
      </c>
      <c r="T504">
        <f t="shared" si="983"/>
        <v>1.0961425629735597</v>
      </c>
    </row>
    <row r="505" spans="1:20" x14ac:dyDescent="0.25">
      <c r="A505" s="5">
        <v>44088</v>
      </c>
      <c r="B505">
        <v>1.9403E-2</v>
      </c>
      <c r="C505">
        <v>2.35E-2</v>
      </c>
      <c r="D505">
        <v>1.8010000000000002E-2</v>
      </c>
      <c r="E505">
        <v>2.2519999999999998E-2</v>
      </c>
      <c r="F505">
        <v>88731852</v>
      </c>
      <c r="G505">
        <v>0</v>
      </c>
      <c r="L505" t="s">
        <v>7</v>
      </c>
      <c r="M505" t="s">
        <v>7</v>
      </c>
      <c r="N505" t="s">
        <v>8</v>
      </c>
      <c r="P505">
        <f t="shared" si="979"/>
        <v>0.64298724954462583</v>
      </c>
      <c r="Q505">
        <f t="shared" si="980"/>
        <v>57053449.46448081</v>
      </c>
      <c r="R505">
        <f t="shared" si="981"/>
        <v>159547387.26176885</v>
      </c>
      <c r="S505">
        <f t="shared" si="982"/>
        <v>1595.4738726176886</v>
      </c>
      <c r="T505">
        <f t="shared" si="983"/>
        <v>1.5954738726176887</v>
      </c>
    </row>
    <row r="506" spans="1:20" x14ac:dyDescent="0.25">
      <c r="A506" s="5">
        <v>44087</v>
      </c>
      <c r="B506">
        <v>2.1888999999999999E-2</v>
      </c>
      <c r="C506">
        <v>2.2724999999999999E-2</v>
      </c>
      <c r="D506">
        <v>1.8804000000000001E-2</v>
      </c>
      <c r="E506">
        <v>1.9487999999999998E-2</v>
      </c>
      <c r="F506">
        <v>34637190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-0.65110941086457663</v>
      </c>
      <c r="Q506">
        <f t="shared" si="980"/>
        <v>-22552600.374904405</v>
      </c>
      <c r="R506">
        <f t="shared" si="981"/>
        <v>102493937.79728803</v>
      </c>
      <c r="S506">
        <f t="shared" si="982"/>
        <v>1024.9393779728803</v>
      </c>
      <c r="T506">
        <f t="shared" si="983"/>
        <v>1.0249393779728804</v>
      </c>
    </row>
    <row r="507" spans="1:20" x14ac:dyDescent="0.25">
      <c r="A507" s="5">
        <v>44086</v>
      </c>
      <c r="B507">
        <v>2.0879000000000002E-2</v>
      </c>
      <c r="C507">
        <v>2.2443000000000001E-2</v>
      </c>
      <c r="D507">
        <v>2.0447E-2</v>
      </c>
      <c r="E507">
        <v>2.1905999999999998E-2</v>
      </c>
      <c r="F507">
        <v>23924170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0.46192384769538836</v>
      </c>
      <c r="Q507">
        <f t="shared" si="980"/>
        <v>11051144.659318579</v>
      </c>
      <c r="R507">
        <f t="shared" si="981"/>
        <v>125046538.17219244</v>
      </c>
      <c r="S507">
        <f t="shared" si="982"/>
        <v>1250.4653817219244</v>
      </c>
      <c r="T507">
        <f t="shared" si="983"/>
        <v>1.2504653817219245</v>
      </c>
    </row>
    <row r="508" spans="1:20" x14ac:dyDescent="0.25">
      <c r="A508" s="5">
        <v>44085</v>
      </c>
      <c r="B508">
        <v>2.1503999999999999E-2</v>
      </c>
      <c r="C508">
        <v>2.1600000000000001E-2</v>
      </c>
      <c r="D508">
        <v>1.9611E-2</v>
      </c>
      <c r="E508">
        <v>2.0879999999999999E-2</v>
      </c>
      <c r="F508">
        <v>27528937</v>
      </c>
      <c r="G508">
        <v>0</v>
      </c>
      <c r="L508" t="s">
        <v>7</v>
      </c>
      <c r="M508" t="s">
        <v>8</v>
      </c>
      <c r="N508" t="s">
        <v>8</v>
      </c>
      <c r="P508">
        <f t="shared" si="979"/>
        <v>0.27601809954750983</v>
      </c>
      <c r="Q508">
        <f t="shared" si="980"/>
        <v>7598484.8733031265</v>
      </c>
      <c r="R508">
        <f t="shared" si="981"/>
        <v>113995393.51287386</v>
      </c>
      <c r="S508">
        <f t="shared" si="982"/>
        <v>1139.9539351287385</v>
      </c>
      <c r="T508">
        <f t="shared" si="983"/>
        <v>1.1399539351287384</v>
      </c>
    </row>
    <row r="509" spans="1:20" x14ac:dyDescent="0.25">
      <c r="A509" s="5">
        <v>44084</v>
      </c>
      <c r="B509">
        <v>2.0865999999999999E-2</v>
      </c>
      <c r="C509">
        <v>2.3E-2</v>
      </c>
      <c r="D509">
        <v>2.0192000000000002E-2</v>
      </c>
      <c r="E509">
        <v>2.1500999999999999E-2</v>
      </c>
      <c r="F509">
        <v>49903011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-6.7663817663818668E-2</v>
      </c>
      <c r="Q509">
        <f t="shared" si="980"/>
        <v>-3376628.2371795373</v>
      </c>
      <c r="R509">
        <f t="shared" si="981"/>
        <v>106396908.63957073</v>
      </c>
      <c r="S509">
        <f t="shared" si="982"/>
        <v>1063.9690863957073</v>
      </c>
      <c r="T509">
        <f t="shared" si="983"/>
        <v>1.0639690863957074</v>
      </c>
    </row>
    <row r="510" spans="1:20" x14ac:dyDescent="0.25">
      <c r="A510" s="5">
        <v>44083</v>
      </c>
      <c r="B510">
        <v>1.9913E-2</v>
      </c>
      <c r="C510">
        <v>2.2534999999999999E-2</v>
      </c>
      <c r="D510">
        <v>1.8089999999999998E-2</v>
      </c>
      <c r="E510">
        <v>2.0865999999999999E-2</v>
      </c>
      <c r="F510">
        <v>110087387</v>
      </c>
      <c r="G510">
        <v>0</v>
      </c>
      <c r="L510" t="s">
        <v>8</v>
      </c>
      <c r="M510" t="s">
        <v>8</v>
      </c>
      <c r="N510" t="s">
        <v>8</v>
      </c>
      <c r="P510">
        <f t="shared" si="979"/>
        <v>0.24904386951631047</v>
      </c>
      <c r="Q510">
        <f t="shared" si="980"/>
        <v>27416588.843419574</v>
      </c>
      <c r="R510">
        <f t="shared" si="981"/>
        <v>109773536.87675026</v>
      </c>
      <c r="S510">
        <f t="shared" si="982"/>
        <v>1097.7353687675027</v>
      </c>
      <c r="T510">
        <f t="shared" si="983"/>
        <v>1.0977353687675027</v>
      </c>
    </row>
    <row r="511" spans="1:20" x14ac:dyDescent="0.25">
      <c r="A511" s="5">
        <v>44082</v>
      </c>
      <c r="B511">
        <v>1.6414999999999999E-2</v>
      </c>
      <c r="C511">
        <v>2.0299999999999999E-2</v>
      </c>
      <c r="D511">
        <v>1.5299999999999999E-2</v>
      </c>
      <c r="E511">
        <v>1.9913E-2</v>
      </c>
      <c r="F511">
        <v>74274659</v>
      </c>
      <c r="G511">
        <v>0</v>
      </c>
      <c r="L511" t="s">
        <v>8</v>
      </c>
      <c r="M511" t="s">
        <v>8</v>
      </c>
      <c r="N511" t="s">
        <v>8</v>
      </c>
      <c r="P511">
        <f t="shared" si="979"/>
        <v>0.84520000000000062</v>
      </c>
      <c r="Q511">
        <f t="shared" si="980"/>
        <v>62776941.786800049</v>
      </c>
      <c r="R511">
        <f t="shared" si="981"/>
        <v>82356948.033330679</v>
      </c>
      <c r="S511">
        <f t="shared" si="982"/>
        <v>823.56948033330684</v>
      </c>
      <c r="T511">
        <f t="shared" si="983"/>
        <v>0.82356948033330679</v>
      </c>
    </row>
    <row r="512" spans="1:20" x14ac:dyDescent="0.25">
      <c r="A512" s="5">
        <v>44081</v>
      </c>
      <c r="B512">
        <v>1.7600999999999999E-2</v>
      </c>
      <c r="C512">
        <v>1.8488999999999998E-2</v>
      </c>
      <c r="D512">
        <v>1.5001E-2</v>
      </c>
      <c r="E512">
        <v>1.6386999999999999E-2</v>
      </c>
      <c r="F512">
        <v>57286281</v>
      </c>
      <c r="G512">
        <v>0</v>
      </c>
      <c r="L512" t="s">
        <v>8</v>
      </c>
      <c r="M512" t="s">
        <v>8</v>
      </c>
      <c r="N512" t="s">
        <v>8</v>
      </c>
      <c r="P512">
        <f t="shared" si="979"/>
        <v>-0.20527522935779868</v>
      </c>
      <c r="Q512">
        <f t="shared" si="980"/>
        <v>-11759454.471330306</v>
      </c>
      <c r="R512">
        <f t="shared" si="981"/>
        <v>19580006.246530622</v>
      </c>
      <c r="S512">
        <f t="shared" si="982"/>
        <v>195.80006246530621</v>
      </c>
      <c r="T512">
        <f t="shared" si="983"/>
        <v>0.19580006246530621</v>
      </c>
    </row>
    <row r="513" spans="1:20" x14ac:dyDescent="0.25">
      <c r="A513" s="5">
        <v>44080</v>
      </c>
      <c r="B513">
        <v>1.5886000000000001E-2</v>
      </c>
      <c r="C513">
        <v>1.8223E-2</v>
      </c>
      <c r="D513">
        <v>1.3132E-2</v>
      </c>
      <c r="E513">
        <v>1.7600000000000001E-2</v>
      </c>
      <c r="F513">
        <v>42032158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0.75525437045767096</v>
      </c>
      <c r="Q513">
        <f t="shared" si="980"/>
        <v>31744971.02926736</v>
      </c>
      <c r="R513">
        <f t="shared" si="981"/>
        <v>31339460.71786093</v>
      </c>
      <c r="S513">
        <f t="shared" si="982"/>
        <v>313.39460717860931</v>
      </c>
      <c r="T513">
        <f t="shared" si="983"/>
        <v>0.31339460717860929</v>
      </c>
    </row>
    <row r="514" spans="1:20" x14ac:dyDescent="0.25">
      <c r="A514" s="5">
        <v>44079</v>
      </c>
      <c r="B514">
        <v>2.0905E-2</v>
      </c>
      <c r="C514">
        <v>2.1507999999999999E-2</v>
      </c>
      <c r="D514">
        <v>1.4473E-2</v>
      </c>
      <c r="E514">
        <v>1.5869000000000001E-2</v>
      </c>
      <c r="F514">
        <v>33589264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-0.60312722103766836</v>
      </c>
      <c r="Q514">
        <f t="shared" si="980"/>
        <v>-20258599.453020595</v>
      </c>
      <c r="R514">
        <f t="shared" si="981"/>
        <v>-405510.31140642986</v>
      </c>
      <c r="S514">
        <f t="shared" si="982"/>
        <v>-4.0551031140642984</v>
      </c>
      <c r="T514">
        <f t="shared" si="983"/>
        <v>-4.0551031140642979E-3</v>
      </c>
    </row>
    <row r="515" spans="1:20" x14ac:dyDescent="0.25">
      <c r="A515" s="5">
        <v>44078</v>
      </c>
      <c r="B515">
        <v>2.0177E-2</v>
      </c>
      <c r="C515">
        <v>2.1822000000000001E-2</v>
      </c>
      <c r="D515">
        <v>1.84E-2</v>
      </c>
      <c r="E515">
        <v>2.0920999999999999E-2</v>
      </c>
      <c r="F515">
        <v>43833985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0.47340736411455164</v>
      </c>
      <c r="Q515">
        <f t="shared" si="980"/>
        <v>20751331.297486793</v>
      </c>
      <c r="R515">
        <f t="shared" si="981"/>
        <v>19853089.141614165</v>
      </c>
      <c r="S515">
        <f t="shared" si="982"/>
        <v>198.53089141614166</v>
      </c>
      <c r="T515">
        <f t="shared" si="983"/>
        <v>0.19853089141614166</v>
      </c>
    </row>
    <row r="516" spans="1:20" x14ac:dyDescent="0.25">
      <c r="A516" s="5">
        <v>44077</v>
      </c>
      <c r="B516">
        <v>2.6234E-2</v>
      </c>
      <c r="C516">
        <v>2.6242999999999999E-2</v>
      </c>
      <c r="D516">
        <v>1.9467999999999999E-2</v>
      </c>
      <c r="E516">
        <v>2.0015999999999999E-2</v>
      </c>
      <c r="F516">
        <v>56112843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-0.83822878228782294</v>
      </c>
      <c r="Q516">
        <f t="shared" si="980"/>
        <v>-47035400.058597788</v>
      </c>
      <c r="R516">
        <f t="shared" si="981"/>
        <v>-898242.15587262809</v>
      </c>
      <c r="S516">
        <f t="shared" si="982"/>
        <v>-8.9824215587262817</v>
      </c>
      <c r="T516">
        <f t="shared" si="983"/>
        <v>-8.9824215587262814E-3</v>
      </c>
    </row>
    <row r="517" spans="1:20" x14ac:dyDescent="0.25">
      <c r="A517" s="5">
        <v>44076</v>
      </c>
      <c r="B517">
        <v>3.0084E-2</v>
      </c>
      <c r="C517">
        <v>3.0251E-2</v>
      </c>
      <c r="D517">
        <v>2.5561E-2</v>
      </c>
      <c r="E517">
        <v>2.6221999999999999E-2</v>
      </c>
      <c r="F517">
        <v>34105550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-0.71812366737739941</v>
      </c>
      <c r="Q517">
        <f t="shared" si="980"/>
        <v>-24492002.643923264</v>
      </c>
      <c r="R517">
        <f t="shared" si="981"/>
        <v>46137157.90272516</v>
      </c>
      <c r="S517">
        <f t="shared" si="982"/>
        <v>461.37157902725158</v>
      </c>
      <c r="T517">
        <f t="shared" si="983"/>
        <v>0.46137157902725157</v>
      </c>
    </row>
    <row r="518" spans="1:20" x14ac:dyDescent="0.25">
      <c r="A518" s="5">
        <v>44075</v>
      </c>
      <c r="B518">
        <v>3.1815999999999997E-2</v>
      </c>
      <c r="C518">
        <v>3.2132000000000001E-2</v>
      </c>
      <c r="D518">
        <v>2.9142000000000001E-2</v>
      </c>
      <c r="E518">
        <v>2.9950000000000001E-2</v>
      </c>
      <c r="F518">
        <v>38288046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-0.45953177257525096</v>
      </c>
      <c r="Q518">
        <f t="shared" ref="Q518:Q581" si="985">F518*P518</f>
        <v>-17594573.646822747</v>
      </c>
      <c r="R518">
        <f t="shared" ref="R518:R581" si="986">R519+Q518</f>
        <v>70629160.546648428</v>
      </c>
      <c r="S518">
        <f t="shared" ref="S518:S581" si="987">R518/100000</f>
        <v>706.29160546648427</v>
      </c>
      <c r="T518">
        <f t="shared" ref="T518:T581" si="988">S518/1000</f>
        <v>0.70629160546648428</v>
      </c>
    </row>
    <row r="519" spans="1:20" x14ac:dyDescent="0.25">
      <c r="A519" s="5">
        <v>44074</v>
      </c>
      <c r="B519">
        <v>2.9964000000000001E-2</v>
      </c>
      <c r="C519">
        <v>3.2000000000000001E-2</v>
      </c>
      <c r="D519">
        <v>2.8178999999999999E-2</v>
      </c>
      <c r="E519">
        <v>3.1816999999999998E-2</v>
      </c>
      <c r="F519">
        <v>46407605</v>
      </c>
      <c r="G519">
        <v>0</v>
      </c>
      <c r="L519" t="s">
        <v>7</v>
      </c>
      <c r="M519" t="s">
        <v>8</v>
      </c>
      <c r="N519" t="s">
        <v>8</v>
      </c>
      <c r="P519">
        <f t="shared" si="984"/>
        <v>0.90421355666055869</v>
      </c>
      <c r="Q519">
        <f t="shared" si="985"/>
        <v>41962385.573148325</v>
      </c>
      <c r="R519">
        <f t="shared" si="986"/>
        <v>88223734.193471178</v>
      </c>
      <c r="S519">
        <f t="shared" si="987"/>
        <v>882.23734193471182</v>
      </c>
      <c r="T519">
        <f t="shared" si="988"/>
        <v>0.88223734193471182</v>
      </c>
    </row>
    <row r="520" spans="1:20" x14ac:dyDescent="0.25">
      <c r="A520" s="5">
        <v>44073</v>
      </c>
      <c r="B520">
        <v>3.0924E-2</v>
      </c>
      <c r="C520">
        <v>3.1102000000000001E-2</v>
      </c>
      <c r="D520">
        <v>2.9014000000000002E-2</v>
      </c>
      <c r="E520">
        <v>2.9937999999999999E-2</v>
      </c>
      <c r="F520">
        <v>27191639</v>
      </c>
      <c r="G520">
        <v>0</v>
      </c>
      <c r="L520" t="s">
        <v>7</v>
      </c>
      <c r="M520" t="s">
        <v>8</v>
      </c>
      <c r="N520" t="s">
        <v>8</v>
      </c>
      <c r="P520">
        <f t="shared" si="984"/>
        <v>-0.11494252873563417</v>
      </c>
      <c r="Q520">
        <f t="shared" si="985"/>
        <v>-3125475.7471264908</v>
      </c>
      <c r="R520">
        <f t="shared" si="986"/>
        <v>46261348.620322853</v>
      </c>
      <c r="S520">
        <f t="shared" si="987"/>
        <v>462.61348620322855</v>
      </c>
      <c r="T520">
        <f t="shared" si="988"/>
        <v>0.46261348620322856</v>
      </c>
    </row>
    <row r="521" spans="1:20" x14ac:dyDescent="0.25">
      <c r="A521" s="5">
        <v>44072</v>
      </c>
      <c r="B521">
        <v>2.7869000000000001E-2</v>
      </c>
      <c r="C521">
        <v>3.1681000000000001E-2</v>
      </c>
      <c r="D521">
        <v>2.7699000000000001E-2</v>
      </c>
      <c r="E521">
        <v>3.1099000000000002E-2</v>
      </c>
      <c r="F521">
        <v>35976063</v>
      </c>
      <c r="G521">
        <v>0</v>
      </c>
      <c r="L521" t="s">
        <v>8</v>
      </c>
      <c r="M521" t="s">
        <v>8</v>
      </c>
      <c r="N521" t="s">
        <v>8</v>
      </c>
      <c r="P521">
        <f t="shared" si="984"/>
        <v>0.70768458061275774</v>
      </c>
      <c r="Q521">
        <f t="shared" si="985"/>
        <v>25459705.05625315</v>
      </c>
      <c r="R521">
        <f t="shared" si="986"/>
        <v>49386824.367449343</v>
      </c>
      <c r="S521">
        <f t="shared" si="987"/>
        <v>493.86824367449344</v>
      </c>
      <c r="T521">
        <f t="shared" si="988"/>
        <v>0.49386824367449345</v>
      </c>
    </row>
    <row r="522" spans="1:20" x14ac:dyDescent="0.25">
      <c r="A522" s="5">
        <v>44071</v>
      </c>
      <c r="B522">
        <v>2.8448000000000001E-2</v>
      </c>
      <c r="C522">
        <v>2.8459000000000002E-2</v>
      </c>
      <c r="D522">
        <v>2.6887999999999999E-2</v>
      </c>
      <c r="E522">
        <v>2.7872000000000001E-2</v>
      </c>
      <c r="F522">
        <v>28848690</v>
      </c>
      <c r="G522">
        <v>0</v>
      </c>
      <c r="L522" t="s">
        <v>8</v>
      </c>
      <c r="M522" t="s">
        <v>7</v>
      </c>
      <c r="N522" t="s">
        <v>8</v>
      </c>
      <c r="P522">
        <f t="shared" si="984"/>
        <v>0.25270528325907116</v>
      </c>
      <c r="Q522">
        <f t="shared" si="985"/>
        <v>7290216.3781031333</v>
      </c>
      <c r="R522">
        <f t="shared" si="986"/>
        <v>23927119.311196197</v>
      </c>
      <c r="S522">
        <f t="shared" si="987"/>
        <v>239.27119311196196</v>
      </c>
      <c r="T522">
        <f t="shared" si="988"/>
        <v>0.23927119311196196</v>
      </c>
    </row>
    <row r="523" spans="1:20" x14ac:dyDescent="0.25">
      <c r="A523" s="5">
        <v>44070</v>
      </c>
      <c r="B523">
        <v>3.3481999999999998E-2</v>
      </c>
      <c r="C523">
        <v>3.3481999999999998E-2</v>
      </c>
      <c r="D523">
        <v>2.6055999999999999E-2</v>
      </c>
      <c r="E523">
        <v>2.8454E-2</v>
      </c>
      <c r="F523">
        <v>75722641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-0.35416105575006701</v>
      </c>
      <c r="Q523">
        <f t="shared" si="985"/>
        <v>-26818010.480743311</v>
      </c>
      <c r="R523">
        <f t="shared" si="986"/>
        <v>16636902.933093064</v>
      </c>
      <c r="S523">
        <f t="shared" si="987"/>
        <v>166.36902933093063</v>
      </c>
      <c r="T523">
        <f t="shared" si="988"/>
        <v>0.16636902933093062</v>
      </c>
    </row>
    <row r="524" spans="1:20" x14ac:dyDescent="0.25">
      <c r="A524" s="5">
        <v>44069</v>
      </c>
      <c r="B524">
        <v>2.7019999999999999E-2</v>
      </c>
      <c r="C524">
        <v>3.5227000000000001E-2</v>
      </c>
      <c r="D524">
        <v>2.6737E-2</v>
      </c>
      <c r="E524">
        <v>3.3298000000000001E-2</v>
      </c>
      <c r="F524">
        <v>200780767</v>
      </c>
      <c r="G524">
        <v>0</v>
      </c>
      <c r="L524" t="s">
        <v>8</v>
      </c>
      <c r="M524" t="s">
        <v>8</v>
      </c>
      <c r="N524" t="s">
        <v>8</v>
      </c>
      <c r="P524">
        <f t="shared" si="984"/>
        <v>0.54558303886925796</v>
      </c>
      <c r="Q524">
        <f t="shared" si="985"/>
        <v>109542581.00636043</v>
      </c>
      <c r="R524">
        <f t="shared" si="986"/>
        <v>43454913.413836375</v>
      </c>
      <c r="S524">
        <f t="shared" si="987"/>
        <v>434.54913413836374</v>
      </c>
      <c r="T524">
        <f t="shared" si="988"/>
        <v>0.43454913413836371</v>
      </c>
    </row>
    <row r="525" spans="1:20" x14ac:dyDescent="0.25">
      <c r="A525" s="5">
        <v>44068</v>
      </c>
      <c r="B525">
        <v>2.6200000000000001E-2</v>
      </c>
      <c r="C525">
        <v>2.8403999999999999E-2</v>
      </c>
      <c r="D525">
        <v>2.5167999999999999E-2</v>
      </c>
      <c r="E525">
        <v>2.7094E-2</v>
      </c>
      <c r="F525">
        <v>68480208</v>
      </c>
      <c r="G525">
        <v>0</v>
      </c>
      <c r="L525" t="s">
        <v>8</v>
      </c>
      <c r="M525" t="s">
        <v>8</v>
      </c>
      <c r="N525" t="s">
        <v>8</v>
      </c>
      <c r="P525">
        <f t="shared" si="984"/>
        <v>0.19035846724351116</v>
      </c>
      <c r="Q525">
        <f t="shared" si="985"/>
        <v>13035787.431396831</v>
      </c>
      <c r="R525">
        <f t="shared" si="986"/>
        <v>-66087667.592524052</v>
      </c>
      <c r="S525">
        <f t="shared" si="987"/>
        <v>-660.87667592524053</v>
      </c>
      <c r="T525">
        <f t="shared" si="988"/>
        <v>-0.66087667592524058</v>
      </c>
    </row>
    <row r="526" spans="1:20" x14ac:dyDescent="0.25">
      <c r="A526" s="5">
        <v>44067</v>
      </c>
      <c r="B526">
        <v>2.4922E-2</v>
      </c>
      <c r="C526">
        <v>2.6499999999999999E-2</v>
      </c>
      <c r="D526">
        <v>2.4274E-2</v>
      </c>
      <c r="E526">
        <v>2.6200000000000001E-2</v>
      </c>
      <c r="F526">
        <v>24234583</v>
      </c>
      <c r="G526">
        <v>0</v>
      </c>
      <c r="L526" t="s">
        <v>8</v>
      </c>
      <c r="M526" t="s">
        <v>7</v>
      </c>
      <c r="N526" t="s">
        <v>8</v>
      </c>
      <c r="P526">
        <f t="shared" si="984"/>
        <v>0.73045822102426028</v>
      </c>
      <c r="Q526">
        <f t="shared" si="985"/>
        <v>17702350.385444779</v>
      </c>
      <c r="R526">
        <f t="shared" si="986"/>
        <v>-79123455.023920879</v>
      </c>
      <c r="S526">
        <f t="shared" si="987"/>
        <v>-791.23455023920883</v>
      </c>
      <c r="T526">
        <f t="shared" si="988"/>
        <v>-0.79123455023920886</v>
      </c>
    </row>
    <row r="527" spans="1:20" x14ac:dyDescent="0.25">
      <c r="A527" s="5">
        <v>44066</v>
      </c>
      <c r="B527">
        <v>2.5104999999999999E-2</v>
      </c>
      <c r="C527">
        <v>2.5284000000000001E-2</v>
      </c>
      <c r="D527">
        <v>2.4139000000000001E-2</v>
      </c>
      <c r="E527">
        <v>2.4920999999999999E-2</v>
      </c>
      <c r="F527">
        <v>13581872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0.3659388646288172</v>
      </c>
      <c r="Q527">
        <f t="shared" si="985"/>
        <v>4970134.8192139231</v>
      </c>
      <c r="R527">
        <f t="shared" si="986"/>
        <v>-96825805.409365654</v>
      </c>
      <c r="S527">
        <f t="shared" si="987"/>
        <v>-968.2580540936566</v>
      </c>
      <c r="T527">
        <f t="shared" si="988"/>
        <v>-0.96825805409365662</v>
      </c>
    </row>
    <row r="528" spans="1:20" x14ac:dyDescent="0.25">
      <c r="A528" s="5">
        <v>44065</v>
      </c>
      <c r="B528">
        <v>2.4545000000000001E-2</v>
      </c>
      <c r="C528">
        <v>2.5440999999999998E-2</v>
      </c>
      <c r="D528">
        <v>2.2308999999999999E-2</v>
      </c>
      <c r="E528">
        <v>2.5104999999999999E-2</v>
      </c>
      <c r="F528">
        <v>38559830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0.78544061302682022</v>
      </c>
      <c r="Q528">
        <f t="shared" si="985"/>
        <v>30286456.513409972</v>
      </c>
      <c r="R528">
        <f t="shared" si="986"/>
        <v>-101795940.22857958</v>
      </c>
      <c r="S528">
        <f t="shared" si="987"/>
        <v>-1017.9594022857958</v>
      </c>
      <c r="T528">
        <f t="shared" si="988"/>
        <v>-1.0179594022857958</v>
      </c>
    </row>
    <row r="529" spans="1:20" x14ac:dyDescent="0.25">
      <c r="A529" s="5">
        <v>44064</v>
      </c>
      <c r="B529">
        <v>2.9072000000000001E-2</v>
      </c>
      <c r="C529">
        <v>2.9086000000000001E-2</v>
      </c>
      <c r="D529">
        <v>2.4353E-2</v>
      </c>
      <c r="E529">
        <v>2.4555E-2</v>
      </c>
      <c r="F529">
        <v>54234043</v>
      </c>
      <c r="G529">
        <v>0</v>
      </c>
      <c r="L529" t="s">
        <v>7</v>
      </c>
      <c r="M529" t="s">
        <v>7</v>
      </c>
      <c r="N529" t="s">
        <v>8</v>
      </c>
      <c r="P529">
        <f t="shared" si="984"/>
        <v>-0.91464187618846371</v>
      </c>
      <c r="Q529">
        <f t="shared" si="985"/>
        <v>-49604726.842805818</v>
      </c>
      <c r="R529">
        <f t="shared" si="986"/>
        <v>-132082396.74198955</v>
      </c>
      <c r="S529">
        <f t="shared" si="987"/>
        <v>-1320.8239674198956</v>
      </c>
      <c r="T529">
        <f t="shared" si="988"/>
        <v>-1.3208239674198956</v>
      </c>
    </row>
    <row r="530" spans="1:20" x14ac:dyDescent="0.25">
      <c r="A530" s="5">
        <v>44063</v>
      </c>
      <c r="B530">
        <v>2.5391E-2</v>
      </c>
      <c r="C530">
        <v>3.0717000000000001E-2</v>
      </c>
      <c r="D530">
        <v>2.4802000000000001E-2</v>
      </c>
      <c r="E530">
        <v>2.9093000000000001E-2</v>
      </c>
      <c r="F530">
        <v>84600993</v>
      </c>
      <c r="G530">
        <v>0</v>
      </c>
      <c r="L530" t="s">
        <v>8</v>
      </c>
      <c r="M530" t="s">
        <v>8</v>
      </c>
      <c r="N530" t="s">
        <v>8</v>
      </c>
      <c r="P530">
        <f t="shared" si="984"/>
        <v>0.45088757396449691</v>
      </c>
      <c r="Q530">
        <f t="shared" si="985"/>
        <v>38145536.488757387</v>
      </c>
      <c r="R530">
        <f t="shared" si="986"/>
        <v>-82477669.899183735</v>
      </c>
      <c r="S530">
        <f t="shared" si="987"/>
        <v>-824.77669899183741</v>
      </c>
      <c r="T530">
        <f t="shared" si="988"/>
        <v>-0.82477669899183736</v>
      </c>
    </row>
    <row r="531" spans="1:20" x14ac:dyDescent="0.25">
      <c r="A531" s="5">
        <v>44062</v>
      </c>
      <c r="B531">
        <v>2.4292999999999999E-2</v>
      </c>
      <c r="C531">
        <v>2.6752000000000001E-2</v>
      </c>
      <c r="D531">
        <v>2.2776999999999999E-2</v>
      </c>
      <c r="E531">
        <v>2.5255E-2</v>
      </c>
      <c r="F531">
        <v>53399933</v>
      </c>
      <c r="G531">
        <v>0</v>
      </c>
      <c r="L531" t="s">
        <v>8</v>
      </c>
      <c r="M531" t="s">
        <v>8</v>
      </c>
      <c r="N531" t="s">
        <v>8</v>
      </c>
      <c r="P531">
        <f t="shared" si="984"/>
        <v>0.2467924528301883</v>
      </c>
      <c r="Q531">
        <f t="shared" si="985"/>
        <v>13178700.446037715</v>
      </c>
      <c r="R531">
        <f t="shared" si="986"/>
        <v>-120623206.38794112</v>
      </c>
      <c r="S531">
        <f t="shared" si="987"/>
        <v>-1206.2320638794113</v>
      </c>
      <c r="T531">
        <f t="shared" si="988"/>
        <v>-1.2062320638794113</v>
      </c>
    </row>
    <row r="532" spans="1:20" x14ac:dyDescent="0.25">
      <c r="A532" s="5">
        <v>44061</v>
      </c>
      <c r="B532">
        <v>2.4833999999999998E-2</v>
      </c>
      <c r="C532">
        <v>2.5985999999999999E-2</v>
      </c>
      <c r="D532">
        <v>2.3911999999999999E-2</v>
      </c>
      <c r="E532">
        <v>2.4303999999999999E-2</v>
      </c>
      <c r="F532">
        <v>39833814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-0.6219864995178398</v>
      </c>
      <c r="Q532">
        <f t="shared" si="985"/>
        <v>-24776094.532304719</v>
      </c>
      <c r="R532">
        <f t="shared" si="986"/>
        <v>-133801906.83397883</v>
      </c>
      <c r="S532">
        <f t="shared" si="987"/>
        <v>-1338.0190683397884</v>
      </c>
      <c r="T532">
        <f t="shared" si="988"/>
        <v>-1.3380190683397883</v>
      </c>
    </row>
    <row r="533" spans="1:20" x14ac:dyDescent="0.25">
      <c r="A533" s="5">
        <v>44060</v>
      </c>
      <c r="B533">
        <v>2.4899000000000001E-2</v>
      </c>
      <c r="C533">
        <v>2.5616E-2</v>
      </c>
      <c r="D533">
        <v>2.3E-2</v>
      </c>
      <c r="E533">
        <v>2.4833000000000001E-2</v>
      </c>
      <c r="F533">
        <v>37696064</v>
      </c>
      <c r="G533">
        <v>0</v>
      </c>
      <c r="L533" t="s">
        <v>7</v>
      </c>
      <c r="M533" t="s">
        <v>8</v>
      </c>
      <c r="N533" t="s">
        <v>8</v>
      </c>
      <c r="P533">
        <f t="shared" si="984"/>
        <v>0.40137614678899169</v>
      </c>
      <c r="Q533">
        <f t="shared" si="985"/>
        <v>15130300.917431226</v>
      </c>
      <c r="R533">
        <f t="shared" si="986"/>
        <v>-109025812.30167411</v>
      </c>
      <c r="S533">
        <f t="shared" si="987"/>
        <v>-1090.2581230167411</v>
      </c>
      <c r="T533">
        <f t="shared" si="988"/>
        <v>-1.0902581230167412</v>
      </c>
    </row>
    <row r="534" spans="1:20" x14ac:dyDescent="0.25">
      <c r="A534" s="5">
        <v>44059</v>
      </c>
      <c r="B534">
        <v>2.4611999999999998E-2</v>
      </c>
      <c r="C534">
        <v>2.5670999999999999E-2</v>
      </c>
      <c r="D534">
        <v>2.41E-2</v>
      </c>
      <c r="E534">
        <v>2.4899000000000001E-2</v>
      </c>
      <c r="F534">
        <v>20932625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1.7186505410568254E-2</v>
      </c>
      <c r="Q534">
        <f t="shared" si="985"/>
        <v>359758.67281989631</v>
      </c>
      <c r="R534">
        <f t="shared" si="986"/>
        <v>-124156113.21910533</v>
      </c>
      <c r="S534">
        <f t="shared" si="987"/>
        <v>-1241.5611321910533</v>
      </c>
      <c r="T534">
        <f t="shared" si="988"/>
        <v>-1.2415611321910534</v>
      </c>
    </row>
    <row r="535" spans="1:20" x14ac:dyDescent="0.25">
      <c r="A535" s="5">
        <v>44058</v>
      </c>
      <c r="B535">
        <v>2.5191999999999999E-2</v>
      </c>
      <c r="C535">
        <v>2.5617999999999998E-2</v>
      </c>
      <c r="D535">
        <v>2.41E-2</v>
      </c>
      <c r="E535">
        <v>2.4611999999999998E-2</v>
      </c>
      <c r="F535">
        <v>27027814</v>
      </c>
      <c r="G535">
        <v>0</v>
      </c>
      <c r="L535" t="s">
        <v>7</v>
      </c>
      <c r="M535" t="s">
        <v>8</v>
      </c>
      <c r="N535" t="s">
        <v>8</v>
      </c>
      <c r="P535">
        <f t="shared" si="984"/>
        <v>-0.32542819499341363</v>
      </c>
      <c r="Q535">
        <f t="shared" si="985"/>
        <v>-8795612.7246377151</v>
      </c>
      <c r="R535">
        <f t="shared" si="986"/>
        <v>-124515871.89192523</v>
      </c>
      <c r="S535">
        <f t="shared" si="987"/>
        <v>-1245.1587189192524</v>
      </c>
      <c r="T535">
        <f t="shared" si="988"/>
        <v>-1.2451587189192523</v>
      </c>
    </row>
    <row r="536" spans="1:20" x14ac:dyDescent="0.25">
      <c r="A536" s="5">
        <v>44057</v>
      </c>
      <c r="B536">
        <v>2.4087000000000001E-2</v>
      </c>
      <c r="C536">
        <v>2.6884999999999999E-2</v>
      </c>
      <c r="D536">
        <v>2.4003E-2</v>
      </c>
      <c r="E536">
        <v>2.5274000000000001E-2</v>
      </c>
      <c r="F536">
        <v>45075976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-0.11797362942400995</v>
      </c>
      <c r="Q536">
        <f t="shared" si="985"/>
        <v>-5317776.4885495659</v>
      </c>
      <c r="R536">
        <f t="shared" si="986"/>
        <v>-115720259.16728751</v>
      </c>
      <c r="S536">
        <f t="shared" si="987"/>
        <v>-1157.2025916728751</v>
      </c>
      <c r="T536">
        <f t="shared" si="988"/>
        <v>-1.157202591672875</v>
      </c>
    </row>
    <row r="537" spans="1:20" x14ac:dyDescent="0.25">
      <c r="A537" s="5">
        <v>44056</v>
      </c>
      <c r="B537">
        <v>2.4294E-2</v>
      </c>
      <c r="C537">
        <v>2.5198999999999999E-2</v>
      </c>
      <c r="D537">
        <v>2.1610000000000001E-2</v>
      </c>
      <c r="E537">
        <v>2.4087000000000001E-2</v>
      </c>
      <c r="F537">
        <v>56437345</v>
      </c>
      <c r="G537">
        <v>0</v>
      </c>
      <c r="L537" t="s">
        <v>7</v>
      </c>
      <c r="M537" t="s">
        <v>7</v>
      </c>
      <c r="N537" t="s">
        <v>8</v>
      </c>
      <c r="P537">
        <f t="shared" si="984"/>
        <v>0.38032878239063866</v>
      </c>
      <c r="Q537">
        <f t="shared" si="985"/>
        <v>21464746.705210399</v>
      </c>
      <c r="R537">
        <f t="shared" si="986"/>
        <v>-110402482.67873795</v>
      </c>
      <c r="S537">
        <f t="shared" si="987"/>
        <v>-1104.0248267873794</v>
      </c>
      <c r="T537">
        <f t="shared" si="988"/>
        <v>-1.1040248267873793</v>
      </c>
    </row>
    <row r="538" spans="1:20" x14ac:dyDescent="0.25">
      <c r="A538" s="5">
        <v>44055</v>
      </c>
      <c r="B538">
        <v>2.4771999999999999E-2</v>
      </c>
      <c r="C538">
        <v>2.5491E-2</v>
      </c>
      <c r="D538">
        <v>2.2693000000000001E-2</v>
      </c>
      <c r="E538">
        <v>2.4294E-2</v>
      </c>
      <c r="F538">
        <v>50461243</v>
      </c>
      <c r="G538">
        <v>0</v>
      </c>
      <c r="L538" t="s">
        <v>8</v>
      </c>
      <c r="M538" t="s">
        <v>7</v>
      </c>
      <c r="N538" t="s">
        <v>8</v>
      </c>
      <c r="P538">
        <f t="shared" si="984"/>
        <v>0.14438884917798367</v>
      </c>
      <c r="Q538">
        <f t="shared" si="985"/>
        <v>7286040.8048605844</v>
      </c>
      <c r="R538">
        <f t="shared" si="986"/>
        <v>-131867229.38394836</v>
      </c>
      <c r="S538">
        <f t="shared" si="987"/>
        <v>-1318.6722938394835</v>
      </c>
      <c r="T538">
        <f t="shared" si="988"/>
        <v>-1.3186722938394835</v>
      </c>
    </row>
    <row r="539" spans="1:20" x14ac:dyDescent="0.25">
      <c r="A539" s="5">
        <v>44054</v>
      </c>
      <c r="B539">
        <v>2.7817999999999999E-2</v>
      </c>
      <c r="C539">
        <v>2.7937E-2</v>
      </c>
      <c r="D539">
        <v>2.2512999999999998E-2</v>
      </c>
      <c r="E539">
        <v>2.4611000000000001E-2</v>
      </c>
      <c r="F539">
        <v>77187739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-0.22640117994100223</v>
      </c>
      <c r="Q539">
        <f t="shared" si="985"/>
        <v>-17475395.186578114</v>
      </c>
      <c r="R539">
        <f t="shared" si="986"/>
        <v>-139153270.18880895</v>
      </c>
      <c r="S539">
        <f t="shared" si="987"/>
        <v>-1391.5327018880894</v>
      </c>
      <c r="T539">
        <f t="shared" si="988"/>
        <v>-1.3915327018880894</v>
      </c>
    </row>
    <row r="540" spans="1:20" x14ac:dyDescent="0.25">
      <c r="A540" s="5">
        <v>44053</v>
      </c>
      <c r="B540">
        <v>2.3185999999999998E-2</v>
      </c>
      <c r="C540">
        <v>2.8000000000000001E-2</v>
      </c>
      <c r="D540">
        <v>2.2454999999999999E-2</v>
      </c>
      <c r="E540">
        <v>2.7819E-2</v>
      </c>
      <c r="F540">
        <v>123091948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0.93471596032461657</v>
      </c>
      <c r="Q540">
        <f t="shared" si="985"/>
        <v>115056008.38304776</v>
      </c>
      <c r="R540">
        <f t="shared" si="986"/>
        <v>-121677875.00223082</v>
      </c>
      <c r="S540">
        <f t="shared" si="987"/>
        <v>-1216.7787500223083</v>
      </c>
      <c r="T540">
        <f t="shared" si="988"/>
        <v>-1.2167787500223082</v>
      </c>
    </row>
    <row r="541" spans="1:20" x14ac:dyDescent="0.25">
      <c r="A541" s="5">
        <v>44052</v>
      </c>
      <c r="B541">
        <v>2.1918E-2</v>
      </c>
      <c r="C541">
        <v>2.4811E-2</v>
      </c>
      <c r="D541">
        <v>2.1162E-2</v>
      </c>
      <c r="E541">
        <v>2.3185999999999998E-2</v>
      </c>
      <c r="F541">
        <v>90043571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0.10934502603452909</v>
      </c>
      <c r="Q541">
        <f t="shared" si="985"/>
        <v>9845816.6152369678</v>
      </c>
      <c r="R541">
        <f t="shared" si="986"/>
        <v>-236733883.38527858</v>
      </c>
      <c r="S541">
        <f t="shared" si="987"/>
        <v>-2367.3388338527857</v>
      </c>
      <c r="T541">
        <f t="shared" si="988"/>
        <v>-2.3673388338527857</v>
      </c>
    </row>
    <row r="542" spans="1:20" x14ac:dyDescent="0.25">
      <c r="A542" s="5">
        <v>44051</v>
      </c>
      <c r="B542">
        <v>2.2821000000000001E-2</v>
      </c>
      <c r="C542">
        <v>2.2971999999999999E-2</v>
      </c>
      <c r="D542">
        <v>2.0885000000000001E-2</v>
      </c>
      <c r="E542">
        <v>2.1996000000000002E-2</v>
      </c>
      <c r="F542">
        <v>84518394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6.4686152371827149E-2</v>
      </c>
      <c r="Q542">
        <f t="shared" si="985"/>
        <v>5467169.712506122</v>
      </c>
      <c r="R542">
        <f t="shared" si="986"/>
        <v>-246579700.00051555</v>
      </c>
      <c r="S542">
        <f t="shared" si="987"/>
        <v>-2465.7970000051555</v>
      </c>
      <c r="T542">
        <f t="shared" si="988"/>
        <v>-2.4657970000051557</v>
      </c>
    </row>
    <row r="543" spans="1:20" x14ac:dyDescent="0.25">
      <c r="A543" s="5">
        <v>44050</v>
      </c>
      <c r="B543">
        <v>2.0681999999999999E-2</v>
      </c>
      <c r="C543">
        <v>2.3E-2</v>
      </c>
      <c r="D543">
        <v>1.9599999999999999E-2</v>
      </c>
      <c r="E543">
        <v>2.2869E-2</v>
      </c>
      <c r="F543">
        <v>136566581</v>
      </c>
      <c r="G543">
        <v>0</v>
      </c>
      <c r="L543" t="s">
        <v>7</v>
      </c>
      <c r="M543" t="s">
        <v>8</v>
      </c>
      <c r="N543" t="s">
        <v>8</v>
      </c>
      <c r="P543">
        <f t="shared" si="984"/>
        <v>0.92294117647058871</v>
      </c>
      <c r="Q543">
        <f t="shared" si="985"/>
        <v>126042920.93470594</v>
      </c>
      <c r="R543">
        <f t="shared" si="986"/>
        <v>-252046869.71302167</v>
      </c>
      <c r="S543">
        <f t="shared" si="987"/>
        <v>-2520.4686971302167</v>
      </c>
      <c r="T543">
        <f t="shared" si="988"/>
        <v>-2.5204686971302168</v>
      </c>
    </row>
    <row r="544" spans="1:20" x14ac:dyDescent="0.25">
      <c r="A544" s="5">
        <v>44049</v>
      </c>
      <c r="B544">
        <v>1.848E-2</v>
      </c>
      <c r="C544">
        <v>2.3251999999999998E-2</v>
      </c>
      <c r="D544">
        <v>1.7586000000000001E-2</v>
      </c>
      <c r="E544">
        <v>2.0573000000000001E-2</v>
      </c>
      <c r="F544">
        <v>109524848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5.435933639251727E-2</v>
      </c>
      <c r="Q544">
        <f t="shared" si="985"/>
        <v>5953698.055771322</v>
      </c>
      <c r="R544">
        <f t="shared" si="986"/>
        <v>-378089790.64772761</v>
      </c>
      <c r="S544">
        <f t="shared" si="987"/>
        <v>-3780.8979064772761</v>
      </c>
      <c r="T544">
        <f t="shared" si="988"/>
        <v>-3.7808979064772763</v>
      </c>
    </row>
    <row r="545" spans="1:20" x14ac:dyDescent="0.25">
      <c r="A545" s="5">
        <v>44048</v>
      </c>
      <c r="B545">
        <v>1.6899999999999998E-2</v>
      </c>
      <c r="C545">
        <v>1.8953999999999999E-2</v>
      </c>
      <c r="D545">
        <v>1.6337000000000001E-2</v>
      </c>
      <c r="E545">
        <v>1.8380000000000001E-2</v>
      </c>
      <c r="F545">
        <v>119453390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0.56132976690867509</v>
      </c>
      <c r="Q545">
        <f t="shared" si="985"/>
        <v>67052743.565151058</v>
      </c>
      <c r="R545">
        <f t="shared" si="986"/>
        <v>-384043488.70349896</v>
      </c>
      <c r="S545">
        <f t="shared" si="987"/>
        <v>-3840.4348870349895</v>
      </c>
      <c r="T545">
        <f t="shared" si="988"/>
        <v>-3.8404348870349896</v>
      </c>
    </row>
    <row r="546" spans="1:20" x14ac:dyDescent="0.25">
      <c r="A546" s="5">
        <v>44047</v>
      </c>
      <c r="B546">
        <v>1.4841999999999999E-2</v>
      </c>
      <c r="C546">
        <v>1.7565999999999998E-2</v>
      </c>
      <c r="D546">
        <v>1.4671E-2</v>
      </c>
      <c r="E546">
        <v>1.6955000000000001E-2</v>
      </c>
      <c r="F546">
        <v>80354292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0.57789291882556315</v>
      </c>
      <c r="Q546">
        <f t="shared" si="985"/>
        <v>46436176.344041601</v>
      </c>
      <c r="R546">
        <f t="shared" si="986"/>
        <v>-451096232.26865</v>
      </c>
      <c r="S546">
        <f t="shared" si="987"/>
        <v>-4510.9623226864996</v>
      </c>
      <c r="T546">
        <f t="shared" si="988"/>
        <v>-4.5109623226864999</v>
      </c>
    </row>
    <row r="547" spans="1:20" x14ac:dyDescent="0.25">
      <c r="A547" s="5">
        <v>44046</v>
      </c>
      <c r="B547">
        <v>1.4994E-2</v>
      </c>
      <c r="C547">
        <v>1.5873999999999999E-2</v>
      </c>
      <c r="D547">
        <v>1.4531000000000001E-2</v>
      </c>
      <c r="E547">
        <v>1.4808E-2</v>
      </c>
      <c r="F547">
        <v>37469484</v>
      </c>
      <c r="G547">
        <v>0</v>
      </c>
      <c r="L547" t="s">
        <v>8</v>
      </c>
      <c r="M547" t="s">
        <v>8</v>
      </c>
      <c r="N547" t="s">
        <v>8</v>
      </c>
      <c r="P547">
        <f t="shared" si="984"/>
        <v>-0.5874906924795239</v>
      </c>
      <c r="Q547">
        <f t="shared" si="985"/>
        <v>-22012973.10201044</v>
      </c>
      <c r="R547">
        <f t="shared" si="986"/>
        <v>-497532408.61269158</v>
      </c>
      <c r="S547">
        <f t="shared" si="987"/>
        <v>-4975.324086126916</v>
      </c>
      <c r="T547">
        <f t="shared" si="988"/>
        <v>-4.9753240861269159</v>
      </c>
    </row>
    <row r="548" spans="1:20" x14ac:dyDescent="0.25">
      <c r="A548" s="5">
        <v>44045</v>
      </c>
      <c r="B548">
        <v>1.4576E-2</v>
      </c>
      <c r="C548">
        <v>1.5041000000000001E-2</v>
      </c>
      <c r="D548">
        <v>1.295E-2</v>
      </c>
      <c r="E548">
        <v>1.4931E-2</v>
      </c>
      <c r="F548">
        <v>40491060</v>
      </c>
      <c r="G548">
        <v>0</v>
      </c>
      <c r="L548" t="s">
        <v>7</v>
      </c>
      <c r="M548" t="s">
        <v>7</v>
      </c>
      <c r="N548" t="s">
        <v>8</v>
      </c>
      <c r="P548">
        <f t="shared" si="984"/>
        <v>0.89478718316594863</v>
      </c>
      <c r="Q548">
        <f t="shared" si="985"/>
        <v>36230881.520803414</v>
      </c>
      <c r="R548">
        <f t="shared" si="986"/>
        <v>-475519435.51068115</v>
      </c>
      <c r="S548">
        <f t="shared" si="987"/>
        <v>-4755.1943551068116</v>
      </c>
      <c r="T548">
        <f t="shared" si="988"/>
        <v>-4.7551943551068119</v>
      </c>
    </row>
    <row r="549" spans="1:20" x14ac:dyDescent="0.25">
      <c r="A549" s="5">
        <v>44044</v>
      </c>
      <c r="B549">
        <v>1.4812000000000001E-2</v>
      </c>
      <c r="C549">
        <v>1.5299999999999999E-2</v>
      </c>
      <c r="D549">
        <v>1.4272999999999999E-2</v>
      </c>
      <c r="E549">
        <v>1.4607E-2</v>
      </c>
      <c r="F549">
        <v>48633150</v>
      </c>
      <c r="G549">
        <v>0</v>
      </c>
      <c r="L549" t="s">
        <v>7</v>
      </c>
      <c r="M549" t="s">
        <v>7</v>
      </c>
      <c r="N549" t="s">
        <v>8</v>
      </c>
      <c r="P549">
        <f t="shared" si="984"/>
        <v>-0.34956183057448703</v>
      </c>
      <c r="Q549">
        <f t="shared" si="985"/>
        <v>-17000292.940603614</v>
      </c>
      <c r="R549">
        <f t="shared" si="986"/>
        <v>-511750317.03148454</v>
      </c>
      <c r="S549">
        <f t="shared" si="987"/>
        <v>-5117.5031703148452</v>
      </c>
      <c r="T549">
        <f t="shared" si="988"/>
        <v>-5.117503170314845</v>
      </c>
    </row>
    <row r="550" spans="1:20" x14ac:dyDescent="0.25">
      <c r="A550" s="5">
        <v>44043</v>
      </c>
      <c r="B550">
        <v>1.6199999999999999E-2</v>
      </c>
      <c r="C550">
        <v>1.6199999999999999E-2</v>
      </c>
      <c r="D550">
        <v>1.4425E-2</v>
      </c>
      <c r="E550">
        <v>1.4832E-2</v>
      </c>
      <c r="F550">
        <v>52126116</v>
      </c>
      <c r="G550">
        <v>0</v>
      </c>
      <c r="L550" t="s">
        <v>7</v>
      </c>
      <c r="M550" t="s">
        <v>8</v>
      </c>
      <c r="N550" t="s">
        <v>8</v>
      </c>
      <c r="P550">
        <f t="shared" si="984"/>
        <v>-0.54140845070422572</v>
      </c>
      <c r="Q550">
        <f t="shared" si="985"/>
        <v>-28221519.704788752</v>
      </c>
      <c r="R550">
        <f t="shared" si="986"/>
        <v>-494750024.09088093</v>
      </c>
      <c r="S550">
        <f t="shared" si="987"/>
        <v>-4947.5002409088092</v>
      </c>
      <c r="T550">
        <f t="shared" si="988"/>
        <v>-4.9475002409088091</v>
      </c>
    </row>
    <row r="551" spans="1:20" x14ac:dyDescent="0.25">
      <c r="A551" s="5">
        <v>44042</v>
      </c>
      <c r="B551">
        <v>1.5899E-2</v>
      </c>
      <c r="C551">
        <v>1.7165E-2</v>
      </c>
      <c r="D551">
        <v>1.4600999999999999E-2</v>
      </c>
      <c r="E551">
        <v>1.6150000000000001E-2</v>
      </c>
      <c r="F551">
        <v>134803586</v>
      </c>
      <c r="G551">
        <v>0</v>
      </c>
      <c r="L551" t="s">
        <v>8</v>
      </c>
      <c r="M551" t="s">
        <v>8</v>
      </c>
      <c r="N551" t="s">
        <v>8</v>
      </c>
      <c r="P551">
        <f t="shared" si="984"/>
        <v>0.20826833073323056</v>
      </c>
      <c r="Q551">
        <f t="shared" si="985"/>
        <v>28075317.833073489</v>
      </c>
      <c r="R551">
        <f t="shared" si="986"/>
        <v>-466528504.38609219</v>
      </c>
      <c r="S551">
        <f t="shared" si="987"/>
        <v>-4665.2850438609221</v>
      </c>
      <c r="T551">
        <f t="shared" si="988"/>
        <v>-4.6652850438609219</v>
      </c>
    </row>
    <row r="552" spans="1:20" x14ac:dyDescent="0.25">
      <c r="A552" s="5">
        <v>44041</v>
      </c>
      <c r="B552">
        <v>1.2775E-2</v>
      </c>
      <c r="C552">
        <v>1.6219999999999998E-2</v>
      </c>
      <c r="D552">
        <v>1.2651000000000001E-2</v>
      </c>
      <c r="E552">
        <v>1.585E-2</v>
      </c>
      <c r="F552">
        <v>175060108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0.79265900812552592</v>
      </c>
      <c r="Q552">
        <f t="shared" si="985"/>
        <v>138762971.56962743</v>
      </c>
      <c r="R552">
        <f t="shared" si="986"/>
        <v>-494603822.21916568</v>
      </c>
      <c r="S552">
        <f t="shared" si="987"/>
        <v>-4946.038222191657</v>
      </c>
      <c r="T552">
        <f t="shared" si="988"/>
        <v>-4.9460382221916568</v>
      </c>
    </row>
    <row r="553" spans="1:20" x14ac:dyDescent="0.25">
      <c r="A553" s="5">
        <v>44040</v>
      </c>
      <c r="B553">
        <v>1.2042000000000001E-2</v>
      </c>
      <c r="C553">
        <v>1.3599999999999999E-2</v>
      </c>
      <c r="D553">
        <v>1.1939999999999999E-2</v>
      </c>
      <c r="E553">
        <v>1.2874999999999999E-2</v>
      </c>
      <c r="F553">
        <v>72562206</v>
      </c>
      <c r="G553">
        <v>0</v>
      </c>
      <c r="L553" t="s">
        <v>8</v>
      </c>
      <c r="M553" t="s">
        <v>8</v>
      </c>
      <c r="N553" t="s">
        <v>7</v>
      </c>
      <c r="P553">
        <f t="shared" si="984"/>
        <v>0.12650602409638562</v>
      </c>
      <c r="Q553">
        <f t="shared" si="985"/>
        <v>9179556.1807228979</v>
      </c>
      <c r="R553">
        <f t="shared" si="986"/>
        <v>-633366793.78879309</v>
      </c>
      <c r="S553">
        <f t="shared" si="987"/>
        <v>-6333.6679378879307</v>
      </c>
      <c r="T553">
        <f t="shared" si="988"/>
        <v>-6.333667937887931</v>
      </c>
    </row>
    <row r="554" spans="1:20" x14ac:dyDescent="0.25">
      <c r="A554" s="5">
        <v>44039</v>
      </c>
      <c r="B554">
        <v>1.3115999999999999E-2</v>
      </c>
      <c r="C554">
        <v>1.3183E-2</v>
      </c>
      <c r="D554">
        <v>1.056E-2</v>
      </c>
      <c r="E554">
        <v>1.1939999999999999E-2</v>
      </c>
      <c r="F554">
        <v>103723079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5.2230270682424022E-2</v>
      </c>
      <c r="Q554">
        <f t="shared" si="985"/>
        <v>5417484.4921844508</v>
      </c>
      <c r="R554">
        <f t="shared" si="986"/>
        <v>-642546349.96951604</v>
      </c>
      <c r="S554">
        <f t="shared" si="987"/>
        <v>-6425.46349969516</v>
      </c>
      <c r="T554">
        <f t="shared" si="988"/>
        <v>-6.4254634996951596</v>
      </c>
    </row>
    <row r="555" spans="1:20" x14ac:dyDescent="0.25">
      <c r="A555" s="5">
        <v>44038</v>
      </c>
      <c r="B555">
        <v>1.3498E-2</v>
      </c>
      <c r="C555">
        <v>1.3609E-2</v>
      </c>
      <c r="D555">
        <v>1.201E-2</v>
      </c>
      <c r="E555">
        <v>1.3115E-2</v>
      </c>
      <c r="F555">
        <v>51573347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0.38211382113821174</v>
      </c>
      <c r="Q555">
        <f t="shared" si="985"/>
        <v>19706888.69105693</v>
      </c>
      <c r="R555">
        <f t="shared" si="986"/>
        <v>-647963834.46170044</v>
      </c>
      <c r="S555">
        <f t="shared" si="987"/>
        <v>-6479.6383446170048</v>
      </c>
      <c r="T555">
        <f t="shared" si="988"/>
        <v>-6.4796383446170047</v>
      </c>
    </row>
    <row r="556" spans="1:20" x14ac:dyDescent="0.25">
      <c r="A556" s="5">
        <v>44037</v>
      </c>
      <c r="B556">
        <v>1.3275E-2</v>
      </c>
      <c r="C556">
        <v>1.5350000000000001E-2</v>
      </c>
      <c r="D556">
        <v>1.2873000000000001E-2</v>
      </c>
      <c r="E556">
        <v>1.3465E-2</v>
      </c>
      <c r="F556">
        <v>85657689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-0.52200242228502325</v>
      </c>
      <c r="Q556">
        <f t="shared" si="985"/>
        <v>-44713521.145337194</v>
      </c>
      <c r="R556">
        <f t="shared" si="986"/>
        <v>-667670723.15275741</v>
      </c>
      <c r="S556">
        <f t="shared" si="987"/>
        <v>-6676.7072315275736</v>
      </c>
      <c r="T556">
        <f t="shared" si="988"/>
        <v>-6.6767072315275735</v>
      </c>
    </row>
    <row r="557" spans="1:20" x14ac:dyDescent="0.25">
      <c r="A557" s="5">
        <v>44036</v>
      </c>
      <c r="B557">
        <v>1.3712E-2</v>
      </c>
      <c r="C557">
        <v>1.41E-2</v>
      </c>
      <c r="D557">
        <v>1.2824E-2</v>
      </c>
      <c r="E557">
        <v>1.3276E-2</v>
      </c>
      <c r="F557">
        <v>37520468</v>
      </c>
      <c r="G557">
        <v>0</v>
      </c>
      <c r="L557" t="s">
        <v>8</v>
      </c>
      <c r="M557" t="s">
        <v>7</v>
      </c>
      <c r="N557" t="s">
        <v>8</v>
      </c>
      <c r="P557">
        <f t="shared" si="984"/>
        <v>-0.29153605015674061</v>
      </c>
      <c r="Q557">
        <f t="shared" si="985"/>
        <v>-10938569.040752381</v>
      </c>
      <c r="R557">
        <f t="shared" si="986"/>
        <v>-622957202.00742018</v>
      </c>
      <c r="S557">
        <f t="shared" si="987"/>
        <v>-6229.5720200742016</v>
      </c>
      <c r="T557">
        <f t="shared" si="988"/>
        <v>-6.229572020074202</v>
      </c>
    </row>
    <row r="558" spans="1:20" x14ac:dyDescent="0.25">
      <c r="A558" s="5">
        <v>44035</v>
      </c>
      <c r="B558">
        <v>1.4106E-2</v>
      </c>
      <c r="C558">
        <v>1.5159000000000001E-2</v>
      </c>
      <c r="D558">
        <v>1.2999999999999999E-2</v>
      </c>
      <c r="E558">
        <v>1.3782000000000001E-2</v>
      </c>
      <c r="F558">
        <v>74757528</v>
      </c>
      <c r="G558">
        <v>0</v>
      </c>
      <c r="L558" t="s">
        <v>7</v>
      </c>
      <c r="M558" t="s">
        <v>7</v>
      </c>
      <c r="N558" t="s">
        <v>8</v>
      </c>
      <c r="P558">
        <f t="shared" si="984"/>
        <v>-0.27559055118110143</v>
      </c>
      <c r="Q558">
        <f t="shared" si="985"/>
        <v>-20602468.346456625</v>
      </c>
      <c r="R558">
        <f t="shared" si="986"/>
        <v>-612018632.96666777</v>
      </c>
      <c r="S558">
        <f t="shared" si="987"/>
        <v>-6120.1863296666779</v>
      </c>
      <c r="T558">
        <f t="shared" si="988"/>
        <v>-6.1201863296666783</v>
      </c>
    </row>
    <row r="559" spans="1:20" x14ac:dyDescent="0.25">
      <c r="A559" s="5">
        <v>44034</v>
      </c>
      <c r="B559">
        <v>1.3727E-2</v>
      </c>
      <c r="C559">
        <v>1.5789000000000001E-2</v>
      </c>
      <c r="D559">
        <v>1.3226E-2</v>
      </c>
      <c r="E559">
        <v>1.4085E-2</v>
      </c>
      <c r="F559">
        <v>96023235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-0.32969176746000778</v>
      </c>
      <c r="Q559">
        <f t="shared" si="985"/>
        <v>-31658070.06437768</v>
      </c>
      <c r="R559">
        <f t="shared" si="986"/>
        <v>-591416164.62021112</v>
      </c>
      <c r="S559">
        <f t="shared" si="987"/>
        <v>-5914.1616462021111</v>
      </c>
      <c r="T559">
        <f t="shared" si="988"/>
        <v>-5.9141616462021114</v>
      </c>
    </row>
    <row r="560" spans="1:20" x14ac:dyDescent="0.25">
      <c r="A560" s="5">
        <v>44033</v>
      </c>
      <c r="B560">
        <v>1.2637000000000001E-2</v>
      </c>
      <c r="C560">
        <v>1.3915E-2</v>
      </c>
      <c r="D560">
        <v>1.2566000000000001E-2</v>
      </c>
      <c r="E560">
        <v>1.3828E-2</v>
      </c>
      <c r="F560">
        <v>56503191</v>
      </c>
      <c r="G560">
        <v>0</v>
      </c>
      <c r="L560" t="s">
        <v>8</v>
      </c>
      <c r="M560" t="s">
        <v>8</v>
      </c>
      <c r="N560" t="s">
        <v>8</v>
      </c>
      <c r="P560">
        <f t="shared" si="984"/>
        <v>0.87101556708673045</v>
      </c>
      <c r="Q560">
        <f t="shared" si="985"/>
        <v>49215158.951074846</v>
      </c>
      <c r="R560">
        <f t="shared" si="986"/>
        <v>-559758094.55583346</v>
      </c>
      <c r="S560">
        <f t="shared" si="987"/>
        <v>-5597.5809455583349</v>
      </c>
      <c r="T560">
        <f t="shared" si="988"/>
        <v>-5.5975809455583345</v>
      </c>
    </row>
    <row r="561" spans="1:104" x14ac:dyDescent="0.25">
      <c r="A561" s="5">
        <v>44032</v>
      </c>
      <c r="B561">
        <v>1.2048E-2</v>
      </c>
      <c r="C561">
        <v>1.3990000000000001E-2</v>
      </c>
      <c r="D561">
        <v>1.2048E-2</v>
      </c>
      <c r="E561">
        <v>1.2648E-2</v>
      </c>
      <c r="F561">
        <v>80990465</v>
      </c>
      <c r="G561">
        <v>0</v>
      </c>
      <c r="L561" t="s">
        <v>7</v>
      </c>
      <c r="M561" t="s">
        <v>8</v>
      </c>
      <c r="N561" t="s">
        <v>8</v>
      </c>
      <c r="P561">
        <f t="shared" si="984"/>
        <v>-0.38208032955715804</v>
      </c>
      <c r="Q561">
        <f t="shared" si="985"/>
        <v>-30944863.558187474</v>
      </c>
      <c r="R561">
        <f t="shared" si="986"/>
        <v>-608973253.5069083</v>
      </c>
      <c r="S561">
        <f t="shared" si="987"/>
        <v>-6089.7325350690826</v>
      </c>
      <c r="T561">
        <f t="shared" si="988"/>
        <v>-6.089732535069083</v>
      </c>
      <c r="CZ561" t="s">
        <v>7</v>
      </c>
    </row>
    <row r="562" spans="1:104" x14ac:dyDescent="0.25">
      <c r="A562" s="5">
        <v>44031</v>
      </c>
      <c r="B562">
        <v>1.3427E-2</v>
      </c>
      <c r="C562">
        <v>1.4267E-2</v>
      </c>
      <c r="D562">
        <v>1.2035000000000001E-2</v>
      </c>
      <c r="E562">
        <v>1.2048E-2</v>
      </c>
      <c r="F562">
        <v>90945675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-0.98835125448028749</v>
      </c>
      <c r="Q562">
        <f t="shared" si="985"/>
        <v>-89886271.975806519</v>
      </c>
      <c r="R562">
        <f t="shared" si="986"/>
        <v>-578028389.94872081</v>
      </c>
      <c r="S562">
        <f t="shared" si="987"/>
        <v>-5780.2838994872081</v>
      </c>
      <c r="T562">
        <f t="shared" si="988"/>
        <v>-5.7802838994872081</v>
      </c>
      <c r="CZ562" t="s">
        <v>7</v>
      </c>
    </row>
    <row r="563" spans="1:104" x14ac:dyDescent="0.25">
      <c r="A563" s="5">
        <v>44030</v>
      </c>
      <c r="B563">
        <v>1.1833E-2</v>
      </c>
      <c r="C563">
        <v>1.4E-2</v>
      </c>
      <c r="D563">
        <v>1.1561999999999999E-2</v>
      </c>
      <c r="E563">
        <v>1.3426E-2</v>
      </c>
      <c r="F563">
        <v>116082284</v>
      </c>
      <c r="G563">
        <v>0</v>
      </c>
      <c r="L563" t="s">
        <v>8</v>
      </c>
      <c r="M563" t="s">
        <v>8</v>
      </c>
      <c r="N563" t="s">
        <v>8</v>
      </c>
      <c r="P563">
        <f t="shared" si="984"/>
        <v>0.52912223133716185</v>
      </c>
      <c r="Q563">
        <f t="shared" si="985"/>
        <v>61421717.128794119</v>
      </c>
      <c r="R563">
        <f t="shared" si="986"/>
        <v>-488142117.97291428</v>
      </c>
      <c r="S563">
        <f t="shared" si="987"/>
        <v>-4881.4211797291428</v>
      </c>
      <c r="T563">
        <f t="shared" si="988"/>
        <v>-4.8814211797291431</v>
      </c>
      <c r="CZ563" t="s">
        <v>7</v>
      </c>
    </row>
    <row r="564" spans="1:104" x14ac:dyDescent="0.25">
      <c r="A564" s="5">
        <v>44029</v>
      </c>
      <c r="B564">
        <v>1.1339999999999999E-2</v>
      </c>
      <c r="C564">
        <v>1.2149999999999999E-2</v>
      </c>
      <c r="D564">
        <v>1.1246000000000001E-2</v>
      </c>
      <c r="E564">
        <v>1.1838E-2</v>
      </c>
      <c r="F564">
        <v>18542278</v>
      </c>
      <c r="G564">
        <v>0</v>
      </c>
      <c r="L564" t="s">
        <v>8</v>
      </c>
      <c r="M564" t="s">
        <v>8</v>
      </c>
      <c r="N564" t="s">
        <v>8</v>
      </c>
      <c r="P564">
        <f t="shared" si="984"/>
        <v>0.30973451327433565</v>
      </c>
      <c r="Q564">
        <f t="shared" si="985"/>
        <v>5743183.4513274217</v>
      </c>
      <c r="R564">
        <f t="shared" si="986"/>
        <v>-549563835.10170841</v>
      </c>
      <c r="S564">
        <f t="shared" si="987"/>
        <v>-5495.6383510170845</v>
      </c>
      <c r="T564">
        <f t="shared" si="988"/>
        <v>-5.4956383510170843</v>
      </c>
    </row>
    <row r="565" spans="1:104" x14ac:dyDescent="0.25">
      <c r="A565" s="5">
        <v>44028</v>
      </c>
      <c r="B565">
        <v>1.2061000000000001E-2</v>
      </c>
      <c r="C565">
        <v>1.2286E-2</v>
      </c>
      <c r="D565">
        <v>1.1001E-2</v>
      </c>
      <c r="E565">
        <v>1.1426E-2</v>
      </c>
      <c r="F565">
        <v>34292561</v>
      </c>
      <c r="G565">
        <v>0</v>
      </c>
      <c r="L565" t="s">
        <v>7</v>
      </c>
      <c r="M565" t="s">
        <v>8</v>
      </c>
      <c r="N565" t="s">
        <v>8</v>
      </c>
      <c r="P565">
        <f t="shared" si="984"/>
        <v>-0.33852140077820991</v>
      </c>
      <c r="Q565">
        <f t="shared" si="985"/>
        <v>-11608765.785992211</v>
      </c>
      <c r="R565">
        <f t="shared" si="986"/>
        <v>-555307018.55303586</v>
      </c>
      <c r="S565">
        <f t="shared" si="987"/>
        <v>-5553.0701855303587</v>
      </c>
      <c r="T565">
        <f t="shared" si="988"/>
        <v>-5.553070185530359</v>
      </c>
    </row>
    <row r="566" spans="1:104" x14ac:dyDescent="0.25">
      <c r="A566" s="5">
        <v>44027</v>
      </c>
      <c r="B566">
        <v>1.0932000000000001E-2</v>
      </c>
      <c r="C566">
        <v>1.2699999999999999E-2</v>
      </c>
      <c r="D566">
        <v>1.0932000000000001E-2</v>
      </c>
      <c r="E566">
        <v>1.2048E-2</v>
      </c>
      <c r="F566">
        <v>94005661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0.26244343891402683</v>
      </c>
      <c r="Q566">
        <f t="shared" si="985"/>
        <v>24671168.950226214</v>
      </c>
      <c r="R566">
        <f t="shared" si="986"/>
        <v>-543698252.76704359</v>
      </c>
      <c r="S566">
        <f t="shared" si="987"/>
        <v>-5436.982527670436</v>
      </c>
      <c r="T566">
        <f t="shared" si="988"/>
        <v>-5.4369825276704358</v>
      </c>
    </row>
    <row r="567" spans="1:104" x14ac:dyDescent="0.25">
      <c r="A567" s="5">
        <v>44026</v>
      </c>
      <c r="B567">
        <v>1.1268E-2</v>
      </c>
      <c r="C567">
        <v>1.1727E-2</v>
      </c>
      <c r="D567">
        <v>1.0900999999999999E-2</v>
      </c>
      <c r="E567">
        <v>1.0925000000000001E-2</v>
      </c>
      <c r="F567">
        <v>28769731</v>
      </c>
      <c r="G567">
        <v>0</v>
      </c>
      <c r="L567" t="s">
        <v>8</v>
      </c>
      <c r="M567" t="s">
        <v>8</v>
      </c>
      <c r="N567" t="s">
        <v>8</v>
      </c>
      <c r="P567">
        <f t="shared" si="984"/>
        <v>-0.94188861985471806</v>
      </c>
      <c r="Q567">
        <f t="shared" si="985"/>
        <v>-27097882.225181498</v>
      </c>
      <c r="R567">
        <f t="shared" si="986"/>
        <v>-568369421.71726978</v>
      </c>
      <c r="S567">
        <f t="shared" si="987"/>
        <v>-5683.6942171726978</v>
      </c>
      <c r="T567">
        <f t="shared" si="988"/>
        <v>-5.6836942171726976</v>
      </c>
    </row>
    <row r="568" spans="1:104" x14ac:dyDescent="0.25">
      <c r="A568" s="5">
        <v>44025</v>
      </c>
      <c r="B568">
        <v>1.1547E-2</v>
      </c>
      <c r="C568">
        <v>1.2749999999999999E-2</v>
      </c>
      <c r="D568">
        <v>1.0936E-2</v>
      </c>
      <c r="E568">
        <v>1.1306999999999999E-2</v>
      </c>
      <c r="F568">
        <v>106632606</v>
      </c>
      <c r="G568">
        <v>0</v>
      </c>
      <c r="L568" t="s">
        <v>7</v>
      </c>
      <c r="M568" t="s">
        <v>8</v>
      </c>
      <c r="N568" t="s">
        <v>8</v>
      </c>
      <c r="P568">
        <f t="shared" si="984"/>
        <v>-0.59095920617420084</v>
      </c>
      <c r="Q568">
        <f t="shared" si="985"/>
        <v>-63015520.194046326</v>
      </c>
      <c r="R568">
        <f t="shared" si="986"/>
        <v>-541271539.49208832</v>
      </c>
      <c r="S568">
        <f t="shared" si="987"/>
        <v>-5412.7153949208832</v>
      </c>
      <c r="T568">
        <f t="shared" si="988"/>
        <v>-5.412715394920883</v>
      </c>
    </row>
    <row r="569" spans="1:104" x14ac:dyDescent="0.25">
      <c r="A569" s="5">
        <v>44024</v>
      </c>
      <c r="B569">
        <v>1.11E-2</v>
      </c>
      <c r="C569">
        <v>1.2812E-2</v>
      </c>
      <c r="D569">
        <v>1.0808E-2</v>
      </c>
      <c r="E569">
        <v>1.1544E-2</v>
      </c>
      <c r="F569">
        <v>130851044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-0.26546906187624719</v>
      </c>
      <c r="Q569">
        <f t="shared" si="985"/>
        <v>-34736903.896207541</v>
      </c>
      <c r="R569">
        <f t="shared" si="986"/>
        <v>-478256019.29804194</v>
      </c>
      <c r="S569">
        <f t="shared" si="987"/>
        <v>-4782.5601929804197</v>
      </c>
      <c r="T569">
        <f t="shared" si="988"/>
        <v>-4.7825601929804193</v>
      </c>
    </row>
    <row r="570" spans="1:104" x14ac:dyDescent="0.25">
      <c r="A570" s="5">
        <v>44023</v>
      </c>
      <c r="B570">
        <v>1.1877E-2</v>
      </c>
      <c r="C570">
        <v>1.1950000000000001E-2</v>
      </c>
      <c r="D570">
        <v>1.0699E-2</v>
      </c>
      <c r="E570">
        <v>1.1089999999999999E-2</v>
      </c>
      <c r="F570">
        <v>129648458</v>
      </c>
      <c r="G570">
        <v>0</v>
      </c>
      <c r="L570" t="s">
        <v>7</v>
      </c>
      <c r="M570" t="s">
        <v>7</v>
      </c>
      <c r="N570" t="s">
        <v>8</v>
      </c>
      <c r="P570">
        <f t="shared" si="984"/>
        <v>-0.37490007993605295</v>
      </c>
      <c r="Q570">
        <f t="shared" si="985"/>
        <v>-48605217.267786004</v>
      </c>
      <c r="R570">
        <f t="shared" si="986"/>
        <v>-443519115.40183437</v>
      </c>
      <c r="S570">
        <f t="shared" si="987"/>
        <v>-4435.1911540183437</v>
      </c>
      <c r="T570">
        <f t="shared" si="988"/>
        <v>-4.4351911540183435</v>
      </c>
    </row>
    <row r="571" spans="1:104" x14ac:dyDescent="0.25">
      <c r="A571" s="5">
        <v>44022</v>
      </c>
      <c r="B571">
        <v>1.0448000000000001E-2</v>
      </c>
      <c r="C571">
        <v>1.482E-2</v>
      </c>
      <c r="D571">
        <v>1.0227E-2</v>
      </c>
      <c r="E571">
        <v>1.1956E-2</v>
      </c>
      <c r="F571">
        <v>656918363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-0.24711517526671034</v>
      </c>
      <c r="Q571">
        <f t="shared" si="985"/>
        <v>-162334496.40866545</v>
      </c>
      <c r="R571">
        <f t="shared" si="986"/>
        <v>-394913898.13404834</v>
      </c>
      <c r="S571">
        <f t="shared" si="987"/>
        <v>-3949.1389813404835</v>
      </c>
      <c r="T571">
        <f t="shared" si="988"/>
        <v>-3.9491389813404836</v>
      </c>
    </row>
    <row r="572" spans="1:104" x14ac:dyDescent="0.25">
      <c r="A572" s="5">
        <v>44021</v>
      </c>
      <c r="B572">
        <v>8.685E-3</v>
      </c>
      <c r="C572">
        <v>1.0938E-2</v>
      </c>
      <c r="D572">
        <v>8.4580000000000002E-3</v>
      </c>
      <c r="E572">
        <v>1.0451E-2</v>
      </c>
      <c r="F572">
        <v>116423408</v>
      </c>
      <c r="G572">
        <v>0</v>
      </c>
      <c r="L572" t="s">
        <v>8</v>
      </c>
      <c r="M572" t="s">
        <v>8</v>
      </c>
      <c r="N572" t="s">
        <v>8</v>
      </c>
      <c r="P572">
        <f t="shared" si="984"/>
        <v>0.60725806451612929</v>
      </c>
      <c r="Q572">
        <f t="shared" si="985"/>
        <v>70699053.406451643</v>
      </c>
      <c r="R572">
        <f t="shared" si="986"/>
        <v>-232579401.72538286</v>
      </c>
      <c r="S572">
        <f t="shared" si="987"/>
        <v>-2325.7940172538288</v>
      </c>
      <c r="T572">
        <f t="shared" si="988"/>
        <v>-2.3257940172538287</v>
      </c>
    </row>
    <row r="573" spans="1:104" x14ac:dyDescent="0.25">
      <c r="A573" s="5">
        <v>44020</v>
      </c>
      <c r="B573">
        <v>8.1569999999999993E-3</v>
      </c>
      <c r="C573">
        <v>8.8350000000000008E-3</v>
      </c>
      <c r="D573">
        <v>8.1250000000000003E-3</v>
      </c>
      <c r="E573">
        <v>8.685E-3</v>
      </c>
      <c r="F573">
        <v>24667907</v>
      </c>
      <c r="G573">
        <v>0</v>
      </c>
      <c r="L573" t="s">
        <v>8</v>
      </c>
      <c r="M573" t="s">
        <v>7</v>
      </c>
      <c r="N573" t="s">
        <v>8</v>
      </c>
      <c r="P573">
        <f t="shared" si="984"/>
        <v>0.57746478873239238</v>
      </c>
      <c r="Q573">
        <f t="shared" si="985"/>
        <v>14244847.704225304</v>
      </c>
      <c r="R573">
        <f t="shared" si="986"/>
        <v>-303278455.13183451</v>
      </c>
      <c r="S573">
        <f t="shared" si="987"/>
        <v>-3032.7845513183452</v>
      </c>
      <c r="T573">
        <f t="shared" si="988"/>
        <v>-3.0327845513183451</v>
      </c>
    </row>
    <row r="574" spans="1:104" x14ac:dyDescent="0.25">
      <c r="A574" s="5">
        <v>44019</v>
      </c>
      <c r="B574">
        <v>8.3160000000000005E-3</v>
      </c>
      <c r="C574">
        <v>8.6E-3</v>
      </c>
      <c r="D574">
        <v>7.9399999999999991E-3</v>
      </c>
      <c r="E574">
        <v>8.123E-3</v>
      </c>
      <c r="F574">
        <v>37444373</v>
      </c>
      <c r="G574">
        <v>0</v>
      </c>
      <c r="L574" t="s">
        <v>8</v>
      </c>
      <c r="M574" t="s">
        <v>7</v>
      </c>
      <c r="N574" t="s">
        <v>8</v>
      </c>
      <c r="P574">
        <f t="shared" si="984"/>
        <v>-0.44545454545454355</v>
      </c>
      <c r="Q574">
        <f t="shared" si="985"/>
        <v>-16679766.154545384</v>
      </c>
      <c r="R574">
        <f t="shared" si="986"/>
        <v>-317523302.83605981</v>
      </c>
      <c r="S574">
        <f t="shared" si="987"/>
        <v>-3175.2330283605979</v>
      </c>
      <c r="T574">
        <f t="shared" si="988"/>
        <v>-3.1752330283605978</v>
      </c>
    </row>
    <row r="575" spans="1:104" x14ac:dyDescent="0.25">
      <c r="A575" s="5">
        <v>44018</v>
      </c>
      <c r="B575">
        <v>8.0759999999999998E-3</v>
      </c>
      <c r="C575">
        <v>8.4950000000000008E-3</v>
      </c>
      <c r="D575">
        <v>7.7999999999999996E-3</v>
      </c>
      <c r="E575">
        <v>8.3230000000000005E-3</v>
      </c>
      <c r="F575">
        <v>45388114</v>
      </c>
      <c r="G575">
        <v>0</v>
      </c>
      <c r="L575" t="s">
        <v>7</v>
      </c>
      <c r="M575" t="s">
        <v>7</v>
      </c>
      <c r="N575" t="s">
        <v>8</v>
      </c>
      <c r="P575">
        <f t="shared" si="984"/>
        <v>0.50503597122302157</v>
      </c>
      <c r="Q575">
        <f t="shared" si="985"/>
        <v>22922630.235971224</v>
      </c>
      <c r="R575">
        <f t="shared" si="986"/>
        <v>-300843536.68151444</v>
      </c>
      <c r="S575">
        <f t="shared" si="987"/>
        <v>-3008.4353668151443</v>
      </c>
      <c r="T575">
        <f t="shared" si="988"/>
        <v>-3.0084353668151445</v>
      </c>
    </row>
    <row r="576" spans="1:104" x14ac:dyDescent="0.25">
      <c r="A576" s="5">
        <v>44017</v>
      </c>
      <c r="B576">
        <v>8.4740000000000006E-3</v>
      </c>
      <c r="C576">
        <v>9.2779999999999998E-3</v>
      </c>
      <c r="D576">
        <v>7.8370000000000002E-3</v>
      </c>
      <c r="E576">
        <v>8.1119999999999994E-3</v>
      </c>
      <c r="F576">
        <v>154977940</v>
      </c>
      <c r="G576">
        <v>0</v>
      </c>
      <c r="L576" t="s">
        <v>8</v>
      </c>
      <c r="M576" t="s">
        <v>8</v>
      </c>
      <c r="N576" t="s">
        <v>8</v>
      </c>
      <c r="P576">
        <f t="shared" si="984"/>
        <v>-0.61832061068702393</v>
      </c>
      <c r="Q576">
        <f t="shared" si="985"/>
        <v>-95826054.503816947</v>
      </c>
      <c r="R576">
        <f t="shared" si="986"/>
        <v>-323766166.91748565</v>
      </c>
      <c r="S576">
        <f t="shared" si="987"/>
        <v>-3237.6616691748563</v>
      </c>
      <c r="T576">
        <f t="shared" si="988"/>
        <v>-3.2376616691748565</v>
      </c>
    </row>
    <row r="577" spans="1:20" x14ac:dyDescent="0.25">
      <c r="A577" s="5">
        <v>44016</v>
      </c>
      <c r="B577">
        <v>7.1679999999999999E-3</v>
      </c>
      <c r="C577">
        <v>8.6E-3</v>
      </c>
      <c r="D577">
        <v>7.1370000000000001E-3</v>
      </c>
      <c r="E577">
        <v>8.5089999999999992E-3</v>
      </c>
      <c r="F577">
        <v>86952738</v>
      </c>
      <c r="G577">
        <v>0</v>
      </c>
      <c r="L577" t="s">
        <v>8</v>
      </c>
      <c r="M577" t="s">
        <v>8</v>
      </c>
      <c r="N577" t="s">
        <v>8</v>
      </c>
      <c r="P577">
        <f t="shared" si="984"/>
        <v>0.87559808612440082</v>
      </c>
      <c r="Q577">
        <f t="shared" si="985"/>
        <v>76135650.976076454</v>
      </c>
      <c r="R577">
        <f t="shared" si="986"/>
        <v>-227940112.41366872</v>
      </c>
      <c r="S577">
        <f t="shared" si="987"/>
        <v>-2279.401124136687</v>
      </c>
      <c r="T577">
        <f t="shared" si="988"/>
        <v>-2.2794011241366872</v>
      </c>
    </row>
    <row r="578" spans="1:20" x14ac:dyDescent="0.25">
      <c r="A578" s="5">
        <v>44015</v>
      </c>
      <c r="B578">
        <v>7.0569999999999999E-3</v>
      </c>
      <c r="C578">
        <v>7.5030000000000001E-3</v>
      </c>
      <c r="D578">
        <v>6.9119999999999997E-3</v>
      </c>
      <c r="E578">
        <v>7.1539999999999998E-3</v>
      </c>
      <c r="F578">
        <v>29378854</v>
      </c>
      <c r="G578">
        <v>0</v>
      </c>
      <c r="L578" t="s">
        <v>7</v>
      </c>
      <c r="M578" t="s">
        <v>7</v>
      </c>
      <c r="N578" t="s">
        <v>7</v>
      </c>
      <c r="P578">
        <f t="shared" si="984"/>
        <v>-0.18104906937394291</v>
      </c>
      <c r="Q578">
        <f t="shared" si="985"/>
        <v>-5319014.1759729404</v>
      </c>
      <c r="R578">
        <f t="shared" si="986"/>
        <v>-304075763.38974518</v>
      </c>
      <c r="S578">
        <f t="shared" si="987"/>
        <v>-3040.7576338974518</v>
      </c>
      <c r="T578">
        <f t="shared" si="988"/>
        <v>-3.040757633897452</v>
      </c>
    </row>
    <row r="579" spans="1:20" x14ac:dyDescent="0.25">
      <c r="A579" s="5">
        <v>44014</v>
      </c>
      <c r="B579">
        <v>6.7019999999999996E-3</v>
      </c>
      <c r="C579">
        <v>7.4900000000000001E-3</v>
      </c>
      <c r="D579">
        <v>6.6689999999999996E-3</v>
      </c>
      <c r="E579">
        <v>7.0569999999999999E-3</v>
      </c>
      <c r="F579">
        <v>59416786</v>
      </c>
      <c r="G579">
        <v>0</v>
      </c>
      <c r="L579" t="s">
        <v>8</v>
      </c>
      <c r="M579" t="s">
        <v>7</v>
      </c>
      <c r="N579" t="s">
        <v>7</v>
      </c>
      <c r="P579">
        <f t="shared" si="984"/>
        <v>-5.4811205846528467E-2</v>
      </c>
      <c r="Q579">
        <f t="shared" si="985"/>
        <v>-3256705.6881851307</v>
      </c>
      <c r="R579">
        <f t="shared" si="986"/>
        <v>-298756749.21377224</v>
      </c>
      <c r="S579">
        <f t="shared" si="987"/>
        <v>-2987.5674921377222</v>
      </c>
      <c r="T579">
        <f t="shared" si="988"/>
        <v>-2.987567492137722</v>
      </c>
    </row>
    <row r="580" spans="1:20" x14ac:dyDescent="0.25">
      <c r="A580" s="5">
        <v>44013</v>
      </c>
      <c r="B580">
        <v>6.5900000000000004E-3</v>
      </c>
      <c r="C580">
        <v>6.7600000000000004E-3</v>
      </c>
      <c r="D580">
        <v>6.5680000000000001E-3</v>
      </c>
      <c r="E580">
        <v>6.7060000000000002E-3</v>
      </c>
      <c r="F580">
        <v>4900678</v>
      </c>
      <c r="G580">
        <v>0</v>
      </c>
      <c r="L580" t="s">
        <v>8</v>
      </c>
      <c r="M580" t="s">
        <v>7</v>
      </c>
      <c r="N580" t="s">
        <v>7</v>
      </c>
      <c r="P580">
        <f t="shared" si="984"/>
        <v>0.43749999999999861</v>
      </c>
      <c r="Q580">
        <f t="shared" si="985"/>
        <v>2144046.624999993</v>
      </c>
      <c r="R580">
        <f t="shared" si="986"/>
        <v>-295500043.52558708</v>
      </c>
      <c r="S580">
        <f t="shared" si="987"/>
        <v>-2955.0004352558708</v>
      </c>
      <c r="T580">
        <f t="shared" si="988"/>
        <v>-2.955000435255871</v>
      </c>
    </row>
    <row r="581" spans="1:20" x14ac:dyDescent="0.25">
      <c r="A581" s="5">
        <v>44012</v>
      </c>
      <c r="B581">
        <v>6.711E-3</v>
      </c>
      <c r="C581">
        <v>6.79E-3</v>
      </c>
      <c r="D581">
        <v>6.5339999999999999E-3</v>
      </c>
      <c r="E581">
        <v>6.5909999999999996E-3</v>
      </c>
      <c r="F581">
        <v>7618496</v>
      </c>
      <c r="G581">
        <v>0</v>
      </c>
      <c r="L581" t="s">
        <v>8</v>
      </c>
      <c r="M581" t="s">
        <v>7</v>
      </c>
      <c r="N581" t="s">
        <v>7</v>
      </c>
      <c r="P581">
        <f t="shared" si="984"/>
        <v>-0.55468750000000211</v>
      </c>
      <c r="Q581">
        <f t="shared" si="985"/>
        <v>-4225884.5000000158</v>
      </c>
      <c r="R581">
        <f t="shared" si="986"/>
        <v>-297644090.15058708</v>
      </c>
      <c r="S581">
        <f t="shared" si="987"/>
        <v>-2976.4409015058709</v>
      </c>
      <c r="T581">
        <f t="shared" si="988"/>
        <v>-2.976440901505871</v>
      </c>
    </row>
    <row r="582" spans="1:20" x14ac:dyDescent="0.25">
      <c r="A582" s="5">
        <v>44011</v>
      </c>
      <c r="B582">
        <v>6.7400000000000003E-3</v>
      </c>
      <c r="C582">
        <v>6.8840000000000004E-3</v>
      </c>
      <c r="D582">
        <v>6.5160000000000001E-3</v>
      </c>
      <c r="E582">
        <v>6.7400000000000003E-3</v>
      </c>
      <c r="F582">
        <v>3887543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0.2173913043478265</v>
      </c>
      <c r="Q582">
        <f t="shared" ref="Q582:Q645" si="990">F582*P582</f>
        <v>845118.04347826249</v>
      </c>
      <c r="R582">
        <f t="shared" ref="R582:R645" si="991">R583+Q582</f>
        <v>-293418205.65058708</v>
      </c>
      <c r="S582">
        <f t="shared" ref="S582:S645" si="992">R582/100000</f>
        <v>-2934.1820565058706</v>
      </c>
      <c r="T582">
        <f t="shared" ref="T582:T645" si="993">S582/1000</f>
        <v>-2.9341820565058705</v>
      </c>
    </row>
    <row r="583" spans="1:20" x14ac:dyDescent="0.25">
      <c r="A583" s="5">
        <v>44010</v>
      </c>
      <c r="B583">
        <v>6.5709999999999996E-3</v>
      </c>
      <c r="C583">
        <v>6.7660000000000003E-3</v>
      </c>
      <c r="D583">
        <v>6.3839999999999999E-3</v>
      </c>
      <c r="E583">
        <v>6.7400000000000003E-3</v>
      </c>
      <c r="F583">
        <v>17005769</v>
      </c>
      <c r="G583">
        <v>0</v>
      </c>
      <c r="L583" t="s">
        <v>7</v>
      </c>
      <c r="M583" t="s">
        <v>7</v>
      </c>
      <c r="N583" t="s">
        <v>7</v>
      </c>
      <c r="P583">
        <f t="shared" si="989"/>
        <v>0.86387434554973841</v>
      </c>
      <c r="Q583">
        <f t="shared" si="990"/>
        <v>14690847.56544503</v>
      </c>
      <c r="R583">
        <f t="shared" si="991"/>
        <v>-294263323.69406533</v>
      </c>
      <c r="S583">
        <f t="shared" si="992"/>
        <v>-2942.6332369406532</v>
      </c>
      <c r="T583">
        <f t="shared" si="993"/>
        <v>-2.9426332369406532</v>
      </c>
    </row>
    <row r="584" spans="1:20" x14ac:dyDescent="0.25">
      <c r="A584" s="5">
        <v>44009</v>
      </c>
      <c r="B584">
        <v>7.1149999999999998E-3</v>
      </c>
      <c r="C584">
        <v>7.5269999999999998E-3</v>
      </c>
      <c r="D584">
        <v>6.3670000000000003E-3</v>
      </c>
      <c r="E584">
        <v>6.5929999999999999E-3</v>
      </c>
      <c r="F584">
        <v>13827357</v>
      </c>
      <c r="G584">
        <v>0</v>
      </c>
      <c r="L584" t="s">
        <v>8</v>
      </c>
      <c r="M584" t="s">
        <v>7</v>
      </c>
      <c r="N584" t="s">
        <v>7</v>
      </c>
      <c r="P584">
        <f t="shared" si="989"/>
        <v>-0.61034482758620734</v>
      </c>
      <c r="Q584">
        <f t="shared" si="990"/>
        <v>-8439455.8241379373</v>
      </c>
      <c r="R584">
        <f t="shared" si="991"/>
        <v>-308954171.25951034</v>
      </c>
      <c r="S584">
        <f t="shared" si="992"/>
        <v>-3089.5417125951035</v>
      </c>
      <c r="T584">
        <f t="shared" si="993"/>
        <v>-3.0895417125951035</v>
      </c>
    </row>
    <row r="585" spans="1:20" x14ac:dyDescent="0.25">
      <c r="A585" s="5">
        <v>44008</v>
      </c>
      <c r="B585">
        <v>7.3249999999999999E-3</v>
      </c>
      <c r="C585">
        <v>7.437E-3</v>
      </c>
      <c r="D585">
        <v>7.0390000000000001E-3</v>
      </c>
      <c r="E585">
        <v>7.1149999999999998E-3</v>
      </c>
      <c r="F585">
        <v>11692980</v>
      </c>
      <c r="G585">
        <v>0</v>
      </c>
      <c r="L585" t="s">
        <v>8</v>
      </c>
      <c r="M585" t="s">
        <v>7</v>
      </c>
      <c r="N585" t="s">
        <v>7</v>
      </c>
      <c r="P585">
        <f t="shared" si="989"/>
        <v>-0.6180904522613081</v>
      </c>
      <c r="Q585">
        <f t="shared" si="990"/>
        <v>-7227319.2964824308</v>
      </c>
      <c r="R585">
        <f t="shared" si="991"/>
        <v>-300514715.43537241</v>
      </c>
      <c r="S585">
        <f t="shared" si="992"/>
        <v>-3005.1471543537241</v>
      </c>
      <c r="T585">
        <f t="shared" si="993"/>
        <v>-3.005147154353724</v>
      </c>
    </row>
    <row r="586" spans="1:20" x14ac:dyDescent="0.25">
      <c r="A586" s="5">
        <v>44007</v>
      </c>
      <c r="B586">
        <v>7.2030000000000002E-3</v>
      </c>
      <c r="C586">
        <v>7.4840000000000002E-3</v>
      </c>
      <c r="D586">
        <v>6.8609999999999999E-3</v>
      </c>
      <c r="E586">
        <v>7.3429999999999997E-3</v>
      </c>
      <c r="F586">
        <v>11115374</v>
      </c>
      <c r="G586">
        <v>0</v>
      </c>
      <c r="L586" t="s">
        <v>7</v>
      </c>
      <c r="M586" t="s">
        <v>7</v>
      </c>
      <c r="N586" t="s">
        <v>7</v>
      </c>
      <c r="P586">
        <f t="shared" si="989"/>
        <v>0.54735152487961336</v>
      </c>
      <c r="Q586">
        <f t="shared" si="990"/>
        <v>6084016.9085072074</v>
      </c>
      <c r="R586">
        <f t="shared" si="991"/>
        <v>-293287396.13888997</v>
      </c>
      <c r="S586">
        <f t="shared" si="992"/>
        <v>-2932.8739613888997</v>
      </c>
      <c r="T586">
        <f t="shared" si="993"/>
        <v>-2.9328739613888999</v>
      </c>
    </row>
    <row r="587" spans="1:20" x14ac:dyDescent="0.25">
      <c r="A587" s="5">
        <v>44006</v>
      </c>
      <c r="B587">
        <v>7.6030000000000004E-3</v>
      </c>
      <c r="C587">
        <v>7.8050000000000003E-3</v>
      </c>
      <c r="D587">
        <v>7.0010000000000003E-3</v>
      </c>
      <c r="E587">
        <v>7.2509999999999996E-3</v>
      </c>
      <c r="F587">
        <v>31746850</v>
      </c>
      <c r="G587">
        <v>0</v>
      </c>
      <c r="L587" t="s">
        <v>7</v>
      </c>
      <c r="M587" t="s">
        <v>8</v>
      </c>
      <c r="N587" t="s">
        <v>7</v>
      </c>
      <c r="P587">
        <f t="shared" si="989"/>
        <v>-0.37810945273632002</v>
      </c>
      <c r="Q587">
        <f t="shared" si="990"/>
        <v>-12003784.07960204</v>
      </c>
      <c r="R587">
        <f t="shared" si="991"/>
        <v>-299371413.0473972</v>
      </c>
      <c r="S587">
        <f t="shared" si="992"/>
        <v>-2993.7141304739721</v>
      </c>
      <c r="T587">
        <f t="shared" si="993"/>
        <v>-2.9937141304739723</v>
      </c>
    </row>
    <row r="588" spans="1:20" x14ac:dyDescent="0.25">
      <c r="A588" s="5">
        <v>44005</v>
      </c>
      <c r="B588">
        <v>7.4770000000000001E-3</v>
      </c>
      <c r="C588">
        <v>7.9480000000000002E-3</v>
      </c>
      <c r="D588">
        <v>7.345E-3</v>
      </c>
      <c r="E588">
        <v>7.6030000000000004E-3</v>
      </c>
      <c r="F588">
        <v>20748705</v>
      </c>
      <c r="G588">
        <v>0</v>
      </c>
      <c r="L588" t="s">
        <v>8</v>
      </c>
      <c r="M588" t="s">
        <v>8</v>
      </c>
      <c r="N588" t="s">
        <v>7</v>
      </c>
      <c r="P588">
        <f t="shared" si="989"/>
        <v>-0.14427860696517308</v>
      </c>
      <c r="Q588">
        <f t="shared" si="990"/>
        <v>-2993594.2537313215</v>
      </c>
      <c r="R588">
        <f t="shared" si="991"/>
        <v>-287367628.96779513</v>
      </c>
      <c r="S588">
        <f t="shared" si="992"/>
        <v>-2873.6762896779514</v>
      </c>
      <c r="T588">
        <f t="shared" si="993"/>
        <v>-2.8736762896779515</v>
      </c>
    </row>
    <row r="589" spans="1:20" x14ac:dyDescent="0.25">
      <c r="A589" s="5">
        <v>44004</v>
      </c>
      <c r="B589">
        <v>7.5459999999999998E-3</v>
      </c>
      <c r="C589">
        <v>7.6769999999999998E-3</v>
      </c>
      <c r="D589">
        <v>7.3839999999999999E-3</v>
      </c>
      <c r="E589">
        <v>7.4079999999999997E-3</v>
      </c>
      <c r="F589">
        <v>8256700</v>
      </c>
      <c r="G589">
        <v>0</v>
      </c>
      <c r="L589" t="s">
        <v>8</v>
      </c>
      <c r="M589" t="s">
        <v>8</v>
      </c>
      <c r="N589" t="s">
        <v>7</v>
      </c>
      <c r="P589">
        <f t="shared" si="989"/>
        <v>-0.83617747440273227</v>
      </c>
      <c r="Q589">
        <f t="shared" si="990"/>
        <v>-6904066.5529010398</v>
      </c>
      <c r="R589">
        <f t="shared" si="991"/>
        <v>-284374034.71406382</v>
      </c>
      <c r="S589">
        <f t="shared" si="992"/>
        <v>-2843.7403471406383</v>
      </c>
      <c r="T589">
        <f t="shared" si="993"/>
        <v>-2.8437403471406384</v>
      </c>
    </row>
    <row r="590" spans="1:20" x14ac:dyDescent="0.25">
      <c r="A590" s="5">
        <v>44003</v>
      </c>
      <c r="B590">
        <v>7.5300000000000002E-3</v>
      </c>
      <c r="C590">
        <v>7.7999999999999996E-3</v>
      </c>
      <c r="D590">
        <v>7.4720000000000003E-3</v>
      </c>
      <c r="E590">
        <v>7.5129999999999997E-3</v>
      </c>
      <c r="F590">
        <v>13248739</v>
      </c>
      <c r="G590">
        <v>0</v>
      </c>
      <c r="L590" t="s">
        <v>8</v>
      </c>
      <c r="M590" t="s">
        <v>8</v>
      </c>
      <c r="N590" t="s">
        <v>7</v>
      </c>
      <c r="P590">
        <f t="shared" si="989"/>
        <v>-0.75000000000000333</v>
      </c>
      <c r="Q590">
        <f t="shared" si="990"/>
        <v>-9936554.2500000447</v>
      </c>
      <c r="R590">
        <f t="shared" si="991"/>
        <v>-277469968.16116279</v>
      </c>
      <c r="S590">
        <f t="shared" si="992"/>
        <v>-2774.699681611628</v>
      </c>
      <c r="T590">
        <f t="shared" si="993"/>
        <v>-2.7746996816116281</v>
      </c>
    </row>
    <row r="591" spans="1:20" x14ac:dyDescent="0.25">
      <c r="A591" s="5">
        <v>44002</v>
      </c>
      <c r="B591">
        <v>7.4190000000000002E-3</v>
      </c>
      <c r="C591">
        <v>7.5570000000000003E-3</v>
      </c>
      <c r="D591">
        <v>7.2700000000000004E-3</v>
      </c>
      <c r="E591">
        <v>7.535E-3</v>
      </c>
      <c r="F591">
        <v>7498211</v>
      </c>
      <c r="G591">
        <v>0</v>
      </c>
      <c r="L591" t="s">
        <v>7</v>
      </c>
      <c r="M591" t="s">
        <v>8</v>
      </c>
      <c r="N591" t="s">
        <v>7</v>
      </c>
      <c r="P591">
        <f t="shared" si="989"/>
        <v>0.84668989547038098</v>
      </c>
      <c r="Q591">
        <f t="shared" si="990"/>
        <v>6348659.4878048608</v>
      </c>
      <c r="R591">
        <f t="shared" si="991"/>
        <v>-267533413.91116276</v>
      </c>
      <c r="S591">
        <f t="shared" si="992"/>
        <v>-2675.3341391116278</v>
      </c>
      <c r="T591">
        <f t="shared" si="993"/>
        <v>-2.6753341391116279</v>
      </c>
    </row>
    <row r="592" spans="1:20" x14ac:dyDescent="0.25">
      <c r="A592" s="5">
        <v>44001</v>
      </c>
      <c r="B592">
        <v>7.5059999999999997E-3</v>
      </c>
      <c r="C592">
        <v>7.6550000000000003E-3</v>
      </c>
      <c r="D592">
        <v>7.1250000000000003E-3</v>
      </c>
      <c r="E592">
        <v>7.4110000000000001E-3</v>
      </c>
      <c r="F592">
        <v>19379330</v>
      </c>
      <c r="G592">
        <v>0</v>
      </c>
      <c r="L592" t="s">
        <v>7</v>
      </c>
      <c r="M592" t="s">
        <v>8</v>
      </c>
      <c r="N592" t="s">
        <v>7</v>
      </c>
      <c r="P592">
        <f t="shared" si="989"/>
        <v>7.9245283018866977E-2</v>
      </c>
      <c r="Q592">
        <f t="shared" si="990"/>
        <v>1535720.4905660194</v>
      </c>
      <c r="R592">
        <f t="shared" si="991"/>
        <v>-273882073.39896762</v>
      </c>
      <c r="S592">
        <f t="shared" si="992"/>
        <v>-2738.8207339896762</v>
      </c>
      <c r="T592">
        <f t="shared" si="993"/>
        <v>-2.7388207339896762</v>
      </c>
    </row>
    <row r="593" spans="1:20" x14ac:dyDescent="0.25">
      <c r="A593" s="5">
        <v>44000</v>
      </c>
      <c r="B593">
        <v>7.7650000000000002E-3</v>
      </c>
      <c r="C593">
        <v>8.1989999999999997E-3</v>
      </c>
      <c r="D593">
        <v>7.4009999999999996E-3</v>
      </c>
      <c r="E593">
        <v>7.5119999999999996E-3</v>
      </c>
      <c r="F593">
        <v>34062701</v>
      </c>
      <c r="G593">
        <v>0</v>
      </c>
      <c r="L593" t="s">
        <v>8</v>
      </c>
      <c r="M593" t="s">
        <v>8</v>
      </c>
      <c r="N593" t="s">
        <v>7</v>
      </c>
      <c r="P593">
        <f t="shared" si="989"/>
        <v>-0.72180451127819556</v>
      </c>
      <c r="Q593">
        <f t="shared" si="990"/>
        <v>-24586611.248120304</v>
      </c>
      <c r="R593">
        <f t="shared" si="991"/>
        <v>-275417793.88953364</v>
      </c>
      <c r="S593">
        <f t="shared" si="992"/>
        <v>-2754.1779388953364</v>
      </c>
      <c r="T593">
        <f t="shared" si="993"/>
        <v>-2.7541779388953365</v>
      </c>
    </row>
    <row r="594" spans="1:20" x14ac:dyDescent="0.25">
      <c r="A594" s="5">
        <v>43999</v>
      </c>
      <c r="B594">
        <v>7.2700000000000004E-3</v>
      </c>
      <c r="C594">
        <v>7.8899999999999994E-3</v>
      </c>
      <c r="D594">
        <v>7.1269999999999997E-3</v>
      </c>
      <c r="E594">
        <v>7.7070000000000003E-3</v>
      </c>
      <c r="F594">
        <v>39311463</v>
      </c>
      <c r="G594">
        <v>0</v>
      </c>
      <c r="L594" t="s">
        <v>8</v>
      </c>
      <c r="M594" t="s">
        <v>8</v>
      </c>
      <c r="N594" t="s">
        <v>7</v>
      </c>
      <c r="P594">
        <f t="shared" si="989"/>
        <v>0.52031454783748576</v>
      </c>
      <c r="Q594">
        <f t="shared" si="990"/>
        <v>20454326.095675051</v>
      </c>
      <c r="R594">
        <f t="shared" si="991"/>
        <v>-250831182.64141333</v>
      </c>
      <c r="S594">
        <f t="shared" si="992"/>
        <v>-2508.3118264141335</v>
      </c>
      <c r="T594">
        <f t="shared" si="993"/>
        <v>-2.5083118264141335</v>
      </c>
    </row>
    <row r="595" spans="1:20" x14ac:dyDescent="0.25">
      <c r="A595" s="5">
        <v>43998</v>
      </c>
      <c r="B595">
        <v>7.0109999999999999E-3</v>
      </c>
      <c r="C595">
        <v>7.3400000000000002E-3</v>
      </c>
      <c r="D595">
        <v>6.9750000000000003E-3</v>
      </c>
      <c r="E595">
        <v>7.2220000000000001E-3</v>
      </c>
      <c r="F595">
        <v>11801158</v>
      </c>
      <c r="G595">
        <v>0</v>
      </c>
      <c r="L595" t="s">
        <v>8</v>
      </c>
      <c r="M595" t="s">
        <v>7</v>
      </c>
      <c r="N595" t="s">
        <v>7</v>
      </c>
      <c r="P595">
        <f t="shared" si="989"/>
        <v>0.35342465753424607</v>
      </c>
      <c r="Q595">
        <f t="shared" si="990"/>
        <v>4170820.2246575281</v>
      </c>
      <c r="R595">
        <f t="shared" si="991"/>
        <v>-271285508.73708838</v>
      </c>
      <c r="S595">
        <f t="shared" si="992"/>
        <v>-2712.8550873708837</v>
      </c>
      <c r="T595">
        <f t="shared" si="993"/>
        <v>-2.7128550873708837</v>
      </c>
    </row>
    <row r="596" spans="1:20" x14ac:dyDescent="0.25">
      <c r="A596" s="5">
        <v>43997</v>
      </c>
      <c r="B596">
        <v>7.0980000000000001E-3</v>
      </c>
      <c r="C596">
        <v>7.1459999999999996E-3</v>
      </c>
      <c r="D596">
        <v>6.3600000000000002E-3</v>
      </c>
      <c r="E596">
        <v>7.0470000000000003E-3</v>
      </c>
      <c r="F596">
        <v>11246645</v>
      </c>
      <c r="G596">
        <v>0</v>
      </c>
      <c r="L596" t="s">
        <v>7</v>
      </c>
      <c r="M596" t="s">
        <v>7</v>
      </c>
      <c r="N596" t="s">
        <v>7</v>
      </c>
      <c r="P596">
        <f t="shared" si="989"/>
        <v>0.7480916030534368</v>
      </c>
      <c r="Q596">
        <f t="shared" si="990"/>
        <v>8413520.6870229207</v>
      </c>
      <c r="R596">
        <f t="shared" si="991"/>
        <v>-275456328.96174592</v>
      </c>
      <c r="S596">
        <f t="shared" si="992"/>
        <v>-2754.5632896174593</v>
      </c>
      <c r="T596">
        <f t="shared" si="993"/>
        <v>-2.7545632896174594</v>
      </c>
    </row>
    <row r="597" spans="1:20" x14ac:dyDescent="0.25">
      <c r="A597" s="5">
        <v>43996</v>
      </c>
      <c r="B597">
        <v>7.3090000000000004E-3</v>
      </c>
      <c r="C597">
        <v>7.3810000000000004E-3</v>
      </c>
      <c r="D597">
        <v>7.0609999999999996E-3</v>
      </c>
      <c r="E597">
        <v>7.1029999999999999E-3</v>
      </c>
      <c r="F597">
        <v>4610858</v>
      </c>
      <c r="G597">
        <v>0</v>
      </c>
      <c r="L597" t="s">
        <v>8</v>
      </c>
      <c r="M597" t="s">
        <v>7</v>
      </c>
      <c r="N597" t="s">
        <v>8</v>
      </c>
      <c r="P597">
        <f t="shared" si="989"/>
        <v>-0.73749999999999838</v>
      </c>
      <c r="Q597">
        <f t="shared" si="990"/>
        <v>-3400507.7749999925</v>
      </c>
      <c r="R597">
        <f t="shared" si="991"/>
        <v>-283869849.64876884</v>
      </c>
      <c r="S597">
        <f t="shared" si="992"/>
        <v>-2838.6984964876883</v>
      </c>
      <c r="T597">
        <f t="shared" si="993"/>
        <v>-2.8386984964876882</v>
      </c>
    </row>
    <row r="598" spans="1:20" x14ac:dyDescent="0.25">
      <c r="A598" s="5">
        <v>43995</v>
      </c>
      <c r="B598">
        <v>7.045E-3</v>
      </c>
      <c r="C598">
        <v>7.509E-3</v>
      </c>
      <c r="D598">
        <v>6.9890000000000004E-3</v>
      </c>
      <c r="E598">
        <v>7.3090000000000004E-3</v>
      </c>
      <c r="F598">
        <v>13722820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0.23076923076923153</v>
      </c>
      <c r="Q598">
        <f t="shared" si="990"/>
        <v>3166804.6153846257</v>
      </c>
      <c r="R598">
        <f t="shared" si="991"/>
        <v>-280469341.87376887</v>
      </c>
      <c r="S598">
        <f t="shared" si="992"/>
        <v>-2804.6934187376887</v>
      </c>
      <c r="T598">
        <f t="shared" si="993"/>
        <v>-2.8046934187376888</v>
      </c>
    </row>
    <row r="599" spans="1:20" x14ac:dyDescent="0.25">
      <c r="A599" s="5">
        <v>43994</v>
      </c>
      <c r="B599">
        <v>6.8230000000000001E-3</v>
      </c>
      <c r="C599">
        <v>7.2059999999999997E-3</v>
      </c>
      <c r="D599">
        <v>6.646E-3</v>
      </c>
      <c r="E599">
        <v>7.0260000000000001E-3</v>
      </c>
      <c r="F599">
        <v>10612863</v>
      </c>
      <c r="G599">
        <v>0</v>
      </c>
      <c r="L599" t="s">
        <v>7</v>
      </c>
      <c r="M599" t="s">
        <v>7</v>
      </c>
      <c r="N599" t="s">
        <v>8</v>
      </c>
      <c r="P599">
        <f t="shared" si="989"/>
        <v>0.35714285714285826</v>
      </c>
      <c r="Q599">
        <f t="shared" si="990"/>
        <v>3790308.2142857262</v>
      </c>
      <c r="R599">
        <f t="shared" si="991"/>
        <v>-283636146.4891535</v>
      </c>
      <c r="S599">
        <f t="shared" si="992"/>
        <v>-2836.361464891535</v>
      </c>
      <c r="T599">
        <f t="shared" si="993"/>
        <v>-2.8363614648915352</v>
      </c>
    </row>
    <row r="600" spans="1:20" x14ac:dyDescent="0.25">
      <c r="A600" s="5">
        <v>43993</v>
      </c>
      <c r="B600">
        <v>7.7330000000000003E-3</v>
      </c>
      <c r="C600">
        <v>8.0000000000000002E-3</v>
      </c>
      <c r="D600">
        <v>6.7669999999999996E-3</v>
      </c>
      <c r="E600">
        <v>6.8129999999999996E-3</v>
      </c>
      <c r="F600">
        <v>21673084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-0.92538523925385241</v>
      </c>
      <c r="Q600">
        <f t="shared" si="990"/>
        <v>-20055952.022708841</v>
      </c>
      <c r="R600">
        <f t="shared" si="991"/>
        <v>-287426454.70343924</v>
      </c>
      <c r="S600">
        <f t="shared" si="992"/>
        <v>-2874.2645470343923</v>
      </c>
      <c r="T600">
        <f t="shared" si="993"/>
        <v>-2.8742645470343922</v>
      </c>
    </row>
    <row r="601" spans="1:20" x14ac:dyDescent="0.25">
      <c r="A601" s="5">
        <v>43992</v>
      </c>
      <c r="B601">
        <v>7.5989999999999999E-3</v>
      </c>
      <c r="C601">
        <v>8.1049999999999994E-3</v>
      </c>
      <c r="D601">
        <v>7.5839999999999996E-3</v>
      </c>
      <c r="E601">
        <v>7.7229999999999998E-3</v>
      </c>
      <c r="F601">
        <v>21195055</v>
      </c>
      <c r="G601">
        <v>0</v>
      </c>
      <c r="L601" t="s">
        <v>8</v>
      </c>
      <c r="M601" t="s">
        <v>7</v>
      </c>
      <c r="N601" t="s">
        <v>8</v>
      </c>
      <c r="P601">
        <f t="shared" si="989"/>
        <v>-0.4664107485604595</v>
      </c>
      <c r="Q601">
        <f t="shared" si="990"/>
        <v>-9885601.4683301095</v>
      </c>
      <c r="R601">
        <f t="shared" si="991"/>
        <v>-267370502.6807304</v>
      </c>
      <c r="S601">
        <f t="shared" si="992"/>
        <v>-2673.705026807304</v>
      </c>
      <c r="T601">
        <f t="shared" si="993"/>
        <v>-2.6737050268073039</v>
      </c>
    </row>
    <row r="602" spans="1:20" x14ac:dyDescent="0.25">
      <c r="A602" s="5">
        <v>43991</v>
      </c>
      <c r="B602">
        <v>7.4580000000000002E-3</v>
      </c>
      <c r="C602">
        <v>7.737E-3</v>
      </c>
      <c r="D602">
        <v>7.2399999999999999E-3</v>
      </c>
      <c r="E602">
        <v>7.5719999999999997E-3</v>
      </c>
      <c r="F602">
        <v>8597084</v>
      </c>
      <c r="G602">
        <v>0</v>
      </c>
      <c r="L602" t="s">
        <v>8</v>
      </c>
      <c r="M602" t="s">
        <v>7</v>
      </c>
      <c r="N602" t="s">
        <v>8</v>
      </c>
      <c r="P602">
        <f t="shared" si="989"/>
        <v>0.33601609657947606</v>
      </c>
      <c r="Q602">
        <f t="shared" si="990"/>
        <v>2888758.6076458683</v>
      </c>
      <c r="R602">
        <f t="shared" si="991"/>
        <v>-257484901.21240029</v>
      </c>
      <c r="S602">
        <f t="shared" si="992"/>
        <v>-2574.8490121240029</v>
      </c>
      <c r="T602">
        <f t="shared" si="993"/>
        <v>-2.5748490121240031</v>
      </c>
    </row>
    <row r="603" spans="1:20" x14ac:dyDescent="0.25">
      <c r="A603" s="5">
        <v>43990</v>
      </c>
      <c r="B603">
        <v>7.3800000000000003E-3</v>
      </c>
      <c r="C603">
        <v>7.5890000000000003E-3</v>
      </c>
      <c r="D603">
        <v>7.3289999999999996E-3</v>
      </c>
      <c r="E603">
        <v>7.4580000000000002E-3</v>
      </c>
      <c r="F603">
        <v>6669774</v>
      </c>
      <c r="G603">
        <v>0</v>
      </c>
      <c r="L603" t="s">
        <v>7</v>
      </c>
      <c r="M603" t="s">
        <v>7</v>
      </c>
      <c r="N603" t="s">
        <v>8</v>
      </c>
      <c r="P603">
        <f t="shared" si="989"/>
        <v>-7.6923076923053569E-3</v>
      </c>
      <c r="Q603">
        <f t="shared" si="990"/>
        <v>-51305.953846138269</v>
      </c>
      <c r="R603">
        <f t="shared" si="991"/>
        <v>-260373659.82004616</v>
      </c>
      <c r="S603">
        <f t="shared" si="992"/>
        <v>-2603.7365982004617</v>
      </c>
      <c r="T603">
        <f t="shared" si="993"/>
        <v>-2.6037365982004617</v>
      </c>
    </row>
    <row r="604" spans="1:20" x14ac:dyDescent="0.25">
      <c r="A604" s="5">
        <v>43989</v>
      </c>
      <c r="B604">
        <v>7.4799999999999997E-3</v>
      </c>
      <c r="C604">
        <v>7.5249999999999996E-3</v>
      </c>
      <c r="D604">
        <v>7.1000000000000004E-3</v>
      </c>
      <c r="E604">
        <v>7.3800000000000003E-3</v>
      </c>
      <c r="F604">
        <v>9005403</v>
      </c>
      <c r="G604">
        <v>0</v>
      </c>
      <c r="L604" t="s">
        <v>7</v>
      </c>
      <c r="M604" t="s">
        <v>7</v>
      </c>
      <c r="N604" t="s">
        <v>8</v>
      </c>
      <c r="P604">
        <f t="shared" si="989"/>
        <v>0.31764705882353139</v>
      </c>
      <c r="Q604">
        <f t="shared" si="990"/>
        <v>2860539.7764706062</v>
      </c>
      <c r="R604">
        <f t="shared" si="991"/>
        <v>-260322353.86620003</v>
      </c>
      <c r="S604">
        <f t="shared" si="992"/>
        <v>-2603.2235386620005</v>
      </c>
      <c r="T604">
        <f t="shared" si="993"/>
        <v>-2.6032235386620006</v>
      </c>
    </row>
    <row r="605" spans="1:20" x14ac:dyDescent="0.25">
      <c r="A605" s="5">
        <v>43988</v>
      </c>
      <c r="B605">
        <v>7.5849999999999997E-3</v>
      </c>
      <c r="C605">
        <v>7.7879999999999998E-3</v>
      </c>
      <c r="D605">
        <v>7.3480000000000004E-3</v>
      </c>
      <c r="E605">
        <v>7.4799999999999997E-3</v>
      </c>
      <c r="F605">
        <v>19584480</v>
      </c>
      <c r="G605">
        <v>0</v>
      </c>
      <c r="L605" t="s">
        <v>8</v>
      </c>
      <c r="M605" t="s">
        <v>7</v>
      </c>
      <c r="N605" t="s">
        <v>8</v>
      </c>
      <c r="P605">
        <f t="shared" si="989"/>
        <v>-0.40000000000000235</v>
      </c>
      <c r="Q605">
        <f t="shared" si="990"/>
        <v>-7833792.0000000456</v>
      </c>
      <c r="R605">
        <f t="shared" si="991"/>
        <v>-263182893.64267063</v>
      </c>
      <c r="S605">
        <f t="shared" si="992"/>
        <v>-2631.8289364267062</v>
      </c>
      <c r="T605">
        <f t="shared" si="993"/>
        <v>-2.631828936426706</v>
      </c>
    </row>
    <row r="606" spans="1:20" x14ac:dyDescent="0.25">
      <c r="A606" s="5">
        <v>43987</v>
      </c>
      <c r="B606">
        <v>7.43E-3</v>
      </c>
      <c r="C606">
        <v>7.7029999999999998E-3</v>
      </c>
      <c r="D606">
        <v>7.1539999999999998E-3</v>
      </c>
      <c r="E606">
        <v>7.5849999999999997E-3</v>
      </c>
      <c r="F606">
        <v>23004067</v>
      </c>
      <c r="G606">
        <v>0</v>
      </c>
      <c r="L606" t="s">
        <v>7</v>
      </c>
      <c r="M606" t="s">
        <v>7</v>
      </c>
      <c r="N606" t="s">
        <v>8</v>
      </c>
      <c r="P606">
        <f t="shared" si="989"/>
        <v>0.57012750455373384</v>
      </c>
      <c r="Q606">
        <f t="shared" si="990"/>
        <v>13115251.313296899</v>
      </c>
      <c r="R606">
        <f t="shared" si="991"/>
        <v>-255349101.64267057</v>
      </c>
      <c r="S606">
        <f t="shared" si="992"/>
        <v>-2553.4910164267058</v>
      </c>
      <c r="T606">
        <f t="shared" si="993"/>
        <v>-2.553491016426706</v>
      </c>
    </row>
    <row r="607" spans="1:20" x14ac:dyDescent="0.25">
      <c r="A607" s="5">
        <v>43986</v>
      </c>
      <c r="B607">
        <v>7.4700000000000001E-3</v>
      </c>
      <c r="C607">
        <v>7.6509999999999998E-3</v>
      </c>
      <c r="D607">
        <v>7.3130000000000001E-3</v>
      </c>
      <c r="E607">
        <v>7.4330000000000004E-3</v>
      </c>
      <c r="F607">
        <v>24082101</v>
      </c>
      <c r="G607">
        <v>0</v>
      </c>
      <c r="L607" t="s">
        <v>7</v>
      </c>
      <c r="M607" t="s">
        <v>7</v>
      </c>
      <c r="N607" t="s">
        <v>8</v>
      </c>
      <c r="P607">
        <f t="shared" si="989"/>
        <v>-0.28994082840236451</v>
      </c>
      <c r="Q607">
        <f t="shared" si="990"/>
        <v>-6982384.313609411</v>
      </c>
      <c r="R607">
        <f t="shared" si="991"/>
        <v>-268464352.95596749</v>
      </c>
      <c r="S607">
        <f t="shared" si="992"/>
        <v>-2684.6435295596748</v>
      </c>
      <c r="T607">
        <f t="shared" si="993"/>
        <v>-2.6846435295596747</v>
      </c>
    </row>
    <row r="608" spans="1:20" x14ac:dyDescent="0.25">
      <c r="A608" s="5">
        <v>43985</v>
      </c>
      <c r="B608">
        <v>7.3080000000000003E-3</v>
      </c>
      <c r="C608">
        <v>7.8609999999999999E-3</v>
      </c>
      <c r="D608">
        <v>7.3080000000000003E-3</v>
      </c>
      <c r="E608">
        <v>7.4700000000000001E-3</v>
      </c>
      <c r="F608">
        <v>32011040</v>
      </c>
      <c r="G608">
        <v>0</v>
      </c>
      <c r="L608" t="s">
        <v>7</v>
      </c>
      <c r="M608" t="s">
        <v>7</v>
      </c>
      <c r="N608" t="s">
        <v>8</v>
      </c>
      <c r="P608">
        <f t="shared" si="989"/>
        <v>-0.41410488245931315</v>
      </c>
      <c r="Q608">
        <f t="shared" si="990"/>
        <v>-13255927.956600372</v>
      </c>
      <c r="R608">
        <f t="shared" si="991"/>
        <v>-261481968.64235806</v>
      </c>
      <c r="S608">
        <f t="shared" si="992"/>
        <v>-2614.8196864235806</v>
      </c>
      <c r="T608">
        <f t="shared" si="993"/>
        <v>-2.6148196864235804</v>
      </c>
    </row>
    <row r="609" spans="1:20" x14ac:dyDescent="0.25">
      <c r="A609" s="5">
        <v>43984</v>
      </c>
      <c r="B609">
        <v>7.8820000000000001E-3</v>
      </c>
      <c r="C609">
        <v>9.1999999999999998E-3</v>
      </c>
      <c r="D609">
        <v>7.0000000000000001E-3</v>
      </c>
      <c r="E609">
        <v>7.3619999999999996E-3</v>
      </c>
      <c r="F609">
        <v>83492450</v>
      </c>
      <c r="G609">
        <v>0</v>
      </c>
      <c r="L609" t="s">
        <v>8</v>
      </c>
      <c r="M609" t="s">
        <v>8</v>
      </c>
      <c r="N609" t="s">
        <v>8</v>
      </c>
      <c r="P609">
        <f t="shared" si="989"/>
        <v>-0.67090909090909134</v>
      </c>
      <c r="Q609">
        <f t="shared" si="990"/>
        <v>-56015843.727272764</v>
      </c>
      <c r="R609">
        <f t="shared" si="991"/>
        <v>-248226040.6857577</v>
      </c>
      <c r="S609">
        <f t="shared" si="992"/>
        <v>-2482.260406857577</v>
      </c>
      <c r="T609">
        <f t="shared" si="993"/>
        <v>-2.4822604068575771</v>
      </c>
    </row>
    <row r="610" spans="1:20" x14ac:dyDescent="0.25">
      <c r="A610" s="5">
        <v>43983</v>
      </c>
      <c r="B610">
        <v>7.1440000000000002E-3</v>
      </c>
      <c r="C610">
        <v>8.0719999999999993E-3</v>
      </c>
      <c r="D610">
        <v>7.0809999999999996E-3</v>
      </c>
      <c r="E610">
        <v>7.9710000000000007E-3</v>
      </c>
      <c r="F610">
        <v>32862022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0.79616548940464438</v>
      </c>
      <c r="Q610">
        <f t="shared" si="990"/>
        <v>26163607.828456189</v>
      </c>
      <c r="R610">
        <f t="shared" si="991"/>
        <v>-192210196.95848492</v>
      </c>
      <c r="S610">
        <f t="shared" si="992"/>
        <v>-1922.1019695848493</v>
      </c>
      <c r="T610">
        <f t="shared" si="993"/>
        <v>-1.9221019695848494</v>
      </c>
    </row>
    <row r="611" spans="1:20" x14ac:dyDescent="0.25">
      <c r="A611" s="5">
        <v>43982</v>
      </c>
      <c r="B611">
        <v>7.0549999999999996E-3</v>
      </c>
      <c r="C611">
        <v>7.3699999999999998E-3</v>
      </c>
      <c r="D611">
        <v>6.8050000000000003E-3</v>
      </c>
      <c r="E611">
        <v>7.1440000000000002E-3</v>
      </c>
      <c r="F611">
        <v>24342321</v>
      </c>
      <c r="G611">
        <v>0</v>
      </c>
      <c r="L611" t="s">
        <v>7</v>
      </c>
      <c r="M611" t="s">
        <v>7</v>
      </c>
      <c r="N611" t="s">
        <v>8</v>
      </c>
      <c r="P611">
        <f t="shared" si="989"/>
        <v>0.20000000000000062</v>
      </c>
      <c r="Q611">
        <f t="shared" si="990"/>
        <v>4868464.2000000151</v>
      </c>
      <c r="R611">
        <f t="shared" si="991"/>
        <v>-218373804.78694111</v>
      </c>
      <c r="S611">
        <f t="shared" si="992"/>
        <v>-2183.7380478694113</v>
      </c>
      <c r="T611">
        <f t="shared" si="993"/>
        <v>-2.1837380478694111</v>
      </c>
    </row>
    <row r="612" spans="1:20" x14ac:dyDescent="0.25">
      <c r="A612" s="5">
        <v>43981</v>
      </c>
      <c r="B612">
        <v>7.1640000000000002E-3</v>
      </c>
      <c r="C612">
        <v>7.5529999999999998E-3</v>
      </c>
      <c r="D612">
        <v>7.0000000000000001E-3</v>
      </c>
      <c r="E612">
        <v>7.0720000000000002E-3</v>
      </c>
      <c r="F612">
        <v>29157073</v>
      </c>
      <c r="G612">
        <v>0</v>
      </c>
      <c r="L612" t="s">
        <v>8</v>
      </c>
      <c r="M612" t="s">
        <v>7</v>
      </c>
      <c r="N612" t="s">
        <v>8</v>
      </c>
      <c r="P612">
        <f t="shared" si="989"/>
        <v>-0.73960216998191664</v>
      </c>
      <c r="Q612">
        <f t="shared" si="990"/>
        <v>-21564634.461121153</v>
      </c>
      <c r="R612">
        <f t="shared" si="991"/>
        <v>-223242268.98694113</v>
      </c>
      <c r="S612">
        <f t="shared" si="992"/>
        <v>-2232.4226898694114</v>
      </c>
      <c r="T612">
        <f t="shared" si="993"/>
        <v>-2.2324226898694115</v>
      </c>
    </row>
    <row r="613" spans="1:20" x14ac:dyDescent="0.25">
      <c r="A613" s="5">
        <v>43980</v>
      </c>
      <c r="B613">
        <v>7.1029999999999999E-3</v>
      </c>
      <c r="C613">
        <v>7.3749999999999996E-3</v>
      </c>
      <c r="D613">
        <v>7.0219999999999996E-3</v>
      </c>
      <c r="E613">
        <v>7.1830000000000001E-3</v>
      </c>
      <c r="F613">
        <v>14444275</v>
      </c>
      <c r="G613">
        <v>0</v>
      </c>
      <c r="L613" t="s">
        <v>8</v>
      </c>
      <c r="M613" t="s">
        <v>7</v>
      </c>
      <c r="N613" t="s">
        <v>8</v>
      </c>
      <c r="P613">
        <f t="shared" si="989"/>
        <v>-8.7818696883849606E-2</v>
      </c>
      <c r="Q613">
        <f t="shared" si="990"/>
        <v>-1268477.4079319667</v>
      </c>
      <c r="R613">
        <f t="shared" si="991"/>
        <v>-201677634.52581999</v>
      </c>
      <c r="S613">
        <f t="shared" si="992"/>
        <v>-2016.7763452581999</v>
      </c>
      <c r="T613">
        <f t="shared" si="993"/>
        <v>-2.0167763452581999</v>
      </c>
    </row>
    <row r="614" spans="1:20" x14ac:dyDescent="0.25">
      <c r="A614" s="5">
        <v>43979</v>
      </c>
      <c r="B614">
        <v>6.9090000000000002E-3</v>
      </c>
      <c r="C614">
        <v>7.4349999999999998E-3</v>
      </c>
      <c r="D614">
        <v>6.4650000000000003E-3</v>
      </c>
      <c r="E614">
        <v>7.1079999999999997E-3</v>
      </c>
      <c r="F614">
        <v>45994080</v>
      </c>
      <c r="G614">
        <v>0</v>
      </c>
      <c r="L614" t="s">
        <v>7</v>
      </c>
      <c r="M614" t="s">
        <v>7</v>
      </c>
      <c r="N614" t="s">
        <v>8</v>
      </c>
      <c r="P614">
        <f t="shared" si="989"/>
        <v>0.32577319587628822</v>
      </c>
      <c r="Q614">
        <f t="shared" si="990"/>
        <v>14983638.43298967</v>
      </c>
      <c r="R614">
        <f t="shared" si="991"/>
        <v>-200409157.11788803</v>
      </c>
      <c r="S614">
        <f t="shared" si="992"/>
        <v>-2004.0915711788803</v>
      </c>
      <c r="T614">
        <f t="shared" si="993"/>
        <v>-2.00409157117888</v>
      </c>
    </row>
    <row r="615" spans="1:20" x14ac:dyDescent="0.25">
      <c r="A615" s="5">
        <v>43978</v>
      </c>
      <c r="B615">
        <v>7.4539999999999997E-3</v>
      </c>
      <c r="C615">
        <v>7.8960000000000002E-3</v>
      </c>
      <c r="D615">
        <v>6.6769999999999998E-3</v>
      </c>
      <c r="E615">
        <v>6.973E-3</v>
      </c>
      <c r="F615">
        <v>41061698</v>
      </c>
      <c r="G615">
        <v>0</v>
      </c>
      <c r="L615" t="s">
        <v>7</v>
      </c>
      <c r="M615" t="s">
        <v>7</v>
      </c>
      <c r="N615" t="s">
        <v>8</v>
      </c>
      <c r="P615">
        <f t="shared" si="989"/>
        <v>-0.51435602953240334</v>
      </c>
      <c r="Q615">
        <f t="shared" si="990"/>
        <v>-21120331.949138626</v>
      </c>
      <c r="R615">
        <f t="shared" si="991"/>
        <v>-215392795.55087769</v>
      </c>
      <c r="S615">
        <f t="shared" si="992"/>
        <v>-2153.9279555087769</v>
      </c>
      <c r="T615">
        <f t="shared" si="993"/>
        <v>-2.1539279555087769</v>
      </c>
    </row>
    <row r="616" spans="1:20" x14ac:dyDescent="0.25">
      <c r="A616" s="5">
        <v>43977</v>
      </c>
      <c r="B616">
        <v>7.3759999999999997E-3</v>
      </c>
      <c r="C616">
        <v>8.5220000000000001E-3</v>
      </c>
      <c r="D616">
        <v>6.9379999999999997E-3</v>
      </c>
      <c r="E616">
        <v>7.4530000000000004E-3</v>
      </c>
      <c r="F616">
        <v>73365640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-0.34974747474747403</v>
      </c>
      <c r="Q616">
        <f t="shared" si="990"/>
        <v>-25659447.323232271</v>
      </c>
      <c r="R616">
        <f t="shared" si="991"/>
        <v>-194272463.60173905</v>
      </c>
      <c r="S616">
        <f t="shared" si="992"/>
        <v>-1942.7246360173906</v>
      </c>
      <c r="T616">
        <f t="shared" si="993"/>
        <v>-1.9427246360173906</v>
      </c>
    </row>
    <row r="617" spans="1:20" x14ac:dyDescent="0.25">
      <c r="A617" s="5">
        <v>43976</v>
      </c>
      <c r="B617">
        <v>5.9280000000000001E-3</v>
      </c>
      <c r="C617">
        <v>7.9909999999999998E-3</v>
      </c>
      <c r="D617">
        <v>5.8599999999999998E-3</v>
      </c>
      <c r="E617">
        <v>7.4099999999999999E-3</v>
      </c>
      <c r="F617">
        <v>89506353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0.45471609572970445</v>
      </c>
      <c r="Q617">
        <f t="shared" si="990"/>
        <v>40699979.379164718</v>
      </c>
      <c r="R617">
        <f t="shared" si="991"/>
        <v>-168613016.27850679</v>
      </c>
      <c r="S617">
        <f t="shared" si="992"/>
        <v>-1686.1301627850678</v>
      </c>
      <c r="T617">
        <f t="shared" si="993"/>
        <v>-1.6861301627850678</v>
      </c>
    </row>
    <row r="618" spans="1:20" x14ac:dyDescent="0.25">
      <c r="A618" s="5">
        <v>43975</v>
      </c>
      <c r="B618">
        <v>6.4999999999999997E-3</v>
      </c>
      <c r="C618">
        <v>6.6909999999999999E-3</v>
      </c>
      <c r="D618">
        <v>5.9420000000000002E-3</v>
      </c>
      <c r="E618">
        <v>5.9839999999999997E-3</v>
      </c>
      <c r="F618">
        <v>33560605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-0.88785046728972095</v>
      </c>
      <c r="Q618">
        <f t="shared" si="990"/>
        <v>-29796798.831775744</v>
      </c>
      <c r="R618">
        <f t="shared" si="991"/>
        <v>-209312995.65767151</v>
      </c>
      <c r="S618">
        <f t="shared" si="992"/>
        <v>-2093.1299565767149</v>
      </c>
      <c r="T618">
        <f t="shared" si="993"/>
        <v>-2.093129956576715</v>
      </c>
    </row>
    <row r="619" spans="1:20" x14ac:dyDescent="0.25">
      <c r="A619" s="5">
        <v>43974</v>
      </c>
      <c r="B619">
        <v>6.2009999999999999E-3</v>
      </c>
      <c r="C619">
        <v>6.7999999999999996E-3</v>
      </c>
      <c r="D619">
        <v>6.0650000000000001E-3</v>
      </c>
      <c r="E619">
        <v>6.502E-3</v>
      </c>
      <c r="F619">
        <v>34797447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0.18911564625850383</v>
      </c>
      <c r="Q619">
        <f t="shared" si="990"/>
        <v>6580741.6775510348</v>
      </c>
      <c r="R619">
        <f t="shared" si="991"/>
        <v>-179516196.82589576</v>
      </c>
      <c r="S619">
        <f t="shared" si="992"/>
        <v>-1795.1619682589576</v>
      </c>
      <c r="T619">
        <f t="shared" si="993"/>
        <v>-1.7951619682589577</v>
      </c>
    </row>
    <row r="620" spans="1:20" x14ac:dyDescent="0.25">
      <c r="A620" s="5">
        <v>43973</v>
      </c>
      <c r="B620">
        <v>5.8300000000000001E-3</v>
      </c>
      <c r="C620">
        <v>6.2059999999999997E-3</v>
      </c>
      <c r="D620">
        <v>5.7920000000000003E-3</v>
      </c>
      <c r="E620">
        <v>6.143E-3</v>
      </c>
      <c r="F620">
        <v>15554255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0.69565217391304457</v>
      </c>
      <c r="Q620">
        <f t="shared" si="990"/>
        <v>10820351.304347843</v>
      </c>
      <c r="R620">
        <f t="shared" si="991"/>
        <v>-186096938.50344679</v>
      </c>
      <c r="S620">
        <f t="shared" si="992"/>
        <v>-1860.9693850344679</v>
      </c>
      <c r="T620">
        <f t="shared" si="993"/>
        <v>-1.860969385034468</v>
      </c>
    </row>
    <row r="621" spans="1:20" x14ac:dyDescent="0.25">
      <c r="A621" s="5">
        <v>43972</v>
      </c>
      <c r="B621">
        <v>5.9049999999999997E-3</v>
      </c>
      <c r="C621">
        <v>6.4000000000000003E-3</v>
      </c>
      <c r="D621">
        <v>5.5700000000000003E-3</v>
      </c>
      <c r="E621">
        <v>5.8300000000000001E-3</v>
      </c>
      <c r="F621">
        <v>40806301</v>
      </c>
      <c r="G621">
        <v>0</v>
      </c>
      <c r="L621" t="s">
        <v>7</v>
      </c>
      <c r="M621" t="s">
        <v>8</v>
      </c>
      <c r="N621" t="s">
        <v>8</v>
      </c>
      <c r="P621">
        <f t="shared" si="989"/>
        <v>-0.37349397590361494</v>
      </c>
      <c r="Q621">
        <f t="shared" si="990"/>
        <v>-15240907.602409659</v>
      </c>
      <c r="R621">
        <f t="shared" si="991"/>
        <v>-196917289.80779463</v>
      </c>
      <c r="S621">
        <f t="shared" si="992"/>
        <v>-1969.1728980779462</v>
      </c>
      <c r="T621">
        <f t="shared" si="993"/>
        <v>-1.9691728980779462</v>
      </c>
    </row>
    <row r="622" spans="1:20" x14ac:dyDescent="0.25">
      <c r="A622" s="5">
        <v>43971</v>
      </c>
      <c r="B622">
        <v>6.0610000000000004E-3</v>
      </c>
      <c r="C622">
        <v>6.3480000000000003E-3</v>
      </c>
      <c r="D622">
        <v>5.6129999999999999E-3</v>
      </c>
      <c r="E622">
        <v>5.9080000000000001E-3</v>
      </c>
      <c r="F622">
        <v>19323116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-0.19727891156462596</v>
      </c>
      <c r="Q622">
        <f t="shared" si="990"/>
        <v>-3812043.2925170087</v>
      </c>
      <c r="R622">
        <f t="shared" si="991"/>
        <v>-181676382.20538497</v>
      </c>
      <c r="S622">
        <f t="shared" si="992"/>
        <v>-1816.7638220538497</v>
      </c>
      <c r="T622">
        <f t="shared" si="993"/>
        <v>-1.8167638220538498</v>
      </c>
    </row>
    <row r="623" spans="1:20" x14ac:dyDescent="0.25">
      <c r="A623" s="5">
        <v>43970</v>
      </c>
      <c r="B623">
        <v>6.1260000000000004E-3</v>
      </c>
      <c r="C623">
        <v>6.1279999999999998E-3</v>
      </c>
      <c r="D623">
        <v>5.8240000000000002E-3</v>
      </c>
      <c r="E623">
        <v>6.0610000000000004E-3</v>
      </c>
      <c r="F623">
        <v>11712926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0.55921052631579315</v>
      </c>
      <c r="Q623">
        <f t="shared" si="990"/>
        <v>6549991.5131579377</v>
      </c>
      <c r="R623">
        <f t="shared" si="991"/>
        <v>-177864338.91286796</v>
      </c>
      <c r="S623">
        <f t="shared" si="992"/>
        <v>-1778.6433891286797</v>
      </c>
      <c r="T623">
        <f t="shared" si="993"/>
        <v>-1.7786433891286797</v>
      </c>
    </row>
    <row r="624" spans="1:20" x14ac:dyDescent="0.25">
      <c r="A624" s="5">
        <v>43969</v>
      </c>
      <c r="B624">
        <v>5.679E-3</v>
      </c>
      <c r="C624">
        <v>6.2500000000000003E-3</v>
      </c>
      <c r="D624">
        <v>5.64E-3</v>
      </c>
      <c r="E624">
        <v>6.1330000000000004E-3</v>
      </c>
      <c r="F624">
        <v>30159222</v>
      </c>
      <c r="G624">
        <v>0</v>
      </c>
      <c r="L624" t="s">
        <v>7</v>
      </c>
      <c r="M624" t="s">
        <v>8</v>
      </c>
      <c r="N624" t="s">
        <v>8</v>
      </c>
      <c r="P624">
        <f t="shared" si="989"/>
        <v>0.61639344262295126</v>
      </c>
      <c r="Q624">
        <f t="shared" si="990"/>
        <v>18589946.67540985</v>
      </c>
      <c r="R624">
        <f t="shared" si="991"/>
        <v>-184414330.4260259</v>
      </c>
      <c r="S624">
        <f t="shared" si="992"/>
        <v>-1844.1433042602589</v>
      </c>
      <c r="T624">
        <f t="shared" si="993"/>
        <v>-1.8441433042602589</v>
      </c>
    </row>
    <row r="625" spans="1:20" x14ac:dyDescent="0.25">
      <c r="A625" s="5">
        <v>43968</v>
      </c>
      <c r="B625">
        <v>5.6969999999999998E-3</v>
      </c>
      <c r="C625">
        <v>6.3730000000000002E-3</v>
      </c>
      <c r="D625">
        <v>5.64E-3</v>
      </c>
      <c r="E625">
        <v>5.6800000000000002E-3</v>
      </c>
      <c r="F625">
        <v>48901291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-0.89085948158253725</v>
      </c>
      <c r="Q625">
        <f t="shared" si="990"/>
        <v>-43564178.748976797</v>
      </c>
      <c r="R625">
        <f t="shared" si="991"/>
        <v>-203004277.10143575</v>
      </c>
      <c r="S625">
        <f t="shared" si="992"/>
        <v>-2030.0427710143574</v>
      </c>
      <c r="T625">
        <f t="shared" si="993"/>
        <v>-2.0300427710143576</v>
      </c>
    </row>
    <row r="626" spans="1:20" x14ac:dyDescent="0.25">
      <c r="A626" s="5">
        <v>43967</v>
      </c>
      <c r="B626">
        <v>5.0460000000000001E-3</v>
      </c>
      <c r="C626">
        <v>5.9069999999999999E-3</v>
      </c>
      <c r="D626">
        <v>5.0379999999999999E-3</v>
      </c>
      <c r="E626">
        <v>5.6969999999999998E-3</v>
      </c>
      <c r="F626">
        <v>29112915</v>
      </c>
      <c r="G626">
        <v>0</v>
      </c>
      <c r="L626" t="s">
        <v>8</v>
      </c>
      <c r="M626" t="s">
        <v>8</v>
      </c>
      <c r="N626" t="s">
        <v>8</v>
      </c>
      <c r="P626">
        <f t="shared" si="989"/>
        <v>0.51668584579976962</v>
      </c>
      <c r="Q626">
        <f t="shared" si="990"/>
        <v>15042231.1104718</v>
      </c>
      <c r="R626">
        <f t="shared" si="991"/>
        <v>-159440098.35245895</v>
      </c>
      <c r="S626">
        <f t="shared" si="992"/>
        <v>-1594.4009835245895</v>
      </c>
      <c r="T626">
        <f t="shared" si="993"/>
        <v>-1.5944009835245896</v>
      </c>
    </row>
    <row r="627" spans="1:20" x14ac:dyDescent="0.25">
      <c r="A627" s="5">
        <v>43966</v>
      </c>
      <c r="B627">
        <v>5.1479999999999998E-3</v>
      </c>
      <c r="C627">
        <v>5.267E-3</v>
      </c>
      <c r="D627">
        <v>4.9430000000000003E-3</v>
      </c>
      <c r="E627">
        <v>5.0899999999999999E-3</v>
      </c>
      <c r="F627">
        <v>6043417</v>
      </c>
      <c r="G627">
        <v>0</v>
      </c>
      <c r="L627" t="s">
        <v>8</v>
      </c>
      <c r="M627" t="s">
        <v>8</v>
      </c>
      <c r="N627" t="s">
        <v>8</v>
      </c>
      <c r="P627">
        <f t="shared" si="989"/>
        <v>-9.2592592592594281E-2</v>
      </c>
      <c r="Q627">
        <f t="shared" si="990"/>
        <v>-559575.64814815833</v>
      </c>
      <c r="R627">
        <f t="shared" si="991"/>
        <v>-174482329.46293074</v>
      </c>
      <c r="S627">
        <f t="shared" si="992"/>
        <v>-1744.8232946293074</v>
      </c>
      <c r="T627">
        <f t="shared" si="993"/>
        <v>-1.7448232946293074</v>
      </c>
    </row>
    <row r="628" spans="1:20" x14ac:dyDescent="0.25">
      <c r="A628" s="5">
        <v>43965</v>
      </c>
      <c r="B628">
        <v>4.895E-3</v>
      </c>
      <c r="C628">
        <v>5.1650000000000003E-3</v>
      </c>
      <c r="D628">
        <v>4.8459999999999996E-3</v>
      </c>
      <c r="E628">
        <v>5.1139999999999996E-3</v>
      </c>
      <c r="F628">
        <v>7794273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0.68025078369905589</v>
      </c>
      <c r="Q628">
        <f t="shared" si="990"/>
        <v>5302060.3166143913</v>
      </c>
      <c r="R628">
        <f t="shared" si="991"/>
        <v>-173922753.81478259</v>
      </c>
      <c r="S628">
        <f t="shared" si="992"/>
        <v>-1739.227538147826</v>
      </c>
      <c r="T628">
        <f t="shared" si="993"/>
        <v>-1.7392275381478259</v>
      </c>
    </row>
    <row r="629" spans="1:20" x14ac:dyDescent="0.25">
      <c r="A629" s="5">
        <v>43964</v>
      </c>
      <c r="B629">
        <v>4.7990000000000003E-3</v>
      </c>
      <c r="C629">
        <v>4.9829999999999996E-3</v>
      </c>
      <c r="D629">
        <v>4.7990000000000003E-3</v>
      </c>
      <c r="E629">
        <v>4.8919999999999996E-3</v>
      </c>
      <c r="F629">
        <v>7632828</v>
      </c>
      <c r="G629">
        <v>0</v>
      </c>
      <c r="L629" t="s">
        <v>8</v>
      </c>
      <c r="M629" t="s">
        <v>7</v>
      </c>
      <c r="N629" t="s">
        <v>8</v>
      </c>
      <c r="P629">
        <f t="shared" si="989"/>
        <v>1.0869565217388076E-2</v>
      </c>
      <c r="Q629">
        <f t="shared" si="990"/>
        <v>82965.521739105796</v>
      </c>
      <c r="R629">
        <f t="shared" si="991"/>
        <v>-179224814.13139698</v>
      </c>
      <c r="S629">
        <f t="shared" si="992"/>
        <v>-1792.2481413139699</v>
      </c>
      <c r="T629">
        <f t="shared" si="993"/>
        <v>-1.7922481413139699</v>
      </c>
    </row>
    <row r="630" spans="1:20" x14ac:dyDescent="0.25">
      <c r="A630" s="5">
        <v>43963</v>
      </c>
      <c r="B630">
        <v>4.764E-3</v>
      </c>
      <c r="C630">
        <v>5.0000000000000001E-3</v>
      </c>
      <c r="D630">
        <v>4.6889999999999996E-3</v>
      </c>
      <c r="E630">
        <v>4.8320000000000004E-3</v>
      </c>
      <c r="F630">
        <v>12905624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-8.0385852090028742E-2</v>
      </c>
      <c r="Q630">
        <f t="shared" si="990"/>
        <v>-1037429.5819935251</v>
      </c>
      <c r="R630">
        <f t="shared" si="991"/>
        <v>-179307779.65313607</v>
      </c>
      <c r="S630">
        <f t="shared" si="992"/>
        <v>-1793.0777965313607</v>
      </c>
      <c r="T630">
        <f t="shared" si="993"/>
        <v>-1.7930777965313607</v>
      </c>
    </row>
    <row r="631" spans="1:20" x14ac:dyDescent="0.25">
      <c r="A631" s="5">
        <v>43962</v>
      </c>
      <c r="B631">
        <v>4.7010000000000003E-3</v>
      </c>
      <c r="C631">
        <v>5.0400000000000002E-3</v>
      </c>
      <c r="D631">
        <v>4.5059999999999996E-3</v>
      </c>
      <c r="E631">
        <v>4.81E-3</v>
      </c>
      <c r="F631">
        <v>36550236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0.13857677902621759</v>
      </c>
      <c r="Q631">
        <f t="shared" si="990"/>
        <v>5065013.9775281036</v>
      </c>
      <c r="R631">
        <f t="shared" si="991"/>
        <v>-178270350.07114255</v>
      </c>
      <c r="S631">
        <f t="shared" si="992"/>
        <v>-1782.7035007114255</v>
      </c>
      <c r="T631">
        <f t="shared" si="993"/>
        <v>-1.7827035007114256</v>
      </c>
    </row>
    <row r="632" spans="1:20" x14ac:dyDescent="0.25">
      <c r="A632" s="5">
        <v>43961</v>
      </c>
      <c r="B632">
        <v>5.1250000000000002E-3</v>
      </c>
      <c r="C632">
        <v>5.1250000000000002E-3</v>
      </c>
      <c r="D632">
        <v>4.4099999999999999E-3</v>
      </c>
      <c r="E632">
        <v>4.6839999999999998E-3</v>
      </c>
      <c r="F632">
        <v>23245629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-0.23356643356643411</v>
      </c>
      <c r="Q632">
        <f t="shared" si="990"/>
        <v>-5429398.6615384743</v>
      </c>
      <c r="R632">
        <f t="shared" si="991"/>
        <v>-183335364.04867065</v>
      </c>
      <c r="S632">
        <f t="shared" si="992"/>
        <v>-1833.3536404867066</v>
      </c>
      <c r="T632">
        <f t="shared" si="993"/>
        <v>-1.8333536404867066</v>
      </c>
    </row>
    <row r="633" spans="1:20" x14ac:dyDescent="0.25">
      <c r="A633" s="5">
        <v>43960</v>
      </c>
      <c r="B633">
        <v>5.0070000000000002E-3</v>
      </c>
      <c r="C633">
        <v>5.4949999999999999E-3</v>
      </c>
      <c r="D633">
        <v>4.9259999999999998E-3</v>
      </c>
      <c r="E633">
        <v>5.1250000000000002E-3</v>
      </c>
      <c r="F633">
        <v>22052629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-0.30052724077328519</v>
      </c>
      <c r="Q633">
        <f t="shared" si="990"/>
        <v>-6627415.7451669313</v>
      </c>
      <c r="R633">
        <f t="shared" si="991"/>
        <v>-177905965.38713217</v>
      </c>
      <c r="S633">
        <f t="shared" si="992"/>
        <v>-1779.0596538713216</v>
      </c>
      <c r="T633">
        <f t="shared" si="993"/>
        <v>-1.7790596538713217</v>
      </c>
    </row>
    <row r="634" spans="1:20" x14ac:dyDescent="0.25">
      <c r="A634" s="5">
        <v>43959</v>
      </c>
      <c r="B634">
        <v>5.0350000000000004E-3</v>
      </c>
      <c r="C634">
        <v>5.0980000000000001E-3</v>
      </c>
      <c r="D634">
        <v>4.8260000000000004E-3</v>
      </c>
      <c r="E634">
        <v>5.0229999999999997E-3</v>
      </c>
      <c r="F634">
        <v>13007344</v>
      </c>
      <c r="G634">
        <v>0</v>
      </c>
      <c r="L634" t="s">
        <v>8</v>
      </c>
      <c r="M634" t="s">
        <v>7</v>
      </c>
      <c r="N634" t="s">
        <v>8</v>
      </c>
      <c r="P634">
        <f t="shared" si="989"/>
        <v>0.44852941176470218</v>
      </c>
      <c r="Q634">
        <f t="shared" si="990"/>
        <v>5834176.3529411284</v>
      </c>
      <c r="R634">
        <f t="shared" si="991"/>
        <v>-171278549.64196524</v>
      </c>
      <c r="S634">
        <f t="shared" si="992"/>
        <v>-1712.7854964196524</v>
      </c>
      <c r="T634">
        <f t="shared" si="993"/>
        <v>-1.7127854964196525</v>
      </c>
    </row>
    <row r="635" spans="1:20" x14ac:dyDescent="0.25">
      <c r="A635" s="5">
        <v>43958</v>
      </c>
      <c r="B635">
        <v>4.7910000000000001E-3</v>
      </c>
      <c r="C635">
        <v>5.0460000000000001E-3</v>
      </c>
      <c r="D635">
        <v>4.6499999999999996E-3</v>
      </c>
      <c r="E635">
        <v>5.0099999999999997E-3</v>
      </c>
      <c r="F635">
        <v>20677427</v>
      </c>
      <c r="G635">
        <v>0</v>
      </c>
      <c r="L635" t="s">
        <v>7</v>
      </c>
      <c r="M635" t="s">
        <v>7</v>
      </c>
      <c r="N635" t="s">
        <v>8</v>
      </c>
      <c r="P635">
        <f t="shared" si="989"/>
        <v>0.81818181818181623</v>
      </c>
      <c r="Q635">
        <f t="shared" si="990"/>
        <v>16917894.818181779</v>
      </c>
      <c r="R635">
        <f t="shared" si="991"/>
        <v>-177112725.99490637</v>
      </c>
      <c r="S635">
        <f t="shared" si="992"/>
        <v>-1771.1272599490637</v>
      </c>
      <c r="T635">
        <f t="shared" si="993"/>
        <v>-1.7711272599490637</v>
      </c>
    </row>
    <row r="636" spans="1:20" x14ac:dyDescent="0.25">
      <c r="A636" s="5">
        <v>43957</v>
      </c>
      <c r="B636">
        <v>5.0689999999999997E-3</v>
      </c>
      <c r="C636">
        <v>5.11E-3</v>
      </c>
      <c r="D636">
        <v>4.7149999999999996E-3</v>
      </c>
      <c r="E636">
        <v>4.8069999999999996E-3</v>
      </c>
      <c r="F636">
        <v>8067776</v>
      </c>
      <c r="G636">
        <v>0</v>
      </c>
      <c r="L636" t="s">
        <v>7</v>
      </c>
      <c r="M636" t="s">
        <v>8</v>
      </c>
      <c r="N636" t="s">
        <v>8</v>
      </c>
      <c r="P636">
        <f t="shared" si="989"/>
        <v>-0.53417721518987349</v>
      </c>
      <c r="Q636">
        <f t="shared" si="990"/>
        <v>-4309622.1164556965</v>
      </c>
      <c r="R636">
        <f t="shared" si="991"/>
        <v>-194030620.81308815</v>
      </c>
      <c r="S636">
        <f t="shared" si="992"/>
        <v>-1940.3062081308815</v>
      </c>
      <c r="T636">
        <f t="shared" si="993"/>
        <v>-1.9403062081308815</v>
      </c>
    </row>
    <row r="637" spans="1:20" x14ac:dyDescent="0.25">
      <c r="A637" s="5">
        <v>43956</v>
      </c>
      <c r="B637">
        <v>5.0730000000000003E-3</v>
      </c>
      <c r="C637">
        <v>5.2509999999999996E-3</v>
      </c>
      <c r="D637">
        <v>4.9350000000000002E-3</v>
      </c>
      <c r="E637">
        <v>5.0419999999999996E-3</v>
      </c>
      <c r="F637">
        <v>8314292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-0.3227848101265845</v>
      </c>
      <c r="Q637">
        <f t="shared" si="990"/>
        <v>-2683727.1645569806</v>
      </c>
      <c r="R637">
        <f t="shared" si="991"/>
        <v>-189720998.69663244</v>
      </c>
      <c r="S637">
        <f t="shared" si="992"/>
        <v>-1897.2099869663245</v>
      </c>
      <c r="T637">
        <f t="shared" si="993"/>
        <v>-1.8972099869663246</v>
      </c>
    </row>
    <row r="638" spans="1:20" x14ac:dyDescent="0.25">
      <c r="A638" s="5">
        <v>43955</v>
      </c>
      <c r="B638">
        <v>5.1780000000000003E-3</v>
      </c>
      <c r="C638">
        <v>5.1809999999999998E-3</v>
      </c>
      <c r="D638">
        <v>4.8199999999999996E-3</v>
      </c>
      <c r="E638">
        <v>5.0540000000000003E-3</v>
      </c>
      <c r="F638">
        <v>10761891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0.29639889196676211</v>
      </c>
      <c r="Q638">
        <f t="shared" si="990"/>
        <v>3189812.5678670695</v>
      </c>
      <c r="R638">
        <f t="shared" si="991"/>
        <v>-187037271.53207546</v>
      </c>
      <c r="S638">
        <f t="shared" si="992"/>
        <v>-1870.3727153207547</v>
      </c>
      <c r="T638">
        <f t="shared" si="993"/>
        <v>-1.8703727153207546</v>
      </c>
    </row>
    <row r="639" spans="1:20" x14ac:dyDescent="0.25">
      <c r="A639" s="5">
        <v>43954</v>
      </c>
      <c r="B639">
        <v>5.3179999999999998E-3</v>
      </c>
      <c r="C639">
        <v>5.5929999999999999E-3</v>
      </c>
      <c r="D639">
        <v>5.0600000000000003E-3</v>
      </c>
      <c r="E639">
        <v>5.2069999999999998E-3</v>
      </c>
      <c r="F639">
        <v>32396460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-0.44840525328330333</v>
      </c>
      <c r="Q639">
        <f t="shared" si="990"/>
        <v>-14526742.851782406</v>
      </c>
      <c r="R639">
        <f t="shared" si="991"/>
        <v>-190227084.09994254</v>
      </c>
      <c r="S639">
        <f t="shared" si="992"/>
        <v>-1902.2708409994254</v>
      </c>
      <c r="T639">
        <f t="shared" si="993"/>
        <v>-1.9022708409994253</v>
      </c>
    </row>
    <row r="640" spans="1:20" x14ac:dyDescent="0.25">
      <c r="A640" s="5">
        <v>43953</v>
      </c>
      <c r="B640">
        <v>5.3769999999999998E-3</v>
      </c>
      <c r="C640">
        <v>5.4549999999999998E-3</v>
      </c>
      <c r="D640">
        <v>5.2350000000000001E-3</v>
      </c>
      <c r="E640">
        <v>5.3179999999999998E-3</v>
      </c>
      <c r="F640">
        <v>9274938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-0.24545454545454681</v>
      </c>
      <c r="Q640">
        <f t="shared" si="990"/>
        <v>-2276575.6909091035</v>
      </c>
      <c r="R640">
        <f t="shared" si="991"/>
        <v>-175700341.24816012</v>
      </c>
      <c r="S640">
        <f t="shared" si="992"/>
        <v>-1757.0034124816013</v>
      </c>
      <c r="T640">
        <f t="shared" si="993"/>
        <v>-1.7570034124816014</v>
      </c>
    </row>
    <row r="641" spans="1:20" x14ac:dyDescent="0.25">
      <c r="A641" s="5">
        <v>43952</v>
      </c>
      <c r="B641">
        <v>5.1500000000000001E-3</v>
      </c>
      <c r="C641">
        <v>5.4869999999999997E-3</v>
      </c>
      <c r="D641">
        <v>5.1399999999999996E-3</v>
      </c>
      <c r="E641">
        <v>5.3880000000000004E-3</v>
      </c>
      <c r="F641">
        <v>13407395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0.42939481268011964</v>
      </c>
      <c r="Q641">
        <f t="shared" si="990"/>
        <v>5757065.8645533724</v>
      </c>
      <c r="R641">
        <f t="shared" si="991"/>
        <v>-173423765.55725101</v>
      </c>
      <c r="S641">
        <f t="shared" si="992"/>
        <v>-1734.23765557251</v>
      </c>
      <c r="T641">
        <f t="shared" si="993"/>
        <v>-1.7342376555725101</v>
      </c>
    </row>
    <row r="642" spans="1:20" x14ac:dyDescent="0.25">
      <c r="A642" s="5">
        <v>43951</v>
      </c>
      <c r="B642">
        <v>5.1799999999999997E-3</v>
      </c>
      <c r="C642">
        <v>5.653E-3</v>
      </c>
      <c r="D642">
        <v>4.9170000000000004E-3</v>
      </c>
      <c r="E642">
        <v>5.13E-3</v>
      </c>
      <c r="F642">
        <v>39813920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-0.42119565217391375</v>
      </c>
      <c r="Q642">
        <f t="shared" si="990"/>
        <v>-16769450.000000028</v>
      </c>
      <c r="R642">
        <f t="shared" si="991"/>
        <v>-179180831.42180437</v>
      </c>
      <c r="S642">
        <f t="shared" si="992"/>
        <v>-1791.8083142180437</v>
      </c>
      <c r="T642">
        <f t="shared" si="993"/>
        <v>-1.7918083142180437</v>
      </c>
    </row>
    <row r="643" spans="1:20" x14ac:dyDescent="0.25">
      <c r="A643" s="5">
        <v>43950</v>
      </c>
      <c r="B643">
        <v>4.8269999999999997E-3</v>
      </c>
      <c r="C643">
        <v>5.45E-3</v>
      </c>
      <c r="D643">
        <v>4.7600000000000003E-3</v>
      </c>
      <c r="E643">
        <v>5.1960000000000001E-3</v>
      </c>
      <c r="F643">
        <v>40815844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0.26376811594202892</v>
      </c>
      <c r="Q643">
        <f t="shared" si="990"/>
        <v>10765918.272463765</v>
      </c>
      <c r="R643">
        <f t="shared" si="991"/>
        <v>-162411381.42180434</v>
      </c>
      <c r="S643">
        <f t="shared" si="992"/>
        <v>-1624.1138142180434</v>
      </c>
      <c r="T643">
        <f t="shared" si="993"/>
        <v>-1.6241138142180434</v>
      </c>
    </row>
    <row r="644" spans="1:20" x14ac:dyDescent="0.25">
      <c r="A644" s="5">
        <v>43949</v>
      </c>
      <c r="B644">
        <v>4.6169999999999996E-3</v>
      </c>
      <c r="C644">
        <v>4.895E-3</v>
      </c>
      <c r="D644">
        <v>4.5360000000000001E-3</v>
      </c>
      <c r="E644">
        <v>4.8250000000000003E-3</v>
      </c>
      <c r="F644">
        <v>10049453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0.61002785515320468</v>
      </c>
      <c r="Q644">
        <f t="shared" si="990"/>
        <v>6130446.2590529379</v>
      </c>
      <c r="R644">
        <f t="shared" si="991"/>
        <v>-173177299.69426811</v>
      </c>
      <c r="S644">
        <f t="shared" si="992"/>
        <v>-1731.7729969426812</v>
      </c>
      <c r="T644">
        <f t="shared" si="993"/>
        <v>-1.7317729969426812</v>
      </c>
    </row>
    <row r="645" spans="1:20" x14ac:dyDescent="0.25">
      <c r="A645" s="5">
        <v>43948</v>
      </c>
      <c r="B645">
        <v>4.7000000000000002E-3</v>
      </c>
      <c r="C645">
        <v>4.79E-3</v>
      </c>
      <c r="D645">
        <v>4.5149999999999999E-3</v>
      </c>
      <c r="E645">
        <v>4.6189999999999998E-3</v>
      </c>
      <c r="F645">
        <v>7144401</v>
      </c>
      <c r="G645">
        <v>0</v>
      </c>
      <c r="L645" t="s">
        <v>8</v>
      </c>
      <c r="M645" t="s">
        <v>8</v>
      </c>
      <c r="N645" t="s">
        <v>8</v>
      </c>
      <c r="P645">
        <f t="shared" si="989"/>
        <v>-0.24363636363636437</v>
      </c>
      <c r="Q645">
        <f t="shared" si="990"/>
        <v>-1740635.8800000052</v>
      </c>
      <c r="R645">
        <f t="shared" si="991"/>
        <v>-179307745.95332104</v>
      </c>
      <c r="S645">
        <f t="shared" si="992"/>
        <v>-1793.0774595332105</v>
      </c>
      <c r="T645">
        <f t="shared" si="993"/>
        <v>-1.7930774595332104</v>
      </c>
    </row>
    <row r="646" spans="1:20" x14ac:dyDescent="0.25">
      <c r="A646" s="5">
        <v>43947</v>
      </c>
      <c r="B646">
        <v>4.6230000000000004E-3</v>
      </c>
      <c r="C646">
        <v>4.7999999999999996E-3</v>
      </c>
      <c r="D646">
        <v>4.5979999999999997E-3</v>
      </c>
      <c r="E646">
        <v>4.6860000000000001E-3</v>
      </c>
      <c r="F646">
        <v>12161107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-0.12871287128712439</v>
      </c>
      <c r="Q646">
        <f t="shared" ref="Q646:Q709" si="995">F646*P646</f>
        <v>-1565290.9999999474</v>
      </c>
      <c r="R646">
        <f t="shared" ref="R646:R709" si="996">R647+Q646</f>
        <v>-177567110.07332104</v>
      </c>
      <c r="S646">
        <f t="shared" ref="S646:S709" si="997">R646/100000</f>
        <v>-1775.6711007332106</v>
      </c>
      <c r="T646">
        <f t="shared" ref="T646:T709" si="998">S646/1000</f>
        <v>-1.7756711007332107</v>
      </c>
    </row>
    <row r="647" spans="1:20" x14ac:dyDescent="0.25">
      <c r="A647" s="5">
        <v>43946</v>
      </c>
      <c r="B647">
        <v>4.4910000000000002E-3</v>
      </c>
      <c r="C647">
        <v>4.7359999999999998E-3</v>
      </c>
      <c r="D647">
        <v>4.4809999999999997E-3</v>
      </c>
      <c r="E647">
        <v>4.62E-3</v>
      </c>
      <c r="F647">
        <v>6553462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9.019607843137431E-2</v>
      </c>
      <c r="Q647">
        <f t="shared" si="995"/>
        <v>591096.57254903112</v>
      </c>
      <c r="R647">
        <f t="shared" si="996"/>
        <v>-176001819.0733211</v>
      </c>
      <c r="S647">
        <f t="shared" si="997"/>
        <v>-1760.018190733211</v>
      </c>
      <c r="T647">
        <f t="shared" si="998"/>
        <v>-1.7600181907332111</v>
      </c>
    </row>
    <row r="648" spans="1:20" x14ac:dyDescent="0.25">
      <c r="A648" s="5">
        <v>43945</v>
      </c>
      <c r="B648">
        <v>4.4580000000000002E-3</v>
      </c>
      <c r="C648">
        <v>4.5669999999999999E-3</v>
      </c>
      <c r="D648">
        <v>4.3280000000000002E-3</v>
      </c>
      <c r="E648">
        <v>4.5199999999999997E-3</v>
      </c>
      <c r="F648">
        <v>5581100</v>
      </c>
      <c r="G648">
        <v>0</v>
      </c>
      <c r="L648" t="s">
        <v>7</v>
      </c>
      <c r="M648" t="s">
        <v>8</v>
      </c>
      <c r="N648" t="s">
        <v>8</v>
      </c>
      <c r="P648">
        <f t="shared" si="994"/>
        <v>0.60669456066945404</v>
      </c>
      <c r="Q648">
        <f t="shared" si="995"/>
        <v>3386023.0125522898</v>
      </c>
      <c r="R648">
        <f t="shared" si="996"/>
        <v>-176592915.64587015</v>
      </c>
      <c r="S648">
        <f t="shared" si="997"/>
        <v>-1765.9291564587015</v>
      </c>
      <c r="T648">
        <f t="shared" si="998"/>
        <v>-1.7659291564587016</v>
      </c>
    </row>
    <row r="649" spans="1:20" x14ac:dyDescent="0.25">
      <c r="A649" s="5">
        <v>43944</v>
      </c>
      <c r="B649">
        <v>4.4549999999999998E-3</v>
      </c>
      <c r="C649">
        <v>4.7089999999999996E-3</v>
      </c>
      <c r="D649">
        <v>4.3420000000000004E-3</v>
      </c>
      <c r="E649">
        <v>4.4039999999999999E-3</v>
      </c>
      <c r="F649">
        <v>7548760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-0.66212534059945682</v>
      </c>
      <c r="Q649">
        <f t="shared" si="995"/>
        <v>-4998225.2861035559</v>
      </c>
      <c r="R649">
        <f t="shared" si="996"/>
        <v>-179978938.65842244</v>
      </c>
      <c r="S649">
        <f t="shared" si="997"/>
        <v>-1799.7893865842243</v>
      </c>
      <c r="T649">
        <f t="shared" si="998"/>
        <v>-1.7997893865842243</v>
      </c>
    </row>
    <row r="650" spans="1:20" x14ac:dyDescent="0.25">
      <c r="A650" s="5">
        <v>43943</v>
      </c>
      <c r="B650">
        <v>4.2880000000000001E-3</v>
      </c>
      <c r="C650">
        <v>4.4990000000000004E-3</v>
      </c>
      <c r="D650">
        <v>4.2830000000000003E-3</v>
      </c>
      <c r="E650">
        <v>4.4479999999999997E-3</v>
      </c>
      <c r="F650">
        <v>2975151</v>
      </c>
      <c r="G650">
        <v>0</v>
      </c>
      <c r="L650" t="s">
        <v>8</v>
      </c>
      <c r="M650" t="s">
        <v>8</v>
      </c>
      <c r="N650" t="s">
        <v>8</v>
      </c>
      <c r="P650">
        <f t="shared" si="994"/>
        <v>0.52777777777777146</v>
      </c>
      <c r="Q650">
        <f t="shared" si="995"/>
        <v>1570218.5833333146</v>
      </c>
      <c r="R650">
        <f t="shared" si="996"/>
        <v>-174980713.37231889</v>
      </c>
      <c r="S650">
        <f t="shared" si="997"/>
        <v>-1749.8071337231888</v>
      </c>
      <c r="T650">
        <f t="shared" si="998"/>
        <v>-1.7498071337231889</v>
      </c>
    </row>
    <row r="651" spans="1:20" x14ac:dyDescent="0.25">
      <c r="A651" s="5">
        <v>43942</v>
      </c>
      <c r="B651">
        <v>4.2589999999999998E-3</v>
      </c>
      <c r="C651">
        <v>4.3359999999999996E-3</v>
      </c>
      <c r="D651">
        <v>4.2249999999999996E-3</v>
      </c>
      <c r="E651">
        <v>4.2880000000000001E-3</v>
      </c>
      <c r="F651">
        <v>3100262</v>
      </c>
      <c r="G651">
        <v>0</v>
      </c>
      <c r="L651" t="s">
        <v>7</v>
      </c>
      <c r="M651" t="s">
        <v>8</v>
      </c>
      <c r="N651" t="s">
        <v>8</v>
      </c>
      <c r="P651">
        <f t="shared" si="994"/>
        <v>0.13513513513514527</v>
      </c>
      <c r="Q651">
        <f t="shared" si="995"/>
        <v>418954.32432435575</v>
      </c>
      <c r="R651">
        <f t="shared" si="996"/>
        <v>-176550931.95565221</v>
      </c>
      <c r="S651">
        <f t="shared" si="997"/>
        <v>-1765.5093195565221</v>
      </c>
      <c r="T651">
        <f t="shared" si="998"/>
        <v>-1.7655093195565221</v>
      </c>
    </row>
    <row r="652" spans="1:20" x14ac:dyDescent="0.25">
      <c r="A652" s="5">
        <v>43941</v>
      </c>
      <c r="B652">
        <v>4.5729999999999998E-3</v>
      </c>
      <c r="C652">
        <v>4.6800000000000001E-3</v>
      </c>
      <c r="D652">
        <v>4.1440000000000001E-3</v>
      </c>
      <c r="E652">
        <v>4.2709999999999996E-3</v>
      </c>
      <c r="F652">
        <v>17488179</v>
      </c>
      <c r="G652">
        <v>0</v>
      </c>
      <c r="L652" t="s">
        <v>7</v>
      </c>
      <c r="M652" t="s">
        <v>8</v>
      </c>
      <c r="N652" t="s">
        <v>8</v>
      </c>
      <c r="P652">
        <f t="shared" si="994"/>
        <v>-0.52611940298507642</v>
      </c>
      <c r="Q652">
        <f t="shared" si="995"/>
        <v>-9200870.294776151</v>
      </c>
      <c r="R652">
        <f t="shared" si="996"/>
        <v>-176969886.27997658</v>
      </c>
      <c r="S652">
        <f t="shared" si="997"/>
        <v>-1769.6988627997657</v>
      </c>
      <c r="T652">
        <f t="shared" si="998"/>
        <v>-1.7696988627997656</v>
      </c>
    </row>
    <row r="653" spans="1:20" x14ac:dyDescent="0.25">
      <c r="A653" s="5">
        <v>43940</v>
      </c>
      <c r="B653">
        <v>4.738E-3</v>
      </c>
      <c r="C653">
        <v>4.7790000000000003E-3</v>
      </c>
      <c r="D653">
        <v>4.5240000000000002E-3</v>
      </c>
      <c r="E653">
        <v>4.5760000000000002E-3</v>
      </c>
      <c r="F653">
        <v>6441721</v>
      </c>
      <c r="G653">
        <v>0</v>
      </c>
      <c r="L653" t="s">
        <v>8</v>
      </c>
      <c r="M653" t="s">
        <v>8</v>
      </c>
      <c r="N653" t="s">
        <v>8</v>
      </c>
      <c r="P653">
        <f t="shared" si="994"/>
        <v>-0.59215686274509838</v>
      </c>
      <c r="Q653">
        <f t="shared" si="995"/>
        <v>-3814509.2980392179</v>
      </c>
      <c r="R653">
        <f t="shared" si="996"/>
        <v>-167769015.98520043</v>
      </c>
      <c r="S653">
        <f t="shared" si="997"/>
        <v>-1677.6901598520044</v>
      </c>
      <c r="T653">
        <f t="shared" si="998"/>
        <v>-1.6776901598520044</v>
      </c>
    </row>
    <row r="654" spans="1:20" x14ac:dyDescent="0.25">
      <c r="A654" s="5">
        <v>43939</v>
      </c>
      <c r="B654">
        <v>4.4330000000000003E-3</v>
      </c>
      <c r="C654">
        <v>4.8549999999999999E-3</v>
      </c>
      <c r="D654">
        <v>4.3870000000000003E-3</v>
      </c>
      <c r="E654">
        <v>4.7019999999999996E-3</v>
      </c>
      <c r="F654">
        <v>9034632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0.34615384615384415</v>
      </c>
      <c r="Q654">
        <f t="shared" si="995"/>
        <v>3127372.6153845973</v>
      </c>
      <c r="R654">
        <f t="shared" si="996"/>
        <v>-163954506.68716121</v>
      </c>
      <c r="S654">
        <f t="shared" si="997"/>
        <v>-1639.5450668716121</v>
      </c>
      <c r="T654">
        <f t="shared" si="998"/>
        <v>-1.6395450668716121</v>
      </c>
    </row>
    <row r="655" spans="1:20" x14ac:dyDescent="0.25">
      <c r="A655" s="5">
        <v>43938</v>
      </c>
      <c r="B655">
        <v>4.3709999999999999E-3</v>
      </c>
      <c r="C655">
        <v>4.4970000000000001E-3</v>
      </c>
      <c r="D655">
        <v>4.28E-3</v>
      </c>
      <c r="E655">
        <v>4.4019999999999997E-3</v>
      </c>
      <c r="F655">
        <v>3230686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0.12442396313363698</v>
      </c>
      <c r="Q655">
        <f t="shared" si="995"/>
        <v>401974.75576035713</v>
      </c>
      <c r="R655">
        <f t="shared" si="996"/>
        <v>-167081879.30254582</v>
      </c>
      <c r="S655">
        <f t="shared" si="997"/>
        <v>-1670.8187930254583</v>
      </c>
      <c r="T655">
        <f t="shared" si="998"/>
        <v>-1.6708187930254583</v>
      </c>
    </row>
    <row r="656" spans="1:20" x14ac:dyDescent="0.25">
      <c r="A656" s="5">
        <v>43937</v>
      </c>
      <c r="B656">
        <v>4.1130000000000003E-3</v>
      </c>
      <c r="C656">
        <v>4.4339999999999996E-3</v>
      </c>
      <c r="D656">
        <v>3.9839999999999997E-3</v>
      </c>
      <c r="E656">
        <v>4.352E-3</v>
      </c>
      <c r="F656">
        <v>12774097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0.63555555555555721</v>
      </c>
      <c r="Q656">
        <f t="shared" si="995"/>
        <v>8118648.3155555762</v>
      </c>
      <c r="R656">
        <f t="shared" si="996"/>
        <v>-167483854.05830619</v>
      </c>
      <c r="S656">
        <f t="shared" si="997"/>
        <v>-1674.8385405830618</v>
      </c>
      <c r="T656">
        <f t="shared" si="998"/>
        <v>-1.6748385405830617</v>
      </c>
    </row>
    <row r="657" spans="1:20" x14ac:dyDescent="0.25">
      <c r="A657" s="5">
        <v>43936</v>
      </c>
      <c r="B657">
        <v>4.3010000000000001E-3</v>
      </c>
      <c r="C657">
        <v>4.3990000000000001E-3</v>
      </c>
      <c r="D657">
        <v>4.1130000000000003E-3</v>
      </c>
      <c r="E657">
        <v>4.1149999999999997E-3</v>
      </c>
      <c r="F657">
        <v>4574875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-0.98601398601399026</v>
      </c>
      <c r="Q657">
        <f t="shared" si="995"/>
        <v>-4510890.734265754</v>
      </c>
      <c r="R657">
        <f t="shared" si="996"/>
        <v>-175602502.37386176</v>
      </c>
      <c r="S657">
        <f t="shared" si="997"/>
        <v>-1756.0250237386176</v>
      </c>
      <c r="T657">
        <f t="shared" si="998"/>
        <v>-1.7560250237386177</v>
      </c>
    </row>
    <row r="658" spans="1:20" x14ac:dyDescent="0.25">
      <c r="A658" s="5">
        <v>43935</v>
      </c>
      <c r="B658">
        <v>4.4339999999999996E-3</v>
      </c>
      <c r="C658">
        <v>4.483E-3</v>
      </c>
      <c r="D658">
        <v>4.3179999999999998E-3</v>
      </c>
      <c r="E658">
        <v>4.3680000000000004E-3</v>
      </c>
      <c r="F658">
        <v>4815354</v>
      </c>
      <c r="G658">
        <v>0</v>
      </c>
      <c r="L658" t="s">
        <v>7</v>
      </c>
      <c r="M658" t="s">
        <v>7</v>
      </c>
      <c r="N658" t="s">
        <v>8</v>
      </c>
      <c r="P658">
        <f t="shared" si="994"/>
        <v>-0.39393939393938787</v>
      </c>
      <c r="Q658">
        <f t="shared" si="995"/>
        <v>-1896957.6363636071</v>
      </c>
      <c r="R658">
        <f t="shared" si="996"/>
        <v>-171091611.63959602</v>
      </c>
      <c r="S658">
        <f t="shared" si="997"/>
        <v>-1710.9161163959602</v>
      </c>
      <c r="T658">
        <f t="shared" si="998"/>
        <v>-1.7109161163959603</v>
      </c>
    </row>
    <row r="659" spans="1:20" x14ac:dyDescent="0.25">
      <c r="A659" s="5">
        <v>43934</v>
      </c>
      <c r="B659">
        <v>4.424E-3</v>
      </c>
      <c r="C659">
        <v>4.4479999999999997E-3</v>
      </c>
      <c r="D659">
        <v>4.2030000000000001E-3</v>
      </c>
      <c r="E659">
        <v>4.4149999999999997E-3</v>
      </c>
      <c r="F659">
        <v>3984707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0.7306122448979584</v>
      </c>
      <c r="Q659">
        <f t="shared" si="995"/>
        <v>2911275.7265306092</v>
      </c>
      <c r="R659">
        <f t="shared" si="996"/>
        <v>-169194654.00323242</v>
      </c>
      <c r="S659">
        <f t="shared" si="997"/>
        <v>-1691.9465400323243</v>
      </c>
      <c r="T659">
        <f t="shared" si="998"/>
        <v>-1.6919465400323244</v>
      </c>
    </row>
    <row r="660" spans="1:20" x14ac:dyDescent="0.25">
      <c r="A660" s="5">
        <v>43933</v>
      </c>
      <c r="B660">
        <v>4.385E-3</v>
      </c>
      <c r="C660">
        <v>4.6509999999999998E-3</v>
      </c>
      <c r="D660">
        <v>4.3200000000000001E-3</v>
      </c>
      <c r="E660">
        <v>4.424E-3</v>
      </c>
      <c r="F660">
        <v>9771482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-0.37160120845921435</v>
      </c>
      <c r="Q660">
        <f t="shared" si="995"/>
        <v>-3631094.5196374608</v>
      </c>
      <c r="R660">
        <f t="shared" si="996"/>
        <v>-172105929.72976303</v>
      </c>
      <c r="S660">
        <f t="shared" si="997"/>
        <v>-1721.0592972976303</v>
      </c>
      <c r="T660">
        <f t="shared" si="998"/>
        <v>-1.7210592972976304</v>
      </c>
    </row>
    <row r="661" spans="1:20" x14ac:dyDescent="0.25">
      <c r="A661" s="5">
        <v>43932</v>
      </c>
      <c r="B661">
        <v>4.4270000000000004E-3</v>
      </c>
      <c r="C661">
        <v>4.5739999999999999E-3</v>
      </c>
      <c r="D661">
        <v>4.254E-3</v>
      </c>
      <c r="E661">
        <v>4.3839999999999999E-3</v>
      </c>
      <c r="F661">
        <v>4460893</v>
      </c>
      <c r="G661">
        <v>0</v>
      </c>
      <c r="L661" t="s">
        <v>7</v>
      </c>
      <c r="M661" t="s">
        <v>7</v>
      </c>
      <c r="N661" t="s">
        <v>8</v>
      </c>
      <c r="P661">
        <f t="shared" si="994"/>
        <v>-0.1875000000000005</v>
      </c>
      <c r="Q661">
        <f t="shared" si="995"/>
        <v>-836417.43750000221</v>
      </c>
      <c r="R661">
        <f t="shared" si="996"/>
        <v>-168474835.21012557</v>
      </c>
      <c r="S661">
        <f t="shared" si="997"/>
        <v>-1684.7483521012557</v>
      </c>
      <c r="T661">
        <f t="shared" si="998"/>
        <v>-1.6847483521012556</v>
      </c>
    </row>
    <row r="662" spans="1:20" x14ac:dyDescent="0.25">
      <c r="A662" s="5">
        <v>43931</v>
      </c>
      <c r="B662">
        <v>5.0109999999999998E-3</v>
      </c>
      <c r="C662">
        <v>5.0220000000000004E-3</v>
      </c>
      <c r="D662">
        <v>4.3299999999999996E-3</v>
      </c>
      <c r="E662">
        <v>4.4279999999999996E-3</v>
      </c>
      <c r="F662">
        <v>6682034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-0.71676300578034713</v>
      </c>
      <c r="Q662">
        <f t="shared" si="995"/>
        <v>-4789434.7745664762</v>
      </c>
      <c r="R662">
        <f t="shared" si="996"/>
        <v>-167638417.77262557</v>
      </c>
      <c r="S662">
        <f t="shared" si="997"/>
        <v>-1676.3841777262558</v>
      </c>
      <c r="T662">
        <f t="shared" si="998"/>
        <v>-1.6763841777262558</v>
      </c>
    </row>
    <row r="663" spans="1:20" x14ac:dyDescent="0.25">
      <c r="A663" s="5">
        <v>43930</v>
      </c>
      <c r="B663">
        <v>5.0600000000000003E-3</v>
      </c>
      <c r="C663">
        <v>5.0769999999999999E-3</v>
      </c>
      <c r="D663">
        <v>4.8799999999999998E-3</v>
      </c>
      <c r="E663">
        <v>4.9620000000000003E-3</v>
      </c>
      <c r="F663">
        <v>4944350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-0.16751269035532565</v>
      </c>
      <c r="Q663">
        <f t="shared" si="995"/>
        <v>-828241.37055835442</v>
      </c>
      <c r="R663">
        <f t="shared" si="996"/>
        <v>-162848982.99805909</v>
      </c>
      <c r="S663">
        <f t="shared" si="997"/>
        <v>-1628.4898299805909</v>
      </c>
      <c r="T663">
        <f t="shared" si="998"/>
        <v>-1.628489829980591</v>
      </c>
    </row>
    <row r="664" spans="1:20" x14ac:dyDescent="0.25">
      <c r="A664" s="5">
        <v>43929</v>
      </c>
      <c r="B664">
        <v>4.8630000000000001E-3</v>
      </c>
      <c r="C664">
        <v>5.4999999999999997E-3</v>
      </c>
      <c r="D664">
        <v>4.8089999999999999E-3</v>
      </c>
      <c r="E664">
        <v>5.0260000000000001E-3</v>
      </c>
      <c r="F664">
        <v>16218921</v>
      </c>
      <c r="G664">
        <v>0</v>
      </c>
      <c r="L664" t="s">
        <v>8</v>
      </c>
      <c r="M664" t="s">
        <v>8</v>
      </c>
      <c r="N664" t="s">
        <v>8</v>
      </c>
      <c r="P664">
        <f t="shared" si="994"/>
        <v>-0.37192474674384879</v>
      </c>
      <c r="Q664">
        <f t="shared" si="995"/>
        <v>-6032218.0853834907</v>
      </c>
      <c r="R664">
        <f t="shared" si="996"/>
        <v>-162020741.62750074</v>
      </c>
      <c r="S664">
        <f t="shared" si="997"/>
        <v>-1620.2074162750075</v>
      </c>
      <c r="T664">
        <f t="shared" si="998"/>
        <v>-1.6202074162750075</v>
      </c>
    </row>
    <row r="665" spans="1:20" x14ac:dyDescent="0.25">
      <c r="A665" s="5">
        <v>43928</v>
      </c>
      <c r="B665">
        <v>4.7080000000000004E-3</v>
      </c>
      <c r="C665">
        <v>5.3829999999999998E-3</v>
      </c>
      <c r="D665">
        <v>4.6610000000000002E-3</v>
      </c>
      <c r="E665">
        <v>4.8630000000000001E-3</v>
      </c>
      <c r="F665">
        <v>46347536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-0.44044321329639874</v>
      </c>
      <c r="Q665">
        <f t="shared" si="995"/>
        <v>-20413457.68421052</v>
      </c>
      <c r="R665">
        <f t="shared" si="996"/>
        <v>-155988523.54211724</v>
      </c>
      <c r="S665">
        <f t="shared" si="997"/>
        <v>-1559.8852354211724</v>
      </c>
      <c r="T665">
        <f t="shared" si="998"/>
        <v>-1.5598852354211723</v>
      </c>
    </row>
    <row r="666" spans="1:20" x14ac:dyDescent="0.25">
      <c r="A666" s="5">
        <v>43927</v>
      </c>
      <c r="B666">
        <v>4.4720000000000003E-3</v>
      </c>
      <c r="C666">
        <v>4.7530000000000003E-3</v>
      </c>
      <c r="D666">
        <v>4.4679999999999997E-3</v>
      </c>
      <c r="E666">
        <v>4.7470000000000004E-3</v>
      </c>
      <c r="F666">
        <v>10897779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0.9578947368421058</v>
      </c>
      <c r="Q666">
        <f t="shared" si="995"/>
        <v>10438925.147368427</v>
      </c>
      <c r="R666">
        <f t="shared" si="996"/>
        <v>-135575065.85790673</v>
      </c>
      <c r="S666">
        <f t="shared" si="997"/>
        <v>-1355.7506585790672</v>
      </c>
      <c r="T666">
        <f t="shared" si="998"/>
        <v>-1.3557506585790673</v>
      </c>
    </row>
    <row r="667" spans="1:20" x14ac:dyDescent="0.25">
      <c r="A667" s="5">
        <v>43926</v>
      </c>
      <c r="B667">
        <v>4.5389999999999996E-3</v>
      </c>
      <c r="C667">
        <v>4.5779999999999996E-3</v>
      </c>
      <c r="D667">
        <v>4.3610000000000003E-3</v>
      </c>
      <c r="E667">
        <v>4.4219999999999997E-3</v>
      </c>
      <c r="F667">
        <v>4922481</v>
      </c>
      <c r="G667">
        <v>0</v>
      </c>
      <c r="L667" t="s">
        <v>7</v>
      </c>
      <c r="M667" t="s">
        <v>8</v>
      </c>
      <c r="N667" t="s">
        <v>8</v>
      </c>
      <c r="P667">
        <f t="shared" si="994"/>
        <v>-0.43778801843318327</v>
      </c>
      <c r="Q667">
        <f t="shared" si="995"/>
        <v>-2155003.2027649945</v>
      </c>
      <c r="R667">
        <f t="shared" si="996"/>
        <v>-146013991.00527516</v>
      </c>
      <c r="S667">
        <f t="shared" si="997"/>
        <v>-1460.1399100527517</v>
      </c>
      <c r="T667">
        <f t="shared" si="998"/>
        <v>-1.4601399100527517</v>
      </c>
    </row>
    <row r="668" spans="1:20" x14ac:dyDescent="0.25">
      <c r="A668" s="5">
        <v>43925</v>
      </c>
      <c r="B668">
        <v>4.4270000000000004E-3</v>
      </c>
      <c r="C668">
        <v>4.6629999999999996E-3</v>
      </c>
      <c r="D668">
        <v>4.3870000000000003E-3</v>
      </c>
      <c r="E668">
        <v>4.5389999999999996E-3</v>
      </c>
      <c r="F668">
        <v>11382101</v>
      </c>
      <c r="G668">
        <v>0</v>
      </c>
      <c r="L668" t="s">
        <v>7</v>
      </c>
      <c r="M668" t="s">
        <v>8</v>
      </c>
      <c r="N668" t="s">
        <v>8</v>
      </c>
      <c r="P668">
        <f t="shared" si="994"/>
        <v>0.10144927536231683</v>
      </c>
      <c r="Q668">
        <f t="shared" si="995"/>
        <v>1154705.8985507018</v>
      </c>
      <c r="R668">
        <f t="shared" si="996"/>
        <v>-143858987.80251017</v>
      </c>
      <c r="S668">
        <f t="shared" si="997"/>
        <v>-1438.5898780251018</v>
      </c>
      <c r="T668">
        <f t="shared" si="998"/>
        <v>-1.4385898780251019</v>
      </c>
    </row>
    <row r="669" spans="1:20" x14ac:dyDescent="0.25">
      <c r="A669" s="5">
        <v>43924</v>
      </c>
      <c r="B669">
        <v>4.4359999999999998E-3</v>
      </c>
      <c r="C669">
        <v>4.8799999999999998E-3</v>
      </c>
      <c r="D669">
        <v>4.3379999999999998E-3</v>
      </c>
      <c r="E669">
        <v>4.4270000000000004E-3</v>
      </c>
      <c r="F669">
        <v>27556656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-0.67158671586715668</v>
      </c>
      <c r="Q669">
        <f t="shared" si="995"/>
        <v>-18506684.103320979</v>
      </c>
      <c r="R669">
        <f t="shared" si="996"/>
        <v>-145013693.70106086</v>
      </c>
      <c r="S669">
        <f t="shared" si="997"/>
        <v>-1450.1369370106086</v>
      </c>
      <c r="T669">
        <f t="shared" si="998"/>
        <v>-1.4501369370106085</v>
      </c>
    </row>
    <row r="670" spans="1:20" x14ac:dyDescent="0.25">
      <c r="A670" s="5">
        <v>43923</v>
      </c>
      <c r="B670">
        <v>4.529E-3</v>
      </c>
      <c r="C670">
        <v>4.8479999999999999E-3</v>
      </c>
      <c r="D670">
        <v>4.372E-3</v>
      </c>
      <c r="E670">
        <v>4.4060000000000002E-3</v>
      </c>
      <c r="F670">
        <v>41051936</v>
      </c>
      <c r="G670">
        <v>0</v>
      </c>
      <c r="L670" t="s">
        <v>7</v>
      </c>
      <c r="M670" t="s">
        <v>8</v>
      </c>
      <c r="N670" t="s">
        <v>8</v>
      </c>
      <c r="P670">
        <f t="shared" si="994"/>
        <v>-0.85714285714285632</v>
      </c>
      <c r="Q670">
        <f t="shared" si="995"/>
        <v>-35187373.714285679</v>
      </c>
      <c r="R670">
        <f t="shared" si="996"/>
        <v>-126507009.59773988</v>
      </c>
      <c r="S670">
        <f t="shared" si="997"/>
        <v>-1265.0700959773988</v>
      </c>
      <c r="T670">
        <f t="shared" si="998"/>
        <v>-1.2650700959773988</v>
      </c>
    </row>
    <row r="671" spans="1:20" x14ac:dyDescent="0.25">
      <c r="A671" s="5">
        <v>43922</v>
      </c>
      <c r="B671">
        <v>4.0699999999999998E-3</v>
      </c>
      <c r="C671">
        <v>4.9690000000000003E-3</v>
      </c>
      <c r="D671">
        <v>3.9519999999999998E-3</v>
      </c>
      <c r="E671">
        <v>4.5409999999999999E-3</v>
      </c>
      <c r="F671">
        <v>74850496</v>
      </c>
      <c r="G671">
        <v>0</v>
      </c>
      <c r="L671" t="s">
        <v>8</v>
      </c>
      <c r="M671" t="s">
        <v>8</v>
      </c>
      <c r="N671" t="s">
        <v>8</v>
      </c>
      <c r="P671">
        <f t="shared" si="994"/>
        <v>0.15830875122910482</v>
      </c>
      <c r="Q671">
        <f t="shared" si="995"/>
        <v>11849488.550639106</v>
      </c>
      <c r="R671">
        <f t="shared" si="996"/>
        <v>-91319635.883454204</v>
      </c>
      <c r="S671">
        <f t="shared" si="997"/>
        <v>-913.19635883454202</v>
      </c>
      <c r="T671">
        <f t="shared" si="998"/>
        <v>-0.91319635883454198</v>
      </c>
    </row>
    <row r="672" spans="1:20" x14ac:dyDescent="0.25">
      <c r="A672" s="5">
        <v>43921</v>
      </c>
      <c r="B672">
        <v>3.9389999999999998E-3</v>
      </c>
      <c r="C672">
        <v>4.1000000000000003E-3</v>
      </c>
      <c r="D672">
        <v>3.9389999999999998E-3</v>
      </c>
      <c r="E672">
        <v>4.0949999999999997E-3</v>
      </c>
      <c r="F672">
        <v>3127229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0.93788819875775598</v>
      </c>
      <c r="Q672">
        <f t="shared" si="995"/>
        <v>2932991.1739130183</v>
      </c>
      <c r="R672">
        <f t="shared" si="996"/>
        <v>-103169124.43409331</v>
      </c>
      <c r="S672">
        <f t="shared" si="997"/>
        <v>-1031.6912443409331</v>
      </c>
      <c r="T672">
        <f t="shared" si="998"/>
        <v>-1.031691244340933</v>
      </c>
    </row>
    <row r="673" spans="1:20" x14ac:dyDescent="0.25">
      <c r="A673" s="5">
        <v>43920</v>
      </c>
      <c r="B673">
        <v>3.6579999999999998E-3</v>
      </c>
      <c r="C673">
        <v>4.0559999999999997E-3</v>
      </c>
      <c r="D673">
        <v>3.6120000000000002E-3</v>
      </c>
      <c r="E673">
        <v>3.9779999999999998E-3</v>
      </c>
      <c r="F673">
        <v>6550935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0.64864864864864846</v>
      </c>
      <c r="Q673">
        <f t="shared" si="995"/>
        <v>4249255.1351351338</v>
      </c>
      <c r="R673">
        <f t="shared" si="996"/>
        <v>-106102115.60800633</v>
      </c>
      <c r="S673">
        <f t="shared" si="997"/>
        <v>-1061.0211560800633</v>
      </c>
      <c r="T673">
        <f t="shared" si="998"/>
        <v>-1.0610211560800633</v>
      </c>
    </row>
    <row r="674" spans="1:20" x14ac:dyDescent="0.25">
      <c r="A674" s="5">
        <v>43919</v>
      </c>
      <c r="B674">
        <v>3.8990000000000001E-3</v>
      </c>
      <c r="C674">
        <v>3.9909999999999998E-3</v>
      </c>
      <c r="D674">
        <v>3.6120000000000002E-3</v>
      </c>
      <c r="E674">
        <v>3.6419999999999998E-3</v>
      </c>
      <c r="F674">
        <v>2464262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-0.84168865435356366</v>
      </c>
      <c r="Q674">
        <f t="shared" si="995"/>
        <v>-2074141.3667546215</v>
      </c>
      <c r="R674">
        <f t="shared" si="996"/>
        <v>-110351370.74314146</v>
      </c>
      <c r="S674">
        <f t="shared" si="997"/>
        <v>-1103.5137074314146</v>
      </c>
      <c r="T674">
        <f t="shared" si="998"/>
        <v>-1.1035137074314145</v>
      </c>
    </row>
    <row r="675" spans="1:20" x14ac:dyDescent="0.25">
      <c r="A675" s="5">
        <v>43918</v>
      </c>
      <c r="B675">
        <v>4.0000000000000001E-3</v>
      </c>
      <c r="C675">
        <v>4.4429999999999999E-3</v>
      </c>
      <c r="D675">
        <v>3.7590000000000002E-3</v>
      </c>
      <c r="E675">
        <v>3.9399999999999999E-3</v>
      </c>
      <c r="F675">
        <v>10652120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-0.47076023391812921</v>
      </c>
      <c r="Q675">
        <f t="shared" si="995"/>
        <v>-5014594.5029239822</v>
      </c>
      <c r="R675">
        <f t="shared" si="996"/>
        <v>-108277229.37638684</v>
      </c>
      <c r="S675">
        <f t="shared" si="997"/>
        <v>-1082.7722937638684</v>
      </c>
      <c r="T675">
        <f t="shared" si="998"/>
        <v>-1.0827722937638684</v>
      </c>
    </row>
    <row r="676" spans="1:20" x14ac:dyDescent="0.25">
      <c r="A676" s="5">
        <v>43917</v>
      </c>
      <c r="B676">
        <v>4.0600000000000002E-3</v>
      </c>
      <c r="C676">
        <v>4.5100000000000001E-3</v>
      </c>
      <c r="D676">
        <v>3.9789999999999999E-3</v>
      </c>
      <c r="E676">
        <v>4.0000000000000001E-3</v>
      </c>
      <c r="F676">
        <v>18082460</v>
      </c>
      <c r="G676">
        <v>0</v>
      </c>
      <c r="L676" t="s">
        <v>8</v>
      </c>
      <c r="M676" t="s">
        <v>8</v>
      </c>
      <c r="N676" t="s">
        <v>8</v>
      </c>
      <c r="P676">
        <f t="shared" si="994"/>
        <v>-0.92090395480225917</v>
      </c>
      <c r="Q676">
        <f t="shared" si="995"/>
        <v>-16652208.926553659</v>
      </c>
      <c r="R676">
        <f t="shared" si="996"/>
        <v>-103262634.87346286</v>
      </c>
      <c r="S676">
        <f t="shared" si="997"/>
        <v>-1032.6263487346287</v>
      </c>
      <c r="T676">
        <f t="shared" si="998"/>
        <v>-1.0326263487346288</v>
      </c>
    </row>
    <row r="677" spans="1:20" x14ac:dyDescent="0.25">
      <c r="A677" s="5">
        <v>43916</v>
      </c>
      <c r="B677">
        <v>3.9529999999999999E-3</v>
      </c>
      <c r="C677">
        <v>4.1000000000000003E-3</v>
      </c>
      <c r="D677">
        <v>3.8790000000000001E-3</v>
      </c>
      <c r="E677">
        <v>4.0530000000000002E-3</v>
      </c>
      <c r="F677">
        <v>5409195</v>
      </c>
      <c r="G677">
        <v>0</v>
      </c>
      <c r="L677" t="s">
        <v>8</v>
      </c>
      <c r="M677" t="s">
        <v>7</v>
      </c>
      <c r="N677" t="s">
        <v>8</v>
      </c>
      <c r="P677">
        <f t="shared" si="994"/>
        <v>0.57466063348416196</v>
      </c>
      <c r="Q677">
        <f t="shared" si="995"/>
        <v>3108451.4253393617</v>
      </c>
      <c r="R677">
        <f t="shared" si="996"/>
        <v>-86610425.946909204</v>
      </c>
      <c r="S677">
        <f t="shared" si="997"/>
        <v>-866.10425946909209</v>
      </c>
      <c r="T677">
        <f t="shared" si="998"/>
        <v>-0.86610425946909209</v>
      </c>
    </row>
    <row r="678" spans="1:20" x14ac:dyDescent="0.25">
      <c r="A678" s="5">
        <v>43915</v>
      </c>
      <c r="B678">
        <v>3.898E-3</v>
      </c>
      <c r="C678">
        <v>3.993E-3</v>
      </c>
      <c r="D678">
        <v>3.7090000000000001E-3</v>
      </c>
      <c r="E678">
        <v>3.9220000000000001E-3</v>
      </c>
      <c r="F678">
        <v>5958947</v>
      </c>
      <c r="G678">
        <v>0</v>
      </c>
      <c r="L678" t="s">
        <v>7</v>
      </c>
      <c r="M678" t="s">
        <v>7</v>
      </c>
      <c r="N678" t="s">
        <v>8</v>
      </c>
      <c r="P678">
        <f t="shared" si="994"/>
        <v>0.50000000000000078</v>
      </c>
      <c r="Q678">
        <f t="shared" si="995"/>
        <v>2979473.5000000047</v>
      </c>
      <c r="R678">
        <f t="shared" si="996"/>
        <v>-89718877.37224856</v>
      </c>
      <c r="S678">
        <f t="shared" si="997"/>
        <v>-897.18877372248562</v>
      </c>
      <c r="T678">
        <f t="shared" si="998"/>
        <v>-0.89718877372248562</v>
      </c>
    </row>
    <row r="679" spans="1:20" x14ac:dyDescent="0.25">
      <c r="A679" s="5">
        <v>43914</v>
      </c>
      <c r="B679">
        <v>4.0390000000000001E-3</v>
      </c>
      <c r="C679">
        <v>4.1089999999999998E-3</v>
      </c>
      <c r="D679">
        <v>3.7659999999999998E-3</v>
      </c>
      <c r="E679">
        <v>3.9060000000000002E-3</v>
      </c>
      <c r="F679">
        <v>7938967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-0.18367346938775295</v>
      </c>
      <c r="Q679">
        <f t="shared" si="995"/>
        <v>-1458177.6122448808</v>
      </c>
      <c r="R679">
        <f t="shared" si="996"/>
        <v>-92698350.87224856</v>
      </c>
      <c r="S679">
        <f t="shared" si="997"/>
        <v>-926.98350872248557</v>
      </c>
      <c r="T679">
        <f t="shared" si="998"/>
        <v>-0.92698350872248558</v>
      </c>
    </row>
    <row r="680" spans="1:20" x14ac:dyDescent="0.25">
      <c r="A680" s="5">
        <v>43913</v>
      </c>
      <c r="B680">
        <v>3.5590000000000001E-3</v>
      </c>
      <c r="C680">
        <v>4.1330000000000004E-3</v>
      </c>
      <c r="D680">
        <v>3.5179999999999999E-3</v>
      </c>
      <c r="E680">
        <v>4.0509999999999999E-3</v>
      </c>
      <c r="F680">
        <v>9094342</v>
      </c>
      <c r="G680">
        <v>0</v>
      </c>
      <c r="L680" t="s">
        <v>7</v>
      </c>
      <c r="M680" t="s">
        <v>7</v>
      </c>
      <c r="N680" t="s">
        <v>8</v>
      </c>
      <c r="P680">
        <f t="shared" si="994"/>
        <v>0.73333333333333206</v>
      </c>
      <c r="Q680">
        <f t="shared" si="995"/>
        <v>6669184.1333333217</v>
      </c>
      <c r="R680">
        <f t="shared" si="996"/>
        <v>-91240173.260003686</v>
      </c>
      <c r="S680">
        <f t="shared" si="997"/>
        <v>-912.40173260003689</v>
      </c>
      <c r="T680">
        <f t="shared" si="998"/>
        <v>-0.91240173260003687</v>
      </c>
    </row>
    <row r="681" spans="1:20" x14ac:dyDescent="0.25">
      <c r="A681" s="5">
        <v>43912</v>
      </c>
      <c r="B681">
        <v>3.9480000000000001E-3</v>
      </c>
      <c r="C681">
        <v>4.1089999999999998E-3</v>
      </c>
      <c r="D681">
        <v>3.5479999999999999E-3</v>
      </c>
      <c r="E681">
        <v>3.5590000000000001E-3</v>
      </c>
      <c r="F681">
        <v>8166880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-0.96078431372548967</v>
      </c>
      <c r="Q681">
        <f t="shared" si="995"/>
        <v>-7846610.1960784271</v>
      </c>
      <c r="R681">
        <f t="shared" si="996"/>
        <v>-97909357.393337011</v>
      </c>
      <c r="S681">
        <f t="shared" si="997"/>
        <v>-979.09357393337007</v>
      </c>
      <c r="T681">
        <f t="shared" si="998"/>
        <v>-0.97909357393337004</v>
      </c>
    </row>
    <row r="682" spans="1:20" x14ac:dyDescent="0.25">
      <c r="A682" s="5">
        <v>43911</v>
      </c>
      <c r="B682">
        <v>3.8560000000000001E-3</v>
      </c>
      <c r="C682">
        <v>4.1720000000000004E-3</v>
      </c>
      <c r="D682">
        <v>3.6159999999999999E-3</v>
      </c>
      <c r="E682">
        <v>3.9490000000000003E-3</v>
      </c>
      <c r="F682">
        <v>17399903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0.19784172661870539</v>
      </c>
      <c r="Q682">
        <f t="shared" si="995"/>
        <v>3442426.8525179918</v>
      </c>
      <c r="R682">
        <f t="shared" si="996"/>
        <v>-90062747.197258577</v>
      </c>
      <c r="S682">
        <f t="shared" si="997"/>
        <v>-900.62747197258579</v>
      </c>
      <c r="T682">
        <f t="shared" si="998"/>
        <v>-0.90062747197258575</v>
      </c>
    </row>
    <row r="683" spans="1:20" x14ac:dyDescent="0.25">
      <c r="A683" s="5">
        <v>43910</v>
      </c>
      <c r="B683">
        <v>3.9899999999999996E-3</v>
      </c>
      <c r="C683">
        <v>4.4539999999999996E-3</v>
      </c>
      <c r="D683">
        <v>3.529E-3</v>
      </c>
      <c r="E683">
        <v>3.859E-3</v>
      </c>
      <c r="F683">
        <v>28684777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-0.28648648648648617</v>
      </c>
      <c r="Q683">
        <f t="shared" si="995"/>
        <v>-8217800.9783783695</v>
      </c>
      <c r="R683">
        <f t="shared" si="996"/>
        <v>-93505174.049776569</v>
      </c>
      <c r="S683">
        <f t="shared" si="997"/>
        <v>-935.05174049776565</v>
      </c>
      <c r="T683">
        <f t="shared" si="998"/>
        <v>-0.93505174049776563</v>
      </c>
    </row>
    <row r="684" spans="1:20" x14ac:dyDescent="0.25">
      <c r="A684" s="5">
        <v>43909</v>
      </c>
      <c r="B684">
        <v>3.2109999999999999E-3</v>
      </c>
      <c r="C684">
        <v>4.1079999999999997E-3</v>
      </c>
      <c r="D684">
        <v>3.209E-3</v>
      </c>
      <c r="E684">
        <v>3.9319999999999997E-3</v>
      </c>
      <c r="F684">
        <v>56704469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0.60845383759733029</v>
      </c>
      <c r="Q684">
        <f t="shared" si="995"/>
        <v>34502051.771968849</v>
      </c>
      <c r="R684">
        <f t="shared" si="996"/>
        <v>-85287373.071398199</v>
      </c>
      <c r="S684">
        <f t="shared" si="997"/>
        <v>-852.87373071398201</v>
      </c>
      <c r="T684">
        <f t="shared" si="998"/>
        <v>-0.85287373071398198</v>
      </c>
    </row>
    <row r="685" spans="1:20" x14ac:dyDescent="0.25">
      <c r="A685" s="5">
        <v>43908</v>
      </c>
      <c r="B685">
        <v>3.1459999999999999E-3</v>
      </c>
      <c r="C685">
        <v>3.31E-3</v>
      </c>
      <c r="D685">
        <v>2.843E-3</v>
      </c>
      <c r="E685">
        <v>3.209E-3</v>
      </c>
      <c r="F685">
        <v>19159534</v>
      </c>
      <c r="G685">
        <v>0</v>
      </c>
      <c r="L685" t="s">
        <v>7</v>
      </c>
      <c r="M685" t="s">
        <v>7</v>
      </c>
      <c r="N685" t="s">
        <v>7</v>
      </c>
      <c r="P685">
        <f t="shared" si="994"/>
        <v>0.56745182012847983</v>
      </c>
      <c r="Q685">
        <f t="shared" si="995"/>
        <v>10872112.441113494</v>
      </c>
      <c r="R685">
        <f t="shared" si="996"/>
        <v>-119789424.84336704</v>
      </c>
      <c r="S685">
        <f t="shared" si="997"/>
        <v>-1197.8942484336703</v>
      </c>
      <c r="T685">
        <f t="shared" si="998"/>
        <v>-1.1978942484336703</v>
      </c>
    </row>
    <row r="686" spans="1:20" x14ac:dyDescent="0.25">
      <c r="A686" s="5">
        <v>43907</v>
      </c>
      <c r="B686">
        <v>2.9849999999999998E-3</v>
      </c>
      <c r="C686">
        <v>3.3279999999999998E-3</v>
      </c>
      <c r="D686">
        <v>2.8900000000000002E-3</v>
      </c>
      <c r="E686">
        <v>3.1570000000000001E-3</v>
      </c>
      <c r="F686">
        <v>11025279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0.21917808219178139</v>
      </c>
      <c r="Q686">
        <f t="shared" si="995"/>
        <v>2416499.5068493215</v>
      </c>
      <c r="R686">
        <f t="shared" si="996"/>
        <v>-130661537.28448053</v>
      </c>
      <c r="S686">
        <f t="shared" si="997"/>
        <v>-1306.6153728448053</v>
      </c>
      <c r="T686">
        <f t="shared" si="998"/>
        <v>-1.3066153728448053</v>
      </c>
    </row>
    <row r="687" spans="1:20" x14ac:dyDescent="0.25">
      <c r="A687" s="5">
        <v>43906</v>
      </c>
      <c r="B687">
        <v>3.552E-3</v>
      </c>
      <c r="C687">
        <v>3.552E-3</v>
      </c>
      <c r="D687">
        <v>2.5999999999999999E-3</v>
      </c>
      <c r="E687">
        <v>2.9099999999999998E-3</v>
      </c>
      <c r="F687">
        <v>20651829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-0.34873949579831953</v>
      </c>
      <c r="Q687">
        <f t="shared" si="995"/>
        <v>-7202108.4327731133</v>
      </c>
      <c r="R687">
        <f t="shared" si="996"/>
        <v>-133078036.79132985</v>
      </c>
      <c r="S687">
        <f t="shared" si="997"/>
        <v>-1330.7803679132985</v>
      </c>
      <c r="T687">
        <f t="shared" si="998"/>
        <v>-1.3307803679132986</v>
      </c>
    </row>
    <row r="688" spans="1:20" x14ac:dyDescent="0.25">
      <c r="A688" s="5">
        <v>43905</v>
      </c>
      <c r="B688">
        <v>3.601E-3</v>
      </c>
      <c r="C688">
        <v>3.8539999999999998E-3</v>
      </c>
      <c r="D688">
        <v>3.496E-3</v>
      </c>
      <c r="E688">
        <v>3.5690000000000001E-3</v>
      </c>
      <c r="F688">
        <v>11633283</v>
      </c>
      <c r="G688">
        <v>0</v>
      </c>
      <c r="L688" t="s">
        <v>7</v>
      </c>
      <c r="M688" t="s">
        <v>8</v>
      </c>
      <c r="N688" t="s">
        <v>8</v>
      </c>
      <c r="P688">
        <f t="shared" si="994"/>
        <v>-0.5921787709497196</v>
      </c>
      <c r="Q688">
        <f t="shared" si="995"/>
        <v>-6888983.2290502666</v>
      </c>
      <c r="R688">
        <f t="shared" si="996"/>
        <v>-125875928.35855673</v>
      </c>
      <c r="S688">
        <f t="shared" si="997"/>
        <v>-1258.7592835855673</v>
      </c>
      <c r="T688">
        <f t="shared" si="998"/>
        <v>-1.2587592835855674</v>
      </c>
    </row>
    <row r="689" spans="1:20" x14ac:dyDescent="0.25">
      <c r="A689" s="5">
        <v>43904</v>
      </c>
      <c r="B689">
        <v>3.63E-3</v>
      </c>
      <c r="C689">
        <v>3.8899999999999998E-3</v>
      </c>
      <c r="D689">
        <v>3.4749999999999998E-3</v>
      </c>
      <c r="E689">
        <v>3.5109999999999998E-3</v>
      </c>
      <c r="F689">
        <v>10302641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-0.82650602409638552</v>
      </c>
      <c r="Q689">
        <f t="shared" si="995"/>
        <v>-8515194.8506024089</v>
      </c>
      <c r="R689">
        <f t="shared" si="996"/>
        <v>-118986945.12950647</v>
      </c>
      <c r="S689">
        <f t="shared" si="997"/>
        <v>-1189.8694512950647</v>
      </c>
      <c r="T689">
        <f t="shared" si="998"/>
        <v>-1.1898694512950647</v>
      </c>
    </row>
    <row r="690" spans="1:20" x14ac:dyDescent="0.25">
      <c r="A690" s="5">
        <v>43903</v>
      </c>
      <c r="B690">
        <v>3.0639999999999999E-3</v>
      </c>
      <c r="C690">
        <v>3.9740000000000001E-3</v>
      </c>
      <c r="D690">
        <v>2.2339999999999999E-3</v>
      </c>
      <c r="E690">
        <v>3.64E-3</v>
      </c>
      <c r="F690">
        <v>24039238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0.61609195402298844</v>
      </c>
      <c r="Q690">
        <f t="shared" si="995"/>
        <v>14810381.112643676</v>
      </c>
      <c r="R690">
        <f t="shared" si="996"/>
        <v>-110471750.27890407</v>
      </c>
      <c r="S690">
        <f t="shared" si="997"/>
        <v>-1104.7175027890407</v>
      </c>
      <c r="T690">
        <f t="shared" si="998"/>
        <v>-1.1047175027890408</v>
      </c>
    </row>
    <row r="691" spans="1:20" x14ac:dyDescent="0.25">
      <c r="A691" s="5">
        <v>43902</v>
      </c>
      <c r="B691">
        <v>6.4850000000000003E-3</v>
      </c>
      <c r="C691">
        <v>6.4850000000000003E-3</v>
      </c>
      <c r="D691">
        <v>2.8419999999999999E-3</v>
      </c>
      <c r="E691">
        <v>3.029E-3</v>
      </c>
      <c r="F691">
        <v>21108124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-0.8973373593192423</v>
      </c>
      <c r="Q691">
        <f t="shared" si="995"/>
        <v>-18941108.250343122</v>
      </c>
      <c r="R691">
        <f t="shared" si="996"/>
        <v>-125282131.39154774</v>
      </c>
      <c r="S691">
        <f t="shared" si="997"/>
        <v>-1252.8213139154775</v>
      </c>
      <c r="T691">
        <f t="shared" si="998"/>
        <v>-1.2528213139154776</v>
      </c>
    </row>
    <row r="692" spans="1:20" x14ac:dyDescent="0.25">
      <c r="A692" s="5">
        <v>43901</v>
      </c>
      <c r="B692">
        <v>6.5839999999999996E-3</v>
      </c>
      <c r="C692">
        <v>6.7650000000000002E-3</v>
      </c>
      <c r="D692">
        <v>6.117E-3</v>
      </c>
      <c r="E692">
        <v>6.4859999999999996E-3</v>
      </c>
      <c r="F692">
        <v>4977342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0.1388888888888872</v>
      </c>
      <c r="Q692">
        <f t="shared" si="995"/>
        <v>691297.49999999162</v>
      </c>
      <c r="R692">
        <f t="shared" si="996"/>
        <v>-106341023.14120463</v>
      </c>
      <c r="S692">
        <f t="shared" si="997"/>
        <v>-1063.4102314120462</v>
      </c>
      <c r="T692">
        <f t="shared" si="998"/>
        <v>-1.0634102314120462</v>
      </c>
    </row>
    <row r="693" spans="1:20" x14ac:dyDescent="0.25">
      <c r="A693" s="5">
        <v>43900</v>
      </c>
      <c r="B693">
        <v>6.3660000000000001E-3</v>
      </c>
      <c r="C693">
        <v>7.7679999999999997E-3</v>
      </c>
      <c r="D693">
        <v>6.2199999999999998E-3</v>
      </c>
      <c r="E693">
        <v>6.6109999999999997E-3</v>
      </c>
      <c r="F693">
        <v>11594736</v>
      </c>
      <c r="G693">
        <v>0</v>
      </c>
      <c r="L693" t="s">
        <v>8</v>
      </c>
      <c r="M693" t="s">
        <v>8</v>
      </c>
      <c r="N693" t="s">
        <v>7</v>
      </c>
      <c r="P693">
        <f t="shared" si="994"/>
        <v>-0.49483204134366943</v>
      </c>
      <c r="Q693">
        <f t="shared" si="995"/>
        <v>-5737446.8837209325</v>
      </c>
      <c r="R693">
        <f t="shared" si="996"/>
        <v>-107032320.64120461</v>
      </c>
      <c r="S693">
        <f t="shared" si="997"/>
        <v>-1070.3232064120461</v>
      </c>
      <c r="T693">
        <f t="shared" si="998"/>
        <v>-1.0703232064120463</v>
      </c>
    </row>
    <row r="694" spans="1:20" x14ac:dyDescent="0.25">
      <c r="A694" s="5">
        <v>43899</v>
      </c>
      <c r="B694">
        <v>6.4609999999999997E-3</v>
      </c>
      <c r="C694">
        <v>6.6249999999999998E-3</v>
      </c>
      <c r="D694">
        <v>5.9319999999999998E-3</v>
      </c>
      <c r="E694">
        <v>6.3470000000000002E-3</v>
      </c>
      <c r="F694">
        <v>5479116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0.19769119769119889</v>
      </c>
      <c r="Q694">
        <f t="shared" si="995"/>
        <v>1083173.0043290108</v>
      </c>
      <c r="R694">
        <f t="shared" si="996"/>
        <v>-101294873.75748368</v>
      </c>
      <c r="S694">
        <f t="shared" si="997"/>
        <v>-1012.9487375748367</v>
      </c>
      <c r="T694">
        <f t="shared" si="998"/>
        <v>-1.0129487375748367</v>
      </c>
    </row>
    <row r="695" spans="1:20" x14ac:dyDescent="0.25">
      <c r="A695" s="5">
        <v>43898</v>
      </c>
      <c r="B695">
        <v>7.4099999999999999E-3</v>
      </c>
      <c r="C695">
        <v>7.45E-3</v>
      </c>
      <c r="D695">
        <v>6.2230000000000002E-3</v>
      </c>
      <c r="E695">
        <v>6.306E-3</v>
      </c>
      <c r="F695">
        <v>5490427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-0.86471067644661814</v>
      </c>
      <c r="Q695">
        <f t="shared" si="995"/>
        <v>-4747630.8451507762</v>
      </c>
      <c r="R695">
        <f t="shared" si="996"/>
        <v>-102378046.76181269</v>
      </c>
      <c r="S695">
        <f t="shared" si="997"/>
        <v>-1023.7804676181269</v>
      </c>
      <c r="T695">
        <f t="shared" si="998"/>
        <v>-1.0237804676181268</v>
      </c>
    </row>
    <row r="696" spans="1:20" x14ac:dyDescent="0.25">
      <c r="A696" s="5">
        <v>43897</v>
      </c>
      <c r="B696">
        <v>7.7130000000000002E-3</v>
      </c>
      <c r="C696">
        <v>8.2209999999999991E-3</v>
      </c>
      <c r="D696">
        <v>7.4219999999999998E-3</v>
      </c>
      <c r="E696">
        <v>7.4700000000000001E-3</v>
      </c>
      <c r="F696">
        <v>9094755</v>
      </c>
      <c r="G696">
        <v>0</v>
      </c>
      <c r="L696" t="s">
        <v>8</v>
      </c>
      <c r="M696" t="s">
        <v>8</v>
      </c>
      <c r="N696" t="s">
        <v>7</v>
      </c>
      <c r="P696">
        <f t="shared" si="994"/>
        <v>-0.87984981226533077</v>
      </c>
      <c r="Q696">
        <f t="shared" si="995"/>
        <v>-8002018.4793491783</v>
      </c>
      <c r="R696">
        <f t="shared" si="996"/>
        <v>-97630415.916661903</v>
      </c>
      <c r="S696">
        <f t="shared" si="997"/>
        <v>-976.304159166619</v>
      </c>
      <c r="T696">
        <f t="shared" si="998"/>
        <v>-0.97630415916661906</v>
      </c>
    </row>
    <row r="697" spans="1:20" x14ac:dyDescent="0.25">
      <c r="A697" s="5">
        <v>43896</v>
      </c>
      <c r="B697">
        <v>7.7660000000000003E-3</v>
      </c>
      <c r="C697">
        <v>7.8600000000000007E-3</v>
      </c>
      <c r="D697">
        <v>7.574E-3</v>
      </c>
      <c r="E697">
        <v>7.659E-3</v>
      </c>
      <c r="F697">
        <v>3251160</v>
      </c>
      <c r="G697">
        <v>0</v>
      </c>
      <c r="L697" t="s">
        <v>8</v>
      </c>
      <c r="M697" t="s">
        <v>8</v>
      </c>
      <c r="N697" t="s">
        <v>7</v>
      </c>
      <c r="P697">
        <f t="shared" si="994"/>
        <v>-0.4055944055944069</v>
      </c>
      <c r="Q697">
        <f t="shared" si="995"/>
        <v>-1318652.3076923119</v>
      </c>
      <c r="R697">
        <f t="shared" si="996"/>
        <v>-89628397.437312722</v>
      </c>
      <c r="S697">
        <f t="shared" si="997"/>
        <v>-896.28397437312719</v>
      </c>
      <c r="T697">
        <f t="shared" si="998"/>
        <v>-0.89628397437312723</v>
      </c>
    </row>
    <row r="698" spans="1:20" x14ac:dyDescent="0.25">
      <c r="A698" s="5">
        <v>43895</v>
      </c>
      <c r="B698">
        <v>7.4460000000000004E-3</v>
      </c>
      <c r="C698">
        <v>7.9469999999999992E-3</v>
      </c>
      <c r="D698">
        <v>7.4460000000000004E-3</v>
      </c>
      <c r="E698">
        <v>7.7140000000000004E-3</v>
      </c>
      <c r="F698">
        <v>8805191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6.9860279441120277E-2</v>
      </c>
      <c r="Q698">
        <f t="shared" si="995"/>
        <v>615133.10379243724</v>
      </c>
      <c r="R698">
        <f t="shared" si="996"/>
        <v>-88309745.129620403</v>
      </c>
      <c r="S698">
        <f t="shared" si="997"/>
        <v>-883.09745129620399</v>
      </c>
      <c r="T698">
        <f t="shared" si="998"/>
        <v>-0.88309745129620398</v>
      </c>
    </row>
    <row r="699" spans="1:20" x14ac:dyDescent="0.25">
      <c r="A699" s="5">
        <v>43894</v>
      </c>
      <c r="B699">
        <v>7.1640000000000002E-3</v>
      </c>
      <c r="C699">
        <v>7.6E-3</v>
      </c>
      <c r="D699">
        <v>7.0629999999999998E-3</v>
      </c>
      <c r="E699">
        <v>7.4380000000000002E-3</v>
      </c>
      <c r="F699">
        <v>9683519</v>
      </c>
      <c r="G699">
        <v>0</v>
      </c>
      <c r="L699" t="s">
        <v>8</v>
      </c>
      <c r="M699" t="s">
        <v>8</v>
      </c>
      <c r="N699" t="s">
        <v>7</v>
      </c>
      <c r="P699">
        <f t="shared" si="994"/>
        <v>0.39664804469273829</v>
      </c>
      <c r="Q699">
        <f t="shared" si="995"/>
        <v>3840948.8770949803</v>
      </c>
      <c r="R699">
        <f t="shared" si="996"/>
        <v>-88924878.233412847</v>
      </c>
      <c r="S699">
        <f t="shared" si="997"/>
        <v>-889.24878233412846</v>
      </c>
      <c r="T699">
        <f t="shared" si="998"/>
        <v>-0.88924878233412852</v>
      </c>
    </row>
    <row r="700" spans="1:20" x14ac:dyDescent="0.25">
      <c r="A700" s="5">
        <v>43893</v>
      </c>
      <c r="B700">
        <v>7.3889999999999997E-3</v>
      </c>
      <c r="C700">
        <v>7.4209999999999996E-3</v>
      </c>
      <c r="D700">
        <v>7.0460000000000002E-3</v>
      </c>
      <c r="E700">
        <v>7.1929999999999997E-3</v>
      </c>
      <c r="F700">
        <v>5013040</v>
      </c>
      <c r="G700">
        <v>0</v>
      </c>
      <c r="L700" t="s">
        <v>8</v>
      </c>
      <c r="M700" t="s">
        <v>8</v>
      </c>
      <c r="N700" t="s">
        <v>7</v>
      </c>
      <c r="P700">
        <f t="shared" si="994"/>
        <v>-0.21600000000000122</v>
      </c>
      <c r="Q700">
        <f t="shared" si="995"/>
        <v>-1082816.6400000062</v>
      </c>
      <c r="R700">
        <f t="shared" si="996"/>
        <v>-92765827.110507831</v>
      </c>
      <c r="S700">
        <f t="shared" si="997"/>
        <v>-927.65827110507826</v>
      </c>
      <c r="T700">
        <f t="shared" si="998"/>
        <v>-0.92765827110507826</v>
      </c>
    </row>
    <row r="701" spans="1:20" x14ac:dyDescent="0.25">
      <c r="A701" s="5">
        <v>43892</v>
      </c>
      <c r="B701">
        <v>6.6930000000000002E-3</v>
      </c>
      <c r="C701">
        <v>7.4619999999999999E-3</v>
      </c>
      <c r="D701">
        <v>6.6829999999999997E-3</v>
      </c>
      <c r="E701">
        <v>7.3870000000000003E-3</v>
      </c>
      <c r="F701">
        <v>6086501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0.80744544287548259</v>
      </c>
      <c r="Q701">
        <f t="shared" si="995"/>
        <v>4914517.495507068</v>
      </c>
      <c r="R701">
        <f t="shared" si="996"/>
        <v>-91683010.47050783</v>
      </c>
      <c r="S701">
        <f t="shared" si="997"/>
        <v>-916.83010470507827</v>
      </c>
      <c r="T701">
        <f t="shared" si="998"/>
        <v>-0.91683010470507831</v>
      </c>
    </row>
    <row r="702" spans="1:20" x14ac:dyDescent="0.25">
      <c r="A702" s="5">
        <v>43891</v>
      </c>
      <c r="B702">
        <v>6.9420000000000003E-3</v>
      </c>
      <c r="C702">
        <v>7.0759999999999998E-3</v>
      </c>
      <c r="D702">
        <v>6.6010000000000001E-3</v>
      </c>
      <c r="E702">
        <v>6.7279999999999996E-3</v>
      </c>
      <c r="F702">
        <v>3031838</v>
      </c>
      <c r="G702">
        <v>0</v>
      </c>
      <c r="L702" t="s">
        <v>7</v>
      </c>
      <c r="M702" t="s">
        <v>8</v>
      </c>
      <c r="N702" t="s">
        <v>7</v>
      </c>
      <c r="P702">
        <f t="shared" si="994"/>
        <v>-0.4652631578947386</v>
      </c>
      <c r="Q702">
        <f t="shared" si="995"/>
        <v>-1410602.5221052684</v>
      </c>
      <c r="R702">
        <f t="shared" si="996"/>
        <v>-96597527.966014892</v>
      </c>
      <c r="S702">
        <f t="shared" si="997"/>
        <v>-965.97527966014889</v>
      </c>
      <c r="T702">
        <f t="shared" si="998"/>
        <v>-0.96597527966014884</v>
      </c>
    </row>
    <row r="703" spans="1:20" x14ac:dyDescent="0.25">
      <c r="A703" s="5">
        <v>43890</v>
      </c>
      <c r="B703">
        <v>7.0899999999999999E-3</v>
      </c>
      <c r="C703">
        <v>7.2570000000000004E-3</v>
      </c>
      <c r="D703">
        <v>6.842E-3</v>
      </c>
      <c r="E703">
        <v>6.9420000000000003E-3</v>
      </c>
      <c r="F703">
        <v>3340922</v>
      </c>
      <c r="G703">
        <v>0</v>
      </c>
      <c r="L703" t="s">
        <v>8</v>
      </c>
      <c r="M703" t="s">
        <v>8</v>
      </c>
      <c r="N703" t="s">
        <v>7</v>
      </c>
      <c r="P703">
        <f t="shared" si="994"/>
        <v>-0.51807228915662573</v>
      </c>
      <c r="Q703">
        <f t="shared" si="995"/>
        <v>-1730839.1084337323</v>
      </c>
      <c r="R703">
        <f t="shared" si="996"/>
        <v>-95186925.44390963</v>
      </c>
      <c r="S703">
        <f t="shared" si="997"/>
        <v>-951.86925443909627</v>
      </c>
      <c r="T703">
        <f t="shared" si="998"/>
        <v>-0.95186925443909631</v>
      </c>
    </row>
    <row r="704" spans="1:20" x14ac:dyDescent="0.25">
      <c r="A704" s="5">
        <v>43889</v>
      </c>
      <c r="B704">
        <v>7.2519999999999998E-3</v>
      </c>
      <c r="C704">
        <v>7.3239999999999998E-3</v>
      </c>
      <c r="D704">
        <v>6.6699999999999997E-3</v>
      </c>
      <c r="E704">
        <v>7.0829999999999999E-3</v>
      </c>
      <c r="F704">
        <v>4600240</v>
      </c>
      <c r="G704">
        <v>0</v>
      </c>
      <c r="L704" t="s">
        <v>7</v>
      </c>
      <c r="M704" t="s">
        <v>8</v>
      </c>
      <c r="N704" t="s">
        <v>7</v>
      </c>
      <c r="P704">
        <f t="shared" si="994"/>
        <v>0.26299694189602485</v>
      </c>
      <c r="Q704">
        <f t="shared" si="995"/>
        <v>1209849.0519877693</v>
      </c>
      <c r="R704">
        <f t="shared" si="996"/>
        <v>-93456086.335475892</v>
      </c>
      <c r="S704">
        <f t="shared" si="997"/>
        <v>-934.56086335475891</v>
      </c>
      <c r="T704">
        <f t="shared" si="998"/>
        <v>-0.93456086335475885</v>
      </c>
    </row>
    <row r="705" spans="1:20" x14ac:dyDescent="0.25">
      <c r="A705" s="5">
        <v>43888</v>
      </c>
      <c r="B705">
        <v>6.6689999999999996E-3</v>
      </c>
      <c r="C705">
        <v>7.7999999999999996E-3</v>
      </c>
      <c r="D705">
        <v>6.5160000000000001E-3</v>
      </c>
      <c r="E705">
        <v>7.0689999999999998E-3</v>
      </c>
      <c r="F705">
        <v>10749172</v>
      </c>
      <c r="G705">
        <v>0</v>
      </c>
      <c r="L705" t="s">
        <v>8</v>
      </c>
      <c r="M705" t="s">
        <v>8</v>
      </c>
      <c r="N705" t="s">
        <v>7</v>
      </c>
      <c r="P705">
        <f t="shared" si="994"/>
        <v>-0.13862928348909678</v>
      </c>
      <c r="Q705">
        <f t="shared" si="995"/>
        <v>-1490150.0124610614</v>
      </c>
      <c r="R705">
        <f t="shared" si="996"/>
        <v>-94665935.387463659</v>
      </c>
      <c r="S705">
        <f t="shared" si="997"/>
        <v>-946.65935387463662</v>
      </c>
      <c r="T705">
        <f t="shared" si="998"/>
        <v>-0.94665935387463662</v>
      </c>
    </row>
    <row r="706" spans="1:20" x14ac:dyDescent="0.25">
      <c r="A706" s="5">
        <v>43887</v>
      </c>
      <c r="B706">
        <v>7.5830000000000003E-3</v>
      </c>
      <c r="C706">
        <v>7.6140000000000001E-3</v>
      </c>
      <c r="D706">
        <v>6.4999999999999997E-3</v>
      </c>
      <c r="E706">
        <v>6.7089999999999997E-3</v>
      </c>
      <c r="F706">
        <v>9745317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-0.62477558348294449</v>
      </c>
      <c r="Q706">
        <f t="shared" si="995"/>
        <v>-6088636.1149012577</v>
      </c>
      <c r="R706">
        <f t="shared" si="996"/>
        <v>-93175785.375002593</v>
      </c>
      <c r="S706">
        <f t="shared" si="997"/>
        <v>-931.7578537500259</v>
      </c>
      <c r="T706">
        <f t="shared" si="998"/>
        <v>-0.93175785375002596</v>
      </c>
    </row>
    <row r="707" spans="1:20" x14ac:dyDescent="0.25">
      <c r="A707" s="5">
        <v>43886</v>
      </c>
      <c r="B707">
        <v>8.3239999999999998E-3</v>
      </c>
      <c r="C707">
        <v>8.3580000000000008E-3</v>
      </c>
      <c r="D707">
        <v>7.4200000000000004E-3</v>
      </c>
      <c r="E707">
        <v>7.5680000000000001E-3</v>
      </c>
      <c r="F707">
        <v>7860412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-0.68443496801705839</v>
      </c>
      <c r="Q707">
        <f t="shared" si="995"/>
        <v>-5379940.8358209021</v>
      </c>
      <c r="R707">
        <f t="shared" si="996"/>
        <v>-87087149.260101333</v>
      </c>
      <c r="S707">
        <f t="shared" si="997"/>
        <v>-870.8714926010133</v>
      </c>
      <c r="T707">
        <f t="shared" si="998"/>
        <v>-0.87087149260101326</v>
      </c>
    </row>
    <row r="708" spans="1:20" x14ac:dyDescent="0.25">
      <c r="A708" s="5">
        <v>43885</v>
      </c>
      <c r="B708">
        <v>9.0779999999999993E-3</v>
      </c>
      <c r="C708">
        <v>9.188E-3</v>
      </c>
      <c r="D708">
        <v>8.0890000000000007E-3</v>
      </c>
      <c r="E708">
        <v>8.3649999999999992E-3</v>
      </c>
      <c r="F708">
        <v>5725858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-0.49772520473157661</v>
      </c>
      <c r="Q708">
        <f t="shared" si="995"/>
        <v>-2849903.845313936</v>
      </c>
      <c r="R708">
        <f t="shared" si="996"/>
        <v>-81707208.424280435</v>
      </c>
      <c r="S708">
        <f t="shared" si="997"/>
        <v>-817.07208424280429</v>
      </c>
      <c r="T708">
        <f t="shared" si="998"/>
        <v>-0.81707208424280431</v>
      </c>
    </row>
    <row r="709" spans="1:20" x14ac:dyDescent="0.25">
      <c r="A709" s="5">
        <v>43884</v>
      </c>
      <c r="B709">
        <v>8.7329999999999994E-3</v>
      </c>
      <c r="C709">
        <v>9.1459999999999996E-3</v>
      </c>
      <c r="D709">
        <v>8.6859999999999993E-3</v>
      </c>
      <c r="E709">
        <v>9.0989999999999994E-3</v>
      </c>
      <c r="F709">
        <v>3674877</v>
      </c>
      <c r="G709">
        <v>0</v>
      </c>
      <c r="L709" t="s">
        <v>7</v>
      </c>
      <c r="M709" t="s">
        <v>7</v>
      </c>
      <c r="N709" t="s">
        <v>7</v>
      </c>
      <c r="P709">
        <f t="shared" si="994"/>
        <v>0.79565217391304288</v>
      </c>
      <c r="Q709">
        <f t="shared" si="995"/>
        <v>2923923.8739130413</v>
      </c>
      <c r="R709">
        <f t="shared" si="996"/>
        <v>-78857304.578966498</v>
      </c>
      <c r="S709">
        <f t="shared" si="997"/>
        <v>-788.573045789665</v>
      </c>
      <c r="T709">
        <f t="shared" si="998"/>
        <v>-0.78857304578966503</v>
      </c>
    </row>
    <row r="710" spans="1:20" x14ac:dyDescent="0.25">
      <c r="A710" s="5">
        <v>43883</v>
      </c>
      <c r="B710">
        <v>8.9549999999999994E-3</v>
      </c>
      <c r="C710">
        <v>9.077E-3</v>
      </c>
      <c r="D710">
        <v>8.5240000000000003E-3</v>
      </c>
      <c r="E710">
        <v>8.7749999999999998E-3</v>
      </c>
      <c r="F710">
        <v>5283311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-9.2224231464739112E-2</v>
      </c>
      <c r="Q710">
        <f t="shared" ref="Q710:Q766" si="1000">F710*P710</f>
        <v>-487249.29656420229</v>
      </c>
      <c r="R710">
        <f t="shared" ref="R710:R765" si="1001">R711+Q710</f>
        <v>-81781228.452879533</v>
      </c>
      <c r="S710">
        <f t="shared" ref="S710:S766" si="1002">R710/100000</f>
        <v>-817.81228452879532</v>
      </c>
      <c r="T710">
        <f t="shared" ref="T710:T766" si="1003">S710/1000</f>
        <v>-0.81781228452879529</v>
      </c>
    </row>
    <row r="711" spans="1:20" x14ac:dyDescent="0.25">
      <c r="A711" s="5">
        <v>43882</v>
      </c>
      <c r="B711">
        <v>8.3850000000000001E-3</v>
      </c>
      <c r="C711">
        <v>9.1990000000000006E-3</v>
      </c>
      <c r="D711">
        <v>8.3739999999999995E-3</v>
      </c>
      <c r="E711">
        <v>8.9219999999999994E-3</v>
      </c>
      <c r="F711">
        <v>9487070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0.32848484848484644</v>
      </c>
      <c r="Q711">
        <f t="shared" si="1000"/>
        <v>3116358.7515151319</v>
      </c>
      <c r="R711">
        <f t="shared" si="1001"/>
        <v>-81293979.156315327</v>
      </c>
      <c r="S711">
        <f t="shared" si="1002"/>
        <v>-812.93979156315322</v>
      </c>
      <c r="T711">
        <f t="shared" si="1003"/>
        <v>-0.81293979156315321</v>
      </c>
    </row>
    <row r="712" spans="1:20" x14ac:dyDescent="0.25">
      <c r="A712" s="5">
        <v>43881</v>
      </c>
      <c r="B712">
        <v>8.6820000000000005E-3</v>
      </c>
      <c r="C712">
        <v>8.7410000000000005E-3</v>
      </c>
      <c r="D712">
        <v>8.1799999999999998E-3</v>
      </c>
      <c r="E712">
        <v>8.3549999999999996E-3</v>
      </c>
      <c r="F712">
        <v>3594456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-0.37611408199643642</v>
      </c>
      <c r="Q712">
        <f t="shared" si="1000"/>
        <v>-1351925.5187165828</v>
      </c>
      <c r="R712">
        <f t="shared" si="1001"/>
        <v>-84410337.907830462</v>
      </c>
      <c r="S712">
        <f t="shared" si="1002"/>
        <v>-844.10337907830467</v>
      </c>
      <c r="T712">
        <f t="shared" si="1003"/>
        <v>-0.84410337907830468</v>
      </c>
    </row>
    <row r="713" spans="1:20" x14ac:dyDescent="0.25">
      <c r="A713" s="5">
        <v>43880</v>
      </c>
      <c r="B713">
        <v>9.5600000000000008E-3</v>
      </c>
      <c r="C713">
        <v>9.5969999999999996E-3</v>
      </c>
      <c r="D713">
        <v>8.397E-3</v>
      </c>
      <c r="E713">
        <v>8.744E-3</v>
      </c>
      <c r="F713">
        <v>5830146</v>
      </c>
      <c r="G713">
        <v>0</v>
      </c>
      <c r="L713" t="s">
        <v>7</v>
      </c>
      <c r="M713" t="s">
        <v>7</v>
      </c>
      <c r="N713" t="s">
        <v>7</v>
      </c>
      <c r="P713">
        <f t="shared" si="999"/>
        <v>-0.42166666666666636</v>
      </c>
      <c r="Q713">
        <f t="shared" si="1000"/>
        <v>-2458378.2299999981</v>
      </c>
      <c r="R713">
        <f t="shared" si="1001"/>
        <v>-83058412.389113873</v>
      </c>
      <c r="S713">
        <f t="shared" si="1002"/>
        <v>-830.58412389113869</v>
      </c>
      <c r="T713">
        <f t="shared" si="1003"/>
        <v>-0.83058412389113867</v>
      </c>
    </row>
    <row r="714" spans="1:20" x14ac:dyDescent="0.25">
      <c r="A714" s="5">
        <v>43879</v>
      </c>
      <c r="B714">
        <v>9.0910000000000001E-3</v>
      </c>
      <c r="C714">
        <v>9.5600000000000008E-3</v>
      </c>
      <c r="D714">
        <v>8.8920000000000006E-3</v>
      </c>
      <c r="E714">
        <v>9.4699999999999993E-3</v>
      </c>
      <c r="F714">
        <v>6997547</v>
      </c>
      <c r="G714">
        <v>0</v>
      </c>
      <c r="L714" t="s">
        <v>8</v>
      </c>
      <c r="M714" t="s">
        <v>7</v>
      </c>
      <c r="N714" t="s">
        <v>7</v>
      </c>
      <c r="P714">
        <f t="shared" si="999"/>
        <v>0.73053892215568406</v>
      </c>
      <c r="Q714">
        <f t="shared" si="1000"/>
        <v>5111980.4431137405</v>
      </c>
      <c r="R714">
        <f t="shared" si="1001"/>
        <v>-80600034.159113869</v>
      </c>
      <c r="S714">
        <f t="shared" si="1002"/>
        <v>-806.00034159113864</v>
      </c>
      <c r="T714">
        <f t="shared" si="1003"/>
        <v>-0.80600034159113865</v>
      </c>
    </row>
    <row r="715" spans="1:20" x14ac:dyDescent="0.25">
      <c r="A715" s="5">
        <v>43878</v>
      </c>
      <c r="B715">
        <v>9.1450000000000004E-3</v>
      </c>
      <c r="C715">
        <v>9.5239999999999995E-3</v>
      </c>
      <c r="D715">
        <v>8.2660000000000008E-3</v>
      </c>
      <c r="E715">
        <v>9.0900000000000009E-3</v>
      </c>
      <c r="F715">
        <v>10051780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0.31001589825119386</v>
      </c>
      <c r="Q715">
        <f t="shared" si="1000"/>
        <v>3116211.6057233852</v>
      </c>
      <c r="R715">
        <f t="shared" si="1001"/>
        <v>-85712014.602227613</v>
      </c>
      <c r="S715">
        <f t="shared" si="1002"/>
        <v>-857.12014602227612</v>
      </c>
      <c r="T715">
        <f t="shared" si="1003"/>
        <v>-0.85712014602227615</v>
      </c>
    </row>
    <row r="716" spans="1:20" x14ac:dyDescent="0.25">
      <c r="A716" s="5">
        <v>43877</v>
      </c>
      <c r="B716">
        <v>9.7859999999999996E-3</v>
      </c>
      <c r="C716">
        <v>1.077E-2</v>
      </c>
      <c r="D716">
        <v>8.4010000000000005E-3</v>
      </c>
      <c r="E716">
        <v>9.0220000000000005E-3</v>
      </c>
      <c r="F716">
        <v>15767395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-0.47572815533980572</v>
      </c>
      <c r="Q716">
        <f t="shared" si="1000"/>
        <v>-7500993.7378640762</v>
      </c>
      <c r="R716">
        <f t="shared" si="1001"/>
        <v>-88828226.207950994</v>
      </c>
      <c r="S716">
        <f t="shared" si="1002"/>
        <v>-888.28226207950991</v>
      </c>
      <c r="T716">
        <f t="shared" si="1003"/>
        <v>-0.88828226207950989</v>
      </c>
    </row>
    <row r="717" spans="1:20" x14ac:dyDescent="0.25">
      <c r="A717" s="5">
        <v>43876</v>
      </c>
      <c r="B717">
        <v>1.1018999999999999E-2</v>
      </c>
      <c r="C717">
        <v>1.1114000000000001E-2</v>
      </c>
      <c r="D717">
        <v>9.5729999999999999E-3</v>
      </c>
      <c r="E717">
        <v>9.7890000000000008E-3</v>
      </c>
      <c r="F717">
        <v>12144719</v>
      </c>
      <c r="G717">
        <v>0</v>
      </c>
      <c r="L717" t="s">
        <v>7</v>
      </c>
      <c r="M717" t="s">
        <v>7</v>
      </c>
      <c r="N717" t="s">
        <v>8</v>
      </c>
      <c r="P717">
        <f t="shared" si="999"/>
        <v>-0.71966255678130975</v>
      </c>
      <c r="Q717">
        <f t="shared" si="1000"/>
        <v>-8740099.526930552</v>
      </c>
      <c r="R717">
        <f t="shared" si="1001"/>
        <v>-81327232.470086917</v>
      </c>
      <c r="S717">
        <f t="shared" si="1002"/>
        <v>-813.27232470086915</v>
      </c>
      <c r="T717">
        <f t="shared" si="1003"/>
        <v>-0.81327232470086919</v>
      </c>
    </row>
    <row r="718" spans="1:20" x14ac:dyDescent="0.25">
      <c r="A718" s="5">
        <v>43875</v>
      </c>
      <c r="B718">
        <v>1.0723999999999999E-2</v>
      </c>
      <c r="C718">
        <v>1.1476999999999999E-2</v>
      </c>
      <c r="D718">
        <v>1.04E-2</v>
      </c>
      <c r="E718">
        <v>1.1018999999999999E-2</v>
      </c>
      <c r="F718">
        <v>13565323</v>
      </c>
      <c r="G718">
        <v>0</v>
      </c>
      <c r="L718" t="s">
        <v>8</v>
      </c>
      <c r="M718" t="s">
        <v>7</v>
      </c>
      <c r="N718" t="s">
        <v>8</v>
      </c>
      <c r="P718">
        <f t="shared" si="999"/>
        <v>0.14948932219127178</v>
      </c>
      <c r="Q718">
        <f t="shared" si="1000"/>
        <v>2027870.9405756695</v>
      </c>
      <c r="R718">
        <f t="shared" si="1001"/>
        <v>-72587132.943156362</v>
      </c>
      <c r="S718">
        <f t="shared" si="1002"/>
        <v>-725.87132943156359</v>
      </c>
      <c r="T718">
        <f t="shared" si="1003"/>
        <v>-0.72587132943156363</v>
      </c>
    </row>
    <row r="719" spans="1:20" x14ac:dyDescent="0.25">
      <c r="A719" s="5">
        <v>43874</v>
      </c>
      <c r="B719">
        <v>1.1083000000000001E-2</v>
      </c>
      <c r="C719">
        <v>1.2782E-2</v>
      </c>
      <c r="D719">
        <v>1.0392E-2</v>
      </c>
      <c r="E719">
        <v>1.0723E-2</v>
      </c>
      <c r="F719">
        <v>34029202</v>
      </c>
      <c r="G719">
        <v>0</v>
      </c>
      <c r="L719" t="s">
        <v>7</v>
      </c>
      <c r="M719" t="s">
        <v>7</v>
      </c>
      <c r="N719" t="s">
        <v>8</v>
      </c>
      <c r="P719">
        <f t="shared" si="999"/>
        <v>-0.7230125523012555</v>
      </c>
      <c r="Q719">
        <f t="shared" si="1000"/>
        <v>-24603540.190794989</v>
      </c>
      <c r="R719">
        <f t="shared" si="1001"/>
        <v>-74615003.883732036</v>
      </c>
      <c r="S719">
        <f t="shared" si="1002"/>
        <v>-746.15003883732038</v>
      </c>
      <c r="T719">
        <f t="shared" si="1003"/>
        <v>-0.74615003883732034</v>
      </c>
    </row>
    <row r="720" spans="1:20" x14ac:dyDescent="0.25">
      <c r="A720" s="5">
        <v>43873</v>
      </c>
      <c r="B720">
        <v>1.0263E-2</v>
      </c>
      <c r="C720">
        <v>1.2643E-2</v>
      </c>
      <c r="D720">
        <v>1.0071E-2</v>
      </c>
      <c r="E720">
        <v>1.1084999999999999E-2</v>
      </c>
      <c r="F720">
        <v>51672748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-0.21150855365474383</v>
      </c>
      <c r="Q720">
        <f t="shared" si="1000"/>
        <v>-10929228.192846056</v>
      </c>
      <c r="R720">
        <f t="shared" si="1001"/>
        <v>-50011463.692937046</v>
      </c>
      <c r="S720">
        <f t="shared" si="1002"/>
        <v>-500.11463692937048</v>
      </c>
      <c r="T720">
        <f t="shared" si="1003"/>
        <v>-0.50011463692937053</v>
      </c>
    </row>
    <row r="721" spans="1:20" x14ac:dyDescent="0.25">
      <c r="A721" s="5">
        <v>43872</v>
      </c>
      <c r="B721">
        <v>9.8139999999999998E-3</v>
      </c>
      <c r="C721">
        <v>1.0723999999999999E-2</v>
      </c>
      <c r="D721">
        <v>9.4330000000000004E-3</v>
      </c>
      <c r="E721">
        <v>1.0279999999999999E-2</v>
      </c>
      <c r="F721">
        <v>40377752</v>
      </c>
      <c r="G721">
        <v>0</v>
      </c>
      <c r="L721" t="s">
        <v>7</v>
      </c>
      <c r="M721" t="s">
        <v>8</v>
      </c>
      <c r="N721" t="s">
        <v>8</v>
      </c>
      <c r="P721">
        <f t="shared" si="999"/>
        <v>0.31216111541440683</v>
      </c>
      <c r="Q721">
        <f t="shared" si="1000"/>
        <v>12604364.102246296</v>
      </c>
      <c r="R721">
        <f t="shared" si="1001"/>
        <v>-39082235.500090986</v>
      </c>
      <c r="S721">
        <f t="shared" si="1002"/>
        <v>-390.82235500090985</v>
      </c>
      <c r="T721">
        <f t="shared" si="1003"/>
        <v>-0.39082235500090984</v>
      </c>
    </row>
    <row r="722" spans="1:20" x14ac:dyDescent="0.25">
      <c r="A722" s="5">
        <v>43871</v>
      </c>
      <c r="B722">
        <v>9.221E-3</v>
      </c>
      <c r="C722">
        <v>1.0869999999999999E-2</v>
      </c>
      <c r="D722">
        <v>8.3300000000000006E-3</v>
      </c>
      <c r="E722">
        <v>9.8460000000000006E-3</v>
      </c>
      <c r="F722">
        <v>34471950</v>
      </c>
      <c r="G722">
        <v>0</v>
      </c>
      <c r="L722" t="s">
        <v>8</v>
      </c>
      <c r="M722" t="s">
        <v>8</v>
      </c>
      <c r="N722" t="s">
        <v>8</v>
      </c>
      <c r="P722">
        <f t="shared" si="999"/>
        <v>0.19370078740157534</v>
      </c>
      <c r="Q722">
        <f t="shared" si="1000"/>
        <v>6677243.8582677348</v>
      </c>
      <c r="R722">
        <f t="shared" si="1001"/>
        <v>-51686599.602337278</v>
      </c>
      <c r="S722">
        <f t="shared" si="1002"/>
        <v>-516.86599602337276</v>
      </c>
      <c r="T722">
        <f t="shared" si="1003"/>
        <v>-0.5168659960233728</v>
      </c>
    </row>
    <row r="723" spans="1:20" x14ac:dyDescent="0.25">
      <c r="A723" s="5">
        <v>43870</v>
      </c>
      <c r="B723">
        <v>8.6969999999999999E-3</v>
      </c>
      <c r="C723">
        <v>9.7420000000000007E-3</v>
      </c>
      <c r="D723">
        <v>8.4030000000000007E-3</v>
      </c>
      <c r="E723">
        <v>9.2250000000000006E-3</v>
      </c>
      <c r="F723">
        <v>21921962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0.22778192681105283</v>
      </c>
      <c r="Q723">
        <f t="shared" si="1000"/>
        <v>4993426.7438386809</v>
      </c>
      <c r="R723">
        <f t="shared" si="1001"/>
        <v>-58363843.46060501</v>
      </c>
      <c r="S723">
        <f t="shared" si="1002"/>
        <v>-583.63843460605005</v>
      </c>
      <c r="T723">
        <f t="shared" si="1003"/>
        <v>-0.58363843460605003</v>
      </c>
    </row>
    <row r="724" spans="1:20" x14ac:dyDescent="0.25">
      <c r="A724" s="5">
        <v>43869</v>
      </c>
      <c r="B724">
        <v>8.8199999999999997E-3</v>
      </c>
      <c r="C724">
        <v>8.8509999999999995E-3</v>
      </c>
      <c r="D724">
        <v>8.4419999999999999E-3</v>
      </c>
      <c r="E724">
        <v>8.7449999999999993E-3</v>
      </c>
      <c r="F724">
        <v>11501155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0.48166259168704018</v>
      </c>
      <c r="Q724">
        <f t="shared" si="1000"/>
        <v>5539676.1246943604</v>
      </c>
      <c r="R724">
        <f t="shared" si="1001"/>
        <v>-63357270.204443693</v>
      </c>
      <c r="S724">
        <f t="shared" si="1002"/>
        <v>-633.57270204443694</v>
      </c>
      <c r="T724">
        <f t="shared" si="1003"/>
        <v>-0.63357270204443694</v>
      </c>
    </row>
    <row r="725" spans="1:20" x14ac:dyDescent="0.25">
      <c r="A725" s="5">
        <v>43868</v>
      </c>
      <c r="B725">
        <v>8.6420000000000004E-3</v>
      </c>
      <c r="C725">
        <v>8.855E-3</v>
      </c>
      <c r="D725">
        <v>8.3859999999999994E-3</v>
      </c>
      <c r="E725">
        <v>8.8280000000000008E-3</v>
      </c>
      <c r="F725">
        <v>10661539</v>
      </c>
      <c r="G725">
        <v>0</v>
      </c>
      <c r="L725" t="s">
        <v>7</v>
      </c>
      <c r="M725" t="s">
        <v>8</v>
      </c>
      <c r="N725" t="s">
        <v>8</v>
      </c>
      <c r="P725">
        <f t="shared" si="999"/>
        <v>0.88486140724947038</v>
      </c>
      <c r="Q725">
        <f t="shared" si="1000"/>
        <v>9433984.4029851109</v>
      </c>
      <c r="R725">
        <f t="shared" si="1001"/>
        <v>-68896946.329138055</v>
      </c>
      <c r="S725">
        <f t="shared" si="1002"/>
        <v>-688.96946329138052</v>
      </c>
      <c r="T725">
        <f t="shared" si="1003"/>
        <v>-0.68896946329138053</v>
      </c>
    </row>
    <row r="726" spans="1:20" x14ac:dyDescent="0.25">
      <c r="A726" s="5">
        <v>43867</v>
      </c>
      <c r="B726">
        <v>7.685E-3</v>
      </c>
      <c r="C726">
        <v>9.1999999999999998E-3</v>
      </c>
      <c r="D726">
        <v>7.62E-3</v>
      </c>
      <c r="E726">
        <v>8.6420000000000004E-3</v>
      </c>
      <c r="F726">
        <v>26087987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0.29367088607594993</v>
      </c>
      <c r="Q726">
        <f t="shared" si="1000"/>
        <v>7661282.2582278624</v>
      </c>
      <c r="R726">
        <f t="shared" si="1001"/>
        <v>-78330930.732123166</v>
      </c>
      <c r="S726">
        <f t="shared" si="1002"/>
        <v>-783.3093073212317</v>
      </c>
      <c r="T726">
        <f t="shared" si="1003"/>
        <v>-0.78330930732123172</v>
      </c>
    </row>
    <row r="727" spans="1:20" x14ac:dyDescent="0.25">
      <c r="A727" s="5">
        <v>43866</v>
      </c>
      <c r="B727">
        <v>7.7970000000000001E-3</v>
      </c>
      <c r="C727">
        <v>7.8799999999999999E-3</v>
      </c>
      <c r="D727">
        <v>7.5519999999999997E-3</v>
      </c>
      <c r="E727">
        <v>7.6990000000000001E-3</v>
      </c>
      <c r="F727">
        <v>8328983</v>
      </c>
      <c r="G727">
        <v>0</v>
      </c>
      <c r="L727" t="s">
        <v>7</v>
      </c>
      <c r="M727" t="s">
        <v>8</v>
      </c>
      <c r="N727" t="s">
        <v>7</v>
      </c>
      <c r="P727">
        <f t="shared" si="999"/>
        <v>-0.1036585365853637</v>
      </c>
      <c r="Q727">
        <f t="shared" si="1000"/>
        <v>-863370.18902437226</v>
      </c>
      <c r="R727">
        <f t="shared" si="1001"/>
        <v>-85992212.990351021</v>
      </c>
      <c r="S727">
        <f t="shared" si="1002"/>
        <v>-859.92212990351027</v>
      </c>
      <c r="T727">
        <f t="shared" si="1003"/>
        <v>-0.85992212990351025</v>
      </c>
    </row>
    <row r="728" spans="1:20" x14ac:dyDescent="0.25">
      <c r="A728" s="5">
        <v>43865</v>
      </c>
      <c r="B728">
        <v>7.5690000000000002E-3</v>
      </c>
      <c r="C728">
        <v>8.1840000000000003E-3</v>
      </c>
      <c r="D728">
        <v>7.5160000000000001E-3</v>
      </c>
      <c r="E728">
        <v>7.7840000000000001E-3</v>
      </c>
      <c r="F728">
        <v>20400622</v>
      </c>
      <c r="G728">
        <v>0</v>
      </c>
      <c r="L728" t="s">
        <v>8</v>
      </c>
      <c r="M728" t="s">
        <v>8</v>
      </c>
      <c r="N728" t="s">
        <v>7</v>
      </c>
      <c r="P728">
        <f t="shared" si="999"/>
        <v>-0.19760479041916187</v>
      </c>
      <c r="Q728">
        <f t="shared" si="1000"/>
        <v>-4031260.634730543</v>
      </c>
      <c r="R728">
        <f t="shared" si="1001"/>
        <v>-85128842.801326647</v>
      </c>
      <c r="S728">
        <f t="shared" si="1002"/>
        <v>-851.28842801326653</v>
      </c>
      <c r="T728">
        <f t="shared" si="1003"/>
        <v>-0.85128842801326654</v>
      </c>
    </row>
    <row r="729" spans="1:20" x14ac:dyDescent="0.25">
      <c r="A729" s="5">
        <v>43864</v>
      </c>
      <c r="B729">
        <v>7.1679999999999999E-3</v>
      </c>
      <c r="C729">
        <v>7.8200000000000006E-3</v>
      </c>
      <c r="D729">
        <v>7.0959999999999999E-3</v>
      </c>
      <c r="E729">
        <v>7.5750000000000001E-3</v>
      </c>
      <c r="F729">
        <v>26629798</v>
      </c>
      <c r="G729">
        <v>0</v>
      </c>
      <c r="L729" t="s">
        <v>8</v>
      </c>
      <c r="M729" t="s">
        <v>7</v>
      </c>
      <c r="N729" t="s">
        <v>7</v>
      </c>
      <c r="P729">
        <f t="shared" si="999"/>
        <v>0.32320441988950221</v>
      </c>
      <c r="Q729">
        <f t="shared" si="1000"/>
        <v>8606868.4143646266</v>
      </c>
      <c r="R729">
        <f t="shared" si="1001"/>
        <v>-81097582.1665961</v>
      </c>
      <c r="S729">
        <f t="shared" si="1002"/>
        <v>-810.97582166596101</v>
      </c>
      <c r="T729">
        <f t="shared" si="1003"/>
        <v>-0.81097582166596105</v>
      </c>
    </row>
    <row r="730" spans="1:20" x14ac:dyDescent="0.25">
      <c r="A730" s="5">
        <v>43863</v>
      </c>
      <c r="B730">
        <v>7.136E-3</v>
      </c>
      <c r="C730">
        <v>7.4999999999999997E-3</v>
      </c>
      <c r="D730">
        <v>7.0759999999999998E-3</v>
      </c>
      <c r="E730">
        <v>7.1669999999999998E-3</v>
      </c>
      <c r="F730">
        <v>12343461</v>
      </c>
      <c r="G730">
        <v>0</v>
      </c>
      <c r="L730" t="s">
        <v>8</v>
      </c>
      <c r="M730" t="s">
        <v>7</v>
      </c>
      <c r="N730" t="s">
        <v>7</v>
      </c>
      <c r="P730">
        <f t="shared" si="999"/>
        <v>-0.57075471698113223</v>
      </c>
      <c r="Q730">
        <f t="shared" si="1000"/>
        <v>-7045088.5896226438</v>
      </c>
      <c r="R730">
        <f t="shared" si="1001"/>
        <v>-89704450.580960721</v>
      </c>
      <c r="S730">
        <f t="shared" si="1002"/>
        <v>-897.04450580960724</v>
      </c>
      <c r="T730">
        <f t="shared" si="1003"/>
        <v>-0.89704450580960726</v>
      </c>
    </row>
    <row r="731" spans="1:20" x14ac:dyDescent="0.25">
      <c r="A731" s="5">
        <v>43862</v>
      </c>
      <c r="B731">
        <v>6.9300000000000004E-3</v>
      </c>
      <c r="C731">
        <v>7.1999999999999998E-3</v>
      </c>
      <c r="D731">
        <v>6.9109999999999996E-3</v>
      </c>
      <c r="E731">
        <v>7.1999999999999998E-3</v>
      </c>
      <c r="F731">
        <v>5398192</v>
      </c>
      <c r="G731">
        <v>0</v>
      </c>
      <c r="L731" t="s">
        <v>8</v>
      </c>
      <c r="M731" t="s">
        <v>7</v>
      </c>
      <c r="N731" t="s">
        <v>7</v>
      </c>
      <c r="P731">
        <f t="shared" si="999"/>
        <v>1</v>
      </c>
      <c r="Q731">
        <f t="shared" si="1000"/>
        <v>5398192</v>
      </c>
      <c r="R731">
        <f t="shared" si="1001"/>
        <v>-82659361.991338074</v>
      </c>
      <c r="S731">
        <f t="shared" si="1002"/>
        <v>-826.59361991338073</v>
      </c>
      <c r="T731">
        <f t="shared" si="1003"/>
        <v>-0.82659361991338076</v>
      </c>
    </row>
    <row r="732" spans="1:20" x14ac:dyDescent="0.25">
      <c r="A732" s="5">
        <v>43861</v>
      </c>
      <c r="B732">
        <v>6.8300000000000001E-3</v>
      </c>
      <c r="C732">
        <v>7.0990000000000003E-3</v>
      </c>
      <c r="D732">
        <v>6.77E-3</v>
      </c>
      <c r="E732">
        <v>7.0159999999999997E-3</v>
      </c>
      <c r="F732">
        <v>8007877</v>
      </c>
      <c r="G732">
        <v>0</v>
      </c>
      <c r="L732" t="s">
        <v>8</v>
      </c>
      <c r="M732" t="s">
        <v>7</v>
      </c>
      <c r="N732" t="s">
        <v>7</v>
      </c>
      <c r="P732">
        <f t="shared" si="999"/>
        <v>0.49544072948327944</v>
      </c>
      <c r="Q732">
        <f t="shared" si="1000"/>
        <v>3967428.4224923751</v>
      </c>
      <c r="R732">
        <f t="shared" si="1001"/>
        <v>-88057553.991338074</v>
      </c>
      <c r="S732">
        <f t="shared" si="1002"/>
        <v>-880.57553991338079</v>
      </c>
      <c r="T732">
        <f t="shared" si="1003"/>
        <v>-0.88057553991338078</v>
      </c>
    </row>
    <row r="733" spans="1:20" x14ac:dyDescent="0.25">
      <c r="A733" s="5">
        <v>43860</v>
      </c>
      <c r="B733">
        <v>6.6280000000000002E-3</v>
      </c>
      <c r="C733">
        <v>6.8360000000000001E-3</v>
      </c>
      <c r="D733">
        <v>6.6E-3</v>
      </c>
      <c r="E733">
        <v>6.8279999999999999E-3</v>
      </c>
      <c r="F733">
        <v>6184706</v>
      </c>
      <c r="G733">
        <v>0</v>
      </c>
      <c r="L733" t="s">
        <v>7</v>
      </c>
      <c r="M733" t="s">
        <v>7</v>
      </c>
      <c r="N733" t="s">
        <v>7</v>
      </c>
      <c r="P733">
        <f t="shared" si="999"/>
        <v>0.93220338983050688</v>
      </c>
      <c r="Q733">
        <f t="shared" si="1000"/>
        <v>5765403.8983050752</v>
      </c>
      <c r="R733">
        <f t="shared" si="1001"/>
        <v>-92024982.413830444</v>
      </c>
      <c r="S733">
        <f t="shared" si="1002"/>
        <v>-920.24982413830446</v>
      </c>
      <c r="T733">
        <f t="shared" si="1003"/>
        <v>-0.92024982413830447</v>
      </c>
    </row>
    <row r="734" spans="1:20" x14ac:dyDescent="0.25">
      <c r="A734" s="5">
        <v>43859</v>
      </c>
      <c r="B734">
        <v>6.901E-3</v>
      </c>
      <c r="C734">
        <v>6.9800000000000001E-3</v>
      </c>
      <c r="D734">
        <v>6.6059999999999999E-3</v>
      </c>
      <c r="E734">
        <v>6.6290000000000003E-3</v>
      </c>
      <c r="F734">
        <v>16598202</v>
      </c>
      <c r="G734">
        <v>0</v>
      </c>
      <c r="L734" t="s">
        <v>7</v>
      </c>
      <c r="M734" t="s">
        <v>7</v>
      </c>
      <c r="N734" t="s">
        <v>7</v>
      </c>
      <c r="P734">
        <f t="shared" si="999"/>
        <v>-0.87700534759358051</v>
      </c>
      <c r="Q734">
        <f t="shared" si="1000"/>
        <v>-14556711.914438464</v>
      </c>
      <c r="R734">
        <f t="shared" si="1001"/>
        <v>-97790386.312135518</v>
      </c>
      <c r="S734">
        <f t="shared" si="1002"/>
        <v>-977.90386312135513</v>
      </c>
      <c r="T734">
        <f t="shared" si="1003"/>
        <v>-0.97790386312135513</v>
      </c>
    </row>
    <row r="735" spans="1:20" x14ac:dyDescent="0.25">
      <c r="A735" s="5">
        <v>43858</v>
      </c>
      <c r="B735">
        <v>7.175E-3</v>
      </c>
      <c r="C735">
        <v>7.2769999999999996E-3</v>
      </c>
      <c r="D735">
        <v>6.8349999999999999E-3</v>
      </c>
      <c r="E735">
        <v>6.9280000000000001E-3</v>
      </c>
      <c r="F735">
        <v>27159550</v>
      </c>
      <c r="G735">
        <v>0</v>
      </c>
      <c r="L735" t="s">
        <v>7</v>
      </c>
      <c r="M735" t="s">
        <v>7</v>
      </c>
      <c r="N735" t="s">
        <v>7</v>
      </c>
      <c r="P735">
        <f t="shared" si="999"/>
        <v>-0.57918552036198978</v>
      </c>
      <c r="Q735">
        <f t="shared" si="1000"/>
        <v>-15730418.099547479</v>
      </c>
      <c r="R735">
        <f t="shared" si="1001"/>
        <v>-83233674.397697061</v>
      </c>
      <c r="S735">
        <f t="shared" si="1002"/>
        <v>-832.33674397697064</v>
      </c>
      <c r="T735">
        <f t="shared" si="1003"/>
        <v>-0.83233674397697066</v>
      </c>
    </row>
    <row r="736" spans="1:20" x14ac:dyDescent="0.25">
      <c r="A736" s="5">
        <v>43857</v>
      </c>
      <c r="B736">
        <v>7.2989999999999999E-3</v>
      </c>
      <c r="C736">
        <v>7.2989999999999999E-3</v>
      </c>
      <c r="D736">
        <v>7.0870000000000004E-3</v>
      </c>
      <c r="E736">
        <v>7.1069999999999996E-3</v>
      </c>
      <c r="F736">
        <v>6931056</v>
      </c>
      <c r="G736">
        <v>0</v>
      </c>
      <c r="L736" t="s">
        <v>8</v>
      </c>
      <c r="M736" t="s">
        <v>8</v>
      </c>
      <c r="N736" t="s">
        <v>7</v>
      </c>
      <c r="P736">
        <f t="shared" si="999"/>
        <v>-0.81132075471698839</v>
      </c>
      <c r="Q736">
        <f t="shared" si="1000"/>
        <v>-5623309.584905711</v>
      </c>
      <c r="R736">
        <f t="shared" si="1001"/>
        <v>-67503256.298149586</v>
      </c>
      <c r="S736">
        <f t="shared" si="1002"/>
        <v>-675.03256298149586</v>
      </c>
      <c r="T736">
        <f t="shared" si="1003"/>
        <v>-0.67503256298149583</v>
      </c>
    </row>
    <row r="737" spans="1:20" x14ac:dyDescent="0.25">
      <c r="A737" s="5">
        <v>43856</v>
      </c>
      <c r="B737">
        <v>7.0720000000000002E-3</v>
      </c>
      <c r="C737">
        <v>7.3920000000000001E-3</v>
      </c>
      <c r="D737">
        <v>7.0320000000000001E-3</v>
      </c>
      <c r="E737">
        <v>7.2899999999999996E-3</v>
      </c>
      <c r="F737">
        <v>4472973</v>
      </c>
      <c r="G737">
        <v>0</v>
      </c>
      <c r="L737" t="s">
        <v>8</v>
      </c>
      <c r="M737" t="s">
        <v>8</v>
      </c>
      <c r="N737" t="s">
        <v>7</v>
      </c>
      <c r="P737">
        <f t="shared" si="999"/>
        <v>0.43333333333333052</v>
      </c>
      <c r="Q737">
        <f t="shared" si="1000"/>
        <v>1938288.2999999875</v>
      </c>
      <c r="R737">
        <f t="shared" si="1001"/>
        <v>-61879946.713243872</v>
      </c>
      <c r="S737">
        <f t="shared" si="1002"/>
        <v>-618.79946713243874</v>
      </c>
      <c r="T737">
        <f t="shared" si="1003"/>
        <v>-0.61879946713243872</v>
      </c>
    </row>
    <row r="738" spans="1:20" x14ac:dyDescent="0.25">
      <c r="A738" s="5">
        <v>43855</v>
      </c>
      <c r="B738">
        <v>7.1479999999999998E-3</v>
      </c>
      <c r="C738">
        <v>7.1710000000000003E-3</v>
      </c>
      <c r="D738">
        <v>6.9379999999999997E-3</v>
      </c>
      <c r="E738">
        <v>7.149E-3</v>
      </c>
      <c r="F738">
        <v>3711506</v>
      </c>
      <c r="G738">
        <v>0</v>
      </c>
      <c r="L738" t="s">
        <v>7</v>
      </c>
      <c r="M738" t="s">
        <v>8</v>
      </c>
      <c r="N738" t="s">
        <v>7</v>
      </c>
      <c r="P738">
        <f t="shared" si="999"/>
        <v>0.81115879828325954</v>
      </c>
      <c r="Q738">
        <f t="shared" si="1000"/>
        <v>3010620.7467811075</v>
      </c>
      <c r="R738">
        <f t="shared" si="1001"/>
        <v>-63818235.013243861</v>
      </c>
      <c r="S738">
        <f t="shared" si="1002"/>
        <v>-638.18235013243861</v>
      </c>
      <c r="T738">
        <f t="shared" si="1003"/>
        <v>-0.63818235013243862</v>
      </c>
    </row>
    <row r="739" spans="1:20" x14ac:dyDescent="0.25">
      <c r="A739" s="5">
        <v>43854</v>
      </c>
      <c r="B739">
        <v>7.1219999999999999E-3</v>
      </c>
      <c r="C739">
        <v>7.2560000000000003E-3</v>
      </c>
      <c r="D739">
        <v>7.0410000000000004E-3</v>
      </c>
      <c r="E739">
        <v>7.149E-3</v>
      </c>
      <c r="F739">
        <v>2741517</v>
      </c>
      <c r="G739">
        <v>0</v>
      </c>
      <c r="L739" t="s">
        <v>7</v>
      </c>
      <c r="M739" t="s">
        <v>8</v>
      </c>
      <c r="N739" t="s">
        <v>7</v>
      </c>
      <c r="P739">
        <f t="shared" si="999"/>
        <v>4.6511627906942596E-3</v>
      </c>
      <c r="Q739">
        <f t="shared" si="1000"/>
        <v>12751.241860455755</v>
      </c>
      <c r="R739">
        <f t="shared" si="1001"/>
        <v>-66828855.760024972</v>
      </c>
      <c r="S739">
        <f t="shared" si="1002"/>
        <v>-668.28855760024976</v>
      </c>
      <c r="T739">
        <f t="shared" si="1003"/>
        <v>-0.66828855760024974</v>
      </c>
    </row>
    <row r="740" spans="1:20" x14ac:dyDescent="0.25">
      <c r="A740" s="5">
        <v>43853</v>
      </c>
      <c r="B740">
        <v>7.2119999999999997E-3</v>
      </c>
      <c r="C740">
        <v>7.234E-3</v>
      </c>
      <c r="D740">
        <v>6.9959999999999996E-3</v>
      </c>
      <c r="E740">
        <v>7.1329999999999996E-3</v>
      </c>
      <c r="F740">
        <v>4749367</v>
      </c>
      <c r="G740">
        <v>0</v>
      </c>
      <c r="L740" t="s">
        <v>7</v>
      </c>
      <c r="M740" t="s">
        <v>8</v>
      </c>
      <c r="N740" t="s">
        <v>7</v>
      </c>
      <c r="P740">
        <f t="shared" si="999"/>
        <v>0.15126050420167866</v>
      </c>
      <c r="Q740">
        <f t="shared" si="1000"/>
        <v>718391.64705881395</v>
      </c>
      <c r="R740">
        <f t="shared" si="1001"/>
        <v>-66841607.001885429</v>
      </c>
      <c r="S740">
        <f t="shared" si="1002"/>
        <v>-668.41607001885427</v>
      </c>
      <c r="T740">
        <f t="shared" si="1003"/>
        <v>-0.66841607001885428</v>
      </c>
    </row>
    <row r="741" spans="1:20" x14ac:dyDescent="0.25">
      <c r="A741" s="5">
        <v>43852</v>
      </c>
      <c r="B741">
        <v>7.3759999999999997E-3</v>
      </c>
      <c r="C741">
        <v>7.3759999999999997E-3</v>
      </c>
      <c r="D741">
        <v>7.1590000000000004E-3</v>
      </c>
      <c r="E741">
        <v>7.2119999999999997E-3</v>
      </c>
      <c r="F741">
        <v>4039561</v>
      </c>
      <c r="G741">
        <v>0</v>
      </c>
      <c r="L741" t="s">
        <v>7</v>
      </c>
      <c r="M741" t="s">
        <v>8</v>
      </c>
      <c r="N741" t="s">
        <v>7</v>
      </c>
      <c r="P741">
        <f t="shared" si="999"/>
        <v>-0.5115207373271945</v>
      </c>
      <c r="Q741">
        <f t="shared" si="1000"/>
        <v>-2066319.2211981791</v>
      </c>
      <c r="R741">
        <f t="shared" si="1001"/>
        <v>-67559998.648944244</v>
      </c>
      <c r="S741">
        <f t="shared" si="1002"/>
        <v>-675.59998648944247</v>
      </c>
      <c r="T741">
        <f t="shared" si="1003"/>
        <v>-0.67559998648944242</v>
      </c>
    </row>
    <row r="742" spans="1:20" x14ac:dyDescent="0.25">
      <c r="A742" s="5">
        <v>43851</v>
      </c>
      <c r="B742">
        <v>7.4510000000000002E-3</v>
      </c>
      <c r="C742">
        <v>7.4809999999999998E-3</v>
      </c>
      <c r="D742">
        <v>7.1780000000000004E-3</v>
      </c>
      <c r="E742">
        <v>7.3930000000000003E-3</v>
      </c>
      <c r="F742">
        <v>3997383</v>
      </c>
      <c r="G742">
        <v>0</v>
      </c>
      <c r="L742" t="s">
        <v>7</v>
      </c>
      <c r="M742" t="s">
        <v>8</v>
      </c>
      <c r="N742" t="s">
        <v>7</v>
      </c>
      <c r="P742">
        <f t="shared" si="999"/>
        <v>0.41914191419142116</v>
      </c>
      <c r="Q742">
        <f t="shared" si="1000"/>
        <v>1675470.7623762458</v>
      </c>
      <c r="R742">
        <f t="shared" si="1001"/>
        <v>-65493679.427746058</v>
      </c>
      <c r="S742">
        <f t="shared" si="1002"/>
        <v>-654.93679427746054</v>
      </c>
      <c r="T742">
        <f t="shared" si="1003"/>
        <v>-0.65493679427746054</v>
      </c>
    </row>
    <row r="743" spans="1:20" x14ac:dyDescent="0.25">
      <c r="A743" s="5">
        <v>43850</v>
      </c>
      <c r="B743">
        <v>7.3489999999999996E-3</v>
      </c>
      <c r="C743">
        <v>7.4770000000000001E-3</v>
      </c>
      <c r="D743">
        <v>7.1570000000000002E-3</v>
      </c>
      <c r="E743">
        <v>7.4099999999999999E-3</v>
      </c>
      <c r="F743">
        <v>3783109</v>
      </c>
      <c r="G743">
        <v>0</v>
      </c>
      <c r="L743" t="s">
        <v>7</v>
      </c>
      <c r="M743" t="s">
        <v>8</v>
      </c>
      <c r="N743" t="s">
        <v>7</v>
      </c>
      <c r="P743">
        <f t="shared" si="999"/>
        <v>0.5812499999999986</v>
      </c>
      <c r="Q743">
        <f t="shared" si="1000"/>
        <v>2198932.1062499946</v>
      </c>
      <c r="R743">
        <f t="shared" si="1001"/>
        <v>-67169150.190122306</v>
      </c>
      <c r="S743">
        <f t="shared" si="1002"/>
        <v>-671.69150190122309</v>
      </c>
      <c r="T743">
        <f t="shared" si="1003"/>
        <v>-0.67169150190122306</v>
      </c>
    </row>
    <row r="744" spans="1:20" x14ac:dyDescent="0.25">
      <c r="A744" s="5">
        <v>43849</v>
      </c>
      <c r="B744">
        <v>7.4349999999999998E-3</v>
      </c>
      <c r="C744">
        <v>7.5880000000000001E-3</v>
      </c>
      <c r="D744">
        <v>7.0270000000000003E-3</v>
      </c>
      <c r="E744">
        <v>7.3489999999999996E-3</v>
      </c>
      <c r="F744">
        <v>10184520</v>
      </c>
      <c r="G744">
        <v>0</v>
      </c>
      <c r="L744" t="s">
        <v>7</v>
      </c>
      <c r="M744" t="s">
        <v>8</v>
      </c>
      <c r="N744" t="s">
        <v>7</v>
      </c>
      <c r="P744">
        <f t="shared" si="999"/>
        <v>0.14795008912655774</v>
      </c>
      <c r="Q744">
        <f t="shared" si="1000"/>
        <v>1506800.6417112099</v>
      </c>
      <c r="R744">
        <f t="shared" si="1001"/>
        <v>-69368082.296372294</v>
      </c>
      <c r="S744">
        <f t="shared" si="1002"/>
        <v>-693.6808229637229</v>
      </c>
      <c r="T744">
        <f t="shared" si="1003"/>
        <v>-0.69368082296372291</v>
      </c>
    </row>
    <row r="745" spans="1:20" x14ac:dyDescent="0.25">
      <c r="A745" s="5">
        <v>43848</v>
      </c>
      <c r="B745">
        <v>7.3990000000000002E-3</v>
      </c>
      <c r="C745">
        <v>7.5880000000000001E-3</v>
      </c>
      <c r="D745">
        <v>7.3270000000000002E-3</v>
      </c>
      <c r="E745">
        <v>7.5180000000000004E-3</v>
      </c>
      <c r="F745">
        <v>9340823</v>
      </c>
      <c r="G745">
        <v>0</v>
      </c>
      <c r="L745" t="s">
        <v>8</v>
      </c>
      <c r="M745" t="s">
        <v>8</v>
      </c>
      <c r="N745" t="s">
        <v>7</v>
      </c>
      <c r="P745">
        <f t="shared" si="999"/>
        <v>0.46360153256705161</v>
      </c>
      <c r="Q745">
        <f t="shared" si="1000"/>
        <v>4330419.8582375646</v>
      </c>
      <c r="R745">
        <f t="shared" si="1001"/>
        <v>-70874882.9380835</v>
      </c>
      <c r="S745">
        <f t="shared" si="1002"/>
        <v>-708.74882938083499</v>
      </c>
      <c r="T745">
        <f t="shared" si="1003"/>
        <v>-0.70874882938083494</v>
      </c>
    </row>
    <row r="746" spans="1:20" x14ac:dyDescent="0.25">
      <c r="A746" s="5">
        <v>43847</v>
      </c>
      <c r="B746">
        <v>7.3509999999999999E-3</v>
      </c>
      <c r="C746">
        <v>7.4999999999999997E-3</v>
      </c>
      <c r="D746">
        <v>7.3070000000000001E-3</v>
      </c>
      <c r="E746">
        <v>7.4689999999999999E-3</v>
      </c>
      <c r="F746">
        <v>8347667</v>
      </c>
      <c r="G746">
        <v>0</v>
      </c>
      <c r="L746" t="s">
        <v>8</v>
      </c>
      <c r="M746" t="s">
        <v>8</v>
      </c>
      <c r="N746" t="s">
        <v>7</v>
      </c>
      <c r="P746">
        <f t="shared" si="999"/>
        <v>0.67875647668393946</v>
      </c>
      <c r="Q746">
        <f t="shared" si="1000"/>
        <v>5666033.0414507911</v>
      </c>
      <c r="R746">
        <f t="shared" si="1001"/>
        <v>-75205302.796321064</v>
      </c>
      <c r="S746">
        <f t="shared" si="1002"/>
        <v>-752.05302796321064</v>
      </c>
      <c r="T746">
        <f t="shared" si="1003"/>
        <v>-0.75205302796321061</v>
      </c>
    </row>
    <row r="747" spans="1:20" x14ac:dyDescent="0.25">
      <c r="A747" s="5">
        <v>43846</v>
      </c>
      <c r="B747">
        <v>7.2989999999999999E-3</v>
      </c>
      <c r="C747">
        <v>7.6099999999999996E-3</v>
      </c>
      <c r="D747">
        <v>7.1599999999999997E-3</v>
      </c>
      <c r="E747">
        <v>7.3509999999999999E-3</v>
      </c>
      <c r="F747">
        <v>8602470</v>
      </c>
      <c r="G747">
        <v>0</v>
      </c>
      <c r="L747" t="s">
        <v>8</v>
      </c>
      <c r="M747" t="s">
        <v>8</v>
      </c>
      <c r="N747" t="s">
        <v>7</v>
      </c>
      <c r="P747">
        <f t="shared" si="999"/>
        <v>-0.15111111111111</v>
      </c>
      <c r="Q747">
        <f t="shared" si="1000"/>
        <v>-1299928.7999999905</v>
      </c>
      <c r="R747">
        <f t="shared" si="1001"/>
        <v>-80871335.837771863</v>
      </c>
      <c r="S747">
        <f t="shared" si="1002"/>
        <v>-808.71335837771858</v>
      </c>
      <c r="T747">
        <f t="shared" si="1003"/>
        <v>-0.80871335837771863</v>
      </c>
    </row>
    <row r="748" spans="1:20" x14ac:dyDescent="0.25">
      <c r="A748" s="5">
        <v>43845</v>
      </c>
      <c r="B748">
        <v>7.2179999999999996E-3</v>
      </c>
      <c r="C748">
        <v>7.4989999999999996E-3</v>
      </c>
      <c r="D748">
        <v>7.0080000000000003E-3</v>
      </c>
      <c r="E748">
        <v>7.2839999999999997E-3</v>
      </c>
      <c r="F748">
        <v>20046461</v>
      </c>
      <c r="G748">
        <v>0</v>
      </c>
      <c r="L748" t="s">
        <v>7</v>
      </c>
      <c r="M748" t="s">
        <v>8</v>
      </c>
      <c r="N748" t="s">
        <v>7</v>
      </c>
      <c r="P748">
        <f t="shared" si="999"/>
        <v>0.12423625254582386</v>
      </c>
      <c r="Q748">
        <f t="shared" si="1000"/>
        <v>2490497.1914460086</v>
      </c>
      <c r="R748">
        <f t="shared" si="1001"/>
        <v>-79571407.037771866</v>
      </c>
      <c r="S748">
        <f t="shared" si="1002"/>
        <v>-795.71407037771871</v>
      </c>
      <c r="T748">
        <f t="shared" si="1003"/>
        <v>-0.79571407037771869</v>
      </c>
    </row>
    <row r="749" spans="1:20" x14ac:dyDescent="0.25">
      <c r="A749" s="5">
        <v>43844</v>
      </c>
      <c r="B749">
        <v>7.0530000000000002E-3</v>
      </c>
      <c r="C749">
        <v>7.6E-3</v>
      </c>
      <c r="D749">
        <v>7.0410000000000004E-3</v>
      </c>
      <c r="E749">
        <v>7.2179999999999996E-3</v>
      </c>
      <c r="F749">
        <v>19271531</v>
      </c>
      <c r="G749">
        <v>0</v>
      </c>
      <c r="L749" t="s">
        <v>8</v>
      </c>
      <c r="M749" t="s">
        <v>8</v>
      </c>
      <c r="N749" t="s">
        <v>7</v>
      </c>
      <c r="P749">
        <f t="shared" si="999"/>
        <v>-0.3667262969588575</v>
      </c>
      <c r="Q749">
        <f t="shared" si="1000"/>
        <v>-7067377.2003578283</v>
      </c>
      <c r="R749">
        <f t="shared" si="1001"/>
        <v>-82061904.229217872</v>
      </c>
      <c r="S749">
        <f t="shared" si="1002"/>
        <v>-820.61904229217873</v>
      </c>
      <c r="T749">
        <f t="shared" si="1003"/>
        <v>-0.82061904229217875</v>
      </c>
    </row>
    <row r="750" spans="1:20" x14ac:dyDescent="0.25">
      <c r="A750" s="5">
        <v>43843</v>
      </c>
      <c r="B750">
        <v>7.3029999999999996E-3</v>
      </c>
      <c r="C750">
        <v>7.3029999999999996E-3</v>
      </c>
      <c r="D750">
        <v>7.0000000000000001E-3</v>
      </c>
      <c r="E750">
        <v>7.0530000000000002E-3</v>
      </c>
      <c r="F750">
        <v>4096637</v>
      </c>
      <c r="G750">
        <v>0</v>
      </c>
      <c r="L750" t="s">
        <v>7</v>
      </c>
      <c r="M750" t="s">
        <v>8</v>
      </c>
      <c r="N750" t="s">
        <v>7</v>
      </c>
      <c r="P750">
        <f t="shared" si="999"/>
        <v>-0.65016501650164893</v>
      </c>
      <c r="Q750">
        <f t="shared" si="1000"/>
        <v>-2663490.0627062656</v>
      </c>
      <c r="R750">
        <f t="shared" si="1001"/>
        <v>-74994527.028860047</v>
      </c>
      <c r="S750">
        <f t="shared" si="1002"/>
        <v>-749.94527028860045</v>
      </c>
      <c r="T750">
        <f t="shared" si="1003"/>
        <v>-0.74994527028860047</v>
      </c>
    </row>
    <row r="751" spans="1:20" x14ac:dyDescent="0.25">
      <c r="A751" s="5">
        <v>43842</v>
      </c>
      <c r="B751">
        <v>7.358E-3</v>
      </c>
      <c r="C751">
        <v>7.5189999999999996E-3</v>
      </c>
      <c r="D751">
        <v>7.1529999999999996E-3</v>
      </c>
      <c r="E751">
        <v>7.2979999999999998E-3</v>
      </c>
      <c r="F751">
        <v>8926978</v>
      </c>
      <c r="G751">
        <v>0</v>
      </c>
      <c r="L751" t="s">
        <v>7</v>
      </c>
      <c r="M751" t="s">
        <v>8</v>
      </c>
      <c r="N751" t="s">
        <v>7</v>
      </c>
      <c r="P751">
        <f t="shared" si="999"/>
        <v>-0.20765027322404284</v>
      </c>
      <c r="Q751">
        <f t="shared" si="1000"/>
        <v>-1853689.4207650195</v>
      </c>
      <c r="R751">
        <f t="shared" si="1001"/>
        <v>-72331036.966153786</v>
      </c>
      <c r="S751">
        <f t="shared" si="1002"/>
        <v>-723.31036966153783</v>
      </c>
      <c r="T751">
        <f t="shared" si="1003"/>
        <v>-0.72331036966153783</v>
      </c>
    </row>
    <row r="752" spans="1:20" x14ac:dyDescent="0.25">
      <c r="A752" s="5">
        <v>43841</v>
      </c>
      <c r="B752">
        <v>7.2649999999999998E-3</v>
      </c>
      <c r="C752">
        <v>7.5960000000000003E-3</v>
      </c>
      <c r="D752">
        <v>7.1710000000000003E-3</v>
      </c>
      <c r="E752">
        <v>7.3920000000000001E-3</v>
      </c>
      <c r="F752">
        <v>9410742</v>
      </c>
      <c r="G752">
        <v>0</v>
      </c>
      <c r="L752" t="s">
        <v>7</v>
      </c>
      <c r="M752" t="s">
        <v>8</v>
      </c>
      <c r="N752" t="s">
        <v>7</v>
      </c>
      <c r="P752">
        <f t="shared" si="999"/>
        <v>3.9999999999999182E-2</v>
      </c>
      <c r="Q752">
        <f t="shared" si="1000"/>
        <v>376429.67999999231</v>
      </c>
      <c r="R752">
        <f t="shared" si="1001"/>
        <v>-70477347.545388773</v>
      </c>
      <c r="S752">
        <f t="shared" si="1002"/>
        <v>-704.77347545388773</v>
      </c>
      <c r="T752">
        <f t="shared" si="1003"/>
        <v>-0.70477347545388769</v>
      </c>
    </row>
    <row r="753" spans="1:20" x14ac:dyDescent="0.25">
      <c r="A753" s="5">
        <v>43840</v>
      </c>
      <c r="B753">
        <v>7.3000000000000001E-3</v>
      </c>
      <c r="C753">
        <v>7.4339999999999996E-3</v>
      </c>
      <c r="D753">
        <v>7.1440000000000002E-3</v>
      </c>
      <c r="E753">
        <v>7.2649999999999998E-3</v>
      </c>
      <c r="F753">
        <v>12518353</v>
      </c>
      <c r="G753">
        <v>0</v>
      </c>
      <c r="L753" t="s">
        <v>7</v>
      </c>
      <c r="M753" t="s">
        <v>8</v>
      </c>
      <c r="N753" t="s">
        <v>7</v>
      </c>
      <c r="P753">
        <f t="shared" si="999"/>
        <v>-0.16551724137931167</v>
      </c>
      <c r="Q753">
        <f t="shared" si="1000"/>
        <v>-2072003.2551724305</v>
      </c>
      <c r="R753">
        <f t="shared" si="1001"/>
        <v>-70853777.225388765</v>
      </c>
      <c r="S753">
        <f t="shared" si="1002"/>
        <v>-708.53777225388762</v>
      </c>
      <c r="T753">
        <f t="shared" si="1003"/>
        <v>-0.70853777225388759</v>
      </c>
    </row>
    <row r="754" spans="1:20" x14ac:dyDescent="0.25">
      <c r="A754" s="5">
        <v>43839</v>
      </c>
      <c r="B754">
        <v>7.3489999999999996E-3</v>
      </c>
      <c r="C754">
        <v>7.731E-3</v>
      </c>
      <c r="D754">
        <v>7.1970000000000003E-3</v>
      </c>
      <c r="E754">
        <v>7.2509999999999996E-3</v>
      </c>
      <c r="F754">
        <v>22340641</v>
      </c>
      <c r="G754">
        <v>0</v>
      </c>
      <c r="L754" t="s">
        <v>8</v>
      </c>
      <c r="M754" t="s">
        <v>8</v>
      </c>
      <c r="N754" t="s">
        <v>7</v>
      </c>
      <c r="P754">
        <f t="shared" si="999"/>
        <v>-0.79775280898876633</v>
      </c>
      <c r="Q754">
        <f t="shared" si="1000"/>
        <v>-17822309.112359602</v>
      </c>
      <c r="R754">
        <f t="shared" si="1001"/>
        <v>-68781773.970216334</v>
      </c>
      <c r="S754">
        <f t="shared" si="1002"/>
        <v>-687.81773970216329</v>
      </c>
      <c r="T754">
        <f t="shared" si="1003"/>
        <v>-0.68781773970216331</v>
      </c>
    </row>
    <row r="755" spans="1:20" x14ac:dyDescent="0.25">
      <c r="A755" s="5">
        <v>43838</v>
      </c>
      <c r="B755">
        <v>7.2560000000000003E-3</v>
      </c>
      <c r="C755">
        <v>7.7730000000000004E-3</v>
      </c>
      <c r="D755">
        <v>6.9680000000000002E-3</v>
      </c>
      <c r="E755">
        <v>7.3920000000000001E-3</v>
      </c>
      <c r="F755">
        <v>32237817</v>
      </c>
      <c r="G755">
        <v>0</v>
      </c>
      <c r="L755" t="s">
        <v>7</v>
      </c>
      <c r="M755" t="s">
        <v>8</v>
      </c>
      <c r="N755" t="s">
        <v>7</v>
      </c>
      <c r="P755">
        <f t="shared" si="999"/>
        <v>5.3416149068322517E-2</v>
      </c>
      <c r="Q755">
        <f t="shared" si="1000"/>
        <v>1722020.0385093018</v>
      </c>
      <c r="R755">
        <f t="shared" si="1001"/>
        <v>-50959464.857856736</v>
      </c>
      <c r="S755">
        <f t="shared" si="1002"/>
        <v>-509.59464857856733</v>
      </c>
      <c r="T755">
        <f t="shared" si="1003"/>
        <v>-0.50959464857856729</v>
      </c>
    </row>
    <row r="756" spans="1:20" x14ac:dyDescent="0.25">
      <c r="A756" s="5">
        <v>43837</v>
      </c>
      <c r="B756">
        <v>7.3940000000000004E-3</v>
      </c>
      <c r="C756">
        <v>7.7289999999999998E-3</v>
      </c>
      <c r="D756">
        <v>7.0959999999999999E-3</v>
      </c>
      <c r="E756">
        <v>7.2030000000000002E-3</v>
      </c>
      <c r="F756">
        <v>15187198</v>
      </c>
      <c r="G756">
        <v>0</v>
      </c>
      <c r="L756" t="s">
        <v>8</v>
      </c>
      <c r="M756" t="s">
        <v>8</v>
      </c>
      <c r="N756" t="s">
        <v>7</v>
      </c>
      <c r="P756">
        <f t="shared" si="999"/>
        <v>-0.66192733017377459</v>
      </c>
      <c r="Q756">
        <f t="shared" si="1000"/>
        <v>-10052821.424960488</v>
      </c>
      <c r="R756">
        <f t="shared" si="1001"/>
        <v>-52681484.896366037</v>
      </c>
      <c r="S756">
        <f t="shared" si="1002"/>
        <v>-526.81484896366032</v>
      </c>
      <c r="T756">
        <f t="shared" si="1003"/>
        <v>-0.52681484896366038</v>
      </c>
    </row>
    <row r="757" spans="1:20" x14ac:dyDescent="0.25">
      <c r="A757" s="5">
        <v>43836</v>
      </c>
      <c r="B757">
        <v>7.2350000000000001E-3</v>
      </c>
      <c r="C757">
        <v>7.43E-3</v>
      </c>
      <c r="D757">
        <v>7.1840000000000003E-3</v>
      </c>
      <c r="E757">
        <v>7.3569999999999998E-3</v>
      </c>
      <c r="F757">
        <v>6897244</v>
      </c>
      <c r="G757">
        <v>0</v>
      </c>
      <c r="L757" t="s">
        <v>8</v>
      </c>
      <c r="M757" t="s">
        <v>8</v>
      </c>
      <c r="N757" t="s">
        <v>7</v>
      </c>
      <c r="P757">
        <f t="shared" si="999"/>
        <v>0.40650406504064845</v>
      </c>
      <c r="Q757">
        <f t="shared" si="1000"/>
        <v>2803757.7235772223</v>
      </c>
      <c r="R757">
        <f t="shared" si="1001"/>
        <v>-42628663.471405551</v>
      </c>
      <c r="S757">
        <f t="shared" si="1002"/>
        <v>-426.28663471405548</v>
      </c>
      <c r="T757">
        <f t="shared" si="1003"/>
        <v>-0.42628663471405548</v>
      </c>
    </row>
    <row r="758" spans="1:20" x14ac:dyDescent="0.25">
      <c r="A758" s="5">
        <v>43835</v>
      </c>
      <c r="B758">
        <v>7.3400000000000002E-3</v>
      </c>
      <c r="C758">
        <v>7.4590000000000004E-3</v>
      </c>
      <c r="D758">
        <v>7.1390000000000004E-3</v>
      </c>
      <c r="E758">
        <v>7.2350000000000001E-3</v>
      </c>
      <c r="F758">
        <v>3179612</v>
      </c>
      <c r="G758">
        <v>0</v>
      </c>
      <c r="L758" t="s">
        <v>8</v>
      </c>
      <c r="M758" t="s">
        <v>8</v>
      </c>
      <c r="N758" t="s">
        <v>7</v>
      </c>
      <c r="P758">
        <f t="shared" si="999"/>
        <v>-0.40000000000000163</v>
      </c>
      <c r="Q758">
        <f t="shared" si="1000"/>
        <v>-1271844.8000000052</v>
      </c>
      <c r="R758">
        <f t="shared" si="1001"/>
        <v>-45432421.194982775</v>
      </c>
      <c r="S758">
        <f t="shared" si="1002"/>
        <v>-454.32421194982777</v>
      </c>
      <c r="T758">
        <f t="shared" si="1003"/>
        <v>-0.45432421194982775</v>
      </c>
    </row>
    <row r="759" spans="1:20" x14ac:dyDescent="0.25">
      <c r="A759" s="5">
        <v>43834</v>
      </c>
      <c r="B759">
        <v>7.3330000000000001E-3</v>
      </c>
      <c r="C759">
        <v>7.6470000000000002E-3</v>
      </c>
      <c r="D759">
        <v>7.2960000000000004E-3</v>
      </c>
      <c r="E759">
        <v>7.2989999999999999E-3</v>
      </c>
      <c r="F759">
        <v>8326821</v>
      </c>
      <c r="G759">
        <v>0</v>
      </c>
      <c r="L759" t="s">
        <v>8</v>
      </c>
      <c r="M759" t="s">
        <v>8</v>
      </c>
      <c r="N759" t="s">
        <v>7</v>
      </c>
      <c r="P759">
        <f t="shared" si="999"/>
        <v>-0.98290598290598552</v>
      </c>
      <c r="Q759">
        <f t="shared" si="1000"/>
        <v>-8184482.1794872014</v>
      </c>
      <c r="R759">
        <f t="shared" si="1001"/>
        <v>-44160576.39498277</v>
      </c>
      <c r="S759">
        <f t="shared" si="1002"/>
        <v>-441.60576394982769</v>
      </c>
      <c r="T759">
        <f t="shared" si="1003"/>
        <v>-0.4416057639498277</v>
      </c>
    </row>
    <row r="760" spans="1:20" x14ac:dyDescent="0.25">
      <c r="A760" s="5">
        <v>43833</v>
      </c>
      <c r="B760">
        <v>7.0689999999999998E-3</v>
      </c>
      <c r="C760">
        <v>7.5030000000000001E-3</v>
      </c>
      <c r="D760">
        <v>6.94E-3</v>
      </c>
      <c r="E760">
        <v>7.3299999999999997E-3</v>
      </c>
      <c r="F760">
        <v>13020814</v>
      </c>
      <c r="G760">
        <v>0</v>
      </c>
      <c r="L760" t="s">
        <v>7</v>
      </c>
      <c r="M760" t="s">
        <v>8</v>
      </c>
      <c r="N760" t="s">
        <v>7</v>
      </c>
      <c r="P760">
        <f t="shared" si="999"/>
        <v>0.38543516873889744</v>
      </c>
      <c r="Q760">
        <f t="shared" si="1000"/>
        <v>5018679.6412077984</v>
      </c>
      <c r="R760">
        <f t="shared" si="1001"/>
        <v>-35976094.215495571</v>
      </c>
      <c r="S760">
        <f t="shared" si="1002"/>
        <v>-359.76094215495573</v>
      </c>
      <c r="T760">
        <f t="shared" si="1003"/>
        <v>-0.35976094215495574</v>
      </c>
    </row>
    <row r="761" spans="1:20" x14ac:dyDescent="0.25">
      <c r="A761" s="5">
        <v>43832</v>
      </c>
      <c r="B761">
        <v>7.737E-3</v>
      </c>
      <c r="C761">
        <v>7.8169999999999993E-3</v>
      </c>
      <c r="D761">
        <v>6.9930000000000001E-3</v>
      </c>
      <c r="E761">
        <v>7.071E-3</v>
      </c>
      <c r="F761">
        <v>22506885</v>
      </c>
      <c r="G761">
        <v>0</v>
      </c>
      <c r="L761" t="s">
        <v>7</v>
      </c>
      <c r="M761" t="s">
        <v>8</v>
      </c>
      <c r="N761" t="s">
        <v>7</v>
      </c>
      <c r="P761">
        <f t="shared" si="999"/>
        <v>-0.81067961165048541</v>
      </c>
      <c r="Q761">
        <f t="shared" si="1000"/>
        <v>-18245872.791262135</v>
      </c>
      <c r="R761">
        <f t="shared" si="1001"/>
        <v>-40994773.856703371</v>
      </c>
      <c r="S761">
        <f t="shared" si="1002"/>
        <v>-409.9477385670337</v>
      </c>
      <c r="T761">
        <f t="shared" si="1003"/>
        <v>-0.4099477385670337</v>
      </c>
    </row>
    <row r="762" spans="1:20" x14ac:dyDescent="0.25">
      <c r="A762" s="5">
        <v>43831</v>
      </c>
      <c r="B762">
        <v>7.9950000000000004E-3</v>
      </c>
      <c r="C762">
        <v>8.3320000000000009E-3</v>
      </c>
      <c r="D762">
        <v>7.5820000000000002E-3</v>
      </c>
      <c r="E762">
        <v>7.7549999999999997E-3</v>
      </c>
      <c r="F762">
        <v>48749244</v>
      </c>
      <c r="G762">
        <v>0</v>
      </c>
      <c r="L762" t="s">
        <v>8</v>
      </c>
      <c r="M762" t="s">
        <v>8</v>
      </c>
      <c r="N762" t="s">
        <v>7</v>
      </c>
      <c r="P762">
        <f t="shared" si="999"/>
        <v>-0.53866666666666829</v>
      </c>
      <c r="Q762">
        <f t="shared" si="1000"/>
        <v>-26259592.768000077</v>
      </c>
      <c r="R762">
        <f t="shared" si="1001"/>
        <v>-22748901.065441236</v>
      </c>
      <c r="S762">
        <f t="shared" si="1002"/>
        <v>-227.48901065441237</v>
      </c>
      <c r="T762">
        <f t="shared" si="1003"/>
        <v>-0.22748901065441238</v>
      </c>
    </row>
    <row r="763" spans="1:20" x14ac:dyDescent="0.25">
      <c r="A763" s="5">
        <v>43830</v>
      </c>
      <c r="B763">
        <v>6.9420000000000003E-3</v>
      </c>
      <c r="C763">
        <v>7.9989999999999992E-3</v>
      </c>
      <c r="D763">
        <v>6.9410000000000001E-3</v>
      </c>
      <c r="E763">
        <v>7.9880000000000003E-3</v>
      </c>
      <c r="F763">
        <v>13376124</v>
      </c>
      <c r="G763">
        <v>0</v>
      </c>
      <c r="L763" t="s">
        <v>8</v>
      </c>
      <c r="M763" t="s">
        <v>8</v>
      </c>
      <c r="N763" t="s">
        <v>7</v>
      </c>
      <c r="P763">
        <f t="shared" si="999"/>
        <v>0.97920604914934051</v>
      </c>
      <c r="Q763">
        <f t="shared" si="1000"/>
        <v>13097981.534971673</v>
      </c>
      <c r="R763">
        <f t="shared" si="1001"/>
        <v>3510691.7025588397</v>
      </c>
      <c r="S763">
        <f t="shared" si="1002"/>
        <v>35.106917025588395</v>
      </c>
      <c r="T763">
        <f t="shared" si="1003"/>
        <v>3.5106917025588394E-2</v>
      </c>
    </row>
    <row r="764" spans="1:20" x14ac:dyDescent="0.25">
      <c r="A764" s="5">
        <v>43829</v>
      </c>
      <c r="B764">
        <v>6.966E-3</v>
      </c>
      <c r="C764">
        <v>7.3289999999999996E-3</v>
      </c>
      <c r="D764">
        <v>6.8089999999999999E-3</v>
      </c>
      <c r="E764">
        <v>6.9569999999999996E-3</v>
      </c>
      <c r="F764">
        <v>8517544</v>
      </c>
      <c r="G764">
        <v>0</v>
      </c>
      <c r="L764" t="s">
        <v>7</v>
      </c>
      <c r="M764" t="s">
        <v>7</v>
      </c>
      <c r="N764" t="s">
        <v>7</v>
      </c>
      <c r="P764">
        <f t="shared" si="999"/>
        <v>-0.43076923076923151</v>
      </c>
      <c r="Q764">
        <f t="shared" si="1000"/>
        <v>-3669095.8769230833</v>
      </c>
      <c r="R764">
        <f t="shared" si="1001"/>
        <v>-9587289.8324128333</v>
      </c>
      <c r="S764">
        <f t="shared" si="1002"/>
        <v>-95.872898324128329</v>
      </c>
      <c r="T764">
        <f t="shared" si="1003"/>
        <v>-9.5872898324128333E-2</v>
      </c>
    </row>
    <row r="765" spans="1:20" x14ac:dyDescent="0.25">
      <c r="A765" s="5">
        <v>43828</v>
      </c>
      <c r="B765">
        <v>7.2370000000000004E-3</v>
      </c>
      <c r="C765">
        <v>7.3359999999999996E-3</v>
      </c>
      <c r="D765">
        <v>6.9449999999999998E-3</v>
      </c>
      <c r="E765">
        <v>7.0169999999999998E-3</v>
      </c>
      <c r="F765">
        <v>10401312</v>
      </c>
      <c r="G765">
        <v>0</v>
      </c>
      <c r="L765" t="s">
        <v>7</v>
      </c>
      <c r="M765" t="s">
        <v>8</v>
      </c>
      <c r="N765" t="s">
        <v>7</v>
      </c>
      <c r="P765">
        <f t="shared" si="999"/>
        <v>-0.63171355498721204</v>
      </c>
      <c r="Q765">
        <f t="shared" si="1000"/>
        <v>-6570649.7800511485</v>
      </c>
      <c r="R765">
        <f t="shared" si="1001"/>
        <v>-5918193.95548975</v>
      </c>
      <c r="S765">
        <f t="shared" si="1002"/>
        <v>-59.181939554897497</v>
      </c>
      <c r="T765">
        <f t="shared" si="1003"/>
        <v>-5.9181939554897499E-2</v>
      </c>
    </row>
    <row r="766" spans="1:20" x14ac:dyDescent="0.25">
      <c r="A766" s="5">
        <v>43827</v>
      </c>
      <c r="B766">
        <v>7.2550000000000002E-3</v>
      </c>
      <c r="C766">
        <v>7.3699999999999998E-3</v>
      </c>
      <c r="D766">
        <v>7.1419999999999999E-3</v>
      </c>
      <c r="E766">
        <v>7.2899999999999996E-3</v>
      </c>
      <c r="F766">
        <v>2187646</v>
      </c>
      <c r="G766">
        <v>0</v>
      </c>
      <c r="L766" t="s">
        <v>7</v>
      </c>
      <c r="M766" t="s">
        <v>8</v>
      </c>
      <c r="N766" t="s">
        <v>7</v>
      </c>
      <c r="P766">
        <f t="shared" si="999"/>
        <v>0.29824561403508559</v>
      </c>
      <c r="Q766">
        <f t="shared" si="1000"/>
        <v>652455.82456139883</v>
      </c>
      <c r="R766">
        <f>R768+Q766</f>
        <v>652455.82456139883</v>
      </c>
      <c r="S766">
        <f t="shared" si="1002"/>
        <v>6.5245582456139886</v>
      </c>
      <c r="T766">
        <f t="shared" si="1003"/>
        <v>6.524558245613989E-3</v>
      </c>
    </row>
    <row r="767" spans="1:20" x14ac:dyDescent="0.25">
      <c r="A767" s="5"/>
      <c r="C767"/>
      <c r="D767"/>
    </row>
    <row r="768" spans="1:20" x14ac:dyDescent="0.25">
      <c r="A768" s="5">
        <v>43826</v>
      </c>
      <c r="B768">
        <v>7.084E-3</v>
      </c>
      <c r="C768">
        <v>7.4749999999999999E-3</v>
      </c>
      <c r="D768">
        <v>7.0419999999999996E-3</v>
      </c>
      <c r="E768">
        <v>7.2439999999999996E-3</v>
      </c>
      <c r="F768">
        <v>11512713</v>
      </c>
      <c r="G768">
        <v>0</v>
      </c>
      <c r="L768" t="s">
        <v>7</v>
      </c>
      <c r="M768" t="s">
        <v>8</v>
      </c>
      <c r="N768" t="s">
        <v>7</v>
      </c>
    </row>
    <row r="769" spans="1:14" x14ac:dyDescent="0.25">
      <c r="A769" s="5">
        <v>43825</v>
      </c>
      <c r="B769">
        <v>7.1060000000000003E-3</v>
      </c>
      <c r="C769">
        <v>7.2810000000000001E-3</v>
      </c>
      <c r="D769">
        <v>7.0130000000000001E-3</v>
      </c>
      <c r="E769">
        <v>7.0479999999999996E-3</v>
      </c>
      <c r="F769">
        <v>3518221</v>
      </c>
      <c r="G769">
        <v>0</v>
      </c>
      <c r="L769" t="s">
        <v>7</v>
      </c>
      <c r="M769" t="s">
        <v>8</v>
      </c>
      <c r="N769" t="s">
        <v>7</v>
      </c>
    </row>
    <row r="770" spans="1:14" x14ac:dyDescent="0.25">
      <c r="A770" s="5">
        <v>43824</v>
      </c>
      <c r="B770">
        <v>7.3530000000000002E-3</v>
      </c>
      <c r="C770">
        <v>7.3980000000000001E-3</v>
      </c>
      <c r="D770">
        <v>7.0790000000000002E-3</v>
      </c>
      <c r="E770">
        <v>7.1590000000000004E-3</v>
      </c>
      <c r="F770">
        <v>2090107</v>
      </c>
      <c r="G770">
        <v>0</v>
      </c>
      <c r="L770" t="s">
        <v>7</v>
      </c>
      <c r="M770" t="s">
        <v>8</v>
      </c>
      <c r="N770" t="s">
        <v>7</v>
      </c>
    </row>
    <row r="771" spans="1:14" x14ac:dyDescent="0.25">
      <c r="A771" s="5">
        <v>43823</v>
      </c>
      <c r="B771">
        <v>7.2300000000000003E-3</v>
      </c>
      <c r="C771">
        <v>7.4949999999999999E-3</v>
      </c>
      <c r="D771">
        <v>7.1000000000000004E-3</v>
      </c>
      <c r="E771">
        <v>7.3509999999999999E-3</v>
      </c>
      <c r="F771">
        <v>13895669</v>
      </c>
      <c r="G771">
        <v>0</v>
      </c>
      <c r="L771" t="s">
        <v>7</v>
      </c>
      <c r="M771" t="s">
        <v>8</v>
      </c>
      <c r="N771" t="s">
        <v>7</v>
      </c>
    </row>
    <row r="772" spans="1:14" x14ac:dyDescent="0.25">
      <c r="A772" s="5">
        <v>43822</v>
      </c>
      <c r="B772">
        <v>7.4749999999999999E-3</v>
      </c>
      <c r="C772">
        <v>7.561E-3</v>
      </c>
      <c r="D772">
        <v>7.1199999999999996E-3</v>
      </c>
      <c r="E772">
        <v>7.2160000000000002E-3</v>
      </c>
      <c r="F772">
        <v>11244000</v>
      </c>
      <c r="G772">
        <v>0</v>
      </c>
      <c r="L772" t="s">
        <v>7</v>
      </c>
      <c r="M772" t="s">
        <v>8</v>
      </c>
      <c r="N772" t="s">
        <v>7</v>
      </c>
    </row>
    <row r="773" spans="1:14" x14ac:dyDescent="0.25">
      <c r="A773" s="5">
        <v>43821</v>
      </c>
      <c r="B773">
        <v>7.8300000000000002E-3</v>
      </c>
      <c r="C773">
        <v>7.9850000000000008E-3</v>
      </c>
      <c r="D773">
        <v>7.4029999999999999E-3</v>
      </c>
      <c r="E773">
        <v>7.4850000000000003E-3</v>
      </c>
      <c r="F773">
        <v>17591257</v>
      </c>
      <c r="G773">
        <v>0</v>
      </c>
      <c r="L773" t="s">
        <v>7</v>
      </c>
      <c r="M773" t="s">
        <v>8</v>
      </c>
      <c r="N773" t="s">
        <v>7</v>
      </c>
    </row>
    <row r="774" spans="1:14" x14ac:dyDescent="0.25">
      <c r="A774" s="5">
        <v>43820</v>
      </c>
      <c r="B774">
        <v>7.5500000000000003E-3</v>
      </c>
      <c r="C774">
        <v>8.1689999999999992E-3</v>
      </c>
      <c r="D774">
        <v>7.4830000000000001E-3</v>
      </c>
      <c r="E774">
        <v>7.8359999999999992E-3</v>
      </c>
      <c r="F774">
        <v>14210017</v>
      </c>
      <c r="G774">
        <v>0</v>
      </c>
      <c r="L774" t="s">
        <v>8</v>
      </c>
      <c r="M774" t="s">
        <v>8</v>
      </c>
      <c r="N774" t="s">
        <v>7</v>
      </c>
    </row>
    <row r="775" spans="1:14" x14ac:dyDescent="0.25">
      <c r="A775" s="5">
        <v>43819</v>
      </c>
      <c r="B775">
        <v>7.489E-3</v>
      </c>
      <c r="C775">
        <v>7.9620000000000003E-3</v>
      </c>
      <c r="D775">
        <v>7.352E-3</v>
      </c>
      <c r="E775">
        <v>7.5500000000000003E-3</v>
      </c>
      <c r="F775">
        <v>4627886</v>
      </c>
      <c r="G775">
        <v>0</v>
      </c>
      <c r="L775" t="s">
        <v>8</v>
      </c>
      <c r="M775" t="s">
        <v>8</v>
      </c>
      <c r="N775" t="s">
        <v>7</v>
      </c>
    </row>
    <row r="776" spans="1:14" x14ac:dyDescent="0.25">
      <c r="A776" s="5">
        <v>43818</v>
      </c>
      <c r="B776">
        <v>7.3499999999999998E-3</v>
      </c>
      <c r="C776">
        <v>7.6290000000000004E-3</v>
      </c>
      <c r="D776">
        <v>7.0889999999999998E-3</v>
      </c>
      <c r="E776">
        <v>7.5269999999999998E-3</v>
      </c>
      <c r="F776">
        <v>8800742</v>
      </c>
      <c r="G776">
        <v>0</v>
      </c>
      <c r="L776" t="s">
        <v>8</v>
      </c>
      <c r="M776" t="s">
        <v>8</v>
      </c>
      <c r="N776" t="s">
        <v>7</v>
      </c>
    </row>
    <row r="777" spans="1:14" x14ac:dyDescent="0.25">
      <c r="A777" s="5">
        <v>43817</v>
      </c>
      <c r="B777">
        <v>6.6429999999999996E-3</v>
      </c>
      <c r="C777">
        <v>7.3749999999999996E-3</v>
      </c>
      <c r="D777">
        <v>6.3720000000000001E-3</v>
      </c>
      <c r="E777">
        <v>7.3489999999999996E-3</v>
      </c>
      <c r="F777">
        <v>8247350</v>
      </c>
      <c r="G777">
        <v>0</v>
      </c>
      <c r="L777" t="s">
        <v>8</v>
      </c>
      <c r="M777" t="s">
        <v>7</v>
      </c>
      <c r="N777" t="s">
        <v>7</v>
      </c>
    </row>
    <row r="778" spans="1:14" x14ac:dyDescent="0.25">
      <c r="A778" s="5">
        <v>43816</v>
      </c>
      <c r="B778">
        <v>7.7299999999999999E-3</v>
      </c>
      <c r="C778">
        <v>7.7299999999999999E-3</v>
      </c>
      <c r="D778">
        <v>6.3990000000000002E-3</v>
      </c>
      <c r="E778">
        <v>6.6059999999999999E-3</v>
      </c>
      <c r="F778">
        <v>17187309</v>
      </c>
      <c r="G778">
        <v>0</v>
      </c>
      <c r="L778" t="s">
        <v>7</v>
      </c>
      <c r="M778" t="s">
        <v>7</v>
      </c>
      <c r="N778" t="s">
        <v>7</v>
      </c>
    </row>
    <row r="779" spans="1:14" x14ac:dyDescent="0.25">
      <c r="A779" s="5">
        <v>43815</v>
      </c>
      <c r="B779">
        <v>8.3700000000000007E-3</v>
      </c>
      <c r="C779">
        <v>8.4150000000000006E-3</v>
      </c>
      <c r="D779">
        <v>7.5969999999999996E-3</v>
      </c>
      <c r="E779">
        <v>7.711E-3</v>
      </c>
      <c r="F779">
        <v>8643649</v>
      </c>
      <c r="G779">
        <v>0</v>
      </c>
      <c r="L779" t="s">
        <v>7</v>
      </c>
      <c r="M779" t="s">
        <v>7</v>
      </c>
      <c r="N779" t="s">
        <v>7</v>
      </c>
    </row>
    <row r="780" spans="1:14" x14ac:dyDescent="0.25">
      <c r="A780" s="5">
        <v>43814</v>
      </c>
      <c r="B780">
        <v>8.2819999999999994E-3</v>
      </c>
      <c r="C780">
        <v>8.5900000000000004E-3</v>
      </c>
      <c r="D780">
        <v>8.1469999999999997E-3</v>
      </c>
      <c r="E780">
        <v>8.3719999999999992E-3</v>
      </c>
      <c r="F780">
        <v>5916154</v>
      </c>
      <c r="G780">
        <v>0</v>
      </c>
      <c r="L780" t="s">
        <v>7</v>
      </c>
      <c r="M780" t="s">
        <v>7</v>
      </c>
      <c r="N780" t="s">
        <v>8</v>
      </c>
    </row>
    <row r="781" spans="1:14" x14ac:dyDescent="0.25">
      <c r="A781" s="5">
        <v>43813</v>
      </c>
      <c r="B781">
        <v>8.8780000000000005E-3</v>
      </c>
      <c r="C781">
        <v>8.8780000000000005E-3</v>
      </c>
      <c r="D781">
        <v>8.0599999999999995E-3</v>
      </c>
      <c r="E781">
        <v>8.3549999999999996E-3</v>
      </c>
      <c r="F781">
        <v>13027681</v>
      </c>
      <c r="G781">
        <v>0</v>
      </c>
      <c r="L781" t="s">
        <v>7</v>
      </c>
      <c r="M781" t="s">
        <v>7</v>
      </c>
      <c r="N781" t="s">
        <v>8</v>
      </c>
    </row>
    <row r="782" spans="1:14" x14ac:dyDescent="0.25">
      <c r="A782" s="5">
        <v>43812</v>
      </c>
      <c r="B782">
        <v>8.2509999999999997E-3</v>
      </c>
      <c r="C782">
        <v>8.9460000000000008E-3</v>
      </c>
      <c r="D782">
        <v>8.2000000000000007E-3</v>
      </c>
      <c r="E782">
        <v>8.8260000000000005E-3</v>
      </c>
      <c r="F782">
        <v>8507175</v>
      </c>
      <c r="G782">
        <v>0</v>
      </c>
      <c r="L782" t="s">
        <v>8</v>
      </c>
      <c r="M782" t="s">
        <v>7</v>
      </c>
      <c r="N782" t="s">
        <v>8</v>
      </c>
    </row>
    <row r="783" spans="1:14" x14ac:dyDescent="0.25">
      <c r="A783" s="5">
        <v>43811</v>
      </c>
      <c r="B783">
        <v>8.7679999999999998E-3</v>
      </c>
      <c r="C783">
        <v>8.7679999999999998E-3</v>
      </c>
      <c r="D783">
        <v>8.175E-3</v>
      </c>
      <c r="E783">
        <v>8.2889999999999995E-3</v>
      </c>
      <c r="F783">
        <v>6760877</v>
      </c>
      <c r="G783">
        <v>0</v>
      </c>
      <c r="L783" t="s">
        <v>7</v>
      </c>
      <c r="M783" t="s">
        <v>7</v>
      </c>
      <c r="N783" t="s">
        <v>8</v>
      </c>
    </row>
    <row r="784" spans="1:14" x14ac:dyDescent="0.25">
      <c r="A784" s="5">
        <v>43810</v>
      </c>
      <c r="B784">
        <v>8.5810000000000001E-3</v>
      </c>
      <c r="C784">
        <v>8.9339999999999992E-3</v>
      </c>
      <c r="D784">
        <v>8.4480000000000006E-3</v>
      </c>
      <c r="E784">
        <v>8.6890000000000005E-3</v>
      </c>
      <c r="F784">
        <v>8408483</v>
      </c>
      <c r="G784">
        <v>0</v>
      </c>
      <c r="L784" t="s">
        <v>8</v>
      </c>
      <c r="M784" t="s">
        <v>7</v>
      </c>
      <c r="N784" t="s">
        <v>8</v>
      </c>
    </row>
    <row r="785" spans="1:14" x14ac:dyDescent="0.25">
      <c r="A785" s="5">
        <v>43809</v>
      </c>
      <c r="B785">
        <v>9.4999999999999998E-3</v>
      </c>
      <c r="C785">
        <v>9.4999999999999998E-3</v>
      </c>
      <c r="D785">
        <v>8.2190000000000006E-3</v>
      </c>
      <c r="E785">
        <v>8.5880000000000001E-3</v>
      </c>
      <c r="F785">
        <v>23137470</v>
      </c>
      <c r="G785">
        <v>0</v>
      </c>
      <c r="L785" t="s">
        <v>7</v>
      </c>
      <c r="M785" t="s">
        <v>7</v>
      </c>
      <c r="N785" t="s">
        <v>8</v>
      </c>
    </row>
    <row r="786" spans="1:14" x14ac:dyDescent="0.25">
      <c r="A786" s="5">
        <v>43808</v>
      </c>
      <c r="B786">
        <v>1.0378E-2</v>
      </c>
      <c r="C786">
        <v>1.0735E-2</v>
      </c>
      <c r="D786">
        <v>9.4310000000000001E-3</v>
      </c>
      <c r="E786">
        <v>9.4999999999999998E-3</v>
      </c>
      <c r="F786">
        <v>21385546</v>
      </c>
      <c r="G786">
        <v>0</v>
      </c>
      <c r="L786" t="s">
        <v>7</v>
      </c>
      <c r="M786" t="s">
        <v>8</v>
      </c>
      <c r="N786" t="s">
        <v>8</v>
      </c>
    </row>
    <row r="787" spans="1:14" x14ac:dyDescent="0.25">
      <c r="A787" s="5">
        <v>43807</v>
      </c>
      <c r="B787">
        <v>9.7750000000000007E-3</v>
      </c>
      <c r="C787">
        <v>1.0880000000000001E-2</v>
      </c>
      <c r="D787">
        <v>9.4710000000000003E-3</v>
      </c>
      <c r="E787">
        <v>1.0349000000000001E-2</v>
      </c>
      <c r="F787">
        <v>25987742</v>
      </c>
      <c r="G787">
        <v>0</v>
      </c>
      <c r="L787" t="s">
        <v>8</v>
      </c>
      <c r="M787" t="s">
        <v>8</v>
      </c>
      <c r="N787" t="s">
        <v>8</v>
      </c>
    </row>
    <row r="788" spans="1:14" x14ac:dyDescent="0.25">
      <c r="A788" s="5">
        <v>43806</v>
      </c>
      <c r="B788">
        <v>9.6299999999999997E-3</v>
      </c>
      <c r="C788">
        <v>1.0234E-2</v>
      </c>
      <c r="D788">
        <v>9.5999999999999992E-3</v>
      </c>
      <c r="E788">
        <v>9.8340000000000007E-3</v>
      </c>
      <c r="F788">
        <v>19914084</v>
      </c>
      <c r="G788">
        <v>0</v>
      </c>
      <c r="L788" t="s">
        <v>8</v>
      </c>
      <c r="M788" t="s">
        <v>8</v>
      </c>
      <c r="N788" t="s">
        <v>8</v>
      </c>
    </row>
    <row r="789" spans="1:14" x14ac:dyDescent="0.25">
      <c r="A789" s="5">
        <v>43805</v>
      </c>
      <c r="B789">
        <v>9.2999999999999992E-3</v>
      </c>
      <c r="C789">
        <v>9.9520000000000008E-3</v>
      </c>
      <c r="D789">
        <v>8.8999999999999999E-3</v>
      </c>
      <c r="E789">
        <v>9.6299999999999997E-3</v>
      </c>
      <c r="F789">
        <v>19568636</v>
      </c>
      <c r="G789">
        <v>0</v>
      </c>
      <c r="L789" t="s">
        <v>8</v>
      </c>
      <c r="M789" t="s">
        <v>7</v>
      </c>
      <c r="N789" t="s">
        <v>8</v>
      </c>
    </row>
    <row r="790" spans="1:14" x14ac:dyDescent="0.25">
      <c r="A790" s="5">
        <v>43804</v>
      </c>
      <c r="B790">
        <v>9.3740000000000004E-3</v>
      </c>
      <c r="C790">
        <v>1.008E-2</v>
      </c>
      <c r="D790">
        <v>8.6169999999999997E-3</v>
      </c>
      <c r="E790">
        <v>9.2999999999999992E-3</v>
      </c>
      <c r="F790">
        <v>37491029</v>
      </c>
      <c r="G790">
        <v>0</v>
      </c>
      <c r="L790" t="s">
        <v>7</v>
      </c>
      <c r="M790" t="s">
        <v>7</v>
      </c>
      <c r="N790" t="s">
        <v>8</v>
      </c>
    </row>
    <row r="791" spans="1:14" x14ac:dyDescent="0.25">
      <c r="A791" s="5">
        <v>43803</v>
      </c>
      <c r="B791">
        <v>9.2870000000000001E-3</v>
      </c>
      <c r="C791">
        <v>1.09E-2</v>
      </c>
      <c r="D791">
        <v>8.855E-3</v>
      </c>
      <c r="E791">
        <v>9.495E-3</v>
      </c>
      <c r="F791">
        <v>62064403</v>
      </c>
      <c r="G791">
        <v>0</v>
      </c>
      <c r="L791" t="s">
        <v>8</v>
      </c>
      <c r="M791" t="s">
        <v>8</v>
      </c>
      <c r="N791" t="s">
        <v>8</v>
      </c>
    </row>
    <row r="792" spans="1:14" x14ac:dyDescent="0.25">
      <c r="A792" s="5">
        <v>43802</v>
      </c>
      <c r="B792">
        <v>8.7290000000000006E-3</v>
      </c>
      <c r="C792">
        <v>9.4439999999999993E-3</v>
      </c>
      <c r="D792">
        <v>8.4600000000000005E-3</v>
      </c>
      <c r="E792">
        <v>9.2359999999999994E-3</v>
      </c>
      <c r="F792">
        <v>8422672</v>
      </c>
      <c r="G792">
        <v>0</v>
      </c>
      <c r="L792" t="s">
        <v>8</v>
      </c>
      <c r="M792" t="s">
        <v>8</v>
      </c>
      <c r="N792" t="s">
        <v>8</v>
      </c>
    </row>
    <row r="793" spans="1:14" x14ac:dyDescent="0.25">
      <c r="A793" s="5">
        <v>43801</v>
      </c>
      <c r="B793">
        <v>8.3350000000000004E-3</v>
      </c>
      <c r="C793">
        <v>8.8000000000000005E-3</v>
      </c>
      <c r="D793">
        <v>8.09E-3</v>
      </c>
      <c r="E793">
        <v>8.7580000000000002E-3</v>
      </c>
      <c r="F793">
        <v>6721520</v>
      </c>
      <c r="G793">
        <v>0</v>
      </c>
      <c r="L793" t="s">
        <v>8</v>
      </c>
      <c r="M793" t="s">
        <v>8</v>
      </c>
      <c r="N793" t="s">
        <v>7</v>
      </c>
    </row>
    <row r="794" spans="1:14" x14ac:dyDescent="0.25">
      <c r="A794" s="5">
        <v>43800</v>
      </c>
      <c r="B794">
        <v>8.4449999999999994E-3</v>
      </c>
      <c r="C794">
        <v>8.5240000000000003E-3</v>
      </c>
      <c r="D794">
        <v>8.0079999999999995E-3</v>
      </c>
      <c r="E794">
        <v>8.3260000000000001E-3</v>
      </c>
      <c r="F794">
        <v>2338933</v>
      </c>
      <c r="G794">
        <v>0</v>
      </c>
      <c r="L794" t="s">
        <v>7</v>
      </c>
      <c r="M794" t="s">
        <v>8</v>
      </c>
      <c r="N794" t="s">
        <v>7</v>
      </c>
    </row>
    <row r="795" spans="1:14" x14ac:dyDescent="0.25">
      <c r="A795" s="5">
        <v>43799</v>
      </c>
      <c r="B795">
        <v>8.8210000000000007E-3</v>
      </c>
      <c r="C795">
        <v>8.8529999999999998E-3</v>
      </c>
      <c r="D795">
        <v>8.3599999999999994E-3</v>
      </c>
      <c r="E795">
        <v>8.5380000000000005E-3</v>
      </c>
      <c r="F795">
        <v>3088323</v>
      </c>
      <c r="G795">
        <v>0</v>
      </c>
      <c r="L795" t="s">
        <v>7</v>
      </c>
      <c r="M795" t="s">
        <v>8</v>
      </c>
      <c r="N795" t="s">
        <v>7</v>
      </c>
    </row>
    <row r="796" spans="1:14" x14ac:dyDescent="0.25">
      <c r="A796" s="5">
        <v>43798</v>
      </c>
      <c r="B796">
        <v>8.6320000000000008E-3</v>
      </c>
      <c r="C796">
        <v>9.0980000000000002E-3</v>
      </c>
      <c r="D796">
        <v>8.6040000000000005E-3</v>
      </c>
      <c r="E796">
        <v>8.8310000000000003E-3</v>
      </c>
      <c r="F796">
        <v>3420795</v>
      </c>
      <c r="G796">
        <v>0</v>
      </c>
      <c r="L796" t="s">
        <v>8</v>
      </c>
      <c r="M796" t="s">
        <v>8</v>
      </c>
      <c r="N796" t="s">
        <v>7</v>
      </c>
    </row>
    <row r="797" spans="1:14" x14ac:dyDescent="0.25">
      <c r="A797" s="5">
        <v>43797</v>
      </c>
      <c r="B797">
        <v>8.5780000000000006E-3</v>
      </c>
      <c r="C797">
        <v>9.0299999999999998E-3</v>
      </c>
      <c r="D797">
        <v>8.4980000000000003E-3</v>
      </c>
      <c r="E797">
        <v>8.6829999999999997E-3</v>
      </c>
      <c r="F797">
        <v>4717705</v>
      </c>
      <c r="G797">
        <v>0</v>
      </c>
      <c r="L797" t="s">
        <v>8</v>
      </c>
      <c r="M797" t="s">
        <v>8</v>
      </c>
      <c r="N797" t="s">
        <v>7</v>
      </c>
    </row>
    <row r="798" spans="1:14" x14ac:dyDescent="0.25">
      <c r="A798" s="5">
        <v>43796</v>
      </c>
      <c r="B798">
        <v>8.4320000000000003E-3</v>
      </c>
      <c r="C798">
        <v>8.6440000000000006E-3</v>
      </c>
      <c r="D798">
        <v>7.8750000000000001E-3</v>
      </c>
      <c r="E798">
        <v>8.6119999999999999E-3</v>
      </c>
      <c r="F798">
        <v>14182344</v>
      </c>
      <c r="G798">
        <v>0</v>
      </c>
      <c r="L798" t="s">
        <v>7</v>
      </c>
      <c r="M798" t="s">
        <v>8</v>
      </c>
      <c r="N798" t="s">
        <v>7</v>
      </c>
    </row>
    <row r="799" spans="1:14" x14ac:dyDescent="0.25">
      <c r="A799" s="5">
        <v>43795</v>
      </c>
      <c r="B799">
        <v>8.2990000000000008E-3</v>
      </c>
      <c r="C799">
        <v>8.6610000000000003E-3</v>
      </c>
      <c r="D799">
        <v>8.1720000000000004E-3</v>
      </c>
      <c r="E799">
        <v>8.4499999999999992E-3</v>
      </c>
      <c r="F799">
        <v>10173072</v>
      </c>
      <c r="G799">
        <v>0</v>
      </c>
      <c r="L799" t="s">
        <v>8</v>
      </c>
      <c r="M799" t="s">
        <v>8</v>
      </c>
      <c r="N799" t="s">
        <v>7</v>
      </c>
    </row>
    <row r="800" spans="1:14" x14ac:dyDescent="0.25">
      <c r="A800" s="5">
        <v>43794</v>
      </c>
      <c r="B800">
        <v>7.4510000000000002E-3</v>
      </c>
      <c r="C800">
        <v>8.5439999999999995E-3</v>
      </c>
      <c r="D800">
        <v>7.0099999999999997E-3</v>
      </c>
      <c r="E800">
        <v>8.352E-3</v>
      </c>
      <c r="F800">
        <v>9400191</v>
      </c>
      <c r="G800">
        <v>0</v>
      </c>
      <c r="L800" t="s">
        <v>7</v>
      </c>
      <c r="M800" t="s">
        <v>8</v>
      </c>
      <c r="N800" t="s">
        <v>7</v>
      </c>
    </row>
    <row r="801" spans="1:14" x14ac:dyDescent="0.25">
      <c r="A801" s="5">
        <v>43793</v>
      </c>
      <c r="B801">
        <v>8.0560000000000007E-3</v>
      </c>
      <c r="C801">
        <v>8.0560000000000007E-3</v>
      </c>
      <c r="D801">
        <v>7.404E-3</v>
      </c>
      <c r="E801">
        <v>7.45E-3</v>
      </c>
      <c r="F801">
        <v>5476197</v>
      </c>
      <c r="G801">
        <v>0</v>
      </c>
      <c r="L801" t="s">
        <v>7</v>
      </c>
      <c r="M801" t="s">
        <v>7</v>
      </c>
      <c r="N801" t="s">
        <v>7</v>
      </c>
    </row>
    <row r="802" spans="1:14" x14ac:dyDescent="0.25">
      <c r="A802" s="5">
        <v>43792</v>
      </c>
      <c r="B802">
        <v>7.8949999999999992E-3</v>
      </c>
      <c r="C802">
        <v>8.1270000000000005E-3</v>
      </c>
      <c r="D802">
        <v>7.6119999999999998E-3</v>
      </c>
      <c r="E802">
        <v>8.0680000000000005E-3</v>
      </c>
      <c r="F802">
        <v>4047512</v>
      </c>
      <c r="G802">
        <v>0</v>
      </c>
      <c r="L802" t="s">
        <v>8</v>
      </c>
      <c r="M802" t="s">
        <v>7</v>
      </c>
      <c r="N802" t="s">
        <v>7</v>
      </c>
    </row>
    <row r="803" spans="1:14" x14ac:dyDescent="0.25">
      <c r="A803" s="5">
        <v>43791</v>
      </c>
      <c r="B803">
        <v>8.4740000000000006E-3</v>
      </c>
      <c r="C803">
        <v>8.6479999999999994E-3</v>
      </c>
      <c r="D803">
        <v>7.2269999999999999E-3</v>
      </c>
      <c r="E803">
        <v>7.8639999999999995E-3</v>
      </c>
      <c r="F803">
        <v>8109257</v>
      </c>
      <c r="G803">
        <v>0</v>
      </c>
      <c r="L803" t="s">
        <v>7</v>
      </c>
      <c r="M803" t="s">
        <v>7</v>
      </c>
      <c r="N803" t="s">
        <v>7</v>
      </c>
    </row>
    <row r="804" spans="1:14" x14ac:dyDescent="0.25">
      <c r="A804" s="5">
        <v>43790</v>
      </c>
      <c r="B804">
        <v>9.1009999999999997E-3</v>
      </c>
      <c r="C804">
        <v>9.4500000000000001E-3</v>
      </c>
      <c r="D804">
        <v>8.1759999999999992E-3</v>
      </c>
      <c r="E804">
        <v>8.4740000000000006E-3</v>
      </c>
      <c r="F804">
        <v>5453032</v>
      </c>
      <c r="G804">
        <v>0</v>
      </c>
      <c r="L804" t="s">
        <v>7</v>
      </c>
      <c r="M804" t="s">
        <v>7</v>
      </c>
      <c r="N804" t="s">
        <v>7</v>
      </c>
    </row>
    <row r="805" spans="1:14" x14ac:dyDescent="0.25">
      <c r="A805" s="5">
        <v>43789</v>
      </c>
      <c r="B805">
        <v>9.2890000000000004E-3</v>
      </c>
      <c r="C805">
        <v>9.4330000000000004E-3</v>
      </c>
      <c r="D805">
        <v>9.0699999999999999E-3</v>
      </c>
      <c r="E805">
        <v>9.1240000000000002E-3</v>
      </c>
      <c r="F805">
        <v>1439713</v>
      </c>
      <c r="G805">
        <v>0</v>
      </c>
      <c r="L805" t="s">
        <v>7</v>
      </c>
      <c r="M805" t="s">
        <v>7</v>
      </c>
      <c r="N805" t="s">
        <v>7</v>
      </c>
    </row>
    <row r="806" spans="1:14" x14ac:dyDescent="0.25">
      <c r="A806" s="5">
        <v>43788</v>
      </c>
      <c r="B806">
        <v>9.4710000000000003E-3</v>
      </c>
      <c r="C806">
        <v>9.4710000000000003E-3</v>
      </c>
      <c r="D806">
        <v>8.94E-3</v>
      </c>
      <c r="E806">
        <v>9.2759999999999995E-3</v>
      </c>
      <c r="F806">
        <v>3717603</v>
      </c>
      <c r="G806">
        <v>0</v>
      </c>
      <c r="L806" t="s">
        <v>7</v>
      </c>
      <c r="M806" t="s">
        <v>7</v>
      </c>
      <c r="N806" t="s">
        <v>7</v>
      </c>
    </row>
    <row r="807" spans="1:14" x14ac:dyDescent="0.25">
      <c r="A807" s="5">
        <v>43787</v>
      </c>
      <c r="B807">
        <v>1.0300999999999999E-2</v>
      </c>
      <c r="C807">
        <v>1.0403000000000001E-2</v>
      </c>
      <c r="D807">
        <v>9.1269999999999997E-3</v>
      </c>
      <c r="E807">
        <v>9.4739999999999998E-3</v>
      </c>
      <c r="F807">
        <v>10854052</v>
      </c>
      <c r="G807">
        <v>0</v>
      </c>
      <c r="L807" t="s">
        <v>7</v>
      </c>
      <c r="M807" t="s">
        <v>7</v>
      </c>
      <c r="N807" t="s">
        <v>7</v>
      </c>
    </row>
    <row r="808" spans="1:14" x14ac:dyDescent="0.25">
      <c r="A808" s="5">
        <v>43786</v>
      </c>
      <c r="B808">
        <v>1.0569E-2</v>
      </c>
      <c r="C808">
        <v>1.0789E-2</v>
      </c>
      <c r="D808">
        <v>1.0251E-2</v>
      </c>
      <c r="E808">
        <v>1.0302E-2</v>
      </c>
      <c r="F808">
        <v>6550764</v>
      </c>
      <c r="G808">
        <v>0</v>
      </c>
      <c r="L808" t="s">
        <v>8</v>
      </c>
      <c r="M808" t="s">
        <v>7</v>
      </c>
      <c r="N808" t="s">
        <v>7</v>
      </c>
    </row>
    <row r="809" spans="1:14" x14ac:dyDescent="0.25">
      <c r="A809" s="5">
        <v>43785</v>
      </c>
      <c r="B809">
        <v>1.0101000000000001E-2</v>
      </c>
      <c r="C809">
        <v>1.0848E-2</v>
      </c>
      <c r="D809">
        <v>9.9559999999999996E-3</v>
      </c>
      <c r="E809">
        <v>1.0526000000000001E-2</v>
      </c>
      <c r="F809">
        <v>9462808</v>
      </c>
      <c r="G809">
        <v>0</v>
      </c>
      <c r="L809" t="s">
        <v>8</v>
      </c>
      <c r="M809" t="s">
        <v>7</v>
      </c>
      <c r="N809" t="s">
        <v>7</v>
      </c>
    </row>
    <row r="810" spans="1:14" x14ac:dyDescent="0.25">
      <c r="A810" s="5">
        <v>43784</v>
      </c>
      <c r="B810">
        <v>9.9939999999999994E-3</v>
      </c>
      <c r="C810">
        <v>1.0498E-2</v>
      </c>
      <c r="D810">
        <v>9.6780000000000008E-3</v>
      </c>
      <c r="E810">
        <v>1.0101000000000001E-2</v>
      </c>
      <c r="F810">
        <v>7224979</v>
      </c>
      <c r="G810">
        <v>0</v>
      </c>
      <c r="L810" t="s">
        <v>7</v>
      </c>
      <c r="M810" t="s">
        <v>7</v>
      </c>
      <c r="N810" t="s">
        <v>7</v>
      </c>
    </row>
    <row r="811" spans="1:14" x14ac:dyDescent="0.25">
      <c r="A811" s="5">
        <v>43783</v>
      </c>
      <c r="B811">
        <v>1.0122000000000001E-2</v>
      </c>
      <c r="C811">
        <v>1.0123E-2</v>
      </c>
      <c r="D811">
        <v>9.7820000000000008E-3</v>
      </c>
      <c r="E811">
        <v>9.9909999999999999E-3</v>
      </c>
      <c r="F811">
        <v>5977735</v>
      </c>
      <c r="G811">
        <v>0</v>
      </c>
      <c r="L811" t="s">
        <v>7</v>
      </c>
      <c r="M811" t="s">
        <v>7</v>
      </c>
      <c r="N811" t="s">
        <v>7</v>
      </c>
    </row>
    <row r="812" spans="1:14" x14ac:dyDescent="0.25">
      <c r="A812" s="5">
        <v>43782</v>
      </c>
      <c r="B812">
        <v>1.0123999999999999E-2</v>
      </c>
      <c r="C812">
        <v>1.0163E-2</v>
      </c>
      <c r="D812">
        <v>1.0026999999999999E-2</v>
      </c>
      <c r="E812">
        <v>1.0083999999999999E-2</v>
      </c>
      <c r="F812">
        <v>1570062</v>
      </c>
      <c r="G812">
        <v>0</v>
      </c>
      <c r="L812" t="s">
        <v>7</v>
      </c>
      <c r="M812" t="s">
        <v>7</v>
      </c>
      <c r="N812" t="s">
        <v>7</v>
      </c>
    </row>
    <row r="813" spans="1:14" x14ac:dyDescent="0.25">
      <c r="A813" s="5">
        <v>43781</v>
      </c>
      <c r="B813">
        <v>1.0074E-2</v>
      </c>
      <c r="C813">
        <v>1.0418999999999999E-2</v>
      </c>
      <c r="D813">
        <v>9.946E-3</v>
      </c>
      <c r="E813">
        <v>1.0101000000000001E-2</v>
      </c>
      <c r="F813">
        <v>6712889</v>
      </c>
      <c r="G813">
        <v>0</v>
      </c>
      <c r="L813" t="s">
        <v>7</v>
      </c>
      <c r="M813" t="s">
        <v>7</v>
      </c>
      <c r="N813" t="s">
        <v>7</v>
      </c>
    </row>
    <row r="814" spans="1:14" x14ac:dyDescent="0.25">
      <c r="A814" s="5">
        <v>43780</v>
      </c>
      <c r="B814">
        <v>1.0260999999999999E-2</v>
      </c>
      <c r="C814">
        <v>1.0324E-2</v>
      </c>
      <c r="D814">
        <v>9.7579999999999993E-3</v>
      </c>
      <c r="E814">
        <v>1.0074E-2</v>
      </c>
      <c r="F814">
        <v>5482695</v>
      </c>
      <c r="G814">
        <v>0</v>
      </c>
      <c r="L814" t="s">
        <v>7</v>
      </c>
      <c r="M814" t="s">
        <v>7</v>
      </c>
      <c r="N814" t="s">
        <v>7</v>
      </c>
    </row>
    <row r="815" spans="1:14" x14ac:dyDescent="0.25">
      <c r="A815" s="5">
        <v>43779</v>
      </c>
      <c r="B815">
        <v>1.0057E-2</v>
      </c>
      <c r="C815">
        <v>1.0525E-2</v>
      </c>
      <c r="D815">
        <v>1.0026E-2</v>
      </c>
      <c r="E815">
        <v>1.0215999999999999E-2</v>
      </c>
      <c r="F815">
        <v>4462379</v>
      </c>
      <c r="G815">
        <v>0</v>
      </c>
      <c r="L815" t="s">
        <v>8</v>
      </c>
      <c r="M815" t="s">
        <v>7</v>
      </c>
      <c r="N815" t="s">
        <v>7</v>
      </c>
    </row>
    <row r="816" spans="1:14" x14ac:dyDescent="0.25">
      <c r="A816" s="5">
        <v>43778</v>
      </c>
      <c r="B816">
        <v>9.9389999999999999E-3</v>
      </c>
      <c r="C816">
        <v>1.0290000000000001E-2</v>
      </c>
      <c r="D816">
        <v>9.8650000000000005E-3</v>
      </c>
      <c r="E816">
        <v>1.0057E-2</v>
      </c>
      <c r="F816">
        <v>4343655</v>
      </c>
      <c r="G816">
        <v>0</v>
      </c>
      <c r="L816" t="s">
        <v>7</v>
      </c>
      <c r="M816" t="s">
        <v>7</v>
      </c>
      <c r="N816" t="s">
        <v>7</v>
      </c>
    </row>
    <row r="817" spans="1:14" x14ac:dyDescent="0.25">
      <c r="A817" s="5">
        <v>43777</v>
      </c>
      <c r="B817">
        <v>1.0616E-2</v>
      </c>
      <c r="C817">
        <v>1.0630000000000001E-2</v>
      </c>
      <c r="D817">
        <v>9.7450000000000002E-3</v>
      </c>
      <c r="E817">
        <v>9.9509999999999998E-3</v>
      </c>
      <c r="F817">
        <v>13338525</v>
      </c>
      <c r="G817">
        <v>0</v>
      </c>
      <c r="L817" t="s">
        <v>7</v>
      </c>
      <c r="M817" t="s">
        <v>7</v>
      </c>
      <c r="N817" t="s">
        <v>7</v>
      </c>
    </row>
    <row r="818" spans="1:14" x14ac:dyDescent="0.25">
      <c r="A818" s="5">
        <v>43776</v>
      </c>
      <c r="B818">
        <v>1.0629E-2</v>
      </c>
      <c r="C818">
        <v>1.0999999999999999E-2</v>
      </c>
      <c r="D818">
        <v>1.0454E-2</v>
      </c>
      <c r="E818">
        <v>1.0616E-2</v>
      </c>
      <c r="F818">
        <v>12002438</v>
      </c>
      <c r="G818">
        <v>0</v>
      </c>
      <c r="L818" t="s">
        <v>7</v>
      </c>
      <c r="M818" t="s">
        <v>7</v>
      </c>
      <c r="N818" t="s">
        <v>7</v>
      </c>
    </row>
    <row r="819" spans="1:14" x14ac:dyDescent="0.25">
      <c r="A819" s="5">
        <v>43775</v>
      </c>
      <c r="B819">
        <v>1.0813E-2</v>
      </c>
      <c r="C819">
        <v>1.099E-2</v>
      </c>
      <c r="D819">
        <v>1.0560999999999999E-2</v>
      </c>
      <c r="E819">
        <v>1.0629E-2</v>
      </c>
      <c r="F819">
        <v>5904426</v>
      </c>
      <c r="G819">
        <v>0</v>
      </c>
      <c r="L819" t="s">
        <v>7</v>
      </c>
      <c r="M819" t="s">
        <v>7</v>
      </c>
      <c r="N819" t="s">
        <v>7</v>
      </c>
    </row>
    <row r="820" spans="1:14" x14ac:dyDescent="0.25">
      <c r="A820" s="5">
        <v>43774</v>
      </c>
      <c r="B820">
        <v>1.0640999999999999E-2</v>
      </c>
      <c r="C820">
        <v>1.0899000000000001E-2</v>
      </c>
      <c r="D820">
        <v>1.0527E-2</v>
      </c>
      <c r="E820">
        <v>1.0813E-2</v>
      </c>
      <c r="F820">
        <v>10475429</v>
      </c>
      <c r="G820">
        <v>0</v>
      </c>
      <c r="L820" t="s">
        <v>7</v>
      </c>
      <c r="M820" t="s">
        <v>7</v>
      </c>
      <c r="N820" t="s">
        <v>7</v>
      </c>
    </row>
    <row r="821" spans="1:14" x14ac:dyDescent="0.25">
      <c r="A821" s="5">
        <v>43773</v>
      </c>
      <c r="B821">
        <v>1.0971E-2</v>
      </c>
      <c r="C821">
        <v>1.1050000000000001E-2</v>
      </c>
      <c r="D821">
        <v>1.0437E-2</v>
      </c>
      <c r="E821">
        <v>1.0643E-2</v>
      </c>
      <c r="F821">
        <v>9029246</v>
      </c>
      <c r="G821">
        <v>0</v>
      </c>
      <c r="L821" t="s">
        <v>7</v>
      </c>
      <c r="M821" t="s">
        <v>7</v>
      </c>
      <c r="N821" t="s">
        <v>7</v>
      </c>
    </row>
    <row r="822" spans="1:14" x14ac:dyDescent="0.25">
      <c r="A822" s="5">
        <v>43772</v>
      </c>
      <c r="B822">
        <v>1.0999E-2</v>
      </c>
      <c r="C822">
        <v>1.115E-2</v>
      </c>
      <c r="D822">
        <v>1.06E-2</v>
      </c>
      <c r="E822">
        <v>1.0972000000000001E-2</v>
      </c>
      <c r="F822">
        <v>16157009</v>
      </c>
      <c r="G822">
        <v>0</v>
      </c>
      <c r="L822" t="s">
        <v>7</v>
      </c>
      <c r="M822" t="s">
        <v>7</v>
      </c>
      <c r="N822" t="s">
        <v>7</v>
      </c>
    </row>
    <row r="823" spans="1:14" x14ac:dyDescent="0.25">
      <c r="A823" s="5">
        <v>43771</v>
      </c>
      <c r="B823">
        <v>1.1199000000000001E-2</v>
      </c>
      <c r="C823">
        <v>1.1335E-2</v>
      </c>
      <c r="D823">
        <v>1.0810999999999999E-2</v>
      </c>
      <c r="E823">
        <v>1.0999E-2</v>
      </c>
      <c r="F823">
        <v>12056381</v>
      </c>
      <c r="G823">
        <v>0</v>
      </c>
      <c r="L823" t="s">
        <v>7</v>
      </c>
      <c r="M823" t="s">
        <v>8</v>
      </c>
      <c r="N823" t="s">
        <v>7</v>
      </c>
    </row>
    <row r="824" spans="1:14" x14ac:dyDescent="0.25">
      <c r="A824" s="5">
        <v>43770</v>
      </c>
      <c r="B824">
        <v>1.0952E-2</v>
      </c>
      <c r="C824">
        <v>1.2743000000000001E-2</v>
      </c>
      <c r="D824">
        <v>1.0826000000000001E-2</v>
      </c>
      <c r="E824">
        <v>1.1199000000000001E-2</v>
      </c>
      <c r="F824">
        <v>17105970</v>
      </c>
      <c r="G824">
        <v>0</v>
      </c>
      <c r="L824" t="s">
        <v>8</v>
      </c>
      <c r="M824" t="s">
        <v>8</v>
      </c>
      <c r="N824" t="s">
        <v>7</v>
      </c>
    </row>
    <row r="825" spans="1:14" x14ac:dyDescent="0.25">
      <c r="A825" s="5">
        <v>43769</v>
      </c>
      <c r="B825">
        <v>1.0749E-2</v>
      </c>
      <c r="C825">
        <v>1.167E-2</v>
      </c>
      <c r="D825">
        <v>1.0477E-2</v>
      </c>
      <c r="E825">
        <v>1.0970000000000001E-2</v>
      </c>
      <c r="F825">
        <v>27086811</v>
      </c>
      <c r="G825">
        <v>0</v>
      </c>
      <c r="L825" t="s">
        <v>8</v>
      </c>
      <c r="M825" t="s">
        <v>7</v>
      </c>
      <c r="N825" t="s">
        <v>7</v>
      </c>
    </row>
    <row r="826" spans="1:14" x14ac:dyDescent="0.25">
      <c r="A826" s="5">
        <v>43768</v>
      </c>
      <c r="B826">
        <v>1.0921E-2</v>
      </c>
      <c r="C826">
        <v>1.0998000000000001E-2</v>
      </c>
      <c r="D826">
        <v>1.0213E-2</v>
      </c>
      <c r="E826">
        <v>1.0723999999999999E-2</v>
      </c>
      <c r="F826">
        <v>11350553</v>
      </c>
      <c r="G826">
        <v>0</v>
      </c>
      <c r="L826" t="s">
        <v>7</v>
      </c>
      <c r="M826" t="s">
        <v>7</v>
      </c>
      <c r="N826" t="s">
        <v>7</v>
      </c>
    </row>
    <row r="827" spans="1:14" x14ac:dyDescent="0.25">
      <c r="A827" s="5">
        <v>43767</v>
      </c>
      <c r="B827">
        <v>1.0659E-2</v>
      </c>
      <c r="C827">
        <v>1.1001E-2</v>
      </c>
      <c r="D827">
        <v>1.0500000000000001E-2</v>
      </c>
      <c r="E827">
        <v>1.0921999999999999E-2</v>
      </c>
      <c r="F827">
        <v>13607774</v>
      </c>
      <c r="G827">
        <v>0</v>
      </c>
      <c r="L827" t="s">
        <v>7</v>
      </c>
      <c r="M827" t="s">
        <v>7</v>
      </c>
      <c r="N827" t="s">
        <v>7</v>
      </c>
    </row>
    <row r="828" spans="1:14" x14ac:dyDescent="0.25">
      <c r="A828" s="5">
        <v>43766</v>
      </c>
      <c r="B828">
        <v>1.0784E-2</v>
      </c>
      <c r="C828">
        <v>1.1273999999999999E-2</v>
      </c>
      <c r="D828">
        <v>1.0500000000000001E-2</v>
      </c>
      <c r="E828">
        <v>1.065E-2</v>
      </c>
      <c r="F828">
        <v>22381815</v>
      </c>
      <c r="G828">
        <v>0</v>
      </c>
      <c r="L828" t="s">
        <v>7</v>
      </c>
      <c r="M828" t="s">
        <v>7</v>
      </c>
      <c r="N828" t="s">
        <v>7</v>
      </c>
    </row>
    <row r="829" spans="1:14" x14ac:dyDescent="0.25">
      <c r="A829" s="5">
        <v>43765</v>
      </c>
      <c r="B829">
        <v>9.8700000000000003E-3</v>
      </c>
      <c r="C829">
        <v>1.133E-2</v>
      </c>
      <c r="D829">
        <v>9.8200000000000006E-3</v>
      </c>
      <c r="E829">
        <v>1.0834999999999999E-2</v>
      </c>
      <c r="F829">
        <v>42449551</v>
      </c>
      <c r="G829">
        <v>0</v>
      </c>
      <c r="L829" t="s">
        <v>8</v>
      </c>
      <c r="M829" t="s">
        <v>7</v>
      </c>
      <c r="N829" t="s">
        <v>7</v>
      </c>
    </row>
    <row r="830" spans="1:14" x14ac:dyDescent="0.25">
      <c r="A830" s="5">
        <v>43764</v>
      </c>
      <c r="B830">
        <v>1.0963000000000001E-2</v>
      </c>
      <c r="C830">
        <v>1.1266999999999999E-2</v>
      </c>
      <c r="D830">
        <v>9.8630000000000002E-3</v>
      </c>
      <c r="E830">
        <v>9.8759999999999994E-3</v>
      </c>
      <c r="F830">
        <v>48510764</v>
      </c>
      <c r="G830">
        <v>0</v>
      </c>
      <c r="L830" t="s">
        <v>7</v>
      </c>
      <c r="M830" t="s">
        <v>7</v>
      </c>
      <c r="N830" t="s">
        <v>7</v>
      </c>
    </row>
    <row r="831" spans="1:14" x14ac:dyDescent="0.25">
      <c r="A831" s="5">
        <v>43763</v>
      </c>
      <c r="B831">
        <v>1.0972000000000001E-2</v>
      </c>
      <c r="C831">
        <v>1.1417E-2</v>
      </c>
      <c r="D831">
        <v>1.0526000000000001E-2</v>
      </c>
      <c r="E831">
        <v>1.0947E-2</v>
      </c>
      <c r="F831">
        <v>31977518</v>
      </c>
      <c r="G831">
        <v>0</v>
      </c>
      <c r="L831" t="s">
        <v>8</v>
      </c>
      <c r="M831" t="s">
        <v>7</v>
      </c>
      <c r="N831" t="s">
        <v>8</v>
      </c>
    </row>
    <row r="832" spans="1:14" x14ac:dyDescent="0.25">
      <c r="A832" s="5">
        <v>43762</v>
      </c>
      <c r="B832">
        <v>1.0999E-2</v>
      </c>
      <c r="C832">
        <v>1.1024000000000001E-2</v>
      </c>
      <c r="D832">
        <v>1.0435E-2</v>
      </c>
      <c r="E832">
        <v>1.0973999999999999E-2</v>
      </c>
      <c r="F832">
        <v>18952056</v>
      </c>
      <c r="G832">
        <v>0</v>
      </c>
      <c r="L832" t="s">
        <v>7</v>
      </c>
      <c r="M832" t="s">
        <v>7</v>
      </c>
      <c r="N832" t="s">
        <v>8</v>
      </c>
    </row>
    <row r="833" spans="1:14" x14ac:dyDescent="0.25">
      <c r="A833" s="5">
        <v>43761</v>
      </c>
      <c r="B833">
        <v>1.193E-2</v>
      </c>
      <c r="C833">
        <v>1.2231000000000001E-2</v>
      </c>
      <c r="D833">
        <v>1.0501E-2</v>
      </c>
      <c r="E833">
        <v>1.0973999999999999E-2</v>
      </c>
      <c r="F833">
        <v>30682424</v>
      </c>
      <c r="G833">
        <v>0</v>
      </c>
      <c r="L833" t="s">
        <v>7</v>
      </c>
      <c r="M833" t="s">
        <v>7</v>
      </c>
      <c r="N833" t="s">
        <v>8</v>
      </c>
    </row>
    <row r="834" spans="1:14" x14ac:dyDescent="0.25">
      <c r="A834" s="5">
        <v>43760</v>
      </c>
      <c r="B834">
        <v>1.2715000000000001E-2</v>
      </c>
      <c r="C834">
        <v>1.3205E-2</v>
      </c>
      <c r="D834">
        <v>1.1655E-2</v>
      </c>
      <c r="E834">
        <v>1.1924000000000001E-2</v>
      </c>
      <c r="F834">
        <v>51399560</v>
      </c>
      <c r="G834">
        <v>0</v>
      </c>
      <c r="L834" t="s">
        <v>7</v>
      </c>
      <c r="M834" t="s">
        <v>7</v>
      </c>
      <c r="N834" t="s">
        <v>8</v>
      </c>
    </row>
    <row r="835" spans="1:14" x14ac:dyDescent="0.25">
      <c r="A835" s="5">
        <v>43759</v>
      </c>
      <c r="B835">
        <v>1.3372E-2</v>
      </c>
      <c r="C835">
        <v>1.3880999999999999E-2</v>
      </c>
      <c r="D835">
        <v>1.2652E-2</v>
      </c>
      <c r="E835">
        <v>1.2714E-2</v>
      </c>
      <c r="F835">
        <v>2119500812</v>
      </c>
      <c r="G835">
        <v>0</v>
      </c>
      <c r="L835" t="s">
        <v>8</v>
      </c>
      <c r="M835" t="s">
        <v>8</v>
      </c>
      <c r="N835" t="s">
        <v>8</v>
      </c>
    </row>
    <row r="836" spans="1:14" x14ac:dyDescent="0.25">
      <c r="A836" s="5">
        <v>43758</v>
      </c>
      <c r="B836">
        <v>1.1398E-2</v>
      </c>
      <c r="C836">
        <v>1.3485E-2</v>
      </c>
      <c r="D836">
        <v>1.116E-2</v>
      </c>
      <c r="E836">
        <v>1.3370999999999999E-2</v>
      </c>
      <c r="F836">
        <v>462581325</v>
      </c>
      <c r="G836">
        <v>0</v>
      </c>
      <c r="L836" t="s">
        <v>7</v>
      </c>
      <c r="M836" t="s">
        <v>7</v>
      </c>
      <c r="N836" t="s">
        <v>8</v>
      </c>
    </row>
    <row r="837" spans="1:14" x14ac:dyDescent="0.25">
      <c r="A837" s="5">
        <v>43757</v>
      </c>
      <c r="B837">
        <v>1.2338999999999999E-2</v>
      </c>
      <c r="C837">
        <v>1.2505E-2</v>
      </c>
      <c r="D837">
        <v>1.133E-2</v>
      </c>
      <c r="E837">
        <v>1.1389E-2</v>
      </c>
      <c r="F837">
        <v>1545827136</v>
      </c>
      <c r="G837">
        <v>0</v>
      </c>
      <c r="L837" t="s">
        <v>7</v>
      </c>
      <c r="M837" t="s">
        <v>7</v>
      </c>
      <c r="N837" t="s">
        <v>8</v>
      </c>
    </row>
    <row r="838" spans="1:14" x14ac:dyDescent="0.25">
      <c r="A838" s="5">
        <v>43756</v>
      </c>
      <c r="B838">
        <v>1.2683E-2</v>
      </c>
      <c r="C838">
        <v>1.3063E-2</v>
      </c>
      <c r="D838">
        <v>1.2278000000000001E-2</v>
      </c>
      <c r="E838">
        <v>1.2315E-2</v>
      </c>
      <c r="F838">
        <v>563846728</v>
      </c>
      <c r="G838">
        <v>0</v>
      </c>
      <c r="L838" t="s">
        <v>7</v>
      </c>
      <c r="M838" t="s">
        <v>7</v>
      </c>
      <c r="N838" t="s">
        <v>8</v>
      </c>
    </row>
    <row r="839" spans="1:14" x14ac:dyDescent="0.25">
      <c r="A839" s="5">
        <v>43755</v>
      </c>
      <c r="B839">
        <v>1.3103999999999999E-2</v>
      </c>
      <c r="C839">
        <v>1.3178E-2</v>
      </c>
      <c r="D839">
        <v>1.2200000000000001E-2</v>
      </c>
      <c r="E839">
        <v>1.2683E-2</v>
      </c>
      <c r="F839">
        <v>329007685</v>
      </c>
      <c r="G839">
        <v>0</v>
      </c>
      <c r="L839" t="s">
        <v>7</v>
      </c>
      <c r="M839" t="s">
        <v>7</v>
      </c>
      <c r="N839" t="s">
        <v>8</v>
      </c>
    </row>
    <row r="840" spans="1:14" x14ac:dyDescent="0.25">
      <c r="A840" s="5">
        <v>43754</v>
      </c>
      <c r="B840">
        <v>1.2624E-2</v>
      </c>
      <c r="C840">
        <v>1.4500000000000001E-2</v>
      </c>
      <c r="D840">
        <v>1.2551E-2</v>
      </c>
      <c r="E840">
        <v>1.3108E-2</v>
      </c>
      <c r="F840">
        <v>612446169</v>
      </c>
      <c r="G840">
        <v>0</v>
      </c>
      <c r="L840" t="s">
        <v>7</v>
      </c>
      <c r="M840" t="s">
        <v>8</v>
      </c>
      <c r="N840" t="s">
        <v>8</v>
      </c>
    </row>
    <row r="841" spans="1:14" x14ac:dyDescent="0.25">
      <c r="A841" s="5">
        <v>43753</v>
      </c>
      <c r="B841">
        <v>1.1147000000000001E-2</v>
      </c>
      <c r="C841">
        <v>1.448E-2</v>
      </c>
      <c r="D841">
        <v>1.0966E-2</v>
      </c>
      <c r="E841">
        <v>1.2626E-2</v>
      </c>
      <c r="F841">
        <v>444982374</v>
      </c>
      <c r="G841">
        <v>0</v>
      </c>
      <c r="L841" t="s">
        <v>8</v>
      </c>
      <c r="M841" t="s">
        <v>8</v>
      </c>
      <c r="N841" t="s">
        <v>8</v>
      </c>
    </row>
    <row r="842" spans="1:14" x14ac:dyDescent="0.25">
      <c r="A842" s="5">
        <v>43752</v>
      </c>
      <c r="B842">
        <v>9.4990000000000005E-3</v>
      </c>
      <c r="C842">
        <v>1.1939E-2</v>
      </c>
      <c r="D842">
        <v>9.4990000000000005E-3</v>
      </c>
      <c r="E842">
        <v>1.1147000000000001E-2</v>
      </c>
      <c r="F842">
        <v>77064394</v>
      </c>
      <c r="G842">
        <v>0</v>
      </c>
      <c r="L842" t="s">
        <v>8</v>
      </c>
      <c r="M842" t="s">
        <v>8</v>
      </c>
      <c r="N842" t="s">
        <v>7</v>
      </c>
    </row>
    <row r="843" spans="1:14" x14ac:dyDescent="0.25">
      <c r="A843" s="5">
        <v>43751</v>
      </c>
      <c r="B843">
        <v>9.9220000000000003E-3</v>
      </c>
      <c r="C843">
        <v>1.0017E-2</v>
      </c>
      <c r="D843">
        <v>9.2899999999999996E-3</v>
      </c>
      <c r="E843">
        <v>9.4990000000000005E-3</v>
      </c>
      <c r="F843">
        <v>10295232</v>
      </c>
      <c r="G843">
        <v>0</v>
      </c>
      <c r="L843" t="s">
        <v>7</v>
      </c>
      <c r="M843" t="s">
        <v>7</v>
      </c>
      <c r="N843" t="s">
        <v>7</v>
      </c>
    </row>
    <row r="844" spans="1:14" x14ac:dyDescent="0.25">
      <c r="A844" s="5">
        <v>43750</v>
      </c>
      <c r="B844">
        <v>1.0168E-2</v>
      </c>
      <c r="C844">
        <v>1.0292000000000001E-2</v>
      </c>
      <c r="D844">
        <v>9.6310000000000007E-3</v>
      </c>
      <c r="E844">
        <v>9.9220000000000003E-3</v>
      </c>
      <c r="F844">
        <v>9106359</v>
      </c>
      <c r="G844">
        <v>0</v>
      </c>
      <c r="L844" t="s">
        <v>7</v>
      </c>
      <c r="M844" t="s">
        <v>7</v>
      </c>
      <c r="N844" t="s">
        <v>7</v>
      </c>
    </row>
    <row r="845" spans="1:14" x14ac:dyDescent="0.25">
      <c r="A845" s="5">
        <v>43749</v>
      </c>
      <c r="B845">
        <v>1.0000999999999999E-2</v>
      </c>
      <c r="C845">
        <v>1.0500000000000001E-2</v>
      </c>
      <c r="D845">
        <v>9.4999999999999998E-3</v>
      </c>
      <c r="E845">
        <v>1.0168E-2</v>
      </c>
      <c r="F845">
        <v>21095189</v>
      </c>
      <c r="G845">
        <v>0</v>
      </c>
      <c r="L845" t="s">
        <v>8</v>
      </c>
      <c r="M845" t="s">
        <v>7</v>
      </c>
      <c r="N845" t="s">
        <v>7</v>
      </c>
    </row>
    <row r="846" spans="1:14" x14ac:dyDescent="0.25">
      <c r="A846" s="5">
        <v>43748</v>
      </c>
      <c r="B846">
        <v>1.065E-2</v>
      </c>
      <c r="C846">
        <v>1.0756E-2</v>
      </c>
      <c r="D846">
        <v>9.5169999999999994E-3</v>
      </c>
      <c r="E846">
        <v>1.0000999999999999E-2</v>
      </c>
      <c r="F846">
        <v>30961736</v>
      </c>
      <c r="G846">
        <v>0</v>
      </c>
      <c r="L846" t="s">
        <v>7</v>
      </c>
      <c r="M846" t="s">
        <v>7</v>
      </c>
      <c r="N846" t="s">
        <v>7</v>
      </c>
    </row>
    <row r="847" spans="1:14" x14ac:dyDescent="0.25">
      <c r="A847" s="5">
        <v>43747</v>
      </c>
      <c r="B847">
        <v>1.1049E-2</v>
      </c>
      <c r="C847">
        <v>1.1478E-2</v>
      </c>
      <c r="D847">
        <v>1.0326999999999999E-2</v>
      </c>
      <c r="E847">
        <v>1.0696000000000001E-2</v>
      </c>
      <c r="F847">
        <v>27305807</v>
      </c>
      <c r="G847">
        <v>0</v>
      </c>
      <c r="L847" t="s">
        <v>8</v>
      </c>
      <c r="M847" t="s">
        <v>7</v>
      </c>
      <c r="N847" t="s">
        <v>7</v>
      </c>
    </row>
    <row r="848" spans="1:14" x14ac:dyDescent="0.25">
      <c r="A848" s="5">
        <v>43746</v>
      </c>
      <c r="B848">
        <v>1.1362000000000001E-2</v>
      </c>
      <c r="C848">
        <v>1.1599999999999999E-2</v>
      </c>
      <c r="D848">
        <v>1.0186000000000001E-2</v>
      </c>
      <c r="E848">
        <v>1.0999999999999999E-2</v>
      </c>
      <c r="F848">
        <v>24644336</v>
      </c>
      <c r="G848">
        <v>0</v>
      </c>
      <c r="L848" t="s">
        <v>7</v>
      </c>
      <c r="M848" t="s">
        <v>7</v>
      </c>
      <c r="N848" t="s">
        <v>7</v>
      </c>
    </row>
    <row r="849" spans="1:14" x14ac:dyDescent="0.25">
      <c r="A849" s="5">
        <v>43745</v>
      </c>
      <c r="B849">
        <v>1.1027E-2</v>
      </c>
      <c r="C849">
        <v>1.1553000000000001E-2</v>
      </c>
      <c r="D849">
        <v>1.0862999999999999E-2</v>
      </c>
      <c r="E849">
        <v>1.1354E-2</v>
      </c>
      <c r="F849">
        <v>11002283</v>
      </c>
      <c r="G849">
        <v>0</v>
      </c>
      <c r="L849" t="s">
        <v>8</v>
      </c>
      <c r="M849" t="s">
        <v>7</v>
      </c>
      <c r="N849" t="s">
        <v>7</v>
      </c>
    </row>
    <row r="850" spans="1:14" x14ac:dyDescent="0.25">
      <c r="A850" s="5">
        <v>43744</v>
      </c>
      <c r="B850">
        <v>1.1929E-2</v>
      </c>
      <c r="C850">
        <v>1.1929E-2</v>
      </c>
      <c r="D850">
        <v>1.065E-2</v>
      </c>
      <c r="E850">
        <v>1.0966E-2</v>
      </c>
      <c r="F850">
        <v>18976122</v>
      </c>
      <c r="G850">
        <v>0</v>
      </c>
      <c r="L850" t="s">
        <v>7</v>
      </c>
      <c r="M850" t="s">
        <v>7</v>
      </c>
      <c r="N850" t="s">
        <v>7</v>
      </c>
    </row>
    <row r="851" spans="1:14" x14ac:dyDescent="0.25">
      <c r="A851" s="5">
        <v>43743</v>
      </c>
      <c r="B851">
        <v>1.2088E-2</v>
      </c>
      <c r="C851">
        <v>1.2479000000000001E-2</v>
      </c>
      <c r="D851">
        <v>1.1717999999999999E-2</v>
      </c>
      <c r="E851">
        <v>1.1929E-2</v>
      </c>
      <c r="F851">
        <v>9097130</v>
      </c>
      <c r="G851">
        <v>0</v>
      </c>
      <c r="L851" t="s">
        <v>8</v>
      </c>
      <c r="M851" t="s">
        <v>8</v>
      </c>
      <c r="N851" t="s">
        <v>7</v>
      </c>
    </row>
    <row r="852" spans="1:14" x14ac:dyDescent="0.25">
      <c r="A852" s="5">
        <v>43742</v>
      </c>
      <c r="B852">
        <v>1.23E-2</v>
      </c>
      <c r="C852">
        <v>1.2500000000000001E-2</v>
      </c>
      <c r="D852">
        <v>1.155E-2</v>
      </c>
      <c r="E852">
        <v>1.2088E-2</v>
      </c>
      <c r="F852">
        <v>20306705</v>
      </c>
      <c r="G852">
        <v>0</v>
      </c>
      <c r="L852" t="s">
        <v>7</v>
      </c>
      <c r="M852" t="s">
        <v>8</v>
      </c>
      <c r="N852" t="s">
        <v>7</v>
      </c>
    </row>
    <row r="853" spans="1:14" x14ac:dyDescent="0.25">
      <c r="A853" s="5">
        <v>43741</v>
      </c>
      <c r="B853">
        <v>1.1462E-2</v>
      </c>
      <c r="C853">
        <v>1.2711E-2</v>
      </c>
      <c r="D853">
        <v>1.0916E-2</v>
      </c>
      <c r="E853">
        <v>1.2251E-2</v>
      </c>
      <c r="F853">
        <v>29459237</v>
      </c>
      <c r="G853">
        <v>0</v>
      </c>
      <c r="L853" t="s">
        <v>8</v>
      </c>
      <c r="M853" t="s">
        <v>8</v>
      </c>
      <c r="N853" t="s">
        <v>7</v>
      </c>
    </row>
    <row r="854" spans="1:14" x14ac:dyDescent="0.25">
      <c r="A854" s="5">
        <v>43740</v>
      </c>
      <c r="B854">
        <v>1.091E-2</v>
      </c>
      <c r="C854">
        <v>1.1988E-2</v>
      </c>
      <c r="D854">
        <v>1.0784999999999999E-2</v>
      </c>
      <c r="E854">
        <v>1.1573E-2</v>
      </c>
      <c r="F854">
        <v>21922832</v>
      </c>
      <c r="G854">
        <v>0</v>
      </c>
      <c r="L854" t="s">
        <v>8</v>
      </c>
      <c r="M854" t="s">
        <v>8</v>
      </c>
      <c r="N854" t="s">
        <v>7</v>
      </c>
    </row>
    <row r="855" spans="1:14" x14ac:dyDescent="0.25">
      <c r="A855" s="5">
        <v>43739</v>
      </c>
      <c r="B855">
        <v>1.1309E-2</v>
      </c>
      <c r="C855">
        <v>1.1639999999999999E-2</v>
      </c>
      <c r="D855">
        <v>1.0508999999999999E-2</v>
      </c>
      <c r="E855">
        <v>1.091E-2</v>
      </c>
      <c r="F855">
        <v>21577167</v>
      </c>
      <c r="G855">
        <v>0</v>
      </c>
      <c r="L855" t="s">
        <v>8</v>
      </c>
      <c r="M855" t="s">
        <v>7</v>
      </c>
      <c r="N855" t="s">
        <v>7</v>
      </c>
    </row>
    <row r="856" spans="1:14" x14ac:dyDescent="0.25">
      <c r="A856" s="5">
        <v>43738</v>
      </c>
      <c r="B856">
        <v>1.1464E-2</v>
      </c>
      <c r="C856">
        <v>1.1923E-2</v>
      </c>
      <c r="D856">
        <v>1.008E-2</v>
      </c>
      <c r="E856">
        <v>1.1302E-2</v>
      </c>
      <c r="F856">
        <v>38020529</v>
      </c>
      <c r="G856">
        <v>0</v>
      </c>
      <c r="L856" t="s">
        <v>7</v>
      </c>
      <c r="M856" t="s">
        <v>7</v>
      </c>
      <c r="N856" t="s">
        <v>7</v>
      </c>
    </row>
    <row r="857" spans="1:14" x14ac:dyDescent="0.25">
      <c r="A857" s="5">
        <v>43737</v>
      </c>
      <c r="B857">
        <v>1.2808E-2</v>
      </c>
      <c r="C857">
        <v>1.2919999999999999E-2</v>
      </c>
      <c r="D857">
        <v>1.0831E-2</v>
      </c>
      <c r="E857">
        <v>1.1277000000000001E-2</v>
      </c>
      <c r="F857">
        <v>36686110</v>
      </c>
      <c r="G857">
        <v>0</v>
      </c>
      <c r="L857" t="s">
        <v>7</v>
      </c>
      <c r="M857" t="s">
        <v>7</v>
      </c>
      <c r="N857" t="s">
        <v>8</v>
      </c>
    </row>
    <row r="858" spans="1:14" x14ac:dyDescent="0.25">
      <c r="A858" s="5">
        <v>43736</v>
      </c>
      <c r="B858">
        <v>1.1831E-2</v>
      </c>
      <c r="C858">
        <v>1.47E-2</v>
      </c>
      <c r="D858">
        <v>1.1124999999999999E-2</v>
      </c>
      <c r="E858">
        <v>1.2895E-2</v>
      </c>
      <c r="F858">
        <v>114738319</v>
      </c>
      <c r="G858">
        <v>0</v>
      </c>
      <c r="L858" t="s">
        <v>8</v>
      </c>
      <c r="M858" t="s">
        <v>8</v>
      </c>
      <c r="N858" t="s">
        <v>8</v>
      </c>
    </row>
    <row r="859" spans="1:14" x14ac:dyDescent="0.25">
      <c r="A859" s="5">
        <v>43735</v>
      </c>
      <c r="B859">
        <v>1.1398999999999999E-2</v>
      </c>
      <c r="C859">
        <v>1.2300999999999999E-2</v>
      </c>
      <c r="D859">
        <v>1.04E-2</v>
      </c>
      <c r="E859">
        <v>1.1975E-2</v>
      </c>
      <c r="F859">
        <v>56043453</v>
      </c>
      <c r="G859">
        <v>0</v>
      </c>
      <c r="L859" t="s">
        <v>8</v>
      </c>
      <c r="M859" t="s">
        <v>8</v>
      </c>
      <c r="N859" t="s">
        <v>8</v>
      </c>
    </row>
    <row r="860" spans="1:14" x14ac:dyDescent="0.25">
      <c r="A860" s="5">
        <v>43734</v>
      </c>
      <c r="B860">
        <v>9.5899999999999996E-3</v>
      </c>
      <c r="C860">
        <v>1.2E-2</v>
      </c>
      <c r="D860">
        <v>9.4850000000000004E-3</v>
      </c>
      <c r="E860">
        <v>1.1459E-2</v>
      </c>
      <c r="F860">
        <v>102649012</v>
      </c>
      <c r="G860">
        <v>0</v>
      </c>
      <c r="L860" t="s">
        <v>8</v>
      </c>
      <c r="M860" t="s">
        <v>8</v>
      </c>
      <c r="N860" t="s">
        <v>8</v>
      </c>
    </row>
    <row r="861" spans="1:14" x14ac:dyDescent="0.25">
      <c r="A861" s="5">
        <v>43733</v>
      </c>
      <c r="B861">
        <v>8.9800000000000001E-3</v>
      </c>
      <c r="C861">
        <v>1.0265E-2</v>
      </c>
      <c r="D861">
        <v>8.4939999999999998E-3</v>
      </c>
      <c r="E861">
        <v>9.5899999999999996E-3</v>
      </c>
      <c r="F861">
        <v>30474257</v>
      </c>
      <c r="G861">
        <v>0</v>
      </c>
      <c r="L861" t="s">
        <v>8</v>
      </c>
      <c r="M861" t="s">
        <v>8</v>
      </c>
      <c r="N861" t="s">
        <v>7</v>
      </c>
    </row>
    <row r="862" spans="1:14" x14ac:dyDescent="0.25">
      <c r="A862" s="5">
        <v>43732</v>
      </c>
      <c r="B862">
        <v>9.6539999999999994E-3</v>
      </c>
      <c r="C862">
        <v>1.2595E-2</v>
      </c>
      <c r="D862">
        <v>7.2430000000000003E-3</v>
      </c>
      <c r="E862">
        <v>9.0310000000000008E-3</v>
      </c>
      <c r="F862">
        <v>113018916</v>
      </c>
      <c r="G862">
        <v>0</v>
      </c>
      <c r="L862" t="s">
        <v>7</v>
      </c>
      <c r="M862" t="s">
        <v>7</v>
      </c>
      <c r="N862" t="s">
        <v>7</v>
      </c>
    </row>
    <row r="863" spans="1:14" x14ac:dyDescent="0.25">
      <c r="A863" s="5">
        <v>43731</v>
      </c>
      <c r="B863">
        <v>1.0208E-2</v>
      </c>
      <c r="C863">
        <v>1.065E-2</v>
      </c>
      <c r="D863">
        <v>9.0830000000000008E-3</v>
      </c>
      <c r="E863">
        <v>9.6299999999999997E-3</v>
      </c>
      <c r="F863">
        <v>25798257</v>
      </c>
      <c r="G863">
        <v>0</v>
      </c>
      <c r="L863" t="s">
        <v>7</v>
      </c>
      <c r="M863" t="s">
        <v>7</v>
      </c>
      <c r="N863" t="s">
        <v>7</v>
      </c>
    </row>
    <row r="864" spans="1:14" x14ac:dyDescent="0.25">
      <c r="A864" s="5">
        <v>43730</v>
      </c>
      <c r="B864">
        <v>1.1044E-2</v>
      </c>
      <c r="C864">
        <v>1.1214E-2</v>
      </c>
      <c r="D864">
        <v>1.0208E-2</v>
      </c>
      <c r="E864">
        <v>1.0222E-2</v>
      </c>
      <c r="F864">
        <v>12466453</v>
      </c>
      <c r="G864">
        <v>0</v>
      </c>
      <c r="L864" t="s">
        <v>7</v>
      </c>
      <c r="M864" t="s">
        <v>7</v>
      </c>
      <c r="N864" t="s">
        <v>7</v>
      </c>
    </row>
    <row r="865" spans="1:14" x14ac:dyDescent="0.25">
      <c r="A865" s="5">
        <v>43729</v>
      </c>
      <c r="B865">
        <v>1.1631000000000001E-2</v>
      </c>
      <c r="C865">
        <v>1.2377000000000001E-2</v>
      </c>
      <c r="D865">
        <v>1.0704999999999999E-2</v>
      </c>
      <c r="E865">
        <v>1.1051E-2</v>
      </c>
      <c r="F865">
        <v>31333389</v>
      </c>
      <c r="G865">
        <v>0</v>
      </c>
      <c r="L865" t="s">
        <v>8</v>
      </c>
      <c r="M865" t="s">
        <v>7</v>
      </c>
      <c r="N865" t="s">
        <v>7</v>
      </c>
    </row>
    <row r="866" spans="1:14" x14ac:dyDescent="0.25">
      <c r="A866" s="5">
        <v>43728</v>
      </c>
      <c r="B866">
        <v>1.0980999999999999E-2</v>
      </c>
      <c r="C866">
        <v>1.1835999999999999E-2</v>
      </c>
      <c r="D866">
        <v>1.0543E-2</v>
      </c>
      <c r="E866">
        <v>1.1657000000000001E-2</v>
      </c>
      <c r="F866">
        <v>27034900</v>
      </c>
      <c r="G866">
        <v>0</v>
      </c>
      <c r="L866" t="s">
        <v>8</v>
      </c>
      <c r="M866" t="s">
        <v>7</v>
      </c>
      <c r="N866" t="s">
        <v>7</v>
      </c>
    </row>
    <row r="867" spans="1:14" x14ac:dyDescent="0.25">
      <c r="A867" s="5">
        <v>43727</v>
      </c>
      <c r="B867">
        <v>1.2192E-2</v>
      </c>
      <c r="C867">
        <v>1.2288E-2</v>
      </c>
      <c r="D867">
        <v>1.06E-2</v>
      </c>
      <c r="E867">
        <v>1.0951000000000001E-2</v>
      </c>
      <c r="F867">
        <v>38766006</v>
      </c>
      <c r="G867">
        <v>0</v>
      </c>
      <c r="L867" t="s">
        <v>7</v>
      </c>
      <c r="M867" t="s">
        <v>7</v>
      </c>
      <c r="N867" t="s">
        <v>7</v>
      </c>
    </row>
    <row r="868" spans="1:14" x14ac:dyDescent="0.25">
      <c r="A868" s="5">
        <v>43726</v>
      </c>
      <c r="B868">
        <v>1.3386E-2</v>
      </c>
      <c r="C868">
        <v>1.6945000000000002E-2</v>
      </c>
      <c r="D868">
        <v>1.15E-2</v>
      </c>
      <c r="E868">
        <v>1.2192E-2</v>
      </c>
      <c r="F868">
        <v>216972674</v>
      </c>
      <c r="G868">
        <v>0</v>
      </c>
      <c r="L868" t="s">
        <v>7</v>
      </c>
      <c r="M868" t="s">
        <v>7</v>
      </c>
      <c r="N868" t="s">
        <v>7</v>
      </c>
    </row>
    <row r="869" spans="1:14" x14ac:dyDescent="0.25">
      <c r="A869" s="5">
        <v>43725</v>
      </c>
      <c r="B869">
        <v>9.0840000000000001E-3</v>
      </c>
      <c r="C869">
        <v>2.6298999999999999E-2</v>
      </c>
      <c r="D869">
        <v>8.8669999999999999E-3</v>
      </c>
      <c r="E869">
        <v>1.3387E-2</v>
      </c>
      <c r="F869">
        <v>164651419</v>
      </c>
      <c r="G869">
        <v>0</v>
      </c>
      <c r="L869" t="s">
        <v>8</v>
      </c>
      <c r="M869" t="s">
        <v>8</v>
      </c>
      <c r="N869" t="s">
        <v>8</v>
      </c>
    </row>
    <row r="870" spans="1:14" x14ac:dyDescent="0.25">
      <c r="A870" s="5">
        <v>43724</v>
      </c>
      <c r="B870">
        <v>7.9279999999999993E-3</v>
      </c>
      <c r="C870">
        <v>9.6530000000000001E-3</v>
      </c>
      <c r="D870">
        <v>7.7999999999999996E-3</v>
      </c>
      <c r="E870">
        <v>9.0819999999999998E-3</v>
      </c>
      <c r="F870">
        <v>27918940</v>
      </c>
      <c r="G870">
        <v>0</v>
      </c>
      <c r="L870" t="s">
        <v>8</v>
      </c>
      <c r="M870" t="s">
        <v>8</v>
      </c>
      <c r="N870" t="s">
        <v>8</v>
      </c>
    </row>
    <row r="871" spans="1:14" x14ac:dyDescent="0.25">
      <c r="A871" s="5">
        <v>43723</v>
      </c>
      <c r="B871">
        <v>8.0499999999999999E-3</v>
      </c>
      <c r="C871">
        <v>8.2570000000000005E-3</v>
      </c>
      <c r="D871">
        <v>7.7999999999999996E-3</v>
      </c>
      <c r="E871">
        <v>7.979E-3</v>
      </c>
      <c r="F871">
        <v>8274341</v>
      </c>
      <c r="G871">
        <v>0</v>
      </c>
      <c r="L871" t="s">
        <v>7</v>
      </c>
      <c r="M871" t="s">
        <v>8</v>
      </c>
      <c r="N871" t="s">
        <v>7</v>
      </c>
    </row>
    <row r="872" spans="1:14" x14ac:dyDescent="0.25">
      <c r="A872" s="5">
        <v>43722</v>
      </c>
      <c r="B872">
        <v>8.1939999999999999E-3</v>
      </c>
      <c r="C872">
        <v>8.8920000000000006E-3</v>
      </c>
      <c r="D872">
        <v>7.718E-3</v>
      </c>
      <c r="E872">
        <v>8.0499999999999999E-3</v>
      </c>
      <c r="F872">
        <v>29919952</v>
      </c>
      <c r="G872">
        <v>0</v>
      </c>
      <c r="L872" t="s">
        <v>8</v>
      </c>
      <c r="M872" t="s">
        <v>8</v>
      </c>
      <c r="N872" t="s">
        <v>7</v>
      </c>
    </row>
    <row r="873" spans="1:14" x14ac:dyDescent="0.25">
      <c r="A873" s="5">
        <v>43721</v>
      </c>
      <c r="B873">
        <v>6.7489999999999998E-3</v>
      </c>
      <c r="C873">
        <v>8.6999999999999994E-3</v>
      </c>
      <c r="D873">
        <v>6.659E-3</v>
      </c>
      <c r="E873">
        <v>8.1860000000000006E-3</v>
      </c>
      <c r="F873">
        <v>56402409</v>
      </c>
      <c r="G873">
        <v>0</v>
      </c>
      <c r="L873" t="s">
        <v>8</v>
      </c>
      <c r="M873" t="s">
        <v>8</v>
      </c>
      <c r="N873" t="s">
        <v>7</v>
      </c>
    </row>
    <row r="874" spans="1:14" x14ac:dyDescent="0.25">
      <c r="A874" s="5">
        <v>43720</v>
      </c>
      <c r="B874">
        <v>6.7299999999999999E-3</v>
      </c>
      <c r="C874">
        <v>7.1830000000000001E-3</v>
      </c>
      <c r="D874">
        <v>6.4339999999999996E-3</v>
      </c>
      <c r="E874">
        <v>6.7619999999999998E-3</v>
      </c>
      <c r="F874">
        <v>35715608</v>
      </c>
      <c r="G874">
        <v>0</v>
      </c>
      <c r="L874" t="s">
        <v>7</v>
      </c>
      <c r="M874" t="s">
        <v>7</v>
      </c>
      <c r="N874" t="s">
        <v>7</v>
      </c>
    </row>
    <row r="875" spans="1:14" x14ac:dyDescent="0.25">
      <c r="A875" s="5">
        <v>43719</v>
      </c>
      <c r="B875">
        <v>9.0089999999999996E-3</v>
      </c>
      <c r="C875">
        <v>1.0213E-2</v>
      </c>
      <c r="D875">
        <v>6.5579999999999996E-3</v>
      </c>
      <c r="E875">
        <v>6.6909999999999999E-3</v>
      </c>
      <c r="F875">
        <v>110018138</v>
      </c>
      <c r="G875">
        <v>0</v>
      </c>
      <c r="L875" t="s">
        <v>7</v>
      </c>
      <c r="M875" t="s">
        <v>7</v>
      </c>
      <c r="N875" t="s">
        <v>7</v>
      </c>
    </row>
    <row r="876" spans="1:14" x14ac:dyDescent="0.25">
      <c r="A876" s="5">
        <v>43718</v>
      </c>
      <c r="B876">
        <v>6.3090000000000004E-3</v>
      </c>
      <c r="C876">
        <v>1.1146E-2</v>
      </c>
      <c r="D876">
        <v>6.0299999999999998E-3</v>
      </c>
      <c r="E876">
        <v>9.0089999999999996E-3</v>
      </c>
      <c r="F876">
        <v>72044441</v>
      </c>
      <c r="G876">
        <v>0</v>
      </c>
      <c r="L876" t="s">
        <v>8</v>
      </c>
      <c r="M876" t="s">
        <v>8</v>
      </c>
      <c r="N876" t="s">
        <v>8</v>
      </c>
    </row>
    <row r="877" spans="1:14" x14ac:dyDescent="0.25">
      <c r="A877" s="5">
        <v>43717</v>
      </c>
      <c r="B877">
        <v>6.0200000000000002E-3</v>
      </c>
      <c r="C877">
        <v>6.6E-3</v>
      </c>
      <c r="D877">
        <v>5.7060000000000001E-3</v>
      </c>
      <c r="E877">
        <v>6.1729999999999997E-3</v>
      </c>
      <c r="F877">
        <v>9922956</v>
      </c>
      <c r="G877">
        <v>0</v>
      </c>
      <c r="L877" t="s">
        <v>7</v>
      </c>
      <c r="M877" t="s">
        <v>8</v>
      </c>
      <c r="N877" t="s">
        <v>7</v>
      </c>
    </row>
    <row r="878" spans="1:14" x14ac:dyDescent="0.25">
      <c r="A878" s="5">
        <v>43716</v>
      </c>
      <c r="B878">
        <v>6.1830000000000001E-3</v>
      </c>
      <c r="C878">
        <v>6.5700000000000003E-3</v>
      </c>
      <c r="D878">
        <v>5.855E-3</v>
      </c>
      <c r="E878">
        <v>5.9459999999999999E-3</v>
      </c>
      <c r="F878">
        <v>9628623</v>
      </c>
      <c r="G878">
        <v>0</v>
      </c>
      <c r="L878" t="s">
        <v>7</v>
      </c>
      <c r="M878" t="s">
        <v>8</v>
      </c>
      <c r="N878" t="s">
        <v>7</v>
      </c>
    </row>
    <row r="879" spans="1:14" x14ac:dyDescent="0.25">
      <c r="A879" s="5">
        <v>43715</v>
      </c>
      <c r="B879">
        <v>5.3090000000000004E-3</v>
      </c>
      <c r="C879">
        <v>6.7000000000000002E-3</v>
      </c>
      <c r="D879">
        <v>5.1009999999999996E-3</v>
      </c>
      <c r="E879">
        <v>6.1830000000000001E-3</v>
      </c>
      <c r="F879">
        <v>19782384</v>
      </c>
      <c r="G879">
        <v>0</v>
      </c>
      <c r="L879" t="s">
        <v>8</v>
      </c>
      <c r="M879" t="s">
        <v>8</v>
      </c>
      <c r="N879" t="s">
        <v>7</v>
      </c>
    </row>
    <row r="880" spans="1:14" x14ac:dyDescent="0.25">
      <c r="A880" s="5">
        <v>43714</v>
      </c>
      <c r="B880">
        <v>5.6649999999999999E-3</v>
      </c>
      <c r="C880">
        <v>5.744E-3</v>
      </c>
      <c r="D880">
        <v>5.0769999999999999E-3</v>
      </c>
      <c r="E880">
        <v>5.3330000000000001E-3</v>
      </c>
      <c r="F880">
        <v>3438377</v>
      </c>
      <c r="G880">
        <v>0</v>
      </c>
      <c r="L880" t="s">
        <v>7</v>
      </c>
      <c r="M880" t="s">
        <v>7</v>
      </c>
      <c r="N880" t="s">
        <v>7</v>
      </c>
    </row>
    <row r="881" spans="1:14" x14ac:dyDescent="0.25">
      <c r="A881" s="5">
        <v>43713</v>
      </c>
      <c r="B881">
        <v>5.7200000000000003E-3</v>
      </c>
      <c r="C881">
        <v>5.7949999999999998E-3</v>
      </c>
      <c r="D881">
        <v>5.4850000000000003E-3</v>
      </c>
      <c r="E881">
        <v>5.6649999999999999E-3</v>
      </c>
      <c r="F881">
        <v>2479410</v>
      </c>
      <c r="G881">
        <v>0</v>
      </c>
      <c r="L881" t="s">
        <v>8</v>
      </c>
      <c r="M881" t="s">
        <v>7</v>
      </c>
      <c r="N881" t="s">
        <v>7</v>
      </c>
    </row>
    <row r="882" spans="1:14" x14ac:dyDescent="0.25">
      <c r="A882" s="5">
        <v>43712</v>
      </c>
      <c r="B882">
        <v>5.849E-3</v>
      </c>
      <c r="C882">
        <v>5.9490000000000003E-3</v>
      </c>
      <c r="D882">
        <v>5.1630000000000001E-3</v>
      </c>
      <c r="E882">
        <v>5.7340000000000004E-3</v>
      </c>
      <c r="F882">
        <v>7649721</v>
      </c>
      <c r="G882">
        <v>0</v>
      </c>
      <c r="L882" t="s">
        <v>7</v>
      </c>
      <c r="M882" t="s">
        <v>7</v>
      </c>
      <c r="N882" t="s">
        <v>7</v>
      </c>
    </row>
    <row r="883" spans="1:14" x14ac:dyDescent="0.25">
      <c r="A883" s="5">
        <v>43711</v>
      </c>
      <c r="B883">
        <v>6.2690000000000003E-3</v>
      </c>
      <c r="C883">
        <v>6.2690000000000003E-3</v>
      </c>
      <c r="D883">
        <v>5.6990000000000001E-3</v>
      </c>
      <c r="E883">
        <v>5.8809999999999999E-3</v>
      </c>
      <c r="F883">
        <v>14787597</v>
      </c>
      <c r="G883">
        <v>0</v>
      </c>
      <c r="L883" t="s">
        <v>7</v>
      </c>
      <c r="M883" t="s">
        <v>7</v>
      </c>
      <c r="N883" t="s">
        <v>7</v>
      </c>
    </row>
    <row r="884" spans="1:14" x14ac:dyDescent="0.25">
      <c r="A884" s="5">
        <v>43710</v>
      </c>
      <c r="B884">
        <v>6.0959999999999999E-3</v>
      </c>
      <c r="C884">
        <v>6.6499999999999997E-3</v>
      </c>
      <c r="D884">
        <v>5.9309999999999996E-3</v>
      </c>
      <c r="E884">
        <v>6.2690000000000003E-3</v>
      </c>
      <c r="F884">
        <v>4133300</v>
      </c>
      <c r="G884">
        <v>0</v>
      </c>
      <c r="L884" t="s">
        <v>8</v>
      </c>
      <c r="M884" t="s">
        <v>7</v>
      </c>
      <c r="N884" t="s">
        <v>7</v>
      </c>
    </row>
    <row r="885" spans="1:14" x14ac:dyDescent="0.25">
      <c r="A885" s="5">
        <v>43709</v>
      </c>
      <c r="B885">
        <v>6.3350000000000004E-3</v>
      </c>
      <c r="C885">
        <v>6.5510000000000004E-3</v>
      </c>
      <c r="D885">
        <v>5.9290000000000002E-3</v>
      </c>
      <c r="E885">
        <v>6.0990000000000003E-3</v>
      </c>
      <c r="F885">
        <v>4515830</v>
      </c>
      <c r="G885">
        <v>0</v>
      </c>
      <c r="L885" t="s">
        <v>7</v>
      </c>
      <c r="M885" t="s">
        <v>7</v>
      </c>
      <c r="N885" t="s">
        <v>7</v>
      </c>
    </row>
    <row r="886" spans="1:14" x14ac:dyDescent="0.25">
      <c r="A886" s="5">
        <v>43708</v>
      </c>
      <c r="B886">
        <v>7.0419999999999996E-3</v>
      </c>
      <c r="C886">
        <v>7.3800000000000003E-3</v>
      </c>
      <c r="D886">
        <v>6.0679999999999996E-3</v>
      </c>
      <c r="E886">
        <v>6.3350000000000004E-3</v>
      </c>
      <c r="F886">
        <v>14896342</v>
      </c>
      <c r="G886">
        <v>0</v>
      </c>
      <c r="L886" t="s">
        <v>7</v>
      </c>
      <c r="M886" t="s">
        <v>7</v>
      </c>
      <c r="N886" t="s">
        <v>7</v>
      </c>
    </row>
    <row r="887" spans="1:14" x14ac:dyDescent="0.25">
      <c r="A887" s="5">
        <v>43707</v>
      </c>
      <c r="B887">
        <v>6.3790000000000001E-3</v>
      </c>
      <c r="C887">
        <v>7.4510000000000002E-3</v>
      </c>
      <c r="D887">
        <v>6.1999999999999998E-3</v>
      </c>
      <c r="E887">
        <v>7.064E-3</v>
      </c>
      <c r="F887">
        <v>13005675</v>
      </c>
      <c r="G887">
        <v>0</v>
      </c>
      <c r="L887" t="s">
        <v>8</v>
      </c>
      <c r="M887" t="s">
        <v>8</v>
      </c>
      <c r="N887" t="s">
        <v>7</v>
      </c>
    </row>
    <row r="888" spans="1:14" x14ac:dyDescent="0.25">
      <c r="A888" s="5">
        <v>43706</v>
      </c>
      <c r="B888">
        <v>7.0280000000000004E-3</v>
      </c>
      <c r="C888">
        <v>7.2459999999999998E-3</v>
      </c>
      <c r="D888">
        <v>6.2090000000000001E-3</v>
      </c>
      <c r="E888">
        <v>6.3759999999999997E-3</v>
      </c>
      <c r="F888">
        <v>7804558</v>
      </c>
      <c r="G888">
        <v>0</v>
      </c>
      <c r="L888" t="s">
        <v>7</v>
      </c>
      <c r="M888" t="s">
        <v>7</v>
      </c>
      <c r="N888" t="s">
        <v>7</v>
      </c>
    </row>
    <row r="889" spans="1:14" x14ac:dyDescent="0.25">
      <c r="A889" s="5">
        <v>43705</v>
      </c>
      <c r="B889">
        <v>8.2819999999999994E-3</v>
      </c>
      <c r="C889">
        <v>8.7100000000000007E-3</v>
      </c>
      <c r="D889">
        <v>6.4120000000000002E-3</v>
      </c>
      <c r="E889">
        <v>7.0280000000000004E-3</v>
      </c>
      <c r="F889">
        <v>23243899</v>
      </c>
      <c r="G889">
        <v>0</v>
      </c>
      <c r="L889" t="s">
        <v>7</v>
      </c>
      <c r="M889" t="s">
        <v>7</v>
      </c>
      <c r="N889" t="s">
        <v>7</v>
      </c>
    </row>
    <row r="890" spans="1:14" x14ac:dyDescent="0.25">
      <c r="A890" s="5">
        <v>43704</v>
      </c>
      <c r="B890">
        <v>9.5999999999999992E-3</v>
      </c>
      <c r="C890">
        <v>9.6480000000000003E-3</v>
      </c>
      <c r="D890">
        <v>7.633E-3</v>
      </c>
      <c r="E890">
        <v>8.2819999999999994E-3</v>
      </c>
      <c r="F890">
        <v>17105576</v>
      </c>
      <c r="G890">
        <v>0</v>
      </c>
    </row>
    <row r="891" spans="1:14" x14ac:dyDescent="0.25">
      <c r="A891" s="5"/>
      <c r="C891" s="4"/>
      <c r="D891" s="4"/>
    </row>
    <row r="892" spans="1:14" x14ac:dyDescent="0.25">
      <c r="A892" s="5"/>
      <c r="C892" s="4"/>
      <c r="D892" s="4"/>
    </row>
    <row r="893" spans="1:14" x14ac:dyDescent="0.25">
      <c r="A893" s="5"/>
      <c r="C893" s="4"/>
      <c r="D893" s="4"/>
    </row>
    <row r="894" spans="1:14" x14ac:dyDescent="0.25">
      <c r="A894" s="5"/>
      <c r="C894" s="4"/>
      <c r="D894" s="4"/>
    </row>
    <row r="895" spans="1:14" x14ac:dyDescent="0.25">
      <c r="A895" s="5"/>
      <c r="C895" s="4"/>
      <c r="D895" s="4"/>
    </row>
    <row r="896" spans="1:1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  <c r="C953" s="4"/>
      <c r="D953" s="4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  <c r="C1716"/>
      <c r="D1716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  <row r="2889" spans="1:1" x14ac:dyDescent="0.25">
      <c r="A2889" s="5"/>
    </row>
  </sheetData>
  <conditionalFormatting sqref="D1:D4 C200:D201 D202:D1048576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PX747" sqref="PX74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$A$746</v>
      </c>
      <c r="D111" s="1" t="str">
        <f>ADDRESS(C121-1,D121,1,1)</f>
        <v>$PX$746</v>
      </c>
      <c r="E111"/>
    </row>
    <row r="112" spans="1:5" x14ac:dyDescent="0.25">
      <c r="A112" s="7">
        <v>12164.144957890772</v>
      </c>
      <c r="C112" s="1" t="str">
        <f>ADDRESS(C121,1,1,1)</f>
        <v>$A$747</v>
      </c>
      <c r="D112" s="1" t="str">
        <f>ADDRESS(C121,D121-1,1,1)</f>
        <v>$PW$747</v>
      </c>
      <c r="E112"/>
    </row>
    <row r="113" spans="1:5" x14ac:dyDescent="0.25">
      <c r="A113" s="7">
        <v>11925.63231165762</v>
      </c>
      <c r="C113" s="1" t="str">
        <f>ADDRESS(C121+1,1,1,1)</f>
        <v>$A$748</v>
      </c>
      <c r="D113" s="1" t="str">
        <f>ADDRESS(C121-1,D121+1,1,1)</f>
        <v>$PY$746</v>
      </c>
    </row>
    <row r="114" spans="1:5" x14ac:dyDescent="0.25">
      <c r="A114" s="7">
        <v>11691.796383978059</v>
      </c>
      <c r="C114" s="1" t="str">
        <f>ADDRESS(C121,D121,1,1)</f>
        <v>$PX$747</v>
      </c>
      <c r="D114" s="1" t="str">
        <f>ADDRESS(C121+1,D121+1,1,1)</f>
        <v>$PY$748</v>
      </c>
    </row>
    <row r="115" spans="1:5" x14ac:dyDescent="0.25">
      <c r="A115" s="7">
        <v>11462.545474488292</v>
      </c>
      <c r="C115" s="1" t="str">
        <f>ADDRESS(C121+1,D121,1,1)</f>
        <v>$PX$748</v>
      </c>
    </row>
    <row r="116" spans="1:5" x14ac:dyDescent="0.25">
      <c r="A116" s="7">
        <v>11237.789680870874</v>
      </c>
      <c r="C116" s="1">
        <f>C117-1</f>
        <v>746</v>
      </c>
    </row>
    <row r="117" spans="1:5" x14ac:dyDescent="0.25">
      <c r="A117" s="7">
        <v>11017.440863598895</v>
      </c>
      <c r="C117" s="1">
        <f>C121</f>
        <v>747</v>
      </c>
      <c r="D117" s="1">
        <f>D121</f>
        <v>440</v>
      </c>
    </row>
    <row r="118" spans="1:5" x14ac:dyDescent="0.25">
      <c r="A118" s="7">
        <v>10801.412611371465</v>
      </c>
      <c r="C118" s="1">
        <f>C117+1</f>
        <v>748</v>
      </c>
      <c r="D118" s="1">
        <f>D117+1</f>
        <v>441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747</v>
      </c>
      <c r="D121" s="19">
        <v>440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R747</v>
      </c>
      <c r="D123" s="1" t="str">
        <f>"C"&amp;D121</f>
        <v>C440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4.2070000588599457E-2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292" x14ac:dyDescent="0.25">
      <c r="A673" s="7">
        <v>0.18213156881997963</v>
      </c>
      <c r="B673"/>
      <c r="C673"/>
      <c r="D673"/>
      <c r="E673"/>
      <c r="F673" s="27" t="s">
        <v>7</v>
      </c>
    </row>
    <row r="674" spans="1:292" x14ac:dyDescent="0.25">
      <c r="A674" s="7">
        <v>0.17856036158821534</v>
      </c>
      <c r="B674"/>
      <c r="C674"/>
      <c r="D674"/>
      <c r="E674"/>
      <c r="F674" s="27" t="s">
        <v>7</v>
      </c>
      <c r="KA674" s="27" t="s">
        <v>8</v>
      </c>
    </row>
    <row r="675" spans="1:292" x14ac:dyDescent="0.25">
      <c r="A675" s="7">
        <v>0.17505917802766208</v>
      </c>
      <c r="B675"/>
      <c r="C675"/>
      <c r="D675"/>
      <c r="E675"/>
      <c r="F675" s="27" t="s">
        <v>7</v>
      </c>
      <c r="KA675" s="27" t="s">
        <v>8</v>
      </c>
      <c r="KB675" s="27" t="s">
        <v>7</v>
      </c>
    </row>
    <row r="676" spans="1:292" x14ac:dyDescent="0.25">
      <c r="A676" s="7">
        <v>0.17162664512515888</v>
      </c>
      <c r="B676"/>
      <c r="C676"/>
      <c r="D676"/>
      <c r="E676"/>
      <c r="F676" s="27" t="s">
        <v>7</v>
      </c>
      <c r="KA676" s="27" t="s">
        <v>8</v>
      </c>
      <c r="KB676" s="27" t="s">
        <v>7</v>
      </c>
    </row>
    <row r="677" spans="1:292" x14ac:dyDescent="0.25">
      <c r="A677" s="7">
        <v>0.16826141678937145</v>
      </c>
      <c r="B677"/>
      <c r="C677"/>
      <c r="D677"/>
      <c r="E677"/>
      <c r="F677" s="27" t="s">
        <v>7</v>
      </c>
      <c r="KA677" s="27" t="s">
        <v>8</v>
      </c>
      <c r="KB677" s="27" t="s">
        <v>7</v>
      </c>
    </row>
    <row r="678" spans="1:292" x14ac:dyDescent="0.25">
      <c r="A678" s="7">
        <v>0.16496217332291319</v>
      </c>
      <c r="B678"/>
      <c r="C678"/>
      <c r="D678"/>
      <c r="E678"/>
      <c r="F678" s="27" t="s">
        <v>7</v>
      </c>
      <c r="KA678" s="27" t="s">
        <v>8</v>
      </c>
      <c r="KB678" s="27" t="s">
        <v>7</v>
      </c>
    </row>
    <row r="679" spans="1:292" x14ac:dyDescent="0.25">
      <c r="A679" s="7">
        <v>0.16172762090481685</v>
      </c>
      <c r="B679"/>
      <c r="C679"/>
      <c r="D679"/>
      <c r="E679"/>
      <c r="F679" s="27" t="s">
        <v>7</v>
      </c>
      <c r="KA679" s="27" t="s">
        <v>8</v>
      </c>
      <c r="KB679" s="27" t="s">
        <v>7</v>
      </c>
    </row>
    <row r="680" spans="1:292" x14ac:dyDescent="0.25">
      <c r="A680" s="7">
        <v>0.15855649108315376</v>
      </c>
      <c r="B680"/>
      <c r="C680"/>
      <c r="D680"/>
      <c r="E680"/>
      <c r="F680" s="27" t="s">
        <v>7</v>
      </c>
      <c r="KA680" s="27" t="s">
        <v>8</v>
      </c>
      <c r="KB680" s="27" t="s">
        <v>7</v>
      </c>
      <c r="KC680" s="27" t="s">
        <v>8</v>
      </c>
    </row>
    <row r="681" spans="1:292" x14ac:dyDescent="0.25">
      <c r="A681" s="7">
        <v>0.15544754027760171</v>
      </c>
      <c r="B681"/>
      <c r="C681"/>
      <c r="D681"/>
      <c r="E681"/>
      <c r="F681" s="27" t="s">
        <v>7</v>
      </c>
      <c r="KA681" s="27" t="s">
        <v>8</v>
      </c>
      <c r="KB681" s="27" t="s">
        <v>7</v>
      </c>
      <c r="KC681" s="27" t="s">
        <v>8</v>
      </c>
      <c r="KD681" s="27" t="s">
        <v>7</v>
      </c>
    </row>
    <row r="682" spans="1:292" x14ac:dyDescent="0.25">
      <c r="A682" s="7">
        <v>0.15239954929176638</v>
      </c>
      <c r="B682"/>
      <c r="C682"/>
      <c r="D682"/>
      <c r="E682"/>
      <c r="F682" s="27" t="s">
        <v>7</v>
      </c>
      <c r="KA682" s="27" t="s">
        <v>8</v>
      </c>
      <c r="KB682" s="27" t="s">
        <v>7</v>
      </c>
      <c r="KC682" s="27" t="s">
        <v>8</v>
      </c>
      <c r="KD682" s="27" t="s">
        <v>7</v>
      </c>
    </row>
    <row r="683" spans="1:292" x14ac:dyDescent="0.25">
      <c r="A683" s="7">
        <v>0.14941132283506509</v>
      </c>
      <c r="B683"/>
      <c r="C683"/>
      <c r="D683"/>
      <c r="E683"/>
      <c r="F683" s="27" t="s">
        <v>7</v>
      </c>
      <c r="JY683" s="27" t="s">
        <v>8</v>
      </c>
      <c r="KA683" s="27" t="s">
        <v>8</v>
      </c>
      <c r="KB683" s="27" t="s">
        <v>7</v>
      </c>
      <c r="KC683" s="27" t="s">
        <v>8</v>
      </c>
      <c r="KD683" s="27" t="s">
        <v>7</v>
      </c>
    </row>
    <row r="684" spans="1:292" x14ac:dyDescent="0.25">
      <c r="A684" s="7">
        <v>0.14648168905398537</v>
      </c>
      <c r="B684"/>
      <c r="C684"/>
      <c r="D684"/>
      <c r="E684"/>
      <c r="F684" s="27" t="s">
        <v>7</v>
      </c>
      <c r="JY684" s="27" t="s">
        <v>8</v>
      </c>
      <c r="JZ684" s="27" t="s">
        <v>7</v>
      </c>
      <c r="KA684" s="27" t="s">
        <v>8</v>
      </c>
      <c r="KB684" s="27" t="s">
        <v>7</v>
      </c>
      <c r="KC684" s="27" t="s">
        <v>8</v>
      </c>
      <c r="KD684" s="27" t="s">
        <v>7</v>
      </c>
    </row>
    <row r="685" spans="1:292" x14ac:dyDescent="0.25">
      <c r="A685" s="7">
        <v>0.14360949907253467</v>
      </c>
      <c r="B685"/>
      <c r="C685"/>
      <c r="D685"/>
      <c r="E685"/>
      <c r="F685" s="27" t="s">
        <v>7</v>
      </c>
      <c r="JY685" s="27" t="s">
        <v>8</v>
      </c>
      <c r="JZ685" s="27" t="s">
        <v>7</v>
      </c>
      <c r="KA685" s="27" t="s">
        <v>8</v>
      </c>
      <c r="KB685" s="27" t="s">
        <v>7</v>
      </c>
      <c r="KC685" s="27" t="s">
        <v>8</v>
      </c>
      <c r="KD685" s="27" t="s">
        <v>7</v>
      </c>
    </row>
    <row r="686" spans="1:292" x14ac:dyDescent="0.25">
      <c r="A686" s="7">
        <v>0.14079362654170066</v>
      </c>
      <c r="B686"/>
      <c r="C686"/>
      <c r="D686"/>
      <c r="E686"/>
      <c r="F686" s="27" t="s">
        <v>7</v>
      </c>
      <c r="JY686" s="27" t="s">
        <v>8</v>
      </c>
      <c r="JZ686" s="27" t="s">
        <v>7</v>
      </c>
      <c r="KA686" s="27" t="s">
        <v>8</v>
      </c>
      <c r="KB686" s="27" t="s">
        <v>7</v>
      </c>
      <c r="KC686" s="27" t="s">
        <v>8</v>
      </c>
      <c r="KD686" s="27" t="s">
        <v>7</v>
      </c>
    </row>
    <row r="687" spans="1:292" x14ac:dyDescent="0.25">
      <c r="A687" s="7">
        <v>0.13803296719774574</v>
      </c>
      <c r="B687"/>
      <c r="C687"/>
      <c r="D687"/>
      <c r="E687"/>
      <c r="F687" s="27" t="s">
        <v>7</v>
      </c>
      <c r="JY687" s="27" t="s">
        <v>8</v>
      </c>
      <c r="JZ687" s="27" t="s">
        <v>7</v>
      </c>
      <c r="KA687" s="27" t="s">
        <v>8</v>
      </c>
      <c r="KB687" s="27" t="s">
        <v>7</v>
      </c>
      <c r="KC687" s="27" t="s">
        <v>8</v>
      </c>
      <c r="KD687" s="27" t="s">
        <v>7</v>
      </c>
      <c r="KE687" s="27" t="s">
        <v>8</v>
      </c>
    </row>
    <row r="688" spans="1:292" x14ac:dyDescent="0.25">
      <c r="A688" s="7">
        <v>0.1353264384291625</v>
      </c>
      <c r="B688"/>
      <c r="C688"/>
      <c r="D688"/>
      <c r="E688"/>
      <c r="F688" s="27" t="s">
        <v>7</v>
      </c>
      <c r="JY688" s="27" t="s">
        <v>8</v>
      </c>
      <c r="JZ688" s="27" t="s">
        <v>7</v>
      </c>
      <c r="KA688" s="27" t="s">
        <v>8</v>
      </c>
      <c r="KB688" s="27" t="s">
        <v>7</v>
      </c>
      <c r="KD688" s="27" t="s">
        <v>7</v>
      </c>
      <c r="KE688" s="27" t="s">
        <v>8</v>
      </c>
      <c r="KF688" s="27" t="s">
        <v>7</v>
      </c>
    </row>
    <row r="689" spans="1:412" x14ac:dyDescent="0.25">
      <c r="A689" s="7">
        <v>0.13267297885212009</v>
      </c>
      <c r="B689"/>
      <c r="C689"/>
      <c r="D689"/>
      <c r="E689"/>
      <c r="F689" s="27" t="s">
        <v>7</v>
      </c>
      <c r="JY689" s="27" t="s">
        <v>8</v>
      </c>
      <c r="JZ689" s="27" t="s">
        <v>7</v>
      </c>
      <c r="KA689" s="27" t="s">
        <v>8</v>
      </c>
      <c r="KD689" s="27" t="s">
        <v>7</v>
      </c>
      <c r="KE689" s="27" t="s">
        <v>8</v>
      </c>
      <c r="KF689" s="27" t="s">
        <v>7</v>
      </c>
    </row>
    <row r="690" spans="1:412" x14ac:dyDescent="0.25">
      <c r="A690" s="7">
        <v>0.13007154789423539</v>
      </c>
      <c r="B690"/>
      <c r="C690"/>
      <c r="D690"/>
      <c r="E690"/>
      <c r="F690" s="27" t="s">
        <v>7</v>
      </c>
      <c r="JY690" s="27" t="s">
        <v>8</v>
      </c>
      <c r="JZ690" s="27" t="s">
        <v>7</v>
      </c>
      <c r="KA690" s="27" t="s">
        <v>8</v>
      </c>
      <c r="KD690" s="27" t="s">
        <v>7</v>
      </c>
      <c r="KE690" s="27" t="s">
        <v>8</v>
      </c>
      <c r="KF690" s="27" t="s">
        <v>7</v>
      </c>
      <c r="KG690" s="27" t="s">
        <v>8</v>
      </c>
    </row>
    <row r="691" spans="1:412" x14ac:dyDescent="0.25">
      <c r="A691" s="7">
        <v>0.12752112538650529</v>
      </c>
      <c r="B691"/>
      <c r="C691"/>
      <c r="D691"/>
      <c r="E691"/>
      <c r="F691" s="27" t="s">
        <v>7</v>
      </c>
      <c r="JY691" s="27" t="s">
        <v>8</v>
      </c>
      <c r="JZ691" s="27" t="s">
        <v>7</v>
      </c>
      <c r="KA691" s="27" t="s">
        <v>8</v>
      </c>
      <c r="KD691" s="27" t="s">
        <v>7</v>
      </c>
      <c r="KE691" s="27" t="s">
        <v>8</v>
      </c>
      <c r="KF691" s="27" t="s">
        <v>7</v>
      </c>
      <c r="KG691" s="27" t="s">
        <v>8</v>
      </c>
      <c r="KH691" s="27" t="s">
        <v>7</v>
      </c>
      <c r="KI691" s="27" t="s">
        <v>8</v>
      </c>
      <c r="KO691" s="27" t="s">
        <v>8</v>
      </c>
      <c r="KQ691" s="27" t="s">
        <v>8</v>
      </c>
    </row>
    <row r="692" spans="1:412" x14ac:dyDescent="0.25">
      <c r="A692" s="7">
        <v>0.12502071116324048</v>
      </c>
      <c r="B692"/>
      <c r="C692"/>
      <c r="D692"/>
      <c r="E692"/>
      <c r="F692" s="27" t="s">
        <v>7</v>
      </c>
      <c r="JO692" s="27" t="s">
        <v>8</v>
      </c>
      <c r="JY692" s="27" t="s">
        <v>8</v>
      </c>
      <c r="JZ692" s="27" t="s">
        <v>7</v>
      </c>
      <c r="KA692" s="27" t="s">
        <v>8</v>
      </c>
      <c r="KD692" s="27" t="s">
        <v>7</v>
      </c>
      <c r="KE692" s="27" t="s">
        <v>8</v>
      </c>
      <c r="KF692" s="27" t="s">
        <v>7</v>
      </c>
      <c r="KG692" s="27" t="s">
        <v>8</v>
      </c>
      <c r="KH692" s="27" t="s">
        <v>7</v>
      </c>
      <c r="KI692" s="27" t="s">
        <v>8</v>
      </c>
      <c r="KJ692" s="27" t="s">
        <v>7</v>
      </c>
      <c r="KO692" s="27" t="s">
        <v>8</v>
      </c>
      <c r="KP692" s="27" t="s">
        <v>7</v>
      </c>
      <c r="KQ692" s="27" t="s">
        <v>8</v>
      </c>
      <c r="KR692" s="27" t="s">
        <v>7</v>
      </c>
    </row>
    <row r="693" spans="1:412" x14ac:dyDescent="0.25">
      <c r="A693" s="7">
        <v>0.1225693246698436</v>
      </c>
      <c r="B693"/>
      <c r="C693"/>
      <c r="D693"/>
      <c r="E693"/>
      <c r="F693" s="27" t="s">
        <v>7</v>
      </c>
      <c r="JO693" s="27" t="s">
        <v>8</v>
      </c>
      <c r="JP693" s="27" t="s">
        <v>7</v>
      </c>
      <c r="JY693" s="27" t="s">
        <v>8</v>
      </c>
      <c r="JZ693" s="27" t="s">
        <v>7</v>
      </c>
      <c r="KA693" s="27" t="s">
        <v>8</v>
      </c>
      <c r="KD693" s="27" t="s">
        <v>7</v>
      </c>
      <c r="KE693" s="27" t="s">
        <v>8</v>
      </c>
      <c r="KF693" s="27" t="s">
        <v>7</v>
      </c>
      <c r="KH693" s="27" t="s">
        <v>7</v>
      </c>
      <c r="KI693" s="27" t="s">
        <v>8</v>
      </c>
      <c r="KJ693" s="27" t="s">
        <v>7</v>
      </c>
      <c r="KK693" s="27" t="s">
        <v>8</v>
      </c>
      <c r="KO693" s="27" t="s">
        <v>8</v>
      </c>
      <c r="KP693" s="27" t="s">
        <v>7</v>
      </c>
      <c r="KQ693" s="27" t="s">
        <v>8</v>
      </c>
      <c r="KR693" s="27" t="s">
        <v>7</v>
      </c>
      <c r="KS693" s="27" t="s">
        <v>8</v>
      </c>
      <c r="MY693" s="27" t="s">
        <v>8</v>
      </c>
    </row>
    <row r="694" spans="1:412" x14ac:dyDescent="0.25">
      <c r="A694" s="7">
        <v>0.12016600457827803</v>
      </c>
      <c r="B694"/>
      <c r="C694"/>
      <c r="D694"/>
      <c r="E694"/>
      <c r="F694" s="27" t="s">
        <v>7</v>
      </c>
      <c r="JO694" s="27" t="s">
        <v>8</v>
      </c>
      <c r="JP694" s="27" t="s">
        <v>7</v>
      </c>
      <c r="JY694" s="27" t="s">
        <v>8</v>
      </c>
      <c r="JZ694" s="27" t="s">
        <v>7</v>
      </c>
      <c r="KA694" s="27" t="s">
        <v>8</v>
      </c>
      <c r="KD694" s="27" t="s">
        <v>7</v>
      </c>
      <c r="KE694" s="27" t="s">
        <v>8</v>
      </c>
      <c r="KH694" s="27" t="s">
        <v>7</v>
      </c>
      <c r="KI694" s="27" t="s">
        <v>8</v>
      </c>
      <c r="KJ694" s="27" t="s">
        <v>7</v>
      </c>
      <c r="KK694" s="27" t="s">
        <v>8</v>
      </c>
      <c r="KL694" s="27" t="s">
        <v>7</v>
      </c>
      <c r="KO694" s="27" t="s">
        <v>8</v>
      </c>
      <c r="KP694" s="27" t="s">
        <v>7</v>
      </c>
      <c r="KQ694" s="27" t="s">
        <v>8</v>
      </c>
      <c r="KR694" s="27" t="s">
        <v>7</v>
      </c>
      <c r="KS694" s="27" t="s">
        <v>8</v>
      </c>
      <c r="KT694" s="27" t="s">
        <v>7</v>
      </c>
      <c r="MY694" s="27" t="s">
        <v>8</v>
      </c>
      <c r="MZ694" s="27" t="s">
        <v>7</v>
      </c>
    </row>
    <row r="695" spans="1:412" x14ac:dyDescent="0.25">
      <c r="A695" s="7">
        <v>0.1178098084100765</v>
      </c>
      <c r="B695"/>
      <c r="C695"/>
      <c r="D695"/>
      <c r="E695"/>
      <c r="F695" s="27" t="s">
        <v>7</v>
      </c>
      <c r="JO695" s="27" t="s">
        <v>8</v>
      </c>
      <c r="JP695" s="27" t="s">
        <v>7</v>
      </c>
      <c r="JY695" s="27" t="s">
        <v>8</v>
      </c>
      <c r="JZ695" s="27" t="s">
        <v>7</v>
      </c>
      <c r="KA695" s="27" t="s">
        <v>8</v>
      </c>
      <c r="KD695" s="27" t="s">
        <v>7</v>
      </c>
      <c r="KE695" s="27" t="s">
        <v>8</v>
      </c>
      <c r="KH695" s="27" t="s">
        <v>7</v>
      </c>
      <c r="KI695" s="27" t="s">
        <v>8</v>
      </c>
      <c r="KJ695" s="27" t="s">
        <v>7</v>
      </c>
      <c r="KK695" s="27" t="s">
        <v>8</v>
      </c>
      <c r="KL695" s="27" t="s">
        <v>7</v>
      </c>
      <c r="KO695" s="27" t="s">
        <v>8</v>
      </c>
      <c r="KP695" s="27" t="s">
        <v>7</v>
      </c>
      <c r="KQ695" s="27" t="s">
        <v>8</v>
      </c>
      <c r="KR695" s="27" t="s">
        <v>7</v>
      </c>
      <c r="KS695" s="27" t="s">
        <v>8</v>
      </c>
      <c r="KT695" s="27" t="s">
        <v>7</v>
      </c>
      <c r="LM695" s="27" t="s">
        <v>8</v>
      </c>
      <c r="MY695" s="27" t="s">
        <v>8</v>
      </c>
      <c r="MZ695" s="27" t="s">
        <v>7</v>
      </c>
      <c r="NC695" s="27" t="s">
        <v>8</v>
      </c>
    </row>
    <row r="696" spans="1:412" x14ac:dyDescent="0.25">
      <c r="A696" s="7">
        <v>0.11549981216674166</v>
      </c>
      <c r="B696"/>
      <c r="C696"/>
      <c r="D696"/>
      <c r="E696"/>
      <c r="F696" s="27" t="s">
        <v>7</v>
      </c>
      <c r="JO696" s="27" t="s">
        <v>8</v>
      </c>
      <c r="JP696" s="27" t="s">
        <v>7</v>
      </c>
      <c r="JY696" s="27" t="s">
        <v>8</v>
      </c>
      <c r="JZ696" s="27" t="s">
        <v>7</v>
      </c>
      <c r="KA696" s="27" t="s">
        <v>8</v>
      </c>
      <c r="KD696" s="27" t="s">
        <v>7</v>
      </c>
      <c r="KE696" s="27" t="s">
        <v>8</v>
      </c>
      <c r="KH696" s="27" t="s">
        <v>7</v>
      </c>
      <c r="KI696" s="27" t="s">
        <v>8</v>
      </c>
      <c r="KJ696" s="27" t="s">
        <v>7</v>
      </c>
      <c r="KK696" s="27" t="s">
        <v>8</v>
      </c>
      <c r="KL696" s="27" t="s">
        <v>7</v>
      </c>
      <c r="KO696" s="27" t="s">
        <v>8</v>
      </c>
      <c r="KP696" s="27" t="s">
        <v>7</v>
      </c>
      <c r="KQ696" s="27" t="s">
        <v>8</v>
      </c>
      <c r="KR696" s="27" t="s">
        <v>7</v>
      </c>
      <c r="KS696" s="27" t="s">
        <v>8</v>
      </c>
      <c r="KT696" s="27" t="s">
        <v>7</v>
      </c>
      <c r="LM696" s="27" t="s">
        <v>8</v>
      </c>
      <c r="LN696" s="27" t="s">
        <v>7</v>
      </c>
      <c r="MQ696" s="27" t="s">
        <v>8</v>
      </c>
      <c r="MY696" s="27" t="s">
        <v>8</v>
      </c>
      <c r="MZ696" s="27" t="s">
        <v>7</v>
      </c>
      <c r="NC696" s="27" t="s">
        <v>8</v>
      </c>
      <c r="ND696" s="27" t="s">
        <v>7</v>
      </c>
      <c r="NI696" s="27" t="s">
        <v>8</v>
      </c>
      <c r="OU696" s="27" t="s">
        <v>8</v>
      </c>
    </row>
    <row r="697" spans="1:412" x14ac:dyDescent="0.25">
      <c r="A697" s="7">
        <v>0.11323510996739378</v>
      </c>
      <c r="B697"/>
      <c r="C697"/>
      <c r="D697"/>
      <c r="E697"/>
      <c r="F697" s="27" t="s">
        <v>7</v>
      </c>
      <c r="JM697" s="27" t="s">
        <v>8</v>
      </c>
      <c r="JO697" s="27" t="s">
        <v>8</v>
      </c>
      <c r="JP697" s="27" t="s">
        <v>7</v>
      </c>
      <c r="JY697" s="27" t="s">
        <v>8</v>
      </c>
      <c r="JZ697" s="27" t="s">
        <v>7</v>
      </c>
      <c r="KA697" s="27" t="s">
        <v>8</v>
      </c>
      <c r="KD697" s="27" t="s">
        <v>7</v>
      </c>
      <c r="KE697" s="27" t="s">
        <v>8</v>
      </c>
      <c r="KH697" s="27" t="s">
        <v>7</v>
      </c>
      <c r="KI697" s="27" t="s">
        <v>8</v>
      </c>
      <c r="KJ697" s="27" t="s">
        <v>7</v>
      </c>
      <c r="KK697" s="27" t="s">
        <v>8</v>
      </c>
      <c r="KL697" s="27" t="s">
        <v>7</v>
      </c>
      <c r="KO697" s="27" t="s">
        <v>8</v>
      </c>
      <c r="KP697" s="27" t="s">
        <v>7</v>
      </c>
      <c r="KQ697" s="27" t="s">
        <v>8</v>
      </c>
      <c r="KR697" s="27" t="s">
        <v>7</v>
      </c>
      <c r="KS697" s="27" t="s">
        <v>8</v>
      </c>
      <c r="KT697" s="27" t="s">
        <v>7</v>
      </c>
      <c r="LM697" s="27" t="s">
        <v>8</v>
      </c>
      <c r="LN697" s="27" t="s">
        <v>7</v>
      </c>
      <c r="MQ697" s="27" t="s">
        <v>8</v>
      </c>
      <c r="MR697" s="27" t="s">
        <v>7</v>
      </c>
      <c r="MU697" s="27" t="s">
        <v>8</v>
      </c>
      <c r="MW697" s="27" t="s">
        <v>8</v>
      </c>
      <c r="MY697" s="27" t="s">
        <v>8</v>
      </c>
      <c r="MZ697" s="27" t="s">
        <v>7</v>
      </c>
      <c r="NA697" s="27" t="s">
        <v>8</v>
      </c>
      <c r="NC697" s="27" t="s">
        <v>8</v>
      </c>
      <c r="ND697" s="27" t="s">
        <v>7</v>
      </c>
      <c r="NI697" s="27" t="s">
        <v>8</v>
      </c>
      <c r="NJ697" s="27" t="s">
        <v>7</v>
      </c>
      <c r="OI697" s="27" t="s">
        <v>8</v>
      </c>
      <c r="OU697" s="27" t="s">
        <v>8</v>
      </c>
      <c r="OV697" s="27" t="s">
        <v>7</v>
      </c>
    </row>
    <row r="698" spans="1:412" x14ac:dyDescent="0.25">
      <c r="A698" s="7">
        <v>0.11101481369352331</v>
      </c>
      <c r="B698"/>
      <c r="C698"/>
      <c r="D698"/>
      <c r="E698"/>
      <c r="F698" s="27" t="s">
        <v>7</v>
      </c>
      <c r="JM698" s="27" t="s">
        <v>8</v>
      </c>
      <c r="JN698" s="27" t="s">
        <v>7</v>
      </c>
      <c r="JO698" s="27" t="s">
        <v>8</v>
      </c>
      <c r="JP698" s="27" t="s">
        <v>7</v>
      </c>
      <c r="JY698" s="27" t="s">
        <v>8</v>
      </c>
      <c r="JZ698" s="27" t="s">
        <v>7</v>
      </c>
      <c r="KA698" s="27" t="s">
        <v>8</v>
      </c>
      <c r="KD698" s="27" t="s">
        <v>7</v>
      </c>
      <c r="KH698" s="27" t="s">
        <v>7</v>
      </c>
      <c r="KI698" s="27" t="s">
        <v>8</v>
      </c>
      <c r="KJ698" s="27" t="s">
        <v>7</v>
      </c>
      <c r="KL698" s="27" t="s">
        <v>7</v>
      </c>
      <c r="KO698" s="27" t="s">
        <v>8</v>
      </c>
      <c r="KP698" s="27" t="s">
        <v>7</v>
      </c>
      <c r="KQ698" s="27" t="s">
        <v>8</v>
      </c>
      <c r="KR698" s="27" t="s">
        <v>7</v>
      </c>
      <c r="KS698" s="27" t="s">
        <v>8</v>
      </c>
      <c r="KT698" s="27" t="s">
        <v>7</v>
      </c>
      <c r="LM698" s="27" t="s">
        <v>8</v>
      </c>
      <c r="LN698" s="27" t="s">
        <v>7</v>
      </c>
      <c r="MQ698" s="27" t="s">
        <v>8</v>
      </c>
      <c r="MR698" s="27" t="s">
        <v>7</v>
      </c>
      <c r="MU698" s="27" t="s">
        <v>8</v>
      </c>
      <c r="MV698" s="27" t="s">
        <v>7</v>
      </c>
      <c r="MW698" s="27" t="s">
        <v>8</v>
      </c>
      <c r="MX698" s="27" t="s">
        <v>7</v>
      </c>
      <c r="MY698" s="27" t="s">
        <v>8</v>
      </c>
      <c r="MZ698" s="27" t="s">
        <v>7</v>
      </c>
      <c r="NA698" s="27" t="s">
        <v>8</v>
      </c>
      <c r="NB698" s="27" t="s">
        <v>7</v>
      </c>
      <c r="NC698" s="27" t="s">
        <v>8</v>
      </c>
      <c r="ND698" s="27" t="s">
        <v>7</v>
      </c>
      <c r="NE698" s="27" t="s">
        <v>8</v>
      </c>
      <c r="NI698" s="27" t="s">
        <v>8</v>
      </c>
      <c r="NJ698" s="27" t="s">
        <v>7</v>
      </c>
      <c r="OI698" s="27" t="s">
        <v>8</v>
      </c>
      <c r="OJ698" s="27" t="s">
        <v>7</v>
      </c>
      <c r="OU698" s="27" t="s">
        <v>8</v>
      </c>
      <c r="OV698" s="27" t="s">
        <v>7</v>
      </c>
    </row>
    <row r="699" spans="1:412" x14ac:dyDescent="0.25">
      <c r="A699" s="7">
        <v>0.10883805264070913</v>
      </c>
      <c r="B699"/>
      <c r="C699"/>
      <c r="D699"/>
      <c r="E699"/>
      <c r="F699" s="27" t="s">
        <v>7</v>
      </c>
      <c r="JM699" s="27" t="s">
        <v>8</v>
      </c>
      <c r="JN699" s="27" t="s">
        <v>7</v>
      </c>
      <c r="JO699" s="27" t="s">
        <v>8</v>
      </c>
      <c r="JP699" s="27" t="s">
        <v>7</v>
      </c>
      <c r="JQ699" s="27" t="s">
        <v>8</v>
      </c>
      <c r="JY699" s="27" t="s">
        <v>8</v>
      </c>
      <c r="JZ699" s="27" t="s">
        <v>7</v>
      </c>
      <c r="KA699" s="27" t="s">
        <v>8</v>
      </c>
      <c r="KH699" s="27" t="s">
        <v>7</v>
      </c>
      <c r="KL699" s="27" t="s">
        <v>7</v>
      </c>
      <c r="KO699" s="27" t="s">
        <v>8</v>
      </c>
      <c r="KP699" s="27" t="s">
        <v>7</v>
      </c>
      <c r="KQ699" s="27" t="s">
        <v>8</v>
      </c>
      <c r="KR699" s="27" t="s">
        <v>7</v>
      </c>
      <c r="KT699" s="27" t="s">
        <v>7</v>
      </c>
      <c r="KU699" s="27" t="s">
        <v>8</v>
      </c>
      <c r="LM699" s="27" t="s">
        <v>8</v>
      </c>
      <c r="LN699" s="27" t="s">
        <v>7</v>
      </c>
      <c r="MQ699" s="27" t="s">
        <v>8</v>
      </c>
      <c r="MR699" s="27" t="s">
        <v>7</v>
      </c>
      <c r="MU699" s="27" t="s">
        <v>8</v>
      </c>
      <c r="MV699" s="27" t="s">
        <v>7</v>
      </c>
      <c r="MW699" s="27" t="s">
        <v>8</v>
      </c>
      <c r="MX699" s="27" t="s">
        <v>7</v>
      </c>
      <c r="MY699" s="27" t="s">
        <v>8</v>
      </c>
      <c r="MZ699" s="27" t="s">
        <v>7</v>
      </c>
      <c r="NA699" s="27" t="s">
        <v>8</v>
      </c>
      <c r="NB699" s="27" t="s">
        <v>7</v>
      </c>
      <c r="NC699" s="27" t="s">
        <v>8</v>
      </c>
      <c r="ND699" s="27" t="s">
        <v>7</v>
      </c>
      <c r="NE699" s="27" t="s">
        <v>8</v>
      </c>
      <c r="NF699" s="27" t="s">
        <v>7</v>
      </c>
      <c r="NI699" s="27" t="s">
        <v>8</v>
      </c>
      <c r="NJ699" s="27" t="s">
        <v>7</v>
      </c>
      <c r="OI699" s="27" t="s">
        <v>8</v>
      </c>
      <c r="OJ699" s="27" t="s">
        <v>7</v>
      </c>
      <c r="OU699" s="27" t="s">
        <v>8</v>
      </c>
      <c r="OV699" s="27" t="s">
        <v>7</v>
      </c>
    </row>
    <row r="700" spans="1:412" x14ac:dyDescent="0.25">
      <c r="A700" s="7">
        <v>0.10670397317716582</v>
      </c>
      <c r="B700"/>
      <c r="C700"/>
      <c r="D700"/>
      <c r="E700"/>
      <c r="F700" s="27" t="s">
        <v>7</v>
      </c>
      <c r="JM700" s="27" t="s">
        <v>8</v>
      </c>
      <c r="JN700" s="27" t="s">
        <v>7</v>
      </c>
      <c r="JO700" s="27" t="s">
        <v>8</v>
      </c>
      <c r="JP700" s="27" t="s">
        <v>7</v>
      </c>
      <c r="JQ700" s="27" t="s">
        <v>8</v>
      </c>
      <c r="JR700" s="27" t="s">
        <v>7</v>
      </c>
      <c r="JY700" s="27" t="s">
        <v>8</v>
      </c>
      <c r="JZ700" s="27" t="s">
        <v>7</v>
      </c>
      <c r="KL700" s="27" t="s">
        <v>7</v>
      </c>
      <c r="KO700" s="27" t="s">
        <v>8</v>
      </c>
      <c r="KP700" s="27" t="s">
        <v>7</v>
      </c>
      <c r="KQ700" s="27" t="s">
        <v>8</v>
      </c>
      <c r="KT700" s="27" t="s">
        <v>7</v>
      </c>
      <c r="KU700" s="27" t="s">
        <v>8</v>
      </c>
      <c r="KV700" s="27" t="s">
        <v>7</v>
      </c>
      <c r="LM700" s="27" t="s">
        <v>8</v>
      </c>
      <c r="LN700" s="27" t="s">
        <v>7</v>
      </c>
      <c r="MQ700" s="27" t="s">
        <v>8</v>
      </c>
      <c r="MR700" s="27" t="s">
        <v>7</v>
      </c>
      <c r="MS700" s="27" t="s">
        <v>8</v>
      </c>
      <c r="MU700" s="27" t="s">
        <v>8</v>
      </c>
      <c r="MV700" s="27" t="s">
        <v>7</v>
      </c>
      <c r="MW700" s="27" t="s">
        <v>8</v>
      </c>
      <c r="MX700" s="27" t="s">
        <v>7</v>
      </c>
      <c r="MY700" s="27" t="s">
        <v>8</v>
      </c>
      <c r="MZ700" s="27" t="s">
        <v>7</v>
      </c>
      <c r="NA700" s="27" t="s">
        <v>8</v>
      </c>
      <c r="NB700" s="27" t="s">
        <v>7</v>
      </c>
      <c r="NC700" s="27" t="s">
        <v>8</v>
      </c>
      <c r="ND700" s="27" t="s">
        <v>7</v>
      </c>
      <c r="NE700" s="27" t="s">
        <v>8</v>
      </c>
      <c r="NF700" s="27" t="s">
        <v>7</v>
      </c>
      <c r="NG700" s="27" t="s">
        <v>8</v>
      </c>
      <c r="NI700" s="27" t="s">
        <v>8</v>
      </c>
      <c r="NJ700" s="27" t="s">
        <v>7</v>
      </c>
      <c r="OC700" s="27" t="s">
        <v>8</v>
      </c>
      <c r="OI700" s="27" t="s">
        <v>8</v>
      </c>
      <c r="OJ700" s="27" t="s">
        <v>7</v>
      </c>
      <c r="OU700" s="27" t="s">
        <v>8</v>
      </c>
      <c r="OV700" s="27" t="s">
        <v>7</v>
      </c>
    </row>
    <row r="701" spans="1:412" x14ac:dyDescent="0.25">
      <c r="A701" s="7">
        <v>0.1046117384089861</v>
      </c>
      <c r="B701"/>
      <c r="C701"/>
      <c r="D701"/>
      <c r="E701"/>
      <c r="F701" s="27" t="s">
        <v>7</v>
      </c>
      <c r="JM701" s="27" t="s">
        <v>8</v>
      </c>
      <c r="JN701" s="27" t="s">
        <v>7</v>
      </c>
      <c r="JO701" s="27" t="s">
        <v>8</v>
      </c>
      <c r="JP701" s="27" t="s">
        <v>7</v>
      </c>
      <c r="JQ701" s="27" t="s">
        <v>8</v>
      </c>
      <c r="JR701" s="27" t="s">
        <v>7</v>
      </c>
      <c r="JY701" s="27" t="s">
        <v>8</v>
      </c>
      <c r="KL701" s="27" t="s">
        <v>7</v>
      </c>
      <c r="KO701" s="27" t="s">
        <v>8</v>
      </c>
      <c r="KP701" s="27" t="s">
        <v>7</v>
      </c>
      <c r="KQ701" s="27" t="s">
        <v>8</v>
      </c>
      <c r="KT701" s="27" t="s">
        <v>7</v>
      </c>
      <c r="KU701" s="27" t="s">
        <v>8</v>
      </c>
      <c r="KV701" s="27" t="s">
        <v>7</v>
      </c>
      <c r="KW701" s="27" t="s">
        <v>8</v>
      </c>
      <c r="LM701" s="27" t="s">
        <v>8</v>
      </c>
      <c r="LN701" s="27" t="s">
        <v>7</v>
      </c>
      <c r="LU701" s="27" t="s">
        <v>8</v>
      </c>
      <c r="MQ701" s="27" t="s">
        <v>8</v>
      </c>
      <c r="MR701" s="27" t="s">
        <v>7</v>
      </c>
      <c r="MS701" s="27" t="s">
        <v>8</v>
      </c>
      <c r="MT701" s="27" t="s">
        <v>7</v>
      </c>
      <c r="MU701" s="27" t="s">
        <v>8</v>
      </c>
      <c r="MV701" s="27" t="s">
        <v>7</v>
      </c>
      <c r="MW701" s="27" t="s">
        <v>8</v>
      </c>
      <c r="MX701" s="27" t="s">
        <v>7</v>
      </c>
      <c r="MY701" s="27" t="s">
        <v>8</v>
      </c>
      <c r="MZ701" s="27" t="s">
        <v>7</v>
      </c>
      <c r="NA701" s="27" t="s">
        <v>8</v>
      </c>
      <c r="NB701" s="27" t="s">
        <v>7</v>
      </c>
      <c r="NC701" s="27" t="s">
        <v>8</v>
      </c>
      <c r="ND701" s="27" t="s">
        <v>7</v>
      </c>
      <c r="NE701" s="27" t="s">
        <v>8</v>
      </c>
      <c r="NF701" s="27" t="s">
        <v>7</v>
      </c>
      <c r="NG701" s="27" t="s">
        <v>8</v>
      </c>
      <c r="NH701" s="27" t="s">
        <v>7</v>
      </c>
      <c r="NI701" s="27" t="s">
        <v>8</v>
      </c>
      <c r="NJ701" s="27" t="s">
        <v>7</v>
      </c>
      <c r="OC701" s="27" t="s">
        <v>8</v>
      </c>
      <c r="OD701" s="27" t="s">
        <v>7</v>
      </c>
      <c r="OI701" s="27" t="s">
        <v>8</v>
      </c>
      <c r="OJ701" s="27" t="s">
        <v>7</v>
      </c>
      <c r="OU701" s="27" t="s">
        <v>8</v>
      </c>
      <c r="OV701" s="27" t="s">
        <v>7</v>
      </c>
    </row>
    <row r="702" spans="1:412" x14ac:dyDescent="0.25">
      <c r="A702" s="7">
        <v>0.10256052785194716</v>
      </c>
      <c r="B702"/>
      <c r="C702"/>
      <c r="D702"/>
      <c r="E702"/>
      <c r="F702" s="27" t="s">
        <v>7</v>
      </c>
      <c r="JM702" s="27" t="s">
        <v>8</v>
      </c>
      <c r="JN702" s="27" t="s">
        <v>7</v>
      </c>
      <c r="JO702" s="27" t="s">
        <v>8</v>
      </c>
      <c r="JP702" s="27" t="s">
        <v>7</v>
      </c>
      <c r="JQ702" s="27" t="s">
        <v>8</v>
      </c>
      <c r="JR702" s="27" t="s">
        <v>7</v>
      </c>
      <c r="JY702" s="27" t="s">
        <v>8</v>
      </c>
      <c r="KL702" s="27" t="s">
        <v>7</v>
      </c>
      <c r="KO702" s="27" t="s">
        <v>8</v>
      </c>
      <c r="KP702" s="27" t="s">
        <v>7</v>
      </c>
      <c r="KT702" s="27" t="s">
        <v>7</v>
      </c>
      <c r="KU702" s="27" t="s">
        <v>8</v>
      </c>
      <c r="KV702" s="27" t="s">
        <v>7</v>
      </c>
      <c r="KW702" s="27" t="s">
        <v>8</v>
      </c>
      <c r="KX702" s="27" t="s">
        <v>7</v>
      </c>
      <c r="LI702" s="27" t="s">
        <v>8</v>
      </c>
      <c r="LM702" s="27" t="s">
        <v>8</v>
      </c>
      <c r="LN702" s="27" t="s">
        <v>7</v>
      </c>
      <c r="LO702" s="27" t="s">
        <v>8</v>
      </c>
      <c r="LU702" s="27" t="s">
        <v>8</v>
      </c>
      <c r="LV702" s="27" t="s">
        <v>7</v>
      </c>
      <c r="MQ702" s="27" t="s">
        <v>8</v>
      </c>
      <c r="MR702" s="27" t="s">
        <v>7</v>
      </c>
      <c r="MS702" s="27" t="s">
        <v>8</v>
      </c>
      <c r="MT702" s="27" t="s">
        <v>7</v>
      </c>
      <c r="MU702" s="27" t="s">
        <v>8</v>
      </c>
      <c r="MV702" s="27" t="s">
        <v>7</v>
      </c>
      <c r="MW702" s="27" t="s">
        <v>8</v>
      </c>
      <c r="MX702" s="27" t="s">
        <v>7</v>
      </c>
      <c r="MY702" s="27" t="s">
        <v>8</v>
      </c>
      <c r="MZ702" s="27" t="s">
        <v>7</v>
      </c>
      <c r="NB702" s="27" t="s">
        <v>7</v>
      </c>
      <c r="NC702" s="27" t="s">
        <v>8</v>
      </c>
      <c r="ND702" s="27" t="s">
        <v>7</v>
      </c>
      <c r="NE702" s="27" t="s">
        <v>8</v>
      </c>
      <c r="NF702" s="27" t="s">
        <v>7</v>
      </c>
      <c r="NG702" s="27" t="s">
        <v>8</v>
      </c>
      <c r="NH702" s="27" t="s">
        <v>7</v>
      </c>
      <c r="NI702" s="27" t="s">
        <v>8</v>
      </c>
      <c r="NJ702" s="27" t="s">
        <v>7</v>
      </c>
      <c r="OC702" s="27" t="s">
        <v>8</v>
      </c>
      <c r="OD702" s="27" t="s">
        <v>7</v>
      </c>
      <c r="OI702" s="27" t="s">
        <v>8</v>
      </c>
      <c r="OJ702" s="27" t="s">
        <v>7</v>
      </c>
      <c r="OU702" s="27" t="s">
        <v>8</v>
      </c>
      <c r="OV702" s="27" t="s">
        <v>7</v>
      </c>
    </row>
    <row r="703" spans="1:412" x14ac:dyDescent="0.25">
      <c r="A703" s="7">
        <v>0.10054953710975212</v>
      </c>
      <c r="B703"/>
      <c r="C703"/>
      <c r="D703"/>
      <c r="E703"/>
      <c r="F703" s="27" t="s">
        <v>7</v>
      </c>
      <c r="JM703" s="27" t="s">
        <v>8</v>
      </c>
      <c r="JN703" s="27" t="s">
        <v>7</v>
      </c>
      <c r="JO703" s="27" t="s">
        <v>8</v>
      </c>
      <c r="JP703" s="27" t="s">
        <v>7</v>
      </c>
      <c r="JQ703" s="27" t="s">
        <v>8</v>
      </c>
      <c r="JR703" s="27" t="s">
        <v>7</v>
      </c>
      <c r="JY703" s="27" t="s">
        <v>8</v>
      </c>
      <c r="KL703" s="27" t="s">
        <v>7</v>
      </c>
      <c r="KO703" s="27" t="s">
        <v>8</v>
      </c>
      <c r="KT703" s="27" t="s">
        <v>7</v>
      </c>
      <c r="KU703" s="27" t="s">
        <v>8</v>
      </c>
      <c r="KV703" s="27" t="s">
        <v>7</v>
      </c>
      <c r="KW703" s="27" t="s">
        <v>8</v>
      </c>
      <c r="KX703" s="27" t="s">
        <v>7</v>
      </c>
      <c r="LI703" s="27" t="s">
        <v>8</v>
      </c>
      <c r="LJ703" s="27" t="s">
        <v>7</v>
      </c>
      <c r="LK703" s="27" t="s">
        <v>8</v>
      </c>
      <c r="LM703" s="27" t="s">
        <v>8</v>
      </c>
      <c r="LN703" s="27" t="s">
        <v>7</v>
      </c>
      <c r="LO703" s="27" t="s">
        <v>8</v>
      </c>
      <c r="LP703" s="27" t="s">
        <v>7</v>
      </c>
      <c r="LU703" s="27" t="s">
        <v>8</v>
      </c>
      <c r="LV703" s="27" t="s">
        <v>7</v>
      </c>
      <c r="MQ703" s="27" t="s">
        <v>8</v>
      </c>
      <c r="MR703" s="27" t="s">
        <v>7</v>
      </c>
      <c r="MT703" s="27" t="s">
        <v>7</v>
      </c>
      <c r="MV703" s="27" t="s">
        <v>7</v>
      </c>
      <c r="MW703" s="27" t="s">
        <v>8</v>
      </c>
      <c r="MX703" s="27" t="s">
        <v>7</v>
      </c>
      <c r="MY703" s="27" t="s">
        <v>8</v>
      </c>
      <c r="NB703" s="27" t="s">
        <v>7</v>
      </c>
      <c r="NC703" s="27" t="s">
        <v>8</v>
      </c>
      <c r="ND703" s="27" t="s">
        <v>7</v>
      </c>
      <c r="NE703" s="27" t="s">
        <v>8</v>
      </c>
      <c r="NF703" s="27" t="s">
        <v>7</v>
      </c>
      <c r="NG703" s="27" t="s">
        <v>8</v>
      </c>
      <c r="NH703" s="27" t="s">
        <v>7</v>
      </c>
      <c r="NI703" s="27" t="s">
        <v>8</v>
      </c>
      <c r="NJ703" s="27" t="s">
        <v>7</v>
      </c>
      <c r="OC703" s="27" t="s">
        <v>8</v>
      </c>
      <c r="OD703" s="27" t="s">
        <v>7</v>
      </c>
      <c r="OI703" s="27" t="s">
        <v>8</v>
      </c>
      <c r="OJ703" s="27" t="s">
        <v>7</v>
      </c>
      <c r="OM703" s="27" t="s">
        <v>8</v>
      </c>
      <c r="OU703" s="27" t="s">
        <v>8</v>
      </c>
      <c r="OV703" s="27" t="s">
        <v>7</v>
      </c>
    </row>
    <row r="704" spans="1:412" x14ac:dyDescent="0.25">
      <c r="A704" s="7">
        <v>9.8577977558580512E-2</v>
      </c>
      <c r="B704"/>
      <c r="C704"/>
      <c r="D704"/>
      <c r="E704"/>
      <c r="F704" s="27" t="s">
        <v>7</v>
      </c>
      <c r="JM704" s="27" t="s">
        <v>8</v>
      </c>
      <c r="JN704" s="27" t="s">
        <v>7</v>
      </c>
      <c r="JO704" s="27" t="s">
        <v>8</v>
      </c>
      <c r="JP704" s="27" t="s">
        <v>7</v>
      </c>
      <c r="JR704" s="27" t="s">
        <v>7</v>
      </c>
      <c r="JY704" s="27" t="s">
        <v>8</v>
      </c>
      <c r="KL704" s="27" t="s">
        <v>7</v>
      </c>
      <c r="KO704" s="27" t="s">
        <v>8</v>
      </c>
      <c r="KT704" s="27" t="s">
        <v>7</v>
      </c>
      <c r="KU704" s="27" t="s">
        <v>8</v>
      </c>
      <c r="KV704" s="27" t="s">
        <v>7</v>
      </c>
      <c r="KW704" s="27" t="s">
        <v>8</v>
      </c>
      <c r="KX704" s="27" t="s">
        <v>7</v>
      </c>
      <c r="LI704" s="27" t="s">
        <v>8</v>
      </c>
      <c r="LJ704" s="27" t="s">
        <v>7</v>
      </c>
      <c r="LK704" s="27" t="s">
        <v>8</v>
      </c>
      <c r="LL704" s="27" t="s">
        <v>7</v>
      </c>
      <c r="LM704" s="27" t="s">
        <v>8</v>
      </c>
      <c r="LN704" s="27" t="s">
        <v>7</v>
      </c>
      <c r="LO704" s="27" t="s">
        <v>8</v>
      </c>
      <c r="LP704" s="27" t="s">
        <v>7</v>
      </c>
      <c r="LU704" s="27" t="s">
        <v>8</v>
      </c>
      <c r="LV704" s="27" t="s">
        <v>7</v>
      </c>
      <c r="MQ704" s="27" t="s">
        <v>8</v>
      </c>
      <c r="MV704" s="27" t="s">
        <v>7</v>
      </c>
      <c r="MW704" s="27" t="s">
        <v>8</v>
      </c>
      <c r="MX704" s="27" t="s">
        <v>7</v>
      </c>
      <c r="MY704" s="27" t="s">
        <v>8</v>
      </c>
      <c r="NB704" s="27" t="s">
        <v>7</v>
      </c>
      <c r="NC704" s="27" t="s">
        <v>8</v>
      </c>
      <c r="ND704" s="27" t="s">
        <v>7</v>
      </c>
      <c r="NE704" s="27" t="s">
        <v>8</v>
      </c>
      <c r="NF704" s="27" t="s">
        <v>7</v>
      </c>
      <c r="NH704" s="27" t="s">
        <v>7</v>
      </c>
      <c r="NI704" s="27" t="s">
        <v>8</v>
      </c>
      <c r="NJ704" s="27" t="s">
        <v>7</v>
      </c>
      <c r="OC704" s="27" t="s">
        <v>8</v>
      </c>
      <c r="OD704" s="27" t="s">
        <v>7</v>
      </c>
      <c r="OG704" s="27" t="s">
        <v>8</v>
      </c>
      <c r="OI704" s="27" t="s">
        <v>8</v>
      </c>
      <c r="OJ704" s="27" t="s">
        <v>7</v>
      </c>
      <c r="OM704" s="27" t="s">
        <v>8</v>
      </c>
      <c r="ON704" s="27" t="s">
        <v>7</v>
      </c>
      <c r="OU704" s="27" t="s">
        <v>8</v>
      </c>
      <c r="OV704" s="27" t="s">
        <v>7</v>
      </c>
    </row>
    <row r="705" spans="1:427" x14ac:dyDescent="0.25">
      <c r="A705" s="7">
        <v>9.6645076037824032E-2</v>
      </c>
      <c r="B705"/>
      <c r="C705"/>
      <c r="D705"/>
      <c r="E705"/>
      <c r="F705" s="27" t="s">
        <v>7</v>
      </c>
      <c r="JM705" s="27" t="s">
        <v>8</v>
      </c>
      <c r="JN705" s="27" t="s">
        <v>7</v>
      </c>
      <c r="JO705" s="27" t="s">
        <v>8</v>
      </c>
      <c r="JR705" s="27" t="s">
        <v>7</v>
      </c>
      <c r="JS705" s="27" t="s">
        <v>8</v>
      </c>
      <c r="JW705" s="27" t="s">
        <v>8</v>
      </c>
      <c r="JY705" s="27" t="s">
        <v>8</v>
      </c>
      <c r="KL705" s="27" t="s">
        <v>7</v>
      </c>
      <c r="KM705" s="27" t="s">
        <v>8</v>
      </c>
      <c r="KO705" s="27" t="s">
        <v>8</v>
      </c>
      <c r="KT705" s="27" t="s">
        <v>7</v>
      </c>
      <c r="KU705" s="27" t="s">
        <v>8</v>
      </c>
      <c r="KV705" s="27" t="s">
        <v>7</v>
      </c>
      <c r="KW705" s="27" t="s">
        <v>8</v>
      </c>
      <c r="KX705" s="27" t="s">
        <v>7</v>
      </c>
      <c r="LI705" s="27" t="s">
        <v>8</v>
      </c>
      <c r="LJ705" s="27" t="s">
        <v>7</v>
      </c>
      <c r="LK705" s="27" t="s">
        <v>8</v>
      </c>
      <c r="LL705" s="27" t="s">
        <v>7</v>
      </c>
      <c r="LM705" s="27" t="s">
        <v>8</v>
      </c>
      <c r="LN705" s="27" t="s">
        <v>7</v>
      </c>
      <c r="LO705" s="27" t="s">
        <v>8</v>
      </c>
      <c r="LP705" s="27" t="s">
        <v>7</v>
      </c>
      <c r="LS705" s="27" t="s">
        <v>8</v>
      </c>
      <c r="LU705" s="27" t="s">
        <v>8</v>
      </c>
      <c r="LV705" s="27" t="s">
        <v>7</v>
      </c>
      <c r="MK705" s="27" t="s">
        <v>8</v>
      </c>
      <c r="MQ705" s="27" t="s">
        <v>8</v>
      </c>
      <c r="MV705" s="27" t="s">
        <v>7</v>
      </c>
      <c r="MW705" s="27" t="s">
        <v>8</v>
      </c>
      <c r="MX705" s="27" t="s">
        <v>7</v>
      </c>
      <c r="NB705" s="27" t="s">
        <v>7</v>
      </c>
      <c r="NC705" s="27" t="s">
        <v>8</v>
      </c>
      <c r="ND705" s="27" t="s">
        <v>7</v>
      </c>
      <c r="NE705" s="27" t="s">
        <v>8</v>
      </c>
      <c r="NH705" s="27" t="s">
        <v>7</v>
      </c>
      <c r="NJ705" s="27" t="s">
        <v>7</v>
      </c>
      <c r="NU705" s="27" t="s">
        <v>8</v>
      </c>
      <c r="OC705" s="27" t="s">
        <v>8</v>
      </c>
      <c r="OD705" s="27" t="s">
        <v>7</v>
      </c>
      <c r="OG705" s="27" t="s">
        <v>8</v>
      </c>
      <c r="OH705" s="27" t="s">
        <v>7</v>
      </c>
      <c r="OI705" s="27" t="s">
        <v>8</v>
      </c>
      <c r="OJ705" s="27" t="s">
        <v>7</v>
      </c>
      <c r="OM705" s="27" t="s">
        <v>8</v>
      </c>
      <c r="ON705" s="27" t="s">
        <v>7</v>
      </c>
      <c r="OO705" s="27" t="s">
        <v>8</v>
      </c>
      <c r="OQ705" s="27" t="s">
        <v>8</v>
      </c>
      <c r="OU705" s="27" t="s">
        <v>8</v>
      </c>
      <c r="OV705" s="27" t="s">
        <v>7</v>
      </c>
    </row>
    <row r="706" spans="1:427" x14ac:dyDescent="0.25">
      <c r="A706" s="7">
        <v>9.4750074546886304E-2</v>
      </c>
      <c r="B706"/>
      <c r="C706"/>
      <c r="D706"/>
      <c r="E706"/>
      <c r="F706" s="27" t="s">
        <v>7</v>
      </c>
      <c r="JM706" s="27" t="s">
        <v>8</v>
      </c>
      <c r="JN706" s="27" t="s">
        <v>7</v>
      </c>
      <c r="JO706" s="27" t="s">
        <v>8</v>
      </c>
      <c r="JR706" s="27" t="s">
        <v>7</v>
      </c>
      <c r="JS706" s="27" t="s">
        <v>8</v>
      </c>
      <c r="JT706" s="27" t="s">
        <v>7</v>
      </c>
      <c r="JW706" s="27" t="s">
        <v>8</v>
      </c>
      <c r="JX706" s="27" t="s">
        <v>7</v>
      </c>
      <c r="JY706" s="27" t="s">
        <v>8</v>
      </c>
      <c r="KL706" s="27" t="s">
        <v>7</v>
      </c>
      <c r="KM706" s="27" t="s">
        <v>8</v>
      </c>
      <c r="KN706" s="27" t="s">
        <v>7</v>
      </c>
      <c r="KO706" s="27" t="s">
        <v>8</v>
      </c>
      <c r="KT706" s="27" t="s">
        <v>7</v>
      </c>
      <c r="KU706" s="27" t="s">
        <v>8</v>
      </c>
      <c r="KV706" s="27" t="s">
        <v>7</v>
      </c>
      <c r="KW706" s="27" t="s">
        <v>8</v>
      </c>
      <c r="KX706" s="27" t="s">
        <v>7</v>
      </c>
      <c r="LI706" s="27" t="s">
        <v>8</v>
      </c>
      <c r="LJ706" s="27" t="s">
        <v>7</v>
      </c>
      <c r="LK706" s="27" t="s">
        <v>8</v>
      </c>
      <c r="LL706" s="27" t="s">
        <v>7</v>
      </c>
      <c r="LM706" s="27" t="s">
        <v>8</v>
      </c>
      <c r="LN706" s="27" t="s">
        <v>7</v>
      </c>
      <c r="LO706" s="27" t="s">
        <v>8</v>
      </c>
      <c r="LP706" s="27" t="s">
        <v>7</v>
      </c>
      <c r="LS706" s="27" t="s">
        <v>8</v>
      </c>
      <c r="LT706" s="27" t="s">
        <v>7</v>
      </c>
      <c r="LU706" s="27" t="s">
        <v>8</v>
      </c>
      <c r="LV706" s="27" t="s">
        <v>7</v>
      </c>
      <c r="MK706" s="27" t="s">
        <v>8</v>
      </c>
      <c r="ML706" s="27" t="s">
        <v>7</v>
      </c>
      <c r="MQ706" s="27" t="s">
        <v>8</v>
      </c>
      <c r="MV706" s="27" t="s">
        <v>7</v>
      </c>
      <c r="MW706" s="27" t="s">
        <v>8</v>
      </c>
      <c r="NB706" s="27" t="s">
        <v>7</v>
      </c>
      <c r="NC706" s="27" t="s">
        <v>8</v>
      </c>
      <c r="ND706" s="27" t="s">
        <v>7</v>
      </c>
      <c r="NJ706" s="27" t="s">
        <v>7</v>
      </c>
      <c r="NU706" s="27" t="s">
        <v>8</v>
      </c>
      <c r="NV706" s="27" t="s">
        <v>7</v>
      </c>
      <c r="OC706" s="27" t="s">
        <v>8</v>
      </c>
      <c r="OD706" s="27" t="s">
        <v>7</v>
      </c>
      <c r="OE706" s="27" t="s">
        <v>8</v>
      </c>
      <c r="OG706" s="27" t="s">
        <v>8</v>
      </c>
      <c r="OH706" s="27" t="s">
        <v>7</v>
      </c>
      <c r="OI706" s="27" t="s">
        <v>8</v>
      </c>
      <c r="OJ706" s="27" t="s">
        <v>7</v>
      </c>
      <c r="OM706" s="27" t="s">
        <v>8</v>
      </c>
      <c r="ON706" s="27" t="s">
        <v>7</v>
      </c>
      <c r="OO706" s="27" t="s">
        <v>8</v>
      </c>
      <c r="OP706" s="27" t="s">
        <v>7</v>
      </c>
      <c r="OQ706" s="27" t="s">
        <v>8</v>
      </c>
      <c r="OR706" s="27" t="s">
        <v>7</v>
      </c>
      <c r="OS706" s="27" t="s">
        <v>8</v>
      </c>
      <c r="OU706" s="27" t="s">
        <v>8</v>
      </c>
      <c r="OV706" s="27" t="s">
        <v>7</v>
      </c>
    </row>
    <row r="707" spans="1:427" x14ac:dyDescent="0.25">
      <c r="A707" s="7">
        <v>9.2892229947927743E-2</v>
      </c>
      <c r="B707"/>
      <c r="C707"/>
      <c r="D707"/>
      <c r="E707"/>
      <c r="F707" s="27" t="s">
        <v>7</v>
      </c>
      <c r="JM707" s="27" t="s">
        <v>8</v>
      </c>
      <c r="JN707" s="27" t="s">
        <v>7</v>
      </c>
      <c r="JO707" s="27" t="s">
        <v>8</v>
      </c>
      <c r="JR707" s="27" t="s">
        <v>7</v>
      </c>
      <c r="JS707" s="27" t="s">
        <v>8</v>
      </c>
      <c r="JT707" s="27" t="s">
        <v>7</v>
      </c>
      <c r="JU707" s="27" t="s">
        <v>8</v>
      </c>
      <c r="JW707" s="27" t="s">
        <v>8</v>
      </c>
      <c r="JX707" s="27" t="s">
        <v>7</v>
      </c>
      <c r="JY707" s="27" t="s">
        <v>8</v>
      </c>
      <c r="KL707" s="27" t="s">
        <v>7</v>
      </c>
      <c r="KM707" s="27" t="s">
        <v>8</v>
      </c>
      <c r="KN707" s="27" t="s">
        <v>7</v>
      </c>
      <c r="KO707" s="27" t="s">
        <v>8</v>
      </c>
      <c r="KT707" s="27" t="s">
        <v>7</v>
      </c>
      <c r="KV707" s="27" t="s">
        <v>7</v>
      </c>
      <c r="KW707" s="27" t="s">
        <v>8</v>
      </c>
      <c r="KX707" s="27" t="s">
        <v>7</v>
      </c>
      <c r="LI707" s="27" t="s">
        <v>8</v>
      </c>
      <c r="LJ707" s="27" t="s">
        <v>7</v>
      </c>
      <c r="LK707" s="27" t="s">
        <v>8</v>
      </c>
      <c r="LL707" s="27" t="s">
        <v>7</v>
      </c>
      <c r="LM707" s="27" t="s">
        <v>8</v>
      </c>
      <c r="LN707" s="27" t="s">
        <v>7</v>
      </c>
      <c r="LP707" s="27" t="s">
        <v>7</v>
      </c>
      <c r="LS707" s="27" t="s">
        <v>8</v>
      </c>
      <c r="LT707" s="27" t="s">
        <v>7</v>
      </c>
      <c r="LU707" s="27" t="s">
        <v>8</v>
      </c>
      <c r="LV707" s="27" t="s">
        <v>7</v>
      </c>
      <c r="MK707" s="27" t="s">
        <v>8</v>
      </c>
      <c r="ML707" s="27" t="s">
        <v>7</v>
      </c>
      <c r="MM707" s="27" t="s">
        <v>8</v>
      </c>
      <c r="MO707" s="27" t="s">
        <v>8</v>
      </c>
      <c r="MQ707" s="27" t="s">
        <v>8</v>
      </c>
      <c r="MV707" s="27" t="s">
        <v>7</v>
      </c>
      <c r="MW707" s="27" t="s">
        <v>8</v>
      </c>
      <c r="NB707" s="27" t="s">
        <v>7</v>
      </c>
      <c r="NC707" s="27" t="s">
        <v>8</v>
      </c>
      <c r="NJ707" s="27" t="s">
        <v>7</v>
      </c>
      <c r="NU707" s="27" t="s">
        <v>8</v>
      </c>
      <c r="NV707" s="27" t="s">
        <v>7</v>
      </c>
      <c r="OC707" s="27" t="s">
        <v>8</v>
      </c>
      <c r="OD707" s="27" t="s">
        <v>7</v>
      </c>
      <c r="OE707" s="27" t="s">
        <v>8</v>
      </c>
      <c r="OF707" s="27" t="s">
        <v>7</v>
      </c>
      <c r="OG707" s="27" t="s">
        <v>8</v>
      </c>
      <c r="OH707" s="27" t="s">
        <v>7</v>
      </c>
      <c r="OI707" s="27" t="s">
        <v>8</v>
      </c>
      <c r="OJ707" s="27" t="s">
        <v>7</v>
      </c>
      <c r="OK707" s="27" t="s">
        <v>8</v>
      </c>
      <c r="OM707" s="27" t="s">
        <v>8</v>
      </c>
      <c r="ON707" s="27" t="s">
        <v>7</v>
      </c>
      <c r="OO707" s="27" t="s">
        <v>8</v>
      </c>
      <c r="OP707" s="27" t="s">
        <v>7</v>
      </c>
      <c r="OQ707" s="27" t="s">
        <v>8</v>
      </c>
      <c r="OR707" s="27" t="s">
        <v>7</v>
      </c>
      <c r="OS707" s="27" t="s">
        <v>8</v>
      </c>
      <c r="OT707" s="27" t="s">
        <v>7</v>
      </c>
      <c r="OU707" s="27" t="s">
        <v>8</v>
      </c>
      <c r="OV707" s="27" t="s">
        <v>7</v>
      </c>
    </row>
    <row r="708" spans="1:427" x14ac:dyDescent="0.25">
      <c r="A708" s="7">
        <v>9.1070813674438963E-2</v>
      </c>
      <c r="B708"/>
      <c r="C708"/>
      <c r="D708"/>
      <c r="E708"/>
      <c r="F708" s="27" t="s">
        <v>7</v>
      </c>
      <c r="JM708" s="27" t="s">
        <v>8</v>
      </c>
      <c r="JN708" s="27" t="s">
        <v>7</v>
      </c>
      <c r="JO708" s="27" t="s">
        <v>8</v>
      </c>
      <c r="JR708" s="27" t="s">
        <v>7</v>
      </c>
      <c r="JS708" s="27" t="s">
        <v>8</v>
      </c>
      <c r="JT708" s="27" t="s">
        <v>7</v>
      </c>
      <c r="JU708" s="27" t="s">
        <v>8</v>
      </c>
      <c r="JV708" s="27" t="s">
        <v>7</v>
      </c>
      <c r="JW708" s="27" t="s">
        <v>8</v>
      </c>
      <c r="JX708" s="27" t="s">
        <v>7</v>
      </c>
      <c r="JY708" s="27" t="s">
        <v>8</v>
      </c>
      <c r="KL708" s="27" t="s">
        <v>7</v>
      </c>
      <c r="KM708" s="27" t="s">
        <v>8</v>
      </c>
      <c r="KN708" s="27" t="s">
        <v>7</v>
      </c>
      <c r="KO708" s="27" t="s">
        <v>8</v>
      </c>
      <c r="KV708" s="27" t="s">
        <v>7</v>
      </c>
      <c r="KW708" s="27" t="s">
        <v>8</v>
      </c>
      <c r="KX708" s="27" t="s">
        <v>7</v>
      </c>
      <c r="KY708" s="27" t="s">
        <v>8</v>
      </c>
      <c r="LI708" s="27" t="s">
        <v>8</v>
      </c>
      <c r="LJ708" s="27" t="s">
        <v>7</v>
      </c>
      <c r="LK708" s="27" t="s">
        <v>8</v>
      </c>
      <c r="LL708" s="27" t="s">
        <v>7</v>
      </c>
      <c r="LM708" s="27" t="s">
        <v>8</v>
      </c>
      <c r="LP708" s="27" t="s">
        <v>7</v>
      </c>
      <c r="LS708" s="27" t="s">
        <v>8</v>
      </c>
      <c r="LT708" s="27" t="s">
        <v>7</v>
      </c>
      <c r="LU708" s="27" t="s">
        <v>8</v>
      </c>
      <c r="LV708" s="27" t="s">
        <v>7</v>
      </c>
      <c r="MK708" s="27" t="s">
        <v>8</v>
      </c>
      <c r="ML708" s="27" t="s">
        <v>7</v>
      </c>
      <c r="MM708" s="27" t="s">
        <v>8</v>
      </c>
      <c r="MN708" s="27" t="s">
        <v>7</v>
      </c>
      <c r="MO708" s="27" t="s">
        <v>8</v>
      </c>
      <c r="MP708" s="27" t="s">
        <v>7</v>
      </c>
      <c r="MQ708" s="27" t="s">
        <v>8</v>
      </c>
      <c r="MV708" s="27" t="s">
        <v>7</v>
      </c>
      <c r="MW708" s="27" t="s">
        <v>8</v>
      </c>
      <c r="NB708" s="27" t="s">
        <v>7</v>
      </c>
      <c r="NC708" s="27" t="s">
        <v>8</v>
      </c>
      <c r="NJ708" s="27" t="s">
        <v>7</v>
      </c>
      <c r="NK708" s="27" t="s">
        <v>8</v>
      </c>
      <c r="NM708" s="27" t="s">
        <v>8</v>
      </c>
      <c r="NU708" s="27" t="s">
        <v>8</v>
      </c>
      <c r="NV708" s="27" t="s">
        <v>7</v>
      </c>
      <c r="NY708" s="27" t="s">
        <v>8</v>
      </c>
      <c r="OC708" s="27" t="s">
        <v>8</v>
      </c>
      <c r="OD708" s="27" t="s">
        <v>7</v>
      </c>
      <c r="OE708" s="27" t="s">
        <v>8</v>
      </c>
      <c r="OF708" s="27" t="s">
        <v>7</v>
      </c>
      <c r="OG708" s="27" t="s">
        <v>8</v>
      </c>
      <c r="OH708" s="27" t="s">
        <v>7</v>
      </c>
      <c r="OI708" s="27" t="s">
        <v>8</v>
      </c>
      <c r="OJ708" s="27" t="s">
        <v>7</v>
      </c>
      <c r="OK708" s="27" t="s">
        <v>8</v>
      </c>
      <c r="OL708" s="27" t="s">
        <v>7</v>
      </c>
      <c r="OM708" s="27" t="s">
        <v>8</v>
      </c>
      <c r="ON708" s="27" t="s">
        <v>7</v>
      </c>
      <c r="OO708" s="27" t="s">
        <v>8</v>
      </c>
      <c r="OP708" s="27" t="s">
        <v>7</v>
      </c>
      <c r="OQ708" s="27" t="s">
        <v>8</v>
      </c>
      <c r="OR708" s="27" t="s">
        <v>7</v>
      </c>
      <c r="OS708" s="27" t="s">
        <v>8</v>
      </c>
      <c r="OT708" s="27" t="s">
        <v>7</v>
      </c>
      <c r="OU708" s="27" t="s">
        <v>8</v>
      </c>
      <c r="OV708" s="27" t="s">
        <v>7</v>
      </c>
    </row>
    <row r="709" spans="1:427" x14ac:dyDescent="0.25">
      <c r="A709" s="7">
        <v>8.9285111445528392E-2</v>
      </c>
      <c r="B709"/>
      <c r="C709"/>
      <c r="D709"/>
      <c r="E709"/>
      <c r="F709" s="27" t="s">
        <v>7</v>
      </c>
      <c r="JM709" s="27" t="s">
        <v>8</v>
      </c>
      <c r="JN709" s="27" t="s">
        <v>7</v>
      </c>
      <c r="JO709" s="27" t="s">
        <v>8</v>
      </c>
      <c r="JR709" s="27" t="s">
        <v>7</v>
      </c>
      <c r="JS709" s="27" t="s">
        <v>8</v>
      </c>
      <c r="JT709" s="27" t="s">
        <v>7</v>
      </c>
      <c r="JU709" s="27" t="s">
        <v>8</v>
      </c>
      <c r="JV709" s="27" t="s">
        <v>7</v>
      </c>
      <c r="JW709" s="27" t="s">
        <v>8</v>
      </c>
      <c r="JX709" s="27" t="s">
        <v>7</v>
      </c>
      <c r="JY709" s="27" t="s">
        <v>8</v>
      </c>
      <c r="KL709" s="27" t="s">
        <v>7</v>
      </c>
      <c r="KM709" s="27" t="s">
        <v>8</v>
      </c>
      <c r="KN709" s="27" t="s">
        <v>7</v>
      </c>
      <c r="KO709" s="27" t="s">
        <v>8</v>
      </c>
      <c r="KV709" s="27" t="s">
        <v>7</v>
      </c>
      <c r="KW709" s="27" t="s">
        <v>8</v>
      </c>
      <c r="KX709" s="27" t="s">
        <v>7</v>
      </c>
      <c r="KY709" s="27" t="s">
        <v>8</v>
      </c>
      <c r="KZ709" s="27" t="s">
        <v>7</v>
      </c>
      <c r="LI709" s="27" t="s">
        <v>8</v>
      </c>
      <c r="LJ709" s="27" t="s">
        <v>7</v>
      </c>
      <c r="LK709" s="27" t="s">
        <v>8</v>
      </c>
      <c r="LL709" s="27" t="s">
        <v>7</v>
      </c>
      <c r="LM709" s="27" t="s">
        <v>8</v>
      </c>
      <c r="LP709" s="27" t="s">
        <v>7</v>
      </c>
      <c r="LS709" s="27" t="s">
        <v>8</v>
      </c>
      <c r="LT709" s="27" t="s">
        <v>7</v>
      </c>
      <c r="LU709" s="27" t="s">
        <v>8</v>
      </c>
      <c r="LV709" s="27" t="s">
        <v>7</v>
      </c>
      <c r="MK709" s="27" t="s">
        <v>8</v>
      </c>
      <c r="ML709" s="27" t="s">
        <v>7</v>
      </c>
      <c r="MM709" s="27" t="s">
        <v>8</v>
      </c>
      <c r="MN709" s="27" t="s">
        <v>7</v>
      </c>
      <c r="MO709" s="27" t="s">
        <v>8</v>
      </c>
      <c r="MP709" s="27" t="s">
        <v>7</v>
      </c>
      <c r="MQ709" s="27" t="s">
        <v>8</v>
      </c>
      <c r="MV709" s="27" t="s">
        <v>7</v>
      </c>
      <c r="NB709" s="27" t="s">
        <v>7</v>
      </c>
      <c r="NC709" s="27" t="s">
        <v>8</v>
      </c>
      <c r="NJ709" s="27" t="s">
        <v>7</v>
      </c>
      <c r="NK709" s="27" t="s">
        <v>8</v>
      </c>
      <c r="NL709" s="27" t="s">
        <v>7</v>
      </c>
      <c r="NM709" s="27" t="s">
        <v>8</v>
      </c>
      <c r="NN709" s="27" t="s">
        <v>7</v>
      </c>
      <c r="NQ709" s="27" t="s">
        <v>8</v>
      </c>
      <c r="NU709" s="27" t="s">
        <v>8</v>
      </c>
      <c r="NV709" s="27" t="s">
        <v>7</v>
      </c>
      <c r="NY709" s="27" t="s">
        <v>8</v>
      </c>
      <c r="NZ709" s="27" t="s">
        <v>7</v>
      </c>
      <c r="OC709" s="27" t="s">
        <v>8</v>
      </c>
      <c r="OD709" s="27" t="s">
        <v>7</v>
      </c>
      <c r="OE709" s="27" t="s">
        <v>8</v>
      </c>
      <c r="OF709" s="27" t="s">
        <v>7</v>
      </c>
      <c r="OG709" s="27" t="s">
        <v>8</v>
      </c>
      <c r="OH709" s="27" t="s">
        <v>7</v>
      </c>
      <c r="OI709" s="27" t="s">
        <v>8</v>
      </c>
      <c r="OJ709" s="27" t="s">
        <v>7</v>
      </c>
      <c r="OK709" s="27" t="s">
        <v>8</v>
      </c>
      <c r="OL709" s="27" t="s">
        <v>7</v>
      </c>
      <c r="OM709" s="27" t="s">
        <v>8</v>
      </c>
      <c r="ON709" s="27" t="s">
        <v>7</v>
      </c>
      <c r="OO709" s="27" t="s">
        <v>8</v>
      </c>
      <c r="OP709" s="27" t="s">
        <v>7</v>
      </c>
      <c r="OQ709" s="27" t="s">
        <v>8</v>
      </c>
      <c r="OR709" s="27" t="s">
        <v>7</v>
      </c>
      <c r="OS709" s="27" t="s">
        <v>8</v>
      </c>
      <c r="OT709" s="27" t="s">
        <v>7</v>
      </c>
      <c r="OU709" s="27" t="s">
        <v>8</v>
      </c>
      <c r="OV709" s="27" t="s">
        <v>7</v>
      </c>
    </row>
    <row r="710" spans="1:427" x14ac:dyDescent="0.25">
      <c r="A710" s="7">
        <v>8.7534422985812155E-2</v>
      </c>
      <c r="B710"/>
      <c r="C710"/>
      <c r="D710"/>
      <c r="E710"/>
      <c r="F710" s="27" t="s">
        <v>7</v>
      </c>
      <c r="JM710" s="27" t="s">
        <v>8</v>
      </c>
      <c r="JN710" s="27" t="s">
        <v>7</v>
      </c>
      <c r="JO710" s="27" t="s">
        <v>8</v>
      </c>
      <c r="JR710" s="27" t="s">
        <v>7</v>
      </c>
      <c r="JT710" s="27" t="s">
        <v>7</v>
      </c>
      <c r="JU710" s="27" t="s">
        <v>8</v>
      </c>
      <c r="JV710" s="27" t="s">
        <v>7</v>
      </c>
      <c r="JW710" s="27" t="s">
        <v>8</v>
      </c>
      <c r="JX710" s="27" t="s">
        <v>7</v>
      </c>
      <c r="JY710" s="27" t="s">
        <v>8</v>
      </c>
      <c r="KL710" s="27" t="s">
        <v>7</v>
      </c>
      <c r="KM710" s="27" t="s">
        <v>8</v>
      </c>
      <c r="KN710" s="27" t="s">
        <v>7</v>
      </c>
      <c r="KO710" s="27" t="s">
        <v>8</v>
      </c>
      <c r="KV710" s="27" t="s">
        <v>7</v>
      </c>
      <c r="KW710" s="27" t="s">
        <v>8</v>
      </c>
      <c r="KX710" s="27" t="s">
        <v>7</v>
      </c>
      <c r="KY710" s="27" t="s">
        <v>8</v>
      </c>
      <c r="KZ710" s="27" t="s">
        <v>7</v>
      </c>
      <c r="LI710" s="27" t="s">
        <v>8</v>
      </c>
      <c r="LJ710" s="27" t="s">
        <v>7</v>
      </c>
      <c r="LK710" s="27" t="s">
        <v>8</v>
      </c>
      <c r="LL710" s="27" t="s">
        <v>7</v>
      </c>
      <c r="LM710" s="27" t="s">
        <v>8</v>
      </c>
      <c r="LP710" s="27" t="s">
        <v>7</v>
      </c>
      <c r="LS710" s="27" t="s">
        <v>8</v>
      </c>
      <c r="LT710" s="27" t="s">
        <v>7</v>
      </c>
      <c r="LU710" s="27" t="s">
        <v>8</v>
      </c>
      <c r="LV710" s="27" t="s">
        <v>7</v>
      </c>
      <c r="MK710" s="27" t="s">
        <v>8</v>
      </c>
      <c r="ML710" s="27" t="s">
        <v>7</v>
      </c>
      <c r="MM710" s="27" t="s">
        <v>8</v>
      </c>
      <c r="MN710" s="27" t="s">
        <v>7</v>
      </c>
      <c r="MO710" s="27" t="s">
        <v>8</v>
      </c>
      <c r="MP710" s="27" t="s">
        <v>7</v>
      </c>
      <c r="MQ710" s="27" t="s">
        <v>8</v>
      </c>
      <c r="NB710" s="27" t="s">
        <v>7</v>
      </c>
      <c r="NC710" s="27" t="s">
        <v>8</v>
      </c>
      <c r="NJ710" s="27" t="s">
        <v>7</v>
      </c>
      <c r="NK710" s="27" t="s">
        <v>8</v>
      </c>
      <c r="NL710" s="27" t="s">
        <v>7</v>
      </c>
      <c r="NM710" s="27" t="s">
        <v>8</v>
      </c>
      <c r="NN710" s="27" t="s">
        <v>7</v>
      </c>
      <c r="NQ710" s="27" t="s">
        <v>8</v>
      </c>
      <c r="NR710" s="27" t="s">
        <v>7</v>
      </c>
      <c r="NS710" s="27" t="s">
        <v>8</v>
      </c>
      <c r="NU710" s="27" t="s">
        <v>8</v>
      </c>
      <c r="NV710" s="27" t="s">
        <v>7</v>
      </c>
      <c r="NW710" s="27" t="s">
        <v>8</v>
      </c>
      <c r="NY710" s="27" t="s">
        <v>8</v>
      </c>
      <c r="NZ710" s="27" t="s">
        <v>7</v>
      </c>
      <c r="OC710" s="27" t="s">
        <v>8</v>
      </c>
      <c r="OD710" s="27" t="s">
        <v>7</v>
      </c>
      <c r="OE710" s="27" t="s">
        <v>8</v>
      </c>
      <c r="OF710" s="27" t="s">
        <v>7</v>
      </c>
      <c r="OG710" s="27" t="s">
        <v>8</v>
      </c>
      <c r="OH710" s="27" t="s">
        <v>7</v>
      </c>
      <c r="OI710" s="27" t="s">
        <v>8</v>
      </c>
      <c r="OJ710" s="27" t="s">
        <v>7</v>
      </c>
      <c r="OL710" s="27" t="s">
        <v>7</v>
      </c>
      <c r="OM710" s="27" t="s">
        <v>8</v>
      </c>
      <c r="ON710" s="27" t="s">
        <v>7</v>
      </c>
      <c r="OO710" s="27" t="s">
        <v>8</v>
      </c>
      <c r="OP710" s="27" t="s">
        <v>7</v>
      </c>
      <c r="OQ710" s="27" t="s">
        <v>8</v>
      </c>
      <c r="OR710" s="27" t="s">
        <v>7</v>
      </c>
      <c r="OS710" s="27" t="s">
        <v>8</v>
      </c>
      <c r="OT710" s="27" t="s">
        <v>7</v>
      </c>
      <c r="OV710" s="27" t="s">
        <v>7</v>
      </c>
      <c r="PC710" s="27" t="s">
        <v>8</v>
      </c>
    </row>
    <row r="711" spans="1:427" x14ac:dyDescent="0.25">
      <c r="A711" s="7">
        <v>8.5818061750796232E-2</v>
      </c>
      <c r="B711"/>
      <c r="C711"/>
      <c r="D711"/>
      <c r="E711"/>
      <c r="F711" s="27" t="s">
        <v>7</v>
      </c>
      <c r="JM711" s="27" t="s">
        <v>8</v>
      </c>
      <c r="JN711" s="27" t="s">
        <v>7</v>
      </c>
      <c r="JO711" s="27" t="s">
        <v>8</v>
      </c>
      <c r="JT711" s="27" t="s">
        <v>7</v>
      </c>
      <c r="JU711" s="27" t="s">
        <v>8</v>
      </c>
      <c r="JV711" s="27" t="s">
        <v>7</v>
      </c>
      <c r="JW711" s="27" t="s">
        <v>8</v>
      </c>
      <c r="JX711" s="27" t="s">
        <v>7</v>
      </c>
      <c r="KL711" s="27" t="s">
        <v>7</v>
      </c>
      <c r="KM711" s="27" t="s">
        <v>8</v>
      </c>
      <c r="KN711" s="27" t="s">
        <v>7</v>
      </c>
      <c r="KO711" s="27" t="s">
        <v>8</v>
      </c>
      <c r="KV711" s="27" t="s">
        <v>7</v>
      </c>
      <c r="KW711" s="27" t="s">
        <v>8</v>
      </c>
      <c r="KX711" s="27" t="s">
        <v>7</v>
      </c>
      <c r="KY711" s="27" t="s">
        <v>8</v>
      </c>
      <c r="KZ711" s="27" t="s">
        <v>7</v>
      </c>
      <c r="LI711" s="27" t="s">
        <v>8</v>
      </c>
      <c r="LJ711" s="27" t="s">
        <v>7</v>
      </c>
      <c r="LK711" s="27" t="s">
        <v>8</v>
      </c>
      <c r="LL711" s="27" t="s">
        <v>7</v>
      </c>
      <c r="LM711" s="27" t="s">
        <v>8</v>
      </c>
      <c r="LP711" s="27" t="s">
        <v>7</v>
      </c>
      <c r="LS711" s="27" t="s">
        <v>8</v>
      </c>
      <c r="LT711" s="27" t="s">
        <v>7</v>
      </c>
      <c r="LU711" s="27" t="s">
        <v>8</v>
      </c>
      <c r="LV711" s="27" t="s">
        <v>7</v>
      </c>
      <c r="MK711" s="27" t="s">
        <v>8</v>
      </c>
      <c r="ML711" s="27" t="s">
        <v>7</v>
      </c>
      <c r="MM711" s="27" t="s">
        <v>8</v>
      </c>
      <c r="MN711" s="27" t="s">
        <v>7</v>
      </c>
      <c r="MO711" s="27" t="s">
        <v>8</v>
      </c>
      <c r="MP711" s="27" t="s">
        <v>7</v>
      </c>
      <c r="MQ711" s="27" t="s">
        <v>8</v>
      </c>
      <c r="NB711" s="27" t="s">
        <v>7</v>
      </c>
      <c r="NC711" s="27" t="s">
        <v>8</v>
      </c>
      <c r="NJ711" s="27" t="s">
        <v>7</v>
      </c>
      <c r="NK711" s="27" t="s">
        <v>8</v>
      </c>
      <c r="NL711" s="27" t="s">
        <v>7</v>
      </c>
      <c r="NM711" s="27" t="s">
        <v>8</v>
      </c>
      <c r="NN711" s="27" t="s">
        <v>7</v>
      </c>
      <c r="NO711" s="27" t="s">
        <v>8</v>
      </c>
      <c r="NQ711" s="27" t="s">
        <v>8</v>
      </c>
      <c r="NR711" s="27" t="s">
        <v>7</v>
      </c>
      <c r="NS711" s="27" t="s">
        <v>8</v>
      </c>
      <c r="NT711" s="27" t="s">
        <v>7</v>
      </c>
      <c r="NU711" s="27" t="s">
        <v>8</v>
      </c>
      <c r="NV711" s="27" t="s">
        <v>7</v>
      </c>
      <c r="NW711" s="27" t="s">
        <v>8</v>
      </c>
      <c r="NX711" s="27" t="s">
        <v>7</v>
      </c>
      <c r="NY711" s="27" t="s">
        <v>8</v>
      </c>
      <c r="NZ711" s="27" t="s">
        <v>7</v>
      </c>
      <c r="OA711" s="27" t="s">
        <v>8</v>
      </c>
      <c r="OC711" s="27" t="s">
        <v>8</v>
      </c>
      <c r="OD711" s="27" t="s">
        <v>7</v>
      </c>
      <c r="OE711" s="27" t="s">
        <v>8</v>
      </c>
      <c r="OF711" s="27" t="s">
        <v>7</v>
      </c>
      <c r="OH711" s="27" t="s">
        <v>7</v>
      </c>
      <c r="OI711" s="27" t="s">
        <v>8</v>
      </c>
      <c r="OL711" s="27" t="s">
        <v>7</v>
      </c>
      <c r="OM711" s="27" t="s">
        <v>8</v>
      </c>
      <c r="ON711" s="27" t="s">
        <v>7</v>
      </c>
      <c r="OO711" s="27" t="s">
        <v>8</v>
      </c>
      <c r="OP711" s="27" t="s">
        <v>7</v>
      </c>
      <c r="OQ711" s="27" t="s">
        <v>8</v>
      </c>
      <c r="OR711" s="27" t="s">
        <v>7</v>
      </c>
      <c r="OS711" s="27" t="s">
        <v>8</v>
      </c>
      <c r="OV711" s="27" t="s">
        <v>7</v>
      </c>
      <c r="PC711" s="27" t="s">
        <v>8</v>
      </c>
      <c r="PD711" s="27" t="s">
        <v>7</v>
      </c>
    </row>
    <row r="712" spans="1:427" x14ac:dyDescent="0.25">
      <c r="A712" s="7">
        <v>8.4135354657643366E-2</v>
      </c>
      <c r="B712"/>
      <c r="C712"/>
      <c r="D712"/>
      <c r="E712"/>
      <c r="F712" s="27" t="s">
        <v>7</v>
      </c>
      <c r="JM712" s="27" t="s">
        <v>8</v>
      </c>
      <c r="JN712" s="27" t="s">
        <v>7</v>
      </c>
      <c r="JO712" s="27" t="s">
        <v>8</v>
      </c>
      <c r="JT712" s="27" t="s">
        <v>7</v>
      </c>
      <c r="JU712" s="27" t="s">
        <v>8</v>
      </c>
      <c r="JV712" s="27" t="s">
        <v>7</v>
      </c>
      <c r="JW712" s="27" t="s">
        <v>8</v>
      </c>
      <c r="KL712" s="27" t="s">
        <v>7</v>
      </c>
      <c r="KN712" s="27" t="s">
        <v>7</v>
      </c>
      <c r="KO712" s="27" t="s">
        <v>8</v>
      </c>
      <c r="KV712" s="27" t="s">
        <v>7</v>
      </c>
      <c r="KX712" s="27" t="s">
        <v>7</v>
      </c>
      <c r="KZ712" s="27" t="s">
        <v>7</v>
      </c>
      <c r="LI712" s="27" t="s">
        <v>8</v>
      </c>
      <c r="LJ712" s="27" t="s">
        <v>7</v>
      </c>
      <c r="LK712" s="27" t="s">
        <v>8</v>
      </c>
      <c r="LL712" s="27" t="s">
        <v>7</v>
      </c>
      <c r="LM712" s="27" t="s">
        <v>8</v>
      </c>
      <c r="LP712" s="27" t="s">
        <v>7</v>
      </c>
      <c r="LS712" s="27" t="s">
        <v>8</v>
      </c>
      <c r="LT712" s="27" t="s">
        <v>7</v>
      </c>
      <c r="LV712" s="27" t="s">
        <v>7</v>
      </c>
      <c r="MI712" s="27" t="s">
        <v>8</v>
      </c>
      <c r="MK712" s="27" t="s">
        <v>8</v>
      </c>
      <c r="ML712" s="27" t="s">
        <v>7</v>
      </c>
      <c r="MM712" s="27" t="s">
        <v>8</v>
      </c>
      <c r="MN712" s="27" t="s">
        <v>7</v>
      </c>
      <c r="MP712" s="27" t="s">
        <v>7</v>
      </c>
      <c r="MQ712" s="27" t="s">
        <v>8</v>
      </c>
      <c r="NB712" s="27" t="s">
        <v>7</v>
      </c>
      <c r="NC712" s="27" t="s">
        <v>8</v>
      </c>
      <c r="NJ712" s="27" t="s">
        <v>7</v>
      </c>
      <c r="NK712" s="27" t="s">
        <v>8</v>
      </c>
      <c r="NL712" s="27" t="s">
        <v>7</v>
      </c>
      <c r="NM712" s="27" t="s">
        <v>8</v>
      </c>
      <c r="NN712" s="27" t="s">
        <v>7</v>
      </c>
      <c r="NO712" s="27" t="s">
        <v>8</v>
      </c>
      <c r="NP712" s="27" t="s">
        <v>7</v>
      </c>
      <c r="NQ712" s="27" t="s">
        <v>8</v>
      </c>
      <c r="NR712" s="27" t="s">
        <v>7</v>
      </c>
      <c r="NS712" s="27" t="s">
        <v>8</v>
      </c>
      <c r="NT712" s="27" t="s">
        <v>7</v>
      </c>
      <c r="NU712" s="27" t="s">
        <v>8</v>
      </c>
      <c r="NV712" s="27" t="s">
        <v>7</v>
      </c>
      <c r="NW712" s="27" t="s">
        <v>8</v>
      </c>
      <c r="NX712" s="27" t="s">
        <v>7</v>
      </c>
      <c r="NY712" s="27" t="s">
        <v>8</v>
      </c>
      <c r="NZ712" s="27" t="s">
        <v>7</v>
      </c>
      <c r="OA712" s="27" t="s">
        <v>8</v>
      </c>
      <c r="OB712" s="27" t="s">
        <v>7</v>
      </c>
      <c r="OC712" s="27" t="s">
        <v>8</v>
      </c>
      <c r="OD712" s="27" t="s">
        <v>7</v>
      </c>
      <c r="OE712" s="27" t="s">
        <v>8</v>
      </c>
      <c r="OH712" s="27" t="s">
        <v>7</v>
      </c>
      <c r="OL712" s="27" t="s">
        <v>7</v>
      </c>
      <c r="OM712" s="27" t="s">
        <v>8</v>
      </c>
      <c r="ON712" s="27" t="s">
        <v>7</v>
      </c>
      <c r="OO712" s="27" t="s">
        <v>8</v>
      </c>
      <c r="OP712" s="27" t="s">
        <v>7</v>
      </c>
      <c r="OQ712" s="27" t="s">
        <v>8</v>
      </c>
      <c r="OR712" s="27" t="s">
        <v>7</v>
      </c>
      <c r="OS712" s="27" t="s">
        <v>8</v>
      </c>
      <c r="OV712" s="27" t="s">
        <v>7</v>
      </c>
      <c r="OW712" s="27" t="s">
        <v>8</v>
      </c>
      <c r="PC712" s="27" t="s">
        <v>8</v>
      </c>
      <c r="PD712" s="27" t="s">
        <v>7</v>
      </c>
    </row>
    <row r="713" spans="1:427" x14ac:dyDescent="0.25">
      <c r="A713" s="7">
        <v>8.248564182121898E-2</v>
      </c>
      <c r="B713"/>
      <c r="C713"/>
      <c r="D713"/>
      <c r="E713"/>
      <c r="F713" s="27" t="s">
        <v>7</v>
      </c>
      <c r="JM713" s="27" t="s">
        <v>8</v>
      </c>
      <c r="JN713" s="27" t="s">
        <v>7</v>
      </c>
      <c r="JO713" s="27" t="s">
        <v>8</v>
      </c>
      <c r="JT713" s="27" t="s">
        <v>7</v>
      </c>
      <c r="JU713" s="27" t="s">
        <v>8</v>
      </c>
      <c r="JV713" s="27" t="s">
        <v>7</v>
      </c>
      <c r="JW713" s="27" t="s">
        <v>8</v>
      </c>
      <c r="KN713" s="27" t="s">
        <v>7</v>
      </c>
      <c r="KO713" s="27" t="s">
        <v>8</v>
      </c>
      <c r="KZ713" s="27" t="s">
        <v>7</v>
      </c>
      <c r="LI713" s="27" t="s">
        <v>8</v>
      </c>
      <c r="LJ713" s="27" t="s">
        <v>7</v>
      </c>
      <c r="LK713" s="27" t="s">
        <v>8</v>
      </c>
      <c r="LL713" s="27" t="s">
        <v>7</v>
      </c>
      <c r="LM713" s="27" t="s">
        <v>8</v>
      </c>
      <c r="LP713" s="27" t="s">
        <v>7</v>
      </c>
      <c r="LS713" s="27" t="s">
        <v>8</v>
      </c>
      <c r="LV713" s="27" t="s">
        <v>7</v>
      </c>
      <c r="MI713" s="27" t="s">
        <v>8</v>
      </c>
      <c r="MJ713" s="27" t="s">
        <v>7</v>
      </c>
      <c r="MK713" s="27" t="s">
        <v>8</v>
      </c>
      <c r="ML713" s="27" t="s">
        <v>7</v>
      </c>
      <c r="MM713" s="27" t="s">
        <v>8</v>
      </c>
      <c r="MP713" s="27" t="s">
        <v>7</v>
      </c>
      <c r="MQ713" s="27" t="s">
        <v>8</v>
      </c>
      <c r="NB713" s="27" t="s">
        <v>7</v>
      </c>
      <c r="NJ713" s="27" t="s">
        <v>7</v>
      </c>
      <c r="NK713" s="27" t="s">
        <v>8</v>
      </c>
      <c r="NL713" s="27" t="s">
        <v>7</v>
      </c>
      <c r="NM713" s="27" t="s">
        <v>8</v>
      </c>
      <c r="NN713" s="27" t="s">
        <v>7</v>
      </c>
      <c r="NO713" s="27" t="s">
        <v>8</v>
      </c>
      <c r="NP713" s="27" t="s">
        <v>7</v>
      </c>
      <c r="NQ713" s="27" t="s">
        <v>8</v>
      </c>
      <c r="NR713" s="27" t="s">
        <v>7</v>
      </c>
      <c r="NT713" s="27" t="s">
        <v>7</v>
      </c>
      <c r="NV713" s="27" t="s">
        <v>7</v>
      </c>
      <c r="NW713" s="27" t="s">
        <v>8</v>
      </c>
      <c r="NX713" s="27" t="s">
        <v>7</v>
      </c>
      <c r="NY713" s="27" t="s">
        <v>8</v>
      </c>
      <c r="NZ713" s="27" t="s">
        <v>7</v>
      </c>
      <c r="OA713" s="27" t="s">
        <v>8</v>
      </c>
      <c r="OB713" s="27" t="s">
        <v>7</v>
      </c>
      <c r="OC713" s="27" t="s">
        <v>8</v>
      </c>
      <c r="OD713" s="27" t="s">
        <v>7</v>
      </c>
      <c r="OL713" s="27" t="s">
        <v>7</v>
      </c>
      <c r="OM713" s="27" t="s">
        <v>8</v>
      </c>
      <c r="ON713" s="27" t="s">
        <v>7</v>
      </c>
      <c r="OP713" s="27" t="s">
        <v>7</v>
      </c>
      <c r="OR713" s="27" t="s">
        <v>7</v>
      </c>
      <c r="OS713" s="27" t="s">
        <v>8</v>
      </c>
      <c r="OV713" s="27" t="s">
        <v>7</v>
      </c>
      <c r="OW713" s="27" t="s">
        <v>8</v>
      </c>
      <c r="OX713" s="27" t="s">
        <v>7</v>
      </c>
      <c r="OY713" s="27" t="s">
        <v>8</v>
      </c>
      <c r="PC713" s="27" t="s">
        <v>8</v>
      </c>
      <c r="PD713" s="27" t="s">
        <v>7</v>
      </c>
    </row>
    <row r="714" spans="1:427" x14ac:dyDescent="0.25">
      <c r="A714" s="7">
        <v>8.0868276295312735E-2</v>
      </c>
      <c r="B714"/>
      <c r="C714"/>
      <c r="D714"/>
      <c r="E714"/>
      <c r="F714" s="27" t="s">
        <v>7</v>
      </c>
      <c r="JM714" s="27" t="s">
        <v>8</v>
      </c>
      <c r="JN714" s="27" t="s">
        <v>7</v>
      </c>
      <c r="JO714" s="27" t="s">
        <v>8</v>
      </c>
      <c r="JT714" s="27" t="s">
        <v>7</v>
      </c>
      <c r="JU714" s="27" t="s">
        <v>8</v>
      </c>
      <c r="JV714" s="27" t="s">
        <v>7</v>
      </c>
      <c r="JW714" s="27" t="s">
        <v>8</v>
      </c>
      <c r="KN714" s="27" t="s">
        <v>7</v>
      </c>
      <c r="KO714" s="27" t="s">
        <v>8</v>
      </c>
      <c r="KZ714" s="27" t="s">
        <v>7</v>
      </c>
      <c r="LC714" s="27" t="s">
        <v>8</v>
      </c>
      <c r="LI714" s="27" t="s">
        <v>8</v>
      </c>
      <c r="LJ714" s="27" t="s">
        <v>7</v>
      </c>
      <c r="LK714" s="27" t="s">
        <v>8</v>
      </c>
      <c r="LL714" s="27" t="s">
        <v>7</v>
      </c>
      <c r="LM714" s="27" t="s">
        <v>8</v>
      </c>
      <c r="LP714" s="27" t="s">
        <v>7</v>
      </c>
      <c r="LS714" s="27" t="s">
        <v>8</v>
      </c>
      <c r="LV714" s="27" t="s">
        <v>7</v>
      </c>
      <c r="MI714" s="27" t="s">
        <v>8</v>
      </c>
      <c r="MJ714" s="27" t="s">
        <v>7</v>
      </c>
      <c r="MK714" s="27" t="s">
        <v>8</v>
      </c>
      <c r="ML714" s="27" t="s">
        <v>7</v>
      </c>
      <c r="MM714" s="27" t="s">
        <v>8</v>
      </c>
      <c r="MP714" s="27" t="s">
        <v>7</v>
      </c>
      <c r="NJ714" s="27" t="s">
        <v>7</v>
      </c>
      <c r="NK714" s="27" t="s">
        <v>8</v>
      </c>
      <c r="NL714" s="27" t="s">
        <v>7</v>
      </c>
      <c r="NM714" s="27" t="s">
        <v>8</v>
      </c>
      <c r="NN714" s="27" t="s">
        <v>7</v>
      </c>
      <c r="NO714" s="27" t="s">
        <v>8</v>
      </c>
      <c r="NP714" s="27" t="s">
        <v>7</v>
      </c>
      <c r="NQ714" s="27" t="s">
        <v>8</v>
      </c>
      <c r="NV714" s="27" t="s">
        <v>7</v>
      </c>
      <c r="NW714" s="27" t="s">
        <v>8</v>
      </c>
      <c r="NX714" s="27" t="s">
        <v>7</v>
      </c>
      <c r="NZ714" s="27" t="s">
        <v>7</v>
      </c>
      <c r="OB714" s="27" t="s">
        <v>7</v>
      </c>
      <c r="OC714" s="27" t="s">
        <v>8</v>
      </c>
      <c r="OL714" s="27" t="s">
        <v>7</v>
      </c>
      <c r="OM714" s="27" t="s">
        <v>8</v>
      </c>
      <c r="OR714" s="27" t="s">
        <v>7</v>
      </c>
      <c r="OV714" s="27" t="s">
        <v>7</v>
      </c>
      <c r="OW714" s="27" t="s">
        <v>8</v>
      </c>
      <c r="OX714" s="27" t="s">
        <v>7</v>
      </c>
      <c r="OY714" s="27" t="s">
        <v>8</v>
      </c>
      <c r="OZ714" s="27" t="s">
        <v>7</v>
      </c>
      <c r="PC714" s="27" t="s">
        <v>8</v>
      </c>
      <c r="PD714" s="27" t="s">
        <v>7</v>
      </c>
    </row>
    <row r="715" spans="1:427" x14ac:dyDescent="0.25">
      <c r="A715" s="7">
        <v>7.9282623818934056E-2</v>
      </c>
      <c r="B715"/>
      <c r="C715"/>
      <c r="D715"/>
      <c r="E715"/>
      <c r="F715" s="27" t="s">
        <v>7</v>
      </c>
      <c r="JM715" s="27" t="s">
        <v>8</v>
      </c>
      <c r="JN715" s="27" t="s">
        <v>7</v>
      </c>
      <c r="JT715" s="27" t="s">
        <v>7</v>
      </c>
      <c r="JU715" s="27" t="s">
        <v>8</v>
      </c>
      <c r="JV715" s="27" t="s">
        <v>7</v>
      </c>
      <c r="JW715" s="27" t="s">
        <v>8</v>
      </c>
      <c r="KN715" s="27" t="s">
        <v>7</v>
      </c>
      <c r="KO715" s="27" t="s">
        <v>8</v>
      </c>
      <c r="KZ715" s="27" t="s">
        <v>7</v>
      </c>
      <c r="LC715" s="27" t="s">
        <v>8</v>
      </c>
      <c r="LD715" s="27" t="s">
        <v>7</v>
      </c>
      <c r="LI715" s="27" t="s">
        <v>8</v>
      </c>
      <c r="LJ715" s="27" t="s">
        <v>7</v>
      </c>
      <c r="LK715" s="27" t="s">
        <v>8</v>
      </c>
      <c r="LL715" s="27" t="s">
        <v>7</v>
      </c>
      <c r="LM715" s="27" t="s">
        <v>8</v>
      </c>
      <c r="LP715" s="27" t="s">
        <v>7</v>
      </c>
      <c r="LS715" s="27" t="s">
        <v>8</v>
      </c>
      <c r="LV715" s="27" t="s">
        <v>7</v>
      </c>
      <c r="LW715" s="27" t="s">
        <v>8</v>
      </c>
      <c r="MI715" s="27" t="s">
        <v>8</v>
      </c>
      <c r="MJ715" s="27" t="s">
        <v>7</v>
      </c>
      <c r="MK715" s="27" t="s">
        <v>8</v>
      </c>
      <c r="ML715" s="27" t="s">
        <v>7</v>
      </c>
      <c r="NJ715" s="27" t="s">
        <v>7</v>
      </c>
      <c r="NK715" s="27" t="s">
        <v>8</v>
      </c>
      <c r="NL715" s="27" t="s">
        <v>7</v>
      </c>
      <c r="NM715" s="27" t="s">
        <v>8</v>
      </c>
      <c r="NN715" s="27" t="s">
        <v>7</v>
      </c>
      <c r="NO715" s="27" t="s">
        <v>8</v>
      </c>
      <c r="NP715" s="27" t="s">
        <v>7</v>
      </c>
      <c r="NQ715" s="27" t="s">
        <v>8</v>
      </c>
      <c r="NV715" s="27" t="s">
        <v>7</v>
      </c>
      <c r="NW715" s="27" t="s">
        <v>8</v>
      </c>
      <c r="OB715" s="27" t="s">
        <v>7</v>
      </c>
      <c r="OC715" s="27" t="s">
        <v>8</v>
      </c>
      <c r="OL715" s="27" t="s">
        <v>7</v>
      </c>
      <c r="OM715" s="27" t="s">
        <v>8</v>
      </c>
      <c r="OV715" s="27" t="s">
        <v>7</v>
      </c>
      <c r="OW715" s="27" t="s">
        <v>8</v>
      </c>
      <c r="OX715" s="27" t="s">
        <v>7</v>
      </c>
      <c r="OY715" s="27" t="s">
        <v>8</v>
      </c>
      <c r="OZ715" s="27" t="s">
        <v>7</v>
      </c>
      <c r="PC715" s="27" t="s">
        <v>8</v>
      </c>
      <c r="PD715" s="27" t="s">
        <v>7</v>
      </c>
      <c r="PI715" s="27" t="s">
        <v>8</v>
      </c>
    </row>
    <row r="716" spans="1:427" x14ac:dyDescent="0.25">
      <c r="A716" s="7">
        <v>7.7728062567582412E-2</v>
      </c>
      <c r="B716"/>
      <c r="C716"/>
      <c r="D716"/>
      <c r="E716"/>
      <c r="F716" s="27" t="s">
        <v>7</v>
      </c>
      <c r="JM716" s="27" t="s">
        <v>8</v>
      </c>
      <c r="JT716" s="27" t="s">
        <v>7</v>
      </c>
      <c r="JV716" s="27" t="s">
        <v>7</v>
      </c>
      <c r="JW716" s="27" t="s">
        <v>8</v>
      </c>
      <c r="KN716" s="27" t="s">
        <v>7</v>
      </c>
      <c r="KO716" s="27" t="s">
        <v>8</v>
      </c>
      <c r="KZ716" s="27" t="s">
        <v>7</v>
      </c>
      <c r="LC716" s="27" t="s">
        <v>8</v>
      </c>
      <c r="LD716" s="27" t="s">
        <v>7</v>
      </c>
      <c r="LI716" s="27" t="s">
        <v>8</v>
      </c>
      <c r="LJ716" s="27" t="s">
        <v>7</v>
      </c>
      <c r="LK716" s="27" t="s">
        <v>8</v>
      </c>
      <c r="LL716" s="27" t="s">
        <v>7</v>
      </c>
      <c r="LM716" s="27" t="s">
        <v>8</v>
      </c>
      <c r="LP716" s="27" t="s">
        <v>7</v>
      </c>
      <c r="LS716" s="27" t="s">
        <v>8</v>
      </c>
      <c r="LV716" s="27" t="s">
        <v>7</v>
      </c>
      <c r="LW716" s="27" t="s">
        <v>8</v>
      </c>
      <c r="LX716" s="27" t="s">
        <v>7</v>
      </c>
      <c r="MI716" s="27" t="s">
        <v>8</v>
      </c>
      <c r="MJ716" s="27" t="s">
        <v>7</v>
      </c>
      <c r="MK716" s="27" t="s">
        <v>8</v>
      </c>
      <c r="NJ716" s="27" t="s">
        <v>7</v>
      </c>
      <c r="NK716" s="27" t="s">
        <v>8</v>
      </c>
      <c r="NL716" s="27" t="s">
        <v>7</v>
      </c>
      <c r="NM716" s="27" t="s">
        <v>8</v>
      </c>
      <c r="NN716" s="27" t="s">
        <v>7</v>
      </c>
      <c r="NO716" s="27" t="s">
        <v>8</v>
      </c>
      <c r="NP716" s="27" t="s">
        <v>7</v>
      </c>
      <c r="NV716" s="27" t="s">
        <v>7</v>
      </c>
      <c r="OB716" s="27" t="s">
        <v>7</v>
      </c>
      <c r="OC716" s="27" t="s">
        <v>8</v>
      </c>
      <c r="OL716" s="27" t="s">
        <v>7</v>
      </c>
      <c r="OM716" s="27" t="s">
        <v>8</v>
      </c>
      <c r="OV716" s="27" t="s">
        <v>7</v>
      </c>
      <c r="OW716" s="27" t="s">
        <v>8</v>
      </c>
      <c r="OX716" s="27" t="s">
        <v>7</v>
      </c>
      <c r="OY716" s="27" t="s">
        <v>8</v>
      </c>
      <c r="OZ716" s="27" t="s">
        <v>7</v>
      </c>
      <c r="PC716" s="27" t="s">
        <v>8</v>
      </c>
      <c r="PD716" s="27" t="s">
        <v>7</v>
      </c>
      <c r="PG716" s="27" t="s">
        <v>8</v>
      </c>
      <c r="PI716" s="27" t="s">
        <v>8</v>
      </c>
      <c r="PJ716" s="27" t="s">
        <v>7</v>
      </c>
    </row>
    <row r="717" spans="1:427" x14ac:dyDescent="0.25">
      <c r="A717" s="7">
        <v>7.6203982909394521E-2</v>
      </c>
      <c r="B717"/>
      <c r="C717"/>
      <c r="D717"/>
      <c r="E717"/>
      <c r="F717" s="27" t="s">
        <v>7</v>
      </c>
      <c r="JM717" s="27" t="s">
        <v>8</v>
      </c>
      <c r="JV717" s="27" t="s">
        <v>7</v>
      </c>
      <c r="JW717" s="27" t="s">
        <v>8</v>
      </c>
      <c r="KN717" s="27" t="s">
        <v>7</v>
      </c>
      <c r="KO717" s="27" t="s">
        <v>8</v>
      </c>
      <c r="KZ717" s="27" t="s">
        <v>7</v>
      </c>
      <c r="LC717" s="27" t="s">
        <v>8</v>
      </c>
      <c r="LD717" s="27" t="s">
        <v>7</v>
      </c>
      <c r="LI717" s="27" t="s">
        <v>8</v>
      </c>
      <c r="LJ717" s="27" t="s">
        <v>7</v>
      </c>
      <c r="LK717" s="27" t="s">
        <v>8</v>
      </c>
      <c r="LL717" s="27" t="s">
        <v>7</v>
      </c>
      <c r="LM717" s="27" t="s">
        <v>8</v>
      </c>
      <c r="LP717" s="27" t="s">
        <v>7</v>
      </c>
      <c r="LQ717" s="27" t="s">
        <v>8</v>
      </c>
      <c r="LS717" s="27" t="s">
        <v>8</v>
      </c>
      <c r="LV717" s="27" t="s">
        <v>7</v>
      </c>
      <c r="LW717" s="27" t="s">
        <v>8</v>
      </c>
      <c r="LX717" s="27" t="s">
        <v>7</v>
      </c>
      <c r="MI717" s="27" t="s">
        <v>8</v>
      </c>
      <c r="MJ717" s="27" t="s">
        <v>7</v>
      </c>
      <c r="MK717" s="27" t="s">
        <v>8</v>
      </c>
      <c r="NJ717" s="27" t="s">
        <v>7</v>
      </c>
      <c r="NK717" s="27" t="s">
        <v>8</v>
      </c>
      <c r="NL717" s="27" t="s">
        <v>7</v>
      </c>
      <c r="NM717" s="27" t="s">
        <v>8</v>
      </c>
      <c r="NN717" s="27" t="s">
        <v>7</v>
      </c>
      <c r="NO717" s="27" t="s">
        <v>8</v>
      </c>
      <c r="OB717" s="27" t="s">
        <v>7</v>
      </c>
      <c r="OL717" s="27" t="s">
        <v>7</v>
      </c>
      <c r="OM717" s="27" t="s">
        <v>8</v>
      </c>
      <c r="OV717" s="27" t="s">
        <v>7</v>
      </c>
      <c r="OW717" s="27" t="s">
        <v>8</v>
      </c>
      <c r="OX717" s="27" t="s">
        <v>7</v>
      </c>
      <c r="OY717" s="27" t="s">
        <v>8</v>
      </c>
      <c r="OZ717" s="27" t="s">
        <v>7</v>
      </c>
      <c r="PC717" s="27" t="s">
        <v>8</v>
      </c>
      <c r="PD717" s="27" t="s">
        <v>7</v>
      </c>
      <c r="PG717" s="27" t="s">
        <v>8</v>
      </c>
      <c r="PH717" s="27" t="s">
        <v>7</v>
      </c>
      <c r="PI717" s="27" t="s">
        <v>8</v>
      </c>
      <c r="PJ717" s="27" t="s">
        <v>7</v>
      </c>
    </row>
    <row r="718" spans="1:427" x14ac:dyDescent="0.25">
      <c r="A718" s="7">
        <v>7.4709787166073058E-2</v>
      </c>
      <c r="B718"/>
      <c r="C718"/>
      <c r="D718"/>
      <c r="E718"/>
      <c r="F718" s="27" t="s">
        <v>7</v>
      </c>
      <c r="JM718" s="27" t="s">
        <v>8</v>
      </c>
      <c r="JV718" s="27" t="s">
        <v>7</v>
      </c>
      <c r="JW718" s="27" t="s">
        <v>8</v>
      </c>
      <c r="KN718" s="27" t="s">
        <v>7</v>
      </c>
      <c r="KO718" s="27" t="s">
        <v>8</v>
      </c>
      <c r="KZ718" s="27" t="s">
        <v>7</v>
      </c>
      <c r="LC718" s="27" t="s">
        <v>8</v>
      </c>
      <c r="LD718" s="27" t="s">
        <v>7</v>
      </c>
      <c r="LI718" s="27" t="s">
        <v>8</v>
      </c>
      <c r="LJ718" s="27" t="s">
        <v>7</v>
      </c>
      <c r="LK718" s="27" t="s">
        <v>8</v>
      </c>
      <c r="LL718" s="27" t="s">
        <v>7</v>
      </c>
      <c r="LM718" s="27" t="s">
        <v>8</v>
      </c>
      <c r="LP718" s="27" t="s">
        <v>7</v>
      </c>
      <c r="LQ718" s="27" t="s">
        <v>8</v>
      </c>
      <c r="LR718" s="27" t="s">
        <v>7</v>
      </c>
      <c r="LS718" s="27" t="s">
        <v>8</v>
      </c>
      <c r="LV718" s="27" t="s">
        <v>7</v>
      </c>
      <c r="LW718" s="27" t="s">
        <v>8</v>
      </c>
      <c r="LX718" s="27" t="s">
        <v>7</v>
      </c>
      <c r="MI718" s="27" t="s">
        <v>8</v>
      </c>
      <c r="MJ718" s="27" t="s">
        <v>7</v>
      </c>
      <c r="MK718" s="27" t="s">
        <v>8</v>
      </c>
      <c r="NJ718" s="27" t="s">
        <v>7</v>
      </c>
      <c r="NK718" s="27" t="s">
        <v>8</v>
      </c>
      <c r="NL718" s="27" t="s">
        <v>7</v>
      </c>
      <c r="NN718" s="27" t="s">
        <v>7</v>
      </c>
      <c r="NO718" s="27" t="s">
        <v>8</v>
      </c>
      <c r="OL718" s="27" t="s">
        <v>7</v>
      </c>
      <c r="OM718" s="27" t="s">
        <v>8</v>
      </c>
      <c r="OV718" s="27" t="s">
        <v>7</v>
      </c>
      <c r="OW718" s="27" t="s">
        <v>8</v>
      </c>
      <c r="OX718" s="27" t="s">
        <v>7</v>
      </c>
      <c r="OY718" s="27" t="s">
        <v>8</v>
      </c>
      <c r="OZ718" s="27" t="s">
        <v>7</v>
      </c>
      <c r="PC718" s="27" t="s">
        <v>8</v>
      </c>
      <c r="PD718" s="27" t="s">
        <v>7</v>
      </c>
      <c r="PE718" s="27" t="s">
        <v>8</v>
      </c>
      <c r="PG718" s="27" t="s">
        <v>8</v>
      </c>
      <c r="PH718" s="27" t="s">
        <v>7</v>
      </c>
      <c r="PI718" s="27" t="s">
        <v>8</v>
      </c>
      <c r="PJ718" s="27" t="s">
        <v>7</v>
      </c>
    </row>
    <row r="719" spans="1:427" x14ac:dyDescent="0.25">
      <c r="A719" s="7">
        <v>7.3244889378503E-2</v>
      </c>
      <c r="B719"/>
      <c r="C719"/>
      <c r="D719"/>
      <c r="E719"/>
      <c r="F719" s="27" t="s">
        <v>7</v>
      </c>
      <c r="JM719" s="27" t="s">
        <v>8</v>
      </c>
      <c r="JV719" s="27" t="s">
        <v>7</v>
      </c>
      <c r="JW719" s="27" t="s">
        <v>8</v>
      </c>
      <c r="KN719" s="27" t="s">
        <v>7</v>
      </c>
      <c r="KO719" s="27" t="s">
        <v>8</v>
      </c>
      <c r="KZ719" s="27" t="s">
        <v>7</v>
      </c>
      <c r="LC719" s="27" t="s">
        <v>8</v>
      </c>
      <c r="LD719" s="27" t="s">
        <v>7</v>
      </c>
      <c r="LG719" s="27" t="s">
        <v>8</v>
      </c>
      <c r="LI719" s="27" t="s">
        <v>8</v>
      </c>
      <c r="LJ719" s="27" t="s">
        <v>7</v>
      </c>
      <c r="LK719" s="27" t="s">
        <v>8</v>
      </c>
      <c r="LL719" s="27" t="s">
        <v>7</v>
      </c>
      <c r="LM719" s="27" t="s">
        <v>8</v>
      </c>
      <c r="LP719" s="27" t="s">
        <v>7</v>
      </c>
      <c r="LQ719" s="27" t="s">
        <v>8</v>
      </c>
      <c r="LR719" s="27" t="s">
        <v>7</v>
      </c>
      <c r="LS719" s="27" t="s">
        <v>8</v>
      </c>
      <c r="LV719" s="27" t="s">
        <v>7</v>
      </c>
      <c r="LX719" s="27" t="s">
        <v>7</v>
      </c>
      <c r="MI719" s="27" t="s">
        <v>8</v>
      </c>
      <c r="MJ719" s="27" t="s">
        <v>7</v>
      </c>
      <c r="MK719" s="27" t="s">
        <v>8</v>
      </c>
      <c r="NJ719" s="27" t="s">
        <v>7</v>
      </c>
      <c r="NN719" s="27" t="s">
        <v>7</v>
      </c>
      <c r="OL719" s="27" t="s">
        <v>7</v>
      </c>
      <c r="OV719" s="27" t="s">
        <v>7</v>
      </c>
      <c r="OW719" s="27" t="s">
        <v>8</v>
      </c>
      <c r="OX719" s="27" t="s">
        <v>7</v>
      </c>
      <c r="OY719" s="27" t="s">
        <v>8</v>
      </c>
      <c r="OZ719" s="27" t="s">
        <v>7</v>
      </c>
      <c r="PC719" s="27" t="s">
        <v>8</v>
      </c>
      <c r="PD719" s="27" t="s">
        <v>7</v>
      </c>
      <c r="PE719" s="27" t="s">
        <v>8</v>
      </c>
      <c r="PF719" s="27" t="s">
        <v>7</v>
      </c>
      <c r="PG719" s="27" t="s">
        <v>8</v>
      </c>
      <c r="PH719" s="27" t="s">
        <v>7</v>
      </c>
      <c r="PI719" s="27" t="s">
        <v>8</v>
      </c>
      <c r="PJ719" s="27" t="s">
        <v>7</v>
      </c>
    </row>
    <row r="720" spans="1:427" x14ac:dyDescent="0.25">
      <c r="A720" s="7">
        <v>7.1808715076963722E-2</v>
      </c>
      <c r="B720"/>
      <c r="C720"/>
      <c r="D720"/>
      <c r="E720"/>
      <c r="F720" s="27" t="s">
        <v>7</v>
      </c>
      <c r="JM720" s="27" t="s">
        <v>8</v>
      </c>
      <c r="JV720" s="27" t="s">
        <v>7</v>
      </c>
      <c r="KN720" s="27" t="s">
        <v>7</v>
      </c>
      <c r="KO720" s="27" t="s">
        <v>8</v>
      </c>
      <c r="KZ720" s="27" t="s">
        <v>7</v>
      </c>
      <c r="LC720" s="27" t="s">
        <v>8</v>
      </c>
      <c r="LD720" s="27" t="s">
        <v>7</v>
      </c>
      <c r="LG720" s="27" t="s">
        <v>8</v>
      </c>
      <c r="LH720" s="27" t="s">
        <v>7</v>
      </c>
      <c r="LI720" s="27" t="s">
        <v>8</v>
      </c>
      <c r="LJ720" s="27" t="s">
        <v>7</v>
      </c>
      <c r="LK720" s="27" t="s">
        <v>8</v>
      </c>
      <c r="LL720" s="27" t="s">
        <v>7</v>
      </c>
      <c r="LP720" s="27" t="s">
        <v>7</v>
      </c>
      <c r="LQ720" s="27" t="s">
        <v>8</v>
      </c>
      <c r="LR720" s="27" t="s">
        <v>7</v>
      </c>
      <c r="LS720" s="27" t="s">
        <v>8</v>
      </c>
      <c r="LX720" s="27" t="s">
        <v>7</v>
      </c>
      <c r="MI720" s="27" t="s">
        <v>8</v>
      </c>
      <c r="MJ720" s="27" t="s">
        <v>7</v>
      </c>
      <c r="MK720" s="27" t="s">
        <v>8</v>
      </c>
      <c r="OV720" s="27" t="s">
        <v>7</v>
      </c>
      <c r="OW720" s="27" t="s">
        <v>8</v>
      </c>
      <c r="OX720" s="27" t="s">
        <v>7</v>
      </c>
      <c r="OY720" s="27" t="s">
        <v>8</v>
      </c>
      <c r="OZ720" s="27" t="s">
        <v>7</v>
      </c>
      <c r="PA720" s="27" t="s">
        <v>8</v>
      </c>
      <c r="PC720" s="27" t="s">
        <v>8</v>
      </c>
      <c r="PD720" s="27" t="s">
        <v>7</v>
      </c>
      <c r="PE720" s="27" t="s">
        <v>8</v>
      </c>
      <c r="PF720" s="27" t="s">
        <v>7</v>
      </c>
      <c r="PG720" s="27" t="s">
        <v>8</v>
      </c>
      <c r="PH720" s="27" t="s">
        <v>7</v>
      </c>
      <c r="PJ720" s="27" t="s">
        <v>7</v>
      </c>
      <c r="PK720" s="27" t="s">
        <v>8</v>
      </c>
    </row>
    <row r="721" spans="1:436" x14ac:dyDescent="0.25">
      <c r="A721" s="7">
        <v>7.0400701055846782E-2</v>
      </c>
      <c r="B721"/>
      <c r="C721"/>
      <c r="D721"/>
      <c r="E721"/>
      <c r="F721" s="27" t="s">
        <v>7</v>
      </c>
      <c r="JM721" s="27" t="s">
        <v>8</v>
      </c>
      <c r="KN721" s="27" t="s">
        <v>7</v>
      </c>
      <c r="KO721" s="27" t="s">
        <v>8</v>
      </c>
      <c r="KZ721" s="27" t="s">
        <v>7</v>
      </c>
      <c r="LC721" s="27" t="s">
        <v>8</v>
      </c>
      <c r="LD721" s="27" t="s">
        <v>7</v>
      </c>
      <c r="LG721" s="27" t="s">
        <v>8</v>
      </c>
      <c r="LH721" s="27" t="s">
        <v>7</v>
      </c>
      <c r="LI721" s="27" t="s">
        <v>8</v>
      </c>
      <c r="LJ721" s="27" t="s">
        <v>7</v>
      </c>
      <c r="LK721" s="27" t="s">
        <v>8</v>
      </c>
      <c r="LP721" s="27" t="s">
        <v>7</v>
      </c>
      <c r="LQ721" s="27" t="s">
        <v>8</v>
      </c>
      <c r="LR721" s="27" t="s">
        <v>7</v>
      </c>
      <c r="LS721" s="27" t="s">
        <v>8</v>
      </c>
      <c r="LX721" s="27" t="s">
        <v>7</v>
      </c>
      <c r="LY721" s="27" t="s">
        <v>8</v>
      </c>
      <c r="MI721" s="27" t="s">
        <v>8</v>
      </c>
      <c r="MJ721" s="27" t="s">
        <v>7</v>
      </c>
      <c r="OV721" s="27" t="s">
        <v>7</v>
      </c>
      <c r="OW721" s="27" t="s">
        <v>8</v>
      </c>
      <c r="OX721" s="27" t="s">
        <v>7</v>
      </c>
      <c r="OY721" s="27" t="s">
        <v>8</v>
      </c>
      <c r="OZ721" s="27" t="s">
        <v>7</v>
      </c>
      <c r="PA721" s="27" t="s">
        <v>8</v>
      </c>
      <c r="PB721" s="27" t="s">
        <v>7</v>
      </c>
      <c r="PC721" s="27" t="s">
        <v>8</v>
      </c>
      <c r="PD721" s="27" t="s">
        <v>7</v>
      </c>
      <c r="PE721" s="27" t="s">
        <v>8</v>
      </c>
      <c r="PF721" s="27" t="s">
        <v>7</v>
      </c>
      <c r="PG721" s="27" t="s">
        <v>8</v>
      </c>
      <c r="PJ721" s="27" t="s">
        <v>7</v>
      </c>
      <c r="PK721" s="27" t="s">
        <v>8</v>
      </c>
      <c r="PL721" s="27" t="s">
        <v>7</v>
      </c>
    </row>
    <row r="722" spans="1:436" x14ac:dyDescent="0.25">
      <c r="A722" s="7">
        <v>6.9020295152790956E-2</v>
      </c>
      <c r="B722"/>
      <c r="C722"/>
      <c r="D722"/>
      <c r="E722"/>
      <c r="F722" s="27" t="s">
        <v>7</v>
      </c>
      <c r="JM722" s="27" t="s">
        <v>8</v>
      </c>
      <c r="KN722" s="27" t="s">
        <v>7</v>
      </c>
      <c r="KZ722" s="27" t="s">
        <v>7</v>
      </c>
      <c r="LC722" s="27" t="s">
        <v>8</v>
      </c>
      <c r="LD722" s="27" t="s">
        <v>7</v>
      </c>
      <c r="LG722" s="27" t="s">
        <v>8</v>
      </c>
      <c r="LH722" s="27" t="s">
        <v>7</v>
      </c>
      <c r="LI722" s="27" t="s">
        <v>8</v>
      </c>
      <c r="LJ722" s="27" t="s">
        <v>7</v>
      </c>
      <c r="LK722" s="27" t="s">
        <v>8</v>
      </c>
      <c r="LP722" s="27" t="s">
        <v>7</v>
      </c>
      <c r="LQ722" s="27" t="s">
        <v>8</v>
      </c>
      <c r="LR722" s="27" t="s">
        <v>7</v>
      </c>
      <c r="LS722" s="27" t="s">
        <v>8</v>
      </c>
      <c r="LX722" s="27" t="s">
        <v>7</v>
      </c>
      <c r="LY722" s="27" t="s">
        <v>8</v>
      </c>
      <c r="LZ722" s="27" t="s">
        <v>7</v>
      </c>
      <c r="MA722" s="27" t="s">
        <v>8</v>
      </c>
      <c r="MC722" s="27" t="s">
        <v>8</v>
      </c>
      <c r="ME722" s="27" t="s">
        <v>8</v>
      </c>
      <c r="MI722" s="27" t="s">
        <v>8</v>
      </c>
      <c r="OV722" s="27" t="s">
        <v>7</v>
      </c>
      <c r="OW722" s="27" t="s">
        <v>8</v>
      </c>
      <c r="OX722" s="27" t="s">
        <v>7</v>
      </c>
      <c r="OY722" s="27" t="s">
        <v>8</v>
      </c>
      <c r="OZ722" s="27" t="s">
        <v>7</v>
      </c>
      <c r="PA722" s="27" t="s">
        <v>8</v>
      </c>
      <c r="PB722" s="27" t="s">
        <v>7</v>
      </c>
      <c r="PC722" s="27" t="s">
        <v>8</v>
      </c>
      <c r="PD722" s="27" t="s">
        <v>7</v>
      </c>
      <c r="PE722" s="27" t="s">
        <v>8</v>
      </c>
      <c r="PF722" s="27" t="s">
        <v>7</v>
      </c>
      <c r="PG722" s="27" t="s">
        <v>8</v>
      </c>
      <c r="PJ722" s="27" t="s">
        <v>7</v>
      </c>
      <c r="PK722" s="27" t="s">
        <v>8</v>
      </c>
      <c r="PL722" s="27" t="s">
        <v>7</v>
      </c>
    </row>
    <row r="723" spans="1:436" x14ac:dyDescent="0.25">
      <c r="A723" s="7">
        <v>6.7666956032147993E-2</v>
      </c>
      <c r="B723"/>
      <c r="C723"/>
      <c r="D723"/>
      <c r="E723"/>
      <c r="F723" s="27" t="s">
        <v>7</v>
      </c>
      <c r="JM723" s="27" t="s">
        <v>8</v>
      </c>
      <c r="KZ723" s="27" t="s">
        <v>7</v>
      </c>
      <c r="LC723" s="27" t="s">
        <v>8</v>
      </c>
      <c r="LD723" s="27" t="s">
        <v>7</v>
      </c>
      <c r="LE723" s="27" t="s">
        <v>8</v>
      </c>
      <c r="LG723" s="27" t="s">
        <v>8</v>
      </c>
      <c r="LH723" s="27" t="s">
        <v>7</v>
      </c>
      <c r="LI723" s="27" t="s">
        <v>8</v>
      </c>
      <c r="LJ723" s="27" t="s">
        <v>7</v>
      </c>
      <c r="LK723" s="27" t="s">
        <v>8</v>
      </c>
      <c r="LP723" s="27" t="s">
        <v>7</v>
      </c>
      <c r="LQ723" s="27" t="s">
        <v>8</v>
      </c>
      <c r="LR723" s="27" t="s">
        <v>7</v>
      </c>
      <c r="LS723" s="27" t="s">
        <v>8</v>
      </c>
      <c r="LX723" s="27" t="s">
        <v>7</v>
      </c>
      <c r="LY723" s="27" t="s">
        <v>8</v>
      </c>
      <c r="LZ723" s="27" t="s">
        <v>7</v>
      </c>
      <c r="MA723" s="27" t="s">
        <v>8</v>
      </c>
      <c r="MB723" s="27" t="s">
        <v>7</v>
      </c>
      <c r="MC723" s="27" t="s">
        <v>8</v>
      </c>
      <c r="MD723" s="27" t="s">
        <v>7</v>
      </c>
      <c r="ME723" s="27" t="s">
        <v>8</v>
      </c>
      <c r="MF723" s="27" t="s">
        <v>7</v>
      </c>
      <c r="MG723" s="27" t="s">
        <v>8</v>
      </c>
      <c r="MI723" s="27" t="s">
        <v>8</v>
      </c>
      <c r="OV723" s="27" t="s">
        <v>7</v>
      </c>
      <c r="OW723" s="27" t="s">
        <v>8</v>
      </c>
      <c r="OX723" s="27" t="s">
        <v>7</v>
      </c>
      <c r="OZ723" s="27" t="s">
        <v>7</v>
      </c>
      <c r="PA723" s="27" t="s">
        <v>8</v>
      </c>
      <c r="PB723" s="27" t="s">
        <v>7</v>
      </c>
      <c r="PC723" s="27" t="s">
        <v>8</v>
      </c>
      <c r="PD723" s="27" t="s">
        <v>7</v>
      </c>
      <c r="PE723" s="27" t="s">
        <v>8</v>
      </c>
      <c r="PF723" s="27" t="s">
        <v>7</v>
      </c>
      <c r="PJ723" s="27" t="s">
        <v>7</v>
      </c>
      <c r="PK723" s="27" t="s">
        <v>8</v>
      </c>
      <c r="PL723" s="27" t="s">
        <v>7</v>
      </c>
    </row>
    <row r="724" spans="1:436" x14ac:dyDescent="0.25">
      <c r="A724" s="7">
        <v>6.6340152972694105E-2</v>
      </c>
      <c r="B724"/>
      <c r="C724"/>
      <c r="D724"/>
      <c r="E724"/>
      <c r="F724" s="27" t="s">
        <v>7</v>
      </c>
      <c r="JM724" s="27" t="s">
        <v>8</v>
      </c>
      <c r="KZ724" s="27" t="s">
        <v>7</v>
      </c>
      <c r="LA724" s="27" t="s">
        <v>8</v>
      </c>
      <c r="LC724" s="27" t="s">
        <v>8</v>
      </c>
      <c r="LD724" s="27" t="s">
        <v>7</v>
      </c>
      <c r="LE724" s="27" t="s">
        <v>8</v>
      </c>
      <c r="LF724" s="27" t="s">
        <v>7</v>
      </c>
      <c r="LG724" s="27" t="s">
        <v>8</v>
      </c>
      <c r="LH724" s="27" t="s">
        <v>7</v>
      </c>
      <c r="LI724" s="27" t="s">
        <v>8</v>
      </c>
      <c r="LJ724" s="27" t="s">
        <v>7</v>
      </c>
      <c r="LP724" s="27" t="s">
        <v>7</v>
      </c>
      <c r="LQ724" s="27" t="s">
        <v>8</v>
      </c>
      <c r="LR724" s="27" t="s">
        <v>7</v>
      </c>
      <c r="LS724" s="27" t="s">
        <v>8</v>
      </c>
      <c r="LX724" s="27" t="s">
        <v>7</v>
      </c>
      <c r="LY724" s="27" t="s">
        <v>8</v>
      </c>
      <c r="LZ724" s="27" t="s">
        <v>7</v>
      </c>
      <c r="MA724" s="27" t="s">
        <v>8</v>
      </c>
      <c r="MB724" s="27" t="s">
        <v>7</v>
      </c>
      <c r="MC724" s="27" t="s">
        <v>8</v>
      </c>
      <c r="MD724" s="27" t="s">
        <v>7</v>
      </c>
      <c r="ME724" s="27" t="s">
        <v>8</v>
      </c>
      <c r="MF724" s="27" t="s">
        <v>7</v>
      </c>
      <c r="MG724" s="27" t="s">
        <v>8</v>
      </c>
      <c r="MH724" s="27" t="s">
        <v>7</v>
      </c>
      <c r="MI724" s="27" t="s">
        <v>8</v>
      </c>
      <c r="OV724" s="27" t="s">
        <v>7</v>
      </c>
      <c r="OW724" s="27" t="s">
        <v>8</v>
      </c>
      <c r="OZ724" s="27" t="s">
        <v>7</v>
      </c>
      <c r="PA724" s="27" t="s">
        <v>8</v>
      </c>
      <c r="PB724" s="27" t="s">
        <v>7</v>
      </c>
      <c r="PC724" s="27" t="s">
        <v>8</v>
      </c>
      <c r="PD724" s="27" t="s">
        <v>7</v>
      </c>
      <c r="PE724" s="27" t="s">
        <v>8</v>
      </c>
      <c r="PJ724" s="27" t="s">
        <v>7</v>
      </c>
      <c r="PK724" s="27" t="s">
        <v>8</v>
      </c>
      <c r="PL724" s="27" t="s">
        <v>7</v>
      </c>
    </row>
    <row r="725" spans="1:436" x14ac:dyDescent="0.25">
      <c r="A725" s="7">
        <v>6.5039365659504023E-2</v>
      </c>
      <c r="B725"/>
      <c r="C725"/>
      <c r="D725"/>
      <c r="E725"/>
      <c r="F725" s="27" t="s">
        <v>7</v>
      </c>
      <c r="JM725" s="27" t="s">
        <v>8</v>
      </c>
      <c r="KZ725" s="27" t="s">
        <v>7</v>
      </c>
      <c r="LA725" s="27" t="s">
        <v>8</v>
      </c>
      <c r="LB725" s="27" t="s">
        <v>7</v>
      </c>
      <c r="LC725" s="27" t="s">
        <v>8</v>
      </c>
      <c r="LD725" s="27" t="s">
        <v>7</v>
      </c>
      <c r="LE725" s="27" t="s">
        <v>8</v>
      </c>
      <c r="LF725" s="27" t="s">
        <v>7</v>
      </c>
      <c r="LG725" s="27" t="s">
        <v>8</v>
      </c>
      <c r="LH725" s="27" t="s">
        <v>7</v>
      </c>
      <c r="LI725" s="27" t="s">
        <v>8</v>
      </c>
      <c r="LP725" s="27" t="s">
        <v>7</v>
      </c>
      <c r="LQ725" s="27" t="s">
        <v>8</v>
      </c>
      <c r="LR725" s="27" t="s">
        <v>7</v>
      </c>
      <c r="LS725" s="27" t="s">
        <v>8</v>
      </c>
      <c r="LX725" s="27" t="s">
        <v>7</v>
      </c>
      <c r="LY725" s="27" t="s">
        <v>8</v>
      </c>
      <c r="LZ725" s="27" t="s">
        <v>7</v>
      </c>
      <c r="MA725" s="27" t="s">
        <v>8</v>
      </c>
      <c r="MB725" s="27" t="s">
        <v>7</v>
      </c>
      <c r="MC725" s="27" t="s">
        <v>8</v>
      </c>
      <c r="MD725" s="27" t="s">
        <v>7</v>
      </c>
      <c r="ME725" s="27" t="s">
        <v>8</v>
      </c>
      <c r="MF725" s="27" t="s">
        <v>7</v>
      </c>
      <c r="MG725" s="27" t="s">
        <v>8</v>
      </c>
      <c r="MH725" s="27" t="s">
        <v>7</v>
      </c>
      <c r="MI725" s="27" t="s">
        <v>8</v>
      </c>
      <c r="OV725" s="27" t="s">
        <v>7</v>
      </c>
      <c r="OW725" s="27" t="s">
        <v>8</v>
      </c>
      <c r="OZ725" s="27" t="s">
        <v>7</v>
      </c>
      <c r="PB725" s="27" t="s">
        <v>7</v>
      </c>
      <c r="PC725" s="27" t="s">
        <v>8</v>
      </c>
      <c r="PD725" s="27" t="s">
        <v>7</v>
      </c>
      <c r="PE725" s="27" t="s">
        <v>8</v>
      </c>
      <c r="PJ725" s="27" t="s">
        <v>7</v>
      </c>
      <c r="PL725" s="27" t="s">
        <v>7</v>
      </c>
    </row>
    <row r="726" spans="1:436" x14ac:dyDescent="0.25">
      <c r="A726" s="7">
        <v>6.3764083979905906E-2</v>
      </c>
      <c r="B726"/>
      <c r="C726"/>
      <c r="D726"/>
      <c r="E726"/>
      <c r="F726" s="27" t="s">
        <v>7</v>
      </c>
      <c r="JM726" s="27" t="s">
        <v>8</v>
      </c>
      <c r="KZ726" s="27" t="s">
        <v>7</v>
      </c>
      <c r="LA726" s="27" t="s">
        <v>8</v>
      </c>
      <c r="LB726" s="27" t="s">
        <v>7</v>
      </c>
      <c r="LC726" s="27" t="s">
        <v>8</v>
      </c>
      <c r="LD726" s="27" t="s">
        <v>7</v>
      </c>
      <c r="LE726" s="27" t="s">
        <v>8</v>
      </c>
      <c r="LF726" s="27" t="s">
        <v>7</v>
      </c>
      <c r="LG726" s="27" t="s">
        <v>8</v>
      </c>
      <c r="LH726" s="27" t="s">
        <v>7</v>
      </c>
      <c r="LI726" s="27" t="s">
        <v>8</v>
      </c>
      <c r="LP726" s="27" t="s">
        <v>7</v>
      </c>
      <c r="LQ726" s="27" t="s">
        <v>8</v>
      </c>
      <c r="LR726" s="27" t="s">
        <v>7</v>
      </c>
      <c r="LS726" s="27" t="s">
        <v>8</v>
      </c>
      <c r="LX726" s="27" t="s">
        <v>7</v>
      </c>
      <c r="LY726" s="27" t="s">
        <v>8</v>
      </c>
      <c r="LZ726" s="27" t="s">
        <v>7</v>
      </c>
      <c r="MA726" s="27" t="s">
        <v>8</v>
      </c>
      <c r="MB726" s="27" t="s">
        <v>7</v>
      </c>
      <c r="MC726" s="27" t="s">
        <v>8</v>
      </c>
      <c r="MD726" s="27" t="s">
        <v>7</v>
      </c>
      <c r="ME726" s="27" t="s">
        <v>8</v>
      </c>
      <c r="MF726" s="27" t="s">
        <v>7</v>
      </c>
      <c r="MG726" s="27" t="s">
        <v>8</v>
      </c>
      <c r="MH726" s="27" t="s">
        <v>7</v>
      </c>
      <c r="MI726" s="27" t="s">
        <v>8</v>
      </c>
      <c r="OV726" s="27" t="s">
        <v>7</v>
      </c>
      <c r="PB726" s="27" t="s">
        <v>7</v>
      </c>
      <c r="PC726" s="27" t="s">
        <v>8</v>
      </c>
      <c r="PD726" s="27" t="s">
        <v>7</v>
      </c>
      <c r="PE726" s="27" t="s">
        <v>8</v>
      </c>
      <c r="PL726" s="27" t="s">
        <v>7</v>
      </c>
    </row>
    <row r="727" spans="1:436" x14ac:dyDescent="0.25">
      <c r="A727" s="7">
        <v>6.251380782343717E-2</v>
      </c>
      <c r="B727"/>
      <c r="C727"/>
      <c r="D727"/>
      <c r="E727"/>
      <c r="F727" s="27" t="s">
        <v>7</v>
      </c>
      <c r="JM727" s="27" t="s">
        <v>8</v>
      </c>
      <c r="KZ727" s="27" t="s">
        <v>7</v>
      </c>
      <c r="LA727" s="27" t="s">
        <v>8</v>
      </c>
      <c r="LB727" s="27" t="s">
        <v>7</v>
      </c>
      <c r="LC727" s="27" t="s">
        <v>8</v>
      </c>
      <c r="LD727" s="27" t="s">
        <v>7</v>
      </c>
      <c r="LE727" s="27" t="s">
        <v>8</v>
      </c>
      <c r="LF727" s="27" t="s">
        <v>7</v>
      </c>
      <c r="LH727" s="27" t="s">
        <v>7</v>
      </c>
      <c r="LI727" s="27" t="s">
        <v>8</v>
      </c>
      <c r="LP727" s="27" t="s">
        <v>7</v>
      </c>
      <c r="LQ727" s="27" t="s">
        <v>8</v>
      </c>
      <c r="LR727" s="27" t="s">
        <v>7</v>
      </c>
      <c r="LS727" s="27" t="s">
        <v>8</v>
      </c>
      <c r="LX727" s="27" t="s">
        <v>7</v>
      </c>
      <c r="LY727" s="27" t="s">
        <v>8</v>
      </c>
      <c r="LZ727" s="27" t="s">
        <v>7</v>
      </c>
      <c r="MA727" s="27" t="s">
        <v>8</v>
      </c>
      <c r="MB727" s="27" t="s">
        <v>7</v>
      </c>
      <c r="MC727" s="27" t="s">
        <v>8</v>
      </c>
      <c r="MD727" s="27" t="s">
        <v>7</v>
      </c>
      <c r="ME727" s="27" t="s">
        <v>8</v>
      </c>
      <c r="MF727" s="27" t="s">
        <v>7</v>
      </c>
      <c r="MH727" s="27" t="s">
        <v>7</v>
      </c>
      <c r="MI727" s="27" t="s">
        <v>8</v>
      </c>
      <c r="PB727" s="27" t="s">
        <v>7</v>
      </c>
      <c r="PC727" s="27" t="s">
        <v>8</v>
      </c>
      <c r="PD727" s="27" t="s">
        <v>7</v>
      </c>
      <c r="PL727" s="27" t="s">
        <v>7</v>
      </c>
      <c r="PQ727" s="27" t="s">
        <v>8</v>
      </c>
    </row>
    <row r="728" spans="1:436" x14ac:dyDescent="0.25">
      <c r="A728" s="7">
        <v>6.1288046885722716E-2</v>
      </c>
      <c r="B728"/>
      <c r="C728"/>
      <c r="D728"/>
      <c r="E728"/>
      <c r="F728" s="27" t="s">
        <v>7</v>
      </c>
      <c r="JK728" s="27" t="s">
        <v>8</v>
      </c>
      <c r="JM728" s="27" t="s">
        <v>8</v>
      </c>
      <c r="KZ728" s="27" t="s">
        <v>7</v>
      </c>
      <c r="LA728" s="27" t="s">
        <v>8</v>
      </c>
      <c r="LB728" s="27" t="s">
        <v>7</v>
      </c>
      <c r="LC728" s="27" t="s">
        <v>8</v>
      </c>
      <c r="LD728" s="27" t="s">
        <v>7</v>
      </c>
      <c r="LE728" s="27" t="s">
        <v>8</v>
      </c>
      <c r="LH728" s="27" t="s">
        <v>7</v>
      </c>
      <c r="LI728" s="27" t="s">
        <v>8</v>
      </c>
      <c r="LP728" s="27" t="s">
        <v>7</v>
      </c>
      <c r="LQ728" s="27" t="s">
        <v>8</v>
      </c>
      <c r="LR728" s="27" t="s">
        <v>7</v>
      </c>
      <c r="LS728" s="27" t="s">
        <v>8</v>
      </c>
      <c r="LX728" s="27" t="s">
        <v>7</v>
      </c>
      <c r="LY728" s="27" t="s">
        <v>8</v>
      </c>
      <c r="LZ728" s="27" t="s">
        <v>7</v>
      </c>
      <c r="MA728" s="27" t="s">
        <v>8</v>
      </c>
      <c r="MB728" s="27" t="s">
        <v>7</v>
      </c>
      <c r="MC728" s="27" t="s">
        <v>8</v>
      </c>
      <c r="MD728" s="27" t="s">
        <v>7</v>
      </c>
      <c r="MH728" s="27" t="s">
        <v>7</v>
      </c>
      <c r="PB728" s="27" t="s">
        <v>7</v>
      </c>
      <c r="PC728" s="27" t="s">
        <v>8</v>
      </c>
      <c r="PL728" s="27" t="s">
        <v>7</v>
      </c>
      <c r="PQ728" s="27" t="s">
        <v>8</v>
      </c>
      <c r="PR728" s="27" t="s">
        <v>7</v>
      </c>
    </row>
    <row r="729" spans="1:436" x14ac:dyDescent="0.25">
      <c r="A729" s="7">
        <v>6.0086320476198739E-2</v>
      </c>
      <c r="B729"/>
      <c r="C729"/>
      <c r="D729"/>
      <c r="E729"/>
      <c r="F729" s="27" t="s">
        <v>7</v>
      </c>
      <c r="JK729" s="27" t="s">
        <v>8</v>
      </c>
      <c r="JL729" s="27" t="s">
        <v>7</v>
      </c>
      <c r="JM729" s="27" t="s">
        <v>8</v>
      </c>
      <c r="KZ729" s="27" t="s">
        <v>7</v>
      </c>
      <c r="LA729" s="27" t="s">
        <v>8</v>
      </c>
      <c r="LB729" s="27" t="s">
        <v>7</v>
      </c>
      <c r="LC729" s="27" t="s">
        <v>8</v>
      </c>
      <c r="LD729" s="27" t="s">
        <v>7</v>
      </c>
      <c r="LE729" s="27" t="s">
        <v>8</v>
      </c>
      <c r="LH729" s="27" t="s">
        <v>7</v>
      </c>
      <c r="LI729" s="27" t="s">
        <v>8</v>
      </c>
      <c r="LP729" s="27" t="s">
        <v>7</v>
      </c>
      <c r="LQ729" s="27" t="s">
        <v>8</v>
      </c>
      <c r="LR729" s="27" t="s">
        <v>7</v>
      </c>
      <c r="LS729" s="27" t="s">
        <v>8</v>
      </c>
      <c r="LX729" s="27" t="s">
        <v>7</v>
      </c>
      <c r="LZ729" s="27" t="s">
        <v>7</v>
      </c>
      <c r="MA729" s="27" t="s">
        <v>8</v>
      </c>
      <c r="MB729" s="27" t="s">
        <v>7</v>
      </c>
      <c r="PB729" s="27" t="s">
        <v>7</v>
      </c>
      <c r="PC729" s="27" t="s">
        <v>8</v>
      </c>
      <c r="PL729" s="27" t="s">
        <v>7</v>
      </c>
      <c r="PQ729" s="27" t="s">
        <v>8</v>
      </c>
      <c r="PR729" s="27" t="s">
        <v>7</v>
      </c>
      <c r="PS729" s="27" t="s">
        <v>8</v>
      </c>
    </row>
    <row r="730" spans="1:436" x14ac:dyDescent="0.25">
      <c r="A730" s="7">
        <v>5.8908157329606609E-2</v>
      </c>
      <c r="B730"/>
      <c r="C730"/>
      <c r="D730"/>
      <c r="E730"/>
      <c r="F730" s="27" t="s">
        <v>7</v>
      </c>
      <c r="JK730" s="27" t="s">
        <v>8</v>
      </c>
      <c r="JL730" s="27" t="s">
        <v>7</v>
      </c>
      <c r="JM730" s="27" t="s">
        <v>8</v>
      </c>
      <c r="KZ730" s="27" t="s">
        <v>7</v>
      </c>
      <c r="LA730" s="27" t="s">
        <v>8</v>
      </c>
      <c r="LB730" s="27" t="s">
        <v>7</v>
      </c>
      <c r="LC730" s="27" t="s">
        <v>8</v>
      </c>
      <c r="LD730" s="27" t="s">
        <v>7</v>
      </c>
      <c r="LE730" s="27" t="s">
        <v>8</v>
      </c>
      <c r="LH730" s="27" t="s">
        <v>7</v>
      </c>
      <c r="LP730" s="27" t="s">
        <v>7</v>
      </c>
      <c r="LQ730" s="27" t="s">
        <v>8</v>
      </c>
      <c r="LR730" s="27" t="s">
        <v>7</v>
      </c>
      <c r="LS730" s="27" t="s">
        <v>8</v>
      </c>
      <c r="LZ730" s="18" t="s">
        <v>7</v>
      </c>
      <c r="MA730" s="27" t="s">
        <v>8</v>
      </c>
      <c r="PB730" s="27" t="s">
        <v>7</v>
      </c>
      <c r="PL730" s="27" t="s">
        <v>7</v>
      </c>
      <c r="PQ730" s="27" t="s">
        <v>8</v>
      </c>
      <c r="PR730" s="27" t="s">
        <v>7</v>
      </c>
      <c r="PS730" s="27" t="s">
        <v>8</v>
      </c>
      <c r="PT730" s="27" t="s">
        <v>7</v>
      </c>
    </row>
    <row r="731" spans="1:436" x14ac:dyDescent="0.25">
      <c r="A731" s="7">
        <v>5.7753095421182947E-2</v>
      </c>
      <c r="B731"/>
      <c r="C731"/>
      <c r="D731"/>
      <c r="E731"/>
      <c r="F731" s="27" t="s">
        <v>7</v>
      </c>
      <c r="JK731" s="27" t="s">
        <v>8</v>
      </c>
      <c r="JL731" s="27" t="s">
        <v>7</v>
      </c>
      <c r="JM731" s="27" t="s">
        <v>8</v>
      </c>
      <c r="KZ731" s="27" t="s">
        <v>7</v>
      </c>
      <c r="LA731" s="27" t="s">
        <v>8</v>
      </c>
      <c r="LB731" s="27" t="s">
        <v>7</v>
      </c>
      <c r="LC731" s="27" t="s">
        <v>8</v>
      </c>
      <c r="LD731" s="27" t="s">
        <v>7</v>
      </c>
      <c r="LE731" s="27" t="s">
        <v>8</v>
      </c>
      <c r="LP731" s="27" t="s">
        <v>7</v>
      </c>
      <c r="LQ731" s="27" t="s">
        <v>8</v>
      </c>
      <c r="LR731" s="27" t="s">
        <v>7</v>
      </c>
      <c r="LZ731" s="27" t="s">
        <v>7</v>
      </c>
      <c r="MA731" s="27" t="s">
        <v>8</v>
      </c>
      <c r="PL731" s="27" t="s">
        <v>7</v>
      </c>
      <c r="PO731" s="27" t="s">
        <v>8</v>
      </c>
      <c r="PQ731" s="27" t="s">
        <v>8</v>
      </c>
      <c r="PR731" s="27" t="s">
        <v>7</v>
      </c>
      <c r="PS731" s="27" t="s">
        <v>8</v>
      </c>
      <c r="PT731" s="27" t="s">
        <v>7</v>
      </c>
    </row>
    <row r="732" spans="1:436" x14ac:dyDescent="0.25">
      <c r="A732" s="7">
        <v>5.6620681785473484E-2</v>
      </c>
      <c r="B732"/>
      <c r="C732"/>
      <c r="D732"/>
      <c r="E732"/>
      <c r="F732" s="27" t="s">
        <v>7</v>
      </c>
      <c r="JK732" s="27" t="s">
        <v>8</v>
      </c>
      <c r="JL732" s="27" t="s">
        <v>7</v>
      </c>
      <c r="JM732" s="27" t="s">
        <v>8</v>
      </c>
      <c r="KZ732" s="27" t="s">
        <v>7</v>
      </c>
      <c r="LA732" s="27" t="s">
        <v>8</v>
      </c>
      <c r="LB732" s="27" t="s">
        <v>7</v>
      </c>
      <c r="LC732" s="27" t="s">
        <v>8</v>
      </c>
      <c r="LD732" s="27" t="s">
        <v>7</v>
      </c>
      <c r="LE732" s="27" t="s">
        <v>8</v>
      </c>
      <c r="LP732" s="27" t="s">
        <v>7</v>
      </c>
      <c r="LQ732" s="27" t="s">
        <v>8</v>
      </c>
      <c r="LZ732" s="27" t="s">
        <v>7</v>
      </c>
      <c r="MA732" s="27" t="s">
        <v>8</v>
      </c>
      <c r="PL732" s="27" t="s">
        <v>7</v>
      </c>
      <c r="PM732" s="27" t="s">
        <v>8</v>
      </c>
      <c r="PO732" s="27" t="s">
        <v>8</v>
      </c>
      <c r="PP732" s="27" t="s">
        <v>7</v>
      </c>
      <c r="PQ732" s="27" t="s">
        <v>8</v>
      </c>
      <c r="PR732" s="27" t="s">
        <v>7</v>
      </c>
      <c r="PS732" s="27" t="s">
        <v>8</v>
      </c>
      <c r="PT732" s="27" t="s">
        <v>7</v>
      </c>
    </row>
    <row r="733" spans="1:436" x14ac:dyDescent="0.25">
      <c r="A733" s="7">
        <v>5.5510472338699497E-2</v>
      </c>
      <c r="B733"/>
      <c r="C733"/>
      <c r="D733"/>
      <c r="E733"/>
      <c r="F733" s="27" t="s">
        <v>7</v>
      </c>
      <c r="JK733" s="27" t="s">
        <v>8</v>
      </c>
      <c r="JL733" s="27" t="s">
        <v>7</v>
      </c>
      <c r="JM733" s="27" t="s">
        <v>8</v>
      </c>
      <c r="KZ733" s="27" t="s">
        <v>7</v>
      </c>
      <c r="LA733" s="27" t="s">
        <v>8</v>
      </c>
      <c r="LB733" s="27" t="s">
        <v>7</v>
      </c>
      <c r="LC733" s="27" t="s">
        <v>8</v>
      </c>
      <c r="LD733" s="27" t="s">
        <v>7</v>
      </c>
      <c r="LE733" s="27" t="s">
        <v>8</v>
      </c>
      <c r="LP733" s="27" t="s">
        <v>7</v>
      </c>
      <c r="LQ733" s="27" t="s">
        <v>8</v>
      </c>
      <c r="LZ733" s="27" t="s">
        <v>7</v>
      </c>
      <c r="PL733" s="27" t="s">
        <v>7</v>
      </c>
      <c r="PM733" s="27" t="s">
        <v>8</v>
      </c>
      <c r="PN733" s="27" t="s">
        <v>7</v>
      </c>
      <c r="PO733" s="27" t="s">
        <v>8</v>
      </c>
      <c r="PP733" s="27" t="s">
        <v>7</v>
      </c>
      <c r="PQ733" s="27" t="s">
        <v>8</v>
      </c>
      <c r="PR733" s="27" t="s">
        <v>7</v>
      </c>
      <c r="PS733" s="27" t="s">
        <v>8</v>
      </c>
      <c r="PT733" s="27" t="s">
        <v>7</v>
      </c>
    </row>
    <row r="734" spans="1:436" x14ac:dyDescent="0.25">
      <c r="A734" s="7">
        <v>5.4422031704607354E-2</v>
      </c>
      <c r="B734"/>
      <c r="C734"/>
      <c r="D734"/>
      <c r="E734"/>
      <c r="F734" s="27" t="s">
        <v>7</v>
      </c>
      <c r="JA734" s="27" t="s">
        <v>8</v>
      </c>
      <c r="JK734" s="27" t="s">
        <v>8</v>
      </c>
      <c r="JL734" s="27" t="s">
        <v>7</v>
      </c>
      <c r="JM734" s="27" t="s">
        <v>8</v>
      </c>
      <c r="KZ734" s="27" t="s">
        <v>7</v>
      </c>
      <c r="LA734" s="27" t="s">
        <v>8</v>
      </c>
      <c r="LB734" s="27" t="s">
        <v>7</v>
      </c>
      <c r="LC734" s="27" t="s">
        <v>8</v>
      </c>
      <c r="LD734" s="27" t="s">
        <v>7</v>
      </c>
      <c r="LP734" s="27" t="s">
        <v>7</v>
      </c>
      <c r="LQ734" s="27" t="s">
        <v>8</v>
      </c>
      <c r="PL734" s="27" t="s">
        <v>7</v>
      </c>
      <c r="PM734" s="27" t="s">
        <v>8</v>
      </c>
      <c r="PN734" s="27" t="s">
        <v>7</v>
      </c>
      <c r="PO734" s="27" t="s">
        <v>8</v>
      </c>
      <c r="PP734" s="27" t="s">
        <v>7</v>
      </c>
      <c r="PQ734" s="27" t="s">
        <v>8</v>
      </c>
      <c r="PR734" s="27" t="s">
        <v>7</v>
      </c>
      <c r="PS734" s="27" t="s">
        <v>8</v>
      </c>
      <c r="PT734" s="27" t="s">
        <v>7</v>
      </c>
    </row>
    <row r="735" spans="1:436" x14ac:dyDescent="0.25">
      <c r="A735" s="7">
        <v>5.3354933043732705E-2</v>
      </c>
      <c r="B735"/>
      <c r="C735"/>
      <c r="D735"/>
      <c r="E735"/>
      <c r="F735" s="27" t="s">
        <v>7</v>
      </c>
      <c r="JA735" s="27" t="s">
        <v>8</v>
      </c>
      <c r="JB735" s="27" t="s">
        <v>7</v>
      </c>
      <c r="JK735" s="27" t="s">
        <v>8</v>
      </c>
      <c r="JL735" s="27" t="s">
        <v>7</v>
      </c>
      <c r="JM735" s="27" t="s">
        <v>8</v>
      </c>
      <c r="KZ735" s="27" t="s">
        <v>7</v>
      </c>
      <c r="LA735" s="27" t="s">
        <v>8</v>
      </c>
      <c r="LB735" s="27" t="s">
        <v>7</v>
      </c>
      <c r="LC735" s="27" t="s">
        <v>8</v>
      </c>
      <c r="LP735" s="27" t="s">
        <v>7</v>
      </c>
      <c r="LQ735" s="27" t="s">
        <v>8</v>
      </c>
      <c r="PL735" s="27" t="s">
        <v>7</v>
      </c>
      <c r="PN735" s="27" t="s">
        <v>7</v>
      </c>
      <c r="PO735" s="27" t="s">
        <v>8</v>
      </c>
      <c r="PP735" s="27" t="s">
        <v>7</v>
      </c>
      <c r="PR735" s="27" t="s">
        <v>7</v>
      </c>
      <c r="PT735" s="27" t="s">
        <v>7</v>
      </c>
    </row>
    <row r="736" spans="1:436" x14ac:dyDescent="0.25">
      <c r="A736" s="7">
        <v>5.2308757886012455E-2</v>
      </c>
      <c r="B736"/>
      <c r="C736"/>
      <c r="D736"/>
      <c r="E736"/>
      <c r="F736" s="27" t="s">
        <v>7</v>
      </c>
      <c r="JA736" s="27" t="s">
        <v>8</v>
      </c>
      <c r="JB736" s="27" t="s">
        <v>7</v>
      </c>
      <c r="JK736" s="27" t="s">
        <v>8</v>
      </c>
      <c r="JL736" s="27" t="s">
        <v>7</v>
      </c>
      <c r="JM736" s="27" t="s">
        <v>8</v>
      </c>
      <c r="KZ736" s="27" t="s">
        <v>7</v>
      </c>
      <c r="LA736" s="27" t="s">
        <v>8</v>
      </c>
      <c r="LB736" s="27" t="s">
        <v>7</v>
      </c>
      <c r="LC736" s="27" t="s">
        <v>8</v>
      </c>
      <c r="LP736" s="27" t="s">
        <v>7</v>
      </c>
      <c r="LQ736" s="27" t="s">
        <v>8</v>
      </c>
      <c r="PN736" s="27" t="s">
        <v>7</v>
      </c>
      <c r="PO736" s="27" t="s">
        <v>8</v>
      </c>
      <c r="PT736" s="27" t="s">
        <v>7</v>
      </c>
    </row>
    <row r="737" spans="1:440" x14ac:dyDescent="0.25">
      <c r="A737" s="7">
        <v>5.1283095966678877E-2</v>
      </c>
      <c r="B737"/>
      <c r="C737"/>
      <c r="D737"/>
      <c r="E737"/>
      <c r="F737" s="27" t="s">
        <v>7</v>
      </c>
      <c r="JA737" s="27" t="s">
        <v>8</v>
      </c>
      <c r="JB737" s="27" t="s">
        <v>7</v>
      </c>
      <c r="JK737" s="27" t="s">
        <v>8</v>
      </c>
      <c r="JL737" s="27" t="s">
        <v>7</v>
      </c>
      <c r="JM737" s="27" t="s">
        <v>8</v>
      </c>
      <c r="KZ737" s="27" t="s">
        <v>7</v>
      </c>
      <c r="LA737" s="27" t="s">
        <v>8</v>
      </c>
      <c r="LB737" s="27" t="s">
        <v>7</v>
      </c>
      <c r="LC737" s="27" t="s">
        <v>8</v>
      </c>
      <c r="LP737" s="27" t="s">
        <v>7</v>
      </c>
      <c r="LQ737" s="27" t="s">
        <v>8</v>
      </c>
      <c r="PN737" s="27" t="s">
        <v>7</v>
      </c>
      <c r="PO737" s="27" t="s">
        <v>8</v>
      </c>
      <c r="PT737" s="27" t="s">
        <v>7</v>
      </c>
    </row>
    <row r="738" spans="1:440" x14ac:dyDescent="0.25">
      <c r="A738" s="7">
        <v>5.0277545065371444E-2</v>
      </c>
      <c r="B738"/>
      <c r="C738"/>
      <c r="D738"/>
      <c r="E738"/>
      <c r="F738" s="27" t="s">
        <v>7</v>
      </c>
      <c r="JA738" s="27" t="s">
        <v>8</v>
      </c>
      <c r="JB738" s="27" t="s">
        <v>7</v>
      </c>
      <c r="JK738" s="27" t="s">
        <v>8</v>
      </c>
      <c r="JL738" s="27" t="s">
        <v>7</v>
      </c>
      <c r="JM738" s="27" t="s">
        <v>8</v>
      </c>
      <c r="KZ738" s="27" t="s">
        <v>7</v>
      </c>
      <c r="LA738" s="27" t="s">
        <v>8</v>
      </c>
      <c r="LB738" s="27" t="s">
        <v>7</v>
      </c>
      <c r="LC738" s="27" t="s">
        <v>8</v>
      </c>
      <c r="LP738" s="27" t="s">
        <v>7</v>
      </c>
      <c r="LQ738" s="27" t="s">
        <v>8</v>
      </c>
      <c r="PN738" s="27" t="s">
        <v>7</v>
      </c>
      <c r="PT738" s="27" t="s">
        <v>7</v>
      </c>
    </row>
    <row r="739" spans="1:440" x14ac:dyDescent="0.25">
      <c r="A739" s="7">
        <v>4.9291710848403378E-2</v>
      </c>
      <c r="B739"/>
      <c r="C739"/>
      <c r="D739"/>
      <c r="E739"/>
      <c r="F739" s="27" t="s">
        <v>7</v>
      </c>
      <c r="JA739" s="27" t="s">
        <v>8</v>
      </c>
      <c r="JB739" s="27" t="s">
        <v>7</v>
      </c>
      <c r="JC739" s="27" t="s">
        <v>8</v>
      </c>
      <c r="JK739" s="27" t="s">
        <v>8</v>
      </c>
      <c r="JL739" s="27" t="s">
        <v>7</v>
      </c>
      <c r="JM739" s="27" t="s">
        <v>8</v>
      </c>
      <c r="KZ739" s="27" t="s">
        <v>7</v>
      </c>
      <c r="LA739" s="27" t="s">
        <v>8</v>
      </c>
      <c r="LB739" s="27" t="s">
        <v>7</v>
      </c>
      <c r="LC739" s="27" t="s">
        <v>8</v>
      </c>
      <c r="LP739" s="27" t="s">
        <v>7</v>
      </c>
      <c r="PT739" s="27" t="s">
        <v>7</v>
      </c>
    </row>
    <row r="740" spans="1:440" x14ac:dyDescent="0.25">
      <c r="A740" s="7">
        <v>4.8325206714120959E-2</v>
      </c>
      <c r="B740"/>
      <c r="C740"/>
      <c r="D740"/>
      <c r="E740"/>
      <c r="F740" s="27" t="s">
        <v>7</v>
      </c>
      <c r="IY740" s="27" t="s">
        <v>8</v>
      </c>
      <c r="JA740" s="27" t="s">
        <v>8</v>
      </c>
      <c r="JB740" s="27" t="s">
        <v>7</v>
      </c>
      <c r="JC740" s="27" t="s">
        <v>8</v>
      </c>
      <c r="JD740" s="27" t="s">
        <v>7</v>
      </c>
      <c r="JK740" s="27" t="s">
        <v>8</v>
      </c>
      <c r="JL740" s="27" t="s">
        <v>7</v>
      </c>
      <c r="JM740" s="27" t="s">
        <v>8</v>
      </c>
      <c r="KZ740" s="27" t="s">
        <v>7</v>
      </c>
      <c r="LA740" s="27" t="s">
        <v>8</v>
      </c>
      <c r="LB740" s="27" t="s">
        <v>7</v>
      </c>
      <c r="LC740" s="27" t="s">
        <v>8</v>
      </c>
      <c r="PT740" s="27" t="s">
        <v>7</v>
      </c>
    </row>
    <row r="741" spans="1:440" x14ac:dyDescent="0.25">
      <c r="A741" s="7">
        <v>4.7377653641295057E-2</v>
      </c>
      <c r="B741"/>
      <c r="C741"/>
      <c r="D741"/>
      <c r="E741"/>
      <c r="F741" s="27" t="s">
        <v>7</v>
      </c>
      <c r="IY741" s="27" t="s">
        <v>8</v>
      </c>
      <c r="IZ741" s="27" t="s">
        <v>7</v>
      </c>
      <c r="JA741" s="27" t="s">
        <v>8</v>
      </c>
      <c r="JB741" s="27" t="s">
        <v>7</v>
      </c>
      <c r="JC741" s="27" t="s">
        <v>8</v>
      </c>
      <c r="JD741" s="27" t="s">
        <v>7</v>
      </c>
      <c r="JK741" s="27" t="s">
        <v>8</v>
      </c>
      <c r="JL741" s="27" t="s">
        <v>7</v>
      </c>
      <c r="JM741" s="27" t="s">
        <v>8</v>
      </c>
      <c r="KZ741" s="27" t="s">
        <v>7</v>
      </c>
      <c r="LA741" s="27" t="s">
        <v>8</v>
      </c>
      <c r="LB741" s="27" t="s">
        <v>7</v>
      </c>
      <c r="LC741" s="27" t="s">
        <v>8</v>
      </c>
      <c r="PT741" s="27" t="s">
        <v>7</v>
      </c>
      <c r="PU741" s="27" t="s">
        <v>8</v>
      </c>
    </row>
    <row r="742" spans="1:440" x14ac:dyDescent="0.25">
      <c r="A742" s="7">
        <v>4.644868004048535E-2</v>
      </c>
      <c r="B742"/>
      <c r="C742"/>
      <c r="D742"/>
      <c r="E742"/>
      <c r="F742" s="27" t="s">
        <v>7</v>
      </c>
      <c r="IY742" s="27" t="s">
        <v>8</v>
      </c>
      <c r="IZ742" s="27" t="s">
        <v>7</v>
      </c>
      <c r="JA742" s="27" t="s">
        <v>8</v>
      </c>
      <c r="JB742" s="27" t="s">
        <v>7</v>
      </c>
      <c r="JC742" s="27" t="s">
        <v>8</v>
      </c>
      <c r="JD742" s="27" t="s">
        <v>7</v>
      </c>
      <c r="JK742" s="27" t="s">
        <v>8</v>
      </c>
      <c r="JL742" s="27" t="s">
        <v>7</v>
      </c>
      <c r="KZ742" s="27" t="s">
        <v>7</v>
      </c>
      <c r="LA742" s="27" t="s">
        <v>8</v>
      </c>
      <c r="LB742" s="27" t="s">
        <v>7</v>
      </c>
      <c r="LC742" s="27" t="s">
        <v>8</v>
      </c>
      <c r="PT742" s="27" t="s">
        <v>7</v>
      </c>
      <c r="PU742" s="27" t="s">
        <v>8</v>
      </c>
      <c r="PV742" s="27" t="s">
        <v>7</v>
      </c>
      <c r="PW742" s="27" t="s">
        <v>8</v>
      </c>
    </row>
    <row r="743" spans="1:440" x14ac:dyDescent="0.25">
      <c r="A743" s="7">
        <v>4.5537921608318974E-2</v>
      </c>
      <c r="B743"/>
      <c r="C743"/>
      <c r="D743"/>
      <c r="E743"/>
      <c r="F743" s="27" t="s">
        <v>7</v>
      </c>
      <c r="IY743" s="27" t="s">
        <v>8</v>
      </c>
      <c r="IZ743" s="27" t="s">
        <v>7</v>
      </c>
      <c r="JA743" s="27" t="s">
        <v>8</v>
      </c>
      <c r="JB743" s="27" t="s">
        <v>7</v>
      </c>
      <c r="JC743" s="27" t="s">
        <v>8</v>
      </c>
      <c r="JD743" s="27" t="s">
        <v>7</v>
      </c>
      <c r="JK743" s="27" t="s">
        <v>8</v>
      </c>
      <c r="KZ743" s="27" t="s">
        <v>7</v>
      </c>
      <c r="LA743" s="27" t="s">
        <v>8</v>
      </c>
      <c r="LB743" s="27" t="s">
        <v>7</v>
      </c>
      <c r="LC743" s="27" t="s">
        <v>8</v>
      </c>
      <c r="PT743" s="27" t="s">
        <v>7</v>
      </c>
      <c r="PU743" s="27" t="s">
        <v>8</v>
      </c>
      <c r="PV743" s="27" t="s">
        <v>7</v>
      </c>
      <c r="PW743" s="27" t="s">
        <v>8</v>
      </c>
      <c r="PX743" s="27" t="s">
        <v>7</v>
      </c>
    </row>
    <row r="744" spans="1:440" x14ac:dyDescent="0.25">
      <c r="A744" s="7">
        <v>4.4645021184626446E-2</v>
      </c>
      <c r="B744"/>
      <c r="C744"/>
      <c r="D744"/>
      <c r="E744"/>
      <c r="F744" s="27" t="s">
        <v>7</v>
      </c>
      <c r="IY744" s="27" t="s">
        <v>8</v>
      </c>
      <c r="IZ744" s="27" t="s">
        <v>7</v>
      </c>
      <c r="JA744" s="27" t="s">
        <v>8</v>
      </c>
      <c r="JB744" s="27" t="s">
        <v>7</v>
      </c>
      <c r="JC744" s="27" t="s">
        <v>8</v>
      </c>
      <c r="JD744" s="27" t="s">
        <v>7</v>
      </c>
      <c r="JK744" s="27" t="s">
        <v>8</v>
      </c>
      <c r="KZ744" s="27" t="s">
        <v>7</v>
      </c>
      <c r="LA744" s="27" t="s">
        <v>8</v>
      </c>
      <c r="LB744" s="27" t="s">
        <v>7</v>
      </c>
      <c r="LC744" s="27" t="s">
        <v>8</v>
      </c>
      <c r="PT744" s="27" t="s">
        <v>7</v>
      </c>
      <c r="PU744" s="27" t="s">
        <v>8</v>
      </c>
      <c r="PV744" s="27" t="s">
        <v>7</v>
      </c>
      <c r="PW744" s="27" t="s">
        <v>8</v>
      </c>
      <c r="PX744" s="27" t="s">
        <v>7</v>
      </c>
    </row>
    <row r="745" spans="1:440" x14ac:dyDescent="0.25">
      <c r="A745" s="7">
        <v>4.3769628612378868E-2</v>
      </c>
      <c r="B745"/>
      <c r="C745"/>
      <c r="D745"/>
      <c r="E745"/>
      <c r="F745" s="27" t="s">
        <v>7</v>
      </c>
      <c r="IY745" s="27" t="s">
        <v>8</v>
      </c>
      <c r="IZ745" s="27" t="s">
        <v>7</v>
      </c>
      <c r="JA745" s="27" t="s">
        <v>8</v>
      </c>
      <c r="JB745" s="27" t="s">
        <v>7</v>
      </c>
      <c r="JD745" s="27" t="s">
        <v>7</v>
      </c>
      <c r="JK745" s="27" t="s">
        <v>8</v>
      </c>
      <c r="KZ745" s="27" t="s">
        <v>7</v>
      </c>
      <c r="LA745" s="27" t="s">
        <v>8</v>
      </c>
      <c r="LB745" s="27" t="s">
        <v>7</v>
      </c>
      <c r="LC745" s="27" t="s">
        <v>8</v>
      </c>
      <c r="PT745" s="27" t="s">
        <v>7</v>
      </c>
      <c r="PU745" s="27" t="s">
        <v>8</v>
      </c>
      <c r="PV745" s="27" t="s">
        <v>7</v>
      </c>
      <c r="PW745" s="27" t="s">
        <v>8</v>
      </c>
      <c r="PX745" s="27" t="s">
        <v>7</v>
      </c>
    </row>
    <row r="746" spans="1:440" x14ac:dyDescent="0.25">
      <c r="A746" s="7">
        <v>4.2911400600371442E-2</v>
      </c>
      <c r="B746"/>
      <c r="C746"/>
      <c r="D746"/>
      <c r="E746"/>
      <c r="F746" s="27" t="s">
        <v>7</v>
      </c>
      <c r="IY746" s="27" t="s">
        <v>8</v>
      </c>
      <c r="IZ746" s="27" t="s">
        <v>7</v>
      </c>
      <c r="JA746" s="27" t="s">
        <v>8</v>
      </c>
      <c r="JD746" s="27" t="s">
        <v>7</v>
      </c>
      <c r="JK746" s="27" t="s">
        <v>8</v>
      </c>
      <c r="KZ746" s="27" t="s">
        <v>7</v>
      </c>
      <c r="LB746" s="27" t="s">
        <v>7</v>
      </c>
      <c r="LC746" s="27" t="s">
        <v>8</v>
      </c>
      <c r="PT746" s="27" t="s">
        <v>7</v>
      </c>
      <c r="PU746" s="27" t="s">
        <v>8</v>
      </c>
      <c r="PV746" s="27" t="s">
        <v>7</v>
      </c>
      <c r="PW746" s="27" t="s">
        <v>8</v>
      </c>
      <c r="PX746" s="27" t="s">
        <v>7</v>
      </c>
    </row>
    <row r="747" spans="1:440" x14ac:dyDescent="0.25">
      <c r="A747" s="7">
        <v>4.2070000588599457E-2</v>
      </c>
      <c r="B747"/>
      <c r="C747"/>
      <c r="D747"/>
      <c r="E747"/>
      <c r="F747" s="27" t="s">
        <v>7</v>
      </c>
      <c r="IY747" s="27" t="s">
        <v>8</v>
      </c>
      <c r="IZ747" s="27" t="s">
        <v>7</v>
      </c>
      <c r="JA747" s="27" t="s">
        <v>8</v>
      </c>
      <c r="JD747" s="27" t="s">
        <v>7</v>
      </c>
      <c r="JK747" s="27" t="s">
        <v>8</v>
      </c>
      <c r="LB747" s="27" t="s">
        <v>7</v>
      </c>
      <c r="LC747" s="27" t="s">
        <v>8</v>
      </c>
      <c r="PT747" s="27" t="s">
        <v>7</v>
      </c>
      <c r="PU747" s="27" t="s">
        <v>8</v>
      </c>
      <c r="PV747" s="27" t="s">
        <v>7</v>
      </c>
      <c r="PX747" s="27" t="s">
        <v>7</v>
      </c>
    </row>
    <row r="748" spans="1:440" x14ac:dyDescent="0.25">
      <c r="A748" s="7">
        <v>4.1245098616273977E-2</v>
      </c>
      <c r="B748"/>
      <c r="C748"/>
      <c r="D748"/>
      <c r="E748"/>
      <c r="F748" s="27" t="s">
        <v>7</v>
      </c>
      <c r="IY748" s="27" t="s">
        <v>8</v>
      </c>
      <c r="IZ748" s="27" t="s">
        <v>7</v>
      </c>
      <c r="JA748" s="27" t="s">
        <v>8</v>
      </c>
      <c r="JD748" s="27" t="s">
        <v>7</v>
      </c>
      <c r="JK748" s="27" t="s">
        <v>8</v>
      </c>
      <c r="LB748" s="27" t="s">
        <v>7</v>
      </c>
      <c r="LC748" s="27" t="s">
        <v>8</v>
      </c>
      <c r="PT748" s="27" t="s">
        <v>7</v>
      </c>
      <c r="PU748" s="27" t="s">
        <v>8</v>
      </c>
    </row>
    <row r="749" spans="1:440" x14ac:dyDescent="0.25">
      <c r="A749" s="7">
        <v>4.043637119242547E-2</v>
      </c>
      <c r="B749"/>
      <c r="C749"/>
      <c r="D749"/>
      <c r="E749"/>
      <c r="F749" s="27" t="s">
        <v>7</v>
      </c>
      <c r="IY749" s="27" t="s">
        <v>8</v>
      </c>
      <c r="IZ749" s="27" t="s">
        <v>7</v>
      </c>
      <c r="JA749" s="27" t="s">
        <v>8</v>
      </c>
      <c r="JD749" s="27" t="s">
        <v>7</v>
      </c>
      <c r="JE749" s="27" t="s">
        <v>8</v>
      </c>
      <c r="JK749" s="27" t="s">
        <v>8</v>
      </c>
      <c r="LB749" s="27" t="s">
        <v>7</v>
      </c>
      <c r="LC749" s="27" t="s">
        <v>8</v>
      </c>
      <c r="PT749" s="27" t="s">
        <v>7</v>
      </c>
      <c r="PU749" s="27" t="s">
        <v>8</v>
      </c>
    </row>
    <row r="750" spans="1:440" x14ac:dyDescent="0.25">
      <c r="A750" s="7">
        <v>3.9643501169044582E-2</v>
      </c>
      <c r="B750"/>
      <c r="C750"/>
      <c r="D750"/>
      <c r="E750"/>
      <c r="F750" s="27" t="s">
        <v>7</v>
      </c>
      <c r="IY750" s="27" t="s">
        <v>8</v>
      </c>
      <c r="IZ750" s="27" t="s">
        <v>7</v>
      </c>
      <c r="JA750" s="27" t="s">
        <v>8</v>
      </c>
      <c r="JD750" s="27" t="s">
        <v>7</v>
      </c>
      <c r="JE750" s="27" t="s">
        <v>8</v>
      </c>
      <c r="JF750" s="27" t="s">
        <v>7</v>
      </c>
      <c r="JG750" s="27" t="s">
        <v>8</v>
      </c>
      <c r="JK750" s="27" t="s">
        <v>8</v>
      </c>
      <c r="LB750" s="27" t="s">
        <v>7</v>
      </c>
      <c r="LC750" s="27" t="s">
        <v>8</v>
      </c>
      <c r="PT750" s="27" t="s">
        <v>7</v>
      </c>
      <c r="PU750" s="27" t="s">
        <v>8</v>
      </c>
    </row>
    <row r="751" spans="1:440" x14ac:dyDescent="0.25">
      <c r="A751" s="7">
        <v>3.8866177616710372E-2</v>
      </c>
      <c r="B751"/>
      <c r="C751"/>
      <c r="D751"/>
      <c r="E751"/>
      <c r="F751" s="27" t="s">
        <v>7</v>
      </c>
      <c r="IY751" s="27" t="s">
        <v>8</v>
      </c>
      <c r="IZ751" s="27" t="s">
        <v>7</v>
      </c>
      <c r="JA751" s="27" t="s">
        <v>8</v>
      </c>
      <c r="JD751" s="27" t="s">
        <v>7</v>
      </c>
      <c r="JE751" s="27" t="s">
        <v>8</v>
      </c>
      <c r="JF751" s="27" t="s">
        <v>7</v>
      </c>
      <c r="JG751" s="27" t="s">
        <v>8</v>
      </c>
      <c r="JH751" s="27" t="s">
        <v>7</v>
      </c>
      <c r="JK751" s="27" t="s">
        <v>8</v>
      </c>
      <c r="LB751" s="27" t="s">
        <v>7</v>
      </c>
      <c r="LC751" s="27" t="s">
        <v>8</v>
      </c>
      <c r="PT751" s="27" t="s">
        <v>7</v>
      </c>
      <c r="PU751" s="27" t="s">
        <v>8</v>
      </c>
    </row>
    <row r="752" spans="1:440" x14ac:dyDescent="0.25">
      <c r="A752" s="7">
        <v>3.8104095702657229E-2</v>
      </c>
      <c r="B752"/>
      <c r="C752"/>
      <c r="D752"/>
      <c r="E752"/>
      <c r="F752" s="27" t="s">
        <v>7</v>
      </c>
      <c r="IY752" s="27" t="s">
        <v>8</v>
      </c>
      <c r="IZ752" s="27" t="s">
        <v>7</v>
      </c>
      <c r="JD752" s="27" t="s">
        <v>7</v>
      </c>
      <c r="JE752" s="27" t="s">
        <v>8</v>
      </c>
      <c r="JF752" s="27" t="s">
        <v>7</v>
      </c>
      <c r="JG752" s="27" t="s">
        <v>8</v>
      </c>
      <c r="JH752" s="27" t="s">
        <v>7</v>
      </c>
      <c r="JK752" s="27" t="s">
        <v>8</v>
      </c>
      <c r="LB752" s="27" t="s">
        <v>7</v>
      </c>
      <c r="LC752" s="27" t="s">
        <v>8</v>
      </c>
      <c r="PT752" s="27" t="s">
        <v>7</v>
      </c>
      <c r="PU752" s="27" t="s">
        <v>8</v>
      </c>
    </row>
    <row r="753" spans="1:437" x14ac:dyDescent="0.25">
      <c r="A753" s="7">
        <v>3.7356956571232579E-2</v>
      </c>
      <c r="B753"/>
      <c r="C753"/>
      <c r="D753"/>
      <c r="E753"/>
      <c r="F753" s="27" t="s">
        <v>7</v>
      </c>
      <c r="IY753" s="27" t="s">
        <v>8</v>
      </c>
      <c r="JD753" s="27" t="s">
        <v>7</v>
      </c>
      <c r="JE753" s="27" t="s">
        <v>8</v>
      </c>
      <c r="JF753" s="27" t="s">
        <v>7</v>
      </c>
      <c r="JG753" s="27" t="s">
        <v>8</v>
      </c>
      <c r="JH753" s="27" t="s">
        <v>7</v>
      </c>
      <c r="JI753" s="27" t="s">
        <v>8</v>
      </c>
      <c r="JK753" s="27" t="s">
        <v>8</v>
      </c>
      <c r="LB753" s="27" t="s">
        <v>7</v>
      </c>
      <c r="LC753" s="27" t="s">
        <v>8</v>
      </c>
      <c r="PT753" s="27" t="s">
        <v>7</v>
      </c>
      <c r="PU753" s="27" t="s">
        <v>8</v>
      </c>
    </row>
    <row r="754" spans="1:437" x14ac:dyDescent="0.25">
      <c r="A754" s="7">
        <v>3.6624467226698605E-2</v>
      </c>
      <c r="B754"/>
      <c r="C754"/>
      <c r="D754"/>
      <c r="E754"/>
      <c r="F754" s="27" t="s">
        <v>7</v>
      </c>
      <c r="IY754" s="27" t="s">
        <v>8</v>
      </c>
      <c r="JD754" s="27" t="s">
        <v>7</v>
      </c>
      <c r="JE754" s="27" t="s">
        <v>8</v>
      </c>
      <c r="JF754" s="27" t="s">
        <v>7</v>
      </c>
      <c r="JG754" s="27" t="s">
        <v>8</v>
      </c>
      <c r="JH754" s="27" t="s">
        <v>7</v>
      </c>
      <c r="JI754" s="27" t="s">
        <v>8</v>
      </c>
      <c r="JJ754" s="27" t="s">
        <v>7</v>
      </c>
      <c r="JK754" s="27" t="s">
        <v>8</v>
      </c>
      <c r="LB754" s="27" t="s">
        <v>7</v>
      </c>
      <c r="LC754" s="27" t="s">
        <v>8</v>
      </c>
      <c r="PT754" s="27" t="s">
        <v>7</v>
      </c>
    </row>
    <row r="755" spans="1:437" x14ac:dyDescent="0.25">
      <c r="A755" s="7">
        <v>3.5906340418331961E-2</v>
      </c>
      <c r="B755"/>
      <c r="C755"/>
      <c r="D755"/>
      <c r="E755"/>
      <c r="F755" s="27" t="s">
        <v>7</v>
      </c>
      <c r="IY755" s="27" t="s">
        <v>8</v>
      </c>
      <c r="JD755" s="27" t="s">
        <v>7</v>
      </c>
      <c r="JE755" s="27" t="s">
        <v>8</v>
      </c>
      <c r="JF755" s="27" t="s">
        <v>7</v>
      </c>
      <c r="JG755" s="27" t="s">
        <v>8</v>
      </c>
      <c r="JH755" s="27" t="s">
        <v>7</v>
      </c>
      <c r="JI755" s="27" t="s">
        <v>8</v>
      </c>
      <c r="JJ755" s="27" t="s">
        <v>7</v>
      </c>
      <c r="JK755" s="27" t="s">
        <v>8</v>
      </c>
      <c r="LB755" s="27" t="s">
        <v>7</v>
      </c>
      <c r="LC755" s="27" t="s">
        <v>8</v>
      </c>
    </row>
    <row r="756" spans="1:437" x14ac:dyDescent="0.25">
      <c r="A756" s="7">
        <v>3.5202294527776436E-2</v>
      </c>
      <c r="B756"/>
      <c r="C756"/>
      <c r="D756"/>
      <c r="E756"/>
      <c r="F756" s="27" t="s">
        <v>7</v>
      </c>
      <c r="GA756" s="27" t="s">
        <v>8</v>
      </c>
      <c r="IY756" s="27" t="s">
        <v>8</v>
      </c>
      <c r="JD756" s="27" t="s">
        <v>7</v>
      </c>
      <c r="JE756" s="27" t="s">
        <v>8</v>
      </c>
      <c r="JF756" s="27" t="s">
        <v>7</v>
      </c>
      <c r="JG756" s="27" t="s">
        <v>8</v>
      </c>
      <c r="JH756" s="27" t="s">
        <v>7</v>
      </c>
      <c r="JI756" s="27" t="s">
        <v>8</v>
      </c>
      <c r="JJ756" s="27" t="s">
        <v>7</v>
      </c>
      <c r="JK756" s="27" t="s">
        <v>8</v>
      </c>
      <c r="LB756" s="27" t="s">
        <v>7</v>
      </c>
      <c r="LC756" s="27" t="s">
        <v>8</v>
      </c>
    </row>
    <row r="757" spans="1:437" x14ac:dyDescent="0.25">
      <c r="A757" s="7">
        <v>3.451205345860435E-2</v>
      </c>
      <c r="B757"/>
      <c r="C757"/>
      <c r="D757"/>
      <c r="E757"/>
      <c r="F757" s="27" t="s">
        <v>7</v>
      </c>
      <c r="GA757" s="27" t="s">
        <v>8</v>
      </c>
      <c r="GB757" s="27" t="s">
        <v>7</v>
      </c>
      <c r="IW757" s="27" t="s">
        <v>8</v>
      </c>
      <c r="IY757" s="27" t="s">
        <v>8</v>
      </c>
      <c r="JD757" s="27" t="s">
        <v>7</v>
      </c>
      <c r="JE757" s="27" t="s">
        <v>8</v>
      </c>
      <c r="JF757" s="27" t="s">
        <v>7</v>
      </c>
      <c r="JG757" s="27" t="s">
        <v>8</v>
      </c>
      <c r="JH757" s="27" t="s">
        <v>7</v>
      </c>
      <c r="JI757" s="27" t="s">
        <v>8</v>
      </c>
      <c r="JJ757" s="27" t="s">
        <v>7</v>
      </c>
      <c r="JK757" s="27" t="s">
        <v>8</v>
      </c>
      <c r="LB757" s="27" t="s">
        <v>7</v>
      </c>
      <c r="LC757" s="27" t="s">
        <v>8</v>
      </c>
    </row>
    <row r="758" spans="1:437" x14ac:dyDescent="0.25">
      <c r="A758" s="7">
        <v>3.3835346528043479E-2</v>
      </c>
      <c r="B758"/>
      <c r="C758"/>
      <c r="D758"/>
      <c r="E758"/>
      <c r="F758" s="27" t="s">
        <v>7</v>
      </c>
      <c r="GA758" s="27" t="s">
        <v>8</v>
      </c>
      <c r="GB758" s="27" t="s">
        <v>7</v>
      </c>
      <c r="IW758" s="27" t="s">
        <v>8</v>
      </c>
      <c r="IX758" s="27" t="s">
        <v>7</v>
      </c>
      <c r="IY758" s="27" t="s">
        <v>8</v>
      </c>
      <c r="JD758" s="27" t="s">
        <v>7</v>
      </c>
      <c r="JE758" s="27" t="s">
        <v>8</v>
      </c>
      <c r="JF758" s="27" t="s">
        <v>7</v>
      </c>
      <c r="JG758" s="27" t="s">
        <v>8</v>
      </c>
      <c r="JH758" s="27" t="s">
        <v>7</v>
      </c>
      <c r="JI758" s="27" t="s">
        <v>8</v>
      </c>
      <c r="JJ758" s="27" t="s">
        <v>7</v>
      </c>
      <c r="LB758" s="27" t="s">
        <v>7</v>
      </c>
      <c r="LC758" s="27" t="s">
        <v>8</v>
      </c>
    </row>
    <row r="759" spans="1:437" x14ac:dyDescent="0.25">
      <c r="A759" s="7">
        <v>3.3171908360826938E-2</v>
      </c>
      <c r="B759"/>
      <c r="C759"/>
      <c r="D759"/>
      <c r="E759"/>
      <c r="F759" s="27" t="s">
        <v>7</v>
      </c>
      <c r="GA759" s="27" t="s">
        <v>8</v>
      </c>
      <c r="GB759" s="27" t="s">
        <v>7</v>
      </c>
      <c r="IW759" s="27" t="s">
        <v>8</v>
      </c>
      <c r="IX759" s="27" t="s">
        <v>7</v>
      </c>
      <c r="IY759" s="27" t="s">
        <v>8</v>
      </c>
      <c r="JD759" s="27" t="s">
        <v>7</v>
      </c>
      <c r="JE759" s="27" t="s">
        <v>8</v>
      </c>
      <c r="JF759" s="27" t="s">
        <v>7</v>
      </c>
      <c r="JG759" s="27" t="s">
        <v>8</v>
      </c>
      <c r="JH759" s="27" t="s">
        <v>7</v>
      </c>
      <c r="JI759" s="27" t="s">
        <v>8</v>
      </c>
      <c r="LB759" s="27" t="s">
        <v>7</v>
      </c>
      <c r="LC759" s="27" t="s">
        <v>8</v>
      </c>
    </row>
    <row r="760" spans="1:437" x14ac:dyDescent="0.25">
      <c r="A760" s="7">
        <v>3.2521478785124451E-2</v>
      </c>
      <c r="B760"/>
      <c r="C760"/>
      <c r="D760"/>
      <c r="E760"/>
      <c r="F760" s="27" t="s">
        <v>7</v>
      </c>
      <c r="GA760" s="27" t="s">
        <v>8</v>
      </c>
      <c r="GB760" s="27" t="s">
        <v>7</v>
      </c>
      <c r="IO760" s="27" t="s">
        <v>8</v>
      </c>
      <c r="IU760" s="27" t="s">
        <v>8</v>
      </c>
      <c r="IW760" s="27" t="s">
        <v>8</v>
      </c>
      <c r="IX760" s="27" t="s">
        <v>7</v>
      </c>
      <c r="IY760" s="27" t="s">
        <v>8</v>
      </c>
      <c r="JD760" s="27" t="s">
        <v>7</v>
      </c>
      <c r="JE760" s="27" t="s">
        <v>8</v>
      </c>
      <c r="JF760" s="27" t="s">
        <v>7</v>
      </c>
      <c r="JH760" s="27" t="s">
        <v>7</v>
      </c>
      <c r="JI760" s="27" t="s">
        <v>8</v>
      </c>
      <c r="LB760" s="27" t="s">
        <v>7</v>
      </c>
      <c r="LC760" s="27" t="s">
        <v>8</v>
      </c>
    </row>
    <row r="761" spans="1:437" x14ac:dyDescent="0.25">
      <c r="A761" s="7">
        <v>3.1883802730514173E-2</v>
      </c>
      <c r="B761"/>
      <c r="C761"/>
      <c r="D761"/>
      <c r="E761"/>
      <c r="F761" s="27" t="s">
        <v>7</v>
      </c>
      <c r="GA761" s="27" t="s">
        <v>8</v>
      </c>
      <c r="GB761" s="27" t="s">
        <v>7</v>
      </c>
      <c r="GE761" s="27" t="s">
        <v>8</v>
      </c>
      <c r="IO761" s="27" t="s">
        <v>8</v>
      </c>
      <c r="IP761" s="27" t="s">
        <v>7</v>
      </c>
      <c r="IU761" s="27" t="s">
        <v>8</v>
      </c>
      <c r="IV761" s="27" t="s">
        <v>7</v>
      </c>
      <c r="IW761" s="27" t="s">
        <v>8</v>
      </c>
      <c r="IX761" s="27" t="s">
        <v>7</v>
      </c>
      <c r="IY761" s="27" t="s">
        <v>8</v>
      </c>
      <c r="JD761" s="27" t="s">
        <v>7</v>
      </c>
      <c r="JE761" s="27" t="s">
        <v>8</v>
      </c>
      <c r="JH761" s="27" t="s">
        <v>7</v>
      </c>
      <c r="JI761" s="27" t="s">
        <v>8</v>
      </c>
      <c r="LB761" s="27" t="s">
        <v>7</v>
      </c>
      <c r="LC761" s="27" t="s">
        <v>8</v>
      </c>
    </row>
    <row r="762" spans="1:437" x14ac:dyDescent="0.25">
      <c r="A762" s="7">
        <v>3.1258630127955073E-2</v>
      </c>
      <c r="B762"/>
      <c r="C762"/>
      <c r="D762"/>
      <c r="E762"/>
      <c r="F762" s="27" t="s">
        <v>7</v>
      </c>
      <c r="GA762" s="27" t="s">
        <v>8</v>
      </c>
      <c r="GB762" s="27" t="s">
        <v>7</v>
      </c>
      <c r="GC762" s="27" t="s">
        <v>8</v>
      </c>
      <c r="GE762" s="27" t="s">
        <v>8</v>
      </c>
      <c r="GF762" s="27" t="s">
        <v>7</v>
      </c>
      <c r="IO762" s="27" t="s">
        <v>8</v>
      </c>
      <c r="IP762" s="27" t="s">
        <v>7</v>
      </c>
      <c r="IU762" s="27" t="s">
        <v>8</v>
      </c>
      <c r="IV762" s="27" t="s">
        <v>7</v>
      </c>
      <c r="IW762" s="27" t="s">
        <v>8</v>
      </c>
      <c r="IX762" s="27" t="s">
        <v>7</v>
      </c>
      <c r="IY762" s="27" t="s">
        <v>8</v>
      </c>
      <c r="JD762" s="27" t="s">
        <v>7</v>
      </c>
      <c r="JH762" s="27" t="s">
        <v>7</v>
      </c>
      <c r="LB762" s="27" t="s">
        <v>7</v>
      </c>
    </row>
    <row r="763" spans="1:437" x14ac:dyDescent="0.25">
      <c r="A763" s="7">
        <v>3.064571581172066E-2</v>
      </c>
      <c r="B763"/>
      <c r="C763"/>
      <c r="D763"/>
      <c r="E763"/>
      <c r="F763" s="27" t="s">
        <v>7</v>
      </c>
      <c r="FY763" s="27" t="s">
        <v>8</v>
      </c>
      <c r="GA763" s="27" t="s">
        <v>8</v>
      </c>
      <c r="GB763" s="27" t="s">
        <v>7</v>
      </c>
      <c r="GC763" s="27" t="s">
        <v>8</v>
      </c>
      <c r="GD763" s="27" t="s">
        <v>7</v>
      </c>
      <c r="GE763" s="27" t="s">
        <v>8</v>
      </c>
      <c r="GF763" s="27" t="s">
        <v>7</v>
      </c>
      <c r="IO763" s="27" t="s">
        <v>8</v>
      </c>
      <c r="IP763" s="27" t="s">
        <v>7</v>
      </c>
      <c r="IU763" s="27" t="s">
        <v>8</v>
      </c>
      <c r="IV763" s="27" t="s">
        <v>7</v>
      </c>
      <c r="IW763" s="27" t="s">
        <v>8</v>
      </c>
      <c r="IX763" s="27" t="s">
        <v>7</v>
      </c>
      <c r="IY763" s="27" t="s">
        <v>8</v>
      </c>
    </row>
    <row r="764" spans="1:437" x14ac:dyDescent="0.25">
      <c r="A764" s="7">
        <v>3.0044819423255549E-2</v>
      </c>
      <c r="B764"/>
      <c r="C764"/>
      <c r="D764"/>
      <c r="E764"/>
      <c r="F764" s="27" t="s">
        <v>7</v>
      </c>
      <c r="FY764" s="27" t="s">
        <v>8</v>
      </c>
      <c r="FZ764" s="27" t="s">
        <v>7</v>
      </c>
      <c r="GA764" s="27" t="s">
        <v>8</v>
      </c>
      <c r="GB764" s="27" t="s">
        <v>7</v>
      </c>
      <c r="GC764" s="27" t="s">
        <v>8</v>
      </c>
      <c r="GD764" s="27" t="s">
        <v>7</v>
      </c>
      <c r="GE764" s="27" t="s">
        <v>8</v>
      </c>
      <c r="GF764" s="27" t="s">
        <v>7</v>
      </c>
      <c r="IO764" s="27" t="s">
        <v>8</v>
      </c>
      <c r="IP764" s="27" t="s">
        <v>7</v>
      </c>
      <c r="IU764" s="27" t="s">
        <v>8</v>
      </c>
      <c r="IV764" s="27" t="s">
        <v>7</v>
      </c>
      <c r="IW764" s="27" t="s">
        <v>8</v>
      </c>
      <c r="IX764" s="27" t="s">
        <v>7</v>
      </c>
      <c r="IY764" s="27" t="s">
        <v>8</v>
      </c>
    </row>
    <row r="765" spans="1:437" x14ac:dyDescent="0.25">
      <c r="A765" s="7">
        <v>2.9455705316917203E-2</v>
      </c>
      <c r="B765"/>
      <c r="C765"/>
      <c r="D765"/>
      <c r="E765"/>
      <c r="F765" s="27" t="s">
        <v>7</v>
      </c>
      <c r="FY765" s="27" t="s">
        <v>8</v>
      </c>
      <c r="FZ765" s="27" t="s">
        <v>7</v>
      </c>
      <c r="GA765" s="27" t="s">
        <v>8</v>
      </c>
      <c r="GB765" s="27" t="s">
        <v>7</v>
      </c>
      <c r="GC765" s="27" t="s">
        <v>8</v>
      </c>
      <c r="GD765" s="27" t="s">
        <v>7</v>
      </c>
      <c r="GE765" s="27" t="s">
        <v>8</v>
      </c>
      <c r="GF765" s="27" t="s">
        <v>7</v>
      </c>
      <c r="IO765" s="27" t="s">
        <v>8</v>
      </c>
      <c r="IP765" s="27" t="s">
        <v>7</v>
      </c>
      <c r="IU765" s="27" t="s">
        <v>8</v>
      </c>
      <c r="IV765" s="27" t="s">
        <v>7</v>
      </c>
      <c r="IW765" s="27" t="s">
        <v>8</v>
      </c>
      <c r="IX765" s="27" t="s">
        <v>7</v>
      </c>
      <c r="IY765" s="27" t="s">
        <v>8</v>
      </c>
    </row>
    <row r="766" spans="1:437" x14ac:dyDescent="0.25">
      <c r="A766" s="7">
        <v>2.8878142467565884E-2</v>
      </c>
      <c r="B766"/>
      <c r="C766"/>
      <c r="D766"/>
      <c r="E766"/>
      <c r="F766" s="27" t="s">
        <v>7</v>
      </c>
      <c r="FY766" s="27" t="s">
        <v>8</v>
      </c>
      <c r="FZ766" s="27" t="s">
        <v>7</v>
      </c>
      <c r="GA766" s="27" t="s">
        <v>8</v>
      </c>
      <c r="GB766" s="27" t="s">
        <v>7</v>
      </c>
      <c r="GC766" s="27" t="s">
        <v>8</v>
      </c>
      <c r="GD766" s="27" t="s">
        <v>7</v>
      </c>
      <c r="GE766" s="27" t="s">
        <v>8</v>
      </c>
      <c r="GF766" s="27" t="s">
        <v>7</v>
      </c>
      <c r="IO766" s="27" t="s">
        <v>8</v>
      </c>
      <c r="IP766" s="27" t="s">
        <v>7</v>
      </c>
      <c r="IU766" s="27" t="s">
        <v>8</v>
      </c>
      <c r="IV766" s="27" t="s">
        <v>7</v>
      </c>
      <c r="IW766" s="27" t="s">
        <v>8</v>
      </c>
      <c r="IX766" s="27" t="s">
        <v>7</v>
      </c>
      <c r="IY766" s="27" t="s">
        <v>8</v>
      </c>
    </row>
    <row r="767" spans="1:437" x14ac:dyDescent="0.25">
      <c r="A767" s="7">
        <v>2.8311904379966554E-2</v>
      </c>
      <c r="B767"/>
      <c r="C767"/>
      <c r="D767"/>
      <c r="E767"/>
      <c r="F767" s="27" t="s">
        <v>7</v>
      </c>
      <c r="FY767" s="27" t="s">
        <v>8</v>
      </c>
      <c r="FZ767" s="27" t="s">
        <v>7</v>
      </c>
      <c r="GA767" s="27" t="s">
        <v>8</v>
      </c>
      <c r="GB767" s="27" t="s">
        <v>7</v>
      </c>
      <c r="GC767" s="27" t="s">
        <v>8</v>
      </c>
      <c r="GD767" s="27" t="s">
        <v>7</v>
      </c>
      <c r="GF767" s="27" t="s">
        <v>7</v>
      </c>
      <c r="IO767" s="27" t="s">
        <v>8</v>
      </c>
      <c r="IP767" s="27" t="s">
        <v>7</v>
      </c>
      <c r="IU767" s="27" t="s">
        <v>8</v>
      </c>
      <c r="IV767" s="27" t="s">
        <v>7</v>
      </c>
      <c r="IX767" s="27" t="s">
        <v>7</v>
      </c>
    </row>
    <row r="768" spans="1:437" x14ac:dyDescent="0.25">
      <c r="A768" s="7">
        <v>2.7756768999967207E-2</v>
      </c>
      <c r="B768"/>
      <c r="C768"/>
      <c r="D768"/>
      <c r="E768"/>
      <c r="F768" s="27" t="s">
        <v>7</v>
      </c>
      <c r="FQ768" s="27" t="s">
        <v>8</v>
      </c>
      <c r="FY768" s="27" t="s">
        <v>8</v>
      </c>
      <c r="FZ768" s="27" t="s">
        <v>7</v>
      </c>
      <c r="GA768" s="27" t="s">
        <v>8</v>
      </c>
      <c r="GB768" s="27" t="s">
        <v>7</v>
      </c>
      <c r="GC768" s="27" t="s">
        <v>8</v>
      </c>
      <c r="GF768" s="27" t="s">
        <v>7</v>
      </c>
      <c r="IO768" s="27" t="s">
        <v>8</v>
      </c>
      <c r="IP768" s="27" t="s">
        <v>7</v>
      </c>
      <c r="IU768" s="27" t="s">
        <v>8</v>
      </c>
    </row>
    <row r="769" spans="1:255" x14ac:dyDescent="0.25">
      <c r="A769" s="7">
        <v>2.7212518627418834E-2</v>
      </c>
      <c r="B769"/>
      <c r="C769"/>
      <c r="D769"/>
      <c r="E769"/>
      <c r="F769" s="27" t="s">
        <v>7</v>
      </c>
      <c r="FQ769" s="27" t="s">
        <v>8</v>
      </c>
      <c r="FR769" s="27" t="s">
        <v>7</v>
      </c>
      <c r="FY769" s="27" t="s">
        <v>8</v>
      </c>
      <c r="FZ769" s="27" t="s">
        <v>7</v>
      </c>
      <c r="GA769" s="27" t="s">
        <v>8</v>
      </c>
      <c r="GB769" s="27" t="s">
        <v>7</v>
      </c>
      <c r="GC769" s="27" t="s">
        <v>8</v>
      </c>
      <c r="GF769" s="27" t="s">
        <v>7</v>
      </c>
      <c r="IO769" s="27" t="s">
        <v>8</v>
      </c>
      <c r="IP769" s="27" t="s">
        <v>7</v>
      </c>
      <c r="IQ769" s="27" t="s">
        <v>8</v>
      </c>
      <c r="IU769" s="27" t="s">
        <v>8</v>
      </c>
    </row>
    <row r="770" spans="1:255" x14ac:dyDescent="0.25">
      <c r="A770" s="7">
        <v>2.6678939830802779E-2</v>
      </c>
      <c r="B770"/>
      <c r="C770"/>
      <c r="D770"/>
      <c r="E770"/>
      <c r="F770" s="27" t="s">
        <v>7</v>
      </c>
      <c r="FQ770" s="27" t="s">
        <v>8</v>
      </c>
      <c r="FR770" s="27" t="s">
        <v>7</v>
      </c>
      <c r="FU770" s="27" t="s">
        <v>8</v>
      </c>
      <c r="FY770" s="27" t="s">
        <v>8</v>
      </c>
      <c r="FZ770" s="27" t="s">
        <v>7</v>
      </c>
      <c r="GA770" s="27" t="s">
        <v>8</v>
      </c>
      <c r="GB770" s="27" t="s">
        <v>7</v>
      </c>
      <c r="GC770" s="27" t="s">
        <v>8</v>
      </c>
      <c r="GF770" s="27" t="s">
        <v>7</v>
      </c>
      <c r="IM770" s="27" t="s">
        <v>8</v>
      </c>
      <c r="IO770" s="27" t="s">
        <v>8</v>
      </c>
      <c r="IP770" s="27" t="s">
        <v>7</v>
      </c>
      <c r="IQ770" s="27" t="s">
        <v>8</v>
      </c>
      <c r="IR770" s="27" t="s">
        <v>7</v>
      </c>
      <c r="IU770" s="27" t="s">
        <v>8</v>
      </c>
    </row>
    <row r="771" spans="1:255" x14ac:dyDescent="0.25">
      <c r="A771" s="7">
        <v>2.615582336353214E-2</v>
      </c>
      <c r="B771"/>
      <c r="C771"/>
      <c r="D771"/>
      <c r="E771"/>
      <c r="F771" s="27" t="s">
        <v>7</v>
      </c>
      <c r="S771" s="27" t="s">
        <v>8</v>
      </c>
      <c r="FQ771" s="27" t="s">
        <v>8</v>
      </c>
      <c r="FR771" s="27" t="s">
        <v>7</v>
      </c>
      <c r="FU771" s="27" t="s">
        <v>8</v>
      </c>
      <c r="FV771" s="27" t="s">
        <v>7</v>
      </c>
      <c r="FY771" s="27" t="s">
        <v>8</v>
      </c>
      <c r="FZ771" s="27" t="s">
        <v>7</v>
      </c>
      <c r="GA771" s="27" t="s">
        <v>8</v>
      </c>
      <c r="GB771" s="27" t="s">
        <v>7</v>
      </c>
      <c r="GF771" s="27" t="s">
        <v>7</v>
      </c>
      <c r="IM771" s="27" t="s">
        <v>8</v>
      </c>
      <c r="IN771" s="27" t="s">
        <v>7</v>
      </c>
      <c r="IO771" s="27" t="s">
        <v>8</v>
      </c>
      <c r="IP771" s="27" t="s">
        <v>7</v>
      </c>
      <c r="IQ771" s="27" t="s">
        <v>8</v>
      </c>
      <c r="IR771" s="27" t="s">
        <v>7</v>
      </c>
      <c r="IU771" s="27" t="s">
        <v>8</v>
      </c>
    </row>
    <row r="772" spans="1:255" x14ac:dyDescent="0.25">
      <c r="A772" s="7">
        <v>2.5642964081894253E-2</v>
      </c>
      <c r="B772"/>
      <c r="C772"/>
      <c r="D772"/>
      <c r="E772"/>
      <c r="F772" s="27" t="s">
        <v>7</v>
      </c>
      <c r="S772" s="27" t="s">
        <v>8</v>
      </c>
      <c r="T772" s="27" t="s">
        <v>7</v>
      </c>
      <c r="FQ772" s="27" t="s">
        <v>8</v>
      </c>
      <c r="FR772" s="27" t="s">
        <v>7</v>
      </c>
      <c r="FU772" s="27" t="s">
        <v>8</v>
      </c>
      <c r="FV772" s="27" t="s">
        <v>7</v>
      </c>
      <c r="FW772" s="27" t="s">
        <v>8</v>
      </c>
      <c r="FY772" s="27" t="s">
        <v>8</v>
      </c>
      <c r="FZ772" s="27" t="s">
        <v>7</v>
      </c>
      <c r="GA772" s="27" t="s">
        <v>8</v>
      </c>
      <c r="GF772" s="27" t="s">
        <v>7</v>
      </c>
      <c r="IM772" s="27" t="s">
        <v>8</v>
      </c>
      <c r="IN772" s="27" t="s">
        <v>7</v>
      </c>
      <c r="IO772" s="27" t="s">
        <v>8</v>
      </c>
      <c r="IP772" s="27" t="s">
        <v>7</v>
      </c>
      <c r="IQ772" s="27" t="s">
        <v>8</v>
      </c>
      <c r="IR772" s="27" t="s">
        <v>7</v>
      </c>
      <c r="IU772" s="27" t="s">
        <v>8</v>
      </c>
    </row>
    <row r="773" spans="1:255" x14ac:dyDescent="0.25">
      <c r="A773" s="7">
        <v>2.5140160864602207E-2</v>
      </c>
      <c r="B773"/>
      <c r="C773"/>
      <c r="D773"/>
      <c r="E773"/>
      <c r="F773" s="27" t="s">
        <v>7</v>
      </c>
      <c r="S773" s="27" t="s">
        <v>8</v>
      </c>
      <c r="T773" s="27" t="s">
        <v>7</v>
      </c>
      <c r="FQ773" s="27" t="s">
        <v>8</v>
      </c>
      <c r="FR773" s="27" t="s">
        <v>7</v>
      </c>
      <c r="FS773" s="27" t="s">
        <v>8</v>
      </c>
      <c r="FU773" s="27" t="s">
        <v>8</v>
      </c>
      <c r="FV773" s="27" t="s">
        <v>7</v>
      </c>
      <c r="FW773" s="27" t="s">
        <v>8</v>
      </c>
      <c r="FX773" s="27" t="s">
        <v>7</v>
      </c>
      <c r="FY773" s="27" t="s">
        <v>8</v>
      </c>
      <c r="FZ773" s="27" t="s">
        <v>7</v>
      </c>
      <c r="GA773" s="27" t="s">
        <v>8</v>
      </c>
      <c r="GF773" s="27" t="s">
        <v>7</v>
      </c>
      <c r="IK773" s="27" t="s">
        <v>8</v>
      </c>
      <c r="IM773" s="27" t="s">
        <v>8</v>
      </c>
      <c r="IN773" s="27" t="s">
        <v>7</v>
      </c>
      <c r="IO773" s="27" t="s">
        <v>8</v>
      </c>
      <c r="IP773" s="27" t="s">
        <v>7</v>
      </c>
      <c r="IQ773" s="27" t="s">
        <v>8</v>
      </c>
      <c r="IR773" s="27" t="s">
        <v>7</v>
      </c>
      <c r="IU773" s="27" t="s">
        <v>8</v>
      </c>
    </row>
    <row r="774" spans="1:255" x14ac:dyDescent="0.25">
      <c r="A774" s="7">
        <v>2.4647216533923735E-2</v>
      </c>
      <c r="B774"/>
      <c r="C774"/>
      <c r="D774"/>
      <c r="E774"/>
      <c r="F774" s="27" t="s">
        <v>7</v>
      </c>
      <c r="S774" s="27" t="s">
        <v>8</v>
      </c>
      <c r="T774" s="27" t="s">
        <v>7</v>
      </c>
      <c r="FQ774" s="27" t="s">
        <v>8</v>
      </c>
      <c r="FR774" s="27" t="s">
        <v>7</v>
      </c>
      <c r="FS774" s="27" t="s">
        <v>8</v>
      </c>
      <c r="FT774" s="27" t="s">
        <v>7</v>
      </c>
      <c r="FU774" s="27" t="s">
        <v>8</v>
      </c>
      <c r="FV774" s="27" t="s">
        <v>7</v>
      </c>
      <c r="FW774" s="27" t="s">
        <v>8</v>
      </c>
      <c r="FX774" s="27" t="s">
        <v>7</v>
      </c>
      <c r="FY774" s="27" t="s">
        <v>8</v>
      </c>
      <c r="FZ774" s="27" t="s">
        <v>7</v>
      </c>
      <c r="GA774" s="27" t="s">
        <v>8</v>
      </c>
      <c r="GF774" s="27" t="s">
        <v>7</v>
      </c>
      <c r="IK774" s="27" t="s">
        <v>8</v>
      </c>
      <c r="IL774" s="27" t="s">
        <v>7</v>
      </c>
      <c r="IM774" s="27" t="s">
        <v>8</v>
      </c>
      <c r="IN774" s="27" t="s">
        <v>7</v>
      </c>
      <c r="IO774" s="27" t="s">
        <v>8</v>
      </c>
      <c r="IP774" s="27" t="s">
        <v>7</v>
      </c>
      <c r="IQ774" s="27" t="s">
        <v>8</v>
      </c>
      <c r="IR774" s="27" t="s">
        <v>7</v>
      </c>
      <c r="IS774" s="27" t="s">
        <v>8</v>
      </c>
      <c r="IU774" s="27" t="s">
        <v>8</v>
      </c>
    </row>
    <row r="775" spans="1:255" x14ac:dyDescent="0.25">
      <c r="A775" s="7">
        <v>2.4163937778356601E-2</v>
      </c>
      <c r="B775"/>
      <c r="C775"/>
      <c r="D775"/>
      <c r="E775"/>
      <c r="F775" s="27" t="s">
        <v>7</v>
      </c>
      <c r="S775" s="27" t="s">
        <v>8</v>
      </c>
      <c r="T775" s="27" t="s">
        <v>7</v>
      </c>
      <c r="FQ775" s="27" t="s">
        <v>8</v>
      </c>
      <c r="FR775" s="27" t="s">
        <v>7</v>
      </c>
      <c r="FS775" s="27" t="s">
        <v>8</v>
      </c>
      <c r="FT775" s="27" t="s">
        <v>7</v>
      </c>
      <c r="FU775" s="27" t="s">
        <v>8</v>
      </c>
      <c r="FV775" s="27" t="s">
        <v>7</v>
      </c>
      <c r="FX775" s="27" t="s">
        <v>7</v>
      </c>
      <c r="FY775" s="27" t="s">
        <v>8</v>
      </c>
      <c r="FZ775" s="27" t="s">
        <v>7</v>
      </c>
      <c r="GA775" s="27" t="s">
        <v>8</v>
      </c>
      <c r="GF775" s="27" t="s">
        <v>7</v>
      </c>
      <c r="IK775" s="27" t="s">
        <v>8</v>
      </c>
      <c r="IL775" s="27" t="s">
        <v>7</v>
      </c>
      <c r="IM775" s="27" t="s">
        <v>8</v>
      </c>
      <c r="IN775" s="27" t="s">
        <v>7</v>
      </c>
      <c r="IO775" s="27" t="s">
        <v>8</v>
      </c>
      <c r="IP775" s="27" t="s">
        <v>7</v>
      </c>
      <c r="IQ775" s="27" t="s">
        <v>8</v>
      </c>
      <c r="IR775" s="27" t="s">
        <v>7</v>
      </c>
      <c r="IS775" s="27" t="s">
        <v>8</v>
      </c>
      <c r="IT775" s="27" t="s">
        <v>7</v>
      </c>
      <c r="IU775" s="27" t="s">
        <v>8</v>
      </c>
    </row>
    <row r="776" spans="1:255" x14ac:dyDescent="0.25">
      <c r="A776" s="7">
        <v>2.3690135076820197E-2</v>
      </c>
      <c r="B776"/>
      <c r="C776"/>
      <c r="D776"/>
      <c r="E776"/>
      <c r="F776" s="27" t="s">
        <v>7</v>
      </c>
      <c r="S776" s="27" t="s">
        <v>8</v>
      </c>
      <c r="T776" s="27" t="s">
        <v>7</v>
      </c>
      <c r="FQ776" s="27" t="s">
        <v>8</v>
      </c>
      <c r="FR776" s="27" t="s">
        <v>7</v>
      </c>
      <c r="FS776" s="27" t="s">
        <v>8</v>
      </c>
      <c r="FT776" s="27" t="s">
        <v>7</v>
      </c>
      <c r="FU776" s="27" t="s">
        <v>8</v>
      </c>
      <c r="FX776" s="27" t="s">
        <v>7</v>
      </c>
      <c r="FY776" s="27" t="s">
        <v>8</v>
      </c>
      <c r="FZ776" s="27" t="s">
        <v>7</v>
      </c>
      <c r="GA776" s="27" t="s">
        <v>8</v>
      </c>
      <c r="GF776" s="27" t="s">
        <v>7</v>
      </c>
      <c r="IK776" s="27" t="s">
        <v>8</v>
      </c>
      <c r="IL776" s="27" t="s">
        <v>7</v>
      </c>
      <c r="IM776" s="27" t="s">
        <v>8</v>
      </c>
      <c r="IN776" s="27" t="s">
        <v>7</v>
      </c>
      <c r="IO776" s="27" t="s">
        <v>8</v>
      </c>
      <c r="IP776" s="27" t="s">
        <v>7</v>
      </c>
      <c r="IQ776" s="27" t="s">
        <v>8</v>
      </c>
      <c r="IR776" s="27" t="s">
        <v>7</v>
      </c>
      <c r="IS776" s="27" t="s">
        <v>8</v>
      </c>
      <c r="IT776" s="27" t="s">
        <v>7</v>
      </c>
      <c r="IU776" s="27" t="s">
        <v>8</v>
      </c>
    </row>
    <row r="777" spans="1:255" x14ac:dyDescent="0.25">
      <c r="A777" s="7">
        <v>2.3225622624333527E-2</v>
      </c>
      <c r="B777"/>
      <c r="C777"/>
      <c r="D777"/>
      <c r="E777"/>
      <c r="F777" s="27" t="s">
        <v>7</v>
      </c>
      <c r="S777" s="27" t="s">
        <v>8</v>
      </c>
      <c r="T777" s="27" t="s">
        <v>7</v>
      </c>
      <c r="FO777" s="27" t="s">
        <v>8</v>
      </c>
      <c r="FQ777" s="27" t="s">
        <v>8</v>
      </c>
      <c r="FR777" s="27" t="s">
        <v>7</v>
      </c>
      <c r="FS777" s="27" t="s">
        <v>8</v>
      </c>
      <c r="FT777" s="27" t="s">
        <v>7</v>
      </c>
      <c r="FU777" s="27" t="s">
        <v>8</v>
      </c>
      <c r="FX777" s="27" t="s">
        <v>7</v>
      </c>
      <c r="FZ777" s="27" t="s">
        <v>7</v>
      </c>
      <c r="GA777" s="27" t="s">
        <v>8</v>
      </c>
      <c r="GF777" s="27" t="s">
        <v>7</v>
      </c>
      <c r="GK777" s="27" t="s">
        <v>8</v>
      </c>
      <c r="IK777" s="27" t="s">
        <v>8</v>
      </c>
      <c r="IL777" s="27" t="s">
        <v>7</v>
      </c>
      <c r="IM777" s="27" t="s">
        <v>8</v>
      </c>
      <c r="IN777" s="27" t="s">
        <v>7</v>
      </c>
      <c r="IO777" s="27" t="s">
        <v>8</v>
      </c>
      <c r="IP777" s="27" t="s">
        <v>7</v>
      </c>
      <c r="IQ777" s="27" t="s">
        <v>8</v>
      </c>
      <c r="IR777" s="27" t="s">
        <v>7</v>
      </c>
      <c r="IS777" s="27" t="s">
        <v>8</v>
      </c>
      <c r="IT777" s="27" t="s">
        <v>7</v>
      </c>
      <c r="IU777" s="27" t="s">
        <v>8</v>
      </c>
    </row>
    <row r="778" spans="1:255" x14ac:dyDescent="0.25">
      <c r="A778" s="7">
        <v>2.2770218259150519E-2</v>
      </c>
      <c r="B778"/>
      <c r="C778"/>
      <c r="D778"/>
      <c r="E778"/>
      <c r="F778" s="27" t="s">
        <v>7</v>
      </c>
      <c r="S778" s="27" t="s">
        <v>8</v>
      </c>
      <c r="T778" s="27" t="s">
        <v>7</v>
      </c>
      <c r="FO778" s="27" t="s">
        <v>8</v>
      </c>
      <c r="FP778" s="27" t="s">
        <v>7</v>
      </c>
      <c r="FQ778" s="27" t="s">
        <v>8</v>
      </c>
      <c r="FR778" s="27" t="s">
        <v>7</v>
      </c>
      <c r="FT778" s="27" t="s">
        <v>7</v>
      </c>
      <c r="FU778" s="27" t="s">
        <v>8</v>
      </c>
      <c r="FZ778" s="27" t="s">
        <v>7</v>
      </c>
      <c r="GA778" s="27" t="s">
        <v>8</v>
      </c>
      <c r="GF778" s="27" t="s">
        <v>7</v>
      </c>
      <c r="GG778" s="27" t="s">
        <v>8</v>
      </c>
      <c r="GK778" s="27" t="s">
        <v>8</v>
      </c>
      <c r="GL778" s="27" t="s">
        <v>7</v>
      </c>
      <c r="IK778" s="27" t="s">
        <v>8</v>
      </c>
      <c r="IL778" s="27" t="s">
        <v>7</v>
      </c>
      <c r="IM778" s="27" t="s">
        <v>8</v>
      </c>
      <c r="IN778" s="27" t="s">
        <v>7</v>
      </c>
      <c r="IO778" s="27" t="s">
        <v>8</v>
      </c>
      <c r="IP778" s="27" t="s">
        <v>7</v>
      </c>
      <c r="IQ778" s="27" t="s">
        <v>8</v>
      </c>
      <c r="IR778" s="27" t="s">
        <v>7</v>
      </c>
      <c r="IS778" s="27" t="s">
        <v>8</v>
      </c>
      <c r="IT778" s="27" t="s">
        <v>7</v>
      </c>
      <c r="IU778" s="27" t="s">
        <v>8</v>
      </c>
    </row>
    <row r="779" spans="1:255" x14ac:dyDescent="0.25">
      <c r="A779" s="7">
        <v>2.2323743391324039E-2</v>
      </c>
      <c r="B779"/>
      <c r="C779"/>
      <c r="D779"/>
      <c r="E779"/>
      <c r="F779" s="27" t="s">
        <v>7</v>
      </c>
      <c r="S779" s="27" t="s">
        <v>8</v>
      </c>
      <c r="T779" s="27" t="s">
        <v>7</v>
      </c>
      <c r="FO779" s="27" t="s">
        <v>8</v>
      </c>
      <c r="FP779" s="27" t="s">
        <v>7</v>
      </c>
      <c r="FQ779" s="27" t="s">
        <v>8</v>
      </c>
      <c r="FT779" s="27" t="s">
        <v>7</v>
      </c>
      <c r="FU779" s="27" t="s">
        <v>8</v>
      </c>
      <c r="FZ779" s="27" t="s">
        <v>7</v>
      </c>
      <c r="GF779" s="27" t="s">
        <v>7</v>
      </c>
      <c r="GG779" s="27" t="s">
        <v>8</v>
      </c>
      <c r="GH779" s="27" t="s">
        <v>7</v>
      </c>
      <c r="GI779" s="27" t="s">
        <v>8</v>
      </c>
      <c r="GK779" s="27" t="s">
        <v>8</v>
      </c>
      <c r="GL779" s="27" t="s">
        <v>7</v>
      </c>
      <c r="GM779" s="27" t="s">
        <v>8</v>
      </c>
      <c r="IK779" s="27" t="s">
        <v>8</v>
      </c>
      <c r="IL779" s="27" t="s">
        <v>7</v>
      </c>
      <c r="IM779" s="27" t="s">
        <v>8</v>
      </c>
      <c r="IN779" s="27" t="s">
        <v>7</v>
      </c>
      <c r="IP779" s="27" t="s">
        <v>7</v>
      </c>
      <c r="IQ779" s="27" t="s">
        <v>8</v>
      </c>
      <c r="IR779" s="27" t="s">
        <v>7</v>
      </c>
      <c r="IS779" s="27" t="s">
        <v>8</v>
      </c>
      <c r="IT779" s="27" t="s">
        <v>7</v>
      </c>
      <c r="IU779" s="27" t="s">
        <v>8</v>
      </c>
    </row>
    <row r="780" spans="1:255" x14ac:dyDescent="0.25">
      <c r="A780" s="7">
        <v>2.188602293267063E-2</v>
      </c>
      <c r="B780"/>
      <c r="C780"/>
      <c r="D780"/>
      <c r="E780"/>
      <c r="F780" s="27" t="s">
        <v>7</v>
      </c>
      <c r="S780" s="27" t="s">
        <v>8</v>
      </c>
      <c r="T780" s="27" t="s">
        <v>7</v>
      </c>
      <c r="FO780" s="27" t="s">
        <v>8</v>
      </c>
      <c r="FP780" s="27" t="s">
        <v>7</v>
      </c>
      <c r="FQ780" s="27" t="s">
        <v>8</v>
      </c>
      <c r="FT780" s="27" t="s">
        <v>7</v>
      </c>
      <c r="GF780" s="27" t="s">
        <v>7</v>
      </c>
      <c r="GG780" s="27" t="s">
        <v>8</v>
      </c>
      <c r="GH780" s="27" t="s">
        <v>7</v>
      </c>
      <c r="GI780" s="27" t="s">
        <v>8</v>
      </c>
      <c r="GJ780" s="27" t="s">
        <v>7</v>
      </c>
      <c r="GK780" s="27" t="s">
        <v>8</v>
      </c>
      <c r="GL780" s="27" t="s">
        <v>7</v>
      </c>
      <c r="GM780" s="27" t="s">
        <v>8</v>
      </c>
      <c r="GN780" s="27" t="s">
        <v>7</v>
      </c>
      <c r="IA780" s="27" t="s">
        <v>8</v>
      </c>
      <c r="IE780" s="27" t="s">
        <v>8</v>
      </c>
      <c r="IK780" s="27" t="s">
        <v>8</v>
      </c>
      <c r="IL780" s="27" t="s">
        <v>7</v>
      </c>
      <c r="IM780" s="27" t="s">
        <v>8</v>
      </c>
      <c r="IP780" s="27" t="s">
        <v>7</v>
      </c>
      <c r="IQ780" s="27" t="s">
        <v>8</v>
      </c>
      <c r="IR780" s="27" t="s">
        <v>7</v>
      </c>
      <c r="IS780" s="27" t="s">
        <v>8</v>
      </c>
      <c r="IT780" s="27" t="s">
        <v>7</v>
      </c>
    </row>
    <row r="781" spans="1:255" x14ac:dyDescent="0.25">
      <c r="A781" s="7">
        <v>2.1456885228108461E-2</v>
      </c>
      <c r="B781"/>
      <c r="C781"/>
      <c r="D781"/>
      <c r="E781"/>
      <c r="F781" s="27" t="s">
        <v>7</v>
      </c>
      <c r="S781" s="27" t="s">
        <v>8</v>
      </c>
      <c r="T781" s="27" t="s">
        <v>7</v>
      </c>
      <c r="FO781" s="27" t="s">
        <v>8</v>
      </c>
      <c r="FP781" s="27" t="s">
        <v>7</v>
      </c>
      <c r="FQ781" s="27" t="s">
        <v>8</v>
      </c>
      <c r="GF781" s="27" t="s">
        <v>7</v>
      </c>
      <c r="GG781" s="27" t="s">
        <v>8</v>
      </c>
      <c r="GH781" s="27" t="s">
        <v>7</v>
      </c>
      <c r="GI781" s="27" t="s">
        <v>8</v>
      </c>
      <c r="GJ781" s="27" t="s">
        <v>7</v>
      </c>
      <c r="GK781" s="27" t="s">
        <v>8</v>
      </c>
      <c r="GL781" s="27" t="s">
        <v>7</v>
      </c>
      <c r="GM781" s="27" t="s">
        <v>8</v>
      </c>
      <c r="GN781" s="27" t="s">
        <v>7</v>
      </c>
      <c r="IA781" s="27" t="s">
        <v>8</v>
      </c>
      <c r="IB781" s="27" t="s">
        <v>7</v>
      </c>
      <c r="IE781" s="27" t="s">
        <v>8</v>
      </c>
      <c r="IF781" s="27" t="s">
        <v>7</v>
      </c>
      <c r="II781" s="27" t="s">
        <v>8</v>
      </c>
      <c r="IK781" s="27" t="s">
        <v>8</v>
      </c>
      <c r="IL781" s="27" t="s">
        <v>7</v>
      </c>
      <c r="IM781" s="27" t="s">
        <v>8</v>
      </c>
      <c r="IP781" s="27" t="s">
        <v>7</v>
      </c>
      <c r="IQ781" s="27" t="s">
        <v>8</v>
      </c>
      <c r="IR781" s="27" t="s">
        <v>7</v>
      </c>
      <c r="IS781" s="27" t="s">
        <v>8</v>
      </c>
    </row>
    <row r="782" spans="1:255" x14ac:dyDescent="0.25">
      <c r="A782" s="7">
        <v>2.1036161988341632E-2</v>
      </c>
      <c r="B782"/>
      <c r="C782"/>
      <c r="D782"/>
      <c r="E782"/>
      <c r="F782" s="27" t="s">
        <v>7</v>
      </c>
      <c r="S782" s="27" t="s">
        <v>8</v>
      </c>
      <c r="T782" s="27" t="s">
        <v>7</v>
      </c>
      <c r="FO782" s="27" t="s">
        <v>8</v>
      </c>
      <c r="FP782" s="27" t="s">
        <v>7</v>
      </c>
      <c r="FQ782" s="27" t="s">
        <v>8</v>
      </c>
      <c r="GF782" s="27" t="s">
        <v>7</v>
      </c>
      <c r="GG782" s="27" t="s">
        <v>8</v>
      </c>
      <c r="GH782" s="27" t="s">
        <v>7</v>
      </c>
      <c r="GI782" s="27" t="s">
        <v>8</v>
      </c>
      <c r="GJ782" s="27" t="s">
        <v>7</v>
      </c>
      <c r="GK782" s="27" t="s">
        <v>8</v>
      </c>
      <c r="GL782" s="27" t="s">
        <v>7</v>
      </c>
      <c r="GM782" s="27" t="s">
        <v>8</v>
      </c>
      <c r="GN782" s="27" t="s">
        <v>7</v>
      </c>
      <c r="IA782" s="27" t="s">
        <v>8</v>
      </c>
      <c r="IB782" s="27" t="s">
        <v>7</v>
      </c>
      <c r="IE782" s="27" t="s">
        <v>8</v>
      </c>
      <c r="IF782" s="27" t="s">
        <v>7</v>
      </c>
      <c r="IG782" s="27" t="s">
        <v>8</v>
      </c>
      <c r="II782" s="27" t="s">
        <v>8</v>
      </c>
      <c r="IJ782" s="27" t="s">
        <v>7</v>
      </c>
      <c r="IK782" s="27" t="s">
        <v>8</v>
      </c>
      <c r="IL782" s="27" t="s">
        <v>7</v>
      </c>
      <c r="IM782" s="27" t="s">
        <v>8</v>
      </c>
      <c r="IP782" s="27" t="s">
        <v>7</v>
      </c>
      <c r="IR782" s="27" t="s">
        <v>7</v>
      </c>
      <c r="IS782" s="27" t="s">
        <v>8</v>
      </c>
    </row>
    <row r="783" spans="1:255" x14ac:dyDescent="0.25">
      <c r="A783" s="7">
        <v>2.0623688223864345E-2</v>
      </c>
      <c r="B783"/>
      <c r="C783"/>
      <c r="D783"/>
      <c r="E783"/>
      <c r="F783" s="27" t="s">
        <v>7</v>
      </c>
      <c r="S783" s="27" t="s">
        <v>8</v>
      </c>
      <c r="T783" s="27" t="s">
        <v>7</v>
      </c>
      <c r="FO783" s="27" t="s">
        <v>8</v>
      </c>
      <c r="FP783" s="27" t="s">
        <v>7</v>
      </c>
      <c r="FQ783" s="27" t="s">
        <v>8</v>
      </c>
      <c r="GF783" s="27" t="s">
        <v>7</v>
      </c>
      <c r="GG783" s="27" t="s">
        <v>8</v>
      </c>
      <c r="GH783" s="27" t="s">
        <v>7</v>
      </c>
      <c r="GI783" s="27" t="s">
        <v>8</v>
      </c>
      <c r="GJ783" s="27" t="s">
        <v>7</v>
      </c>
      <c r="GK783" s="27" t="s">
        <v>8</v>
      </c>
      <c r="GL783" s="27" t="s">
        <v>7</v>
      </c>
      <c r="GM783" s="27" t="s">
        <v>8</v>
      </c>
      <c r="GN783" s="27" t="s">
        <v>7</v>
      </c>
      <c r="GO783" s="27" t="s">
        <v>8</v>
      </c>
      <c r="GQ783" s="27" t="s">
        <v>8</v>
      </c>
      <c r="IA783" s="27" t="s">
        <v>8</v>
      </c>
      <c r="IB783" s="27" t="s">
        <v>7</v>
      </c>
      <c r="IE783" s="27" t="s">
        <v>8</v>
      </c>
      <c r="IF783" s="27" t="s">
        <v>7</v>
      </c>
      <c r="IG783" s="27" t="s">
        <v>8</v>
      </c>
      <c r="IH783" s="27" t="s">
        <v>7</v>
      </c>
      <c r="II783" s="27" t="s">
        <v>8</v>
      </c>
      <c r="IJ783" s="27" t="s">
        <v>7</v>
      </c>
      <c r="IK783" s="27" t="s">
        <v>8</v>
      </c>
      <c r="IL783" s="27" t="s">
        <v>7</v>
      </c>
      <c r="IM783" s="27" t="s">
        <v>8</v>
      </c>
      <c r="IR783" s="27" t="s">
        <v>7</v>
      </c>
      <c r="IS783" s="27" t="s">
        <v>8</v>
      </c>
    </row>
    <row r="784" spans="1:255" x14ac:dyDescent="0.25">
      <c r="A784" s="7">
        <v>2.021930218025916E-2</v>
      </c>
      <c r="B784"/>
      <c r="C784"/>
      <c r="D784"/>
      <c r="E784"/>
      <c r="F784" s="27" t="s">
        <v>7</v>
      </c>
      <c r="S784" s="27" t="s">
        <v>8</v>
      </c>
      <c r="T784" s="27" t="s">
        <v>7</v>
      </c>
      <c r="FO784" s="27" t="s">
        <v>8</v>
      </c>
      <c r="FP784" s="27" t="s">
        <v>7</v>
      </c>
      <c r="FQ784" s="27" t="s">
        <v>8</v>
      </c>
      <c r="GF784" s="27" t="s">
        <v>7</v>
      </c>
      <c r="GG784" s="27" t="s">
        <v>8</v>
      </c>
      <c r="GH784" s="27" t="s">
        <v>7</v>
      </c>
      <c r="GI784" s="27" t="s">
        <v>8</v>
      </c>
      <c r="GJ784" s="27" t="s">
        <v>7</v>
      </c>
      <c r="GK784" s="27" t="s">
        <v>8</v>
      </c>
      <c r="GL784" s="27" t="s">
        <v>7</v>
      </c>
      <c r="GM784" s="27" t="s">
        <v>8</v>
      </c>
      <c r="GN784" s="27" t="s">
        <v>7</v>
      </c>
      <c r="GO784" s="27" t="s">
        <v>8</v>
      </c>
      <c r="GP784" s="27" t="s">
        <v>7</v>
      </c>
      <c r="GQ784" s="27" t="s">
        <v>8</v>
      </c>
      <c r="GR784" s="27" t="s">
        <v>7</v>
      </c>
      <c r="IA784" s="27" t="s">
        <v>8</v>
      </c>
      <c r="IB784" s="27" t="s">
        <v>7</v>
      </c>
      <c r="IE784" s="27" t="s">
        <v>8</v>
      </c>
      <c r="IF784" s="27" t="s">
        <v>7</v>
      </c>
      <c r="IG784" s="27" t="s">
        <v>8</v>
      </c>
      <c r="IH784" s="27" t="s">
        <v>7</v>
      </c>
      <c r="II784" s="27" t="s">
        <v>8</v>
      </c>
      <c r="IJ784" s="27" t="s">
        <v>7</v>
      </c>
      <c r="IK784" s="27" t="s">
        <v>8</v>
      </c>
      <c r="IL784" s="27" t="s">
        <v>7</v>
      </c>
      <c r="IM784" s="27" t="s">
        <v>8</v>
      </c>
      <c r="IR784" s="27" t="s">
        <v>7</v>
      </c>
      <c r="IS784" s="27" t="s">
        <v>8</v>
      </c>
    </row>
    <row r="785" spans="1:252" x14ac:dyDescent="0.25">
      <c r="A785" s="7">
        <v>1.9822845274763884E-2</v>
      </c>
      <c r="B785"/>
      <c r="C785"/>
      <c r="D785"/>
      <c r="E785"/>
      <c r="F785" s="27" t="s">
        <v>7</v>
      </c>
      <c r="S785" s="27" t="s">
        <v>8</v>
      </c>
      <c r="T785" s="27" t="s">
        <v>7</v>
      </c>
      <c r="FO785" s="27" t="s">
        <v>8</v>
      </c>
      <c r="FP785" s="27" t="s">
        <v>7</v>
      </c>
      <c r="GF785" s="27" t="s">
        <v>7</v>
      </c>
      <c r="GG785" s="27" t="s">
        <v>8</v>
      </c>
      <c r="GH785" s="27" t="s">
        <v>7</v>
      </c>
      <c r="GJ785" s="27" t="s">
        <v>7</v>
      </c>
      <c r="GK785" s="27" t="s">
        <v>8</v>
      </c>
      <c r="GL785" s="27" t="s">
        <v>7</v>
      </c>
      <c r="GM785" s="27" t="s">
        <v>8</v>
      </c>
      <c r="GN785" s="27" t="s">
        <v>7</v>
      </c>
      <c r="GO785" s="27" t="s">
        <v>8</v>
      </c>
      <c r="GP785" s="27" t="s">
        <v>7</v>
      </c>
      <c r="GQ785" s="27" t="s">
        <v>8</v>
      </c>
      <c r="GR785" s="27" t="s">
        <v>7</v>
      </c>
      <c r="IA785" s="27" t="s">
        <v>8</v>
      </c>
      <c r="IB785" s="27" t="s">
        <v>7</v>
      </c>
      <c r="IE785" s="27" t="s">
        <v>8</v>
      </c>
      <c r="IF785" s="27" t="s">
        <v>7</v>
      </c>
      <c r="IG785" s="27" t="s">
        <v>8</v>
      </c>
      <c r="IH785" s="27" t="s">
        <v>7</v>
      </c>
      <c r="II785" s="27" t="s">
        <v>8</v>
      </c>
      <c r="IJ785" s="27" t="s">
        <v>7</v>
      </c>
      <c r="IK785" s="27" t="s">
        <v>8</v>
      </c>
      <c r="IL785" s="27" t="s">
        <v>7</v>
      </c>
      <c r="IM785" s="27" t="s">
        <v>8</v>
      </c>
      <c r="IR785" s="27" t="s">
        <v>7</v>
      </c>
    </row>
    <row r="786" spans="1:252" x14ac:dyDescent="0.25">
      <c r="A786" s="7">
        <v>1.9434162034082238E-2</v>
      </c>
      <c r="B786"/>
      <c r="C786"/>
      <c r="D786"/>
      <c r="E786"/>
      <c r="F786" s="27" t="s">
        <v>7</v>
      </c>
      <c r="S786" s="27" t="s">
        <v>8</v>
      </c>
      <c r="T786" s="27" t="s">
        <v>7</v>
      </c>
      <c r="FO786" s="27" t="s">
        <v>8</v>
      </c>
      <c r="GF786" s="27" t="s">
        <v>7</v>
      </c>
      <c r="GG786" s="27" t="s">
        <v>8</v>
      </c>
      <c r="GJ786" s="27" t="s">
        <v>7</v>
      </c>
      <c r="GK786" s="27" t="s">
        <v>8</v>
      </c>
      <c r="GL786" s="27" t="s">
        <v>7</v>
      </c>
      <c r="GM786" s="27" t="s">
        <v>8</v>
      </c>
      <c r="GN786" s="27" t="s">
        <v>7</v>
      </c>
      <c r="GO786" s="27" t="s">
        <v>8</v>
      </c>
      <c r="GP786" s="27" t="s">
        <v>7</v>
      </c>
      <c r="GQ786" s="27" t="s">
        <v>8</v>
      </c>
      <c r="GR786" s="27" t="s">
        <v>7</v>
      </c>
      <c r="IA786" s="27" t="s">
        <v>8</v>
      </c>
      <c r="IB786" s="27" t="s">
        <v>7</v>
      </c>
      <c r="IC786" s="27" t="s">
        <v>8</v>
      </c>
      <c r="IE786" s="27" t="s">
        <v>8</v>
      </c>
      <c r="IF786" s="27" t="s">
        <v>7</v>
      </c>
      <c r="IG786" s="27" t="s">
        <v>8</v>
      </c>
      <c r="IH786" s="27" t="s">
        <v>7</v>
      </c>
      <c r="II786" s="27" t="s">
        <v>8</v>
      </c>
      <c r="IJ786" s="27" t="s">
        <v>7</v>
      </c>
      <c r="IK786" s="27" t="s">
        <v>8</v>
      </c>
      <c r="IL786" s="27" t="s">
        <v>7</v>
      </c>
      <c r="IM786" s="27" t="s">
        <v>8</v>
      </c>
    </row>
    <row r="787" spans="1:252" x14ac:dyDescent="0.25">
      <c r="A787" s="7">
        <v>1.9053100033413959E-2</v>
      </c>
      <c r="B787"/>
      <c r="C787"/>
      <c r="D787"/>
      <c r="E787"/>
      <c r="F787" s="27" t="s">
        <v>7</v>
      </c>
      <c r="S787" s="27" t="s">
        <v>8</v>
      </c>
      <c r="T787" s="27" t="s">
        <v>7</v>
      </c>
      <c r="FO787" s="27" t="s">
        <v>8</v>
      </c>
      <c r="GF787" s="27" t="s">
        <v>7</v>
      </c>
      <c r="GG787" s="27" t="s">
        <v>8</v>
      </c>
      <c r="GJ787" s="27" t="s">
        <v>7</v>
      </c>
      <c r="GK787" s="27" t="s">
        <v>8</v>
      </c>
      <c r="GL787" s="27" t="s">
        <v>7</v>
      </c>
      <c r="GM787" s="27" t="s">
        <v>8</v>
      </c>
      <c r="GN787" s="27" t="s">
        <v>7</v>
      </c>
      <c r="GO787" s="27" t="s">
        <v>8</v>
      </c>
      <c r="GP787" s="27" t="s">
        <v>7</v>
      </c>
      <c r="GQ787" s="27" t="s">
        <v>8</v>
      </c>
      <c r="GR787" s="27" t="s">
        <v>7</v>
      </c>
      <c r="IA787" s="27" t="s">
        <v>8</v>
      </c>
      <c r="IB787" s="27" t="s">
        <v>7</v>
      </c>
      <c r="IC787" s="27" t="s">
        <v>8</v>
      </c>
      <c r="ID787" s="27" t="s">
        <v>7</v>
      </c>
      <c r="IE787" s="27" t="s">
        <v>8</v>
      </c>
      <c r="IF787" s="27" t="s">
        <v>7</v>
      </c>
      <c r="IG787" s="27" t="s">
        <v>8</v>
      </c>
      <c r="IH787" s="27" t="s">
        <v>7</v>
      </c>
      <c r="II787" s="27" t="s">
        <v>8</v>
      </c>
      <c r="IJ787" s="27" t="s">
        <v>7</v>
      </c>
      <c r="IK787" s="27" t="s">
        <v>8</v>
      </c>
      <c r="IL787" s="27" t="s">
        <v>7</v>
      </c>
    </row>
    <row r="788" spans="1:252" x14ac:dyDescent="0.25">
      <c r="A788" s="7">
        <v>1.867950983668035E-2</v>
      </c>
      <c r="B788"/>
      <c r="C788"/>
      <c r="D788"/>
      <c r="E788"/>
      <c r="F788" s="27" t="s">
        <v>7</v>
      </c>
      <c r="S788" s="27" t="s">
        <v>8</v>
      </c>
      <c r="T788" s="27" t="s">
        <v>7</v>
      </c>
      <c r="FO788" s="27" t="s">
        <v>8</v>
      </c>
      <c r="GF788" s="27" t="s">
        <v>7</v>
      </c>
      <c r="GG788" s="27" t="s">
        <v>8</v>
      </c>
      <c r="GJ788" s="27" t="s">
        <v>7</v>
      </c>
      <c r="GK788" s="27" t="s">
        <v>8</v>
      </c>
      <c r="GL788" s="27" t="s">
        <v>7</v>
      </c>
      <c r="GM788" s="27" t="s">
        <v>8</v>
      </c>
      <c r="GN788" s="27" t="s">
        <v>7</v>
      </c>
      <c r="GO788" s="27" t="s">
        <v>8</v>
      </c>
      <c r="GP788" s="27" t="s">
        <v>7</v>
      </c>
      <c r="GQ788" s="27" t="s">
        <v>8</v>
      </c>
      <c r="GR788" s="27" t="s">
        <v>7</v>
      </c>
      <c r="IA788" s="27" t="s">
        <v>8</v>
      </c>
      <c r="IB788" s="27" t="s">
        <v>7</v>
      </c>
      <c r="IC788" s="27" t="s">
        <v>8</v>
      </c>
      <c r="ID788" s="27" t="s">
        <v>7</v>
      </c>
      <c r="IE788" s="27" t="s">
        <v>8</v>
      </c>
      <c r="IF788" s="27" t="s">
        <v>7</v>
      </c>
      <c r="IG788" s="27" t="s">
        <v>8</v>
      </c>
      <c r="IH788" s="27" t="s">
        <v>7</v>
      </c>
      <c r="II788" s="27" t="s">
        <v>8</v>
      </c>
      <c r="IJ788" s="27" t="s">
        <v>7</v>
      </c>
      <c r="IK788" s="27" t="s">
        <v>8</v>
      </c>
    </row>
    <row r="789" spans="1:252" x14ac:dyDescent="0.25">
      <c r="A789" s="7">
        <v>1.8313244937921913E-2</v>
      </c>
      <c r="B789"/>
      <c r="C789"/>
      <c r="D789"/>
      <c r="E789"/>
      <c r="F789" s="27" t="s">
        <v>7</v>
      </c>
      <c r="S789" s="27" t="s">
        <v>8</v>
      </c>
      <c r="T789" s="27" t="s">
        <v>7</v>
      </c>
      <c r="FO789" s="27" t="s">
        <v>8</v>
      </c>
      <c r="GF789" s="27" t="s">
        <v>7</v>
      </c>
      <c r="GG789" s="27" t="s">
        <v>8</v>
      </c>
      <c r="GJ789" s="27" t="s">
        <v>7</v>
      </c>
      <c r="GL789" s="27" t="s">
        <v>7</v>
      </c>
      <c r="GN789" s="27" t="s">
        <v>7</v>
      </c>
      <c r="GO789" s="27" t="s">
        <v>8</v>
      </c>
      <c r="GP789" s="27" t="s">
        <v>7</v>
      </c>
      <c r="GQ789" s="27" t="s">
        <v>8</v>
      </c>
      <c r="GR789" s="27" t="s">
        <v>7</v>
      </c>
      <c r="IA789" s="27" t="s">
        <v>8</v>
      </c>
      <c r="IB789" s="27" t="s">
        <v>7</v>
      </c>
      <c r="IC789" s="27" t="s">
        <v>8</v>
      </c>
      <c r="ID789" s="27" t="s">
        <v>7</v>
      </c>
      <c r="IE789" s="27" t="s">
        <v>8</v>
      </c>
      <c r="IF789" s="27" t="s">
        <v>7</v>
      </c>
      <c r="IG789" s="27" t="s">
        <v>8</v>
      </c>
      <c r="IH789" s="27" t="s">
        <v>7</v>
      </c>
      <c r="II789" s="27" t="s">
        <v>8</v>
      </c>
      <c r="IJ789" s="27" t="s">
        <v>7</v>
      </c>
    </row>
    <row r="790" spans="1:252" x14ac:dyDescent="0.25">
      <c r="A790" s="7">
        <v>1.7954161703845013E-2</v>
      </c>
      <c r="B790"/>
      <c r="C790"/>
      <c r="D790"/>
      <c r="E790"/>
      <c r="F790" s="27" t="s">
        <v>7</v>
      </c>
      <c r="S790" s="27" t="s">
        <v>8</v>
      </c>
      <c r="T790" s="27" t="s">
        <v>7</v>
      </c>
      <c r="FO790" s="27" t="s">
        <v>8</v>
      </c>
      <c r="GF790" s="27" t="s">
        <v>7</v>
      </c>
      <c r="GG790" s="27" t="s">
        <v>8</v>
      </c>
      <c r="GN790" s="27" t="s">
        <v>7</v>
      </c>
      <c r="GO790" s="27" t="s">
        <v>8</v>
      </c>
      <c r="GP790" s="27" t="s">
        <v>7</v>
      </c>
      <c r="GQ790" s="27" t="s">
        <v>8</v>
      </c>
      <c r="GR790" s="27" t="s">
        <v>7</v>
      </c>
      <c r="IA790" s="27" t="s">
        <v>8</v>
      </c>
      <c r="IB790" s="27" t="s">
        <v>7</v>
      </c>
      <c r="IC790" s="27" t="s">
        <v>8</v>
      </c>
      <c r="ID790" s="27" t="s">
        <v>7</v>
      </c>
      <c r="IE790" s="27" t="s">
        <v>8</v>
      </c>
      <c r="IF790" s="27" t="s">
        <v>7</v>
      </c>
      <c r="IG790" s="27" t="s">
        <v>8</v>
      </c>
      <c r="IH790" s="27" t="s">
        <v>7</v>
      </c>
      <c r="II790" s="27" t="s">
        <v>8</v>
      </c>
    </row>
    <row r="791" spans="1:252" x14ac:dyDescent="0.25">
      <c r="A791" s="7">
        <v>1.7602119317495109E-2</v>
      </c>
      <c r="B791"/>
      <c r="C791"/>
      <c r="D791"/>
      <c r="E791"/>
      <c r="F791" s="27" t="s">
        <v>7</v>
      </c>
      <c r="S791" s="27" t="s">
        <v>8</v>
      </c>
      <c r="T791" s="27" t="s">
        <v>7</v>
      </c>
      <c r="FO791" s="27" t="s">
        <v>8</v>
      </c>
      <c r="GF791" s="27" t="s">
        <v>7</v>
      </c>
      <c r="GG791" s="27" t="s">
        <v>8</v>
      </c>
      <c r="GN791" s="27" t="s">
        <v>7</v>
      </c>
      <c r="GO791" s="27" t="s">
        <v>8</v>
      </c>
      <c r="GP791" s="27" t="s">
        <v>7</v>
      </c>
      <c r="GQ791" s="27" t="s">
        <v>8</v>
      </c>
      <c r="GR791" s="27" t="s">
        <v>7</v>
      </c>
      <c r="IA791" s="27" t="s">
        <v>8</v>
      </c>
      <c r="IB791" s="27" t="s">
        <v>7</v>
      </c>
      <c r="IC791" s="27" t="s">
        <v>8</v>
      </c>
      <c r="ID791" s="27" t="s">
        <v>7</v>
      </c>
      <c r="IE791" s="27" t="s">
        <v>8</v>
      </c>
      <c r="IF791" s="27" t="s">
        <v>7</v>
      </c>
      <c r="IG791" s="27" t="s">
        <v>8</v>
      </c>
      <c r="IH791" s="27" t="s">
        <v>7</v>
      </c>
    </row>
    <row r="792" spans="1:252" x14ac:dyDescent="0.25">
      <c r="A792" s="7">
        <v>1.7256979723034419E-2</v>
      </c>
      <c r="B792"/>
      <c r="C792"/>
      <c r="D792"/>
      <c r="E792"/>
      <c r="F792" s="27" t="s">
        <v>7</v>
      </c>
      <c r="S792" s="27" t="s">
        <v>8</v>
      </c>
      <c r="T792" s="27" t="s">
        <v>7</v>
      </c>
      <c r="FO792" s="27" t="s">
        <v>8</v>
      </c>
      <c r="GF792" s="27" t="s">
        <v>7</v>
      </c>
      <c r="GG792" s="27" t="s">
        <v>8</v>
      </c>
      <c r="GN792" s="27" t="s">
        <v>7</v>
      </c>
      <c r="GP792" s="27" t="s">
        <v>7</v>
      </c>
      <c r="GQ792" s="27" t="s">
        <v>8</v>
      </c>
      <c r="GR792" s="27" t="s">
        <v>7</v>
      </c>
      <c r="IA792" s="27" t="s">
        <v>8</v>
      </c>
      <c r="IB792" s="27" t="s">
        <v>7</v>
      </c>
      <c r="IC792" s="27" t="s">
        <v>8</v>
      </c>
      <c r="ID792" s="27" t="s">
        <v>7</v>
      </c>
      <c r="IE792" s="27" t="s">
        <v>8</v>
      </c>
      <c r="IF792" s="27" t="s">
        <v>7</v>
      </c>
    </row>
    <row r="793" spans="1:252" x14ac:dyDescent="0.25">
      <c r="A793" s="7">
        <v>1.6918607571602372E-2</v>
      </c>
      <c r="B793"/>
      <c r="C793"/>
      <c r="D793"/>
      <c r="E793"/>
      <c r="F793" s="27" t="s">
        <v>7</v>
      </c>
      <c r="S793" s="27" t="s">
        <v>8</v>
      </c>
      <c r="T793" s="27" t="s">
        <v>7</v>
      </c>
      <c r="FM793" s="27" t="s">
        <v>8</v>
      </c>
      <c r="FO793" s="27" t="s">
        <v>8</v>
      </c>
      <c r="GF793" s="27" t="s">
        <v>7</v>
      </c>
      <c r="GG793" s="27" t="s">
        <v>8</v>
      </c>
      <c r="GP793" s="27" t="s">
        <v>7</v>
      </c>
      <c r="GQ793" s="27" t="s">
        <v>8</v>
      </c>
      <c r="GR793" s="27" t="s">
        <v>7</v>
      </c>
      <c r="IA793" s="27" t="s">
        <v>8</v>
      </c>
      <c r="IB793" s="27" t="s">
        <v>7</v>
      </c>
      <c r="IC793" s="27" t="s">
        <v>8</v>
      </c>
      <c r="ID793" s="27" t="s">
        <v>7</v>
      </c>
      <c r="IE793" s="27" t="s">
        <v>8</v>
      </c>
    </row>
    <row r="794" spans="1:252" x14ac:dyDescent="0.25">
      <c r="A794" s="7">
        <v>1.6586870168237622E-2</v>
      </c>
      <c r="B794"/>
      <c r="C794"/>
      <c r="D794"/>
      <c r="E794"/>
      <c r="F794" s="27" t="s">
        <v>7</v>
      </c>
      <c r="S794" s="27" t="s">
        <v>8</v>
      </c>
      <c r="T794" s="27" t="s">
        <v>7</v>
      </c>
      <c r="FM794" s="27" t="s">
        <v>8</v>
      </c>
      <c r="FN794" s="27" t="s">
        <v>7</v>
      </c>
      <c r="FO794" s="27" t="s">
        <v>8</v>
      </c>
      <c r="GF794" s="27" t="s">
        <v>7</v>
      </c>
      <c r="GG794" s="27" t="s">
        <v>8</v>
      </c>
      <c r="GP794" s="27" t="s">
        <v>7</v>
      </c>
      <c r="GQ794" s="27" t="s">
        <v>8</v>
      </c>
      <c r="GR794" s="27" t="s">
        <v>7</v>
      </c>
      <c r="IA794" s="27" t="s">
        <v>8</v>
      </c>
      <c r="IB794" s="27" t="s">
        <v>7</v>
      </c>
      <c r="IC794" s="27" t="s">
        <v>8</v>
      </c>
      <c r="ID794" s="27" t="s">
        <v>7</v>
      </c>
      <c r="IE794" s="27" t="s">
        <v>8</v>
      </c>
    </row>
    <row r="795" spans="1:252" x14ac:dyDescent="0.25">
      <c r="A795" s="7">
        <v>1.6261637419840807E-2</v>
      </c>
      <c r="B795"/>
      <c r="C795"/>
      <c r="D795"/>
      <c r="E795"/>
      <c r="F795" s="27" t="s">
        <v>7</v>
      </c>
      <c r="S795" s="27" t="s">
        <v>8</v>
      </c>
      <c r="T795" s="27" t="s">
        <v>7</v>
      </c>
      <c r="FM795" s="27" t="s">
        <v>8</v>
      </c>
      <c r="FN795" s="27" t="s">
        <v>7</v>
      </c>
      <c r="FO795" s="27" t="s">
        <v>8</v>
      </c>
      <c r="GF795" s="27" t="s">
        <v>7</v>
      </c>
      <c r="GG795" s="27" t="s">
        <v>8</v>
      </c>
      <c r="GP795" s="27" t="s">
        <v>7</v>
      </c>
      <c r="GR795" s="27" t="s">
        <v>7</v>
      </c>
      <c r="IA795" s="27" t="s">
        <v>8</v>
      </c>
      <c r="IB795" s="27" t="s">
        <v>7</v>
      </c>
      <c r="IC795" s="27" t="s">
        <v>8</v>
      </c>
      <c r="ID795" s="27" t="s">
        <v>7</v>
      </c>
      <c r="IE795" s="27" t="s">
        <v>8</v>
      </c>
    </row>
    <row r="796" spans="1:252" x14ac:dyDescent="0.25">
      <c r="A796" s="7">
        <v>1.5942781784157655E-2</v>
      </c>
      <c r="B796"/>
      <c r="C796"/>
      <c r="D796"/>
      <c r="E796"/>
      <c r="F796" s="27" t="s">
        <v>7</v>
      </c>
      <c r="S796" s="27" t="s">
        <v>8</v>
      </c>
      <c r="T796" s="27" t="s">
        <v>7</v>
      </c>
      <c r="FM796" s="27" t="s">
        <v>8</v>
      </c>
      <c r="FN796" s="27" t="s">
        <v>7</v>
      </c>
      <c r="FO796" s="27" t="s">
        <v>8</v>
      </c>
      <c r="GF796" s="27" t="s">
        <v>7</v>
      </c>
      <c r="GG796" s="27" t="s">
        <v>8</v>
      </c>
      <c r="GR796" s="27" t="s">
        <v>7</v>
      </c>
      <c r="IA796" s="27" t="s">
        <v>8</v>
      </c>
      <c r="IB796" s="27" t="s">
        <v>7</v>
      </c>
      <c r="IC796" s="27" t="s">
        <v>8</v>
      </c>
      <c r="ID796" s="27" t="s">
        <v>7</v>
      </c>
      <c r="IE796" s="27" t="s">
        <v>8</v>
      </c>
    </row>
    <row r="797" spans="1:252" x14ac:dyDescent="0.25">
      <c r="A797" s="7">
        <v>1.5630178219762408E-2</v>
      </c>
      <c r="B797"/>
      <c r="C797"/>
      <c r="D797"/>
      <c r="E797"/>
      <c r="F797" s="27" t="s">
        <v>7</v>
      </c>
      <c r="S797" s="27" t="s">
        <v>8</v>
      </c>
      <c r="T797" s="27" t="s">
        <v>7</v>
      </c>
      <c r="FI797" s="27" t="s">
        <v>8</v>
      </c>
      <c r="FM797" s="27" t="s">
        <v>8</v>
      </c>
      <c r="FN797" s="27" t="s">
        <v>7</v>
      </c>
      <c r="FO797" s="27" t="s">
        <v>8</v>
      </c>
      <c r="GF797" s="27" t="s">
        <v>7</v>
      </c>
      <c r="GG797" s="27" t="s">
        <v>8</v>
      </c>
      <c r="GR797" s="27" t="s">
        <v>7</v>
      </c>
      <c r="IA797" s="27" t="s">
        <v>8</v>
      </c>
      <c r="IB797" s="27" t="s">
        <v>7</v>
      </c>
      <c r="IC797" s="27" t="s">
        <v>8</v>
      </c>
      <c r="ID797" s="27" t="s">
        <v>7</v>
      </c>
    </row>
    <row r="798" spans="1:252" x14ac:dyDescent="0.25">
      <c r="A798" s="7">
        <v>1.5323704137021967E-2</v>
      </c>
      <c r="B798"/>
      <c r="C798"/>
      <c r="D798"/>
      <c r="E798"/>
      <c r="F798" s="27" t="s">
        <v>7</v>
      </c>
      <c r="S798" s="27" t="s">
        <v>8</v>
      </c>
      <c r="T798" s="27" t="s">
        <v>7</v>
      </c>
      <c r="FI798" s="27" t="s">
        <v>8</v>
      </c>
      <c r="FJ798" s="27" t="s">
        <v>7</v>
      </c>
      <c r="FK798" s="27" t="s">
        <v>8</v>
      </c>
      <c r="FM798" s="27" t="s">
        <v>8</v>
      </c>
      <c r="FN798" s="27" t="s">
        <v>7</v>
      </c>
      <c r="FO798" s="27" t="s">
        <v>8</v>
      </c>
      <c r="GF798" s="27" t="s">
        <v>7</v>
      </c>
      <c r="GG798" s="27" t="s">
        <v>8</v>
      </c>
      <c r="GR798" s="27" t="s">
        <v>7</v>
      </c>
      <c r="IA798" s="27" t="s">
        <v>8</v>
      </c>
      <c r="IB798" s="27" t="s">
        <v>7</v>
      </c>
      <c r="IC798" s="27" t="s">
        <v>8</v>
      </c>
    </row>
    <row r="799" spans="1:252" x14ac:dyDescent="0.25">
      <c r="A799" s="7">
        <v>1.5023239350021535E-2</v>
      </c>
      <c r="B799"/>
      <c r="C799"/>
      <c r="D799"/>
      <c r="E799"/>
      <c r="F799" s="27" t="s">
        <v>7</v>
      </c>
      <c r="S799" s="27" t="s">
        <v>8</v>
      </c>
      <c r="T799" s="27" t="s">
        <v>7</v>
      </c>
      <c r="FI799" s="27" t="s">
        <v>8</v>
      </c>
      <c r="FJ799" s="27" t="s">
        <v>7</v>
      </c>
      <c r="FK799" s="27" t="s">
        <v>8</v>
      </c>
      <c r="FL799" s="27" t="s">
        <v>7</v>
      </c>
      <c r="FM799" s="27" t="s">
        <v>8</v>
      </c>
      <c r="FN799" s="27" t="s">
        <v>7</v>
      </c>
      <c r="FO799" s="27" t="s">
        <v>8</v>
      </c>
      <c r="GF799" s="27" t="s">
        <v>7</v>
      </c>
      <c r="GG799" s="27" t="s">
        <v>8</v>
      </c>
      <c r="GR799" s="27" t="s">
        <v>7</v>
      </c>
      <c r="IA799" s="27" t="s">
        <v>8</v>
      </c>
      <c r="IB799" s="27" t="s">
        <v>7</v>
      </c>
      <c r="IC799" s="27" t="s">
        <v>8</v>
      </c>
    </row>
    <row r="800" spans="1:252" x14ac:dyDescent="0.25">
      <c r="A800" s="7">
        <v>1.4728666029432878E-2</v>
      </c>
      <c r="B800"/>
      <c r="C800"/>
      <c r="D800"/>
      <c r="E800"/>
      <c r="F800" s="27" t="s">
        <v>7</v>
      </c>
      <c r="S800" s="27" t="s">
        <v>8</v>
      </c>
      <c r="T800" s="27" t="s">
        <v>7</v>
      </c>
      <c r="FA800" s="27" t="s">
        <v>8</v>
      </c>
      <c r="FI800" s="27" t="s">
        <v>8</v>
      </c>
      <c r="FJ800" s="27" t="s">
        <v>7</v>
      </c>
      <c r="FK800" s="27" t="s">
        <v>8</v>
      </c>
      <c r="FL800" s="27" t="s">
        <v>7</v>
      </c>
      <c r="FM800" s="27" t="s">
        <v>8</v>
      </c>
      <c r="FN800" s="27" t="s">
        <v>7</v>
      </c>
      <c r="FO800" s="27" t="s">
        <v>8</v>
      </c>
      <c r="GF800" s="27" t="s">
        <v>7</v>
      </c>
      <c r="GG800" s="27" t="s">
        <v>8</v>
      </c>
      <c r="GR800" s="27" t="s">
        <v>7</v>
      </c>
      <c r="HM800" s="27" t="s">
        <v>8</v>
      </c>
      <c r="IA800" s="27" t="s">
        <v>8</v>
      </c>
      <c r="IB800" s="27" t="s">
        <v>7</v>
      </c>
      <c r="IC800" s="27" t="s">
        <v>8</v>
      </c>
    </row>
    <row r="801" spans="1:237" x14ac:dyDescent="0.25">
      <c r="A801" s="7">
        <v>1.4439868656306743E-2</v>
      </c>
      <c r="B801"/>
      <c r="C801"/>
      <c r="D801"/>
      <c r="E801"/>
      <c r="F801" s="27" t="s">
        <v>7</v>
      </c>
      <c r="S801" s="27" t="s">
        <v>8</v>
      </c>
      <c r="T801" s="27" t="s">
        <v>7</v>
      </c>
      <c r="W801" s="27" t="s">
        <v>8</v>
      </c>
      <c r="AI801" s="27" t="s">
        <v>8</v>
      </c>
      <c r="FA801" s="27" t="s">
        <v>8</v>
      </c>
      <c r="FB801" s="27" t="s">
        <v>7</v>
      </c>
      <c r="FI801" s="27" t="s">
        <v>8</v>
      </c>
      <c r="FJ801" s="27" t="s">
        <v>7</v>
      </c>
      <c r="FK801" s="27" t="s">
        <v>8</v>
      </c>
      <c r="FL801" s="27" t="s">
        <v>7</v>
      </c>
      <c r="FM801" s="27" t="s">
        <v>8</v>
      </c>
      <c r="FN801" s="27" t="s">
        <v>7</v>
      </c>
      <c r="FO801" s="27" t="s">
        <v>8</v>
      </c>
      <c r="GF801" s="27" t="s">
        <v>7</v>
      </c>
      <c r="GG801" s="27" t="s">
        <v>8</v>
      </c>
      <c r="GR801" s="27" t="s">
        <v>7</v>
      </c>
      <c r="HM801" s="27" t="s">
        <v>8</v>
      </c>
      <c r="HN801" s="27" t="s">
        <v>7</v>
      </c>
      <c r="HS801" s="27" t="s">
        <v>8</v>
      </c>
      <c r="IA801" s="27" t="s">
        <v>8</v>
      </c>
      <c r="IB801" s="27" t="s">
        <v>7</v>
      </c>
      <c r="IC801" s="27" t="s">
        <v>8</v>
      </c>
    </row>
    <row r="802" spans="1:237" x14ac:dyDescent="0.25">
      <c r="A802" s="7">
        <v>1.4156733976771318E-2</v>
      </c>
      <c r="B802"/>
      <c r="C802"/>
      <c r="D802"/>
      <c r="E802"/>
      <c r="F802" s="27" t="s">
        <v>7</v>
      </c>
      <c r="S802" s="27" t="s">
        <v>8</v>
      </c>
      <c r="T802" s="27" t="s">
        <v>7</v>
      </c>
      <c r="W802" s="27" t="s">
        <v>8</v>
      </c>
      <c r="X802" s="27" t="s">
        <v>7</v>
      </c>
      <c r="AI802" s="27" t="s">
        <v>8</v>
      </c>
      <c r="AJ802" s="27" t="s">
        <v>7</v>
      </c>
      <c r="FA802" s="27" t="s">
        <v>8</v>
      </c>
      <c r="FB802" s="27" t="s">
        <v>7</v>
      </c>
      <c r="FG802" s="27" t="s">
        <v>8</v>
      </c>
      <c r="FI802" s="27" t="s">
        <v>8</v>
      </c>
      <c r="FJ802" s="27" t="s">
        <v>7</v>
      </c>
      <c r="FK802" s="27" t="s">
        <v>8</v>
      </c>
      <c r="FL802" s="27" t="s">
        <v>7</v>
      </c>
      <c r="FM802" s="27" t="s">
        <v>8</v>
      </c>
      <c r="FN802" s="27" t="s">
        <v>7</v>
      </c>
      <c r="FO802" s="27" t="s">
        <v>8</v>
      </c>
      <c r="GF802" s="27" t="s">
        <v>7</v>
      </c>
      <c r="GG802" s="27" t="s">
        <v>8</v>
      </c>
      <c r="GR802" s="27" t="s">
        <v>7</v>
      </c>
      <c r="HE802" s="27" t="s">
        <v>8</v>
      </c>
      <c r="HM802" s="27" t="s">
        <v>8</v>
      </c>
      <c r="HN802" s="27" t="s">
        <v>7</v>
      </c>
      <c r="HS802" s="27" t="s">
        <v>8</v>
      </c>
      <c r="HT802" s="27" t="s">
        <v>7</v>
      </c>
      <c r="IA802" s="27" t="s">
        <v>8</v>
      </c>
      <c r="IB802" s="27" t="s">
        <v>7</v>
      </c>
      <c r="IC802" s="27" t="s">
        <v>8</v>
      </c>
    </row>
    <row r="803" spans="1:237" x14ac:dyDescent="0.25">
      <c r="A803" s="7">
        <v>1.3879150957618939E-2</v>
      </c>
      <c r="B803"/>
      <c r="C803"/>
      <c r="D803"/>
      <c r="E803"/>
      <c r="F803" s="27" t="s">
        <v>7</v>
      </c>
      <c r="S803" s="27" t="s">
        <v>8</v>
      </c>
      <c r="T803" s="27" t="s">
        <v>7</v>
      </c>
      <c r="W803" s="27" t="s">
        <v>8</v>
      </c>
      <c r="X803" s="27" t="s">
        <v>7</v>
      </c>
      <c r="AI803" s="27" t="s">
        <v>8</v>
      </c>
      <c r="AJ803" s="27" t="s">
        <v>7</v>
      </c>
      <c r="AK803" s="27" t="s">
        <v>8</v>
      </c>
      <c r="FA803" s="27" t="s">
        <v>8</v>
      </c>
      <c r="FB803" s="27" t="s">
        <v>7</v>
      </c>
      <c r="FG803" s="27" t="s">
        <v>8</v>
      </c>
      <c r="FH803" s="27" t="s">
        <v>7</v>
      </c>
      <c r="FI803" s="27" t="s">
        <v>8</v>
      </c>
      <c r="FJ803" s="27" t="s">
        <v>7</v>
      </c>
      <c r="FK803" s="27" t="s">
        <v>8</v>
      </c>
      <c r="FL803" s="27" t="s">
        <v>7</v>
      </c>
      <c r="FM803" s="27" t="s">
        <v>8</v>
      </c>
      <c r="FN803" s="27" t="s">
        <v>7</v>
      </c>
      <c r="FO803" s="27" t="s">
        <v>8</v>
      </c>
      <c r="GF803" s="27" t="s">
        <v>7</v>
      </c>
      <c r="GG803" s="27" t="s">
        <v>8</v>
      </c>
      <c r="GR803" s="27" t="s">
        <v>7</v>
      </c>
      <c r="GS803" s="27" t="s">
        <v>8</v>
      </c>
      <c r="HE803" s="27" t="s">
        <v>8</v>
      </c>
      <c r="HF803" s="27" t="s">
        <v>7</v>
      </c>
      <c r="HM803" s="27" t="s">
        <v>8</v>
      </c>
      <c r="HN803" s="27" t="s">
        <v>7</v>
      </c>
      <c r="HS803" s="27" t="s">
        <v>8</v>
      </c>
      <c r="HT803" s="27" t="s">
        <v>7</v>
      </c>
      <c r="IA803" s="27" t="s">
        <v>8</v>
      </c>
      <c r="IB803" s="27" t="s">
        <v>7</v>
      </c>
      <c r="IC803" s="27" t="s">
        <v>8</v>
      </c>
    </row>
    <row r="804" spans="1:237" x14ac:dyDescent="0.25">
      <c r="A804" s="7">
        <v>1.3607010742763666E-2</v>
      </c>
      <c r="B804"/>
      <c r="C804"/>
      <c r="D804"/>
      <c r="E804"/>
      <c r="F804" s="27" t="s">
        <v>7</v>
      </c>
      <c r="S804" s="27" t="s">
        <v>8</v>
      </c>
      <c r="T804" s="27" t="s">
        <v>7</v>
      </c>
      <c r="W804" s="27" t="s">
        <v>8</v>
      </c>
      <c r="X804" s="27" t="s">
        <v>7</v>
      </c>
      <c r="AI804" s="27" t="s">
        <v>8</v>
      </c>
      <c r="AJ804" s="27" t="s">
        <v>7</v>
      </c>
      <c r="AK804" s="27" t="s">
        <v>8</v>
      </c>
      <c r="AL804" s="27" t="s">
        <v>7</v>
      </c>
      <c r="FA804" s="27" t="s">
        <v>8</v>
      </c>
      <c r="FB804" s="27" t="s">
        <v>7</v>
      </c>
      <c r="FG804" s="27" t="s">
        <v>8</v>
      </c>
      <c r="FH804" s="27" t="s">
        <v>7</v>
      </c>
      <c r="FI804" s="27" t="s">
        <v>8</v>
      </c>
      <c r="FJ804" s="27" t="s">
        <v>7</v>
      </c>
      <c r="FK804" s="27" t="s">
        <v>8</v>
      </c>
      <c r="FL804" s="27" t="s">
        <v>7</v>
      </c>
      <c r="FM804" s="27" t="s">
        <v>8</v>
      </c>
      <c r="FN804" s="27" t="s">
        <v>7</v>
      </c>
      <c r="FO804" s="27" t="s">
        <v>8</v>
      </c>
      <c r="GF804" s="27" t="s">
        <v>7</v>
      </c>
      <c r="GG804" s="27" t="s">
        <v>8</v>
      </c>
      <c r="GR804" s="27" t="s">
        <v>7</v>
      </c>
      <c r="GS804" s="27" t="s">
        <v>8</v>
      </c>
      <c r="GT804" s="27" t="s">
        <v>7</v>
      </c>
      <c r="HE804" s="27" t="s">
        <v>8</v>
      </c>
      <c r="HF804" s="27" t="s">
        <v>7</v>
      </c>
      <c r="HM804" s="27" t="s">
        <v>8</v>
      </c>
      <c r="HN804" s="27" t="s">
        <v>7</v>
      </c>
      <c r="HS804" s="27" t="s">
        <v>8</v>
      </c>
      <c r="HT804" s="27" t="s">
        <v>7</v>
      </c>
      <c r="IA804" s="27" t="s">
        <v>8</v>
      </c>
      <c r="IB804" s="27" t="s">
        <v>7</v>
      </c>
      <c r="IC804" s="27" t="s">
        <v>8</v>
      </c>
    </row>
    <row r="805" spans="1:237" x14ac:dyDescent="0.25">
      <c r="A805" s="7">
        <v>1.3340206610552614E-2</v>
      </c>
      <c r="B805"/>
      <c r="C805"/>
      <c r="D805"/>
      <c r="E805"/>
      <c r="F805" s="27" t="s">
        <v>7</v>
      </c>
      <c r="S805" s="27" t="s">
        <v>8</v>
      </c>
      <c r="T805" s="27" t="s">
        <v>7</v>
      </c>
      <c r="W805" s="27" t="s">
        <v>8</v>
      </c>
      <c r="X805" s="27" t="s">
        <v>7</v>
      </c>
      <c r="AI805" s="27" t="s">
        <v>8</v>
      </c>
      <c r="AJ805" s="27" t="s">
        <v>7</v>
      </c>
      <c r="AK805" s="27" t="s">
        <v>8</v>
      </c>
      <c r="AL805" s="27" t="s">
        <v>7</v>
      </c>
      <c r="FA805" s="27" t="s">
        <v>8</v>
      </c>
      <c r="FB805" s="27" t="s">
        <v>7</v>
      </c>
      <c r="FG805" s="27" t="s">
        <v>8</v>
      </c>
      <c r="FH805" s="27" t="s">
        <v>7</v>
      </c>
      <c r="FI805" s="27" t="s">
        <v>8</v>
      </c>
      <c r="FJ805" s="27" t="s">
        <v>7</v>
      </c>
      <c r="FK805" s="27" t="s">
        <v>8</v>
      </c>
      <c r="FL805" s="27" t="s">
        <v>7</v>
      </c>
      <c r="FM805" s="27" t="s">
        <v>8</v>
      </c>
      <c r="FN805" s="27" t="s">
        <v>7</v>
      </c>
      <c r="FO805" s="27" t="s">
        <v>8</v>
      </c>
      <c r="GF805" s="27" t="s">
        <v>7</v>
      </c>
      <c r="GR805" s="27" t="s">
        <v>7</v>
      </c>
      <c r="GS805" s="27" t="s">
        <v>8</v>
      </c>
      <c r="GT805" s="27" t="s">
        <v>7</v>
      </c>
      <c r="HE805" s="27" t="s">
        <v>8</v>
      </c>
      <c r="HF805" s="27" t="s">
        <v>7</v>
      </c>
      <c r="HK805" s="27" t="s">
        <v>8</v>
      </c>
      <c r="HM805" s="27" t="s">
        <v>8</v>
      </c>
      <c r="HN805" s="27" t="s">
        <v>7</v>
      </c>
      <c r="HS805" s="27" t="s">
        <v>8</v>
      </c>
      <c r="HT805" s="27" t="s">
        <v>7</v>
      </c>
      <c r="HW805" s="27" t="s">
        <v>8</v>
      </c>
      <c r="IA805" s="27" t="s">
        <v>8</v>
      </c>
      <c r="IB805" s="27" t="s">
        <v>7</v>
      </c>
      <c r="IC805" s="27" t="s">
        <v>8</v>
      </c>
    </row>
    <row r="806" spans="1:237" x14ac:dyDescent="0.25">
      <c r="A806" s="7">
        <v>1.3078633931914328E-2</v>
      </c>
      <c r="B806"/>
      <c r="C806"/>
      <c r="D806"/>
      <c r="E806"/>
      <c r="F806" s="27" t="s">
        <v>7</v>
      </c>
      <c r="S806" s="27" t="s">
        <v>8</v>
      </c>
      <c r="T806" s="27" t="s">
        <v>7</v>
      </c>
      <c r="W806" s="27" t="s">
        <v>8</v>
      </c>
      <c r="X806" s="27" t="s">
        <v>7</v>
      </c>
      <c r="AI806" s="27" t="s">
        <v>8</v>
      </c>
      <c r="AJ806" s="27" t="s">
        <v>7</v>
      </c>
      <c r="AK806" s="27" t="s">
        <v>8</v>
      </c>
      <c r="AL806" s="27" t="s">
        <v>7</v>
      </c>
      <c r="FA806" s="27" t="s">
        <v>8</v>
      </c>
      <c r="FB806" s="27" t="s">
        <v>7</v>
      </c>
      <c r="FG806" s="27" t="s">
        <v>8</v>
      </c>
      <c r="FH806" s="27" t="s">
        <v>7</v>
      </c>
      <c r="FI806" s="27" t="s">
        <v>8</v>
      </c>
      <c r="FJ806" s="27" t="s">
        <v>7</v>
      </c>
      <c r="FL806" s="27" t="s">
        <v>7</v>
      </c>
      <c r="FM806" s="27" t="s">
        <v>8</v>
      </c>
      <c r="FN806" s="27" t="s">
        <v>7</v>
      </c>
      <c r="GR806" s="27" t="s">
        <v>7</v>
      </c>
      <c r="GT806" s="27" t="s">
        <v>7</v>
      </c>
      <c r="HE806" s="27" t="s">
        <v>8</v>
      </c>
      <c r="HF806" s="27" t="s">
        <v>7</v>
      </c>
      <c r="HK806" s="27" t="s">
        <v>8</v>
      </c>
      <c r="HL806" s="27" t="s">
        <v>7</v>
      </c>
      <c r="HM806" s="27" t="s">
        <v>8</v>
      </c>
      <c r="HN806" s="27" t="s">
        <v>7</v>
      </c>
      <c r="HS806" s="27" t="s">
        <v>8</v>
      </c>
      <c r="HT806" s="27" t="s">
        <v>7</v>
      </c>
      <c r="HW806" s="27" t="s">
        <v>8</v>
      </c>
      <c r="HX806" s="27" t="s">
        <v>7</v>
      </c>
      <c r="HY806" s="27" t="s">
        <v>8</v>
      </c>
      <c r="IA806" s="27" t="s">
        <v>8</v>
      </c>
      <c r="IB806" s="27" t="s">
        <v>7</v>
      </c>
      <c r="IC806" s="27" t="s">
        <v>8</v>
      </c>
    </row>
    <row r="807" spans="1:237" x14ac:dyDescent="0.25">
      <c r="A807" s="7">
        <v>1.2822190129327771E-2</v>
      </c>
      <c r="B807"/>
      <c r="C807"/>
      <c r="D807"/>
      <c r="E807"/>
      <c r="F807" s="27" t="s">
        <v>7</v>
      </c>
      <c r="S807" s="27" t="s">
        <v>8</v>
      </c>
      <c r="T807" s="27" t="s">
        <v>7</v>
      </c>
      <c r="W807" s="27" t="s">
        <v>8</v>
      </c>
      <c r="X807" s="27" t="s">
        <v>7</v>
      </c>
      <c r="AI807" s="27" t="s">
        <v>8</v>
      </c>
      <c r="AJ807" s="27" t="s">
        <v>7</v>
      </c>
      <c r="AK807" s="27" t="s">
        <v>8</v>
      </c>
      <c r="AL807" s="27" t="s">
        <v>7</v>
      </c>
      <c r="FA807" s="27" t="s">
        <v>8</v>
      </c>
      <c r="FB807" s="27" t="s">
        <v>7</v>
      </c>
      <c r="FG807" s="27" t="s">
        <v>8</v>
      </c>
      <c r="FH807" s="27" t="s">
        <v>7</v>
      </c>
      <c r="FI807" s="27" t="s">
        <v>8</v>
      </c>
      <c r="FL807" s="27" t="s">
        <v>7</v>
      </c>
      <c r="FM807" s="27" t="s">
        <v>8</v>
      </c>
      <c r="GT807" s="27" t="s">
        <v>7</v>
      </c>
      <c r="HE807" s="27" t="s">
        <v>8</v>
      </c>
      <c r="HF807" s="27" t="s">
        <v>7</v>
      </c>
      <c r="HK807" s="27" t="s">
        <v>8</v>
      </c>
      <c r="HL807" s="27" t="s">
        <v>7</v>
      </c>
      <c r="HM807" s="27" t="s">
        <v>8</v>
      </c>
      <c r="HN807" s="27" t="s">
        <v>7</v>
      </c>
      <c r="HS807" s="27" t="s">
        <v>8</v>
      </c>
      <c r="HT807" s="27" t="s">
        <v>7</v>
      </c>
      <c r="HW807" s="27" t="s">
        <v>8</v>
      </c>
      <c r="HX807" s="27" t="s">
        <v>7</v>
      </c>
      <c r="HY807" s="27" t="s">
        <v>8</v>
      </c>
      <c r="HZ807" s="27" t="s">
        <v>7</v>
      </c>
      <c r="IA807" s="27" t="s">
        <v>8</v>
      </c>
      <c r="IB807" s="27" t="s">
        <v>7</v>
      </c>
      <c r="IC807" s="27" t="s">
        <v>8</v>
      </c>
    </row>
    <row r="808" spans="1:237" x14ac:dyDescent="0.25">
      <c r="A808" s="7">
        <v>1.2570774636595854E-2</v>
      </c>
      <c r="B808"/>
      <c r="C808"/>
      <c r="D808"/>
      <c r="E808"/>
      <c r="F808" s="27" t="s">
        <v>7</v>
      </c>
      <c r="S808" s="27" t="s">
        <v>8</v>
      </c>
      <c r="T808" s="27" t="s">
        <v>7</v>
      </c>
      <c r="W808" s="27" t="s">
        <v>8</v>
      </c>
      <c r="X808" s="27" t="s">
        <v>7</v>
      </c>
      <c r="Y808" s="27" t="s">
        <v>8</v>
      </c>
      <c r="AI808" s="27" t="s">
        <v>8</v>
      </c>
      <c r="AJ808" s="27" t="s">
        <v>7</v>
      </c>
      <c r="AK808" s="27" t="s">
        <v>8</v>
      </c>
      <c r="AL808" s="27" t="s">
        <v>7</v>
      </c>
      <c r="AQ808" s="27" t="s">
        <v>8</v>
      </c>
      <c r="CE808" s="27" t="s">
        <v>8</v>
      </c>
      <c r="FA808" s="27" t="s">
        <v>8</v>
      </c>
      <c r="FB808" s="27" t="s">
        <v>7</v>
      </c>
      <c r="FC808" s="27" t="s">
        <v>8</v>
      </c>
      <c r="FE808" s="27" t="s">
        <v>8</v>
      </c>
      <c r="FG808" s="27" t="s">
        <v>8</v>
      </c>
      <c r="FH808" s="27" t="s">
        <v>7</v>
      </c>
      <c r="FI808" s="27" t="s">
        <v>8</v>
      </c>
      <c r="FL808" s="27" t="s">
        <v>7</v>
      </c>
      <c r="FM808" s="27" t="s">
        <v>8</v>
      </c>
      <c r="GT808" s="27" t="s">
        <v>7</v>
      </c>
      <c r="HE808" s="27" t="s">
        <v>8</v>
      </c>
      <c r="HF808" s="27" t="s">
        <v>7</v>
      </c>
      <c r="HK808" s="27" t="s">
        <v>8</v>
      </c>
      <c r="HL808" s="27" t="s">
        <v>7</v>
      </c>
      <c r="HM808" s="27" t="s">
        <v>8</v>
      </c>
      <c r="HN808" s="27" t="s">
        <v>7</v>
      </c>
      <c r="HQ808" s="27" t="s">
        <v>8</v>
      </c>
      <c r="HS808" s="27" t="s">
        <v>8</v>
      </c>
      <c r="HT808" s="27" t="s">
        <v>7</v>
      </c>
      <c r="HW808" s="27" t="s">
        <v>8</v>
      </c>
      <c r="HX808" s="27" t="s">
        <v>7</v>
      </c>
      <c r="HY808" s="27" t="s">
        <v>8</v>
      </c>
      <c r="HZ808" s="27" t="s">
        <v>7</v>
      </c>
      <c r="IA808" s="27" t="s">
        <v>8</v>
      </c>
      <c r="IB808" s="27" t="s">
        <v>7</v>
      </c>
      <c r="IC808" s="27" t="s">
        <v>8</v>
      </c>
    </row>
    <row r="809" spans="1:237" x14ac:dyDescent="0.25">
      <c r="A809" s="7">
        <v>1.23242888594077E-2</v>
      </c>
      <c r="B809"/>
      <c r="C809"/>
      <c r="D809"/>
      <c r="E809"/>
      <c r="F809" s="27" t="s">
        <v>7</v>
      </c>
      <c r="S809" s="27" t="s">
        <v>8</v>
      </c>
      <c r="T809" s="27" t="s">
        <v>7</v>
      </c>
      <c r="U809" s="27" t="s">
        <v>8</v>
      </c>
      <c r="W809" s="27" t="s">
        <v>8</v>
      </c>
      <c r="X809" s="27" t="s">
        <v>7</v>
      </c>
      <c r="Y809" s="27" t="s">
        <v>8</v>
      </c>
      <c r="Z809" s="27" t="s">
        <v>7</v>
      </c>
      <c r="AA809" s="27" t="s">
        <v>8</v>
      </c>
      <c r="AI809" s="27" t="s">
        <v>8</v>
      </c>
      <c r="AJ809" s="27" t="s">
        <v>7</v>
      </c>
      <c r="AK809" s="27" t="s">
        <v>8</v>
      </c>
      <c r="AL809" s="27" t="s">
        <v>7</v>
      </c>
      <c r="AQ809" s="27" t="s">
        <v>8</v>
      </c>
      <c r="AR809" s="27" t="s">
        <v>7</v>
      </c>
      <c r="CE809" s="27" t="s">
        <v>8</v>
      </c>
      <c r="CF809" s="27" t="s">
        <v>7</v>
      </c>
      <c r="FA809" s="27" t="s">
        <v>8</v>
      </c>
      <c r="FB809" s="27" t="s">
        <v>7</v>
      </c>
      <c r="FC809" s="27" t="s">
        <v>8</v>
      </c>
      <c r="FD809" s="27" t="s">
        <v>7</v>
      </c>
      <c r="FE809" s="27" t="s">
        <v>8</v>
      </c>
      <c r="FF809" s="27" t="s">
        <v>7</v>
      </c>
      <c r="FG809" s="27" t="s">
        <v>8</v>
      </c>
      <c r="FH809" s="27" t="s">
        <v>7</v>
      </c>
      <c r="FI809" s="27" t="s">
        <v>8</v>
      </c>
      <c r="FL809" s="27" t="s">
        <v>7</v>
      </c>
      <c r="FM809" s="27" t="s">
        <v>8</v>
      </c>
      <c r="GT809" s="27" t="s">
        <v>7</v>
      </c>
      <c r="HE809" s="27" t="s">
        <v>8</v>
      </c>
      <c r="HF809" s="27" t="s">
        <v>7</v>
      </c>
      <c r="HK809" s="27" t="s">
        <v>8</v>
      </c>
      <c r="HL809" s="27" t="s">
        <v>7</v>
      </c>
      <c r="HM809" s="27" t="s">
        <v>8</v>
      </c>
      <c r="HN809" s="27" t="s">
        <v>7</v>
      </c>
      <c r="HO809" s="27" t="s">
        <v>8</v>
      </c>
      <c r="HQ809" s="27" t="s">
        <v>8</v>
      </c>
      <c r="HR809" s="27" t="s">
        <v>7</v>
      </c>
      <c r="HS809" s="27" t="s">
        <v>8</v>
      </c>
      <c r="HT809" s="27" t="s">
        <v>7</v>
      </c>
      <c r="HU809" s="27" t="s">
        <v>8</v>
      </c>
      <c r="HW809" s="27" t="s">
        <v>8</v>
      </c>
      <c r="HX809" s="27" t="s">
        <v>7</v>
      </c>
      <c r="HY809" s="27" t="s">
        <v>8</v>
      </c>
      <c r="HZ809" s="27" t="s">
        <v>7</v>
      </c>
      <c r="IA809" s="27" t="s">
        <v>8</v>
      </c>
      <c r="IB809" s="27" t="s">
        <v>7</v>
      </c>
      <c r="IC809" s="27" t="s">
        <v>8</v>
      </c>
    </row>
    <row r="810" spans="1:237" x14ac:dyDescent="0.25">
      <c r="A810" s="7">
        <v>1.2082636136674216E-2</v>
      </c>
      <c r="B810"/>
      <c r="C810"/>
      <c r="D810"/>
      <c r="E810"/>
      <c r="F810" s="27" t="s">
        <v>7</v>
      </c>
      <c r="S810" s="27" t="s">
        <v>8</v>
      </c>
      <c r="T810" s="27" t="s">
        <v>7</v>
      </c>
      <c r="U810" s="27" t="s">
        <v>8</v>
      </c>
      <c r="V810" s="27" t="s">
        <v>7</v>
      </c>
      <c r="W810" s="27" t="s">
        <v>8</v>
      </c>
      <c r="X810" s="27" t="s">
        <v>7</v>
      </c>
      <c r="Y810" s="27" t="s">
        <v>8</v>
      </c>
      <c r="Z810" s="27" t="s">
        <v>7</v>
      </c>
      <c r="AA810" s="27" t="s">
        <v>8</v>
      </c>
      <c r="AB810" s="27" t="s">
        <v>7</v>
      </c>
      <c r="AI810" s="27" t="s">
        <v>8</v>
      </c>
      <c r="AJ810" s="27" t="s">
        <v>7</v>
      </c>
      <c r="AK810" s="27" t="s">
        <v>8</v>
      </c>
      <c r="AL810" s="27" t="s">
        <v>7</v>
      </c>
      <c r="AQ810" s="27" t="s">
        <v>8</v>
      </c>
      <c r="AR810" s="27" t="s">
        <v>7</v>
      </c>
      <c r="CE810" s="27" t="s">
        <v>8</v>
      </c>
      <c r="CF810" s="27" t="s">
        <v>7</v>
      </c>
      <c r="FA810" s="27" t="s">
        <v>8</v>
      </c>
      <c r="FB810" s="27" t="s">
        <v>7</v>
      </c>
      <c r="FC810" s="27" t="s">
        <v>8</v>
      </c>
      <c r="FD810" s="27" t="s">
        <v>7</v>
      </c>
      <c r="FE810" s="27" t="s">
        <v>8</v>
      </c>
      <c r="FF810" s="27" t="s">
        <v>7</v>
      </c>
      <c r="FG810" s="27" t="s">
        <v>8</v>
      </c>
      <c r="FH810" s="27" t="s">
        <v>7</v>
      </c>
      <c r="FL810" s="27" t="s">
        <v>7</v>
      </c>
      <c r="FM810" s="27" t="s">
        <v>8</v>
      </c>
      <c r="GT810" s="27" t="s">
        <v>7</v>
      </c>
      <c r="GU810" s="27" t="s">
        <v>8</v>
      </c>
      <c r="HE810" s="27" t="s">
        <v>8</v>
      </c>
      <c r="HF810" s="27" t="s">
        <v>7</v>
      </c>
      <c r="HK810" s="27" t="s">
        <v>8</v>
      </c>
      <c r="HL810" s="27" t="s">
        <v>7</v>
      </c>
      <c r="HN810" s="27" t="s">
        <v>7</v>
      </c>
      <c r="HO810" s="27" t="s">
        <v>8</v>
      </c>
      <c r="HP810" s="27" t="s">
        <v>7</v>
      </c>
      <c r="HQ810" s="27" t="s">
        <v>8</v>
      </c>
      <c r="HR810" s="27" t="s">
        <v>7</v>
      </c>
      <c r="HS810" s="27" t="s">
        <v>8</v>
      </c>
      <c r="HT810" s="27" t="s">
        <v>7</v>
      </c>
      <c r="HU810" s="27" t="s">
        <v>8</v>
      </c>
      <c r="HV810" s="27" t="s">
        <v>7</v>
      </c>
      <c r="HW810" s="27" t="s">
        <v>8</v>
      </c>
      <c r="HX810" s="27" t="s">
        <v>7</v>
      </c>
      <c r="HY810" s="27" t="s">
        <v>8</v>
      </c>
      <c r="HZ810" s="27" t="s">
        <v>7</v>
      </c>
      <c r="IB810" s="27" t="s">
        <v>7</v>
      </c>
      <c r="IC810" s="27" t="s">
        <v>8</v>
      </c>
    </row>
    <row r="811" spans="1:237" x14ac:dyDescent="0.25">
      <c r="A811" s="7">
        <v>1.184572170262178E-2</v>
      </c>
      <c r="B811"/>
      <c r="C811"/>
      <c r="D811"/>
      <c r="E811"/>
      <c r="F811" s="27" t="s">
        <v>7</v>
      </c>
      <c r="S811" s="27" t="s">
        <v>8</v>
      </c>
      <c r="T811" s="27" t="s">
        <v>7</v>
      </c>
      <c r="U811" s="27" t="s">
        <v>8</v>
      </c>
      <c r="V811" s="27" t="s">
        <v>7</v>
      </c>
      <c r="W811" s="27" t="s">
        <v>8</v>
      </c>
      <c r="X811" s="27" t="s">
        <v>7</v>
      </c>
      <c r="Y811" s="27" t="s">
        <v>8</v>
      </c>
      <c r="Z811" s="27" t="s">
        <v>7</v>
      </c>
      <c r="AA811" s="27" t="s">
        <v>8</v>
      </c>
      <c r="AB811" s="27" t="s">
        <v>7</v>
      </c>
      <c r="AI811" s="27" t="s">
        <v>8</v>
      </c>
      <c r="AJ811" s="27" t="s">
        <v>7</v>
      </c>
      <c r="AK811" s="27" t="s">
        <v>8</v>
      </c>
      <c r="AL811" s="27" t="s">
        <v>7</v>
      </c>
      <c r="AQ811" s="27" t="s">
        <v>8</v>
      </c>
      <c r="AR811" s="27" t="s">
        <v>7</v>
      </c>
      <c r="CE811" s="27" t="s">
        <v>8</v>
      </c>
      <c r="CF811" s="27" t="s">
        <v>7</v>
      </c>
      <c r="FA811" s="27" t="s">
        <v>8</v>
      </c>
      <c r="FB811" s="27" t="s">
        <v>7</v>
      </c>
      <c r="FC811" s="27" t="s">
        <v>8</v>
      </c>
      <c r="FD811" s="27" t="s">
        <v>7</v>
      </c>
      <c r="FE811" s="27" t="s">
        <v>8</v>
      </c>
      <c r="FF811" s="27" t="s">
        <v>7</v>
      </c>
      <c r="FG811" s="27" t="s">
        <v>8</v>
      </c>
      <c r="FL811" s="27" t="s">
        <v>7</v>
      </c>
      <c r="FM811" s="27" t="s">
        <v>8</v>
      </c>
      <c r="GT811" s="27" t="s">
        <v>7</v>
      </c>
      <c r="GU811" s="27" t="s">
        <v>8</v>
      </c>
      <c r="GV811" s="27" t="s">
        <v>7</v>
      </c>
      <c r="GW811" s="27" t="s">
        <v>8</v>
      </c>
      <c r="HE811" s="27" t="s">
        <v>8</v>
      </c>
      <c r="HF811" s="27" t="s">
        <v>7</v>
      </c>
      <c r="HG811" s="27" t="s">
        <v>8</v>
      </c>
      <c r="HI811" s="27" t="s">
        <v>8</v>
      </c>
      <c r="HK811" s="27" t="s">
        <v>8</v>
      </c>
      <c r="HN811" s="27" t="s">
        <v>7</v>
      </c>
      <c r="HO811" s="27" t="s">
        <v>8</v>
      </c>
      <c r="HP811" s="27" t="s">
        <v>7</v>
      </c>
      <c r="HQ811" s="27" t="s">
        <v>8</v>
      </c>
      <c r="HR811" s="27" t="s">
        <v>7</v>
      </c>
      <c r="HS811" s="27" t="s">
        <v>8</v>
      </c>
      <c r="HT811" s="27" t="s">
        <v>7</v>
      </c>
      <c r="HU811" s="27" t="s">
        <v>8</v>
      </c>
      <c r="HV811" s="27" t="s">
        <v>7</v>
      </c>
      <c r="HW811" s="27" t="s">
        <v>8</v>
      </c>
      <c r="HX811" s="27" t="s">
        <v>7</v>
      </c>
      <c r="IB811" s="27" t="s">
        <v>7</v>
      </c>
    </row>
    <row r="812" spans="1:237" x14ac:dyDescent="0.25">
      <c r="A812" s="7">
        <v>1.1613452649629196E-2</v>
      </c>
      <c r="B812"/>
      <c r="C812"/>
      <c r="D812"/>
      <c r="E812"/>
      <c r="F812" s="27" t="s">
        <v>7</v>
      </c>
      <c r="S812" s="27" t="s">
        <v>8</v>
      </c>
      <c r="T812" s="27" t="s">
        <v>7</v>
      </c>
      <c r="U812" s="27" t="s">
        <v>8</v>
      </c>
      <c r="V812" s="27" t="s">
        <v>7</v>
      </c>
      <c r="W812" s="27" t="s">
        <v>8</v>
      </c>
      <c r="X812" s="27" t="s">
        <v>7</v>
      </c>
      <c r="Y812" s="27" t="s">
        <v>8</v>
      </c>
      <c r="Z812" s="27" t="s">
        <v>7</v>
      </c>
      <c r="AB812" s="27" t="s">
        <v>7</v>
      </c>
      <c r="AI812" s="27" t="s">
        <v>8</v>
      </c>
      <c r="AJ812" s="27" t="s">
        <v>7</v>
      </c>
      <c r="AK812" s="27" t="s">
        <v>8</v>
      </c>
      <c r="AL812" s="27" t="s">
        <v>7</v>
      </c>
      <c r="AQ812" s="27" t="s">
        <v>8</v>
      </c>
      <c r="AR812" s="27" t="s">
        <v>7</v>
      </c>
      <c r="CE812" s="27" t="s">
        <v>8</v>
      </c>
      <c r="CF812" s="27" t="s">
        <v>7</v>
      </c>
      <c r="FA812" s="27" t="s">
        <v>8</v>
      </c>
      <c r="FB812" s="27" t="s">
        <v>7</v>
      </c>
      <c r="FC812" s="27" t="s">
        <v>8</v>
      </c>
      <c r="FD812" s="27" t="s">
        <v>7</v>
      </c>
      <c r="FE812" s="27" t="s">
        <v>8</v>
      </c>
      <c r="FF812" s="27" t="s">
        <v>7</v>
      </c>
      <c r="FG812" s="27" t="s">
        <v>8</v>
      </c>
      <c r="FL812" s="27" t="s">
        <v>7</v>
      </c>
      <c r="FM812" s="27" t="s">
        <v>8</v>
      </c>
      <c r="GT812" s="27" t="s">
        <v>7</v>
      </c>
      <c r="GU812" s="27" t="s">
        <v>8</v>
      </c>
      <c r="GV812" s="27" t="s">
        <v>7</v>
      </c>
      <c r="GW812" s="27" t="s">
        <v>8</v>
      </c>
      <c r="GX812" s="27" t="s">
        <v>7</v>
      </c>
      <c r="HE812" s="27" t="s">
        <v>8</v>
      </c>
      <c r="HF812" s="27" t="s">
        <v>7</v>
      </c>
      <c r="HG812" s="27" t="s">
        <v>8</v>
      </c>
      <c r="HH812" s="27" t="s">
        <v>7</v>
      </c>
      <c r="HI812" s="27" t="s">
        <v>8</v>
      </c>
      <c r="HJ812" s="27" t="s">
        <v>7</v>
      </c>
      <c r="HK812" s="27" t="s">
        <v>8</v>
      </c>
      <c r="HN812" s="27" t="s">
        <v>7</v>
      </c>
      <c r="HO812" s="27" t="s">
        <v>8</v>
      </c>
      <c r="HP812" s="27" t="s">
        <v>7</v>
      </c>
      <c r="HQ812" s="27" t="s">
        <v>8</v>
      </c>
      <c r="HR812" s="27" t="s">
        <v>7</v>
      </c>
      <c r="HT812" s="27" t="s">
        <v>7</v>
      </c>
      <c r="HU812" s="27" t="s">
        <v>8</v>
      </c>
      <c r="HV812" s="27" t="s">
        <v>7</v>
      </c>
      <c r="HW812" s="27" t="s">
        <v>8</v>
      </c>
    </row>
    <row r="813" spans="1:237" x14ac:dyDescent="0.25">
      <c r="A813" s="7">
        <v>1.138573789179333E-2</v>
      </c>
      <c r="B813"/>
      <c r="C813"/>
      <c r="D813"/>
      <c r="E813"/>
      <c r="F813" s="27" t="s">
        <v>7</v>
      </c>
      <c r="S813" s="27" t="s">
        <v>8</v>
      </c>
      <c r="T813" s="27" t="s">
        <v>7</v>
      </c>
      <c r="U813" s="27" t="s">
        <v>8</v>
      </c>
      <c r="V813" s="27" t="s">
        <v>7</v>
      </c>
      <c r="W813" s="27" t="s">
        <v>8</v>
      </c>
      <c r="X813" s="27" t="s">
        <v>7</v>
      </c>
      <c r="Y813" s="27" t="s">
        <v>8</v>
      </c>
      <c r="AB813" s="27" t="s">
        <v>7</v>
      </c>
      <c r="AC813" s="27" t="s">
        <v>8</v>
      </c>
      <c r="AE813" s="27" t="s">
        <v>8</v>
      </c>
      <c r="AI813" s="27" t="s">
        <v>8</v>
      </c>
      <c r="AJ813" s="27" t="s">
        <v>7</v>
      </c>
      <c r="AK813" s="27" t="s">
        <v>8</v>
      </c>
      <c r="AL813" s="27" t="s">
        <v>7</v>
      </c>
      <c r="AM813" s="27" t="s">
        <v>8</v>
      </c>
      <c r="AQ813" s="27" t="s">
        <v>8</v>
      </c>
      <c r="AR813" s="27" t="s">
        <v>7</v>
      </c>
      <c r="CE813" s="27" t="s">
        <v>8</v>
      </c>
      <c r="CF813" s="27" t="s">
        <v>7</v>
      </c>
      <c r="CG813" s="27" t="s">
        <v>8</v>
      </c>
      <c r="FA813" s="27" t="s">
        <v>8</v>
      </c>
      <c r="FB813" s="27" t="s">
        <v>7</v>
      </c>
      <c r="FC813" s="27" t="s">
        <v>8</v>
      </c>
      <c r="FD813" s="27" t="s">
        <v>7</v>
      </c>
      <c r="FE813" s="27" t="s">
        <v>8</v>
      </c>
      <c r="FF813" s="27" t="s">
        <v>7</v>
      </c>
      <c r="FG813" s="27" t="s">
        <v>8</v>
      </c>
      <c r="FL813" s="27" t="s">
        <v>7</v>
      </c>
      <c r="FM813" s="27" t="s">
        <v>8</v>
      </c>
      <c r="GT813" s="27" t="s">
        <v>7</v>
      </c>
      <c r="GU813" s="27" t="s">
        <v>8</v>
      </c>
      <c r="GV813" s="27" t="s">
        <v>7</v>
      </c>
      <c r="GW813" s="27" t="s">
        <v>8</v>
      </c>
      <c r="GX813" s="27" t="s">
        <v>7</v>
      </c>
      <c r="HE813" s="27" t="s">
        <v>8</v>
      </c>
      <c r="HF813" s="27" t="s">
        <v>7</v>
      </c>
      <c r="HG813" s="27" t="s">
        <v>8</v>
      </c>
      <c r="HH813" s="27" t="s">
        <v>7</v>
      </c>
      <c r="HI813" s="27" t="s">
        <v>8</v>
      </c>
      <c r="HJ813" s="27" t="s">
        <v>7</v>
      </c>
      <c r="HK813" s="27" t="s">
        <v>8</v>
      </c>
      <c r="HN813" s="27" t="s">
        <v>7</v>
      </c>
      <c r="HO813" s="27" t="s">
        <v>8</v>
      </c>
      <c r="HP813" s="27" t="s">
        <v>7</v>
      </c>
      <c r="HT813" s="27" t="s">
        <v>7</v>
      </c>
      <c r="HU813" s="27" t="s">
        <v>8</v>
      </c>
      <c r="HV813" s="27" t="s">
        <v>7</v>
      </c>
      <c r="HW813" s="27" t="s">
        <v>8</v>
      </c>
    </row>
    <row r="814" spans="1:237" x14ac:dyDescent="0.25">
      <c r="A814" s="7">
        <v>1.1162488129209149E-2</v>
      </c>
      <c r="B814"/>
      <c r="C814"/>
      <c r="D814"/>
      <c r="E814"/>
      <c r="F814" s="27" t="s">
        <v>7</v>
      </c>
      <c r="S814" s="27" t="s">
        <v>8</v>
      </c>
      <c r="T814" s="27" t="s">
        <v>7</v>
      </c>
      <c r="U814" s="27" t="s">
        <v>8</v>
      </c>
      <c r="V814" s="27" t="s">
        <v>7</v>
      </c>
      <c r="W814" s="27" t="s">
        <v>8</v>
      </c>
      <c r="X814" s="27" t="s">
        <v>7</v>
      </c>
      <c r="Y814" s="27" t="s">
        <v>8</v>
      </c>
      <c r="AB814" s="27" t="s">
        <v>7</v>
      </c>
      <c r="AC814" s="27" t="s">
        <v>8</v>
      </c>
      <c r="AD814" s="27" t="s">
        <v>7</v>
      </c>
      <c r="AE814" s="27" t="s">
        <v>8</v>
      </c>
      <c r="AF814" s="27" t="s">
        <v>7</v>
      </c>
      <c r="AI814" s="27" t="s">
        <v>8</v>
      </c>
      <c r="AJ814" s="27" t="s">
        <v>7</v>
      </c>
      <c r="AL814" s="27" t="s">
        <v>7</v>
      </c>
      <c r="AM814" s="27" t="s">
        <v>8</v>
      </c>
      <c r="AN814" s="27" t="s">
        <v>7</v>
      </c>
      <c r="AO814" s="27" t="s">
        <v>8</v>
      </c>
      <c r="AQ814" s="27" t="s">
        <v>8</v>
      </c>
      <c r="AR814" s="27" t="s">
        <v>7</v>
      </c>
      <c r="CE814" s="27" t="s">
        <v>8</v>
      </c>
      <c r="CF814" s="27" t="s">
        <v>7</v>
      </c>
      <c r="CG814" s="27" t="s">
        <v>8</v>
      </c>
      <c r="CH814" s="27" t="s">
        <v>7</v>
      </c>
      <c r="FA814" s="27" t="s">
        <v>8</v>
      </c>
      <c r="FB814" s="27" t="s">
        <v>7</v>
      </c>
      <c r="FC814" s="27" t="s">
        <v>8</v>
      </c>
      <c r="FD814" s="27" t="s">
        <v>7</v>
      </c>
      <c r="FE814" s="27" t="s">
        <v>8</v>
      </c>
      <c r="FF814" s="27" t="s">
        <v>7</v>
      </c>
      <c r="FL814" s="27" t="s">
        <v>7</v>
      </c>
      <c r="FM814" s="27" t="s">
        <v>8</v>
      </c>
      <c r="GT814" s="27" t="s">
        <v>7</v>
      </c>
      <c r="GU814" s="27" t="s">
        <v>8</v>
      </c>
      <c r="GV814" s="27" t="s">
        <v>7</v>
      </c>
      <c r="GW814" s="27" t="s">
        <v>8</v>
      </c>
      <c r="GX814" s="27" t="s">
        <v>7</v>
      </c>
      <c r="HE814" s="27" t="s">
        <v>8</v>
      </c>
      <c r="HF814" s="27" t="s">
        <v>7</v>
      </c>
      <c r="HG814" s="27" t="s">
        <v>8</v>
      </c>
      <c r="HH814" s="27" t="s">
        <v>7</v>
      </c>
      <c r="HI814" s="27" t="s">
        <v>8</v>
      </c>
      <c r="HJ814" s="27" t="s">
        <v>7</v>
      </c>
      <c r="HK814" s="27" t="s">
        <v>8</v>
      </c>
      <c r="HN814" s="27" t="s">
        <v>7</v>
      </c>
      <c r="HO814" s="27" t="s">
        <v>8</v>
      </c>
      <c r="HT814" s="27" t="s">
        <v>7</v>
      </c>
      <c r="HV814" s="27" t="s">
        <v>7</v>
      </c>
      <c r="HW814" s="27" t="s">
        <v>8</v>
      </c>
    </row>
    <row r="815" spans="1:237" x14ac:dyDescent="0.25">
      <c r="A815" s="7">
        <v>1.0943615812950145E-2</v>
      </c>
      <c r="B815"/>
      <c r="C815"/>
      <c r="D815"/>
      <c r="E815"/>
      <c r="F815" s="27" t="s">
        <v>7</v>
      </c>
      <c r="O815" s="27" t="s">
        <v>8</v>
      </c>
      <c r="S815" s="27" t="s">
        <v>8</v>
      </c>
      <c r="T815" s="27" t="s">
        <v>7</v>
      </c>
      <c r="U815" s="27" t="s">
        <v>8</v>
      </c>
      <c r="V815" s="27" t="s">
        <v>7</v>
      </c>
      <c r="W815" s="27" t="s">
        <v>8</v>
      </c>
      <c r="X815" s="27" t="s">
        <v>7</v>
      </c>
      <c r="Y815" s="27" t="s">
        <v>8</v>
      </c>
      <c r="AB815" s="27" t="s">
        <v>7</v>
      </c>
      <c r="AC815" s="27" t="s">
        <v>8</v>
      </c>
      <c r="AD815" s="27" t="s">
        <v>7</v>
      </c>
      <c r="AE815" s="27" t="s">
        <v>8</v>
      </c>
      <c r="AF815" s="27" t="s">
        <v>7</v>
      </c>
      <c r="AI815" s="27" t="s">
        <v>8</v>
      </c>
      <c r="AL815" s="27" t="s">
        <v>7</v>
      </c>
      <c r="AM815" s="27" t="s">
        <v>8</v>
      </c>
      <c r="AN815" s="27" t="s">
        <v>7</v>
      </c>
      <c r="AO815" s="27" t="s">
        <v>8</v>
      </c>
      <c r="AP815" s="27" t="s">
        <v>7</v>
      </c>
      <c r="AQ815" s="27" t="s">
        <v>8</v>
      </c>
      <c r="AR815" s="27" t="s">
        <v>7</v>
      </c>
      <c r="CE815" s="27" t="s">
        <v>8</v>
      </c>
      <c r="CF815" s="27" t="s">
        <v>7</v>
      </c>
      <c r="CG815" s="27" t="s">
        <v>8</v>
      </c>
      <c r="CH815" s="27" t="s">
        <v>7</v>
      </c>
      <c r="FA815" s="27" t="s">
        <v>8</v>
      </c>
      <c r="FB815" s="27" t="s">
        <v>7</v>
      </c>
      <c r="FC815" s="27" t="s">
        <v>8</v>
      </c>
      <c r="FD815" s="27" t="s">
        <v>7</v>
      </c>
      <c r="FL815" s="27" t="s">
        <v>7</v>
      </c>
      <c r="FM815" s="27" t="s">
        <v>8</v>
      </c>
      <c r="GT815" s="27" t="s">
        <v>7</v>
      </c>
      <c r="GU815" s="27" t="s">
        <v>8</v>
      </c>
      <c r="GV815" s="27" t="s">
        <v>7</v>
      </c>
      <c r="GX815" s="27" t="s">
        <v>7</v>
      </c>
      <c r="HA815" s="27" t="s">
        <v>8</v>
      </c>
      <c r="HE815" s="27" t="s">
        <v>8</v>
      </c>
      <c r="HF815" s="27" t="s">
        <v>7</v>
      </c>
      <c r="HH815" s="27" t="s">
        <v>7</v>
      </c>
      <c r="HI815" s="27" t="s">
        <v>8</v>
      </c>
      <c r="HJ815" s="27" t="s">
        <v>7</v>
      </c>
      <c r="HK815" s="27" t="s">
        <v>8</v>
      </c>
      <c r="HN815" s="27" t="s">
        <v>7</v>
      </c>
      <c r="HO815" s="27" t="s">
        <v>8</v>
      </c>
      <c r="HV815" s="27" t="s">
        <v>7</v>
      </c>
      <c r="HW815" s="27" t="s">
        <v>8</v>
      </c>
    </row>
    <row r="816" spans="1:237" x14ac:dyDescent="0.25">
      <c r="A816" s="7">
        <v>1.0729035110735436E-2</v>
      </c>
      <c r="B816"/>
      <c r="C816"/>
      <c r="D816"/>
      <c r="E816"/>
      <c r="F816" s="27" t="s">
        <v>7</v>
      </c>
      <c r="O816" s="27" t="s">
        <v>8</v>
      </c>
      <c r="P816" s="27" t="s">
        <v>7</v>
      </c>
      <c r="S816" s="27" t="s">
        <v>8</v>
      </c>
      <c r="T816" s="27" t="s">
        <v>7</v>
      </c>
      <c r="V816" s="27" t="s">
        <v>7</v>
      </c>
      <c r="W816" s="27" t="s">
        <v>8</v>
      </c>
      <c r="X816" s="27" t="s">
        <v>7</v>
      </c>
      <c r="Y816" s="27" t="s">
        <v>8</v>
      </c>
      <c r="AB816" s="27" t="s">
        <v>7</v>
      </c>
      <c r="AD816" s="27" t="s">
        <v>7</v>
      </c>
      <c r="AE816" s="27" t="s">
        <v>8</v>
      </c>
      <c r="AF816" s="27" t="s">
        <v>7</v>
      </c>
      <c r="AI816" s="27" t="s">
        <v>8</v>
      </c>
      <c r="AL816" s="27" t="s">
        <v>7</v>
      </c>
      <c r="AM816" s="27" t="s">
        <v>8</v>
      </c>
      <c r="AN816" s="27" t="s">
        <v>7</v>
      </c>
      <c r="AO816" s="27" t="s">
        <v>8</v>
      </c>
      <c r="AP816" s="27" t="s">
        <v>7</v>
      </c>
      <c r="AQ816" s="27" t="s">
        <v>8</v>
      </c>
      <c r="AR816" s="27" t="s">
        <v>7</v>
      </c>
      <c r="AU816" s="27" t="s">
        <v>8</v>
      </c>
      <c r="BC816" s="27" t="s">
        <v>8</v>
      </c>
      <c r="BE816" s="27" t="s">
        <v>8</v>
      </c>
      <c r="CC816" s="27" t="s">
        <v>8</v>
      </c>
      <c r="CE816" s="27" t="s">
        <v>8</v>
      </c>
      <c r="CF816" s="27" t="s">
        <v>7</v>
      </c>
      <c r="CG816" s="27" t="s">
        <v>8</v>
      </c>
      <c r="CH816" s="27" t="s">
        <v>7</v>
      </c>
      <c r="FA816" s="27" t="s">
        <v>8</v>
      </c>
      <c r="FB816" s="27" t="s">
        <v>7</v>
      </c>
      <c r="FL816" s="27" t="s">
        <v>7</v>
      </c>
      <c r="GT816" s="27" t="s">
        <v>7</v>
      </c>
      <c r="GU816" s="27" t="s">
        <v>8</v>
      </c>
      <c r="GX816" s="27" t="s">
        <v>7</v>
      </c>
      <c r="HA816" s="27" t="s">
        <v>8</v>
      </c>
      <c r="HB816" s="27" t="s">
        <v>7</v>
      </c>
      <c r="HE816" s="27" t="s">
        <v>8</v>
      </c>
      <c r="HH816" s="27" t="s">
        <v>7</v>
      </c>
      <c r="HJ816" s="27" t="s">
        <v>7</v>
      </c>
      <c r="HK816" s="27" t="s">
        <v>8</v>
      </c>
      <c r="HN816" s="27" t="s">
        <v>7</v>
      </c>
      <c r="HV816" s="27" t="s">
        <v>7</v>
      </c>
    </row>
    <row r="817" spans="1:219" x14ac:dyDescent="0.25">
      <c r="A817" s="7">
        <v>1.0518661873270036E-2</v>
      </c>
      <c r="B817"/>
      <c r="C817"/>
      <c r="D817"/>
      <c r="E817"/>
      <c r="F817" s="27" t="s">
        <v>7</v>
      </c>
      <c r="O817" s="27" t="s">
        <v>8</v>
      </c>
      <c r="P817" s="27" t="s">
        <v>7</v>
      </c>
      <c r="S817" s="27" t="s">
        <v>8</v>
      </c>
      <c r="V817" s="27" t="s">
        <v>7</v>
      </c>
      <c r="W817" s="27" t="s">
        <v>8</v>
      </c>
      <c r="X817" s="27" t="s">
        <v>7</v>
      </c>
      <c r="Y817" s="27" t="s">
        <v>8</v>
      </c>
      <c r="AD817" s="27" t="s">
        <v>7</v>
      </c>
      <c r="AE817" s="27" t="s">
        <v>8</v>
      </c>
      <c r="AF817" s="27" t="s">
        <v>7</v>
      </c>
      <c r="AI817" s="27" t="s">
        <v>8</v>
      </c>
      <c r="AL817" s="27" t="s">
        <v>7</v>
      </c>
      <c r="AN817" s="27" t="s">
        <v>7</v>
      </c>
      <c r="AO817" s="27" t="s">
        <v>8</v>
      </c>
      <c r="AP817" s="27" t="s">
        <v>7</v>
      </c>
      <c r="AQ817" s="27" t="s">
        <v>8</v>
      </c>
      <c r="AR817" s="27" t="s">
        <v>7</v>
      </c>
      <c r="AS817" s="27" t="s">
        <v>8</v>
      </c>
      <c r="AU817" s="27" t="s">
        <v>8</v>
      </c>
      <c r="AV817" s="27" t="s">
        <v>7</v>
      </c>
      <c r="BC817" s="27" t="s">
        <v>8</v>
      </c>
      <c r="BD817" s="27" t="s">
        <v>7</v>
      </c>
      <c r="BE817" s="27" t="s">
        <v>8</v>
      </c>
      <c r="BF817" s="27" t="s">
        <v>7</v>
      </c>
      <c r="CC817" s="27" t="s">
        <v>8</v>
      </c>
      <c r="CD817" s="27" t="s">
        <v>7</v>
      </c>
      <c r="CE817" s="27" t="s">
        <v>8</v>
      </c>
      <c r="CF817" s="27" t="s">
        <v>7</v>
      </c>
      <c r="CH817" s="27" t="s">
        <v>7</v>
      </c>
      <c r="FA817" s="27" t="s">
        <v>8</v>
      </c>
      <c r="GT817" s="27" t="s">
        <v>7</v>
      </c>
      <c r="GU817" s="27" t="s">
        <v>8</v>
      </c>
      <c r="GX817" s="27" t="s">
        <v>7</v>
      </c>
      <c r="GY817" s="27" t="s">
        <v>8</v>
      </c>
      <c r="HA817" s="27" t="s">
        <v>8</v>
      </c>
      <c r="HB817" s="27" t="s">
        <v>7</v>
      </c>
      <c r="HE817" s="27" t="s">
        <v>8</v>
      </c>
      <c r="HJ817" s="27" t="s">
        <v>7</v>
      </c>
      <c r="HK817" s="27" t="s">
        <v>8</v>
      </c>
    </row>
    <row r="818" spans="1:219" x14ac:dyDescent="0.25">
      <c r="A818" s="7">
        <v>1.0312413601245135E-2</v>
      </c>
      <c r="B818"/>
      <c r="C818"/>
      <c r="D818"/>
      <c r="E818"/>
      <c r="F818" s="27" t="s">
        <v>7</v>
      </c>
      <c r="O818" s="27" t="s">
        <v>8</v>
      </c>
      <c r="P818" s="27" t="s">
        <v>7</v>
      </c>
      <c r="S818" s="27" t="s">
        <v>8</v>
      </c>
      <c r="V818" s="27" t="s">
        <v>7</v>
      </c>
      <c r="W818" s="27" t="s">
        <v>8</v>
      </c>
      <c r="X818" s="27" t="s">
        <v>7</v>
      </c>
      <c r="Y818" s="27" t="s">
        <v>8</v>
      </c>
      <c r="AD818" s="27" t="s">
        <v>7</v>
      </c>
      <c r="AF818" s="27" t="s">
        <v>7</v>
      </c>
      <c r="AG818" s="27" t="s">
        <v>8</v>
      </c>
      <c r="AI818" s="27" t="s">
        <v>8</v>
      </c>
      <c r="AN818" s="27" t="s">
        <v>7</v>
      </c>
      <c r="AO818" s="27" t="s">
        <v>8</v>
      </c>
      <c r="AP818" s="27" t="s">
        <v>7</v>
      </c>
      <c r="AR818" s="27" t="s">
        <v>7</v>
      </c>
      <c r="AS818" s="27" t="s">
        <v>8</v>
      </c>
      <c r="AT818" s="27" t="s">
        <v>7</v>
      </c>
      <c r="AU818" s="27" t="s">
        <v>8</v>
      </c>
      <c r="AV818" s="27" t="s">
        <v>7</v>
      </c>
      <c r="BC818" s="27" t="s">
        <v>8</v>
      </c>
      <c r="BD818" s="27" t="s">
        <v>7</v>
      </c>
      <c r="BE818" s="27" t="s">
        <v>8</v>
      </c>
      <c r="BF818" s="27" t="s">
        <v>7</v>
      </c>
      <c r="CC818" s="27" t="s">
        <v>8</v>
      </c>
      <c r="CD818" s="27" t="s">
        <v>7</v>
      </c>
      <c r="CE818" s="27" t="s">
        <v>8</v>
      </c>
      <c r="CH818" s="27" t="s">
        <v>7</v>
      </c>
      <c r="FA818" s="27" t="s">
        <v>8</v>
      </c>
      <c r="GT818" s="27" t="s">
        <v>7</v>
      </c>
      <c r="GU818" s="27" t="s">
        <v>8</v>
      </c>
      <c r="GX818" s="27" t="s">
        <v>7</v>
      </c>
      <c r="GY818" s="27" t="s">
        <v>8</v>
      </c>
      <c r="GZ818" s="27" t="s">
        <v>7</v>
      </c>
      <c r="HA818" s="27" t="s">
        <v>8</v>
      </c>
      <c r="HB818" s="27" t="s">
        <v>7</v>
      </c>
      <c r="HE818" s="27" t="s">
        <v>8</v>
      </c>
      <c r="HJ818" s="27" t="s">
        <v>7</v>
      </c>
      <c r="HK818" s="27" t="s">
        <v>8</v>
      </c>
    </row>
    <row r="819" spans="1:219" x14ac:dyDescent="0.25">
      <c r="A819" s="7">
        <v>1.0110209412985426E-2</v>
      </c>
      <c r="B819"/>
      <c r="C819"/>
      <c r="D819"/>
      <c r="E819"/>
      <c r="F819" s="27" t="s">
        <v>7</v>
      </c>
      <c r="O819" s="27" t="s">
        <v>8</v>
      </c>
      <c r="P819" s="27" t="s">
        <v>7</v>
      </c>
      <c r="S819" s="27" t="s">
        <v>8</v>
      </c>
      <c r="V819" s="27" t="s">
        <v>7</v>
      </c>
      <c r="W819" s="27" t="s">
        <v>8</v>
      </c>
      <c r="X819" s="27" t="s">
        <v>7</v>
      </c>
      <c r="AF819" s="27" t="s">
        <v>7</v>
      </c>
      <c r="AG819" s="27" t="s">
        <v>8</v>
      </c>
      <c r="AH819" s="27" t="s">
        <v>7</v>
      </c>
      <c r="AI819" s="27" t="s">
        <v>8</v>
      </c>
      <c r="AN819" s="27" t="s">
        <v>7</v>
      </c>
      <c r="AO819" s="27" t="s">
        <v>8</v>
      </c>
      <c r="AR819" s="27" t="s">
        <v>7</v>
      </c>
      <c r="AS819" s="27" t="s">
        <v>8</v>
      </c>
      <c r="AT819" s="27" t="s">
        <v>7</v>
      </c>
      <c r="AU819" s="27" t="s">
        <v>8</v>
      </c>
      <c r="AV819" s="27" t="s">
        <v>7</v>
      </c>
      <c r="BC819" s="27" t="s">
        <v>8</v>
      </c>
      <c r="BD819" s="27" t="s">
        <v>7</v>
      </c>
      <c r="BE819" s="27" t="s">
        <v>8</v>
      </c>
      <c r="BF819" s="27" t="s">
        <v>7</v>
      </c>
      <c r="CC819" s="27" t="s">
        <v>8</v>
      </c>
      <c r="CD819" s="27" t="s">
        <v>7</v>
      </c>
      <c r="CE819" s="27" t="s">
        <v>8</v>
      </c>
      <c r="CH819" s="27" t="s">
        <v>7</v>
      </c>
      <c r="FA819" s="27" t="s">
        <v>8</v>
      </c>
      <c r="GT819" s="27" t="s">
        <v>7</v>
      </c>
      <c r="GU819" s="27" t="s">
        <v>8</v>
      </c>
      <c r="GX819" s="27" t="s">
        <v>7</v>
      </c>
      <c r="GY819" s="27" t="s">
        <v>8</v>
      </c>
      <c r="GZ819" s="27" t="s">
        <v>7</v>
      </c>
      <c r="HA819" s="27" t="s">
        <v>8</v>
      </c>
      <c r="HB819" s="27" t="s">
        <v>7</v>
      </c>
      <c r="HE819" s="27" t="s">
        <v>8</v>
      </c>
      <c r="HJ819" s="27" t="s">
        <v>7</v>
      </c>
    </row>
    <row r="820" spans="1:219" x14ac:dyDescent="0.25">
      <c r="A820" s="7">
        <v>9.9119700127308103E-3</v>
      </c>
      <c r="B820"/>
      <c r="C820"/>
      <c r="D820"/>
      <c r="E820"/>
      <c r="F820" s="27" t="s">
        <v>7</v>
      </c>
      <c r="O820" s="27" t="s">
        <v>8</v>
      </c>
      <c r="P820" s="27" t="s">
        <v>7</v>
      </c>
      <c r="S820" s="27" t="s">
        <v>8</v>
      </c>
      <c r="V820" s="27" t="s">
        <v>7</v>
      </c>
      <c r="W820" s="27" t="s">
        <v>8</v>
      </c>
      <c r="AF820" s="27" t="s">
        <v>7</v>
      </c>
      <c r="AG820" s="27" t="s">
        <v>8</v>
      </c>
      <c r="AH820" s="27" t="s">
        <v>7</v>
      </c>
      <c r="AI820" s="27" t="s">
        <v>8</v>
      </c>
      <c r="AN820" s="27" t="s">
        <v>7</v>
      </c>
      <c r="AR820" s="27" t="s">
        <v>7</v>
      </c>
      <c r="AT820" s="27" t="s">
        <v>7</v>
      </c>
      <c r="AU820" s="27" t="s">
        <v>8</v>
      </c>
      <c r="AV820" s="27" t="s">
        <v>7</v>
      </c>
      <c r="BC820" s="27" t="s">
        <v>8</v>
      </c>
      <c r="BD820" s="27" t="s">
        <v>7</v>
      </c>
      <c r="BE820" s="27" t="s">
        <v>8</v>
      </c>
      <c r="BF820" s="27" t="s">
        <v>7</v>
      </c>
      <c r="CC820" s="27" t="s">
        <v>8</v>
      </c>
      <c r="CD820" s="27" t="s">
        <v>7</v>
      </c>
      <c r="CE820" s="27" t="s">
        <v>8</v>
      </c>
      <c r="CH820" s="27" t="s">
        <v>7</v>
      </c>
      <c r="FA820" s="27" t="s">
        <v>8</v>
      </c>
      <c r="GT820" s="27" t="s">
        <v>7</v>
      </c>
      <c r="GU820" s="27" t="s">
        <v>8</v>
      </c>
      <c r="GX820" s="27" t="s">
        <v>7</v>
      </c>
      <c r="GY820" s="27" t="s">
        <v>8</v>
      </c>
      <c r="GZ820" s="27" t="s">
        <v>7</v>
      </c>
      <c r="HA820" s="27" t="s">
        <v>8</v>
      </c>
      <c r="HB820" s="27" t="s">
        <v>7</v>
      </c>
      <c r="HE820" s="27" t="s">
        <v>8</v>
      </c>
    </row>
    <row r="821" spans="1:219" x14ac:dyDescent="0.25">
      <c r="A821" s="7">
        <v>9.717617659540009E-3</v>
      </c>
      <c r="B821"/>
      <c r="C821"/>
      <c r="D821"/>
      <c r="E821"/>
      <c r="F821" s="27" t="s">
        <v>7</v>
      </c>
      <c r="O821" s="27" t="s">
        <v>8</v>
      </c>
      <c r="P821" s="27" t="s">
        <v>7</v>
      </c>
      <c r="S821" s="27" t="s">
        <v>8</v>
      </c>
      <c r="V821" s="27" t="s">
        <v>7</v>
      </c>
      <c r="W821" s="27" t="s">
        <v>8</v>
      </c>
      <c r="AF821" s="27" t="s">
        <v>7</v>
      </c>
      <c r="AG821" s="27" t="s">
        <v>8</v>
      </c>
      <c r="AH821" s="27" t="s">
        <v>7</v>
      </c>
      <c r="AI821" s="27" t="s">
        <v>8</v>
      </c>
      <c r="AT821" s="27" t="s">
        <v>7</v>
      </c>
      <c r="AV821" s="27" t="s">
        <v>7</v>
      </c>
      <c r="BC821" s="27" t="s">
        <v>8</v>
      </c>
      <c r="BD821" s="27" t="s">
        <v>7</v>
      </c>
      <c r="BE821" s="27" t="s">
        <v>8</v>
      </c>
      <c r="BF821" s="27" t="s">
        <v>7</v>
      </c>
      <c r="CC821" s="27" t="s">
        <v>8</v>
      </c>
      <c r="CD821" s="27" t="s">
        <v>7</v>
      </c>
      <c r="CE821" s="27" t="s">
        <v>8</v>
      </c>
      <c r="CH821" s="27" t="s">
        <v>7</v>
      </c>
      <c r="FA821" s="27" t="s">
        <v>8</v>
      </c>
      <c r="GT821" s="27" t="s">
        <v>7</v>
      </c>
      <c r="GU821" s="27" t="s">
        <v>8</v>
      </c>
      <c r="GX821" s="27" t="s">
        <v>7</v>
      </c>
      <c r="GZ821" s="27" t="s">
        <v>7</v>
      </c>
      <c r="HA821" s="27" t="s">
        <v>8</v>
      </c>
      <c r="HB821" s="27" t="s">
        <v>7</v>
      </c>
      <c r="HE821" s="27" t="s">
        <v>8</v>
      </c>
    </row>
    <row r="822" spans="1:219" x14ac:dyDescent="0.25">
      <c r="A822" s="7">
        <v>9.5270761368039299E-3</v>
      </c>
      <c r="B822"/>
      <c r="C822"/>
      <c r="D822"/>
      <c r="E822"/>
      <c r="F822" s="27" t="s">
        <v>7</v>
      </c>
      <c r="O822" s="27" t="s">
        <v>8</v>
      </c>
      <c r="P822" s="27" t="s">
        <v>7</v>
      </c>
      <c r="S822" s="27" t="s">
        <v>8</v>
      </c>
      <c r="V822" s="27" t="s">
        <v>7</v>
      </c>
      <c r="W822" s="27" t="s">
        <v>8</v>
      </c>
      <c r="AF822" s="27" t="s">
        <v>7</v>
      </c>
      <c r="AH822" s="27" t="s">
        <v>7</v>
      </c>
      <c r="AI822" s="27" t="s">
        <v>8</v>
      </c>
      <c r="AV822" s="27" t="s">
        <v>7</v>
      </c>
      <c r="BC822" s="27" t="s">
        <v>8</v>
      </c>
      <c r="BD822" s="27" t="s">
        <v>7</v>
      </c>
      <c r="BE822" s="27" t="s">
        <v>8</v>
      </c>
      <c r="BF822" s="27" t="s">
        <v>7</v>
      </c>
      <c r="CC822" s="27" t="s">
        <v>8</v>
      </c>
      <c r="CD822" s="27" t="s">
        <v>7</v>
      </c>
      <c r="CH822" s="27" t="s">
        <v>7</v>
      </c>
      <c r="CI822" s="27" t="s">
        <v>8</v>
      </c>
      <c r="FA822" s="27" t="s">
        <v>8</v>
      </c>
      <c r="GT822" s="27" t="s">
        <v>7</v>
      </c>
      <c r="GZ822" s="27" t="s">
        <v>7</v>
      </c>
      <c r="HA822" s="27" t="s">
        <v>8</v>
      </c>
      <c r="HB822" s="27" t="s">
        <v>7</v>
      </c>
      <c r="HE822" s="27" t="s">
        <v>8</v>
      </c>
    </row>
    <row r="823" spans="1:219" x14ac:dyDescent="0.25">
      <c r="A823" s="7">
        <v>9.3402707223567936E-3</v>
      </c>
      <c r="B823"/>
      <c r="C823"/>
      <c r="D823"/>
      <c r="E823"/>
      <c r="F823" s="27" t="s">
        <v>7</v>
      </c>
      <c r="O823" s="27" t="s">
        <v>8</v>
      </c>
      <c r="P823" s="27" t="s">
        <v>7</v>
      </c>
      <c r="S823" s="27" t="s">
        <v>8</v>
      </c>
      <c r="V823" s="27" t="s">
        <v>7</v>
      </c>
      <c r="W823" s="27" t="s">
        <v>8</v>
      </c>
      <c r="AH823" s="27" t="s">
        <v>7</v>
      </c>
      <c r="AV823" s="27" t="s">
        <v>7</v>
      </c>
      <c r="BC823" s="27" t="s">
        <v>8</v>
      </c>
      <c r="BD823" s="27" t="s">
        <v>7</v>
      </c>
      <c r="BE823" s="27" t="s">
        <v>8</v>
      </c>
      <c r="BF823" s="27" t="s">
        <v>7</v>
      </c>
      <c r="CC823" s="27" t="s">
        <v>8</v>
      </c>
      <c r="CH823" s="27" t="s">
        <v>7</v>
      </c>
      <c r="CI823" s="27" t="s">
        <v>8</v>
      </c>
      <c r="CJ823" s="27" t="s">
        <v>7</v>
      </c>
      <c r="FA823" s="27" t="s">
        <v>8</v>
      </c>
      <c r="GZ823" s="27" t="s">
        <v>7</v>
      </c>
      <c r="HA823" s="27" t="s">
        <v>8</v>
      </c>
      <c r="HB823" s="27" t="s">
        <v>7</v>
      </c>
      <c r="HE823" s="27" t="s">
        <v>8</v>
      </c>
    </row>
    <row r="824" spans="1:219" x14ac:dyDescent="0.25">
      <c r="A824" s="7">
        <v>9.1571281591733261E-3</v>
      </c>
      <c r="B824"/>
      <c r="C824"/>
      <c r="D824"/>
      <c r="E824"/>
      <c r="F824" s="27" t="s">
        <v>7</v>
      </c>
      <c r="O824" s="27" t="s">
        <v>8</v>
      </c>
      <c r="P824" s="27" t="s">
        <v>7</v>
      </c>
      <c r="S824" s="27" t="s">
        <v>8</v>
      </c>
      <c r="V824" s="27" t="s">
        <v>7</v>
      </c>
      <c r="W824" s="27" t="s">
        <v>8</v>
      </c>
      <c r="AV824" s="27" t="s">
        <v>7</v>
      </c>
      <c r="BC824" s="27" t="s">
        <v>8</v>
      </c>
      <c r="BD824" s="27" t="s">
        <v>7</v>
      </c>
      <c r="BE824" s="27" t="s">
        <v>8</v>
      </c>
      <c r="BF824" s="27" t="s">
        <v>7</v>
      </c>
      <c r="CA824" s="27" t="s">
        <v>8</v>
      </c>
      <c r="CC824" s="27" t="s">
        <v>8</v>
      </c>
      <c r="CH824" s="27" t="s">
        <v>7</v>
      </c>
      <c r="CI824" s="27" t="s">
        <v>8</v>
      </c>
      <c r="CJ824" s="27" t="s">
        <v>7</v>
      </c>
      <c r="CK824" s="27" t="s">
        <v>8</v>
      </c>
      <c r="EI824" s="27" t="s">
        <v>8</v>
      </c>
      <c r="EY824" s="27" t="s">
        <v>8</v>
      </c>
      <c r="FA824" s="27" t="s">
        <v>8</v>
      </c>
      <c r="GZ824" s="27" t="s">
        <v>7</v>
      </c>
      <c r="HA824" s="27" t="s">
        <v>8</v>
      </c>
      <c r="HB824" s="27" t="s">
        <v>7</v>
      </c>
      <c r="HC824" s="27" t="s">
        <v>8</v>
      </c>
      <c r="HE824" s="27" t="s">
        <v>8</v>
      </c>
    </row>
    <row r="825" spans="1:219" x14ac:dyDescent="0.25">
      <c r="A825" s="7">
        <v>8.9775766266405148E-3</v>
      </c>
      <c r="B825"/>
      <c r="C825"/>
      <c r="D825"/>
      <c r="E825"/>
      <c r="F825" s="27" t="s">
        <v>7</v>
      </c>
      <c r="O825" s="27" t="s">
        <v>8</v>
      </c>
      <c r="P825" s="27" t="s">
        <v>7</v>
      </c>
      <c r="S825" s="27" t="s">
        <v>8</v>
      </c>
      <c r="V825" s="27" t="s">
        <v>7</v>
      </c>
      <c r="W825" s="27" t="s">
        <v>8</v>
      </c>
      <c r="AV825" s="27" t="s">
        <v>7</v>
      </c>
      <c r="BA825" s="27" t="s">
        <v>8</v>
      </c>
      <c r="BC825" s="27" t="s">
        <v>8</v>
      </c>
      <c r="BD825" s="27" t="s">
        <v>7</v>
      </c>
      <c r="BE825" s="27" t="s">
        <v>8</v>
      </c>
      <c r="BF825" s="27" t="s">
        <v>7</v>
      </c>
      <c r="CA825" s="27" t="s">
        <v>8</v>
      </c>
      <c r="CB825" s="27" t="s">
        <v>7</v>
      </c>
      <c r="CC825" s="27" t="s">
        <v>8</v>
      </c>
      <c r="CH825" s="27" t="s">
        <v>7</v>
      </c>
      <c r="CI825" s="27" t="s">
        <v>8</v>
      </c>
      <c r="CJ825" s="27" t="s">
        <v>7</v>
      </c>
      <c r="CK825" s="27" t="s">
        <v>8</v>
      </c>
      <c r="CL825" s="27" t="s">
        <v>7</v>
      </c>
      <c r="EI825" s="27" t="s">
        <v>8</v>
      </c>
      <c r="EJ825" s="27" t="s">
        <v>7</v>
      </c>
      <c r="EY825" s="27" t="s">
        <v>8</v>
      </c>
      <c r="EZ825" s="27" t="s">
        <v>7</v>
      </c>
      <c r="FA825" s="27" t="s">
        <v>8</v>
      </c>
      <c r="GZ825" s="27" t="s">
        <v>7</v>
      </c>
      <c r="HB825" s="27" t="s">
        <v>7</v>
      </c>
      <c r="HC825" s="27" t="s">
        <v>8</v>
      </c>
      <c r="HD825" s="27" t="s">
        <v>7</v>
      </c>
      <c r="HE825" s="27" t="s">
        <v>8</v>
      </c>
    </row>
    <row r="826" spans="1:219" x14ac:dyDescent="0.25">
      <c r="A826" s="7">
        <v>8.8015457123926614E-3</v>
      </c>
      <c r="B826"/>
      <c r="C826"/>
      <c r="D826"/>
      <c r="E826"/>
      <c r="F826" s="27" t="s">
        <v>7</v>
      </c>
      <c r="O826" s="27" t="s">
        <v>8</v>
      </c>
      <c r="P826" s="27" t="s">
        <v>7</v>
      </c>
      <c r="Q826" s="27" t="s">
        <v>8</v>
      </c>
      <c r="S826" s="27" t="s">
        <v>8</v>
      </c>
      <c r="V826" s="27" t="s">
        <v>7</v>
      </c>
      <c r="W826" s="27" t="s">
        <v>8</v>
      </c>
      <c r="AV826" s="27" t="s">
        <v>7</v>
      </c>
      <c r="BA826" s="27" t="s">
        <v>8</v>
      </c>
      <c r="BB826" s="27" t="s">
        <v>7</v>
      </c>
      <c r="BC826" s="27" t="s">
        <v>8</v>
      </c>
      <c r="BD826" s="27" t="s">
        <v>7</v>
      </c>
      <c r="BE826" s="27" t="s">
        <v>8</v>
      </c>
      <c r="BF826" s="27" t="s">
        <v>7</v>
      </c>
      <c r="BG826" s="27" t="s">
        <v>8</v>
      </c>
      <c r="BI826" s="27" t="s">
        <v>8</v>
      </c>
      <c r="CA826" s="27" t="s">
        <v>8</v>
      </c>
      <c r="CB826" s="27" t="s">
        <v>7</v>
      </c>
      <c r="CC826" s="27" t="s">
        <v>8</v>
      </c>
      <c r="CH826" s="27" t="s">
        <v>7</v>
      </c>
      <c r="CI826" s="27" t="s">
        <v>8</v>
      </c>
      <c r="CJ826" s="27" t="s">
        <v>7</v>
      </c>
      <c r="CK826" s="27" t="s">
        <v>8</v>
      </c>
      <c r="CL826" s="27" t="s">
        <v>7</v>
      </c>
      <c r="EI826" s="27" t="s">
        <v>8</v>
      </c>
      <c r="EJ826" s="27" t="s">
        <v>7</v>
      </c>
      <c r="EY826" s="27" t="s">
        <v>8</v>
      </c>
      <c r="EZ826" s="27" t="s">
        <v>7</v>
      </c>
      <c r="FA826" s="27" t="s">
        <v>8</v>
      </c>
      <c r="HB826" s="27" t="s">
        <v>7</v>
      </c>
      <c r="HC826" s="27" t="s">
        <v>8</v>
      </c>
      <c r="HD826" s="27" t="s">
        <v>7</v>
      </c>
      <c r="HE826" s="27" t="s">
        <v>8</v>
      </c>
    </row>
    <row r="827" spans="1:219" x14ac:dyDescent="0.25">
      <c r="A827" s="7">
        <v>8.6289663846986879E-3</v>
      </c>
      <c r="B827"/>
      <c r="C827"/>
      <c r="D827"/>
      <c r="E827"/>
      <c r="F827" s="27" t="s">
        <v>7</v>
      </c>
      <c r="O827" s="27" t="s">
        <v>8</v>
      </c>
      <c r="P827" s="27" t="s">
        <v>7</v>
      </c>
      <c r="Q827" s="27" t="s">
        <v>8</v>
      </c>
      <c r="R827" s="27" t="s">
        <v>7</v>
      </c>
      <c r="S827" s="27" t="s">
        <v>8</v>
      </c>
      <c r="V827" s="27" t="s">
        <v>7</v>
      </c>
      <c r="W827" s="27" t="s">
        <v>8</v>
      </c>
      <c r="AV827" s="27" t="s">
        <v>7</v>
      </c>
      <c r="AY827" s="27" t="s">
        <v>8</v>
      </c>
      <c r="BA827" s="27" t="s">
        <v>8</v>
      </c>
      <c r="BB827" s="27" t="s">
        <v>7</v>
      </c>
      <c r="BC827" s="27" t="s">
        <v>8</v>
      </c>
      <c r="BD827" s="27" t="s">
        <v>7</v>
      </c>
      <c r="BF827" s="27" t="s">
        <v>7</v>
      </c>
      <c r="BG827" s="27" t="s">
        <v>8</v>
      </c>
      <c r="BH827" s="27" t="s">
        <v>7</v>
      </c>
      <c r="BI827" s="27" t="s">
        <v>8</v>
      </c>
      <c r="BJ827" s="27" t="s">
        <v>7</v>
      </c>
      <c r="CA827" s="27" t="s">
        <v>8</v>
      </c>
      <c r="CB827" s="27" t="s">
        <v>7</v>
      </c>
      <c r="CC827" s="27" t="s">
        <v>8</v>
      </c>
      <c r="CH827" s="27" t="s">
        <v>7</v>
      </c>
      <c r="CI827" s="27" t="s">
        <v>8</v>
      </c>
      <c r="CJ827" s="27" t="s">
        <v>7</v>
      </c>
      <c r="CK827" s="27" t="s">
        <v>8</v>
      </c>
      <c r="CL827" s="27" t="s">
        <v>7</v>
      </c>
      <c r="EI827" s="27" t="s">
        <v>8</v>
      </c>
      <c r="EJ827" s="27" t="s">
        <v>7</v>
      </c>
      <c r="EY827" s="27" t="s">
        <v>8</v>
      </c>
      <c r="EZ827" s="27" t="s">
        <v>7</v>
      </c>
      <c r="FA827" s="27" t="s">
        <v>8</v>
      </c>
      <c r="HB827" s="27" t="s">
        <v>7</v>
      </c>
      <c r="HC827" s="27" t="s">
        <v>8</v>
      </c>
      <c r="HD827" s="27" t="s">
        <v>7</v>
      </c>
      <c r="HE827" s="27" t="s">
        <v>8</v>
      </c>
    </row>
    <row r="828" spans="1:219" x14ac:dyDescent="0.25">
      <c r="A828" s="7">
        <v>8.4597709653908715E-3</v>
      </c>
      <c r="B828"/>
      <c r="C828"/>
      <c r="D828"/>
      <c r="E828"/>
      <c r="F828" s="27" t="s">
        <v>7</v>
      </c>
      <c r="O828" s="27" t="s">
        <v>8</v>
      </c>
      <c r="P828" s="27" t="s">
        <v>7</v>
      </c>
      <c r="Q828" s="27" t="s">
        <v>8</v>
      </c>
      <c r="R828" s="27" t="s">
        <v>7</v>
      </c>
      <c r="S828" s="27" t="s">
        <v>8</v>
      </c>
      <c r="V828" s="27" t="s">
        <v>7</v>
      </c>
      <c r="W828" s="27" t="s">
        <v>8</v>
      </c>
      <c r="AV828" s="27" t="s">
        <v>7</v>
      </c>
      <c r="AY828" s="27" t="s">
        <v>8</v>
      </c>
      <c r="AZ828" s="27" t="s">
        <v>7</v>
      </c>
      <c r="BA828" s="27" t="s">
        <v>8</v>
      </c>
      <c r="BB828" s="27" t="s">
        <v>7</v>
      </c>
      <c r="BC828" s="27" t="s">
        <v>8</v>
      </c>
      <c r="BF828" s="27" t="s">
        <v>7</v>
      </c>
      <c r="BG828" s="27" t="s">
        <v>8</v>
      </c>
      <c r="BH828" s="27" t="s">
        <v>7</v>
      </c>
      <c r="BI828" s="27" t="s">
        <v>8</v>
      </c>
      <c r="BJ828" s="27" t="s">
        <v>7</v>
      </c>
      <c r="CA828" s="27" t="s">
        <v>8</v>
      </c>
      <c r="CB828" s="27" t="s">
        <v>7</v>
      </c>
      <c r="CH828" s="27" t="s">
        <v>7</v>
      </c>
      <c r="CI828" s="27" t="s">
        <v>8</v>
      </c>
      <c r="CJ828" s="27" t="s">
        <v>7</v>
      </c>
      <c r="CK828" s="27" t="s">
        <v>8</v>
      </c>
      <c r="CL828" s="27" t="s">
        <v>7</v>
      </c>
      <c r="EE828" s="27" t="s">
        <v>8</v>
      </c>
      <c r="EI828" s="27" t="s">
        <v>8</v>
      </c>
      <c r="EJ828" s="27" t="s">
        <v>7</v>
      </c>
      <c r="EY828" s="27" t="s">
        <v>8</v>
      </c>
      <c r="EZ828" s="27" t="s">
        <v>7</v>
      </c>
      <c r="FA828" s="27" t="s">
        <v>8</v>
      </c>
      <c r="HB828" s="27" t="s">
        <v>7</v>
      </c>
      <c r="HC828" s="27" t="s">
        <v>8</v>
      </c>
      <c r="HD828" s="27" t="s">
        <v>7</v>
      </c>
      <c r="HE828" s="27" t="s">
        <v>8</v>
      </c>
    </row>
    <row r="829" spans="1:219" x14ac:dyDescent="0.25">
      <c r="A829" s="7">
        <v>8.2938931033243839E-3</v>
      </c>
      <c r="B829"/>
      <c r="C829"/>
      <c r="D829"/>
      <c r="E829"/>
      <c r="F829" s="27" t="s">
        <v>7</v>
      </c>
      <c r="O829" s="27" t="s">
        <v>8</v>
      </c>
      <c r="P829" s="27" t="s">
        <v>7</v>
      </c>
      <c r="Q829" s="27" t="s">
        <v>8</v>
      </c>
      <c r="R829" s="27" t="s">
        <v>7</v>
      </c>
      <c r="S829" s="27" t="s">
        <v>8</v>
      </c>
      <c r="V829" s="27" t="s">
        <v>7</v>
      </c>
      <c r="W829" s="27" t="s">
        <v>8</v>
      </c>
      <c r="AV829" s="27" t="s">
        <v>7</v>
      </c>
      <c r="AY829" s="27" t="s">
        <v>8</v>
      </c>
      <c r="AZ829" s="27" t="s">
        <v>7</v>
      </c>
      <c r="BA829" s="27" t="s">
        <v>8</v>
      </c>
      <c r="BB829" s="27" t="s">
        <v>7</v>
      </c>
      <c r="BC829" s="27" t="s">
        <v>8</v>
      </c>
      <c r="BF829" s="27" t="s">
        <v>7</v>
      </c>
      <c r="BH829" s="27" t="s">
        <v>7</v>
      </c>
      <c r="BJ829" s="27" t="s">
        <v>7</v>
      </c>
      <c r="BM829" s="27" t="s">
        <v>8</v>
      </c>
      <c r="CA829" s="27" t="s">
        <v>8</v>
      </c>
      <c r="CH829" s="27" t="s">
        <v>7</v>
      </c>
      <c r="CJ829" s="27" t="s">
        <v>7</v>
      </c>
      <c r="CL829" s="27" t="s">
        <v>7</v>
      </c>
      <c r="EE829" s="27" t="s">
        <v>8</v>
      </c>
      <c r="EF829" s="27" t="s">
        <v>7</v>
      </c>
      <c r="EI829" s="27" t="s">
        <v>8</v>
      </c>
      <c r="EJ829" s="27" t="s">
        <v>7</v>
      </c>
      <c r="EY829" s="27" t="s">
        <v>8</v>
      </c>
      <c r="EZ829" s="27" t="s">
        <v>7</v>
      </c>
      <c r="FA829" s="27" t="s">
        <v>8</v>
      </c>
      <c r="HB829" s="27" t="s">
        <v>7</v>
      </c>
      <c r="HC829" s="27" t="s">
        <v>8</v>
      </c>
      <c r="HD829" s="27" t="s">
        <v>7</v>
      </c>
      <c r="HE829" s="27" t="s">
        <v>8</v>
      </c>
    </row>
    <row r="830" spans="1:219" x14ac:dyDescent="0.25">
      <c r="A830" s="7">
        <v>8.1312677483572383E-3</v>
      </c>
      <c r="B830"/>
      <c r="C830"/>
      <c r="D830"/>
      <c r="E830"/>
      <c r="F830" s="27" t="s">
        <v>7</v>
      </c>
      <c r="O830" s="27" t="s">
        <v>8</v>
      </c>
      <c r="P830" s="27" t="s">
        <v>7</v>
      </c>
      <c r="Q830" s="27" t="s">
        <v>8</v>
      </c>
      <c r="R830" s="27" t="s">
        <v>7</v>
      </c>
      <c r="S830" s="27" t="s">
        <v>8</v>
      </c>
      <c r="V830" s="27" t="s">
        <v>7</v>
      </c>
      <c r="W830" s="27" t="s">
        <v>8</v>
      </c>
      <c r="AV830" s="27" t="s">
        <v>7</v>
      </c>
      <c r="AY830" s="27" t="s">
        <v>8</v>
      </c>
      <c r="AZ830" s="27" t="s">
        <v>7</v>
      </c>
      <c r="BA830" s="27" t="s">
        <v>8</v>
      </c>
      <c r="BB830" s="27" t="s">
        <v>7</v>
      </c>
      <c r="BJ830" s="27" t="s">
        <v>7</v>
      </c>
      <c r="BK830" s="27" t="s">
        <v>8</v>
      </c>
      <c r="BM830" s="27" t="s">
        <v>8</v>
      </c>
      <c r="BN830" s="27" t="s">
        <v>7</v>
      </c>
      <c r="BY830" s="27" t="s">
        <v>8</v>
      </c>
      <c r="CA830" s="27" t="s">
        <v>8</v>
      </c>
      <c r="CL830" s="27" t="s">
        <v>7</v>
      </c>
      <c r="CQ830" s="27" t="s">
        <v>8</v>
      </c>
      <c r="EE830" s="27" t="s">
        <v>8</v>
      </c>
      <c r="EF830" s="27" t="s">
        <v>7</v>
      </c>
      <c r="EI830" s="27" t="s">
        <v>8</v>
      </c>
      <c r="EJ830" s="27" t="s">
        <v>7</v>
      </c>
      <c r="EQ830" s="27" t="s">
        <v>8</v>
      </c>
      <c r="EY830" s="27" t="s">
        <v>8</v>
      </c>
      <c r="EZ830" s="27" t="s">
        <v>7</v>
      </c>
      <c r="FA830" s="27" t="s">
        <v>8</v>
      </c>
      <c r="HB830" s="27" t="s">
        <v>7</v>
      </c>
      <c r="HC830" s="27" t="s">
        <v>8</v>
      </c>
      <c r="HD830" s="27" t="s">
        <v>7</v>
      </c>
      <c r="HE830" s="27" t="s">
        <v>8</v>
      </c>
    </row>
    <row r="831" spans="1:219" x14ac:dyDescent="0.25">
      <c r="A831" s="7">
        <v>7.9718311258404305E-3</v>
      </c>
      <c r="B831"/>
      <c r="C831"/>
      <c r="D831"/>
      <c r="E831"/>
      <c r="F831" s="27" t="s">
        <v>7</v>
      </c>
      <c r="O831" s="27" t="s">
        <v>8</v>
      </c>
      <c r="P831" s="27" t="s">
        <v>7</v>
      </c>
      <c r="Q831" s="27" t="s">
        <v>8</v>
      </c>
      <c r="R831" s="27" t="s">
        <v>7</v>
      </c>
      <c r="S831" s="27" t="s">
        <v>8</v>
      </c>
      <c r="V831" s="27" t="s">
        <v>7</v>
      </c>
      <c r="W831" s="27" t="s">
        <v>8</v>
      </c>
      <c r="AV831" s="27" t="s">
        <v>7</v>
      </c>
      <c r="AW831" s="27" t="s">
        <v>8</v>
      </c>
      <c r="AY831" s="27" t="s">
        <v>8</v>
      </c>
      <c r="AZ831" s="27" t="s">
        <v>7</v>
      </c>
      <c r="BJ831" s="27" t="s">
        <v>7</v>
      </c>
      <c r="BK831" s="27" t="s">
        <v>8</v>
      </c>
      <c r="BL831" s="27" t="s">
        <v>7</v>
      </c>
      <c r="BM831" s="27" t="s">
        <v>8</v>
      </c>
      <c r="BN831" s="27" t="s">
        <v>7</v>
      </c>
      <c r="BY831" s="27" t="s">
        <v>8</v>
      </c>
      <c r="BZ831" s="27" t="s">
        <v>7</v>
      </c>
      <c r="CA831" s="27" t="s">
        <v>8</v>
      </c>
      <c r="CL831" s="27" t="s">
        <v>7</v>
      </c>
      <c r="CQ831" s="27" t="s">
        <v>8</v>
      </c>
      <c r="CR831" s="27" t="s">
        <v>7</v>
      </c>
      <c r="EE831" s="27" t="s">
        <v>8</v>
      </c>
      <c r="EF831" s="27" t="s">
        <v>7</v>
      </c>
      <c r="EI831" s="27" t="s">
        <v>8</v>
      </c>
      <c r="EJ831" s="27" t="s">
        <v>7</v>
      </c>
      <c r="EM831" s="27" t="s">
        <v>8</v>
      </c>
      <c r="EQ831" s="27" t="s">
        <v>8</v>
      </c>
      <c r="ER831" s="27" t="s">
        <v>7</v>
      </c>
      <c r="EY831" s="27" t="s">
        <v>8</v>
      </c>
      <c r="EZ831" s="27" t="s">
        <v>7</v>
      </c>
      <c r="FA831" s="27" t="s">
        <v>8</v>
      </c>
      <c r="HB831" s="27" t="s">
        <v>7</v>
      </c>
      <c r="HD831" s="27" t="s">
        <v>7</v>
      </c>
      <c r="HE831" s="27" t="s">
        <v>8</v>
      </c>
    </row>
    <row r="832" spans="1:219" x14ac:dyDescent="0.25">
      <c r="A832" s="7">
        <v>7.8155207116082648E-3</v>
      </c>
      <c r="B832"/>
      <c r="C832"/>
      <c r="D832"/>
      <c r="E832"/>
      <c r="F832" s="27" t="s">
        <v>7</v>
      </c>
      <c r="O832" s="27" t="s">
        <v>8</v>
      </c>
      <c r="P832" s="27" t="s">
        <v>7</v>
      </c>
      <c r="Q832" s="27" t="s">
        <v>8</v>
      </c>
      <c r="R832" s="27" t="s">
        <v>7</v>
      </c>
      <c r="V832" s="27" t="s">
        <v>7</v>
      </c>
      <c r="W832" s="27" t="s">
        <v>8</v>
      </c>
      <c r="AV832" s="27" t="s">
        <v>7</v>
      </c>
      <c r="AW832" s="27" t="s">
        <v>8</v>
      </c>
      <c r="AX832" s="27" t="s">
        <v>7</v>
      </c>
      <c r="AY832" s="27" t="s">
        <v>8</v>
      </c>
      <c r="BJ832" s="27" t="s">
        <v>7</v>
      </c>
      <c r="BK832" s="27" t="s">
        <v>8</v>
      </c>
      <c r="BL832" s="27" t="s">
        <v>7</v>
      </c>
      <c r="BM832" s="27" t="s">
        <v>8</v>
      </c>
      <c r="BN832" s="27" t="s">
        <v>7</v>
      </c>
      <c r="BY832" s="27" t="s">
        <v>8</v>
      </c>
      <c r="BZ832" s="27" t="s">
        <v>7</v>
      </c>
      <c r="CA832" s="27" t="s">
        <v>8</v>
      </c>
      <c r="CL832" s="27" t="s">
        <v>7</v>
      </c>
      <c r="CQ832" s="27" t="s">
        <v>8</v>
      </c>
      <c r="CR832" s="27" t="s">
        <v>7</v>
      </c>
      <c r="EE832" s="27" t="s">
        <v>8</v>
      </c>
      <c r="EF832" s="27" t="s">
        <v>7</v>
      </c>
      <c r="EI832" s="27" t="s">
        <v>8</v>
      </c>
      <c r="EJ832" s="27" t="s">
        <v>7</v>
      </c>
      <c r="EM832" s="27" t="s">
        <v>8</v>
      </c>
      <c r="EN832" s="27" t="s">
        <v>7</v>
      </c>
      <c r="EQ832" s="27" t="s">
        <v>8</v>
      </c>
      <c r="ER832" s="27" t="s">
        <v>7</v>
      </c>
      <c r="ES832" s="27" t="s">
        <v>8</v>
      </c>
      <c r="EY832" s="27" t="s">
        <v>8</v>
      </c>
      <c r="EZ832" s="27" t="s">
        <v>7</v>
      </c>
      <c r="HD832" s="27" t="s">
        <v>7</v>
      </c>
      <c r="HE832" s="27" t="s">
        <v>8</v>
      </c>
    </row>
    <row r="833" spans="1:212" x14ac:dyDescent="0.25">
      <c r="A833" s="7">
        <v>7.6622752074590825E-3</v>
      </c>
      <c r="B833"/>
      <c r="C833"/>
      <c r="D833"/>
      <c r="E833"/>
      <c r="F833" s="27" t="s">
        <v>7</v>
      </c>
      <c r="O833" s="27" t="s">
        <v>8</v>
      </c>
      <c r="P833" s="27" t="s">
        <v>7</v>
      </c>
      <c r="Q833" s="27" t="s">
        <v>8</v>
      </c>
      <c r="V833" s="27" t="s">
        <v>7</v>
      </c>
      <c r="W833" s="27" t="s">
        <v>8</v>
      </c>
      <c r="AV833" s="27" t="s">
        <v>7</v>
      </c>
      <c r="AW833" s="27" t="s">
        <v>8</v>
      </c>
      <c r="AX833" s="27" t="s">
        <v>7</v>
      </c>
      <c r="AY833" s="27" t="s">
        <v>8</v>
      </c>
      <c r="BJ833" s="27" t="s">
        <v>7</v>
      </c>
      <c r="BK833" s="27" t="s">
        <v>8</v>
      </c>
      <c r="BL833" s="27" t="s">
        <v>7</v>
      </c>
      <c r="BM833" s="27" t="s">
        <v>8</v>
      </c>
      <c r="BN833" s="27" t="s">
        <v>7</v>
      </c>
      <c r="BO833" s="27" t="s">
        <v>8</v>
      </c>
      <c r="BQ833" s="27" t="s">
        <v>8</v>
      </c>
      <c r="BY833" s="27" t="s">
        <v>8</v>
      </c>
      <c r="BZ833" s="27" t="s">
        <v>7</v>
      </c>
      <c r="CL833" s="27" t="s">
        <v>7</v>
      </c>
      <c r="CM833" s="27" t="s">
        <v>8</v>
      </c>
      <c r="CQ833" s="27" t="s">
        <v>8</v>
      </c>
      <c r="CR833" s="27" t="s">
        <v>7</v>
      </c>
      <c r="CS833" s="27" t="s">
        <v>8</v>
      </c>
      <c r="EE833" s="27" t="s">
        <v>8</v>
      </c>
      <c r="EF833" s="27" t="s">
        <v>7</v>
      </c>
      <c r="EI833" s="27" t="s">
        <v>8</v>
      </c>
      <c r="EJ833" s="27" t="s">
        <v>7</v>
      </c>
      <c r="EK833" s="27" t="s">
        <v>8</v>
      </c>
      <c r="EM833" s="27" t="s">
        <v>8</v>
      </c>
      <c r="EN833" s="27" t="s">
        <v>7</v>
      </c>
      <c r="EQ833" s="27" t="s">
        <v>8</v>
      </c>
      <c r="ER833" s="27" t="s">
        <v>7</v>
      </c>
      <c r="ES833" s="27" t="s">
        <v>8</v>
      </c>
      <c r="ET833" s="27" t="s">
        <v>7</v>
      </c>
      <c r="EY833" s="27" t="s">
        <v>8</v>
      </c>
      <c r="HD833" s="27" t="s">
        <v>7</v>
      </c>
    </row>
    <row r="834" spans="1:212" x14ac:dyDescent="0.25">
      <c r="A834" s="7">
        <v>7.5120345171167469E-3</v>
      </c>
      <c r="B834"/>
      <c r="C834"/>
      <c r="D834"/>
      <c r="E834"/>
      <c r="F834" s="27" t="s">
        <v>7</v>
      </c>
      <c r="O834" s="27" t="s">
        <v>8</v>
      </c>
      <c r="P834" s="27" t="s">
        <v>7</v>
      </c>
      <c r="Q834" s="27" t="s">
        <v>8</v>
      </c>
      <c r="V834" s="27" t="s">
        <v>7</v>
      </c>
      <c r="W834" s="27" t="s">
        <v>8</v>
      </c>
      <c r="AV834" s="27" t="s">
        <v>7</v>
      </c>
      <c r="AW834" s="27" t="s">
        <v>8</v>
      </c>
      <c r="AX834" s="27" t="s">
        <v>7</v>
      </c>
      <c r="AY834" s="27" t="s">
        <v>8</v>
      </c>
      <c r="BJ834" s="27" t="s">
        <v>7</v>
      </c>
      <c r="BK834" s="27" t="s">
        <v>8</v>
      </c>
      <c r="BL834" s="27" t="s">
        <v>7</v>
      </c>
      <c r="BM834" s="27" t="s">
        <v>8</v>
      </c>
      <c r="BN834" s="27" t="s">
        <v>7</v>
      </c>
      <c r="BO834" s="27" t="s">
        <v>8</v>
      </c>
      <c r="BP834" s="27" t="s">
        <v>7</v>
      </c>
      <c r="BQ834" s="27" t="s">
        <v>8</v>
      </c>
      <c r="BR834" s="27" t="s">
        <v>7</v>
      </c>
      <c r="BS834" s="27" t="s">
        <v>8</v>
      </c>
      <c r="BU834" s="27" t="s">
        <v>8</v>
      </c>
      <c r="BY834" s="27" t="s">
        <v>8</v>
      </c>
      <c r="CL834" s="27" t="s">
        <v>7</v>
      </c>
      <c r="CM834" s="27" t="s">
        <v>8</v>
      </c>
      <c r="CN834" s="27" t="s">
        <v>7</v>
      </c>
      <c r="CQ834" s="27" t="s">
        <v>8</v>
      </c>
      <c r="CR834" s="27" t="s">
        <v>7</v>
      </c>
      <c r="CS834" s="27" t="s">
        <v>8</v>
      </c>
      <c r="CT834" s="27" t="s">
        <v>7</v>
      </c>
      <c r="EE834" s="27" t="s">
        <v>8</v>
      </c>
      <c r="EF834" s="27" t="s">
        <v>7</v>
      </c>
      <c r="EG834" s="27" t="s">
        <v>8</v>
      </c>
      <c r="EI834" s="27" t="s">
        <v>8</v>
      </c>
      <c r="EJ834" s="27" t="s">
        <v>7</v>
      </c>
      <c r="EK834" s="27" t="s">
        <v>8</v>
      </c>
      <c r="EL834" s="27" t="s">
        <v>7</v>
      </c>
      <c r="EM834" s="27" t="s">
        <v>8</v>
      </c>
      <c r="EN834" s="27" t="s">
        <v>7</v>
      </c>
      <c r="EQ834" s="27" t="s">
        <v>8</v>
      </c>
      <c r="ER834" s="27" t="s">
        <v>7</v>
      </c>
      <c r="ES834" s="27" t="s">
        <v>8</v>
      </c>
      <c r="ET834" s="27" t="s">
        <v>7</v>
      </c>
      <c r="EU834" s="27" t="s">
        <v>8</v>
      </c>
      <c r="EY834" s="27" t="s">
        <v>8</v>
      </c>
    </row>
    <row r="835" spans="1:212" x14ac:dyDescent="0.25">
      <c r="A835" s="7">
        <v>7.3647397226634772E-3</v>
      </c>
      <c r="B835"/>
      <c r="C835"/>
      <c r="D835"/>
      <c r="E835"/>
      <c r="F835" s="27" t="s">
        <v>7</v>
      </c>
      <c r="G835" s="27" t="s">
        <v>8</v>
      </c>
      <c r="O835" s="27" t="s">
        <v>8</v>
      </c>
      <c r="P835" s="27" t="s">
        <v>7</v>
      </c>
      <c r="Q835" s="27" t="s">
        <v>8</v>
      </c>
      <c r="V835" s="27" t="s">
        <v>7</v>
      </c>
      <c r="AV835" s="27" t="s">
        <v>7</v>
      </c>
      <c r="AX835" s="27" t="s">
        <v>7</v>
      </c>
      <c r="AY835" s="27" t="s">
        <v>8</v>
      </c>
      <c r="BJ835" s="27" t="s">
        <v>7</v>
      </c>
      <c r="BK835" s="27" t="s">
        <v>8</v>
      </c>
      <c r="BL835" s="27" t="s">
        <v>7</v>
      </c>
      <c r="BM835" s="27" t="s">
        <v>8</v>
      </c>
      <c r="BN835" s="27" t="s">
        <v>7</v>
      </c>
      <c r="BO835" s="27" t="s">
        <v>8</v>
      </c>
      <c r="BP835" s="27" t="s">
        <v>7</v>
      </c>
      <c r="BQ835" s="27" t="s">
        <v>8</v>
      </c>
      <c r="BR835" s="27" t="s">
        <v>7</v>
      </c>
      <c r="BS835" s="27" t="s">
        <v>8</v>
      </c>
      <c r="BT835" s="27" t="s">
        <v>7</v>
      </c>
      <c r="BU835" s="27" t="s">
        <v>8</v>
      </c>
      <c r="BV835" s="27" t="s">
        <v>7</v>
      </c>
      <c r="BW835" s="27" t="s">
        <v>8</v>
      </c>
      <c r="BY835" s="27" t="s">
        <v>8</v>
      </c>
      <c r="CL835" s="27" t="s">
        <v>7</v>
      </c>
      <c r="CM835" s="27" t="s">
        <v>8</v>
      </c>
      <c r="CN835" s="27" t="s">
        <v>7</v>
      </c>
      <c r="CQ835" s="27" t="s">
        <v>8</v>
      </c>
      <c r="CR835" s="27" t="s">
        <v>7</v>
      </c>
      <c r="CS835" s="27" t="s">
        <v>8</v>
      </c>
      <c r="CT835" s="27" t="s">
        <v>7</v>
      </c>
      <c r="EE835" s="27" t="s">
        <v>8</v>
      </c>
      <c r="EF835" s="27" t="s">
        <v>7</v>
      </c>
      <c r="EG835" s="27" t="s">
        <v>8</v>
      </c>
      <c r="EH835" s="27" t="s">
        <v>7</v>
      </c>
      <c r="EI835" s="27" t="s">
        <v>8</v>
      </c>
      <c r="EJ835" s="27" t="s">
        <v>7</v>
      </c>
      <c r="EK835" s="27" t="s">
        <v>8</v>
      </c>
      <c r="EL835" s="27" t="s">
        <v>7</v>
      </c>
      <c r="EM835" s="27" t="s">
        <v>8</v>
      </c>
      <c r="EN835" s="27" t="s">
        <v>7</v>
      </c>
      <c r="EO835" s="27" t="s">
        <v>8</v>
      </c>
      <c r="EQ835" s="27" t="s">
        <v>8</v>
      </c>
      <c r="ER835" s="27" t="s">
        <v>7</v>
      </c>
      <c r="ES835" s="27" t="s">
        <v>8</v>
      </c>
      <c r="ET835" s="27" t="s">
        <v>7</v>
      </c>
      <c r="EU835" s="27" t="s">
        <v>8</v>
      </c>
      <c r="EV835" s="27" t="s">
        <v>7</v>
      </c>
      <c r="EW835" s="27" t="s">
        <v>8</v>
      </c>
      <c r="EY835" s="27" t="s">
        <v>8</v>
      </c>
    </row>
    <row r="836" spans="1:212" x14ac:dyDescent="0.25">
      <c r="A836" s="7">
        <v>7.2203330614347815E-3</v>
      </c>
      <c r="B836"/>
      <c r="C836"/>
      <c r="D836"/>
      <c r="E836"/>
      <c r="F836" s="27" t="s">
        <v>7</v>
      </c>
      <c r="G836" s="27" t="s">
        <v>8</v>
      </c>
      <c r="H836" s="27" t="s">
        <v>7</v>
      </c>
      <c r="O836" s="27" t="s">
        <v>8</v>
      </c>
      <c r="P836" s="27" t="s">
        <v>7</v>
      </c>
      <c r="Q836" s="27" t="s">
        <v>8</v>
      </c>
      <c r="AX836" s="27" t="s">
        <v>7</v>
      </c>
      <c r="AY836" s="27" t="s">
        <v>8</v>
      </c>
      <c r="BJ836" s="27" t="s">
        <v>7</v>
      </c>
      <c r="BK836" s="27" t="s">
        <v>8</v>
      </c>
      <c r="BL836" s="27" t="s">
        <v>7</v>
      </c>
      <c r="BM836" s="27" t="s">
        <v>8</v>
      </c>
      <c r="BN836" s="27" t="s">
        <v>7</v>
      </c>
      <c r="BO836" s="27" t="s">
        <v>8</v>
      </c>
      <c r="BP836" s="27" t="s">
        <v>7</v>
      </c>
      <c r="BQ836" s="27" t="s">
        <v>8</v>
      </c>
      <c r="BR836" s="27" t="s">
        <v>7</v>
      </c>
      <c r="BS836" s="27" t="s">
        <v>8</v>
      </c>
      <c r="BT836" s="27" t="s">
        <v>7</v>
      </c>
      <c r="BU836" s="27" t="s">
        <v>8</v>
      </c>
      <c r="BV836" s="27" t="s">
        <v>7</v>
      </c>
      <c r="BW836" s="27" t="s">
        <v>8</v>
      </c>
      <c r="BX836" s="27" t="s">
        <v>7</v>
      </c>
      <c r="BY836" s="27" t="s">
        <v>8</v>
      </c>
      <c r="CL836" s="27" t="s">
        <v>7</v>
      </c>
      <c r="CM836" s="27" t="s">
        <v>8</v>
      </c>
      <c r="CN836" s="27" t="s">
        <v>7</v>
      </c>
      <c r="CO836" s="27" t="s">
        <v>8</v>
      </c>
      <c r="CQ836" s="27" t="s">
        <v>8</v>
      </c>
      <c r="CR836" s="27" t="s">
        <v>7</v>
      </c>
      <c r="CS836" s="27" t="s">
        <v>8</v>
      </c>
      <c r="CT836" s="27" t="s">
        <v>7</v>
      </c>
      <c r="EE836" s="27" t="s">
        <v>8</v>
      </c>
      <c r="EF836" s="27" t="s">
        <v>7</v>
      </c>
      <c r="EG836" s="27" t="s">
        <v>8</v>
      </c>
      <c r="EH836" s="27" t="s">
        <v>7</v>
      </c>
      <c r="EI836" s="27" t="s">
        <v>8</v>
      </c>
      <c r="EJ836" s="27" t="s">
        <v>7</v>
      </c>
      <c r="EL836" s="27" t="s">
        <v>7</v>
      </c>
      <c r="EN836" s="27" t="s">
        <v>7</v>
      </c>
      <c r="EO836" s="27" t="s">
        <v>8</v>
      </c>
      <c r="EP836" s="27" t="s">
        <v>7</v>
      </c>
      <c r="EQ836" s="27" t="s">
        <v>8</v>
      </c>
      <c r="ER836" s="27" t="s">
        <v>7</v>
      </c>
      <c r="ET836" s="27" t="s">
        <v>7</v>
      </c>
      <c r="EU836" s="27" t="s">
        <v>8</v>
      </c>
      <c r="EV836" s="27" t="s">
        <v>7</v>
      </c>
      <c r="EW836" s="27" t="s">
        <v>8</v>
      </c>
      <c r="EX836" s="27" t="s">
        <v>7</v>
      </c>
      <c r="EY836" s="27" t="s">
        <v>8</v>
      </c>
    </row>
    <row r="837" spans="1:212" x14ac:dyDescent="0.25">
      <c r="A837" s="7">
        <v>7.0787579033674327E-3</v>
      </c>
      <c r="B837"/>
      <c r="C837"/>
      <c r="D837"/>
      <c r="E837"/>
      <c r="F837" s="27" t="s">
        <v>7</v>
      </c>
      <c r="G837" s="27" t="s">
        <v>8</v>
      </c>
      <c r="H837" s="27" t="s">
        <v>7</v>
      </c>
      <c r="O837" s="27" t="s">
        <v>8</v>
      </c>
      <c r="P837" s="27" t="s">
        <v>7</v>
      </c>
      <c r="Q837" s="27" t="s">
        <v>8</v>
      </c>
      <c r="AX837" s="27" t="s">
        <v>7</v>
      </c>
      <c r="BJ837" s="27" t="s">
        <v>7</v>
      </c>
      <c r="BK837" s="27" t="s">
        <v>8</v>
      </c>
      <c r="BL837" s="27" t="s">
        <v>7</v>
      </c>
      <c r="BM837" s="27" t="s">
        <v>8</v>
      </c>
      <c r="BN837" s="27" t="s">
        <v>7</v>
      </c>
      <c r="BP837" s="27" t="s">
        <v>7</v>
      </c>
      <c r="BR837" s="27" t="s">
        <v>7</v>
      </c>
      <c r="BT837" s="27" t="s">
        <v>7</v>
      </c>
      <c r="BV837" s="27" t="s">
        <v>7</v>
      </c>
      <c r="BW837" s="27" t="s">
        <v>8</v>
      </c>
      <c r="BX837" s="27" t="s">
        <v>7</v>
      </c>
      <c r="BY837" s="27" t="s">
        <v>8</v>
      </c>
      <c r="CL837" s="27" t="s">
        <v>7</v>
      </c>
      <c r="CM837" s="27" t="s">
        <v>8</v>
      </c>
      <c r="CN837" s="27" t="s">
        <v>7</v>
      </c>
      <c r="CO837" s="27" t="s">
        <v>8</v>
      </c>
      <c r="CP837" s="27" t="s">
        <v>7</v>
      </c>
      <c r="CQ837" s="27" t="s">
        <v>8</v>
      </c>
      <c r="CR837" s="27" t="s">
        <v>7</v>
      </c>
      <c r="CS837" s="27" t="s">
        <v>8</v>
      </c>
      <c r="CT837" s="27" t="s">
        <v>7</v>
      </c>
      <c r="EE837" s="27" t="s">
        <v>8</v>
      </c>
      <c r="EF837" s="27" t="s">
        <v>7</v>
      </c>
      <c r="EG837" s="27" t="s">
        <v>8</v>
      </c>
      <c r="EH837" s="27" t="s">
        <v>7</v>
      </c>
      <c r="EI837" s="27" t="s">
        <v>8</v>
      </c>
      <c r="EN837" s="27" t="s">
        <v>7</v>
      </c>
      <c r="EO837" s="27" t="s">
        <v>8</v>
      </c>
      <c r="EP837" s="27" t="s">
        <v>7</v>
      </c>
      <c r="EQ837" s="27" t="s">
        <v>8</v>
      </c>
      <c r="ET837" s="27" t="s">
        <v>7</v>
      </c>
      <c r="EU837" s="27" t="s">
        <v>8</v>
      </c>
      <c r="EV837" s="27" t="s">
        <v>7</v>
      </c>
      <c r="EW837" s="27" t="s">
        <v>8</v>
      </c>
      <c r="EX837" s="27" t="s">
        <v>7</v>
      </c>
      <c r="EY837" s="27" t="s">
        <v>8</v>
      </c>
    </row>
    <row r="838" spans="1:212" x14ac:dyDescent="0.25">
      <c r="A838" s="7">
        <v>6.9399587287916013E-3</v>
      </c>
      <c r="B838"/>
      <c r="C838"/>
      <c r="D838"/>
      <c r="E838"/>
      <c r="F838" s="27" t="s">
        <v>7</v>
      </c>
      <c r="G838" s="27" t="s">
        <v>8</v>
      </c>
      <c r="H838" s="27" t="s">
        <v>7</v>
      </c>
      <c r="O838" s="27" t="s">
        <v>8</v>
      </c>
      <c r="P838" s="27" t="s">
        <v>7</v>
      </c>
      <c r="Q838" s="27" t="s">
        <v>8</v>
      </c>
      <c r="BJ838" s="27" t="s">
        <v>7</v>
      </c>
      <c r="BK838" s="27" t="s">
        <v>8</v>
      </c>
      <c r="BL838" s="27" t="s">
        <v>7</v>
      </c>
      <c r="BV838" s="27" t="s">
        <v>7</v>
      </c>
      <c r="BX838" s="27" t="s">
        <v>7</v>
      </c>
      <c r="BY838" s="27" t="s">
        <v>8</v>
      </c>
      <c r="CL838" s="27" t="s">
        <v>7</v>
      </c>
      <c r="CM838" s="27" t="s">
        <v>8</v>
      </c>
      <c r="CN838" s="27" t="s">
        <v>7</v>
      </c>
      <c r="CO838" s="27" t="s">
        <v>8</v>
      </c>
      <c r="CP838" s="27" t="s">
        <v>7</v>
      </c>
      <c r="CQ838" s="27" t="s">
        <v>8</v>
      </c>
      <c r="CR838" s="27" t="s">
        <v>7</v>
      </c>
      <c r="CS838" s="27" t="s">
        <v>8</v>
      </c>
      <c r="CT838" s="27" t="s">
        <v>7</v>
      </c>
      <c r="EE838" s="27" t="s">
        <v>8</v>
      </c>
      <c r="EF838" s="27" t="s">
        <v>7</v>
      </c>
      <c r="EG838" s="27" t="s">
        <v>8</v>
      </c>
      <c r="EH838" s="27" t="s">
        <v>7</v>
      </c>
      <c r="EN838" s="27" t="s">
        <v>7</v>
      </c>
      <c r="EO838" s="27" t="s">
        <v>8</v>
      </c>
      <c r="EP838" s="27" t="s">
        <v>7</v>
      </c>
      <c r="EQ838" s="27" t="s">
        <v>8</v>
      </c>
      <c r="ET838" s="27" t="s">
        <v>7</v>
      </c>
      <c r="EV838" s="27" t="s">
        <v>7</v>
      </c>
      <c r="EW838" s="27" t="s">
        <v>8</v>
      </c>
      <c r="EX838" s="27" t="s">
        <v>7</v>
      </c>
    </row>
    <row r="839" spans="1:212" x14ac:dyDescent="0.25">
      <c r="A839" s="7">
        <v>6.8038811066584333E-3</v>
      </c>
      <c r="B839"/>
      <c r="C839"/>
      <c r="D839"/>
      <c r="E839"/>
      <c r="F839" s="27" t="s">
        <v>7</v>
      </c>
      <c r="G839" s="27" t="s">
        <v>8</v>
      </c>
      <c r="H839" s="27" t="s">
        <v>7</v>
      </c>
      <c r="O839" s="27" t="s">
        <v>8</v>
      </c>
      <c r="P839" s="27" t="s">
        <v>7</v>
      </c>
      <c r="Q839" s="27" t="s">
        <v>8</v>
      </c>
      <c r="BJ839" s="27" t="s">
        <v>7</v>
      </c>
      <c r="BK839" s="27" t="s">
        <v>8</v>
      </c>
      <c r="BX839" s="27" t="s">
        <v>7</v>
      </c>
      <c r="BY839" s="27" t="s">
        <v>8</v>
      </c>
      <c r="CL839" s="27" t="s">
        <v>7</v>
      </c>
      <c r="CM839" s="27" t="s">
        <v>8</v>
      </c>
      <c r="CN839" s="27" t="s">
        <v>7</v>
      </c>
      <c r="CO839" s="27" t="s">
        <v>8</v>
      </c>
      <c r="CP839" s="27" t="s">
        <v>7</v>
      </c>
      <c r="CQ839" s="27" t="s">
        <v>8</v>
      </c>
      <c r="CR839" s="27" t="s">
        <v>7</v>
      </c>
      <c r="CS839" s="27" t="s">
        <v>8</v>
      </c>
      <c r="CT839" s="27" t="s">
        <v>7</v>
      </c>
      <c r="EE839" s="27" t="s">
        <v>8</v>
      </c>
      <c r="EF839" s="27" t="s">
        <v>7</v>
      </c>
      <c r="EG839" s="27" t="s">
        <v>8</v>
      </c>
      <c r="EN839" s="27" t="s">
        <v>7</v>
      </c>
      <c r="EO839" s="27" t="s">
        <v>8</v>
      </c>
      <c r="EP839" s="27" t="s">
        <v>7</v>
      </c>
      <c r="EQ839" s="27" t="s">
        <v>8</v>
      </c>
      <c r="EV839" s="27" t="s">
        <v>7</v>
      </c>
      <c r="EW839" s="27" t="s">
        <v>8</v>
      </c>
    </row>
    <row r="840" spans="1:212" x14ac:dyDescent="0.25">
      <c r="A840" s="7">
        <v>6.6704716731945425E-3</v>
      </c>
      <c r="B840"/>
      <c r="C840"/>
      <c r="D840"/>
      <c r="E840"/>
      <c r="F840" s="27" t="s">
        <v>7</v>
      </c>
      <c r="G840" s="27" t="s">
        <v>8</v>
      </c>
      <c r="H840" s="27" t="s">
        <v>7</v>
      </c>
      <c r="M840" s="27" t="s">
        <v>8</v>
      </c>
      <c r="O840" s="27" t="s">
        <v>8</v>
      </c>
      <c r="P840" s="27" t="s">
        <v>7</v>
      </c>
      <c r="Q840" s="27" t="s">
        <v>8</v>
      </c>
      <c r="BJ840" s="27" t="s">
        <v>7</v>
      </c>
      <c r="BK840" s="27" t="s">
        <v>8</v>
      </c>
      <c r="BX840" s="27" t="s">
        <v>7</v>
      </c>
      <c r="CL840" s="27" t="s">
        <v>7</v>
      </c>
      <c r="CM840" s="27" t="s">
        <v>8</v>
      </c>
      <c r="CN840" s="27" t="s">
        <v>7</v>
      </c>
      <c r="CP840" s="27" t="s">
        <v>7</v>
      </c>
      <c r="CR840" s="27" t="s">
        <v>7</v>
      </c>
      <c r="CS840" s="27" t="s">
        <v>8</v>
      </c>
      <c r="CT840" s="27" t="s">
        <v>7</v>
      </c>
      <c r="EC840" s="27" t="s">
        <v>8</v>
      </c>
      <c r="EE840" s="27" t="s">
        <v>8</v>
      </c>
      <c r="EF840" s="27" t="s">
        <v>7</v>
      </c>
      <c r="EG840" s="27" t="s">
        <v>8</v>
      </c>
      <c r="EN840" s="27" t="s">
        <v>7</v>
      </c>
      <c r="EP840" s="27" t="s">
        <v>7</v>
      </c>
      <c r="EQ840" s="27" t="s">
        <v>8</v>
      </c>
      <c r="EV840" s="27" t="s">
        <v>7</v>
      </c>
      <c r="EW840" s="27" t="s">
        <v>8</v>
      </c>
    </row>
    <row r="841" spans="1:212" x14ac:dyDescent="0.25">
      <c r="A841" s="7">
        <v>6.5396781109750427E-3</v>
      </c>
      <c r="B841"/>
      <c r="C841"/>
      <c r="D841"/>
      <c r="E841"/>
      <c r="F841" s="27" t="s">
        <v>7</v>
      </c>
      <c r="G841" s="27" t="s">
        <v>8</v>
      </c>
      <c r="H841" s="27" t="s">
        <v>7</v>
      </c>
      <c r="I841" s="27" t="s">
        <v>8</v>
      </c>
      <c r="M841" s="27" t="s">
        <v>8</v>
      </c>
      <c r="N841" s="27" t="s">
        <v>7</v>
      </c>
      <c r="O841" s="27" t="s">
        <v>8</v>
      </c>
      <c r="P841" s="27" t="s">
        <v>7</v>
      </c>
      <c r="BJ841" s="27" t="s">
        <v>7</v>
      </c>
      <c r="BK841" s="27" t="s">
        <v>8</v>
      </c>
      <c r="CL841" s="27" t="s">
        <v>7</v>
      </c>
      <c r="CR841" s="27" t="s">
        <v>7</v>
      </c>
      <c r="CS841" s="27" t="s">
        <v>8</v>
      </c>
      <c r="CT841" s="27" t="s">
        <v>7</v>
      </c>
      <c r="EC841" s="27" t="s">
        <v>8</v>
      </c>
      <c r="ED841" s="27" t="s">
        <v>7</v>
      </c>
      <c r="EE841" s="27" t="s">
        <v>8</v>
      </c>
      <c r="EF841" s="27" t="s">
        <v>7</v>
      </c>
      <c r="EP841" s="27" t="s">
        <v>7</v>
      </c>
      <c r="EQ841" s="27" t="s">
        <v>8</v>
      </c>
      <c r="EV841" s="27" t="s">
        <v>7</v>
      </c>
      <c r="EW841" s="27" t="s">
        <v>8</v>
      </c>
    </row>
    <row r="842" spans="1:212" x14ac:dyDescent="0.25">
      <c r="A842" s="7">
        <v>6.4114491284069045E-3</v>
      </c>
      <c r="B842"/>
      <c r="C842"/>
      <c r="D842"/>
      <c r="E842"/>
      <c r="F842" s="27" t="s">
        <v>7</v>
      </c>
      <c r="G842" s="27" t="s">
        <v>8</v>
      </c>
      <c r="H842" s="27" t="s">
        <v>7</v>
      </c>
      <c r="I842" s="27" t="s">
        <v>8</v>
      </c>
      <c r="J842" s="27" t="s">
        <v>7</v>
      </c>
      <c r="M842" s="27" t="s">
        <v>8</v>
      </c>
      <c r="N842" s="27" t="s">
        <v>7</v>
      </c>
      <c r="O842" s="27" t="s">
        <v>8</v>
      </c>
      <c r="BJ842" s="27" t="s">
        <v>7</v>
      </c>
      <c r="CR842" s="27" t="s">
        <v>7</v>
      </c>
      <c r="CS842" s="27" t="s">
        <v>8</v>
      </c>
      <c r="CT842" s="27" t="s">
        <v>7</v>
      </c>
      <c r="EC842" s="27" t="s">
        <v>8</v>
      </c>
      <c r="ED842" s="27" t="s">
        <v>7</v>
      </c>
      <c r="EE842" s="27" t="s">
        <v>8</v>
      </c>
      <c r="EP842" s="27" t="s">
        <v>7</v>
      </c>
      <c r="EV842" s="27" t="s">
        <v>7</v>
      </c>
    </row>
    <row r="843" spans="1:212" x14ac:dyDescent="0.25">
      <c r="A843" s="7">
        <v>6.2857344396146115E-3</v>
      </c>
      <c r="B843"/>
      <c r="C843"/>
      <c r="D843"/>
      <c r="E843"/>
      <c r="F843" s="27" t="s">
        <v>7</v>
      </c>
      <c r="H843" s="27" t="s">
        <v>7</v>
      </c>
      <c r="I843" s="27" t="s">
        <v>8</v>
      </c>
      <c r="J843" s="27" t="s">
        <v>7</v>
      </c>
      <c r="M843" s="27" t="s">
        <v>8</v>
      </c>
      <c r="N843" s="27" t="s">
        <v>7</v>
      </c>
      <c r="O843" s="27" t="s">
        <v>8</v>
      </c>
      <c r="CR843" s="27" t="s">
        <v>7</v>
      </c>
      <c r="CS843" s="27" t="s">
        <v>8</v>
      </c>
      <c r="CT843" s="27" t="s">
        <v>7</v>
      </c>
      <c r="DY843" s="27" t="s">
        <v>8</v>
      </c>
      <c r="EA843" s="27" t="s">
        <v>8</v>
      </c>
      <c r="EC843" s="27" t="s">
        <v>8</v>
      </c>
      <c r="ED843" s="27" t="s">
        <v>7</v>
      </c>
      <c r="EE843" s="27" t="s">
        <v>8</v>
      </c>
    </row>
    <row r="844" spans="1:212" x14ac:dyDescent="0.25">
      <c r="A844" s="7">
        <v>6.1624847447202076E-3</v>
      </c>
      <c r="B844"/>
      <c r="C844"/>
      <c r="D844"/>
      <c r="E844"/>
      <c r="H844" s="27" t="s">
        <v>7</v>
      </c>
      <c r="I844" s="27" t="s">
        <v>8</v>
      </c>
      <c r="J844" s="27" t="s">
        <v>7</v>
      </c>
      <c r="M844" s="27" t="s">
        <v>8</v>
      </c>
      <c r="N844" s="27" t="s">
        <v>7</v>
      </c>
      <c r="O844" s="27" t="s">
        <v>8</v>
      </c>
      <c r="CR844" s="27" t="s">
        <v>7</v>
      </c>
      <c r="CS844" s="27" t="s">
        <v>8</v>
      </c>
      <c r="CT844" s="27" t="s">
        <v>7</v>
      </c>
      <c r="DY844" s="27" t="s">
        <v>8</v>
      </c>
      <c r="DZ844" s="27" t="s">
        <v>7</v>
      </c>
      <c r="EA844" s="27" t="s">
        <v>8</v>
      </c>
      <c r="EB844" s="27" t="s">
        <v>7</v>
      </c>
      <c r="EC844" s="27" t="s">
        <v>8</v>
      </c>
      <c r="ED844" s="27" t="s">
        <v>7</v>
      </c>
      <c r="EE844" s="27" t="s">
        <v>8</v>
      </c>
    </row>
    <row r="845" spans="1:212" x14ac:dyDescent="0.25">
      <c r="A845" s="7">
        <v>6.0416517105100079E-3</v>
      </c>
      <c r="B845"/>
      <c r="C845"/>
      <c r="D845"/>
      <c r="E845"/>
      <c r="H845" s="27" t="s">
        <v>7</v>
      </c>
      <c r="J845" s="27" t="s">
        <v>7</v>
      </c>
      <c r="M845" s="27" t="s">
        <v>8</v>
      </c>
      <c r="N845" s="27" t="s">
        <v>7</v>
      </c>
      <c r="O845" s="27" t="s">
        <v>8</v>
      </c>
      <c r="CR845" s="27" t="s">
        <v>7</v>
      </c>
      <c r="CT845" s="27" t="s">
        <v>7</v>
      </c>
      <c r="DY845" s="27" t="s">
        <v>8</v>
      </c>
      <c r="DZ845" s="27" t="s">
        <v>7</v>
      </c>
      <c r="EA845" s="27" t="s">
        <v>8</v>
      </c>
      <c r="EB845" s="27" t="s">
        <v>7</v>
      </c>
      <c r="EC845" s="27" t="s">
        <v>8</v>
      </c>
      <c r="ED845" s="27" t="s">
        <v>7</v>
      </c>
      <c r="EE845" s="27" t="s">
        <v>8</v>
      </c>
    </row>
    <row r="846" spans="1:212" x14ac:dyDescent="0.25">
      <c r="A846" s="7">
        <v>5.9231879514803996E-3</v>
      </c>
      <c r="B846"/>
      <c r="C846"/>
      <c r="D846"/>
      <c r="E846"/>
      <c r="J846" s="27" t="s">
        <v>7</v>
      </c>
      <c r="M846" s="27" t="s">
        <v>8</v>
      </c>
      <c r="N846" s="27" t="s">
        <v>7</v>
      </c>
      <c r="O846" s="27" t="s">
        <v>8</v>
      </c>
      <c r="CT846" s="27" t="s">
        <v>7</v>
      </c>
      <c r="DY846" s="27" t="s">
        <v>8</v>
      </c>
      <c r="DZ846" s="27" t="s">
        <v>7</v>
      </c>
      <c r="EA846" s="27" t="s">
        <v>8</v>
      </c>
      <c r="EB846" s="27" t="s">
        <v>7</v>
      </c>
      <c r="EC846" s="27" t="s">
        <v>8</v>
      </c>
      <c r="ED846" s="27" t="s">
        <v>7</v>
      </c>
    </row>
    <row r="847" spans="1:212" x14ac:dyDescent="0.25">
      <c r="A847" s="7">
        <v>5.8070470112552936E-3</v>
      </c>
      <c r="B847"/>
      <c r="C847"/>
      <c r="D847"/>
      <c r="E847"/>
      <c r="J847" s="27" t="s">
        <v>7</v>
      </c>
      <c r="M847" s="27" t="s">
        <v>8</v>
      </c>
      <c r="N847" s="27" t="s">
        <v>7</v>
      </c>
      <c r="CT847" s="27" t="s">
        <v>7</v>
      </c>
      <c r="DY847" s="27" t="s">
        <v>8</v>
      </c>
      <c r="DZ847" s="27" t="s">
        <v>7</v>
      </c>
      <c r="EA847" s="27" t="s">
        <v>8</v>
      </c>
      <c r="EB847" s="27" t="s">
        <v>7</v>
      </c>
      <c r="EC847" s="27" t="s">
        <v>8</v>
      </c>
    </row>
    <row r="848" spans="1:212" x14ac:dyDescent="0.25">
      <c r="A848" s="7">
        <v>5.6931833443679353E-3</v>
      </c>
      <c r="B848"/>
      <c r="C848"/>
      <c r="D848"/>
      <c r="E848"/>
      <c r="J848" s="27" t="s">
        <v>7</v>
      </c>
      <c r="K848" s="27" t="s">
        <v>8</v>
      </c>
      <c r="M848" s="27" t="s">
        <v>8</v>
      </c>
      <c r="CT848" s="27" t="s">
        <v>7</v>
      </c>
      <c r="DY848" s="27" t="s">
        <v>8</v>
      </c>
      <c r="DZ848" s="27" t="s">
        <v>7</v>
      </c>
      <c r="EB848" s="27" t="s">
        <v>7</v>
      </c>
      <c r="EC848" s="27" t="s">
        <v>8</v>
      </c>
    </row>
    <row r="849" spans="1:132" x14ac:dyDescent="0.25">
      <c r="A849" s="7">
        <v>5.5815522983999367E-3</v>
      </c>
      <c r="B849"/>
      <c r="C849"/>
      <c r="D849"/>
      <c r="E849"/>
      <c r="J849" s="27" t="s">
        <v>7</v>
      </c>
      <c r="K849" s="27" t="s">
        <v>8</v>
      </c>
      <c r="L849" s="27" t="s">
        <v>7</v>
      </c>
      <c r="M849" s="27" t="s">
        <v>8</v>
      </c>
      <c r="CT849" s="27" t="s">
        <v>7</v>
      </c>
      <c r="DQ849" s="27" t="s">
        <v>8</v>
      </c>
      <c r="DS849" s="27" t="s">
        <v>8</v>
      </c>
      <c r="DY849" s="27" t="s">
        <v>8</v>
      </c>
      <c r="EB849" s="27" t="s">
        <v>7</v>
      </c>
    </row>
    <row r="850" spans="1:132" x14ac:dyDescent="0.25">
      <c r="A850" s="7">
        <v>5.4721100964705257E-3</v>
      </c>
      <c r="B850"/>
      <c r="C850"/>
      <c r="D850"/>
      <c r="E850"/>
      <c r="J850" s="27" t="s">
        <v>7</v>
      </c>
      <c r="K850" s="27" t="s">
        <v>8</v>
      </c>
      <c r="L850" s="27" t="s">
        <v>7</v>
      </c>
      <c r="M850" s="27" t="s">
        <v>8</v>
      </c>
      <c r="CT850" s="27" t="s">
        <v>7</v>
      </c>
      <c r="DI850" s="27" t="s">
        <v>8</v>
      </c>
      <c r="DQ850" s="27" t="s">
        <v>8</v>
      </c>
      <c r="DR850" s="27" t="s">
        <v>7</v>
      </c>
      <c r="DS850" s="27" t="s">
        <v>8</v>
      </c>
      <c r="DT850" s="27" t="s">
        <v>7</v>
      </c>
      <c r="DW850" s="27" t="s">
        <v>8</v>
      </c>
      <c r="DY850" s="27" t="s">
        <v>8</v>
      </c>
    </row>
    <row r="851" spans="1:132" x14ac:dyDescent="0.25">
      <c r="A851" s="7">
        <v>5.3648138200691423E-3</v>
      </c>
      <c r="B851"/>
      <c r="C851"/>
      <c r="D851"/>
      <c r="E851"/>
      <c r="J851" s="27" t="s">
        <v>7</v>
      </c>
      <c r="K851" s="27" t="s">
        <v>8</v>
      </c>
      <c r="L851" s="27" t="s">
        <v>7</v>
      </c>
      <c r="M851" s="27" t="s">
        <v>8</v>
      </c>
      <c r="CT851" s="27" t="s">
        <v>7</v>
      </c>
      <c r="DI851" s="27" t="s">
        <v>8</v>
      </c>
      <c r="DJ851" s="27" t="s">
        <v>7</v>
      </c>
      <c r="DQ851" s="27" t="s">
        <v>8</v>
      </c>
      <c r="DR851" s="27" t="s">
        <v>7</v>
      </c>
      <c r="DS851" s="27" t="s">
        <v>8</v>
      </c>
      <c r="DT851" s="27" t="s">
        <v>7</v>
      </c>
      <c r="DW851" s="27" t="s">
        <v>8</v>
      </c>
      <c r="DX851" s="27" t="s">
        <v>7</v>
      </c>
      <c r="DY851" s="27" t="s">
        <v>8</v>
      </c>
    </row>
    <row r="852" spans="1:132" x14ac:dyDescent="0.25">
      <c r="A852" s="7">
        <v>5.2596213922246494E-3</v>
      </c>
      <c r="B852"/>
      <c r="C852"/>
      <c r="D852"/>
      <c r="E852"/>
      <c r="J852" s="27" t="s">
        <v>7</v>
      </c>
      <c r="L852" s="27" t="s">
        <v>7</v>
      </c>
      <c r="M852" s="27" t="s">
        <v>8</v>
      </c>
      <c r="CT852" s="27" t="s">
        <v>7</v>
      </c>
      <c r="DI852" s="27" t="s">
        <v>8</v>
      </c>
      <c r="DJ852" s="27" t="s">
        <v>7</v>
      </c>
      <c r="DQ852" s="27" t="s">
        <v>8</v>
      </c>
      <c r="DR852" s="27" t="s">
        <v>7</v>
      </c>
      <c r="DS852" s="27" t="s">
        <v>8</v>
      </c>
      <c r="DT852" s="27" t="s">
        <v>7</v>
      </c>
      <c r="DW852" s="27" t="s">
        <v>8</v>
      </c>
      <c r="DX852" s="27" t="s">
        <v>7</v>
      </c>
      <c r="DY852" s="27" t="s">
        <v>8</v>
      </c>
    </row>
    <row r="853" spans="1:132" x14ac:dyDescent="0.25">
      <c r="A853" s="7">
        <v>5.1564915610045588E-3</v>
      </c>
      <c r="B853"/>
      <c r="C853"/>
      <c r="D853"/>
      <c r="E853"/>
      <c r="L853" s="27" t="s">
        <v>7</v>
      </c>
      <c r="CT853" s="27" t="s">
        <v>7</v>
      </c>
      <c r="DI853" s="27" t="s">
        <v>8</v>
      </c>
      <c r="DJ853" s="27" t="s">
        <v>7</v>
      </c>
      <c r="DQ853" s="27" t="s">
        <v>8</v>
      </c>
      <c r="DR853" s="27" t="s">
        <v>7</v>
      </c>
      <c r="DT853" s="27" t="s">
        <v>7</v>
      </c>
      <c r="DU853" s="27" t="s">
        <v>8</v>
      </c>
      <c r="DW853" s="27" t="s">
        <v>8</v>
      </c>
      <c r="DX853" s="27" t="s">
        <v>7</v>
      </c>
      <c r="DY853" s="27" t="s">
        <v>8</v>
      </c>
    </row>
    <row r="854" spans="1:132" x14ac:dyDescent="0.25">
      <c r="A854" s="7">
        <v>5.0553838833378023E-3</v>
      </c>
      <c r="B854"/>
      <c r="C854"/>
      <c r="D854"/>
      <c r="E854"/>
      <c r="CT854" s="27" t="s">
        <v>7</v>
      </c>
      <c r="DI854" s="27" t="s">
        <v>8</v>
      </c>
      <c r="DJ854" s="27" t="s">
        <v>7</v>
      </c>
      <c r="DQ854" s="27" t="s">
        <v>8</v>
      </c>
      <c r="DT854" s="27" t="s">
        <v>7</v>
      </c>
      <c r="DU854" s="27" t="s">
        <v>8</v>
      </c>
      <c r="DV854" s="27" t="s">
        <v>7</v>
      </c>
      <c r="DW854" s="27" t="s">
        <v>8</v>
      </c>
      <c r="DX854" s="27" t="s">
        <v>7</v>
      </c>
      <c r="DY854" s="27" t="s">
        <v>8</v>
      </c>
    </row>
    <row r="855" spans="1:132" x14ac:dyDescent="0.25">
      <c r="A855" s="7">
        <v>4.9562587091547079E-3</v>
      </c>
      <c r="B855"/>
      <c r="C855"/>
      <c r="D855"/>
      <c r="E855"/>
      <c r="CT855" s="27" t="s">
        <v>7</v>
      </c>
      <c r="DE855" s="27" t="s">
        <v>8</v>
      </c>
      <c r="DI855" s="27" t="s">
        <v>8</v>
      </c>
      <c r="DJ855" s="27" t="s">
        <v>7</v>
      </c>
      <c r="DQ855" s="27" t="s">
        <v>8</v>
      </c>
      <c r="DT855" s="27" t="s">
        <v>7</v>
      </c>
      <c r="DU855" s="27" t="s">
        <v>8</v>
      </c>
      <c r="DV855" s="27" t="s">
        <v>7</v>
      </c>
      <c r="DW855" s="27" t="s">
        <v>8</v>
      </c>
      <c r="DX855" s="27" t="s">
        <v>7</v>
      </c>
      <c r="DY855" s="27" t="s">
        <v>8</v>
      </c>
    </row>
    <row r="856" spans="1:132" x14ac:dyDescent="0.25">
      <c r="A856" s="7">
        <v>4.8590771658379491E-3</v>
      </c>
      <c r="B856"/>
      <c r="C856"/>
      <c r="D856"/>
      <c r="E856"/>
      <c r="CT856" s="27" t="s">
        <v>7</v>
      </c>
      <c r="DE856" s="27" t="s">
        <v>8</v>
      </c>
      <c r="DF856" s="27" t="s">
        <v>7</v>
      </c>
      <c r="DG856" s="27" t="s">
        <v>8</v>
      </c>
      <c r="DI856" s="27" t="s">
        <v>8</v>
      </c>
      <c r="DJ856" s="27" t="s">
        <v>7</v>
      </c>
      <c r="DQ856" s="27" t="s">
        <v>8</v>
      </c>
      <c r="DT856" s="27" t="s">
        <v>7</v>
      </c>
      <c r="DV856" s="27" t="s">
        <v>7</v>
      </c>
      <c r="DW856" s="27" t="s">
        <v>8</v>
      </c>
      <c r="DX856" s="27" t="s">
        <v>7</v>
      </c>
      <c r="DY856" s="27" t="s">
        <v>8</v>
      </c>
    </row>
    <row r="857" spans="1:132" x14ac:dyDescent="0.25">
      <c r="A857" s="7">
        <v>4.7638011429783815E-3</v>
      </c>
      <c r="B857"/>
      <c r="C857"/>
      <c r="D857"/>
      <c r="E857"/>
      <c r="CT857" s="27" t="s">
        <v>7</v>
      </c>
      <c r="DE857" s="27" t="s">
        <v>8</v>
      </c>
      <c r="DF857" s="27" t="s">
        <v>7</v>
      </c>
      <c r="DG857" s="27" t="s">
        <v>8</v>
      </c>
      <c r="DH857" s="27" t="s">
        <v>7</v>
      </c>
      <c r="DI857" s="27" t="s">
        <v>8</v>
      </c>
      <c r="DJ857" s="27" t="s">
        <v>7</v>
      </c>
      <c r="DM857" s="27" t="s">
        <v>8</v>
      </c>
      <c r="DQ857" s="27" t="s">
        <v>8</v>
      </c>
      <c r="DV857" s="27" t="s">
        <v>7</v>
      </c>
      <c r="DW857" s="27" t="s">
        <v>8</v>
      </c>
      <c r="DX857" s="27" t="s">
        <v>7</v>
      </c>
      <c r="DY857" s="27" t="s">
        <v>8</v>
      </c>
    </row>
    <row r="858" spans="1:132" x14ac:dyDescent="0.25">
      <c r="A858" s="7">
        <v>4.6703932774297859E-3</v>
      </c>
      <c r="B858"/>
      <c r="C858"/>
      <c r="D858"/>
      <c r="E858"/>
      <c r="CT858" s="27" t="s">
        <v>7</v>
      </c>
      <c r="DE858" s="27" t="s">
        <v>8</v>
      </c>
      <c r="DF858" s="27" t="s">
        <v>7</v>
      </c>
      <c r="DG858" s="27" t="s">
        <v>8</v>
      </c>
      <c r="DH858" s="27" t="s">
        <v>7</v>
      </c>
      <c r="DI858" s="27" t="s">
        <v>8</v>
      </c>
      <c r="DJ858" s="27" t="s">
        <v>7</v>
      </c>
      <c r="DM858" s="27" t="s">
        <v>8</v>
      </c>
      <c r="DN858" s="27" t="s">
        <v>7</v>
      </c>
      <c r="DO858" s="27" t="s">
        <v>8</v>
      </c>
      <c r="DQ858" s="27" t="s">
        <v>8</v>
      </c>
      <c r="DV858" s="27" t="s">
        <v>7</v>
      </c>
      <c r="DX858" s="27" t="s">
        <v>7</v>
      </c>
      <c r="DY858" s="27" t="s">
        <v>8</v>
      </c>
    </row>
    <row r="859" spans="1:132" x14ac:dyDescent="0.25">
      <c r="A859" s="7">
        <v>4.5788169386566527E-3</v>
      </c>
      <c r="B859"/>
      <c r="C859"/>
      <c r="D859"/>
      <c r="E859"/>
      <c r="CT859" s="27" t="s">
        <v>7</v>
      </c>
      <c r="DE859" s="27" t="s">
        <v>8</v>
      </c>
      <c r="DF859" s="27" t="s">
        <v>7</v>
      </c>
      <c r="DG859" s="27" t="s">
        <v>8</v>
      </c>
      <c r="DH859" s="27" t="s">
        <v>7</v>
      </c>
      <c r="DI859" s="27" t="s">
        <v>8</v>
      </c>
      <c r="DJ859" s="27" t="s">
        <v>7</v>
      </c>
      <c r="DK859" s="27" t="s">
        <v>8</v>
      </c>
      <c r="DM859" s="27" t="s">
        <v>8</v>
      </c>
      <c r="DN859" s="27" t="s">
        <v>7</v>
      </c>
      <c r="DO859" s="27" t="s">
        <v>8</v>
      </c>
      <c r="DP859" s="27" t="s">
        <v>7</v>
      </c>
      <c r="DQ859" s="27" t="s">
        <v>8</v>
      </c>
      <c r="DX859" s="27" t="s">
        <v>7</v>
      </c>
      <c r="DY859" s="27" t="s">
        <v>8</v>
      </c>
    </row>
    <row r="860" spans="1:132" x14ac:dyDescent="0.25">
      <c r="A860" s="7">
        <v>4.4890362143692672E-3</v>
      </c>
      <c r="B860"/>
      <c r="C860"/>
      <c r="D860"/>
      <c r="E860"/>
      <c r="CT860" s="27" t="s">
        <v>7</v>
      </c>
      <c r="DC860" s="27" t="s">
        <v>8</v>
      </c>
      <c r="DE860" s="27" t="s">
        <v>8</v>
      </c>
      <c r="DF860" s="27" t="s">
        <v>7</v>
      </c>
      <c r="DG860" s="27" t="s">
        <v>8</v>
      </c>
      <c r="DH860" s="27" t="s">
        <v>7</v>
      </c>
      <c r="DI860" s="27" t="s">
        <v>8</v>
      </c>
      <c r="DJ860" s="27" t="s">
        <v>7</v>
      </c>
      <c r="DK860" s="27" t="s">
        <v>8</v>
      </c>
      <c r="DL860" s="27" t="s">
        <v>7</v>
      </c>
      <c r="DM860" s="27" t="s">
        <v>8</v>
      </c>
      <c r="DN860" s="27" t="s">
        <v>7</v>
      </c>
      <c r="DO860" s="27" t="s">
        <v>8</v>
      </c>
      <c r="DP860" s="27" t="s">
        <v>7</v>
      </c>
      <c r="DQ860" s="27" t="s">
        <v>8</v>
      </c>
      <c r="DX860" s="27" t="s">
        <v>7</v>
      </c>
    </row>
    <row r="861" spans="1:132" x14ac:dyDescent="0.25">
      <c r="A861" s="7">
        <v>4.4010158964404578E-3</v>
      </c>
      <c r="B861"/>
      <c r="C861"/>
      <c r="D861"/>
      <c r="E861"/>
      <c r="CT861" s="27" t="s">
        <v>7</v>
      </c>
      <c r="CY861" s="27" t="s">
        <v>8</v>
      </c>
      <c r="DC861" s="27" t="s">
        <v>8</v>
      </c>
      <c r="DD861" s="27" t="s">
        <v>7</v>
      </c>
      <c r="DE861" s="27" t="s">
        <v>8</v>
      </c>
      <c r="DF861" s="27" t="s">
        <v>7</v>
      </c>
      <c r="DH861" s="27" t="s">
        <v>7</v>
      </c>
      <c r="DJ861" s="27" t="s">
        <v>7</v>
      </c>
      <c r="DK861" s="27" t="s">
        <v>8</v>
      </c>
      <c r="DL861" s="27" t="s">
        <v>7</v>
      </c>
      <c r="DM861" s="27" t="s">
        <v>8</v>
      </c>
      <c r="DN861" s="27" t="s">
        <v>7</v>
      </c>
      <c r="DO861" s="27" t="s">
        <v>8</v>
      </c>
      <c r="DP861" s="27" t="s">
        <v>7</v>
      </c>
    </row>
    <row r="862" spans="1:132" x14ac:dyDescent="0.25">
      <c r="A862" s="7">
        <v>4.314721467098488E-3</v>
      </c>
      <c r="B862"/>
      <c r="C862"/>
      <c r="D862"/>
      <c r="E862"/>
      <c r="CT862" s="27" t="s">
        <v>7</v>
      </c>
      <c r="CY862" s="27" t="s">
        <v>8</v>
      </c>
      <c r="CZ862" s="27" t="s">
        <v>7</v>
      </c>
      <c r="DC862" s="27" t="s">
        <v>8</v>
      </c>
      <c r="DD862" s="27" t="s">
        <v>7</v>
      </c>
      <c r="DE862" s="27" t="s">
        <v>8</v>
      </c>
      <c r="DJ862" s="27" t="s">
        <v>7</v>
      </c>
      <c r="DL862" s="27" t="s">
        <v>7</v>
      </c>
      <c r="DM862" s="27" t="s">
        <v>8</v>
      </c>
      <c r="DN862" s="27" t="s">
        <v>7</v>
      </c>
      <c r="DO862" s="27" t="s">
        <v>8</v>
      </c>
    </row>
    <row r="863" spans="1:132" x14ac:dyDescent="0.25">
      <c r="A863" s="7">
        <v>4.2301190853906746E-3</v>
      </c>
      <c r="B863"/>
      <c r="C863"/>
      <c r="D863"/>
      <c r="E863"/>
      <c r="CT863" s="27" t="s">
        <v>7</v>
      </c>
      <c r="CY863" s="27" t="s">
        <v>8</v>
      </c>
      <c r="CZ863" s="27" t="s">
        <v>7</v>
      </c>
      <c r="DC863" s="27" t="s">
        <v>8</v>
      </c>
      <c r="DD863" s="27" t="s">
        <v>7</v>
      </c>
      <c r="DE863" s="27" t="s">
        <v>8</v>
      </c>
      <c r="DL863" s="27" t="s">
        <v>7</v>
      </c>
      <c r="DM863" s="27" t="s">
        <v>8</v>
      </c>
      <c r="DN863" s="27" t="s">
        <v>7</v>
      </c>
      <c r="DO863" s="27" t="s">
        <v>8</v>
      </c>
    </row>
    <row r="864" spans="1:132" x14ac:dyDescent="0.25">
      <c r="A864" s="7">
        <v>4.1471755739124266E-3</v>
      </c>
      <c r="B864"/>
      <c r="C864"/>
      <c r="D864"/>
      <c r="E864"/>
      <c r="CT864" s="27" t="s">
        <v>7</v>
      </c>
      <c r="CY864" s="27" t="s">
        <v>8</v>
      </c>
      <c r="CZ864" s="27" t="s">
        <v>7</v>
      </c>
      <c r="DC864" s="27" t="s">
        <v>8</v>
      </c>
      <c r="DD864" s="27" t="s">
        <v>7</v>
      </c>
      <c r="DE864" s="27" t="s">
        <v>8</v>
      </c>
      <c r="DL864" s="27" t="s">
        <v>7</v>
      </c>
      <c r="DM864" s="27" t="s">
        <v>8</v>
      </c>
      <c r="DN864" s="27" t="s">
        <v>7</v>
      </c>
    </row>
    <row r="865" spans="1:117" x14ac:dyDescent="0.25">
      <c r="A865" s="7">
        <v>4.0658584057964966E-3</v>
      </c>
      <c r="B865"/>
      <c r="C865"/>
      <c r="D865"/>
      <c r="E865"/>
      <c r="CT865" s="27" t="s">
        <v>7</v>
      </c>
      <c r="CY865" s="27" t="s">
        <v>8</v>
      </c>
      <c r="CZ865" s="27" t="s">
        <v>7</v>
      </c>
      <c r="DA865" s="27" t="s">
        <v>8</v>
      </c>
      <c r="DC865" s="27" t="s">
        <v>8</v>
      </c>
      <c r="DD865" s="27" t="s">
        <v>7</v>
      </c>
      <c r="DE865" s="27" t="s">
        <v>8</v>
      </c>
      <c r="DL865" s="27" t="s">
        <v>7</v>
      </c>
      <c r="DM865" s="27" t="s">
        <v>8</v>
      </c>
    </row>
    <row r="866" spans="1:117" x14ac:dyDescent="0.25">
      <c r="A866" s="7">
        <v>3.9861356919573491E-3</v>
      </c>
      <c r="B866"/>
      <c r="C866"/>
      <c r="D866"/>
      <c r="E866"/>
      <c r="CT866" s="27" t="s">
        <v>7</v>
      </c>
      <c r="CY866" s="27" t="s">
        <v>8</v>
      </c>
      <c r="CZ866" s="27" t="s">
        <v>7</v>
      </c>
      <c r="DA866" s="27" t="s">
        <v>8</v>
      </c>
      <c r="DB866" s="27" t="s">
        <v>7</v>
      </c>
      <c r="DC866" s="27" t="s">
        <v>8</v>
      </c>
      <c r="DD866" s="27" t="s">
        <v>7</v>
      </c>
      <c r="DE866" s="27" t="s">
        <v>8</v>
      </c>
      <c r="DL866" s="27" t="s">
        <v>7</v>
      </c>
    </row>
    <row r="867" spans="1:117" x14ac:dyDescent="0.25">
      <c r="A867" s="7">
        <v>3.9079761685856364E-3</v>
      </c>
      <c r="B867"/>
      <c r="C867"/>
      <c r="D867"/>
      <c r="E867"/>
      <c r="CT867" s="27" t="s">
        <v>7</v>
      </c>
      <c r="CY867" s="27" t="s">
        <v>8</v>
      </c>
      <c r="CZ867" s="27" t="s">
        <v>7</v>
      </c>
      <c r="DA867" s="27" t="s">
        <v>8</v>
      </c>
      <c r="DB867" s="27" t="s">
        <v>7</v>
      </c>
      <c r="DC867" s="27" t="s">
        <v>8</v>
      </c>
      <c r="DD867" s="27" t="s">
        <v>7</v>
      </c>
      <c r="DE867" s="27" t="s">
        <v>8</v>
      </c>
    </row>
    <row r="868" spans="1:117" x14ac:dyDescent="0.25">
      <c r="A868" s="7">
        <v>3.8313491848878793E-3</v>
      </c>
      <c r="B868"/>
      <c r="C868"/>
      <c r="D868"/>
      <c r="E868"/>
      <c r="CT868" s="27" t="s">
        <v>7</v>
      </c>
      <c r="CU868" s="27" t="s">
        <v>8</v>
      </c>
      <c r="CY868" s="27" t="s">
        <v>8</v>
      </c>
      <c r="CZ868" s="27" t="s">
        <v>7</v>
      </c>
      <c r="DA868" s="27" t="s">
        <v>8</v>
      </c>
      <c r="DB868" s="27" t="s">
        <v>7</v>
      </c>
      <c r="DC868" s="27" t="s">
        <v>8</v>
      </c>
      <c r="DD868" s="27" t="s">
        <v>7</v>
      </c>
      <c r="DE868" s="27" t="s">
        <v>8</v>
      </c>
    </row>
    <row r="869" spans="1:117" x14ac:dyDescent="0.25">
      <c r="A869" s="7">
        <v>3.7562246910665485E-3</v>
      </c>
      <c r="B869"/>
      <c r="C869"/>
      <c r="D869"/>
      <c r="E869"/>
      <c r="CT869" s="27" t="s">
        <v>7</v>
      </c>
      <c r="CU869" s="27" t="s">
        <v>8</v>
      </c>
      <c r="CV869" s="27" t="s">
        <v>7</v>
      </c>
      <c r="CY869" s="27" t="s">
        <v>8</v>
      </c>
      <c r="CZ869" s="27" t="s">
        <v>7</v>
      </c>
      <c r="DA869" s="27" t="s">
        <v>8</v>
      </c>
      <c r="DB869" s="27" t="s">
        <v>7</v>
      </c>
      <c r="DD869" s="27" t="s">
        <v>7</v>
      </c>
      <c r="DE869" s="27" t="s">
        <v>8</v>
      </c>
    </row>
    <row r="870" spans="1:117" x14ac:dyDescent="0.25">
      <c r="A870" s="7">
        <v>3.6825732265358315E-3</v>
      </c>
      <c r="B870"/>
      <c r="C870"/>
      <c r="D870"/>
      <c r="E870"/>
      <c r="CT870" s="27" t="s">
        <v>7</v>
      </c>
      <c r="CU870" s="27" t="s">
        <v>8</v>
      </c>
      <c r="CV870" s="27" t="s">
        <v>7</v>
      </c>
      <c r="CY870" s="27" t="s">
        <v>8</v>
      </c>
      <c r="CZ870" s="27" t="s">
        <v>7</v>
      </c>
      <c r="DA870" s="27" t="s">
        <v>8</v>
      </c>
      <c r="DD870" s="27" t="s">
        <v>7</v>
      </c>
    </row>
    <row r="871" spans="1:117" x14ac:dyDescent="0.25">
      <c r="A871" s="7">
        <v>3.6103659083684624E-3</v>
      </c>
      <c r="B871"/>
      <c r="C871"/>
      <c r="D871"/>
      <c r="E871"/>
      <c r="CT871" s="27" t="s">
        <v>7</v>
      </c>
      <c r="CU871" s="27" t="s">
        <v>8</v>
      </c>
      <c r="CV871" s="27" t="s">
        <v>7</v>
      </c>
      <c r="CY871" s="27" t="s">
        <v>8</v>
      </c>
      <c r="CZ871" s="27" t="s">
        <v>7</v>
      </c>
      <c r="DA871" s="27" t="s">
        <v>8</v>
      </c>
    </row>
    <row r="872" spans="1:117" x14ac:dyDescent="0.25">
      <c r="A872" s="7">
        <v>3.539574419969081E-3</v>
      </c>
      <c r="B872"/>
      <c r="C872"/>
      <c r="D872"/>
      <c r="E872"/>
      <c r="CT872" s="27" t="s">
        <v>7</v>
      </c>
      <c r="CU872" s="27" t="s">
        <v>8</v>
      </c>
      <c r="CV872" s="27" t="s">
        <v>7</v>
      </c>
      <c r="CY872" s="27" t="s">
        <v>8</v>
      </c>
      <c r="CZ872" s="27" t="s">
        <v>7</v>
      </c>
    </row>
    <row r="873" spans="1:117" x14ac:dyDescent="0.25">
      <c r="A873" s="7">
        <v>3.4701709999696872E-3</v>
      </c>
      <c r="B873"/>
      <c r="C873"/>
      <c r="D873"/>
      <c r="E873"/>
      <c r="CT873" s="27" t="s">
        <v>7</v>
      </c>
      <c r="CU873" s="27" t="s">
        <v>8</v>
      </c>
      <c r="CV873" s="27" t="s">
        <v>7</v>
      </c>
      <c r="CY873" s="27" t="s">
        <v>8</v>
      </c>
    </row>
    <row r="874" spans="1:117" x14ac:dyDescent="0.25">
      <c r="A874" s="7">
        <v>3.4021284313428307E-3</v>
      </c>
      <c r="B874"/>
      <c r="C874"/>
      <c r="D874"/>
      <c r="E874"/>
      <c r="CT874" s="27" t="s">
        <v>7</v>
      </c>
      <c r="CU874" s="27" t="s">
        <v>8</v>
      </c>
      <c r="CV874" s="27" t="s">
        <v>7</v>
      </c>
      <c r="CY874" s="27" t="s">
        <v>8</v>
      </c>
    </row>
    <row r="875" spans="1:117" x14ac:dyDescent="0.25">
      <c r="A875" s="7">
        <v>3.3354200307282654E-3</v>
      </c>
      <c r="B875"/>
      <c r="C875"/>
      <c r="D875"/>
      <c r="E875"/>
      <c r="CT875" s="27" t="s">
        <v>7</v>
      </c>
      <c r="CU875" s="27" t="s">
        <v>8</v>
      </c>
      <c r="CV875" s="27" t="s">
        <v>7</v>
      </c>
      <c r="CY875" s="27" t="s">
        <v>8</v>
      </c>
    </row>
    <row r="876" spans="1:117" x14ac:dyDescent="0.25">
      <c r="A876" s="7">
        <v>3.2700196379688881E-3</v>
      </c>
      <c r="B876"/>
      <c r="C876"/>
      <c r="D876"/>
      <c r="E876"/>
      <c r="CT876" s="27" t="s">
        <v>7</v>
      </c>
      <c r="CU876" s="27" t="s">
        <v>8</v>
      </c>
      <c r="CV876" s="27" t="s">
        <v>7</v>
      </c>
      <c r="CW876" s="27" t="s">
        <v>8</v>
      </c>
      <c r="CY876" s="27" t="s">
        <v>8</v>
      </c>
    </row>
    <row r="877" spans="1:117" x14ac:dyDescent="0.25">
      <c r="A877" s="7">
        <v>3.205901605851851E-3</v>
      </c>
      <c r="B877"/>
      <c r="C877"/>
      <c r="D877"/>
      <c r="E877"/>
      <c r="CT877" s="27" t="s">
        <v>7</v>
      </c>
      <c r="CU877" s="27" t="s">
        <v>8</v>
      </c>
      <c r="CV877" s="27" t="s">
        <v>7</v>
      </c>
      <c r="CW877" s="27" t="s">
        <v>8</v>
      </c>
      <c r="CX877" s="27" t="s">
        <v>7</v>
      </c>
      <c r="CY877" s="27" t="s">
        <v>8</v>
      </c>
    </row>
    <row r="878" spans="1:117" x14ac:dyDescent="0.25">
      <c r="A878" s="7">
        <v>3.1430407900508344E-3</v>
      </c>
      <c r="B878"/>
      <c r="C878"/>
      <c r="D878"/>
      <c r="E878"/>
      <c r="CT878" s="27" t="s">
        <v>7</v>
      </c>
      <c r="CU878" s="27" t="s">
        <v>8</v>
      </c>
      <c r="CV878" s="27" t="s">
        <v>7</v>
      </c>
      <c r="CW878" s="27" t="s">
        <v>8</v>
      </c>
      <c r="CX878" s="27" t="s">
        <v>7</v>
      </c>
      <c r="CY878" s="27" t="s">
        <v>8</v>
      </c>
    </row>
    <row r="879" spans="1:117" x14ac:dyDescent="0.25">
      <c r="A879" s="7">
        <v>3.0814125392655241E-3</v>
      </c>
      <c r="B879"/>
      <c r="C879"/>
      <c r="D879"/>
      <c r="E879"/>
      <c r="CT879" s="27" t="s">
        <v>7</v>
      </c>
      <c r="CU879" s="27" t="s">
        <v>8</v>
      </c>
      <c r="CV879" s="27" t="s">
        <v>7</v>
      </c>
      <c r="CW879" s="27" t="s">
        <v>8</v>
      </c>
      <c r="CX879" s="27" t="s">
        <v>7</v>
      </c>
      <c r="CY879" s="27" t="s">
        <v>8</v>
      </c>
    </row>
    <row r="880" spans="1:117" x14ac:dyDescent="0.25">
      <c r="A880" s="7">
        <v>3.0209926855544354E-3</v>
      </c>
      <c r="B880"/>
      <c r="C880"/>
      <c r="D880"/>
      <c r="E880"/>
      <c r="CT880" s="27" t="s">
        <v>7</v>
      </c>
      <c r="CU880" s="27" t="s">
        <v>8</v>
      </c>
      <c r="CV880" s="27" t="s">
        <v>7</v>
      </c>
      <c r="CW880" s="27" t="s">
        <v>8</v>
      </c>
      <c r="CX880" s="27" t="s">
        <v>7</v>
      </c>
      <c r="CY880" s="27" t="s">
        <v>8</v>
      </c>
    </row>
    <row r="881" spans="1:103" x14ac:dyDescent="0.25">
      <c r="A881" s="7">
        <v>2.9617575348572897E-3</v>
      </c>
      <c r="B881"/>
      <c r="C881"/>
      <c r="D881"/>
      <c r="E881"/>
      <c r="CT881" s="27" t="s">
        <v>7</v>
      </c>
      <c r="CU881" s="27" t="s">
        <v>8</v>
      </c>
      <c r="CV881" s="27" t="s">
        <v>7</v>
      </c>
      <c r="CW881" s="27" t="s">
        <v>8</v>
      </c>
      <c r="CX881" s="27" t="s">
        <v>7</v>
      </c>
      <c r="CY881" s="27" t="s">
        <v>8</v>
      </c>
    </row>
    <row r="882" spans="1:103" x14ac:dyDescent="0.25">
      <c r="A882" s="7">
        <v>2.9036838577032251E-3</v>
      </c>
      <c r="B882"/>
      <c r="C882"/>
      <c r="D882"/>
      <c r="E882"/>
      <c r="CT882" s="27" t="s">
        <v>7</v>
      </c>
      <c r="CU882" s="27" t="s">
        <v>8</v>
      </c>
      <c r="CV882" s="27" t="s">
        <v>7</v>
      </c>
      <c r="CW882" s="27" t="s">
        <v>8</v>
      </c>
      <c r="CX882" s="27" t="s">
        <v>7</v>
      </c>
      <c r="CY882" s="27" t="s">
        <v>8</v>
      </c>
    </row>
    <row r="883" spans="1:103" x14ac:dyDescent="0.25">
      <c r="A883" s="7">
        <v>2.8467488801012012E-3</v>
      </c>
      <c r="B883"/>
      <c r="C883"/>
      <c r="D883"/>
      <c r="E883"/>
      <c r="CT883" s="27" t="s">
        <v>7</v>
      </c>
      <c r="CU883" s="27" t="s">
        <v>8</v>
      </c>
      <c r="CV883" s="27" t="s">
        <v>7</v>
      </c>
      <c r="CW883" s="27" t="s">
        <v>8</v>
      </c>
      <c r="CX883" s="27" t="s">
        <v>7</v>
      </c>
    </row>
    <row r="884" spans="1:103" x14ac:dyDescent="0.25">
      <c r="A884" s="7">
        <v>2.7909302746090209E-3</v>
      </c>
      <c r="B884"/>
      <c r="C884"/>
      <c r="D884"/>
      <c r="E884"/>
      <c r="CT884" s="27" t="s">
        <v>7</v>
      </c>
      <c r="CU884" s="27" t="s">
        <v>8</v>
      </c>
      <c r="CV884" s="27" t="s">
        <v>7</v>
      </c>
      <c r="CW884" s="27" t="s">
        <v>8</v>
      </c>
    </row>
    <row r="885" spans="1:103" x14ac:dyDescent="0.25">
      <c r="A885" s="7">
        <v>2.7362061515774716E-3</v>
      </c>
      <c r="B885"/>
      <c r="C885"/>
      <c r="D885"/>
      <c r="E885"/>
      <c r="CT885" s="27" t="s">
        <v>7</v>
      </c>
      <c r="CU885" s="27" t="s">
        <v>8</v>
      </c>
      <c r="CV885" s="27" t="s">
        <v>7</v>
      </c>
      <c r="CW885" s="27" t="s">
        <v>8</v>
      </c>
    </row>
    <row r="886" spans="1:103" x14ac:dyDescent="0.25">
      <c r="A886" s="7">
        <v>2.6825550505661486E-3</v>
      </c>
      <c r="B886"/>
      <c r="C886"/>
      <c r="D886"/>
      <c r="E886"/>
      <c r="CT886" s="27" t="s">
        <v>7</v>
      </c>
      <c r="CU886" s="27" t="s">
        <v>8</v>
      </c>
      <c r="CV886" s="27" t="s">
        <v>7</v>
      </c>
      <c r="CW886" s="27" t="s">
        <v>8</v>
      </c>
    </row>
    <row r="887" spans="1:103" x14ac:dyDescent="0.25">
      <c r="A887" s="7">
        <v>2.6299559319275965E-3</v>
      </c>
      <c r="B887"/>
      <c r="C887"/>
      <c r="D887"/>
      <c r="E887"/>
      <c r="CT887" s="27" t="s">
        <v>7</v>
      </c>
      <c r="CU887" s="27" t="s">
        <v>8</v>
      </c>
      <c r="CV887" s="27" t="s">
        <v>7</v>
      </c>
    </row>
    <row r="888" spans="1:103" x14ac:dyDescent="0.25">
      <c r="A888" s="7">
        <v>2.578388168556467E-3</v>
      </c>
      <c r="B888"/>
      <c r="C888"/>
      <c r="D888"/>
      <c r="E888"/>
      <c r="CT888" s="27" t="s">
        <v>7</v>
      </c>
      <c r="CU888" s="27" t="s">
        <v>8</v>
      </c>
    </row>
    <row r="889" spans="1:103" x14ac:dyDescent="0.25">
      <c r="A889" s="7">
        <v>2.5278315378004577E-3</v>
      </c>
      <c r="B889"/>
      <c r="C889"/>
      <c r="D889"/>
      <c r="E889"/>
      <c r="CT889" s="27" t="s">
        <v>7</v>
      </c>
      <c r="CU889" s="27" t="s">
        <v>8</v>
      </c>
    </row>
    <row r="890" spans="1:103" x14ac:dyDescent="0.25">
      <c r="A890" s="7">
        <v>2.4782662135298603E-3</v>
      </c>
      <c r="B890"/>
      <c r="C890"/>
      <c r="D890"/>
      <c r="E890"/>
      <c r="CT890" s="27" t="s">
        <v>7</v>
      </c>
      <c r="CU890" s="27" t="s">
        <v>8</v>
      </c>
    </row>
    <row r="891" spans="1:103" x14ac:dyDescent="0.25">
      <c r="A891" s="7">
        <v>2.4296727583626083E-3</v>
      </c>
      <c r="B891"/>
      <c r="C891"/>
      <c r="D891"/>
      <c r="E891"/>
      <c r="CT891" s="27" t="s">
        <v>7</v>
      </c>
      <c r="CU891" s="27" t="s">
        <v>8</v>
      </c>
    </row>
    <row r="892" spans="1:103" x14ac:dyDescent="0.25">
      <c r="A892" s="7">
        <v>2.3820321160417726E-3</v>
      </c>
      <c r="B892"/>
      <c r="C892"/>
      <c r="D892"/>
      <c r="E892"/>
      <c r="CT892" s="27" t="s">
        <v>7</v>
      </c>
      <c r="CU892" s="27" t="s">
        <v>8</v>
      </c>
    </row>
    <row r="893" spans="1:103" x14ac:dyDescent="0.25">
      <c r="A893" s="7">
        <v>2.3353256039625224E-3</v>
      </c>
      <c r="B893"/>
      <c r="C893"/>
      <c r="D893"/>
      <c r="E893"/>
      <c r="CT893" s="27" t="s">
        <v>7</v>
      </c>
      <c r="CU893" s="27" t="s">
        <v>8</v>
      </c>
    </row>
    <row r="894" spans="1:103" x14ac:dyDescent="0.25">
      <c r="A894" s="7">
        <v>2.2895349058456101E-3</v>
      </c>
      <c r="B894"/>
      <c r="C894"/>
      <c r="D894"/>
      <c r="E894"/>
      <c r="CT894" s="27" t="s">
        <v>7</v>
      </c>
      <c r="CU894" s="27" t="s">
        <v>8</v>
      </c>
    </row>
    <row r="895" spans="1:103" x14ac:dyDescent="0.25">
      <c r="A895" s="7">
        <v>2.24464206455452E-3</v>
      </c>
      <c r="B895"/>
      <c r="C895"/>
      <c r="D895"/>
      <c r="E895"/>
      <c r="CT895" s="27" t="s">
        <v>7</v>
      </c>
    </row>
    <row r="896" spans="1:103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290" operator="equal">
      <formula>$U$1</formula>
    </cfRule>
    <cfRule type="cellIs" dxfId="89" priority="1291" operator="equal">
      <formula>$S$1</formula>
    </cfRule>
  </conditionalFormatting>
  <conditionalFormatting sqref="D27">
    <cfRule type="cellIs" dxfId="88" priority="1288" operator="equal">
      <formula>$S$1</formula>
    </cfRule>
    <cfRule type="cellIs" dxfId="87" priority="1289" operator="equal">
      <formula>$U$1</formula>
    </cfRule>
  </conditionalFormatting>
  <conditionalFormatting sqref="C164">
    <cfRule type="cellIs" dxfId="86" priority="1286" operator="equal">
      <formula>$U$1</formula>
    </cfRule>
    <cfRule type="cellIs" dxfId="85" priority="1287" operator="equal">
      <formula>$S$1</formula>
    </cfRule>
  </conditionalFormatting>
  <conditionalFormatting sqref="D164">
    <cfRule type="cellIs" dxfId="84" priority="1284" operator="equal">
      <formula>$S$1</formula>
    </cfRule>
    <cfRule type="cellIs" dxfId="83" priority="1285" operator="equal">
      <formula>$U$1</formula>
    </cfRule>
  </conditionalFormatting>
  <conditionalFormatting sqref="C55">
    <cfRule type="cellIs" dxfId="82" priority="1282" operator="equal">
      <formula>$U$1</formula>
    </cfRule>
    <cfRule type="cellIs" dxfId="81" priority="1283" operator="equal">
      <formula>$S$1</formula>
    </cfRule>
  </conditionalFormatting>
  <conditionalFormatting sqref="D55">
    <cfRule type="cellIs" dxfId="80" priority="1280" operator="equal">
      <formula>$S$1</formula>
    </cfRule>
    <cfRule type="cellIs" dxfId="79" priority="1281" operator="equal">
      <formula>$U$1</formula>
    </cfRule>
  </conditionalFormatting>
  <conditionalFormatting sqref="C89">
    <cfRule type="cellIs" dxfId="78" priority="1278" operator="equal">
      <formula>$U$1</formula>
    </cfRule>
    <cfRule type="cellIs" dxfId="77" priority="1279" operator="equal">
      <formula>$S$1</formula>
    </cfRule>
  </conditionalFormatting>
  <conditionalFormatting sqref="D89">
    <cfRule type="cellIs" dxfId="76" priority="1276" operator="equal">
      <formula>$S$1</formula>
    </cfRule>
    <cfRule type="cellIs" dxfId="75" priority="1277" operator="equal">
      <formula>$U$1</formula>
    </cfRule>
  </conditionalFormatting>
  <conditionalFormatting sqref="C136">
    <cfRule type="cellIs" dxfId="74" priority="1274" operator="equal">
      <formula>$U$1</formula>
    </cfRule>
    <cfRule type="cellIs" dxfId="73" priority="1275" operator="equal">
      <formula>$S$1</formula>
    </cfRule>
  </conditionalFormatting>
  <conditionalFormatting sqref="D136">
    <cfRule type="cellIs" dxfId="72" priority="1272" operator="equal">
      <formula>$S$1</formula>
    </cfRule>
    <cfRule type="cellIs" dxfId="71" priority="1273" operator="equal">
      <formula>$U$1</formula>
    </cfRule>
  </conditionalFormatting>
  <conditionalFormatting sqref="C1">
    <cfRule type="cellIs" dxfId="70" priority="127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82" zoomScale="90" zoomScaleNormal="90" workbookViewId="0">
      <pane xSplit="4" topLeftCell="DY1" activePane="topRight" state="frozen"/>
      <selection activeCell="A109" sqref="A109"/>
      <selection pane="topRight" activeCell="JM303" sqref="JM30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$A$302</v>
      </c>
      <c r="D111" s="1" t="str">
        <f>ADDRESS(C121-1,D121,1,1)</f>
        <v>$JM$302</v>
      </c>
      <c r="E111"/>
    </row>
    <row r="112" spans="1:5" x14ac:dyDescent="0.25">
      <c r="A112" s="30">
        <v>515.50191262726139</v>
      </c>
      <c r="C112" s="1" t="str">
        <f>ADDRESS(C121,1,1,1)</f>
        <v>$A$303</v>
      </c>
      <c r="D112" s="1" t="str">
        <f>ADDRESS(C121,D121-1,1,1)</f>
        <v>$JL$303</v>
      </c>
      <c r="E112"/>
    </row>
    <row r="113" spans="1:5" x14ac:dyDescent="0.25">
      <c r="A113" s="30">
        <v>490.95420250215363</v>
      </c>
      <c r="C113" s="1" t="str">
        <f>ADDRESS(C121+1,1,1,1)</f>
        <v>$A$304</v>
      </c>
      <c r="D113" s="1" t="str">
        <f>ADDRESS(C121-1,D121+1,1,1)</f>
        <v>$JN$302</v>
      </c>
    </row>
    <row r="114" spans="1:5" x14ac:dyDescent="0.25">
      <c r="A114" s="30">
        <v>467.57543095443202</v>
      </c>
      <c r="C114" s="1" t="str">
        <f>ADDRESS(C121,D121,1,1)</f>
        <v>$JM$303</v>
      </c>
      <c r="D114" s="1" t="str">
        <f>ADDRESS(C121+1,D121+1,1,1)</f>
        <v>$JN$304</v>
      </c>
    </row>
    <row r="115" spans="1:5" x14ac:dyDescent="0.25">
      <c r="A115" s="30">
        <v>445.30993424231622</v>
      </c>
      <c r="C115" s="1" t="str">
        <f>ADDRESS(C121+1,D121,1,1)</f>
        <v>$JM$304</v>
      </c>
    </row>
    <row r="116" spans="1:5" x14ac:dyDescent="0.25">
      <c r="A116" s="30">
        <v>424.10469927839637</v>
      </c>
      <c r="C116" s="1">
        <f>C117-1</f>
        <v>302</v>
      </c>
    </row>
    <row r="117" spans="1:5" x14ac:dyDescent="0.25">
      <c r="A117" s="30">
        <v>403.9092374079965</v>
      </c>
      <c r="C117" s="1">
        <f>C121</f>
        <v>303</v>
      </c>
      <c r="D117" s="1">
        <f>D121</f>
        <v>273</v>
      </c>
    </row>
    <row r="118" spans="1:5" x14ac:dyDescent="0.25">
      <c r="A118" s="30">
        <v>384.6754641980919</v>
      </c>
      <c r="C118" s="1">
        <f>C117+1</f>
        <v>304</v>
      </c>
      <c r="D118" s="1">
        <f>D117+1</f>
        <v>274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303</v>
      </c>
      <c r="D121" s="19">
        <v>273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R303</v>
      </c>
      <c r="D123" s="1" t="str">
        <f>"C"&amp;D121</f>
        <v>C273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4.6245998269295263E-2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262" x14ac:dyDescent="0.25">
      <c r="A273" s="30">
        <v>0.19987253960121379</v>
      </c>
      <c r="B273"/>
      <c r="C273"/>
      <c r="D273"/>
      <c r="E273"/>
      <c r="F273" s="27" t="s">
        <v>7</v>
      </c>
    </row>
    <row r="274" spans="1:262" x14ac:dyDescent="0.25">
      <c r="A274" s="30">
        <v>0.19035479962020352</v>
      </c>
      <c r="B274"/>
      <c r="C274"/>
      <c r="D274"/>
      <c r="E274"/>
      <c r="F274" s="27" t="s">
        <v>7</v>
      </c>
    </row>
    <row r="275" spans="1:262" x14ac:dyDescent="0.25">
      <c r="A275" s="30">
        <v>0.18129028535257471</v>
      </c>
      <c r="B275"/>
      <c r="C275"/>
      <c r="D275"/>
      <c r="E275"/>
      <c r="F275" s="27" t="s">
        <v>7</v>
      </c>
      <c r="EE275" s="27" t="s">
        <v>8</v>
      </c>
      <c r="GS275" s="27" t="s">
        <v>8</v>
      </c>
    </row>
    <row r="276" spans="1:262" x14ac:dyDescent="0.25">
      <c r="A276" s="30">
        <v>0.17265741462149967</v>
      </c>
      <c r="B276"/>
      <c r="C276"/>
      <c r="D276"/>
      <c r="E276"/>
      <c r="F276" s="27" t="s">
        <v>7</v>
      </c>
      <c r="EE276" s="27" t="s">
        <v>8</v>
      </c>
      <c r="EF276" s="27" t="s">
        <v>7</v>
      </c>
      <c r="GS276" s="27" t="s">
        <v>8</v>
      </c>
      <c r="GT276" s="27" t="s">
        <v>7</v>
      </c>
    </row>
    <row r="277" spans="1:262" x14ac:dyDescent="0.25">
      <c r="A277" s="30">
        <v>0.16443563297285677</v>
      </c>
      <c r="B277"/>
      <c r="C277"/>
      <c r="D277"/>
      <c r="E277"/>
      <c r="F277" s="27" t="s">
        <v>7</v>
      </c>
      <c r="EE277" s="27" t="s">
        <v>8</v>
      </c>
      <c r="EF277" s="27" t="s">
        <v>7</v>
      </c>
      <c r="GS277" s="27" t="s">
        <v>8</v>
      </c>
      <c r="GT277" s="27" t="s">
        <v>7</v>
      </c>
    </row>
    <row r="278" spans="1:262" x14ac:dyDescent="0.25">
      <c r="A278" s="30">
        <v>0.15660536473605399</v>
      </c>
      <c r="B278"/>
      <c r="C278"/>
      <c r="D278"/>
      <c r="E278"/>
      <c r="F278" s="27" t="s">
        <v>7</v>
      </c>
      <c r="EE278" s="27" t="s">
        <v>8</v>
      </c>
      <c r="EF278" s="27" t="s">
        <v>7</v>
      </c>
      <c r="EG278" s="27" t="s">
        <v>8</v>
      </c>
      <c r="GS278" s="27" t="s">
        <v>8</v>
      </c>
      <c r="GT278" s="27" t="s">
        <v>7</v>
      </c>
      <c r="GU278" s="27" t="s">
        <v>8</v>
      </c>
    </row>
    <row r="279" spans="1:262" x14ac:dyDescent="0.25">
      <c r="A279" s="30">
        <v>0.14914796641528946</v>
      </c>
      <c r="B279"/>
      <c r="C279"/>
      <c r="D279"/>
      <c r="E279"/>
      <c r="F279" s="27" t="s">
        <v>7</v>
      </c>
      <c r="EC279" s="27" t="s">
        <v>8</v>
      </c>
      <c r="EE279" s="27" t="s">
        <v>8</v>
      </c>
      <c r="EF279" s="27" t="s">
        <v>7</v>
      </c>
      <c r="EG279" s="27" t="s">
        <v>8</v>
      </c>
      <c r="EH279" s="27" t="s">
        <v>7</v>
      </c>
      <c r="GQ279" s="27" t="s">
        <v>8</v>
      </c>
      <c r="GS279" s="27" t="s">
        <v>8</v>
      </c>
      <c r="GT279" s="27" t="s">
        <v>7</v>
      </c>
      <c r="GU279" s="27" t="s">
        <v>8</v>
      </c>
      <c r="GV279" s="27" t="s">
        <v>7</v>
      </c>
    </row>
    <row r="280" spans="1:262" x14ac:dyDescent="0.25">
      <c r="A280" s="30">
        <v>0.14204568230027562</v>
      </c>
      <c r="B280"/>
      <c r="C280"/>
      <c r="D280"/>
      <c r="E280"/>
      <c r="F280" s="27" t="s">
        <v>7</v>
      </c>
      <c r="EC280" s="27" t="s">
        <v>8</v>
      </c>
      <c r="ED280" s="27" t="s">
        <v>7</v>
      </c>
      <c r="EE280" s="27" t="s">
        <v>8</v>
      </c>
      <c r="EF280" s="27" t="s">
        <v>7</v>
      </c>
      <c r="EG280" s="27" t="s">
        <v>8</v>
      </c>
      <c r="EH280" s="27" t="s">
        <v>7</v>
      </c>
      <c r="GQ280" s="27" t="s">
        <v>8</v>
      </c>
      <c r="GR280" s="27" t="s">
        <v>7</v>
      </c>
      <c r="GS280" s="27" t="s">
        <v>8</v>
      </c>
      <c r="GT280" s="27" t="s">
        <v>7</v>
      </c>
      <c r="GU280" s="27" t="s">
        <v>8</v>
      </c>
      <c r="GV280" s="27" t="s">
        <v>7</v>
      </c>
    </row>
    <row r="281" spans="1:262" x14ac:dyDescent="0.25">
      <c r="A281" s="30">
        <v>0.13528160219073862</v>
      </c>
      <c r="B281"/>
      <c r="C281"/>
      <c r="D281"/>
      <c r="E281"/>
      <c r="F281" s="27" t="s">
        <v>7</v>
      </c>
      <c r="EC281" s="27" t="s">
        <v>8</v>
      </c>
      <c r="ED281" s="27" t="s">
        <v>7</v>
      </c>
      <c r="EE281" s="27" t="s">
        <v>8</v>
      </c>
      <c r="EF281" s="27" t="s">
        <v>7</v>
      </c>
      <c r="EH281" s="27" t="s">
        <v>7</v>
      </c>
      <c r="EI281" s="27" t="s">
        <v>8</v>
      </c>
      <c r="GQ281" s="27" t="s">
        <v>8</v>
      </c>
      <c r="GR281" s="27" t="s">
        <v>7</v>
      </c>
      <c r="GS281" s="27" t="s">
        <v>8</v>
      </c>
      <c r="GT281" s="27" t="s">
        <v>7</v>
      </c>
      <c r="GV281" s="27" t="s">
        <v>7</v>
      </c>
      <c r="GW281" s="27" t="s">
        <v>8</v>
      </c>
    </row>
    <row r="282" spans="1:262" x14ac:dyDescent="0.25">
      <c r="A282" s="30">
        <v>0.12883962113403674</v>
      </c>
      <c r="B282"/>
      <c r="C282"/>
      <c r="D282"/>
      <c r="E282"/>
      <c r="F282" s="27" t="s">
        <v>7</v>
      </c>
      <c r="EC282" s="27" t="s">
        <v>8</v>
      </c>
      <c r="ED282" s="27" t="s">
        <v>7</v>
      </c>
      <c r="EE282" s="27" t="s">
        <v>8</v>
      </c>
      <c r="EH282" s="27" t="s">
        <v>7</v>
      </c>
      <c r="EI282" s="27" t="s">
        <v>8</v>
      </c>
      <c r="EJ282" s="27" t="s">
        <v>7</v>
      </c>
      <c r="EK282" s="27" t="s">
        <v>8</v>
      </c>
      <c r="EQ282" s="27" t="s">
        <v>8</v>
      </c>
      <c r="GQ282" s="27" t="s">
        <v>8</v>
      </c>
      <c r="GR282" s="27" t="s">
        <v>7</v>
      </c>
      <c r="GS282" s="27" t="s">
        <v>8</v>
      </c>
      <c r="GV282" s="27" t="s">
        <v>7</v>
      </c>
      <c r="GW282" s="27" t="s">
        <v>8</v>
      </c>
      <c r="GX282" s="27" t="s">
        <v>7</v>
      </c>
      <c r="GY282" s="27" t="s">
        <v>8</v>
      </c>
      <c r="HE282" s="27" t="s">
        <v>8</v>
      </c>
    </row>
    <row r="283" spans="1:262" x14ac:dyDescent="0.25">
      <c r="A283" s="30">
        <v>0.12270440108003494</v>
      </c>
      <c r="B283"/>
      <c r="C283"/>
      <c r="D283"/>
      <c r="E283"/>
      <c r="F283" s="27" t="s">
        <v>7</v>
      </c>
      <c r="DY283" s="27" t="s">
        <v>8</v>
      </c>
      <c r="EC283" s="27" t="s">
        <v>8</v>
      </c>
      <c r="ED283" s="27" t="s">
        <v>7</v>
      </c>
      <c r="EE283" s="27" t="s">
        <v>8</v>
      </c>
      <c r="EH283" s="27" t="s">
        <v>7</v>
      </c>
      <c r="EI283" s="27" t="s">
        <v>8</v>
      </c>
      <c r="EJ283" s="27" t="s">
        <v>7</v>
      </c>
      <c r="EK283" s="27" t="s">
        <v>8</v>
      </c>
      <c r="EL283" s="27" t="s">
        <v>7</v>
      </c>
      <c r="EO283" s="27" t="s">
        <v>8</v>
      </c>
      <c r="EQ283" s="27" t="s">
        <v>8</v>
      </c>
      <c r="ER283" s="27" t="s">
        <v>7</v>
      </c>
      <c r="GM283" s="27" t="s">
        <v>8</v>
      </c>
      <c r="GQ283" s="27" t="s">
        <v>8</v>
      </c>
      <c r="GR283" s="27" t="s">
        <v>7</v>
      </c>
      <c r="GS283" s="27" t="s">
        <v>8</v>
      </c>
      <c r="GV283" s="27" t="s">
        <v>7</v>
      </c>
      <c r="GW283" s="27" t="s">
        <v>8</v>
      </c>
      <c r="GX283" s="27" t="s">
        <v>7</v>
      </c>
      <c r="GY283" s="27" t="s">
        <v>8</v>
      </c>
      <c r="GZ283" s="27" t="s">
        <v>7</v>
      </c>
      <c r="HC283" s="27" t="s">
        <v>8</v>
      </c>
      <c r="HE283" s="27" t="s">
        <v>8</v>
      </c>
      <c r="HF283" s="27" t="s">
        <v>7</v>
      </c>
      <c r="IE283" s="27" t="s">
        <v>8</v>
      </c>
    </row>
    <row r="284" spans="1:262" x14ac:dyDescent="0.25">
      <c r="A284" s="30">
        <v>0.11686133436193799</v>
      </c>
      <c r="B284"/>
      <c r="C284"/>
      <c r="D284"/>
      <c r="E284"/>
      <c r="F284" s="27" t="s">
        <v>7</v>
      </c>
      <c r="DY284" s="27" t="s">
        <v>8</v>
      </c>
      <c r="DZ284" s="27" t="s">
        <v>7</v>
      </c>
      <c r="EC284" s="27" t="s">
        <v>8</v>
      </c>
      <c r="ED284" s="27" t="s">
        <v>7</v>
      </c>
      <c r="EE284" s="27" t="s">
        <v>8</v>
      </c>
      <c r="EH284" s="27" t="s">
        <v>7</v>
      </c>
      <c r="EI284" s="27" t="s">
        <v>8</v>
      </c>
      <c r="EJ284" s="27" t="s">
        <v>7</v>
      </c>
      <c r="EK284" s="27" t="s">
        <v>8</v>
      </c>
      <c r="EL284" s="27" t="s">
        <v>7</v>
      </c>
      <c r="EO284" s="27" t="s">
        <v>8</v>
      </c>
      <c r="EP284" s="27" t="s">
        <v>7</v>
      </c>
      <c r="EQ284" s="27" t="s">
        <v>8</v>
      </c>
      <c r="ER284" s="27" t="s">
        <v>7</v>
      </c>
      <c r="FE284" s="27" t="s">
        <v>8</v>
      </c>
      <c r="GM284" s="27" t="s">
        <v>8</v>
      </c>
      <c r="GN284" s="27" t="s">
        <v>7</v>
      </c>
      <c r="GQ284" s="27" t="s">
        <v>8</v>
      </c>
      <c r="GR284" s="27" t="s">
        <v>7</v>
      </c>
      <c r="GS284" s="27" t="s">
        <v>8</v>
      </c>
      <c r="GV284" s="27" t="s">
        <v>7</v>
      </c>
      <c r="GW284" s="27" t="s">
        <v>8</v>
      </c>
      <c r="GX284" s="27" t="s">
        <v>7</v>
      </c>
      <c r="GY284" s="27" t="s">
        <v>8</v>
      </c>
      <c r="GZ284" s="27" t="s">
        <v>7</v>
      </c>
      <c r="HC284" s="27" t="s">
        <v>8</v>
      </c>
      <c r="HD284" s="27" t="s">
        <v>7</v>
      </c>
      <c r="HE284" s="27" t="s">
        <v>8</v>
      </c>
      <c r="HF284" s="27" t="s">
        <v>7</v>
      </c>
      <c r="HS284" s="27" t="s">
        <v>8</v>
      </c>
      <c r="IE284" s="27" t="s">
        <v>8</v>
      </c>
      <c r="IF284" s="27" t="s">
        <v>7</v>
      </c>
      <c r="IG284" s="27" t="s">
        <v>8</v>
      </c>
      <c r="JA284" s="27" t="s">
        <v>8</v>
      </c>
    </row>
    <row r="285" spans="1:262" x14ac:dyDescent="0.25">
      <c r="A285" s="30">
        <v>0.11129650891613138</v>
      </c>
      <c r="B285"/>
      <c r="C285"/>
      <c r="D285"/>
      <c r="E285"/>
      <c r="F285" s="27" t="s">
        <v>7</v>
      </c>
      <c r="DW285" s="27" t="s">
        <v>8</v>
      </c>
      <c r="DY285" s="27" t="s">
        <v>8</v>
      </c>
      <c r="DZ285" s="27" t="s">
        <v>7</v>
      </c>
      <c r="EC285" s="27" t="s">
        <v>8</v>
      </c>
      <c r="ED285" s="27" t="s">
        <v>7</v>
      </c>
      <c r="EE285" s="27" t="s">
        <v>8</v>
      </c>
      <c r="EH285" s="27" t="s">
        <v>7</v>
      </c>
      <c r="EJ285" s="27" t="s">
        <v>7</v>
      </c>
      <c r="EL285" s="27" t="s">
        <v>7</v>
      </c>
      <c r="EO285" s="27" t="s">
        <v>8</v>
      </c>
      <c r="EP285" s="27" t="s">
        <v>7</v>
      </c>
      <c r="EQ285" s="27" t="s">
        <v>8</v>
      </c>
      <c r="ER285" s="27" t="s">
        <v>7</v>
      </c>
      <c r="FE285" s="27" t="s">
        <v>8</v>
      </c>
      <c r="FF285" s="27" t="s">
        <v>7</v>
      </c>
      <c r="GK285" s="27" t="s">
        <v>8</v>
      </c>
      <c r="GM285" s="27" t="s">
        <v>8</v>
      </c>
      <c r="GN285" s="27" t="s">
        <v>7</v>
      </c>
      <c r="GQ285" s="27" t="s">
        <v>8</v>
      </c>
      <c r="GR285" s="27" t="s">
        <v>7</v>
      </c>
      <c r="GS285" s="27" t="s">
        <v>8</v>
      </c>
      <c r="GV285" s="27" t="s">
        <v>7</v>
      </c>
      <c r="GX285" s="27" t="s">
        <v>7</v>
      </c>
      <c r="GZ285" s="27" t="s">
        <v>7</v>
      </c>
      <c r="HC285" s="27" t="s">
        <v>8</v>
      </c>
      <c r="HD285" s="27" t="s">
        <v>7</v>
      </c>
      <c r="HE285" s="27" t="s">
        <v>8</v>
      </c>
      <c r="HF285" s="27" t="s">
        <v>7</v>
      </c>
      <c r="HS285" s="27" t="s">
        <v>8</v>
      </c>
      <c r="HT285" s="27" t="s">
        <v>7</v>
      </c>
      <c r="IC285" s="27" t="s">
        <v>8</v>
      </c>
      <c r="IE285" s="27" t="s">
        <v>8</v>
      </c>
      <c r="IF285" s="27" t="s">
        <v>7</v>
      </c>
      <c r="IG285" s="27" t="s">
        <v>8</v>
      </c>
      <c r="IH285" s="27" t="s">
        <v>7</v>
      </c>
      <c r="II285" s="27" t="s">
        <v>8</v>
      </c>
      <c r="IS285" s="27" t="s">
        <v>8</v>
      </c>
      <c r="JA285" s="27" t="s">
        <v>8</v>
      </c>
      <c r="JB285" s="27" t="s">
        <v>7</v>
      </c>
    </row>
    <row r="286" spans="1:262" x14ac:dyDescent="0.25">
      <c r="A286" s="30">
        <v>0.10599667515822032</v>
      </c>
      <c r="B286"/>
      <c r="C286"/>
      <c r="D286"/>
      <c r="E286"/>
      <c r="F286" s="27" t="s">
        <v>7</v>
      </c>
      <c r="DW286" s="27" t="s">
        <v>8</v>
      </c>
      <c r="DX286" s="27" t="s">
        <v>7</v>
      </c>
      <c r="DY286" s="27" t="s">
        <v>8</v>
      </c>
      <c r="DZ286" s="27" t="s">
        <v>7</v>
      </c>
      <c r="EC286" s="27" t="s">
        <v>8</v>
      </c>
      <c r="ED286" s="27" t="s">
        <v>7</v>
      </c>
      <c r="EL286" s="27" t="s">
        <v>7</v>
      </c>
      <c r="EO286" s="27" t="s">
        <v>8</v>
      </c>
      <c r="EP286" s="27" t="s">
        <v>7</v>
      </c>
      <c r="ER286" s="27" t="s">
        <v>7</v>
      </c>
      <c r="ES286" s="27" t="s">
        <v>8</v>
      </c>
      <c r="FE286" s="27" t="s">
        <v>8</v>
      </c>
      <c r="FF286" s="27" t="s">
        <v>7</v>
      </c>
      <c r="GK286" s="27" t="s">
        <v>8</v>
      </c>
      <c r="GL286" s="27" t="s">
        <v>7</v>
      </c>
      <c r="GM286" s="27" t="s">
        <v>8</v>
      </c>
      <c r="GN286" s="27" t="s">
        <v>7</v>
      </c>
      <c r="GQ286" s="27" t="s">
        <v>8</v>
      </c>
      <c r="GR286" s="27" t="s">
        <v>7</v>
      </c>
      <c r="GZ286" s="27" t="s">
        <v>7</v>
      </c>
      <c r="HC286" s="27" t="s">
        <v>8</v>
      </c>
      <c r="HD286" s="27" t="s">
        <v>7</v>
      </c>
      <c r="HF286" s="27" t="s">
        <v>7</v>
      </c>
      <c r="HG286" s="27" t="s">
        <v>8</v>
      </c>
      <c r="HS286" s="27" t="s">
        <v>8</v>
      </c>
      <c r="HT286" s="27" t="s">
        <v>7</v>
      </c>
      <c r="IC286" s="27" t="s">
        <v>8</v>
      </c>
      <c r="ID286" s="27" t="s">
        <v>7</v>
      </c>
      <c r="IE286" s="27" t="s">
        <v>8</v>
      </c>
      <c r="IF286" s="27" t="s">
        <v>7</v>
      </c>
      <c r="IG286" s="27" t="s">
        <v>8</v>
      </c>
      <c r="IH286" s="27" t="s">
        <v>7</v>
      </c>
      <c r="II286" s="27" t="s">
        <v>8</v>
      </c>
      <c r="IJ286" s="27" t="s">
        <v>7</v>
      </c>
      <c r="IQ286" s="27" t="s">
        <v>8</v>
      </c>
      <c r="IS286" s="27" t="s">
        <v>8</v>
      </c>
      <c r="IT286" s="27" t="s">
        <v>7</v>
      </c>
      <c r="JA286" s="27" t="s">
        <v>8</v>
      </c>
      <c r="JB286" s="27" t="s">
        <v>7</v>
      </c>
    </row>
    <row r="287" spans="1:262" x14ac:dyDescent="0.25">
      <c r="A287" s="30">
        <v>0.10094921443640027</v>
      </c>
      <c r="B287"/>
      <c r="C287"/>
      <c r="D287"/>
      <c r="E287"/>
      <c r="F287" s="27" t="s">
        <v>7</v>
      </c>
      <c r="DW287" s="27" t="s">
        <v>8</v>
      </c>
      <c r="DX287" s="27" t="s">
        <v>7</v>
      </c>
      <c r="DY287" s="27" t="s">
        <v>8</v>
      </c>
      <c r="DZ287" s="27" t="s">
        <v>7</v>
      </c>
      <c r="EC287" s="27" t="s">
        <v>8</v>
      </c>
      <c r="EL287" s="27" t="s">
        <v>7</v>
      </c>
      <c r="EO287" s="27" t="s">
        <v>8</v>
      </c>
      <c r="ER287" s="27" t="s">
        <v>7</v>
      </c>
      <c r="ES287" s="27" t="s">
        <v>8</v>
      </c>
      <c r="ET287" s="27" t="s">
        <v>7</v>
      </c>
      <c r="FA287" s="27" t="s">
        <v>8</v>
      </c>
      <c r="FC287" s="27" t="s">
        <v>8</v>
      </c>
      <c r="FE287" s="27" t="s">
        <v>8</v>
      </c>
      <c r="FF287" s="27" t="s">
        <v>7</v>
      </c>
      <c r="FI287" s="27" t="s">
        <v>8</v>
      </c>
      <c r="GK287" s="27" t="s">
        <v>8</v>
      </c>
      <c r="GL287" s="27" t="s">
        <v>7</v>
      </c>
      <c r="GM287" s="27" t="s">
        <v>8</v>
      </c>
      <c r="GN287" s="27" t="s">
        <v>7</v>
      </c>
      <c r="GQ287" s="27" t="s">
        <v>8</v>
      </c>
      <c r="GZ287" s="27" t="s">
        <v>7</v>
      </c>
      <c r="HC287" s="27" t="s">
        <v>8</v>
      </c>
      <c r="HF287" s="27" t="s">
        <v>7</v>
      </c>
      <c r="HG287" s="27" t="s">
        <v>8</v>
      </c>
      <c r="HH287" s="27" t="s">
        <v>7</v>
      </c>
      <c r="HO287" s="27" t="s">
        <v>8</v>
      </c>
      <c r="HQ287" s="27" t="s">
        <v>8</v>
      </c>
      <c r="HS287" s="27" t="s">
        <v>8</v>
      </c>
      <c r="HT287" s="27" t="s">
        <v>7</v>
      </c>
      <c r="HW287" s="27" t="s">
        <v>8</v>
      </c>
      <c r="IC287" s="27" t="s">
        <v>8</v>
      </c>
      <c r="ID287" s="27" t="s">
        <v>7</v>
      </c>
      <c r="IE287" s="27" t="s">
        <v>8</v>
      </c>
      <c r="IF287" s="27" t="s">
        <v>7</v>
      </c>
      <c r="IG287" s="27" t="s">
        <v>8</v>
      </c>
      <c r="IH287" s="27" t="s">
        <v>7</v>
      </c>
      <c r="II287" s="27" t="s">
        <v>8</v>
      </c>
      <c r="IJ287" s="27" t="s">
        <v>7</v>
      </c>
      <c r="IQ287" s="27" t="s">
        <v>8</v>
      </c>
      <c r="IR287" s="27" t="s">
        <v>7</v>
      </c>
      <c r="IS287" s="27" t="s">
        <v>8</v>
      </c>
      <c r="IT287" s="27" t="s">
        <v>7</v>
      </c>
      <c r="IU287" s="27" t="s">
        <v>8</v>
      </c>
      <c r="JA287" s="27" t="s">
        <v>8</v>
      </c>
      <c r="JB287" s="27" t="s">
        <v>7</v>
      </c>
    </row>
    <row r="288" spans="1:262" x14ac:dyDescent="0.25">
      <c r="A288" s="30">
        <v>9.6142108987047836E-2</v>
      </c>
      <c r="B288"/>
      <c r="C288"/>
      <c r="D288"/>
      <c r="E288"/>
      <c r="F288" s="27" t="s">
        <v>7</v>
      </c>
      <c r="DW288" s="27" t="s">
        <v>8</v>
      </c>
      <c r="DX288" s="27" t="s">
        <v>7</v>
      </c>
      <c r="DY288" s="27" t="s">
        <v>8</v>
      </c>
      <c r="DZ288" s="27" t="s">
        <v>7</v>
      </c>
      <c r="EC288" s="27" t="s">
        <v>8</v>
      </c>
      <c r="EL288" s="27" t="s">
        <v>7</v>
      </c>
      <c r="EO288" s="27" t="s">
        <v>8</v>
      </c>
      <c r="ER288" s="27" t="s">
        <v>7</v>
      </c>
      <c r="ES288" s="27" t="s">
        <v>8</v>
      </c>
      <c r="ET288" s="27" t="s">
        <v>7</v>
      </c>
      <c r="FA288" s="27" t="s">
        <v>8</v>
      </c>
      <c r="FB288" s="27" t="s">
        <v>7</v>
      </c>
      <c r="FC288" s="27" t="s">
        <v>8</v>
      </c>
      <c r="FD288" s="27" t="s">
        <v>7</v>
      </c>
      <c r="FE288" s="27" t="s">
        <v>8</v>
      </c>
      <c r="FF288" s="27" t="s">
        <v>7</v>
      </c>
      <c r="FI288" s="27" t="s">
        <v>8</v>
      </c>
      <c r="FJ288" s="27" t="s">
        <v>7</v>
      </c>
      <c r="GK288" s="27" t="s">
        <v>8</v>
      </c>
      <c r="GL288" s="27" t="s">
        <v>7</v>
      </c>
      <c r="GM288" s="27" t="s">
        <v>8</v>
      </c>
      <c r="GN288" s="27" t="s">
        <v>7</v>
      </c>
      <c r="GQ288" s="27" t="s">
        <v>8</v>
      </c>
      <c r="GZ288" s="27" t="s">
        <v>7</v>
      </c>
      <c r="HC288" s="27" t="s">
        <v>8</v>
      </c>
      <c r="HF288" s="27" t="s">
        <v>7</v>
      </c>
      <c r="HG288" s="27" t="s">
        <v>8</v>
      </c>
      <c r="HH288" s="27" t="s">
        <v>7</v>
      </c>
      <c r="HO288" s="27" t="s">
        <v>8</v>
      </c>
      <c r="HP288" s="27" t="s">
        <v>7</v>
      </c>
      <c r="HQ288" s="27" t="s">
        <v>8</v>
      </c>
      <c r="HR288" s="27" t="s">
        <v>7</v>
      </c>
      <c r="HS288" s="27" t="s">
        <v>8</v>
      </c>
      <c r="HT288" s="27" t="s">
        <v>7</v>
      </c>
      <c r="HW288" s="27" t="s">
        <v>8</v>
      </c>
      <c r="HX288" s="27" t="s">
        <v>7</v>
      </c>
      <c r="IA288" s="27" t="s">
        <v>8</v>
      </c>
      <c r="IC288" s="27" t="s">
        <v>8</v>
      </c>
      <c r="ID288" s="27" t="s">
        <v>7</v>
      </c>
      <c r="IE288" s="27" t="s">
        <v>8</v>
      </c>
      <c r="IF288" s="27" t="s">
        <v>7</v>
      </c>
      <c r="IG288" s="27" t="s">
        <v>8</v>
      </c>
      <c r="IH288" s="27" t="s">
        <v>7</v>
      </c>
      <c r="IJ288" s="27" t="s">
        <v>7</v>
      </c>
      <c r="IO288" s="27" t="s">
        <v>8</v>
      </c>
      <c r="IQ288" s="27" t="s">
        <v>8</v>
      </c>
      <c r="IR288" s="27" t="s">
        <v>7</v>
      </c>
      <c r="IS288" s="27" t="s">
        <v>8</v>
      </c>
      <c r="IT288" s="27" t="s">
        <v>7</v>
      </c>
      <c r="IU288" s="27" t="s">
        <v>8</v>
      </c>
      <c r="IV288" s="27" t="s">
        <v>7</v>
      </c>
      <c r="IW288" s="27" t="s">
        <v>8</v>
      </c>
      <c r="IY288" s="27" t="s">
        <v>8</v>
      </c>
      <c r="JA288" s="27" t="s">
        <v>8</v>
      </c>
      <c r="JB288" s="27" t="s">
        <v>7</v>
      </c>
    </row>
    <row r="289" spans="1:273" x14ac:dyDescent="0.25">
      <c r="A289" s="30">
        <v>9.1563913320997906E-2</v>
      </c>
      <c r="B289"/>
      <c r="C289"/>
      <c r="D289"/>
      <c r="E289"/>
      <c r="F289" s="27" t="s">
        <v>7</v>
      </c>
      <c r="DW289" s="27" t="s">
        <v>8</v>
      </c>
      <c r="DX289" s="27" t="s">
        <v>7</v>
      </c>
      <c r="DY289" s="27" t="s">
        <v>8</v>
      </c>
      <c r="DZ289" s="27" t="s">
        <v>7</v>
      </c>
      <c r="EA289" s="27" t="s">
        <v>8</v>
      </c>
      <c r="EC289" s="27" t="s">
        <v>8</v>
      </c>
      <c r="EL289" s="27" t="s">
        <v>7</v>
      </c>
      <c r="EO289" s="27" t="s">
        <v>8</v>
      </c>
      <c r="ER289" s="27" t="s">
        <v>7</v>
      </c>
      <c r="ES289" s="27" t="s">
        <v>8</v>
      </c>
      <c r="ET289" s="27" t="s">
        <v>7</v>
      </c>
      <c r="FA289" s="27" t="s">
        <v>8</v>
      </c>
      <c r="FB289" s="27" t="s">
        <v>7</v>
      </c>
      <c r="FC289" s="27" t="s">
        <v>8</v>
      </c>
      <c r="FD289" s="27" t="s">
        <v>7</v>
      </c>
      <c r="FE289" s="27" t="s">
        <v>8</v>
      </c>
      <c r="FF289" s="27" t="s">
        <v>7</v>
      </c>
      <c r="FI289" s="27" t="s">
        <v>8</v>
      </c>
      <c r="FJ289" s="27" t="s">
        <v>7</v>
      </c>
      <c r="GK289" s="27" t="s">
        <v>8</v>
      </c>
      <c r="GL289" s="27" t="s">
        <v>7</v>
      </c>
      <c r="GM289" s="27" t="s">
        <v>8</v>
      </c>
      <c r="GN289" s="27" t="s">
        <v>7</v>
      </c>
      <c r="GO289" s="27" t="s">
        <v>8</v>
      </c>
      <c r="GQ289" s="27" t="s">
        <v>8</v>
      </c>
      <c r="GZ289" s="27" t="s">
        <v>7</v>
      </c>
      <c r="HC289" s="27" t="s">
        <v>8</v>
      </c>
      <c r="HF289" s="27" t="s">
        <v>7</v>
      </c>
      <c r="HG289" s="27" t="s">
        <v>8</v>
      </c>
      <c r="HH289" s="27" t="s">
        <v>7</v>
      </c>
      <c r="HO289" s="27" t="s">
        <v>8</v>
      </c>
      <c r="HP289" s="27" t="s">
        <v>7</v>
      </c>
      <c r="HQ289" s="27" t="s">
        <v>8</v>
      </c>
      <c r="HR289" s="27" t="s">
        <v>7</v>
      </c>
      <c r="HS289" s="27" t="s">
        <v>8</v>
      </c>
      <c r="HT289" s="27" t="s">
        <v>7</v>
      </c>
      <c r="HW289" s="27" t="s">
        <v>8</v>
      </c>
      <c r="HX289" s="27" t="s">
        <v>7</v>
      </c>
      <c r="IA289" s="27" t="s">
        <v>8</v>
      </c>
      <c r="IB289" s="27" t="s">
        <v>7</v>
      </c>
      <c r="IC289" s="27" t="s">
        <v>8</v>
      </c>
      <c r="ID289" s="27" t="s">
        <v>7</v>
      </c>
      <c r="IF289" s="27" t="s">
        <v>7</v>
      </c>
      <c r="IG289" s="27" t="s">
        <v>8</v>
      </c>
      <c r="IJ289" s="27" t="s">
        <v>7</v>
      </c>
      <c r="IK289" s="27" t="s">
        <v>8</v>
      </c>
      <c r="IO289" s="27" t="s">
        <v>8</v>
      </c>
      <c r="IP289" s="27" t="s">
        <v>7</v>
      </c>
      <c r="IQ289" s="27" t="s">
        <v>8</v>
      </c>
      <c r="IR289" s="27" t="s">
        <v>7</v>
      </c>
      <c r="IS289" s="27" t="s">
        <v>8</v>
      </c>
      <c r="IT289" s="27" t="s">
        <v>7</v>
      </c>
      <c r="IU289" s="27" t="s">
        <v>8</v>
      </c>
      <c r="IV289" s="27" t="s">
        <v>7</v>
      </c>
      <c r="IW289" s="27" t="s">
        <v>8</v>
      </c>
      <c r="IX289" s="27" t="s">
        <v>7</v>
      </c>
      <c r="IY289" s="27" t="s">
        <v>8</v>
      </c>
      <c r="IZ289" s="27" t="s">
        <v>7</v>
      </c>
      <c r="JA289" s="27" t="s">
        <v>8</v>
      </c>
      <c r="JB289" s="27" t="s">
        <v>7</v>
      </c>
    </row>
    <row r="290" spans="1:273" x14ac:dyDescent="0.25">
      <c r="A290" s="30">
        <v>8.7203726972378923E-2</v>
      </c>
      <c r="B290"/>
      <c r="C290"/>
      <c r="D290"/>
      <c r="E290"/>
      <c r="F290" s="27" t="s">
        <v>7</v>
      </c>
      <c r="DW290" s="27" t="s">
        <v>8</v>
      </c>
      <c r="DX290" s="27" t="s">
        <v>7</v>
      </c>
      <c r="DY290" s="27" t="s">
        <v>8</v>
      </c>
      <c r="DZ290" s="27" t="s">
        <v>7</v>
      </c>
      <c r="EA290" s="27" t="s">
        <v>8</v>
      </c>
      <c r="EB290" s="27" t="s">
        <v>7</v>
      </c>
      <c r="EC290" s="27" t="s">
        <v>8</v>
      </c>
      <c r="EL290" s="27" t="s">
        <v>7</v>
      </c>
      <c r="EM290" s="27" t="s">
        <v>8</v>
      </c>
      <c r="EO290" s="27" t="s">
        <v>8</v>
      </c>
      <c r="ER290" s="27" t="s">
        <v>7</v>
      </c>
      <c r="ES290" s="27" t="s">
        <v>8</v>
      </c>
      <c r="ET290" s="27" t="s">
        <v>7</v>
      </c>
      <c r="FA290" s="27" t="s">
        <v>8</v>
      </c>
      <c r="FB290" s="27" t="s">
        <v>7</v>
      </c>
      <c r="FC290" s="27" t="s">
        <v>8</v>
      </c>
      <c r="FD290" s="27" t="s">
        <v>7</v>
      </c>
      <c r="FE290" s="27" t="s">
        <v>8</v>
      </c>
      <c r="FF290" s="27" t="s">
        <v>7</v>
      </c>
      <c r="FI290" s="27" t="s">
        <v>8</v>
      </c>
      <c r="FJ290" s="27" t="s">
        <v>7</v>
      </c>
      <c r="GK290" s="27" t="s">
        <v>8</v>
      </c>
      <c r="GL290" s="27" t="s">
        <v>7</v>
      </c>
      <c r="GM290" s="27" t="s">
        <v>8</v>
      </c>
      <c r="GN290" s="27" t="s">
        <v>7</v>
      </c>
      <c r="GO290" s="27" t="s">
        <v>8</v>
      </c>
      <c r="GP290" s="27" t="s">
        <v>7</v>
      </c>
      <c r="GQ290" s="27" t="s">
        <v>8</v>
      </c>
      <c r="GZ290" s="27" t="s">
        <v>7</v>
      </c>
      <c r="HA290" s="27" t="s">
        <v>8</v>
      </c>
      <c r="HC290" s="27" t="s">
        <v>8</v>
      </c>
      <c r="HF290" s="27" t="s">
        <v>7</v>
      </c>
      <c r="HG290" s="27" t="s">
        <v>8</v>
      </c>
      <c r="HH290" s="27" t="s">
        <v>7</v>
      </c>
      <c r="HO290" s="27" t="s">
        <v>8</v>
      </c>
      <c r="HP290" s="27" t="s">
        <v>7</v>
      </c>
      <c r="HQ290" s="27" t="s">
        <v>8</v>
      </c>
      <c r="HR290" s="27" t="s">
        <v>7</v>
      </c>
      <c r="HS290" s="27" t="s">
        <v>8</v>
      </c>
      <c r="HT290" s="27" t="s">
        <v>7</v>
      </c>
      <c r="HW290" s="27" t="s">
        <v>8</v>
      </c>
      <c r="HX290" s="27" t="s">
        <v>7</v>
      </c>
      <c r="IA290" s="27" t="s">
        <v>8</v>
      </c>
      <c r="IB290" s="27" t="s">
        <v>7</v>
      </c>
      <c r="IC290" s="27" t="s">
        <v>8</v>
      </c>
      <c r="IF290" s="27" t="s">
        <v>7</v>
      </c>
      <c r="IG290" s="27" t="s">
        <v>8</v>
      </c>
      <c r="IJ290" s="27" t="s">
        <v>7</v>
      </c>
      <c r="IK290" s="27" t="s">
        <v>8</v>
      </c>
      <c r="IL290" s="27" t="s">
        <v>7</v>
      </c>
      <c r="IM290" s="27" t="s">
        <v>8</v>
      </c>
      <c r="IO290" s="27" t="s">
        <v>8</v>
      </c>
      <c r="IP290" s="27" t="s">
        <v>7</v>
      </c>
      <c r="IQ290" s="27" t="s">
        <v>8</v>
      </c>
      <c r="IR290" s="27" t="s">
        <v>7</v>
      </c>
      <c r="IS290" s="27" t="s">
        <v>8</v>
      </c>
      <c r="IT290" s="27" t="s">
        <v>7</v>
      </c>
      <c r="IU290" s="27" t="s">
        <v>8</v>
      </c>
      <c r="IV290" s="27" t="s">
        <v>7</v>
      </c>
      <c r="IW290" s="27" t="s">
        <v>8</v>
      </c>
      <c r="IX290" s="27" t="s">
        <v>7</v>
      </c>
      <c r="IY290" s="27" t="s">
        <v>8</v>
      </c>
      <c r="IZ290" s="27" t="s">
        <v>7</v>
      </c>
      <c r="JA290" s="27" t="s">
        <v>8</v>
      </c>
      <c r="JB290" s="27" t="s">
        <v>7</v>
      </c>
      <c r="JG290" s="27" t="s">
        <v>8</v>
      </c>
    </row>
    <row r="291" spans="1:273" x14ac:dyDescent="0.25">
      <c r="A291" s="30">
        <v>8.3051168545122747E-2</v>
      </c>
      <c r="B291"/>
      <c r="C291"/>
      <c r="D291"/>
      <c r="E291"/>
      <c r="F291" s="27" t="s">
        <v>7</v>
      </c>
      <c r="DW291" s="27" t="s">
        <v>8</v>
      </c>
      <c r="DX291" s="27" t="s">
        <v>7</v>
      </c>
      <c r="DY291" s="27" t="s">
        <v>8</v>
      </c>
      <c r="DZ291" s="27" t="s">
        <v>7</v>
      </c>
      <c r="EA291" s="27" t="s">
        <v>8</v>
      </c>
      <c r="EB291" s="27" t="s">
        <v>7</v>
      </c>
      <c r="EC291" s="27" t="s">
        <v>8</v>
      </c>
      <c r="EL291" s="27" t="s">
        <v>7</v>
      </c>
      <c r="EM291" s="27" t="s">
        <v>8</v>
      </c>
      <c r="EN291" s="27" t="s">
        <v>7</v>
      </c>
      <c r="EO291" s="27" t="s">
        <v>8</v>
      </c>
      <c r="ER291" s="27" t="s">
        <v>7</v>
      </c>
      <c r="ET291" s="27" t="s">
        <v>7</v>
      </c>
      <c r="FA291" s="27" t="s">
        <v>8</v>
      </c>
      <c r="FB291" s="27" t="s">
        <v>7</v>
      </c>
      <c r="FC291" s="27" t="s">
        <v>8</v>
      </c>
      <c r="FD291" s="27" t="s">
        <v>7</v>
      </c>
      <c r="FE291" s="27" t="s">
        <v>8</v>
      </c>
      <c r="FF291" s="27" t="s">
        <v>7</v>
      </c>
      <c r="FI291" s="27" t="s">
        <v>8</v>
      </c>
      <c r="FJ291" s="27" t="s">
        <v>7</v>
      </c>
      <c r="GK291" s="27" t="s">
        <v>8</v>
      </c>
      <c r="GL291" s="27" t="s">
        <v>7</v>
      </c>
      <c r="GM291" s="27" t="s">
        <v>8</v>
      </c>
      <c r="GN291" s="27" t="s">
        <v>7</v>
      </c>
      <c r="GO291" s="27" t="s">
        <v>8</v>
      </c>
      <c r="GP291" s="27" t="s">
        <v>7</v>
      </c>
      <c r="GQ291" s="27" t="s">
        <v>8</v>
      </c>
      <c r="GZ291" s="27" t="s">
        <v>7</v>
      </c>
      <c r="HA291" s="27" t="s">
        <v>8</v>
      </c>
      <c r="HB291" s="27" t="s">
        <v>7</v>
      </c>
      <c r="HC291" s="27" t="s">
        <v>8</v>
      </c>
      <c r="HF291" s="27" t="s">
        <v>7</v>
      </c>
      <c r="HH291" s="27" t="s">
        <v>7</v>
      </c>
      <c r="HO291" s="27" t="s">
        <v>8</v>
      </c>
      <c r="HP291" s="27" t="s">
        <v>7</v>
      </c>
      <c r="HQ291" s="27" t="s">
        <v>8</v>
      </c>
      <c r="HR291" s="27" t="s">
        <v>7</v>
      </c>
      <c r="HS291" s="27" t="s">
        <v>8</v>
      </c>
      <c r="HT291" s="27" t="s">
        <v>7</v>
      </c>
      <c r="HW291" s="27" t="s">
        <v>8</v>
      </c>
      <c r="HX291" s="27" t="s">
        <v>7</v>
      </c>
      <c r="HY291" s="27" t="s">
        <v>8</v>
      </c>
      <c r="IA291" s="27" t="s">
        <v>8</v>
      </c>
      <c r="IB291" s="27" t="s">
        <v>7</v>
      </c>
      <c r="IC291" s="27" t="s">
        <v>8</v>
      </c>
      <c r="IF291" s="27" t="s">
        <v>7</v>
      </c>
      <c r="IJ291" s="27" t="s">
        <v>7</v>
      </c>
      <c r="IK291" s="27" t="s">
        <v>8</v>
      </c>
      <c r="IL291" s="27" t="s">
        <v>7</v>
      </c>
      <c r="IM291" s="27" t="s">
        <v>8</v>
      </c>
      <c r="IN291" s="27" t="s">
        <v>7</v>
      </c>
      <c r="IO291" s="27" t="s">
        <v>8</v>
      </c>
      <c r="IP291" s="27" t="s">
        <v>7</v>
      </c>
      <c r="IQ291" s="27" t="s">
        <v>8</v>
      </c>
      <c r="IR291" s="27" t="s">
        <v>7</v>
      </c>
      <c r="IT291" s="27" t="s">
        <v>7</v>
      </c>
      <c r="IU291" s="27" t="s">
        <v>8</v>
      </c>
      <c r="IV291" s="27" t="s">
        <v>7</v>
      </c>
      <c r="IX291" s="27" t="s">
        <v>7</v>
      </c>
      <c r="IZ291" s="27" t="s">
        <v>7</v>
      </c>
      <c r="JB291" s="27" t="s">
        <v>7</v>
      </c>
      <c r="JC291" s="27" t="s">
        <v>8</v>
      </c>
      <c r="JG291" s="27" t="s">
        <v>8</v>
      </c>
      <c r="JH291" s="27" t="s">
        <v>7</v>
      </c>
    </row>
    <row r="292" spans="1:273" x14ac:dyDescent="0.25">
      <c r="A292" s="30">
        <v>7.9096350995354961E-2</v>
      </c>
      <c r="B292"/>
      <c r="C292"/>
      <c r="D292"/>
      <c r="E292"/>
      <c r="F292" s="27" t="s">
        <v>7</v>
      </c>
      <c r="DW292" s="27" t="s">
        <v>8</v>
      </c>
      <c r="DX292" s="27" t="s">
        <v>7</v>
      </c>
      <c r="DZ292" s="27" t="s">
        <v>7</v>
      </c>
      <c r="EB292" s="27" t="s">
        <v>7</v>
      </c>
      <c r="EC292" s="27" t="s">
        <v>8</v>
      </c>
      <c r="EL292" s="27" t="s">
        <v>7</v>
      </c>
      <c r="EM292" s="27" t="s">
        <v>8</v>
      </c>
      <c r="EN292" s="27" t="s">
        <v>7</v>
      </c>
      <c r="EO292" s="27" t="s">
        <v>8</v>
      </c>
      <c r="ET292" s="27" t="s">
        <v>7</v>
      </c>
      <c r="EW292" s="27" t="s">
        <v>8</v>
      </c>
      <c r="FA292" s="27" t="s">
        <v>8</v>
      </c>
      <c r="FB292" s="27" t="s">
        <v>7</v>
      </c>
      <c r="FC292" s="27" t="s">
        <v>8</v>
      </c>
      <c r="FD292" s="27" t="s">
        <v>7</v>
      </c>
      <c r="FE292" s="27" t="s">
        <v>8</v>
      </c>
      <c r="FF292" s="27" t="s">
        <v>7</v>
      </c>
      <c r="FI292" s="27" t="s">
        <v>8</v>
      </c>
      <c r="FJ292" s="27" t="s">
        <v>7</v>
      </c>
      <c r="GK292" s="27" t="s">
        <v>8</v>
      </c>
      <c r="GL292" s="27" t="s">
        <v>7</v>
      </c>
      <c r="GN292" s="27" t="s">
        <v>7</v>
      </c>
      <c r="GP292" s="27" t="s">
        <v>7</v>
      </c>
      <c r="GQ292" s="27" t="s">
        <v>8</v>
      </c>
      <c r="GZ292" s="27" t="s">
        <v>7</v>
      </c>
      <c r="HA292" s="27" t="s">
        <v>8</v>
      </c>
      <c r="HB292" s="27" t="s">
        <v>7</v>
      </c>
      <c r="HC292" s="27" t="s">
        <v>8</v>
      </c>
      <c r="HH292" s="27" t="s">
        <v>7</v>
      </c>
      <c r="HK292" s="27" t="s">
        <v>8</v>
      </c>
      <c r="HO292" s="27" t="s">
        <v>8</v>
      </c>
      <c r="HP292" s="27" t="s">
        <v>7</v>
      </c>
      <c r="HQ292" s="27" t="s">
        <v>8</v>
      </c>
      <c r="HR292" s="27" t="s">
        <v>7</v>
      </c>
      <c r="HS292" s="27" t="s">
        <v>8</v>
      </c>
      <c r="HT292" s="27" t="s">
        <v>7</v>
      </c>
      <c r="HW292" s="27" t="s">
        <v>8</v>
      </c>
      <c r="HX292" s="27" t="s">
        <v>7</v>
      </c>
      <c r="HY292" s="27" t="s">
        <v>8</v>
      </c>
      <c r="HZ292" s="27" t="s">
        <v>7</v>
      </c>
      <c r="IA292" s="27" t="s">
        <v>8</v>
      </c>
      <c r="IB292" s="27" t="s">
        <v>7</v>
      </c>
      <c r="IJ292" s="27" t="s">
        <v>7</v>
      </c>
      <c r="IK292" s="27" t="s">
        <v>8</v>
      </c>
      <c r="IL292" s="27" t="s">
        <v>7</v>
      </c>
      <c r="IM292" s="27" t="s">
        <v>8</v>
      </c>
      <c r="IN292" s="27" t="s">
        <v>7</v>
      </c>
      <c r="IO292" s="27" t="s">
        <v>8</v>
      </c>
      <c r="IP292" s="27" t="s">
        <v>7</v>
      </c>
      <c r="IQ292" s="27" t="s">
        <v>8</v>
      </c>
      <c r="IT292" s="27" t="s">
        <v>7</v>
      </c>
      <c r="IU292" s="27" t="s">
        <v>8</v>
      </c>
      <c r="JB292" s="27" t="s">
        <v>7</v>
      </c>
      <c r="JC292" s="27" t="s">
        <v>8</v>
      </c>
      <c r="JD292" s="27" t="s">
        <v>7</v>
      </c>
      <c r="JE292" s="27" t="s">
        <v>8</v>
      </c>
      <c r="JG292" s="27" t="s">
        <v>8</v>
      </c>
      <c r="JH292" s="27" t="s">
        <v>7</v>
      </c>
      <c r="JI292" s="27" t="s">
        <v>8</v>
      </c>
    </row>
    <row r="293" spans="1:273" x14ac:dyDescent="0.25">
      <c r="A293" s="30">
        <v>7.5329858090814217E-2</v>
      </c>
      <c r="B293"/>
      <c r="C293"/>
      <c r="D293"/>
      <c r="E293"/>
      <c r="F293" s="27" t="s">
        <v>7</v>
      </c>
      <c r="DW293" s="27" t="s">
        <v>8</v>
      </c>
      <c r="EB293" s="27" t="s">
        <v>7</v>
      </c>
      <c r="EC293" s="27" t="s">
        <v>8</v>
      </c>
      <c r="EL293" s="27" t="s">
        <v>7</v>
      </c>
      <c r="EM293" s="27" t="s">
        <v>8</v>
      </c>
      <c r="EN293" s="27" t="s">
        <v>7</v>
      </c>
      <c r="EO293" s="27" t="s">
        <v>8</v>
      </c>
      <c r="ET293" s="27" t="s">
        <v>7</v>
      </c>
      <c r="EW293" s="27" t="s">
        <v>8</v>
      </c>
      <c r="EX293" s="27" t="s">
        <v>7</v>
      </c>
      <c r="FA293" s="27" t="s">
        <v>8</v>
      </c>
      <c r="FB293" s="27" t="s">
        <v>7</v>
      </c>
      <c r="FC293" s="27" t="s">
        <v>8</v>
      </c>
      <c r="FD293" s="27" t="s">
        <v>7</v>
      </c>
      <c r="FE293" s="27" t="s">
        <v>8</v>
      </c>
      <c r="FF293" s="27" t="s">
        <v>7</v>
      </c>
      <c r="FG293" s="27" t="s">
        <v>8</v>
      </c>
      <c r="FI293" s="27" t="s">
        <v>8</v>
      </c>
      <c r="FJ293" s="27" t="s">
        <v>7</v>
      </c>
      <c r="GK293" s="27" t="s">
        <v>8</v>
      </c>
      <c r="GP293" s="27" t="s">
        <v>7</v>
      </c>
      <c r="GQ293" s="27" t="s">
        <v>8</v>
      </c>
      <c r="GZ293" s="27" t="s">
        <v>7</v>
      </c>
      <c r="HA293" s="27" t="s">
        <v>8</v>
      </c>
      <c r="HB293" s="27" t="s">
        <v>7</v>
      </c>
      <c r="HC293" s="27" t="s">
        <v>8</v>
      </c>
      <c r="HH293" s="27" t="s">
        <v>7</v>
      </c>
      <c r="HK293" s="27" t="s">
        <v>8</v>
      </c>
      <c r="HL293" s="27" t="s">
        <v>7</v>
      </c>
      <c r="HO293" s="27" t="s">
        <v>8</v>
      </c>
      <c r="HP293" s="27" t="s">
        <v>7</v>
      </c>
      <c r="HQ293" s="27" t="s">
        <v>8</v>
      </c>
      <c r="HR293" s="27" t="s">
        <v>7</v>
      </c>
      <c r="HS293" s="27" t="s">
        <v>8</v>
      </c>
      <c r="HT293" s="27" t="s">
        <v>7</v>
      </c>
      <c r="HU293" s="27" t="s">
        <v>8</v>
      </c>
      <c r="HW293" s="27" t="s">
        <v>8</v>
      </c>
      <c r="HX293" s="27" t="s">
        <v>7</v>
      </c>
      <c r="HY293" s="27" t="s">
        <v>8</v>
      </c>
      <c r="HZ293" s="27" t="s">
        <v>7</v>
      </c>
      <c r="IA293" s="27" t="s">
        <v>8</v>
      </c>
      <c r="IJ293" s="27" t="s">
        <v>7</v>
      </c>
      <c r="IL293" s="27" t="s">
        <v>7</v>
      </c>
      <c r="IN293" s="27" t="s">
        <v>7</v>
      </c>
      <c r="IP293" s="27" t="s">
        <v>7</v>
      </c>
      <c r="IT293" s="27" t="s">
        <v>7</v>
      </c>
      <c r="JB293" s="27" t="s">
        <v>7</v>
      </c>
      <c r="JC293" s="27" t="s">
        <v>8</v>
      </c>
      <c r="JD293" s="27" t="s">
        <v>7</v>
      </c>
      <c r="JE293" s="27" t="s">
        <v>8</v>
      </c>
      <c r="JF293" s="27" t="s">
        <v>7</v>
      </c>
      <c r="JG293" s="27" t="s">
        <v>8</v>
      </c>
      <c r="JH293" s="27" t="s">
        <v>7</v>
      </c>
      <c r="JI293" s="27" t="s">
        <v>8</v>
      </c>
      <c r="JJ293" s="27" t="s">
        <v>7</v>
      </c>
    </row>
    <row r="294" spans="1:273" x14ac:dyDescent="0.25">
      <c r="A294" s="30">
        <v>7.1742721991251604E-2</v>
      </c>
      <c r="B294"/>
      <c r="C294"/>
      <c r="D294"/>
      <c r="E294"/>
      <c r="F294" s="27" t="s">
        <v>7</v>
      </c>
      <c r="DW294" s="27" t="s">
        <v>8</v>
      </c>
      <c r="EB294" s="27" t="s">
        <v>7</v>
      </c>
      <c r="EL294" s="27" t="s">
        <v>7</v>
      </c>
      <c r="EN294" s="27" t="s">
        <v>7</v>
      </c>
      <c r="ET294" s="27" t="s">
        <v>7</v>
      </c>
      <c r="EW294" s="27" t="s">
        <v>8</v>
      </c>
      <c r="EX294" s="27" t="s">
        <v>7</v>
      </c>
      <c r="EY294" s="27" t="s">
        <v>8</v>
      </c>
      <c r="FA294" s="27" t="s">
        <v>8</v>
      </c>
      <c r="FB294" s="27" t="s">
        <v>7</v>
      </c>
      <c r="FC294" s="27" t="s">
        <v>8</v>
      </c>
      <c r="FD294" s="27" t="s">
        <v>7</v>
      </c>
      <c r="FF294" s="27" t="s">
        <v>7</v>
      </c>
      <c r="FG294" s="27" t="s">
        <v>8</v>
      </c>
      <c r="FH294" s="27" t="s">
        <v>7</v>
      </c>
      <c r="FI294" s="27" t="s">
        <v>8</v>
      </c>
      <c r="FJ294" s="27" t="s">
        <v>7</v>
      </c>
      <c r="GK294" s="27" t="s">
        <v>8</v>
      </c>
      <c r="GP294" s="27" t="s">
        <v>7</v>
      </c>
      <c r="GZ294" s="27" t="s">
        <v>7</v>
      </c>
      <c r="HB294" s="27" t="s">
        <v>7</v>
      </c>
      <c r="HH294" s="27" t="s">
        <v>7</v>
      </c>
      <c r="HK294" s="27" t="s">
        <v>8</v>
      </c>
      <c r="HL294" s="27" t="s">
        <v>7</v>
      </c>
      <c r="HM294" s="27" t="s">
        <v>8</v>
      </c>
      <c r="HO294" s="27" t="s">
        <v>8</v>
      </c>
      <c r="HP294" s="27" t="s">
        <v>7</v>
      </c>
      <c r="HQ294" s="27" t="s">
        <v>8</v>
      </c>
      <c r="HR294" s="27" t="s">
        <v>7</v>
      </c>
      <c r="HT294" s="27" t="s">
        <v>7</v>
      </c>
      <c r="HU294" s="27" t="s">
        <v>8</v>
      </c>
      <c r="HV294" s="27" t="s">
        <v>7</v>
      </c>
      <c r="HW294" s="27" t="s">
        <v>8</v>
      </c>
      <c r="HX294" s="27" t="s">
        <v>7</v>
      </c>
      <c r="HY294" s="27" t="s">
        <v>8</v>
      </c>
      <c r="HZ294" s="27" t="s">
        <v>7</v>
      </c>
      <c r="JB294" s="27" t="s">
        <v>7</v>
      </c>
      <c r="JC294" s="27" t="s">
        <v>8</v>
      </c>
      <c r="JD294" s="27" t="s">
        <v>7</v>
      </c>
      <c r="JE294" s="27" t="s">
        <v>8</v>
      </c>
      <c r="JF294" s="27" t="s">
        <v>7</v>
      </c>
      <c r="JG294" s="27" t="s">
        <v>8</v>
      </c>
      <c r="JH294" s="27" t="s">
        <v>7</v>
      </c>
      <c r="JI294" s="27" t="s">
        <v>8</v>
      </c>
      <c r="JJ294" s="27" t="s">
        <v>7</v>
      </c>
    </row>
    <row r="295" spans="1:273" x14ac:dyDescent="0.25">
      <c r="A295" s="30">
        <v>6.8326401896430078E-2</v>
      </c>
      <c r="B295"/>
      <c r="C295"/>
      <c r="D295"/>
      <c r="E295"/>
      <c r="F295" s="27" t="s">
        <v>7</v>
      </c>
      <c r="DW295" s="27" t="s">
        <v>8</v>
      </c>
      <c r="ET295" s="27" t="s">
        <v>7</v>
      </c>
      <c r="EW295" s="27" t="s">
        <v>8</v>
      </c>
      <c r="EX295" s="27" t="s">
        <v>7</v>
      </c>
      <c r="EY295" s="27" t="s">
        <v>8</v>
      </c>
      <c r="EZ295" s="27" t="s">
        <v>7</v>
      </c>
      <c r="FA295" s="27" t="s">
        <v>8</v>
      </c>
      <c r="FB295" s="27" t="s">
        <v>7</v>
      </c>
      <c r="FF295" s="27" t="s">
        <v>7</v>
      </c>
      <c r="FG295" s="27" t="s">
        <v>8</v>
      </c>
      <c r="FH295" s="27" t="s">
        <v>7</v>
      </c>
      <c r="FI295" s="27" t="s">
        <v>8</v>
      </c>
      <c r="FJ295" s="27" t="s">
        <v>7</v>
      </c>
      <c r="GK295" s="27" t="s">
        <v>8</v>
      </c>
      <c r="HH295" s="27" t="s">
        <v>7</v>
      </c>
      <c r="HK295" s="27" t="s">
        <v>8</v>
      </c>
      <c r="HL295" s="27" t="s">
        <v>7</v>
      </c>
      <c r="HM295" s="27" t="s">
        <v>8</v>
      </c>
      <c r="HN295" s="27" t="s">
        <v>7</v>
      </c>
      <c r="HO295" s="27" t="s">
        <v>8</v>
      </c>
      <c r="HP295" s="27" t="s">
        <v>7</v>
      </c>
      <c r="HT295" s="27" t="s">
        <v>7</v>
      </c>
      <c r="HU295" s="27" t="s">
        <v>8</v>
      </c>
      <c r="HV295" s="27" t="s">
        <v>7</v>
      </c>
      <c r="HW295" s="27" t="s">
        <v>8</v>
      </c>
      <c r="HX295" s="27" t="s">
        <v>7</v>
      </c>
      <c r="HY295" s="27" t="s">
        <v>8</v>
      </c>
      <c r="JB295" s="27" t="s">
        <v>7</v>
      </c>
      <c r="JC295" s="27" t="s">
        <v>8</v>
      </c>
      <c r="JD295" s="27" t="s">
        <v>7</v>
      </c>
      <c r="JF295" s="27" t="s">
        <v>7</v>
      </c>
      <c r="JG295" s="27" t="s">
        <v>8</v>
      </c>
      <c r="JH295" s="27" t="s">
        <v>7</v>
      </c>
      <c r="JI295" s="27" t="s">
        <v>8</v>
      </c>
      <c r="JJ295" s="27" t="s">
        <v>7</v>
      </c>
    </row>
    <row r="296" spans="1:273" x14ac:dyDescent="0.25">
      <c r="A296" s="30">
        <v>6.5072763710885759E-2</v>
      </c>
      <c r="B296"/>
      <c r="C296"/>
      <c r="D296"/>
      <c r="E296"/>
      <c r="F296" s="27" t="s">
        <v>7</v>
      </c>
      <c r="DW296" s="27" t="s">
        <v>8</v>
      </c>
      <c r="ET296" s="27" t="s">
        <v>7</v>
      </c>
      <c r="EU296" s="27" t="s">
        <v>8</v>
      </c>
      <c r="EW296" s="27" t="s">
        <v>8</v>
      </c>
      <c r="EX296" s="27" t="s">
        <v>7</v>
      </c>
      <c r="EY296" s="27" t="s">
        <v>8</v>
      </c>
      <c r="EZ296" s="27" t="s">
        <v>7</v>
      </c>
      <c r="FA296" s="27" t="s">
        <v>8</v>
      </c>
      <c r="FF296" s="27" t="s">
        <v>7</v>
      </c>
      <c r="FG296" s="27" t="s">
        <v>8</v>
      </c>
      <c r="FH296" s="27" t="s">
        <v>7</v>
      </c>
      <c r="FI296" s="27" t="s">
        <v>8</v>
      </c>
      <c r="FJ296" s="27" t="s">
        <v>7</v>
      </c>
      <c r="GK296" s="27" t="s">
        <v>8</v>
      </c>
      <c r="HH296" s="27" t="s">
        <v>7</v>
      </c>
      <c r="HI296" s="27" t="s">
        <v>8</v>
      </c>
      <c r="HK296" s="27" t="s">
        <v>8</v>
      </c>
      <c r="HL296" s="27" t="s">
        <v>7</v>
      </c>
      <c r="HM296" s="27" t="s">
        <v>8</v>
      </c>
      <c r="HN296" s="27" t="s">
        <v>7</v>
      </c>
      <c r="HO296" s="27" t="s">
        <v>8</v>
      </c>
      <c r="HT296" s="27" t="s">
        <v>7</v>
      </c>
      <c r="HU296" s="27" t="s">
        <v>8</v>
      </c>
      <c r="HV296" s="27" t="s">
        <v>7</v>
      </c>
      <c r="HW296" s="27" t="s">
        <v>8</v>
      </c>
      <c r="HX296" s="27" t="s">
        <v>7</v>
      </c>
      <c r="HY296" s="27" t="s">
        <v>8</v>
      </c>
      <c r="JB296" s="27" t="s">
        <v>7</v>
      </c>
      <c r="JF296" s="27" t="s">
        <v>7</v>
      </c>
      <c r="JG296" s="27" t="s">
        <v>8</v>
      </c>
      <c r="JH296" s="27" t="s">
        <v>7</v>
      </c>
      <c r="JJ296" s="27" t="s">
        <v>7</v>
      </c>
    </row>
    <row r="297" spans="1:273" x14ac:dyDescent="0.25">
      <c r="A297" s="30">
        <v>6.197406067703403E-2</v>
      </c>
      <c r="B297"/>
      <c r="C297"/>
      <c r="D297"/>
      <c r="E297"/>
      <c r="F297" s="27" t="s">
        <v>7</v>
      </c>
      <c r="DW297" s="27" t="s">
        <v>8</v>
      </c>
      <c r="ET297" s="27" t="s">
        <v>7</v>
      </c>
      <c r="EU297" s="27" t="s">
        <v>8</v>
      </c>
      <c r="EV297" s="27" t="s">
        <v>7</v>
      </c>
      <c r="EW297" s="27" t="s">
        <v>8</v>
      </c>
      <c r="EX297" s="27" t="s">
        <v>7</v>
      </c>
      <c r="EY297" s="27" t="s">
        <v>8</v>
      </c>
      <c r="EZ297" s="27" t="s">
        <v>7</v>
      </c>
      <c r="FA297" s="27" t="s">
        <v>8</v>
      </c>
      <c r="FF297" s="27" t="s">
        <v>7</v>
      </c>
      <c r="FG297" s="27" t="s">
        <v>8</v>
      </c>
      <c r="FH297" s="27" t="s">
        <v>7</v>
      </c>
      <c r="FI297" s="27" t="s">
        <v>8</v>
      </c>
      <c r="FJ297" s="27" t="s">
        <v>7</v>
      </c>
      <c r="GK297" s="27" t="s">
        <v>8</v>
      </c>
      <c r="HH297" s="27" t="s">
        <v>7</v>
      </c>
      <c r="HI297" s="27" t="s">
        <v>8</v>
      </c>
      <c r="HJ297" s="27" t="s">
        <v>7</v>
      </c>
      <c r="HK297" s="27" t="s">
        <v>8</v>
      </c>
      <c r="HL297" s="27" t="s">
        <v>7</v>
      </c>
      <c r="HM297" s="27" t="s">
        <v>8</v>
      </c>
      <c r="HN297" s="27" t="s">
        <v>7</v>
      </c>
      <c r="HO297" s="27" t="s">
        <v>8</v>
      </c>
      <c r="HT297" s="27" t="s">
        <v>7</v>
      </c>
      <c r="HU297" s="27" t="s">
        <v>8</v>
      </c>
      <c r="HV297" s="27" t="s">
        <v>7</v>
      </c>
      <c r="HW297" s="27" t="s">
        <v>8</v>
      </c>
      <c r="HX297" s="27" t="s">
        <v>7</v>
      </c>
      <c r="HY297" s="27" t="s">
        <v>8</v>
      </c>
      <c r="JF297" s="27" t="s">
        <v>7</v>
      </c>
      <c r="JG297" s="27" t="s">
        <v>8</v>
      </c>
      <c r="JJ297" s="27" t="s">
        <v>7</v>
      </c>
      <c r="JK297" s="27" t="s">
        <v>8</v>
      </c>
    </row>
    <row r="298" spans="1:273" x14ac:dyDescent="0.25">
      <c r="A298" s="30">
        <v>5.9022914930508576E-2</v>
      </c>
      <c r="B298"/>
      <c r="C298"/>
      <c r="D298"/>
      <c r="E298"/>
      <c r="F298" s="27" t="s">
        <v>7</v>
      </c>
      <c r="DU298" s="27" t="s">
        <v>8</v>
      </c>
      <c r="DW298" s="27" t="s">
        <v>8</v>
      </c>
      <c r="ET298" s="27" t="s">
        <v>7</v>
      </c>
      <c r="EU298" s="27" t="s">
        <v>8</v>
      </c>
      <c r="EV298" s="27" t="s">
        <v>7</v>
      </c>
      <c r="EW298" s="27" t="s">
        <v>8</v>
      </c>
      <c r="EX298" s="27" t="s">
        <v>7</v>
      </c>
      <c r="EY298" s="27" t="s">
        <v>8</v>
      </c>
      <c r="EZ298" s="27" t="s">
        <v>7</v>
      </c>
      <c r="FF298" s="27" t="s">
        <v>7</v>
      </c>
      <c r="FG298" s="27" t="s">
        <v>8</v>
      </c>
      <c r="FH298" s="27" t="s">
        <v>7</v>
      </c>
      <c r="FJ298" s="27" t="s">
        <v>7</v>
      </c>
      <c r="GI298" s="27" t="s">
        <v>8</v>
      </c>
      <c r="GK298" s="27" t="s">
        <v>8</v>
      </c>
      <c r="HH298" s="27" t="s">
        <v>7</v>
      </c>
      <c r="HI298" s="27" t="s">
        <v>8</v>
      </c>
      <c r="HJ298" s="27" t="s">
        <v>7</v>
      </c>
      <c r="HK298" s="27" t="s">
        <v>8</v>
      </c>
      <c r="HL298" s="27" t="s">
        <v>7</v>
      </c>
      <c r="HM298" s="27" t="s">
        <v>8</v>
      </c>
      <c r="HN298" s="27" t="s">
        <v>7</v>
      </c>
      <c r="HT298" s="27" t="s">
        <v>7</v>
      </c>
      <c r="HU298" s="27" t="s">
        <v>8</v>
      </c>
      <c r="HV298" s="27" t="s">
        <v>7</v>
      </c>
      <c r="HX298" s="18" t="s">
        <v>7</v>
      </c>
      <c r="HY298" s="27" t="s">
        <v>8</v>
      </c>
      <c r="JF298" s="27" t="s">
        <v>7</v>
      </c>
      <c r="JJ298" s="27" t="s">
        <v>7</v>
      </c>
      <c r="JK298" s="27" t="s">
        <v>8</v>
      </c>
      <c r="JL298" s="27" t="s">
        <v>7</v>
      </c>
    </row>
    <row r="299" spans="1:273" x14ac:dyDescent="0.25">
      <c r="A299" s="30">
        <v>5.6212299933817669E-2</v>
      </c>
      <c r="B299"/>
      <c r="C299"/>
      <c r="D299"/>
      <c r="E299"/>
      <c r="F299" s="27" t="s">
        <v>7</v>
      </c>
      <c r="DU299" s="27" t="s">
        <v>8</v>
      </c>
      <c r="DV299" s="27" t="s">
        <v>7</v>
      </c>
      <c r="DW299" s="27" t="s">
        <v>8</v>
      </c>
      <c r="ET299" s="27" t="s">
        <v>7</v>
      </c>
      <c r="EU299" s="27" t="s">
        <v>8</v>
      </c>
      <c r="EV299" s="27" t="s">
        <v>7</v>
      </c>
      <c r="EW299" s="27" t="s">
        <v>8</v>
      </c>
      <c r="EX299" s="27" t="s">
        <v>7</v>
      </c>
      <c r="FF299" s="27" t="s">
        <v>7</v>
      </c>
      <c r="FG299" s="27" t="s">
        <v>8</v>
      </c>
      <c r="FJ299" s="27" t="s">
        <v>7</v>
      </c>
      <c r="GI299" s="27" t="s">
        <v>8</v>
      </c>
      <c r="GJ299" s="27" t="s">
        <v>7</v>
      </c>
      <c r="GK299" s="27" t="s">
        <v>8</v>
      </c>
      <c r="HH299" s="27" t="s">
        <v>7</v>
      </c>
      <c r="HI299" s="27" t="s">
        <v>8</v>
      </c>
      <c r="HJ299" s="27" t="s">
        <v>7</v>
      </c>
      <c r="HK299" s="27" t="s">
        <v>8</v>
      </c>
      <c r="HL299" s="27" t="s">
        <v>7</v>
      </c>
      <c r="HT299" s="27" t="s">
        <v>7</v>
      </c>
      <c r="HU299" s="27" t="s">
        <v>8</v>
      </c>
      <c r="HX299" s="27" t="s">
        <v>7</v>
      </c>
      <c r="JJ299" s="27" t="s">
        <v>7</v>
      </c>
      <c r="JK299" s="27" t="s">
        <v>8</v>
      </c>
      <c r="JL299" s="27" t="s">
        <v>7</v>
      </c>
    </row>
    <row r="300" spans="1:273" x14ac:dyDescent="0.25">
      <c r="A300" s="30">
        <v>5.3535523746492994E-2</v>
      </c>
      <c r="B300"/>
      <c r="C300"/>
      <c r="D300"/>
      <c r="E300"/>
      <c r="F300" s="27" t="s">
        <v>7</v>
      </c>
      <c r="DO300" s="27" t="s">
        <v>8</v>
      </c>
      <c r="DU300" s="27" t="s">
        <v>8</v>
      </c>
      <c r="DV300" s="27" t="s">
        <v>7</v>
      </c>
      <c r="DW300" s="27" t="s">
        <v>8</v>
      </c>
      <c r="ET300" s="27" t="s">
        <v>7</v>
      </c>
      <c r="EU300" s="27" t="s">
        <v>8</v>
      </c>
      <c r="EV300" s="27" t="s">
        <v>7</v>
      </c>
      <c r="EW300" s="27" t="s">
        <v>8</v>
      </c>
      <c r="FF300" s="27" t="s">
        <v>7</v>
      </c>
      <c r="FG300" s="27" t="s">
        <v>8</v>
      </c>
      <c r="FJ300" s="27" t="s">
        <v>7</v>
      </c>
      <c r="GC300" s="27" t="s">
        <v>8</v>
      </c>
      <c r="GI300" s="27" t="s">
        <v>8</v>
      </c>
      <c r="GJ300" s="27" t="s">
        <v>7</v>
      </c>
      <c r="GK300" s="27" t="s">
        <v>8</v>
      </c>
      <c r="HH300" s="27" t="s">
        <v>7</v>
      </c>
      <c r="HI300" s="27" t="s">
        <v>8</v>
      </c>
      <c r="HJ300" s="27" t="s">
        <v>7</v>
      </c>
      <c r="HK300" s="27" t="s">
        <v>8</v>
      </c>
      <c r="HT300" s="27" t="s">
        <v>7</v>
      </c>
      <c r="HU300" s="27" t="s">
        <v>8</v>
      </c>
      <c r="JJ300" s="27" t="s">
        <v>7</v>
      </c>
      <c r="JK300" s="27" t="s">
        <v>8</v>
      </c>
      <c r="JL300" s="27" t="s">
        <v>7</v>
      </c>
    </row>
    <row r="301" spans="1:273" x14ac:dyDescent="0.25">
      <c r="A301" s="30">
        <v>5.0986213091898068E-2</v>
      </c>
      <c r="B301"/>
      <c r="C301"/>
      <c r="D301"/>
      <c r="E301"/>
      <c r="F301" s="27" t="s">
        <v>7</v>
      </c>
      <c r="DM301" s="27" t="s">
        <v>8</v>
      </c>
      <c r="DO301" s="27" t="s">
        <v>8</v>
      </c>
      <c r="DP301" s="27" t="s">
        <v>7</v>
      </c>
      <c r="DU301" s="27" t="s">
        <v>8</v>
      </c>
      <c r="DV301" s="27" t="s">
        <v>7</v>
      </c>
      <c r="DW301" s="27" t="s">
        <v>8</v>
      </c>
      <c r="ET301" s="27" t="s">
        <v>7</v>
      </c>
      <c r="EU301" s="27" t="s">
        <v>8</v>
      </c>
      <c r="EV301" s="27" t="s">
        <v>7</v>
      </c>
      <c r="EW301" s="27" t="s">
        <v>8</v>
      </c>
      <c r="FF301" s="27" t="s">
        <v>7</v>
      </c>
      <c r="FJ301" s="27" t="s">
        <v>7</v>
      </c>
      <c r="GA301" s="27" t="s">
        <v>8</v>
      </c>
      <c r="GC301" s="27" t="s">
        <v>8</v>
      </c>
      <c r="GD301" s="27" t="s">
        <v>7</v>
      </c>
      <c r="GI301" s="27" t="s">
        <v>8</v>
      </c>
      <c r="GJ301" s="27" t="s">
        <v>7</v>
      </c>
      <c r="GK301" s="27" t="s">
        <v>8</v>
      </c>
      <c r="HH301" s="27" t="s">
        <v>7</v>
      </c>
      <c r="HI301" s="27" t="s">
        <v>8</v>
      </c>
      <c r="HJ301" s="27" t="s">
        <v>7</v>
      </c>
      <c r="HK301" s="27" t="s">
        <v>8</v>
      </c>
      <c r="HT301" s="27" t="s">
        <v>7</v>
      </c>
      <c r="JJ301" s="27" t="s">
        <v>7</v>
      </c>
      <c r="JL301" s="27" t="s">
        <v>7</v>
      </c>
    </row>
    <row r="302" spans="1:273" x14ac:dyDescent="0.25">
      <c r="A302" s="30">
        <v>4.8558298182760043E-2</v>
      </c>
      <c r="B302"/>
      <c r="C302"/>
      <c r="D302"/>
      <c r="E302"/>
      <c r="F302" s="27" t="s">
        <v>7</v>
      </c>
      <c r="DM302" s="27" t="s">
        <v>8</v>
      </c>
      <c r="DN302" s="27" t="s">
        <v>7</v>
      </c>
      <c r="DO302" s="27" t="s">
        <v>8</v>
      </c>
      <c r="DP302" s="27" t="s">
        <v>7</v>
      </c>
      <c r="DU302" s="27" t="s">
        <v>8</v>
      </c>
      <c r="DV302" s="27" t="s">
        <v>7</v>
      </c>
      <c r="ET302" s="27" t="s">
        <v>7</v>
      </c>
      <c r="EU302" s="27" t="s">
        <v>8</v>
      </c>
      <c r="EV302" s="27" t="s">
        <v>7</v>
      </c>
      <c r="EW302" s="27" t="s">
        <v>8</v>
      </c>
      <c r="FJ302" s="27" t="s">
        <v>7</v>
      </c>
      <c r="GA302" s="27" t="s">
        <v>8</v>
      </c>
      <c r="GB302" s="27" t="s">
        <v>7</v>
      </c>
      <c r="GC302" s="27" t="s">
        <v>8</v>
      </c>
      <c r="GD302" s="27" t="s">
        <v>7</v>
      </c>
      <c r="GI302" s="27" t="s">
        <v>8</v>
      </c>
      <c r="GJ302" s="27" t="s">
        <v>7</v>
      </c>
      <c r="HH302" s="27" t="s">
        <v>7</v>
      </c>
      <c r="HI302" s="27" t="s">
        <v>8</v>
      </c>
      <c r="HJ302" s="27" t="s">
        <v>7</v>
      </c>
      <c r="HK302" s="27" t="s">
        <v>8</v>
      </c>
      <c r="JL302" s="27" t="s">
        <v>7</v>
      </c>
    </row>
    <row r="303" spans="1:273" x14ac:dyDescent="0.25">
      <c r="A303" s="30">
        <v>4.6245998269295263E-2</v>
      </c>
      <c r="B303"/>
      <c r="C303"/>
      <c r="D303"/>
      <c r="E303"/>
      <c r="F303" s="27" t="s">
        <v>7</v>
      </c>
      <c r="DM303" s="27" t="s">
        <v>8</v>
      </c>
      <c r="DN303" s="27" t="s">
        <v>7</v>
      </c>
      <c r="DO303" s="27" t="s">
        <v>8</v>
      </c>
      <c r="DP303" s="27" t="s">
        <v>7</v>
      </c>
      <c r="DU303" s="27" t="s">
        <v>8</v>
      </c>
      <c r="ET303" s="27" t="s">
        <v>7</v>
      </c>
      <c r="EU303" s="27" t="s">
        <v>8</v>
      </c>
      <c r="EV303" s="27" t="s">
        <v>7</v>
      </c>
      <c r="EW303" s="27" t="s">
        <v>8</v>
      </c>
      <c r="FJ303" s="27" t="s">
        <v>7</v>
      </c>
      <c r="GA303" s="27" t="s">
        <v>8</v>
      </c>
      <c r="GB303" s="27" t="s">
        <v>7</v>
      </c>
      <c r="GC303" s="27" t="s">
        <v>8</v>
      </c>
      <c r="GD303" s="27" t="s">
        <v>7</v>
      </c>
      <c r="GI303" s="27" t="s">
        <v>8</v>
      </c>
      <c r="HH303" s="27" t="s">
        <v>7</v>
      </c>
      <c r="HI303" s="27" t="s">
        <v>8</v>
      </c>
      <c r="HJ303" s="27" t="s">
        <v>7</v>
      </c>
      <c r="HK303" s="27" t="s">
        <v>8</v>
      </c>
      <c r="JL303" s="27" t="s">
        <v>7</v>
      </c>
      <c r="JM303" s="27" t="s">
        <v>8</v>
      </c>
    </row>
    <row r="304" spans="1:273" x14ac:dyDescent="0.25">
      <c r="A304" s="30">
        <v>4.4043807875519279E-2</v>
      </c>
      <c r="B304"/>
      <c r="C304"/>
      <c r="D304"/>
      <c r="E304"/>
      <c r="F304" s="27" t="s">
        <v>7</v>
      </c>
      <c r="DM304" s="27" t="s">
        <v>8</v>
      </c>
      <c r="DN304" s="27" t="s">
        <v>7</v>
      </c>
      <c r="DO304" s="27" t="s">
        <v>8</v>
      </c>
      <c r="DP304" s="27" t="s">
        <v>7</v>
      </c>
      <c r="DU304" s="27" t="s">
        <v>8</v>
      </c>
      <c r="ET304" s="27" t="s">
        <v>7</v>
      </c>
      <c r="EV304" s="27" t="s">
        <v>7</v>
      </c>
      <c r="EW304" s="27" t="s">
        <v>8</v>
      </c>
      <c r="FJ304" s="27" t="s">
        <v>7</v>
      </c>
      <c r="GA304" s="27" t="s">
        <v>8</v>
      </c>
      <c r="GB304" s="27" t="s">
        <v>7</v>
      </c>
      <c r="GC304" s="27" t="s">
        <v>8</v>
      </c>
      <c r="GD304" s="27" t="s">
        <v>7</v>
      </c>
      <c r="GI304" s="27" t="s">
        <v>8</v>
      </c>
      <c r="HH304" s="27" t="s">
        <v>7</v>
      </c>
      <c r="HJ304" s="27" t="s">
        <v>7</v>
      </c>
      <c r="HK304" s="27" t="s">
        <v>8</v>
      </c>
      <c r="JL304" s="27" t="s">
        <v>7</v>
      </c>
      <c r="JM304" s="27" t="s">
        <v>8</v>
      </c>
    </row>
    <row r="305" spans="1:273" x14ac:dyDescent="0.25">
      <c r="A305" s="30">
        <v>4.1946483690970725E-2</v>
      </c>
      <c r="B305"/>
      <c r="C305"/>
      <c r="D305"/>
      <c r="E305"/>
      <c r="F305" s="27" t="s">
        <v>7</v>
      </c>
      <c r="DM305" s="27" t="s">
        <v>8</v>
      </c>
      <c r="DN305" s="27" t="s">
        <v>7</v>
      </c>
      <c r="DO305" s="27" t="s">
        <v>8</v>
      </c>
      <c r="DP305" s="27" t="s">
        <v>7</v>
      </c>
      <c r="DU305" s="27" t="s">
        <v>8</v>
      </c>
      <c r="EV305" s="27" t="s">
        <v>7</v>
      </c>
      <c r="EW305" s="27" t="s">
        <v>8</v>
      </c>
      <c r="FJ305" s="27" t="s">
        <v>7</v>
      </c>
      <c r="GA305" s="27" t="s">
        <v>8</v>
      </c>
      <c r="GB305" s="27" t="s">
        <v>7</v>
      </c>
      <c r="GC305" s="27" t="s">
        <v>8</v>
      </c>
      <c r="GD305" s="27" t="s">
        <v>7</v>
      </c>
      <c r="GI305" s="27" t="s">
        <v>8</v>
      </c>
      <c r="HJ305" s="27" t="s">
        <v>7</v>
      </c>
      <c r="HK305" s="27" t="s">
        <v>8</v>
      </c>
      <c r="JL305" s="27" t="s">
        <v>7</v>
      </c>
      <c r="JM305" s="27" t="s">
        <v>8</v>
      </c>
    </row>
    <row r="306" spans="1:273" x14ac:dyDescent="0.25">
      <c r="A306" s="30">
        <v>3.9949032086638768E-2</v>
      </c>
      <c r="B306"/>
      <c r="C306"/>
      <c r="D306"/>
      <c r="E306"/>
      <c r="F306" s="27" t="s">
        <v>7</v>
      </c>
      <c r="DM306" s="27" t="s">
        <v>8</v>
      </c>
      <c r="DN306" s="27" t="s">
        <v>7</v>
      </c>
      <c r="DO306" s="27" t="s">
        <v>8</v>
      </c>
      <c r="DP306" s="27" t="s">
        <v>7</v>
      </c>
      <c r="DQ306" s="27" t="s">
        <v>8</v>
      </c>
      <c r="DU306" s="27" t="s">
        <v>8</v>
      </c>
      <c r="EV306" s="27" t="s">
        <v>7</v>
      </c>
      <c r="EW306" s="27" t="s">
        <v>8</v>
      </c>
      <c r="FJ306" s="27" t="s">
        <v>7</v>
      </c>
      <c r="GA306" s="27" t="s">
        <v>8</v>
      </c>
      <c r="GB306" s="27" t="s">
        <v>7</v>
      </c>
      <c r="GC306" s="27" t="s">
        <v>8</v>
      </c>
      <c r="GD306" s="27" t="s">
        <v>7</v>
      </c>
      <c r="GE306" s="27" t="s">
        <v>8</v>
      </c>
      <c r="GI306" s="27" t="s">
        <v>8</v>
      </c>
      <c r="HJ306" s="27" t="s">
        <v>7</v>
      </c>
      <c r="HK306" s="27" t="s">
        <v>8</v>
      </c>
      <c r="JL306" s="27" t="s">
        <v>7</v>
      </c>
      <c r="JM306" s="27" t="s">
        <v>8</v>
      </c>
    </row>
    <row r="307" spans="1:273" x14ac:dyDescent="0.25">
      <c r="A307" s="30">
        <v>3.8046697225370241E-2</v>
      </c>
      <c r="B307"/>
      <c r="C307"/>
      <c r="D307"/>
      <c r="E307"/>
      <c r="F307" s="27" t="s">
        <v>7</v>
      </c>
      <c r="DM307" s="27" t="s">
        <v>8</v>
      </c>
      <c r="DN307" s="27" t="s">
        <v>7</v>
      </c>
      <c r="DP307" s="27" t="s">
        <v>7</v>
      </c>
      <c r="DQ307" s="27" t="s">
        <v>8</v>
      </c>
      <c r="DR307" s="27" t="s">
        <v>7</v>
      </c>
      <c r="DS307" s="27" t="s">
        <v>8</v>
      </c>
      <c r="DU307" s="27" t="s">
        <v>8</v>
      </c>
      <c r="EV307" s="27" t="s">
        <v>7</v>
      </c>
      <c r="EW307" s="27" t="s">
        <v>8</v>
      </c>
      <c r="FJ307" s="27" t="s">
        <v>7</v>
      </c>
      <c r="GA307" s="27" t="s">
        <v>8</v>
      </c>
      <c r="GB307" s="27" t="s">
        <v>7</v>
      </c>
      <c r="GD307" s="27" t="s">
        <v>7</v>
      </c>
      <c r="GE307" s="27" t="s">
        <v>8</v>
      </c>
      <c r="GF307" s="27" t="s">
        <v>7</v>
      </c>
      <c r="GG307" s="27" t="s">
        <v>8</v>
      </c>
      <c r="GI307" s="27" t="s">
        <v>8</v>
      </c>
      <c r="HJ307" s="27" t="s">
        <v>7</v>
      </c>
      <c r="HK307" s="27" t="s">
        <v>8</v>
      </c>
      <c r="JL307" s="27" t="s">
        <v>7</v>
      </c>
      <c r="JM307" s="27" t="s">
        <v>8</v>
      </c>
    </row>
    <row r="308" spans="1:273" x14ac:dyDescent="0.25">
      <c r="A308" s="30">
        <v>3.6234949738447833E-2</v>
      </c>
      <c r="B308"/>
      <c r="C308"/>
      <c r="D308"/>
      <c r="E308"/>
      <c r="F308" s="27" t="s">
        <v>7</v>
      </c>
      <c r="DM308" s="27" t="s">
        <v>8</v>
      </c>
      <c r="DP308" s="27" t="s">
        <v>7</v>
      </c>
      <c r="DQ308" s="27" t="s">
        <v>8</v>
      </c>
      <c r="DR308" s="27" t="s">
        <v>7</v>
      </c>
      <c r="DS308" s="27" t="s">
        <v>8</v>
      </c>
      <c r="DT308" s="27" t="s">
        <v>7</v>
      </c>
      <c r="DU308" s="27" t="s">
        <v>8</v>
      </c>
      <c r="EV308" s="27" t="s">
        <v>7</v>
      </c>
      <c r="EW308" s="27" t="s">
        <v>8</v>
      </c>
      <c r="FJ308" s="27" t="s">
        <v>7</v>
      </c>
      <c r="GA308" s="27" t="s">
        <v>8</v>
      </c>
      <c r="GD308" s="27" t="s">
        <v>7</v>
      </c>
      <c r="GE308" s="27" t="s">
        <v>8</v>
      </c>
      <c r="GF308" s="27" t="s">
        <v>7</v>
      </c>
      <c r="GG308" s="27" t="s">
        <v>8</v>
      </c>
      <c r="GH308" s="27" t="s">
        <v>7</v>
      </c>
      <c r="GI308" s="27" t="s">
        <v>8</v>
      </c>
      <c r="HJ308" s="27" t="s">
        <v>7</v>
      </c>
      <c r="HK308" s="27" t="s">
        <v>8</v>
      </c>
      <c r="JL308" s="27" t="s">
        <v>7</v>
      </c>
    </row>
    <row r="309" spans="1:273" x14ac:dyDescent="0.25">
      <c r="A309" s="30">
        <v>3.4509475941378875E-2</v>
      </c>
      <c r="B309"/>
      <c r="C309"/>
      <c r="D309"/>
      <c r="E309"/>
      <c r="F309" s="27" t="s">
        <v>7</v>
      </c>
      <c r="BS309" s="27" t="s">
        <v>8</v>
      </c>
      <c r="DK309" s="27" t="s">
        <v>8</v>
      </c>
      <c r="DM309" s="27" t="s">
        <v>8</v>
      </c>
      <c r="DP309" s="27" t="s">
        <v>7</v>
      </c>
      <c r="DQ309" s="27" t="s">
        <v>8</v>
      </c>
      <c r="DR309" s="27" t="s">
        <v>7</v>
      </c>
      <c r="DS309" s="27" t="s">
        <v>8</v>
      </c>
      <c r="DT309" s="27" t="s">
        <v>7</v>
      </c>
      <c r="DU309" s="27" t="s">
        <v>8</v>
      </c>
      <c r="EV309" s="27" t="s">
        <v>7</v>
      </c>
      <c r="EW309" s="27" t="s">
        <v>8</v>
      </c>
      <c r="FJ309" s="27" t="s">
        <v>7</v>
      </c>
      <c r="FY309" s="27" t="s">
        <v>8</v>
      </c>
      <c r="GA309" s="27" t="s">
        <v>8</v>
      </c>
      <c r="GD309" s="27" t="s">
        <v>7</v>
      </c>
      <c r="GE309" s="27" t="s">
        <v>8</v>
      </c>
      <c r="GF309" s="27" t="s">
        <v>7</v>
      </c>
      <c r="GG309" s="27" t="s">
        <v>8</v>
      </c>
      <c r="GH309" s="27" t="s">
        <v>7</v>
      </c>
      <c r="GI309" s="27" t="s">
        <v>8</v>
      </c>
      <c r="HJ309" s="27" t="s">
        <v>7</v>
      </c>
      <c r="HK309" s="27" t="s">
        <v>8</v>
      </c>
    </row>
    <row r="310" spans="1:273" x14ac:dyDescent="0.25">
      <c r="A310" s="30">
        <v>3.286616756321796E-2</v>
      </c>
      <c r="B310"/>
      <c r="C310"/>
      <c r="D310"/>
      <c r="E310"/>
      <c r="F310" s="27" t="s">
        <v>7</v>
      </c>
      <c r="BS310" s="27" t="s">
        <v>8</v>
      </c>
      <c r="BT310" s="27" t="s">
        <v>7</v>
      </c>
      <c r="DG310" s="27" t="s">
        <v>8</v>
      </c>
      <c r="DK310" s="27" t="s">
        <v>8</v>
      </c>
      <c r="DL310" s="27" t="s">
        <v>7</v>
      </c>
      <c r="DM310" s="27" t="s">
        <v>8</v>
      </c>
      <c r="DP310" s="27" t="s">
        <v>7</v>
      </c>
      <c r="DQ310" s="27" t="s">
        <v>8</v>
      </c>
      <c r="DR310" s="27" t="s">
        <v>7</v>
      </c>
      <c r="DT310" s="27" t="s">
        <v>7</v>
      </c>
      <c r="DU310" s="27" t="s">
        <v>8</v>
      </c>
      <c r="EV310" s="27" t="s">
        <v>7</v>
      </c>
      <c r="EW310" s="27" t="s">
        <v>8</v>
      </c>
      <c r="FJ310" s="27" t="s">
        <v>7</v>
      </c>
      <c r="FU310" s="27" t="s">
        <v>8</v>
      </c>
      <c r="FY310" s="27" t="s">
        <v>8</v>
      </c>
      <c r="FZ310" s="27" t="s">
        <v>7</v>
      </c>
      <c r="GA310" s="27" t="s">
        <v>8</v>
      </c>
      <c r="GD310" s="27" t="s">
        <v>7</v>
      </c>
      <c r="GE310" s="27" t="s">
        <v>8</v>
      </c>
      <c r="GF310" s="27" t="s">
        <v>7</v>
      </c>
      <c r="GH310" s="27" t="s">
        <v>7</v>
      </c>
      <c r="GI310" s="27" t="s">
        <v>8</v>
      </c>
      <c r="HJ310" s="27" t="s">
        <v>7</v>
      </c>
      <c r="HK310" s="27" t="s">
        <v>8</v>
      </c>
    </row>
    <row r="311" spans="1:273" x14ac:dyDescent="0.25">
      <c r="A311" s="30">
        <v>3.1301111964969472E-2</v>
      </c>
      <c r="B311"/>
      <c r="C311"/>
      <c r="D311"/>
      <c r="E311"/>
      <c r="F311" s="27" t="s">
        <v>7</v>
      </c>
      <c r="BS311" s="27" t="s">
        <v>8</v>
      </c>
      <c r="BT311" s="27" t="s">
        <v>7</v>
      </c>
      <c r="BU311" s="27" t="s">
        <v>8</v>
      </c>
      <c r="DG311" s="27" t="s">
        <v>8</v>
      </c>
      <c r="DH311" s="27" t="s">
        <v>7</v>
      </c>
      <c r="DK311" s="27" t="s">
        <v>8</v>
      </c>
      <c r="DL311" s="27" t="s">
        <v>7</v>
      </c>
      <c r="DM311" s="27" t="s">
        <v>8</v>
      </c>
      <c r="DP311" s="27" t="s">
        <v>7</v>
      </c>
      <c r="DT311" s="27" t="s">
        <v>7</v>
      </c>
      <c r="EV311" s="27" t="s">
        <v>7</v>
      </c>
      <c r="FJ311" s="27" t="s">
        <v>7</v>
      </c>
      <c r="FU311" s="27" t="s">
        <v>8</v>
      </c>
      <c r="FV311" s="27" t="s">
        <v>7</v>
      </c>
      <c r="FY311" s="27" t="s">
        <v>8</v>
      </c>
      <c r="FZ311" s="27" t="s">
        <v>7</v>
      </c>
      <c r="GA311" s="27" t="s">
        <v>8</v>
      </c>
      <c r="GD311" s="27" t="s">
        <v>7</v>
      </c>
      <c r="GH311" s="27" t="s">
        <v>7</v>
      </c>
      <c r="HJ311" s="27" t="s">
        <v>7</v>
      </c>
    </row>
    <row r="312" spans="1:273" x14ac:dyDescent="0.25">
      <c r="A312" s="30">
        <v>2.9810582823780438E-2</v>
      </c>
      <c r="B312"/>
      <c r="C312"/>
      <c r="D312"/>
      <c r="E312"/>
      <c r="F312" s="27" t="s">
        <v>7</v>
      </c>
      <c r="BQ312" s="27" t="s">
        <v>8</v>
      </c>
      <c r="BS312" s="27" t="s">
        <v>8</v>
      </c>
      <c r="BT312" s="27" t="s">
        <v>7</v>
      </c>
      <c r="BU312" s="27" t="s">
        <v>8</v>
      </c>
      <c r="BV312" s="27" t="s">
        <v>7</v>
      </c>
      <c r="DG312" s="27" t="s">
        <v>8</v>
      </c>
      <c r="DH312" s="27" t="s">
        <v>7</v>
      </c>
      <c r="DK312" s="27" t="s">
        <v>8</v>
      </c>
      <c r="DL312" s="27" t="s">
        <v>7</v>
      </c>
      <c r="DM312" s="27" t="s">
        <v>8</v>
      </c>
      <c r="FJ312" s="27" t="s">
        <v>7</v>
      </c>
      <c r="FU312" s="27" t="s">
        <v>8</v>
      </c>
      <c r="FV312" s="27" t="s">
        <v>7</v>
      </c>
      <c r="FY312" s="27" t="s">
        <v>8</v>
      </c>
      <c r="FZ312" s="27" t="s">
        <v>7</v>
      </c>
      <c r="GA312" s="27" t="s">
        <v>8</v>
      </c>
    </row>
    <row r="313" spans="1:273" x14ac:dyDescent="0.25">
      <c r="A313" s="30">
        <v>2.8391031260743264E-2</v>
      </c>
      <c r="B313"/>
      <c r="C313"/>
      <c r="D313"/>
      <c r="E313"/>
      <c r="F313" s="27" t="s">
        <v>7</v>
      </c>
      <c r="BQ313" s="27" t="s">
        <v>8</v>
      </c>
      <c r="BR313" s="27" t="s">
        <v>7</v>
      </c>
      <c r="BS313" s="27" t="s">
        <v>8</v>
      </c>
      <c r="BT313" s="27" t="s">
        <v>7</v>
      </c>
      <c r="BU313" s="27" t="s">
        <v>8</v>
      </c>
      <c r="BV313" s="27" t="s">
        <v>7</v>
      </c>
      <c r="DG313" s="27" t="s">
        <v>8</v>
      </c>
      <c r="DH313" s="27" t="s">
        <v>7</v>
      </c>
      <c r="DK313" s="27" t="s">
        <v>8</v>
      </c>
      <c r="DL313" s="27" t="s">
        <v>7</v>
      </c>
      <c r="FJ313" s="27" t="s">
        <v>7</v>
      </c>
      <c r="FU313" s="27" t="s">
        <v>8</v>
      </c>
      <c r="FV313" s="27" t="s">
        <v>7</v>
      </c>
      <c r="FY313" s="27" t="s">
        <v>8</v>
      </c>
      <c r="FZ313" s="27" t="s">
        <v>7</v>
      </c>
    </row>
    <row r="314" spans="1:273" x14ac:dyDescent="0.25">
      <c r="A314" s="30">
        <v>2.7039077391184052E-2</v>
      </c>
      <c r="B314"/>
      <c r="C314"/>
      <c r="D314"/>
      <c r="E314"/>
      <c r="F314" s="27" t="s">
        <v>7</v>
      </c>
      <c r="BO314" s="27" t="s">
        <v>8</v>
      </c>
      <c r="BQ314" s="27" t="s">
        <v>8</v>
      </c>
      <c r="BR314" s="27" t="s">
        <v>7</v>
      </c>
      <c r="BS314" s="27" t="s">
        <v>8</v>
      </c>
      <c r="BT314" s="27" t="s">
        <v>7</v>
      </c>
      <c r="BV314" s="27" t="s">
        <v>7</v>
      </c>
      <c r="DE314" s="27" t="s">
        <v>8</v>
      </c>
      <c r="DG314" s="27" t="s">
        <v>8</v>
      </c>
      <c r="DH314" s="27" t="s">
        <v>7</v>
      </c>
      <c r="DI314" s="27" t="s">
        <v>8</v>
      </c>
      <c r="DK314" s="27" t="s">
        <v>8</v>
      </c>
      <c r="FJ314" s="27" t="s">
        <v>7</v>
      </c>
      <c r="FS314" s="27" t="s">
        <v>8</v>
      </c>
      <c r="FU314" s="27" t="s">
        <v>8</v>
      </c>
      <c r="FV314" s="27" t="s">
        <v>7</v>
      </c>
      <c r="FW314" s="27" t="s">
        <v>8</v>
      </c>
      <c r="FY314" s="27" t="s">
        <v>8</v>
      </c>
    </row>
    <row r="315" spans="1:273" x14ac:dyDescent="0.25">
      <c r="A315" s="30">
        <v>2.5751502277318133E-2</v>
      </c>
      <c r="B315"/>
      <c r="C315"/>
      <c r="D315"/>
      <c r="E315"/>
      <c r="F315" s="27" t="s">
        <v>7</v>
      </c>
      <c r="K315" s="27" t="s">
        <v>8</v>
      </c>
      <c r="BO315" s="27" t="s">
        <v>8</v>
      </c>
      <c r="BP315" s="27" t="s">
        <v>7</v>
      </c>
      <c r="BQ315" s="27" t="s">
        <v>8</v>
      </c>
      <c r="BR315" s="27" t="s">
        <v>7</v>
      </c>
      <c r="BS315" s="27" t="s">
        <v>8</v>
      </c>
      <c r="BV315" s="27" t="s">
        <v>7</v>
      </c>
      <c r="DE315" s="27" t="s">
        <v>8</v>
      </c>
      <c r="DF315" s="27" t="s">
        <v>7</v>
      </c>
      <c r="DG315" s="27" t="s">
        <v>8</v>
      </c>
      <c r="DH315" s="27" t="s">
        <v>7</v>
      </c>
      <c r="DI315" s="27" t="s">
        <v>8</v>
      </c>
      <c r="DJ315" s="27" t="s">
        <v>7</v>
      </c>
      <c r="DK315" s="27" t="s">
        <v>8</v>
      </c>
      <c r="FJ315" s="27" t="s">
        <v>7</v>
      </c>
      <c r="FS315" s="27" t="s">
        <v>8</v>
      </c>
      <c r="FT315" s="27" t="s">
        <v>7</v>
      </c>
      <c r="FU315" s="27" t="s">
        <v>8</v>
      </c>
      <c r="FV315" s="27" t="s">
        <v>7</v>
      </c>
      <c r="FW315" s="27" t="s">
        <v>8</v>
      </c>
      <c r="FX315" s="27" t="s">
        <v>7</v>
      </c>
      <c r="FY315" s="27" t="s">
        <v>8</v>
      </c>
    </row>
    <row r="316" spans="1:273" x14ac:dyDescent="0.25">
      <c r="A316" s="30">
        <v>2.4525240264112496E-2</v>
      </c>
      <c r="B316"/>
      <c r="C316"/>
      <c r="D316"/>
      <c r="E316"/>
      <c r="F316" s="27" t="s">
        <v>7</v>
      </c>
      <c r="K316" s="27" t="s">
        <v>8</v>
      </c>
      <c r="L316" s="27" t="s">
        <v>7</v>
      </c>
      <c r="BO316" s="27" t="s">
        <v>8</v>
      </c>
      <c r="BP316" s="27" t="s">
        <v>7</v>
      </c>
      <c r="BQ316" s="27" t="s">
        <v>8</v>
      </c>
      <c r="BR316" s="27" t="s">
        <v>7</v>
      </c>
      <c r="BS316" s="27" t="s">
        <v>8</v>
      </c>
      <c r="BV316" s="27" t="s">
        <v>7</v>
      </c>
      <c r="DC316" s="27" t="s">
        <v>8</v>
      </c>
      <c r="DE316" s="27" t="s">
        <v>8</v>
      </c>
      <c r="DF316" s="27" t="s">
        <v>7</v>
      </c>
      <c r="DG316" s="27" t="s">
        <v>8</v>
      </c>
      <c r="DH316" s="27" t="s">
        <v>7</v>
      </c>
      <c r="DI316" s="27" t="s">
        <v>8</v>
      </c>
      <c r="DJ316" s="27" t="s">
        <v>7</v>
      </c>
      <c r="DK316" s="27" t="s">
        <v>8</v>
      </c>
      <c r="FJ316" s="27" t="s">
        <v>7</v>
      </c>
      <c r="FQ316" s="27" t="s">
        <v>8</v>
      </c>
      <c r="FS316" s="27" t="s">
        <v>8</v>
      </c>
      <c r="FT316" s="27" t="s">
        <v>7</v>
      </c>
      <c r="FU316" s="27" t="s">
        <v>8</v>
      </c>
      <c r="FV316" s="27" t="s">
        <v>7</v>
      </c>
      <c r="FW316" s="27" t="s">
        <v>8</v>
      </c>
      <c r="FX316" s="27" t="s">
        <v>7</v>
      </c>
      <c r="FY316" s="27" t="s">
        <v>8</v>
      </c>
    </row>
    <row r="317" spans="1:273" x14ac:dyDescent="0.25">
      <c r="A317" s="30">
        <v>2.3357371680107129E-2</v>
      </c>
      <c r="B317"/>
      <c r="C317"/>
      <c r="D317"/>
      <c r="E317"/>
      <c r="F317" s="27" t="s">
        <v>7</v>
      </c>
      <c r="K317" s="27" t="s">
        <v>8</v>
      </c>
      <c r="L317" s="27" t="s">
        <v>7</v>
      </c>
      <c r="BO317" s="27" t="s">
        <v>8</v>
      </c>
      <c r="BP317" s="27" t="s">
        <v>7</v>
      </c>
      <c r="BQ317" s="27" t="s">
        <v>8</v>
      </c>
      <c r="BR317" s="27" t="s">
        <v>7</v>
      </c>
      <c r="BV317" s="27" t="s">
        <v>7</v>
      </c>
      <c r="BY317" s="27" t="s">
        <v>8</v>
      </c>
      <c r="DC317" s="27" t="s">
        <v>8</v>
      </c>
      <c r="DD317" s="27" t="s">
        <v>7</v>
      </c>
      <c r="DE317" s="27" t="s">
        <v>8</v>
      </c>
      <c r="DF317" s="27" t="s">
        <v>7</v>
      </c>
      <c r="DG317" s="27" t="s">
        <v>8</v>
      </c>
      <c r="DH317" s="27" t="s">
        <v>7</v>
      </c>
      <c r="DI317" s="27" t="s">
        <v>8</v>
      </c>
      <c r="DJ317" s="27" t="s">
        <v>7</v>
      </c>
      <c r="DK317" s="27" t="s">
        <v>8</v>
      </c>
      <c r="FJ317" s="27" t="s">
        <v>7</v>
      </c>
      <c r="FQ317" s="27" t="s">
        <v>8</v>
      </c>
      <c r="FR317" s="27" t="s">
        <v>7</v>
      </c>
      <c r="FS317" s="27" t="s">
        <v>8</v>
      </c>
      <c r="FT317" s="27" t="s">
        <v>7</v>
      </c>
      <c r="FU317" s="27" t="s">
        <v>8</v>
      </c>
      <c r="FV317" s="27" t="s">
        <v>7</v>
      </c>
      <c r="FW317" s="27" t="s">
        <v>8</v>
      </c>
      <c r="FX317" s="27" t="s">
        <v>7</v>
      </c>
      <c r="FY317" s="27" t="s">
        <v>8</v>
      </c>
    </row>
    <row r="318" spans="1:273" x14ac:dyDescent="0.25">
      <c r="A318" s="30">
        <v>2.2245115885816305E-2</v>
      </c>
      <c r="B318"/>
      <c r="C318"/>
      <c r="D318"/>
      <c r="E318"/>
      <c r="F318" s="27" t="s">
        <v>7</v>
      </c>
      <c r="K318" s="27" t="s">
        <v>8</v>
      </c>
      <c r="L318" s="27" t="s">
        <v>7</v>
      </c>
      <c r="BO318" s="27" t="s">
        <v>8</v>
      </c>
      <c r="BP318" s="27" t="s">
        <v>7</v>
      </c>
      <c r="BV318" s="27" t="s">
        <v>7</v>
      </c>
      <c r="BW318" s="27" t="s">
        <v>8</v>
      </c>
      <c r="BY318" s="27" t="s">
        <v>8</v>
      </c>
      <c r="BZ318" s="27" t="s">
        <v>7</v>
      </c>
      <c r="CA318" s="27" t="s">
        <v>8</v>
      </c>
      <c r="DC318" s="27" t="s">
        <v>8</v>
      </c>
      <c r="DD318" s="27" t="s">
        <v>7</v>
      </c>
      <c r="DE318" s="27" t="s">
        <v>8</v>
      </c>
      <c r="DF318" s="27" t="s">
        <v>7</v>
      </c>
      <c r="DH318" s="27" t="s">
        <v>7</v>
      </c>
      <c r="DI318" s="27" t="s">
        <v>8</v>
      </c>
      <c r="DJ318" s="27" t="s">
        <v>7</v>
      </c>
      <c r="DK318" s="27" t="s">
        <v>8</v>
      </c>
      <c r="FJ318" s="27" t="s">
        <v>7</v>
      </c>
      <c r="FQ318" s="27" t="s">
        <v>8</v>
      </c>
      <c r="FR318" s="27" t="s">
        <v>7</v>
      </c>
      <c r="FS318" s="27" t="s">
        <v>8</v>
      </c>
      <c r="FT318" s="27" t="s">
        <v>7</v>
      </c>
      <c r="FV318" s="27" t="s">
        <v>7</v>
      </c>
      <c r="FW318" s="27" t="s">
        <v>8</v>
      </c>
      <c r="FX318" s="27" t="s">
        <v>7</v>
      </c>
      <c r="FY318" s="27" t="s">
        <v>8</v>
      </c>
    </row>
    <row r="319" spans="1:273" x14ac:dyDescent="0.25">
      <c r="A319" s="30">
        <v>2.1185824653158377E-2</v>
      </c>
      <c r="B319"/>
      <c r="C319"/>
      <c r="D319"/>
      <c r="E319"/>
      <c r="F319" s="27" t="s">
        <v>7</v>
      </c>
      <c r="K319" s="27" t="s">
        <v>8</v>
      </c>
      <c r="L319" s="27" t="s">
        <v>7</v>
      </c>
      <c r="BO319" s="27" t="s">
        <v>8</v>
      </c>
      <c r="BV319" s="27" t="s">
        <v>7</v>
      </c>
      <c r="BW319" s="27" t="s">
        <v>8</v>
      </c>
      <c r="BX319" s="27" t="s">
        <v>7</v>
      </c>
      <c r="BY319" s="27" t="s">
        <v>8</v>
      </c>
      <c r="BZ319" s="27" t="s">
        <v>7</v>
      </c>
      <c r="CA319" s="27" t="s">
        <v>8</v>
      </c>
      <c r="CB319" s="27" t="s">
        <v>7</v>
      </c>
      <c r="CS319" s="27" t="s">
        <v>8</v>
      </c>
      <c r="CY319" s="27" t="s">
        <v>8</v>
      </c>
      <c r="DA319" s="27" t="s">
        <v>8</v>
      </c>
      <c r="DC319" s="27" t="s">
        <v>8</v>
      </c>
      <c r="DD319" s="27" t="s">
        <v>7</v>
      </c>
      <c r="DE319" s="27" t="s">
        <v>8</v>
      </c>
      <c r="DH319" s="27" t="s">
        <v>7</v>
      </c>
      <c r="DJ319" s="27" t="s">
        <v>7</v>
      </c>
      <c r="DK319" s="27" t="s">
        <v>8</v>
      </c>
      <c r="FJ319" s="27" t="s">
        <v>7</v>
      </c>
      <c r="FM319" s="27" t="s">
        <v>8</v>
      </c>
      <c r="FO319" s="27" t="s">
        <v>8</v>
      </c>
      <c r="FQ319" s="27" t="s">
        <v>8</v>
      </c>
      <c r="FR319" s="27" t="s">
        <v>7</v>
      </c>
      <c r="FS319" s="27" t="s">
        <v>8</v>
      </c>
      <c r="FV319" s="27" t="s">
        <v>7</v>
      </c>
      <c r="FX319" s="27" t="s">
        <v>7</v>
      </c>
      <c r="FY319" s="27" t="s">
        <v>8</v>
      </c>
    </row>
    <row r="320" spans="1:273" x14ac:dyDescent="0.25">
      <c r="A320" s="30">
        <v>2.0176975860150829E-2</v>
      </c>
      <c r="B320"/>
      <c r="C320"/>
      <c r="D320"/>
      <c r="E320"/>
      <c r="F320" s="27" t="s">
        <v>7</v>
      </c>
      <c r="K320" s="27" t="s">
        <v>8</v>
      </c>
      <c r="L320" s="27" t="s">
        <v>7</v>
      </c>
      <c r="BO320" s="27" t="s">
        <v>8</v>
      </c>
      <c r="BV320" s="27" t="s">
        <v>7</v>
      </c>
      <c r="BW320" s="27" t="s">
        <v>8</v>
      </c>
      <c r="BX320" s="27" t="s">
        <v>7</v>
      </c>
      <c r="BY320" s="27" t="s">
        <v>8</v>
      </c>
      <c r="BZ320" s="27" t="s">
        <v>7</v>
      </c>
      <c r="CA320" s="27" t="s">
        <v>8</v>
      </c>
      <c r="CB320" s="27" t="s">
        <v>7</v>
      </c>
      <c r="CC320" s="27" t="s">
        <v>8</v>
      </c>
      <c r="CE320" s="27" t="s">
        <v>8</v>
      </c>
      <c r="CS320" s="27" t="s">
        <v>8</v>
      </c>
      <c r="CT320" s="27" t="s">
        <v>7</v>
      </c>
      <c r="CY320" s="27" t="s">
        <v>8</v>
      </c>
      <c r="CZ320" s="27" t="s">
        <v>7</v>
      </c>
      <c r="DA320" s="27" t="s">
        <v>8</v>
      </c>
      <c r="DB320" s="27" t="s">
        <v>7</v>
      </c>
      <c r="DC320" s="27" t="s">
        <v>8</v>
      </c>
      <c r="DD320" s="27" t="s">
        <v>7</v>
      </c>
      <c r="DE320" s="27" t="s">
        <v>8</v>
      </c>
      <c r="DJ320" s="27" t="s">
        <v>7</v>
      </c>
      <c r="FJ320" s="27" t="s">
        <v>7</v>
      </c>
      <c r="FM320" s="27" t="s">
        <v>8</v>
      </c>
      <c r="FN320" s="27" t="s">
        <v>7</v>
      </c>
      <c r="FO320" s="27" t="s">
        <v>8</v>
      </c>
      <c r="FP320" s="27" t="s">
        <v>7</v>
      </c>
      <c r="FQ320" s="27" t="s">
        <v>8</v>
      </c>
      <c r="FR320" s="27" t="s">
        <v>7</v>
      </c>
      <c r="FS320" s="27" t="s">
        <v>8</v>
      </c>
      <c r="FX320" s="27" t="s">
        <v>7</v>
      </c>
    </row>
    <row r="321" spans="1:174" x14ac:dyDescent="0.25">
      <c r="A321" s="30">
        <v>1.9216167485857926E-2</v>
      </c>
      <c r="B321"/>
      <c r="C321"/>
      <c r="D321"/>
      <c r="E321"/>
      <c r="F321" s="27" t="s">
        <v>7</v>
      </c>
      <c r="K321" s="27" t="s">
        <v>8</v>
      </c>
      <c r="L321" s="27" t="s">
        <v>7</v>
      </c>
      <c r="BO321" s="27" t="s">
        <v>8</v>
      </c>
      <c r="BV321" s="27" t="s">
        <v>7</v>
      </c>
      <c r="BW321" s="27" t="s">
        <v>8</v>
      </c>
      <c r="BX321" s="27" t="s">
        <v>7</v>
      </c>
      <c r="BY321" s="27" t="s">
        <v>8</v>
      </c>
      <c r="BZ321" s="27" t="s">
        <v>7</v>
      </c>
      <c r="CA321" s="27" t="s">
        <v>8</v>
      </c>
      <c r="CB321" s="27" t="s">
        <v>7</v>
      </c>
      <c r="CC321" s="27" t="s">
        <v>8</v>
      </c>
      <c r="CD321" s="27" t="s">
        <v>7</v>
      </c>
      <c r="CE321" s="27" t="s">
        <v>8</v>
      </c>
      <c r="CF321" s="27" t="s">
        <v>7</v>
      </c>
      <c r="CS321" s="27" t="s">
        <v>8</v>
      </c>
      <c r="CT321" s="27" t="s">
        <v>7</v>
      </c>
      <c r="CW321" s="27" t="s">
        <v>8</v>
      </c>
      <c r="CY321" s="27" t="s">
        <v>8</v>
      </c>
      <c r="CZ321" s="27" t="s">
        <v>7</v>
      </c>
      <c r="DA321" s="27" t="s">
        <v>8</v>
      </c>
      <c r="DB321" s="27" t="s">
        <v>7</v>
      </c>
      <c r="DC321" s="27" t="s">
        <v>8</v>
      </c>
      <c r="DD321" s="27" t="s">
        <v>7</v>
      </c>
      <c r="FJ321" s="27" t="s">
        <v>7</v>
      </c>
      <c r="FK321" s="27" t="s">
        <v>8</v>
      </c>
      <c r="FM321" s="27" t="s">
        <v>8</v>
      </c>
      <c r="FN321" s="27" t="s">
        <v>7</v>
      </c>
      <c r="FO321" s="27" t="s">
        <v>8</v>
      </c>
      <c r="FP321" s="27" t="s">
        <v>7</v>
      </c>
      <c r="FQ321" s="27" t="s">
        <v>8</v>
      </c>
      <c r="FR321" s="27" t="s">
        <v>7</v>
      </c>
    </row>
    <row r="322" spans="1:174" x14ac:dyDescent="0.25">
      <c r="A322" s="30">
        <v>1.8301111891293256E-2</v>
      </c>
      <c r="B322"/>
      <c r="C322"/>
      <c r="D322"/>
      <c r="E322"/>
      <c r="F322" s="27" t="s">
        <v>7</v>
      </c>
      <c r="K322" s="27" t="s">
        <v>8</v>
      </c>
      <c r="L322" s="27" t="s">
        <v>7</v>
      </c>
      <c r="BO322" s="27" t="s">
        <v>8</v>
      </c>
      <c r="BV322" s="27" t="s">
        <v>7</v>
      </c>
      <c r="BW322" s="27" t="s">
        <v>8</v>
      </c>
      <c r="BX322" s="27" t="s">
        <v>7</v>
      </c>
      <c r="BZ322" s="27" t="s">
        <v>7</v>
      </c>
      <c r="CB322" s="27" t="s">
        <v>7</v>
      </c>
      <c r="CC322" s="27" t="s">
        <v>8</v>
      </c>
      <c r="CD322" s="27" t="s">
        <v>7</v>
      </c>
      <c r="CE322" s="27" t="s">
        <v>8</v>
      </c>
      <c r="CF322" s="27" t="s">
        <v>7</v>
      </c>
      <c r="CS322" s="27" t="s">
        <v>8</v>
      </c>
      <c r="CT322" s="27" t="s">
        <v>7</v>
      </c>
      <c r="CW322" s="27" t="s">
        <v>8</v>
      </c>
      <c r="CX322" s="27" t="s">
        <v>7</v>
      </c>
      <c r="CY322" s="27" t="s">
        <v>8</v>
      </c>
      <c r="CZ322" s="27" t="s">
        <v>7</v>
      </c>
      <c r="DA322" s="27" t="s">
        <v>8</v>
      </c>
      <c r="DB322" s="27" t="s">
        <v>7</v>
      </c>
      <c r="FJ322" s="27" t="s">
        <v>7</v>
      </c>
      <c r="FK322" s="27" t="s">
        <v>8</v>
      </c>
      <c r="FL322" s="27" t="s">
        <v>7</v>
      </c>
      <c r="FM322" s="27" t="s">
        <v>8</v>
      </c>
      <c r="FN322" s="27" t="s">
        <v>7</v>
      </c>
      <c r="FO322" s="27" t="s">
        <v>8</v>
      </c>
      <c r="FP322" s="27" t="s">
        <v>7</v>
      </c>
    </row>
    <row r="323" spans="1:174" x14ac:dyDescent="0.25">
      <c r="A323" s="30">
        <v>1.7429630372660238E-2</v>
      </c>
      <c r="B323"/>
      <c r="C323"/>
      <c r="D323"/>
      <c r="E323"/>
      <c r="F323" s="27" t="s">
        <v>7</v>
      </c>
      <c r="K323" s="27" t="s">
        <v>8</v>
      </c>
      <c r="L323" s="27" t="s">
        <v>7</v>
      </c>
      <c r="BO323" s="27" t="s">
        <v>8</v>
      </c>
      <c r="BV323" s="27" t="s">
        <v>7</v>
      </c>
      <c r="BW323" s="27" t="s">
        <v>8</v>
      </c>
      <c r="CB323" s="27" t="s">
        <v>7</v>
      </c>
      <c r="CD323" s="27" t="s">
        <v>7</v>
      </c>
      <c r="CE323" s="27" t="s">
        <v>8</v>
      </c>
      <c r="CF323" s="27" t="s">
        <v>7</v>
      </c>
      <c r="CS323" s="27" t="s">
        <v>8</v>
      </c>
      <c r="CT323" s="27" t="s">
        <v>7</v>
      </c>
      <c r="CW323" s="27" t="s">
        <v>8</v>
      </c>
      <c r="CX323" s="27" t="s">
        <v>7</v>
      </c>
      <c r="CY323" s="27" t="s">
        <v>8</v>
      </c>
      <c r="CZ323" s="27" t="s">
        <v>7</v>
      </c>
      <c r="DA323" s="27" t="s">
        <v>8</v>
      </c>
      <c r="FJ323" s="27" t="s">
        <v>7</v>
      </c>
      <c r="FK323" s="27" t="s">
        <v>8</v>
      </c>
      <c r="FL323" s="27" t="s">
        <v>7</v>
      </c>
      <c r="FM323" s="27" t="s">
        <v>8</v>
      </c>
      <c r="FN323" s="27" t="s">
        <v>7</v>
      </c>
      <c r="FO323" s="27" t="s">
        <v>8</v>
      </c>
    </row>
    <row r="324" spans="1:174" x14ac:dyDescent="0.25">
      <c r="A324" s="30">
        <v>1.6599647973962125E-2</v>
      </c>
      <c r="B324"/>
      <c r="C324"/>
      <c r="D324"/>
      <c r="E324"/>
      <c r="F324" s="27" t="s">
        <v>7</v>
      </c>
      <c r="K324" s="27" t="s">
        <v>8</v>
      </c>
      <c r="L324" s="27" t="s">
        <v>7</v>
      </c>
      <c r="BM324" s="27" t="s">
        <v>8</v>
      </c>
      <c r="BO324" s="27" t="s">
        <v>8</v>
      </c>
      <c r="BV324" s="27" t="s">
        <v>7</v>
      </c>
      <c r="BW324" s="27" t="s">
        <v>8</v>
      </c>
      <c r="CD324" s="27" t="s">
        <v>7</v>
      </c>
      <c r="CF324" s="27" t="s">
        <v>7</v>
      </c>
      <c r="CS324" s="27" t="s">
        <v>8</v>
      </c>
      <c r="CT324" s="27" t="s">
        <v>7</v>
      </c>
      <c r="CU324" s="27" t="s">
        <v>8</v>
      </c>
      <c r="CW324" s="27" t="s">
        <v>8</v>
      </c>
      <c r="CX324" s="27" t="s">
        <v>7</v>
      </c>
      <c r="CY324" s="27" t="s">
        <v>8</v>
      </c>
      <c r="CZ324" s="27" t="s">
        <v>7</v>
      </c>
      <c r="FJ324" s="27" t="s">
        <v>7</v>
      </c>
      <c r="FK324" s="27" t="s">
        <v>8</v>
      </c>
      <c r="FL324" s="27" t="s">
        <v>7</v>
      </c>
      <c r="FM324" s="27" t="s">
        <v>8</v>
      </c>
      <c r="FN324" s="27" t="s">
        <v>7</v>
      </c>
    </row>
    <row r="325" spans="1:174" x14ac:dyDescent="0.25">
      <c r="A325" s="30">
        <v>1.580918854663059E-2</v>
      </c>
      <c r="B325"/>
      <c r="C325"/>
      <c r="D325"/>
      <c r="E325"/>
      <c r="F325" s="27" t="s">
        <v>7</v>
      </c>
      <c r="K325" s="27" t="s">
        <v>8</v>
      </c>
      <c r="L325" s="27" t="s">
        <v>7</v>
      </c>
      <c r="BM325" s="27" t="s">
        <v>8</v>
      </c>
      <c r="BN325" s="27" t="s">
        <v>7</v>
      </c>
      <c r="BO325" s="27" t="s">
        <v>8</v>
      </c>
      <c r="BV325" s="27" t="s">
        <v>7</v>
      </c>
      <c r="BW325" s="27" t="s">
        <v>8</v>
      </c>
      <c r="CF325" s="27" t="s">
        <v>7</v>
      </c>
      <c r="CS325" s="27" t="s">
        <v>8</v>
      </c>
      <c r="CT325" s="27" t="s">
        <v>7</v>
      </c>
      <c r="CU325" s="27" t="s">
        <v>8</v>
      </c>
      <c r="CV325" s="27" t="s">
        <v>7</v>
      </c>
      <c r="CW325" s="27" t="s">
        <v>8</v>
      </c>
      <c r="CX325" s="27" t="s">
        <v>7</v>
      </c>
      <c r="FJ325" s="27" t="s">
        <v>7</v>
      </c>
      <c r="FK325" s="27" t="s">
        <v>8</v>
      </c>
      <c r="FL325" s="27" t="s">
        <v>7</v>
      </c>
    </row>
    <row r="326" spans="1:174" x14ac:dyDescent="0.25">
      <c r="A326" s="30">
        <v>1.5056370044410079E-2</v>
      </c>
      <c r="B326"/>
      <c r="C326"/>
      <c r="D326"/>
      <c r="E326"/>
      <c r="F326" s="27" t="s">
        <v>7</v>
      </c>
      <c r="K326" s="27" t="s">
        <v>8</v>
      </c>
      <c r="L326" s="27" t="s">
        <v>7</v>
      </c>
      <c r="BI326" s="27" t="s">
        <v>8</v>
      </c>
      <c r="BK326" s="27" t="s">
        <v>8</v>
      </c>
      <c r="BM326" s="27" t="s">
        <v>8</v>
      </c>
      <c r="BN326" s="27" t="s">
        <v>7</v>
      </c>
      <c r="BO326" s="27" t="s">
        <v>8</v>
      </c>
      <c r="BV326" s="27" t="s">
        <v>7</v>
      </c>
      <c r="BW326" s="27" t="s">
        <v>8</v>
      </c>
      <c r="CF326" s="27" t="s">
        <v>7</v>
      </c>
      <c r="CS326" s="27" t="s">
        <v>8</v>
      </c>
      <c r="CT326" s="27" t="s">
        <v>7</v>
      </c>
      <c r="CU326" s="27" t="s">
        <v>8</v>
      </c>
      <c r="CV326" s="27" t="s">
        <v>7</v>
      </c>
      <c r="CW326" s="27" t="s">
        <v>8</v>
      </c>
      <c r="FJ326" s="27" t="s">
        <v>7</v>
      </c>
      <c r="FK326" s="27" t="s">
        <v>8</v>
      </c>
    </row>
    <row r="327" spans="1:174" x14ac:dyDescent="0.25">
      <c r="A327" s="30">
        <v>1.4339400042295308E-2</v>
      </c>
      <c r="B327"/>
      <c r="C327"/>
      <c r="D327"/>
      <c r="E327"/>
      <c r="F327" s="27" t="s">
        <v>7</v>
      </c>
      <c r="K327" s="27" t="s">
        <v>8</v>
      </c>
      <c r="L327" s="27" t="s">
        <v>7</v>
      </c>
      <c r="M327" s="27" t="s">
        <v>8</v>
      </c>
      <c r="Q327" s="27" t="s">
        <v>8</v>
      </c>
      <c r="BG327" s="27" t="s">
        <v>8</v>
      </c>
      <c r="BI327" s="27" t="s">
        <v>8</v>
      </c>
      <c r="BJ327" s="27" t="s">
        <v>7</v>
      </c>
      <c r="BK327" s="27" t="s">
        <v>8</v>
      </c>
      <c r="BL327" s="27" t="s">
        <v>7</v>
      </c>
      <c r="BM327" s="27" t="s">
        <v>8</v>
      </c>
      <c r="BN327" s="27" t="s">
        <v>7</v>
      </c>
      <c r="BO327" s="27" t="s">
        <v>8</v>
      </c>
      <c r="BV327" s="27" t="s">
        <v>7</v>
      </c>
      <c r="BW327" s="27" t="s">
        <v>8</v>
      </c>
      <c r="CF327" s="27" t="s">
        <v>7</v>
      </c>
      <c r="CO327" s="27" t="s">
        <v>8</v>
      </c>
      <c r="CQ327" s="27" t="s">
        <v>8</v>
      </c>
      <c r="CS327" s="27" t="s">
        <v>8</v>
      </c>
      <c r="CT327" s="27" t="s">
        <v>7</v>
      </c>
      <c r="CU327" s="27" t="s">
        <v>8</v>
      </c>
      <c r="CV327" s="27" t="s">
        <v>7</v>
      </c>
      <c r="CW327" s="27" t="s">
        <v>8</v>
      </c>
      <c r="FJ327" s="27" t="s">
        <v>7</v>
      </c>
      <c r="FK327" s="27" t="s">
        <v>8</v>
      </c>
    </row>
    <row r="328" spans="1:174" x14ac:dyDescent="0.25">
      <c r="A328" s="30">
        <v>1.365657146885267E-2</v>
      </c>
      <c r="B328"/>
      <c r="C328"/>
      <c r="D328"/>
      <c r="E328"/>
      <c r="F328" s="27" t="s">
        <v>7</v>
      </c>
      <c r="K328" s="27" t="s">
        <v>8</v>
      </c>
      <c r="L328" s="27" t="s">
        <v>7</v>
      </c>
      <c r="M328" s="27" t="s">
        <v>8</v>
      </c>
      <c r="N328" s="27" t="s">
        <v>7</v>
      </c>
      <c r="Q328" s="27" t="s">
        <v>8</v>
      </c>
      <c r="R328" s="27" t="s">
        <v>7</v>
      </c>
      <c r="S328" s="27" t="s">
        <v>8</v>
      </c>
      <c r="BG328" s="27" t="s">
        <v>8</v>
      </c>
      <c r="BH328" s="27" t="s">
        <v>7</v>
      </c>
      <c r="BI328" s="27" t="s">
        <v>8</v>
      </c>
      <c r="BJ328" s="27" t="s">
        <v>7</v>
      </c>
      <c r="BK328" s="27" t="s">
        <v>8</v>
      </c>
      <c r="BL328" s="27" t="s">
        <v>7</v>
      </c>
      <c r="BM328" s="27" t="s">
        <v>8</v>
      </c>
      <c r="BN328" s="27" t="s">
        <v>7</v>
      </c>
      <c r="BO328" s="27" t="s">
        <v>8</v>
      </c>
      <c r="BV328" s="27" t="s">
        <v>7</v>
      </c>
      <c r="CF328" s="27" t="s">
        <v>7</v>
      </c>
      <c r="CM328" s="27" t="s">
        <v>8</v>
      </c>
      <c r="CO328" s="27" t="s">
        <v>8</v>
      </c>
      <c r="CP328" s="27" t="s">
        <v>7</v>
      </c>
      <c r="CQ328" s="27" t="s">
        <v>8</v>
      </c>
      <c r="CR328" s="27" t="s">
        <v>7</v>
      </c>
      <c r="CS328" s="27" t="s">
        <v>8</v>
      </c>
      <c r="CT328" s="27" t="s">
        <v>7</v>
      </c>
      <c r="CU328" s="27" t="s">
        <v>8</v>
      </c>
      <c r="CV328" s="27" t="s">
        <v>7</v>
      </c>
      <c r="CW328" s="27" t="s">
        <v>8</v>
      </c>
      <c r="FJ328" s="27" t="s">
        <v>7</v>
      </c>
      <c r="FK328" s="27" t="s">
        <v>8</v>
      </c>
    </row>
    <row r="329" spans="1:174" x14ac:dyDescent="0.25">
      <c r="A329" s="30">
        <v>1.3006258541764442E-2</v>
      </c>
      <c r="B329"/>
      <c r="C329"/>
      <c r="D329"/>
      <c r="E329"/>
      <c r="F329" s="27" t="s">
        <v>7</v>
      </c>
      <c r="K329" s="27" t="s">
        <v>8</v>
      </c>
      <c r="L329" s="27" t="s">
        <v>7</v>
      </c>
      <c r="M329" s="27" t="s">
        <v>8</v>
      </c>
      <c r="N329" s="27" t="s">
        <v>7</v>
      </c>
      <c r="Q329" s="27" t="s">
        <v>8</v>
      </c>
      <c r="R329" s="27" t="s">
        <v>7</v>
      </c>
      <c r="S329" s="27" t="s">
        <v>8</v>
      </c>
      <c r="T329" s="27" t="s">
        <v>7</v>
      </c>
      <c r="BG329" s="27" t="s">
        <v>8</v>
      </c>
      <c r="BH329" s="27" t="s">
        <v>7</v>
      </c>
      <c r="BI329" s="27" t="s">
        <v>8</v>
      </c>
      <c r="BJ329" s="27" t="s">
        <v>7</v>
      </c>
      <c r="BL329" s="27" t="s">
        <v>7</v>
      </c>
      <c r="BM329" s="27" t="s">
        <v>8</v>
      </c>
      <c r="BN329" s="27" t="s">
        <v>7</v>
      </c>
      <c r="CF329" s="27" t="s">
        <v>7</v>
      </c>
      <c r="CM329" s="27" t="s">
        <v>8</v>
      </c>
      <c r="CN329" s="27" t="s">
        <v>7</v>
      </c>
      <c r="CO329" s="27" t="s">
        <v>8</v>
      </c>
      <c r="CP329" s="27" t="s">
        <v>7</v>
      </c>
      <c r="CQ329" s="27" t="s">
        <v>8</v>
      </c>
      <c r="CR329" s="27" t="s">
        <v>7</v>
      </c>
      <c r="CS329" s="27" t="s">
        <v>8</v>
      </c>
      <c r="CT329" s="27" t="s">
        <v>7</v>
      </c>
      <c r="CV329" s="27" t="s">
        <v>7</v>
      </c>
      <c r="CW329" s="27" t="s">
        <v>8</v>
      </c>
      <c r="FJ329" s="27" t="s">
        <v>7</v>
      </c>
      <c r="FK329" s="27" t="s">
        <v>8</v>
      </c>
    </row>
    <row r="330" spans="1:174" x14ac:dyDescent="0.25">
      <c r="A330" s="30">
        <v>1.2386912896918512E-2</v>
      </c>
      <c r="B330"/>
      <c r="C330"/>
      <c r="D330"/>
      <c r="E330"/>
      <c r="F330" s="27" t="s">
        <v>7</v>
      </c>
      <c r="K330" s="27" t="s">
        <v>8</v>
      </c>
      <c r="L330" s="27" t="s">
        <v>7</v>
      </c>
      <c r="M330" s="27" t="s">
        <v>8</v>
      </c>
      <c r="N330" s="27" t="s">
        <v>7</v>
      </c>
      <c r="O330" s="27" t="s">
        <v>8</v>
      </c>
      <c r="Q330" s="27" t="s">
        <v>8</v>
      </c>
      <c r="R330" s="27" t="s">
        <v>7</v>
      </c>
      <c r="S330" s="27" t="s">
        <v>8</v>
      </c>
      <c r="T330" s="27" t="s">
        <v>7</v>
      </c>
      <c r="U330" s="27" t="s">
        <v>8</v>
      </c>
      <c r="AE330" s="27" t="s">
        <v>8</v>
      </c>
      <c r="BG330" s="27" t="s">
        <v>8</v>
      </c>
      <c r="BH330" s="27" t="s">
        <v>7</v>
      </c>
      <c r="BI330" s="27" t="s">
        <v>8</v>
      </c>
      <c r="BL330" s="27" t="s">
        <v>7</v>
      </c>
      <c r="BM330" s="27" t="s">
        <v>8</v>
      </c>
      <c r="CF330" s="27" t="s">
        <v>7</v>
      </c>
      <c r="CM330" s="27" t="s">
        <v>8</v>
      </c>
      <c r="CN330" s="27" t="s">
        <v>7</v>
      </c>
      <c r="CO330" s="27" t="s">
        <v>8</v>
      </c>
      <c r="CP330" s="27" t="s">
        <v>7</v>
      </c>
      <c r="CQ330" s="27" t="s">
        <v>8</v>
      </c>
      <c r="CR330" s="27" t="s">
        <v>7</v>
      </c>
      <c r="CS330" s="27" t="s">
        <v>8</v>
      </c>
      <c r="CV330" s="27" t="s">
        <v>7</v>
      </c>
      <c r="CW330" s="27" t="s">
        <v>8</v>
      </c>
      <c r="FJ330" s="27" t="s">
        <v>7</v>
      </c>
      <c r="FK330" s="27" t="s">
        <v>8</v>
      </c>
    </row>
    <row r="331" spans="1:174" x14ac:dyDescent="0.25">
      <c r="A331" s="30">
        <v>1.179705990182715E-2</v>
      </c>
      <c r="B331"/>
      <c r="C331"/>
      <c r="D331"/>
      <c r="E331"/>
      <c r="F331" s="27" t="s">
        <v>7</v>
      </c>
      <c r="K331" s="27" t="s">
        <v>8</v>
      </c>
      <c r="L331" s="27" t="s">
        <v>7</v>
      </c>
      <c r="M331" s="27" t="s">
        <v>8</v>
      </c>
      <c r="N331" s="27" t="s">
        <v>7</v>
      </c>
      <c r="O331" s="27" t="s">
        <v>8</v>
      </c>
      <c r="P331" s="27" t="s">
        <v>7</v>
      </c>
      <c r="Q331" s="27" t="s">
        <v>8</v>
      </c>
      <c r="R331" s="27" t="s">
        <v>7</v>
      </c>
      <c r="S331" s="27" t="s">
        <v>8</v>
      </c>
      <c r="T331" s="27" t="s">
        <v>7</v>
      </c>
      <c r="U331" s="27" t="s">
        <v>8</v>
      </c>
      <c r="V331" s="27" t="s">
        <v>7</v>
      </c>
      <c r="AE331" s="27" t="s">
        <v>8</v>
      </c>
      <c r="AF331" s="27" t="s">
        <v>7</v>
      </c>
      <c r="BG331" s="27" t="s">
        <v>8</v>
      </c>
      <c r="BH331" s="27" t="s">
        <v>7</v>
      </c>
      <c r="BI331" s="27" t="s">
        <v>8</v>
      </c>
      <c r="BL331" s="27" t="s">
        <v>7</v>
      </c>
      <c r="BM331" s="27" t="s">
        <v>8</v>
      </c>
      <c r="CF331" s="27" t="s">
        <v>7</v>
      </c>
      <c r="CG331" s="27" t="s">
        <v>8</v>
      </c>
      <c r="CM331" s="27" t="s">
        <v>8</v>
      </c>
      <c r="CN331" s="27" t="s">
        <v>7</v>
      </c>
      <c r="CO331" s="27" t="s">
        <v>8</v>
      </c>
      <c r="CP331" s="27" t="s">
        <v>7</v>
      </c>
      <c r="CQ331" s="27" t="s">
        <v>8</v>
      </c>
      <c r="CR331" s="27" t="s">
        <v>7</v>
      </c>
      <c r="CS331" s="27" t="s">
        <v>8</v>
      </c>
      <c r="CV331" s="27" t="s">
        <v>7</v>
      </c>
      <c r="FJ331" s="27" t="s">
        <v>7</v>
      </c>
    </row>
    <row r="332" spans="1:174" x14ac:dyDescent="0.25">
      <c r="A332" s="30">
        <v>1.1235295144597281E-2</v>
      </c>
      <c r="B332"/>
      <c r="C332"/>
      <c r="D332"/>
      <c r="E332"/>
      <c r="F332" s="27" t="s">
        <v>7</v>
      </c>
      <c r="K332" s="27" t="s">
        <v>8</v>
      </c>
      <c r="L332" s="27" t="s">
        <v>7</v>
      </c>
      <c r="M332" s="27" t="s">
        <v>8</v>
      </c>
      <c r="N332" s="27" t="s">
        <v>7</v>
      </c>
      <c r="O332" s="27" t="s">
        <v>8</v>
      </c>
      <c r="P332" s="27" t="s">
        <v>7</v>
      </c>
      <c r="Q332" s="27" t="s">
        <v>8</v>
      </c>
      <c r="R332" s="27" t="s">
        <v>7</v>
      </c>
      <c r="T332" s="27" t="s">
        <v>7</v>
      </c>
      <c r="U332" s="27" t="s">
        <v>8</v>
      </c>
      <c r="V332" s="27" t="s">
        <v>7</v>
      </c>
      <c r="AE332" s="27" t="s">
        <v>8</v>
      </c>
      <c r="AF332" s="27" t="s">
        <v>7</v>
      </c>
      <c r="BG332" s="27" t="s">
        <v>8</v>
      </c>
      <c r="BH332" s="27" t="s">
        <v>7</v>
      </c>
      <c r="BI332" s="27" t="s">
        <v>8</v>
      </c>
      <c r="BL332" s="27" t="s">
        <v>7</v>
      </c>
      <c r="BM332" s="27" t="s">
        <v>8</v>
      </c>
      <c r="CF332" s="27" t="s">
        <v>7</v>
      </c>
      <c r="CG332" s="27" t="s">
        <v>8</v>
      </c>
      <c r="CH332" s="27" t="s">
        <v>7</v>
      </c>
      <c r="CM332" s="27" t="s">
        <v>8</v>
      </c>
      <c r="CN332" s="27" t="s">
        <v>7</v>
      </c>
      <c r="CO332" s="27" t="s">
        <v>8</v>
      </c>
      <c r="CP332" s="27" t="s">
        <v>7</v>
      </c>
      <c r="CR332" s="27" t="s">
        <v>7</v>
      </c>
      <c r="CS332" s="27" t="s">
        <v>8</v>
      </c>
    </row>
    <row r="333" spans="1:174" x14ac:dyDescent="0.25">
      <c r="A333" s="30">
        <v>1.0700281090092644E-2</v>
      </c>
      <c r="B333"/>
      <c r="C333"/>
      <c r="D333"/>
      <c r="E333"/>
      <c r="F333" s="27" t="s">
        <v>7</v>
      </c>
      <c r="I333" s="27" t="s">
        <v>8</v>
      </c>
      <c r="K333" s="27" t="s">
        <v>8</v>
      </c>
      <c r="L333" s="27" t="s">
        <v>7</v>
      </c>
      <c r="M333" s="27" t="s">
        <v>8</v>
      </c>
      <c r="N333" s="27" t="s">
        <v>7</v>
      </c>
      <c r="O333" s="27" t="s">
        <v>8</v>
      </c>
      <c r="P333" s="27" t="s">
        <v>7</v>
      </c>
      <c r="Q333" s="27" t="s">
        <v>8</v>
      </c>
      <c r="T333" s="27" t="s">
        <v>7</v>
      </c>
      <c r="U333" s="27" t="s">
        <v>8</v>
      </c>
      <c r="V333" s="27" t="s">
        <v>7</v>
      </c>
      <c r="W333" s="27" t="s">
        <v>8</v>
      </c>
      <c r="Y333" s="27" t="s">
        <v>8</v>
      </c>
      <c r="AE333" s="27" t="s">
        <v>8</v>
      </c>
      <c r="AF333" s="27" t="s">
        <v>7</v>
      </c>
      <c r="BG333" s="27" t="s">
        <v>8</v>
      </c>
      <c r="BH333" s="27" t="s">
        <v>7</v>
      </c>
      <c r="BL333" s="27" t="s">
        <v>7</v>
      </c>
      <c r="CF333" s="27" t="s">
        <v>7</v>
      </c>
      <c r="CG333" s="27" t="s">
        <v>8</v>
      </c>
      <c r="CH333" s="27" t="s">
        <v>7</v>
      </c>
      <c r="CI333" s="27" t="s">
        <v>8</v>
      </c>
      <c r="CM333" s="27" t="s">
        <v>8</v>
      </c>
      <c r="CN333" s="27" t="s">
        <v>7</v>
      </c>
      <c r="CO333" s="27" t="s">
        <v>8</v>
      </c>
      <c r="CR333" s="27" t="s">
        <v>7</v>
      </c>
    </row>
    <row r="334" spans="1:174" x14ac:dyDescent="0.25">
      <c r="A334" s="30">
        <v>1.0190743895326324E-2</v>
      </c>
      <c r="B334"/>
      <c r="C334"/>
      <c r="D334"/>
      <c r="E334"/>
      <c r="F334" s="27" t="s">
        <v>7</v>
      </c>
      <c r="I334" s="27" t="s">
        <v>8</v>
      </c>
      <c r="J334" s="27" t="s">
        <v>7</v>
      </c>
      <c r="K334" s="27" t="s">
        <v>8</v>
      </c>
      <c r="L334" s="27" t="s">
        <v>7</v>
      </c>
      <c r="M334" s="27" t="s">
        <v>8</v>
      </c>
      <c r="N334" s="27" t="s">
        <v>7</v>
      </c>
      <c r="P334" s="27" t="s">
        <v>7</v>
      </c>
      <c r="Q334" s="27" t="s">
        <v>8</v>
      </c>
      <c r="T334" s="27" t="s">
        <v>7</v>
      </c>
      <c r="V334" s="27" t="s">
        <v>7</v>
      </c>
      <c r="W334" s="27" t="s">
        <v>8</v>
      </c>
      <c r="X334" s="27" t="s">
        <v>7</v>
      </c>
      <c r="Y334" s="27" t="s">
        <v>8</v>
      </c>
      <c r="Z334" s="27" t="s">
        <v>7</v>
      </c>
      <c r="AE334" s="27" t="s">
        <v>8</v>
      </c>
      <c r="AF334" s="27" t="s">
        <v>7</v>
      </c>
      <c r="BG334" s="27" t="s">
        <v>8</v>
      </c>
      <c r="CF334" s="27" t="s">
        <v>7</v>
      </c>
      <c r="CG334" s="27" t="s">
        <v>8</v>
      </c>
      <c r="CH334" s="27" t="s">
        <v>7</v>
      </c>
      <c r="CI334" s="27" t="s">
        <v>8</v>
      </c>
      <c r="CJ334" s="27" t="s">
        <v>7</v>
      </c>
      <c r="CM334" s="27" t="s">
        <v>8</v>
      </c>
      <c r="CN334" s="27" t="s">
        <v>7</v>
      </c>
    </row>
    <row r="335" spans="1:174" x14ac:dyDescent="0.25">
      <c r="A335" s="30">
        <v>9.7054703765012563E-3</v>
      </c>
      <c r="B335"/>
      <c r="C335"/>
      <c r="D335"/>
      <c r="E335"/>
      <c r="F335" s="27" t="s">
        <v>7</v>
      </c>
      <c r="I335" s="27" t="s">
        <v>8</v>
      </c>
      <c r="J335" s="27" t="s">
        <v>7</v>
      </c>
      <c r="K335" s="27" t="s">
        <v>8</v>
      </c>
      <c r="L335" s="27" t="s">
        <v>7</v>
      </c>
      <c r="M335" s="27" t="s">
        <v>8</v>
      </c>
      <c r="P335" s="27" t="s">
        <v>7</v>
      </c>
      <c r="V335" s="27" t="s">
        <v>7</v>
      </c>
      <c r="W335" s="27" t="s">
        <v>8</v>
      </c>
      <c r="X335" s="27" t="s">
        <v>7</v>
      </c>
      <c r="Y335" s="27" t="s">
        <v>8</v>
      </c>
      <c r="Z335" s="27" t="s">
        <v>7</v>
      </c>
      <c r="AE335" s="27" t="s">
        <v>8</v>
      </c>
      <c r="AF335" s="27" t="s">
        <v>7</v>
      </c>
      <c r="BG335" s="27" t="s">
        <v>8</v>
      </c>
      <c r="CF335" s="27" t="s">
        <v>7</v>
      </c>
      <c r="CH335" s="27" t="s">
        <v>7</v>
      </c>
      <c r="CI335" s="27" t="s">
        <v>8</v>
      </c>
      <c r="CJ335" s="27" t="s">
        <v>7</v>
      </c>
      <c r="CM335" s="27" t="s">
        <v>8</v>
      </c>
    </row>
    <row r="336" spans="1:174" x14ac:dyDescent="0.25">
      <c r="A336" s="30">
        <v>9.2433051204773835E-3</v>
      </c>
      <c r="B336"/>
      <c r="C336"/>
      <c r="D336"/>
      <c r="E336"/>
      <c r="F336" s="27" t="s">
        <v>7</v>
      </c>
      <c r="I336" s="27" t="s">
        <v>8</v>
      </c>
      <c r="J336" s="27" t="s">
        <v>7</v>
      </c>
      <c r="K336" s="27" t="s">
        <v>8</v>
      </c>
      <c r="L336" s="27" t="s">
        <v>7</v>
      </c>
      <c r="M336" s="27" t="s">
        <v>8</v>
      </c>
      <c r="V336" s="27" t="s">
        <v>7</v>
      </c>
      <c r="W336" s="27" t="s">
        <v>8</v>
      </c>
      <c r="X336" s="27" t="s">
        <v>7</v>
      </c>
      <c r="Y336" s="27" t="s">
        <v>8</v>
      </c>
      <c r="Z336" s="27" t="s">
        <v>7</v>
      </c>
      <c r="AE336" s="27" t="s">
        <v>8</v>
      </c>
      <c r="AF336" s="27" t="s">
        <v>7</v>
      </c>
      <c r="BE336" s="27" t="s">
        <v>8</v>
      </c>
      <c r="BG336" s="27" t="s">
        <v>8</v>
      </c>
      <c r="CH336" s="27" t="s">
        <v>7</v>
      </c>
      <c r="CJ336" s="27" t="s">
        <v>7</v>
      </c>
      <c r="CK336" s="27" t="s">
        <v>8</v>
      </c>
      <c r="CM336" s="27" t="s">
        <v>8</v>
      </c>
    </row>
    <row r="337" spans="1:91" x14ac:dyDescent="0.25">
      <c r="A337" s="30">
        <v>8.8031477337879808E-3</v>
      </c>
      <c r="B337"/>
      <c r="C337"/>
      <c r="D337"/>
      <c r="E337"/>
      <c r="F337" s="27" t="s">
        <v>7</v>
      </c>
      <c r="I337" s="27" t="s">
        <v>8</v>
      </c>
      <c r="J337" s="27" t="s">
        <v>7</v>
      </c>
      <c r="K337" s="27" t="s">
        <v>8</v>
      </c>
      <c r="L337" s="27" t="s">
        <v>7</v>
      </c>
      <c r="M337" s="27" t="s">
        <v>8</v>
      </c>
      <c r="V337" s="27" t="s">
        <v>7</v>
      </c>
      <c r="W337" s="27" t="s">
        <v>8</v>
      </c>
      <c r="X337" s="27" t="s">
        <v>7</v>
      </c>
      <c r="Z337" s="27" t="s">
        <v>7</v>
      </c>
      <c r="AE337" s="27" t="s">
        <v>8</v>
      </c>
      <c r="AF337" s="27" t="s">
        <v>7</v>
      </c>
      <c r="BA337" s="27" t="s">
        <v>8</v>
      </c>
      <c r="BE337" s="27" t="s">
        <v>8</v>
      </c>
      <c r="BF337" s="27" t="s">
        <v>7</v>
      </c>
      <c r="BG337" s="27" t="s">
        <v>8</v>
      </c>
      <c r="CJ337" s="27" t="s">
        <v>7</v>
      </c>
      <c r="CK337" s="27" t="s">
        <v>8</v>
      </c>
      <c r="CL337" s="27" t="s">
        <v>7</v>
      </c>
      <c r="CM337" s="27" t="s">
        <v>8</v>
      </c>
    </row>
    <row r="338" spans="1:91" x14ac:dyDescent="0.25">
      <c r="A338" s="30">
        <v>8.3839502226552166E-3</v>
      </c>
      <c r="B338"/>
      <c r="C338"/>
      <c r="D338"/>
      <c r="E338"/>
      <c r="F338" s="27" t="s">
        <v>7</v>
      </c>
      <c r="I338" s="27" t="s">
        <v>8</v>
      </c>
      <c r="J338" s="27" t="s">
        <v>7</v>
      </c>
      <c r="K338" s="27" t="s">
        <v>8</v>
      </c>
      <c r="L338" s="27" t="s">
        <v>7</v>
      </c>
      <c r="M338" s="27" t="s">
        <v>8</v>
      </c>
      <c r="V338" s="27" t="s">
        <v>7</v>
      </c>
      <c r="W338" s="27" t="s">
        <v>8</v>
      </c>
      <c r="Z338" s="27" t="s">
        <v>7</v>
      </c>
      <c r="AE338" s="27" t="s">
        <v>8</v>
      </c>
      <c r="AF338" s="27" t="s">
        <v>7</v>
      </c>
      <c r="AY338" s="27" t="s">
        <v>8</v>
      </c>
      <c r="BA338" s="27" t="s">
        <v>8</v>
      </c>
      <c r="BB338" s="27" t="s">
        <v>7</v>
      </c>
      <c r="BE338" s="27" t="s">
        <v>8</v>
      </c>
      <c r="BF338" s="27" t="s">
        <v>7</v>
      </c>
      <c r="BG338" s="27" t="s">
        <v>8</v>
      </c>
      <c r="CJ338" s="27" t="s">
        <v>7</v>
      </c>
      <c r="CK338" s="27" t="s">
        <v>8</v>
      </c>
      <c r="CL338" s="27" t="s">
        <v>7</v>
      </c>
      <c r="CM338" s="27" t="s">
        <v>8</v>
      </c>
    </row>
    <row r="339" spans="1:91" x14ac:dyDescent="0.25">
      <c r="A339" s="30">
        <v>7.9847144977668698E-3</v>
      </c>
      <c r="B339"/>
      <c r="C339"/>
      <c r="D339"/>
      <c r="E339"/>
      <c r="F339" s="27" t="s">
        <v>7</v>
      </c>
      <c r="I339" s="27" t="s">
        <v>8</v>
      </c>
      <c r="J339" s="27" t="s">
        <v>7</v>
      </c>
      <c r="K339" s="27" t="s">
        <v>8</v>
      </c>
      <c r="L339" s="27" t="s">
        <v>7</v>
      </c>
      <c r="M339" s="27" t="s">
        <v>8</v>
      </c>
      <c r="V339" s="27" t="s">
        <v>7</v>
      </c>
      <c r="W339" s="27" t="s">
        <v>8</v>
      </c>
      <c r="Z339" s="27" t="s">
        <v>7</v>
      </c>
      <c r="AA339" s="27" t="s">
        <v>8</v>
      </c>
      <c r="AC339" s="27" t="s">
        <v>8</v>
      </c>
      <c r="AE339" s="27" t="s">
        <v>8</v>
      </c>
      <c r="AF339" s="27" t="s">
        <v>7</v>
      </c>
      <c r="AG339" s="27" t="s">
        <v>8</v>
      </c>
      <c r="AY339" s="27" t="s">
        <v>8</v>
      </c>
      <c r="AZ339" s="27" t="s">
        <v>7</v>
      </c>
      <c r="BA339" s="27" t="s">
        <v>8</v>
      </c>
      <c r="BB339" s="27" t="s">
        <v>7</v>
      </c>
      <c r="BC339" s="27" t="s">
        <v>8</v>
      </c>
      <c r="BE339" s="27" t="s">
        <v>8</v>
      </c>
      <c r="BF339" s="27" t="s">
        <v>7</v>
      </c>
      <c r="CJ339" s="27" t="s">
        <v>7</v>
      </c>
      <c r="CL339" s="27" t="s">
        <v>7</v>
      </c>
    </row>
    <row r="340" spans="1:91" x14ac:dyDescent="0.25">
      <c r="A340" s="30">
        <v>7.6044899978732058E-3</v>
      </c>
      <c r="B340"/>
      <c r="C340"/>
      <c r="D340"/>
      <c r="E340"/>
      <c r="F340" s="27" t="s">
        <v>7</v>
      </c>
      <c r="I340" s="27" t="s">
        <v>8</v>
      </c>
      <c r="J340" s="27" t="s">
        <v>7</v>
      </c>
      <c r="K340" s="27" t="s">
        <v>8</v>
      </c>
      <c r="L340" s="27" t="s">
        <v>7</v>
      </c>
      <c r="V340" s="27" t="s">
        <v>7</v>
      </c>
      <c r="W340" s="27" t="s">
        <v>8</v>
      </c>
      <c r="Z340" s="27" t="s">
        <v>7</v>
      </c>
      <c r="AA340" s="27" t="s">
        <v>8</v>
      </c>
      <c r="AB340" s="27" t="s">
        <v>7</v>
      </c>
      <c r="AC340" s="27" t="s">
        <v>8</v>
      </c>
      <c r="AD340" s="27" t="s">
        <v>7</v>
      </c>
      <c r="AE340" s="27" t="s">
        <v>8</v>
      </c>
      <c r="AF340" s="27" t="s">
        <v>7</v>
      </c>
      <c r="AG340" s="27" t="s">
        <v>8</v>
      </c>
      <c r="AH340" s="27" t="s">
        <v>7</v>
      </c>
      <c r="AI340" s="27" t="s">
        <v>8</v>
      </c>
      <c r="AY340" s="27" t="s">
        <v>8</v>
      </c>
      <c r="AZ340" s="27" t="s">
        <v>7</v>
      </c>
      <c r="BA340" s="27" t="s">
        <v>8</v>
      </c>
      <c r="BB340" s="27" t="s">
        <v>7</v>
      </c>
      <c r="BC340" s="27" t="s">
        <v>8</v>
      </c>
      <c r="BD340" s="27" t="s">
        <v>7</v>
      </c>
      <c r="BE340" s="27" t="s">
        <v>8</v>
      </c>
    </row>
    <row r="341" spans="1:91" x14ac:dyDescent="0.25">
      <c r="A341" s="30">
        <v>7.2423714265459072E-3</v>
      </c>
      <c r="B341"/>
      <c r="C341"/>
      <c r="D341"/>
      <c r="E341"/>
      <c r="F341" s="27" t="s">
        <v>7</v>
      </c>
      <c r="G341" s="27" t="s">
        <v>8</v>
      </c>
      <c r="I341" s="27" t="s">
        <v>8</v>
      </c>
      <c r="J341" s="27" t="s">
        <v>7</v>
      </c>
      <c r="K341" s="27" t="s">
        <v>8</v>
      </c>
      <c r="V341" s="27" t="s">
        <v>7</v>
      </c>
      <c r="Z341" s="27" t="s">
        <v>7</v>
      </c>
      <c r="AA341" s="27" t="s">
        <v>8</v>
      </c>
      <c r="AB341" s="27" t="s">
        <v>7</v>
      </c>
      <c r="AC341" s="27" t="s">
        <v>8</v>
      </c>
      <c r="AD341" s="27" t="s">
        <v>7</v>
      </c>
      <c r="AE341" s="27" t="s">
        <v>8</v>
      </c>
      <c r="AF341" s="27" t="s">
        <v>7</v>
      </c>
      <c r="AG341" s="27" t="s">
        <v>8</v>
      </c>
      <c r="AH341" s="27" t="s">
        <v>7</v>
      </c>
      <c r="AI341" s="27" t="s">
        <v>8</v>
      </c>
      <c r="AJ341" s="27" t="s">
        <v>7</v>
      </c>
      <c r="AY341" s="27" t="s">
        <v>8</v>
      </c>
      <c r="AZ341" s="27" t="s">
        <v>7</v>
      </c>
      <c r="BA341" s="27" t="s">
        <v>8</v>
      </c>
      <c r="BB341" s="27" t="s">
        <v>7</v>
      </c>
      <c r="BC341" s="27" t="s">
        <v>8</v>
      </c>
      <c r="BD341" s="27" t="s">
        <v>7</v>
      </c>
      <c r="BE341" s="27" t="s">
        <v>8</v>
      </c>
    </row>
    <row r="342" spans="1:91" x14ac:dyDescent="0.25">
      <c r="A342" s="30">
        <v>6.8974965967103846E-3</v>
      </c>
      <c r="B342"/>
      <c r="C342"/>
      <c r="D342"/>
      <c r="E342"/>
      <c r="F342" s="27" t="s">
        <v>7</v>
      </c>
      <c r="G342" s="27" t="s">
        <v>8</v>
      </c>
      <c r="H342" s="27" t="s">
        <v>7</v>
      </c>
      <c r="I342" s="27" t="s">
        <v>8</v>
      </c>
      <c r="J342" s="27" t="s">
        <v>7</v>
      </c>
      <c r="K342" s="27" t="s">
        <v>8</v>
      </c>
      <c r="Z342" s="27" t="s">
        <v>7</v>
      </c>
      <c r="AA342" s="27" t="s">
        <v>8</v>
      </c>
      <c r="AB342" s="27" t="s">
        <v>7</v>
      </c>
      <c r="AD342" s="27" t="s">
        <v>7</v>
      </c>
      <c r="AF342" s="27" t="s">
        <v>7</v>
      </c>
      <c r="AG342" s="27" t="s">
        <v>8</v>
      </c>
      <c r="AH342" s="27" t="s">
        <v>7</v>
      </c>
      <c r="AI342" s="27" t="s">
        <v>8</v>
      </c>
      <c r="AJ342" s="27" t="s">
        <v>7</v>
      </c>
      <c r="AY342" s="27" t="s">
        <v>8</v>
      </c>
      <c r="AZ342" s="27" t="s">
        <v>7</v>
      </c>
      <c r="BA342" s="27" t="s">
        <v>8</v>
      </c>
      <c r="BB342" s="27" t="s">
        <v>7</v>
      </c>
      <c r="BC342" s="27" t="s">
        <v>8</v>
      </c>
      <c r="BD342" s="27" t="s">
        <v>7</v>
      </c>
      <c r="BE342" s="27" t="s">
        <v>8</v>
      </c>
    </row>
    <row r="343" spans="1:91" x14ac:dyDescent="0.25">
      <c r="A343" s="30">
        <v>6.5690443778194116E-3</v>
      </c>
      <c r="B343"/>
      <c r="C343"/>
      <c r="D343"/>
      <c r="E343"/>
      <c r="F343" s="27" t="s">
        <v>7</v>
      </c>
      <c r="G343" s="27" t="s">
        <v>8</v>
      </c>
      <c r="H343" s="27" t="s">
        <v>7</v>
      </c>
      <c r="I343" s="27" t="s">
        <v>8</v>
      </c>
      <c r="J343" s="27" t="s">
        <v>7</v>
      </c>
      <c r="Z343" s="27" t="s">
        <v>7</v>
      </c>
      <c r="AF343" s="27" t="s">
        <v>7</v>
      </c>
      <c r="AH343" s="27" t="s">
        <v>7</v>
      </c>
      <c r="AI343" s="27" t="s">
        <v>8</v>
      </c>
      <c r="AJ343" s="27" t="s">
        <v>7</v>
      </c>
      <c r="AY343" s="27" t="s">
        <v>8</v>
      </c>
      <c r="AZ343" s="27" t="s">
        <v>7</v>
      </c>
      <c r="BB343" s="27" t="s">
        <v>7</v>
      </c>
      <c r="BD343" s="27" t="s">
        <v>7</v>
      </c>
    </row>
    <row r="344" spans="1:91" x14ac:dyDescent="0.25">
      <c r="A344" s="30">
        <v>6.2562327407803897E-3</v>
      </c>
      <c r="B344"/>
      <c r="C344"/>
      <c r="D344"/>
      <c r="E344"/>
      <c r="F344" s="27" t="s">
        <v>7</v>
      </c>
      <c r="H344" s="27" t="s">
        <v>7</v>
      </c>
      <c r="I344" s="27" t="s">
        <v>8</v>
      </c>
      <c r="AH344" s="27" t="s">
        <v>7</v>
      </c>
      <c r="AI344" s="27" t="s">
        <v>8</v>
      </c>
      <c r="AJ344" s="27" t="s">
        <v>7</v>
      </c>
      <c r="AY344" s="27" t="s">
        <v>8</v>
      </c>
    </row>
    <row r="345" spans="1:91" x14ac:dyDescent="0.25">
      <c r="A345" s="30">
        <v>5.9583168959813212E-3</v>
      </c>
      <c r="B345"/>
      <c r="C345"/>
      <c r="D345"/>
      <c r="E345"/>
      <c r="H345" s="27" t="s">
        <v>7</v>
      </c>
      <c r="I345" s="27" t="s">
        <v>8</v>
      </c>
      <c r="AH345" s="27" t="s">
        <v>7</v>
      </c>
      <c r="AJ345" s="27" t="s">
        <v>7</v>
      </c>
      <c r="AY345" s="27" t="s">
        <v>8</v>
      </c>
    </row>
    <row r="346" spans="1:91" x14ac:dyDescent="0.25">
      <c r="A346" s="30">
        <v>5.6745875199822084E-3</v>
      </c>
      <c r="B346"/>
      <c r="C346"/>
      <c r="D346"/>
      <c r="E346"/>
      <c r="H346" s="27" t="s">
        <v>7</v>
      </c>
      <c r="I346" s="27" t="s">
        <v>8</v>
      </c>
      <c r="AJ346" s="27" t="s">
        <v>7</v>
      </c>
      <c r="AY346" s="27" t="s">
        <v>8</v>
      </c>
    </row>
    <row r="347" spans="1:91" x14ac:dyDescent="0.25">
      <c r="A347" s="30">
        <v>5.4043690666497205E-3</v>
      </c>
      <c r="B347"/>
      <c r="C347"/>
      <c r="D347"/>
      <c r="E347"/>
      <c r="H347" s="27" t="s">
        <v>7</v>
      </c>
      <c r="I347" s="27" t="s">
        <v>8</v>
      </c>
      <c r="AJ347" s="27" t="s">
        <v>7</v>
      </c>
      <c r="AS347" s="27" t="s">
        <v>8</v>
      </c>
      <c r="AU347" s="27" t="s">
        <v>8</v>
      </c>
      <c r="AW347" s="27" t="s">
        <v>8</v>
      </c>
      <c r="AY347" s="27" t="s">
        <v>8</v>
      </c>
    </row>
    <row r="348" spans="1:91" x14ac:dyDescent="0.25">
      <c r="A348" s="30">
        <v>5.1470181587140174E-3</v>
      </c>
      <c r="B348"/>
      <c r="C348"/>
      <c r="D348"/>
      <c r="E348"/>
      <c r="H348" s="27" t="s">
        <v>7</v>
      </c>
      <c r="AJ348" s="27" t="s">
        <v>7</v>
      </c>
      <c r="AS348" s="27" t="s">
        <v>8</v>
      </c>
      <c r="AT348" s="27" t="s">
        <v>7</v>
      </c>
      <c r="AU348" s="27" t="s">
        <v>8</v>
      </c>
      <c r="AV348" s="27" t="s">
        <v>7</v>
      </c>
      <c r="AW348" s="27" t="s">
        <v>8</v>
      </c>
      <c r="AX348" s="27" t="s">
        <v>7</v>
      </c>
      <c r="AY348" s="27" t="s">
        <v>8</v>
      </c>
    </row>
    <row r="349" spans="1:91" x14ac:dyDescent="0.25">
      <c r="A349" s="30">
        <v>4.9019220559181099E-3</v>
      </c>
      <c r="B349"/>
      <c r="C349"/>
      <c r="D349"/>
      <c r="E349"/>
      <c r="AJ349" s="27" t="s">
        <v>7</v>
      </c>
      <c r="AS349" s="27" t="s">
        <v>8</v>
      </c>
      <c r="AT349" s="27" t="s">
        <v>7</v>
      </c>
      <c r="AU349" s="27" t="s">
        <v>8</v>
      </c>
      <c r="AV349" s="27" t="s">
        <v>7</v>
      </c>
      <c r="AW349" s="27" t="s">
        <v>8</v>
      </c>
      <c r="AX349" s="27" t="s">
        <v>7</v>
      </c>
      <c r="AY349" s="27" t="s">
        <v>8</v>
      </c>
    </row>
    <row r="350" spans="1:91" x14ac:dyDescent="0.25">
      <c r="A350" s="30">
        <v>4.6684971961124836E-3</v>
      </c>
      <c r="B350"/>
      <c r="C350"/>
      <c r="D350"/>
      <c r="E350"/>
      <c r="AJ350" s="27" t="s">
        <v>7</v>
      </c>
      <c r="AS350" s="27" t="s">
        <v>8</v>
      </c>
      <c r="AT350" s="27" t="s">
        <v>7</v>
      </c>
      <c r="AU350" s="27" t="s">
        <v>8</v>
      </c>
      <c r="AV350" s="27" t="s">
        <v>7</v>
      </c>
      <c r="AX350" s="27" t="s">
        <v>7</v>
      </c>
      <c r="AY350" s="27" t="s">
        <v>8</v>
      </c>
    </row>
    <row r="351" spans="1:91" x14ac:dyDescent="0.25">
      <c r="A351" s="30">
        <v>4.4461878058214112E-3</v>
      </c>
      <c r="B351"/>
      <c r="C351"/>
      <c r="D351"/>
      <c r="E351"/>
      <c r="AJ351" s="27" t="s">
        <v>7</v>
      </c>
      <c r="AO351" s="27" t="s">
        <v>8</v>
      </c>
      <c r="AQ351" s="27" t="s">
        <v>8</v>
      </c>
      <c r="AS351" s="27" t="s">
        <v>8</v>
      </c>
      <c r="AT351" s="27" t="s">
        <v>7</v>
      </c>
      <c r="AU351" s="27" t="s">
        <v>8</v>
      </c>
      <c r="AX351" s="27" t="s">
        <v>7</v>
      </c>
    </row>
    <row r="352" spans="1:91" x14ac:dyDescent="0.25">
      <c r="A352" s="30">
        <v>4.2344645769727711E-3</v>
      </c>
      <c r="B352"/>
      <c r="C352"/>
      <c r="D352"/>
      <c r="E352"/>
      <c r="AJ352" s="27" t="s">
        <v>7</v>
      </c>
      <c r="AO352" s="27" t="s">
        <v>8</v>
      </c>
      <c r="AP352" s="27" t="s">
        <v>7</v>
      </c>
      <c r="AQ352" s="27" t="s">
        <v>8</v>
      </c>
      <c r="AR352" s="27" t="s">
        <v>7</v>
      </c>
      <c r="AS352" s="27" t="s">
        <v>8</v>
      </c>
      <c r="AT352" s="27" t="s">
        <v>7</v>
      </c>
      <c r="AU352" s="27" t="s">
        <v>8</v>
      </c>
    </row>
    <row r="353" spans="1:46" x14ac:dyDescent="0.25">
      <c r="A353" s="30">
        <v>4.0328234066407329E-3</v>
      </c>
      <c r="B353"/>
      <c r="C353"/>
      <c r="D353"/>
      <c r="E353"/>
      <c r="AJ353" s="27" t="s">
        <v>7</v>
      </c>
      <c r="AO353" s="27" t="s">
        <v>8</v>
      </c>
      <c r="AP353" s="27" t="s">
        <v>7</v>
      </c>
      <c r="AQ353" s="27" t="s">
        <v>8</v>
      </c>
      <c r="AR353" s="27" t="s">
        <v>7</v>
      </c>
      <c r="AS353" s="27" t="s">
        <v>8</v>
      </c>
      <c r="AT353" s="27" t="s">
        <v>7</v>
      </c>
    </row>
    <row r="354" spans="1:46" x14ac:dyDescent="0.25">
      <c r="A354" s="30">
        <v>3.8407841968006963E-3</v>
      </c>
      <c r="B354"/>
      <c r="C354"/>
      <c r="D354"/>
      <c r="E354"/>
      <c r="AJ354" s="27" t="s">
        <v>7</v>
      </c>
      <c r="AK354" s="27" t="s">
        <v>8</v>
      </c>
      <c r="AO354" s="27" t="s">
        <v>8</v>
      </c>
      <c r="AP354" s="27" t="s">
        <v>7</v>
      </c>
      <c r="AQ354" s="27" t="s">
        <v>8</v>
      </c>
      <c r="AR354" s="27" t="s">
        <v>7</v>
      </c>
      <c r="AS354" s="27" t="s">
        <v>8</v>
      </c>
    </row>
    <row r="355" spans="1:46" x14ac:dyDescent="0.25">
      <c r="A355" s="30">
        <v>3.6578897112387568E-3</v>
      </c>
      <c r="B355"/>
      <c r="C355"/>
      <c r="D355"/>
      <c r="E355"/>
      <c r="AJ355" s="27" t="s">
        <v>7</v>
      </c>
      <c r="AK355" s="27" t="s">
        <v>8</v>
      </c>
      <c r="AL355" s="27" t="s">
        <v>7</v>
      </c>
      <c r="AO355" s="27" t="s">
        <v>8</v>
      </c>
      <c r="AP355" s="27" t="s">
        <v>7</v>
      </c>
      <c r="AR355" s="27" t="s">
        <v>7</v>
      </c>
    </row>
    <row r="356" spans="1:46" x14ac:dyDescent="0.25">
      <c r="A356" s="30">
        <v>3.4837044868940526E-3</v>
      </c>
      <c r="B356"/>
      <c r="C356"/>
      <c r="D356"/>
      <c r="E356"/>
      <c r="AJ356" s="27" t="s">
        <v>7</v>
      </c>
      <c r="AK356" s="27" t="s">
        <v>8</v>
      </c>
      <c r="AL356" s="27" t="s">
        <v>7</v>
      </c>
      <c r="AO356" s="27" t="s">
        <v>8</v>
      </c>
    </row>
    <row r="357" spans="1:46" x14ac:dyDescent="0.25">
      <c r="A357" s="30">
        <v>3.3178137970419535E-3</v>
      </c>
      <c r="B357"/>
      <c r="C357"/>
      <c r="D357"/>
      <c r="E357"/>
      <c r="AJ357" s="27" t="s">
        <v>7</v>
      </c>
      <c r="AK357" s="27" t="s">
        <v>8</v>
      </c>
      <c r="AL357" s="27" t="s">
        <v>7</v>
      </c>
      <c r="AM357" s="27" t="s">
        <v>8</v>
      </c>
      <c r="AO357" s="27" t="s">
        <v>8</v>
      </c>
    </row>
    <row r="358" spans="1:46" x14ac:dyDescent="0.25">
      <c r="A358" s="30">
        <v>3.1598226638494781E-3</v>
      </c>
      <c r="B358"/>
      <c r="C358"/>
      <c r="D358"/>
      <c r="E358"/>
      <c r="AJ358" s="27" t="s">
        <v>7</v>
      </c>
      <c r="AK358" s="27" t="s">
        <v>8</v>
      </c>
      <c r="AL358" s="27" t="s">
        <v>7</v>
      </c>
      <c r="AM358" s="27" t="s">
        <v>8</v>
      </c>
      <c r="AN358" s="27" t="s">
        <v>7</v>
      </c>
      <c r="AO358" s="27" t="s">
        <v>8</v>
      </c>
    </row>
    <row r="359" spans="1:46" x14ac:dyDescent="0.25">
      <c r="A359" s="30">
        <v>3.0093549179518826E-3</v>
      </c>
      <c r="B359"/>
      <c r="C359"/>
      <c r="D359"/>
      <c r="E359"/>
      <c r="AJ359" s="27" t="s">
        <v>7</v>
      </c>
      <c r="AK359" s="27" t="s">
        <v>8</v>
      </c>
      <c r="AL359" s="27" t="s">
        <v>7</v>
      </c>
      <c r="AM359" s="27" t="s">
        <v>8</v>
      </c>
      <c r="AN359" s="27" t="s">
        <v>7</v>
      </c>
      <c r="AO359" s="27" t="s">
        <v>8</v>
      </c>
    </row>
    <row r="360" spans="1:46" x14ac:dyDescent="0.25">
      <c r="A360" s="30">
        <v>2.8660523028113155E-3</v>
      </c>
      <c r="B360"/>
      <c r="C360"/>
      <c r="D360"/>
      <c r="E360"/>
      <c r="AJ360" s="27" t="s">
        <v>7</v>
      </c>
      <c r="AK360" s="27" t="s">
        <v>8</v>
      </c>
      <c r="AL360" s="27" t="s">
        <v>7</v>
      </c>
      <c r="AM360" s="27" t="s">
        <v>8</v>
      </c>
      <c r="AN360" s="27" t="s">
        <v>7</v>
      </c>
    </row>
    <row r="361" spans="1:46" x14ac:dyDescent="0.25">
      <c r="A361" s="30">
        <v>2.7295736217250611E-3</v>
      </c>
      <c r="B361"/>
      <c r="C361"/>
      <c r="D361"/>
      <c r="E361"/>
      <c r="AJ361" s="27" t="s">
        <v>7</v>
      </c>
      <c r="AK361" s="27" t="s">
        <v>8</v>
      </c>
      <c r="AL361" s="27" t="s">
        <v>7</v>
      </c>
    </row>
    <row r="362" spans="1:46" x14ac:dyDescent="0.25">
      <c r="A362" s="30">
        <v>2.5995939254524381E-3</v>
      </c>
      <c r="B362"/>
      <c r="C362"/>
      <c r="D362"/>
      <c r="E362"/>
      <c r="AJ362" s="27" t="s">
        <v>7</v>
      </c>
      <c r="AK362" s="27" t="s">
        <v>8</v>
      </c>
    </row>
    <row r="363" spans="1:46" x14ac:dyDescent="0.25">
      <c r="A363" s="30">
        <v>2.4758037385261304E-3</v>
      </c>
      <c r="B363"/>
      <c r="C363"/>
      <c r="D363"/>
      <c r="E363"/>
      <c r="AJ363" s="27" t="s">
        <v>7</v>
      </c>
      <c r="AK363" s="27" t="s">
        <v>8</v>
      </c>
    </row>
    <row r="364" spans="1:46" x14ac:dyDescent="0.25">
      <c r="A364" s="30">
        <v>2.3579083224058374E-3</v>
      </c>
      <c r="B364"/>
      <c r="C364"/>
      <c r="D364"/>
      <c r="E364"/>
      <c r="AJ364" s="27" t="s">
        <v>7</v>
      </c>
      <c r="AK364" s="27" t="s">
        <v>8</v>
      </c>
    </row>
    <row r="365" spans="1:46" x14ac:dyDescent="0.25">
      <c r="A365" s="30">
        <v>2.245626973719844E-3</v>
      </c>
      <c r="B365"/>
      <c r="C365"/>
      <c r="D365"/>
      <c r="E365"/>
      <c r="AJ365" s="27" t="s">
        <v>7</v>
      </c>
    </row>
    <row r="366" spans="1:46" x14ac:dyDescent="0.25">
      <c r="A366" s="30">
        <v>2.1386923559236601E-3</v>
      </c>
      <c r="B366"/>
      <c r="C366"/>
      <c r="D366"/>
      <c r="E366"/>
    </row>
    <row r="367" spans="1:46" x14ac:dyDescent="0.25">
      <c r="A367" s="30">
        <v>2.0368498627844375E-3</v>
      </c>
      <c r="B367"/>
      <c r="C367"/>
      <c r="D367"/>
      <c r="E367"/>
    </row>
    <row r="368" spans="1:46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516" operator="equal">
      <formula>$U$1</formula>
    </cfRule>
    <cfRule type="cellIs" dxfId="67" priority="1517" operator="equal">
      <formula>$S$1</formula>
    </cfRule>
  </conditionalFormatting>
  <conditionalFormatting sqref="D136">
    <cfRule type="cellIs" dxfId="66" priority="1514" operator="equal">
      <formula>$S$1</formula>
    </cfRule>
    <cfRule type="cellIs" dxfId="65" priority="1515" operator="equal">
      <formula>$U$1</formula>
    </cfRule>
  </conditionalFormatting>
  <conditionalFormatting sqref="C162">
    <cfRule type="cellIs" dxfId="64" priority="1512" operator="equal">
      <formula>$U$1</formula>
    </cfRule>
    <cfRule type="cellIs" dxfId="63" priority="1513" operator="equal">
      <formula>$S$1</formula>
    </cfRule>
  </conditionalFormatting>
  <conditionalFormatting sqref="D162">
    <cfRule type="cellIs" dxfId="62" priority="1510" operator="equal">
      <formula>$S$1</formula>
    </cfRule>
    <cfRule type="cellIs" dxfId="61" priority="1511" operator="equal">
      <formula>$U$1</formula>
    </cfRule>
  </conditionalFormatting>
  <conditionalFormatting sqref="C187">
    <cfRule type="cellIs" dxfId="60" priority="1508" operator="equal">
      <formula>$U$1</formula>
    </cfRule>
    <cfRule type="cellIs" dxfId="59" priority="1509" operator="equal">
      <formula>$S$1</formula>
    </cfRule>
  </conditionalFormatting>
  <conditionalFormatting sqref="D187">
    <cfRule type="cellIs" dxfId="58" priority="1506" operator="equal">
      <formula>$S$1</formula>
    </cfRule>
    <cfRule type="cellIs" dxfId="57" priority="1507" operator="equal">
      <formula>$U$1</formula>
    </cfRule>
  </conditionalFormatting>
  <conditionalFormatting sqref="C212">
    <cfRule type="cellIs" dxfId="56" priority="1504" operator="equal">
      <formula>$U$1</formula>
    </cfRule>
    <cfRule type="cellIs" dxfId="55" priority="1505" operator="equal">
      <formula>$S$1</formula>
    </cfRule>
  </conditionalFormatting>
  <conditionalFormatting sqref="D212">
    <cfRule type="cellIs" dxfId="54" priority="1502" operator="equal">
      <formula>$S$1</formula>
    </cfRule>
    <cfRule type="cellIs" dxfId="53" priority="1503" operator="equal">
      <formula>$U$1</formula>
    </cfRule>
  </conditionalFormatting>
  <conditionalFormatting sqref="C237">
    <cfRule type="cellIs" dxfId="52" priority="1500" operator="equal">
      <formula>$U$1</formula>
    </cfRule>
    <cfRule type="cellIs" dxfId="51" priority="1501" operator="equal">
      <formula>$S$1</formula>
    </cfRule>
  </conditionalFormatting>
  <conditionalFormatting sqref="D237">
    <cfRule type="cellIs" dxfId="50" priority="1498" operator="equal">
      <formula>$S$1</formula>
    </cfRule>
    <cfRule type="cellIs" dxfId="49" priority="1499" operator="equal">
      <formula>$U$1</formula>
    </cfRule>
  </conditionalFormatting>
  <conditionalFormatting sqref="C106">
    <cfRule type="cellIs" dxfId="48" priority="1496" operator="equal">
      <formula>$U$1</formula>
    </cfRule>
    <cfRule type="cellIs" dxfId="47" priority="1497" operator="equal">
      <formula>$S$1</formula>
    </cfRule>
  </conditionalFormatting>
  <conditionalFormatting sqref="D106">
    <cfRule type="cellIs" dxfId="46" priority="1494" operator="equal">
      <formula>$S$1</formula>
    </cfRule>
    <cfRule type="cellIs" dxfId="45" priority="1495" operator="equal">
      <formula>$U$1</formula>
    </cfRule>
  </conditionalFormatting>
  <conditionalFormatting sqref="C81">
    <cfRule type="cellIs" dxfId="44" priority="1492" operator="equal">
      <formula>$U$1</formula>
    </cfRule>
    <cfRule type="cellIs" dxfId="43" priority="1493" operator="equal">
      <formula>$S$1</formula>
    </cfRule>
  </conditionalFormatting>
  <conditionalFormatting sqref="D81">
    <cfRule type="cellIs" dxfId="42" priority="1490" operator="equal">
      <formula>$S$1</formula>
    </cfRule>
    <cfRule type="cellIs" dxfId="41" priority="1491" operator="equal">
      <formula>$U$1</formula>
    </cfRule>
  </conditionalFormatting>
  <conditionalFormatting sqref="C56">
    <cfRule type="cellIs" dxfId="40" priority="1488" operator="equal">
      <formula>$U$1</formula>
    </cfRule>
    <cfRule type="cellIs" dxfId="39" priority="1489" operator="equal">
      <formula>$S$1</formula>
    </cfRule>
  </conditionalFormatting>
  <conditionalFormatting sqref="D56">
    <cfRule type="cellIs" dxfId="38" priority="1486" operator="equal">
      <formula>$S$1</formula>
    </cfRule>
    <cfRule type="cellIs" dxfId="37" priority="1487" operator="equal">
      <formula>$U$1</formula>
    </cfRule>
  </conditionalFormatting>
  <conditionalFormatting sqref="C31">
    <cfRule type="cellIs" dxfId="36" priority="1484" operator="equal">
      <formula>$U$1</formula>
    </cfRule>
    <cfRule type="cellIs" dxfId="35" priority="1485" operator="equal">
      <formula>$S$1</formula>
    </cfRule>
  </conditionalFormatting>
  <conditionalFormatting sqref="D31">
    <cfRule type="cellIs" dxfId="34" priority="1482" operator="equal">
      <formula>$S$1</formula>
    </cfRule>
    <cfRule type="cellIs" dxfId="33" priority="148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CP156" sqref="CP15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$A$155</v>
      </c>
      <c r="D111" s="1" t="str">
        <f>ADDRESS(C121-1,D121,1,1)</f>
        <v>$CP$155</v>
      </c>
      <c r="E111"/>
    </row>
    <row r="112" spans="1:5" x14ac:dyDescent="0.25">
      <c r="A112" s="30">
        <v>2.3579476910000019</v>
      </c>
      <c r="C112" s="1" t="str">
        <f>ADDRESS(C121,1,1,1)</f>
        <v>$A$156</v>
      </c>
      <c r="D112" s="1" t="str">
        <f>ADDRESS(C121,D121-1,1,1)</f>
        <v>$CO$156</v>
      </c>
      <c r="E112"/>
    </row>
    <row r="113" spans="1:6" x14ac:dyDescent="0.25">
      <c r="A113" s="30">
        <v>2.1435888100000016</v>
      </c>
      <c r="C113" s="1" t="str">
        <f>ADDRESS(C121+1,1,1,1)</f>
        <v>$A$157</v>
      </c>
      <c r="D113" s="1" t="str">
        <f>ADDRESS(C121-1,D121+1,1,1)</f>
        <v>$CQ$155</v>
      </c>
    </row>
    <row r="114" spans="1:6" x14ac:dyDescent="0.25">
      <c r="A114" s="30">
        <v>1.9487171000000014</v>
      </c>
      <c r="C114" s="1" t="str">
        <f>ADDRESS(C121,D121,1,1)</f>
        <v>$CP$156</v>
      </c>
      <c r="D114" s="1" t="str">
        <f>ADDRESS(C121+1,D121+1,1,1)</f>
        <v>$CQ$157</v>
      </c>
    </row>
    <row r="115" spans="1:6" x14ac:dyDescent="0.25">
      <c r="A115" s="30">
        <v>1.7715610000000011</v>
      </c>
      <c r="C115" s="1" t="str">
        <f>ADDRESS(C121+1,D121,1,1)</f>
        <v>$CP$157</v>
      </c>
    </row>
    <row r="116" spans="1:6" x14ac:dyDescent="0.25">
      <c r="A116" s="30">
        <v>1.6105100000000008</v>
      </c>
      <c r="C116" s="1">
        <f>C117-1</f>
        <v>155</v>
      </c>
    </row>
    <row r="117" spans="1:6" x14ac:dyDescent="0.25">
      <c r="A117" s="30">
        <v>1.4641000000000006</v>
      </c>
      <c r="C117" s="1">
        <f>C121</f>
        <v>156</v>
      </c>
      <c r="D117" s="1">
        <f>D121</f>
        <v>94</v>
      </c>
    </row>
    <row r="118" spans="1:6" x14ac:dyDescent="0.25">
      <c r="A118" s="30">
        <v>1.3310000000000004</v>
      </c>
      <c r="C118" s="1">
        <f>C117+1</f>
        <v>157</v>
      </c>
      <c r="D118" s="1">
        <f>D117+1</f>
        <v>95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156</v>
      </c>
      <c r="D121" s="19">
        <v>94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R156</v>
      </c>
      <c r="D123" s="1" t="str">
        <f>"C"&amp;D121</f>
        <v>C94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3.55841027383672E-2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91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91" x14ac:dyDescent="0.25">
      <c r="A130" s="30">
        <v>0.42409761837248428</v>
      </c>
      <c r="C130" s="6"/>
      <c r="D130" s="6"/>
      <c r="E130"/>
      <c r="F130" s="27" t="s">
        <v>7</v>
      </c>
    </row>
    <row r="131" spans="1:91" x14ac:dyDescent="0.25">
      <c r="A131" s="30">
        <v>0.38554328942953109</v>
      </c>
      <c r="E131"/>
      <c r="F131" s="27" t="s">
        <v>7</v>
      </c>
    </row>
    <row r="132" spans="1:91" x14ac:dyDescent="0.25">
      <c r="A132" s="30">
        <v>0.35049389948139187</v>
      </c>
      <c r="C132" s="1" t="s">
        <v>13</v>
      </c>
      <c r="E132"/>
      <c r="F132" s="27" t="s">
        <v>7</v>
      </c>
    </row>
    <row r="133" spans="1:91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91" x14ac:dyDescent="0.25">
      <c r="A134" s="30">
        <v>0.28966437973668741</v>
      </c>
      <c r="C134"/>
      <c r="D134"/>
      <c r="E134"/>
      <c r="F134" s="27" t="s">
        <v>7</v>
      </c>
    </row>
    <row r="135" spans="1:91" x14ac:dyDescent="0.25">
      <c r="A135" s="30">
        <v>0.2633312543060794</v>
      </c>
      <c r="C135" s="1" t="s">
        <v>14</v>
      </c>
      <c r="E135"/>
      <c r="F135" s="27" t="s">
        <v>7</v>
      </c>
    </row>
    <row r="136" spans="1:91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91" x14ac:dyDescent="0.25">
      <c r="A137" s="30">
        <v>0.2176291357901482</v>
      </c>
      <c r="E137"/>
      <c r="F137" s="27" t="s">
        <v>7</v>
      </c>
    </row>
    <row r="138" spans="1:91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91" x14ac:dyDescent="0.25">
      <c r="A139" s="30">
        <v>0.17985878990921333</v>
      </c>
      <c r="E139"/>
      <c r="F139" s="27" t="s">
        <v>7</v>
      </c>
      <c r="AS139" s="27" t="s">
        <v>8</v>
      </c>
      <c r="BS139" s="27" t="s">
        <v>8</v>
      </c>
    </row>
    <row r="140" spans="1:91" x14ac:dyDescent="0.25">
      <c r="A140" s="30">
        <v>0.16350799082655756</v>
      </c>
      <c r="C140" s="1">
        <v>0</v>
      </c>
      <c r="E140"/>
      <c r="F140" s="27" t="s">
        <v>7</v>
      </c>
      <c r="AS140" s="27" t="s">
        <v>8</v>
      </c>
      <c r="AT140" s="27" t="s">
        <v>7</v>
      </c>
      <c r="BS140" s="27" t="s">
        <v>8</v>
      </c>
      <c r="BT140" s="27" t="s">
        <v>7</v>
      </c>
    </row>
    <row r="141" spans="1:91" x14ac:dyDescent="0.25">
      <c r="A141" s="30">
        <v>0.14864362802414322</v>
      </c>
      <c r="C141" s="1">
        <v>1</v>
      </c>
      <c r="E141"/>
      <c r="F141" s="27" t="s">
        <v>7</v>
      </c>
      <c r="AQ141" s="27" t="s">
        <v>8</v>
      </c>
      <c r="AS141" s="27" t="s">
        <v>8</v>
      </c>
      <c r="AT141" s="27" t="s">
        <v>7</v>
      </c>
      <c r="BQ141" s="27" t="s">
        <v>8</v>
      </c>
      <c r="BS141" s="27" t="s">
        <v>8</v>
      </c>
      <c r="BT141" s="27" t="s">
        <v>7</v>
      </c>
    </row>
    <row r="142" spans="1:91" x14ac:dyDescent="0.25">
      <c r="A142" s="30">
        <v>0.13513057093103928</v>
      </c>
      <c r="C142" s="1">
        <v>2</v>
      </c>
      <c r="E142"/>
      <c r="F142" s="27" t="s">
        <v>7</v>
      </c>
      <c r="AQ142" s="27" t="s">
        <v>8</v>
      </c>
      <c r="AR142" s="27" t="s">
        <v>7</v>
      </c>
      <c r="AS142" s="27" t="s">
        <v>8</v>
      </c>
      <c r="AT142" s="27" t="s">
        <v>7</v>
      </c>
      <c r="BQ142" s="27" t="s">
        <v>8</v>
      </c>
      <c r="BR142" s="27" t="s">
        <v>7</v>
      </c>
      <c r="BS142" s="27" t="s">
        <v>8</v>
      </c>
      <c r="BT142" s="27" t="s">
        <v>7</v>
      </c>
    </row>
    <row r="143" spans="1:91" x14ac:dyDescent="0.25">
      <c r="A143" s="30">
        <v>0.12284597357367205</v>
      </c>
      <c r="C143" s="1">
        <v>3</v>
      </c>
      <c r="E143"/>
      <c r="F143" s="27" t="s">
        <v>7</v>
      </c>
      <c r="AO143" s="27" t="s">
        <v>8</v>
      </c>
      <c r="AQ143" s="27" t="s">
        <v>8</v>
      </c>
      <c r="AR143" s="27" t="s">
        <v>7</v>
      </c>
      <c r="AS143" s="27" t="s">
        <v>8</v>
      </c>
      <c r="AT143" s="27" t="s">
        <v>7</v>
      </c>
      <c r="AU143" s="27" t="s">
        <v>8</v>
      </c>
      <c r="BO143" s="27" t="s">
        <v>8</v>
      </c>
      <c r="BQ143" s="27" t="s">
        <v>8</v>
      </c>
      <c r="BR143" s="27" t="s">
        <v>7</v>
      </c>
      <c r="BS143" s="27" t="s">
        <v>8</v>
      </c>
      <c r="BT143" s="27" t="s">
        <v>7</v>
      </c>
      <c r="BU143" s="27" t="s">
        <v>8</v>
      </c>
    </row>
    <row r="144" spans="1:91" x14ac:dyDescent="0.25">
      <c r="A144" s="30">
        <v>0.11167815779424731</v>
      </c>
      <c r="C144" s="1">
        <v>4</v>
      </c>
      <c r="E144"/>
      <c r="F144" s="27" t="s">
        <v>7</v>
      </c>
      <c r="AM144" s="27" t="s">
        <v>8</v>
      </c>
      <c r="AO144" s="27" t="s">
        <v>8</v>
      </c>
      <c r="AP144" s="27" t="s">
        <v>7</v>
      </c>
      <c r="AQ144" s="27" t="s">
        <v>8</v>
      </c>
      <c r="AR144" s="27" t="s">
        <v>7</v>
      </c>
      <c r="AT144" s="27" t="s">
        <v>7</v>
      </c>
      <c r="AU144" s="27" t="s">
        <v>8</v>
      </c>
      <c r="AV144" s="27" t="s">
        <v>7</v>
      </c>
      <c r="BC144" s="27" t="s">
        <v>8</v>
      </c>
      <c r="BM144" s="27" t="s">
        <v>8</v>
      </c>
      <c r="BO144" s="27" t="s">
        <v>8</v>
      </c>
      <c r="BP144" s="27" t="s">
        <v>7</v>
      </c>
      <c r="BQ144" s="27" t="s">
        <v>8</v>
      </c>
      <c r="BR144" s="27" t="s">
        <v>7</v>
      </c>
      <c r="BT144" s="27" t="s">
        <v>7</v>
      </c>
      <c r="BU144" s="27" t="s">
        <v>8</v>
      </c>
      <c r="BV144" s="27" t="s">
        <v>7</v>
      </c>
      <c r="CC144" s="27" t="s">
        <v>8</v>
      </c>
      <c r="CG144" s="27" t="s">
        <v>8</v>
      </c>
      <c r="CI144" s="27" t="s">
        <v>8</v>
      </c>
      <c r="CK144" s="27" t="s">
        <v>8</v>
      </c>
      <c r="CM144" s="27" t="s">
        <v>8</v>
      </c>
    </row>
    <row r="145" spans="1:94" x14ac:dyDescent="0.25">
      <c r="A145" s="30">
        <v>0.10152559799477026</v>
      </c>
      <c r="B145"/>
      <c r="C145"/>
      <c r="D145"/>
      <c r="E145"/>
      <c r="F145" s="27" t="s">
        <v>7</v>
      </c>
      <c r="AM145" s="27" t="s">
        <v>8</v>
      </c>
      <c r="AN145" s="27" t="s">
        <v>7</v>
      </c>
      <c r="AO145" s="27" t="s">
        <v>8</v>
      </c>
      <c r="AP145" s="27" t="s">
        <v>7</v>
      </c>
      <c r="AQ145" s="27" t="s">
        <v>8</v>
      </c>
      <c r="AT145" s="27" t="s">
        <v>7</v>
      </c>
      <c r="AU145" s="27" t="s">
        <v>8</v>
      </c>
      <c r="AV145" s="27" t="s">
        <v>7</v>
      </c>
      <c r="BA145" s="27" t="s">
        <v>8</v>
      </c>
      <c r="BC145" s="27" t="s">
        <v>8</v>
      </c>
      <c r="BD145" s="27" t="s">
        <v>7</v>
      </c>
      <c r="BE145" s="27" t="s">
        <v>8</v>
      </c>
      <c r="BM145" s="27" t="s">
        <v>8</v>
      </c>
      <c r="BN145" s="27" t="s">
        <v>7</v>
      </c>
      <c r="BO145" s="27" t="s">
        <v>8</v>
      </c>
      <c r="BP145" s="27" t="s">
        <v>7</v>
      </c>
      <c r="BQ145" s="27" t="s">
        <v>8</v>
      </c>
      <c r="BT145" s="27" t="s">
        <v>7</v>
      </c>
      <c r="BU145" s="27" t="s">
        <v>8</v>
      </c>
      <c r="BV145" s="27" t="s">
        <v>7</v>
      </c>
      <c r="CA145" s="27" t="s">
        <v>8</v>
      </c>
      <c r="CC145" s="27" t="s">
        <v>8</v>
      </c>
      <c r="CD145" s="27" t="s">
        <v>7</v>
      </c>
      <c r="CE145" s="27" t="s">
        <v>8</v>
      </c>
      <c r="CG145" s="27" t="s">
        <v>8</v>
      </c>
      <c r="CH145" s="27" t="s">
        <v>7</v>
      </c>
      <c r="CI145" s="27" t="s">
        <v>8</v>
      </c>
      <c r="CJ145" s="27" t="s">
        <v>7</v>
      </c>
      <c r="CK145" s="27" t="s">
        <v>8</v>
      </c>
      <c r="CL145" s="27" t="s">
        <v>7</v>
      </c>
      <c r="CM145" s="27" t="s">
        <v>8</v>
      </c>
      <c r="CN145" s="27" t="s">
        <v>7</v>
      </c>
    </row>
    <row r="146" spans="1:94" x14ac:dyDescent="0.25">
      <c r="A146" s="30">
        <v>9.2295998177063854E-2</v>
      </c>
      <c r="B146"/>
      <c r="C146"/>
      <c r="D146"/>
      <c r="E146"/>
      <c r="F146" s="27" t="s">
        <v>7</v>
      </c>
      <c r="AM146" s="27" t="s">
        <v>8</v>
      </c>
      <c r="AN146" s="27" t="s">
        <v>7</v>
      </c>
      <c r="AO146" s="27" t="s">
        <v>8</v>
      </c>
      <c r="AP146" s="27" t="s">
        <v>7</v>
      </c>
      <c r="AQ146" s="27" t="s">
        <v>8</v>
      </c>
      <c r="AT146" s="27" t="s">
        <v>7</v>
      </c>
      <c r="AU146" s="27" t="s">
        <v>8</v>
      </c>
      <c r="AV146" s="27" t="s">
        <v>7</v>
      </c>
      <c r="BA146" s="27" t="s">
        <v>8</v>
      </c>
      <c r="BB146" s="27" t="s">
        <v>7</v>
      </c>
      <c r="BC146" s="27" t="s">
        <v>8</v>
      </c>
      <c r="BD146" s="27" t="s">
        <v>7</v>
      </c>
      <c r="BE146" s="27" t="s">
        <v>8</v>
      </c>
      <c r="BF146" s="27" t="s">
        <v>7</v>
      </c>
      <c r="BM146" s="27" t="s">
        <v>8</v>
      </c>
      <c r="BN146" s="27" t="s">
        <v>7</v>
      </c>
      <c r="BO146" s="27" t="s">
        <v>8</v>
      </c>
      <c r="BP146" s="27" t="s">
        <v>7</v>
      </c>
      <c r="BQ146" s="27" t="s">
        <v>8</v>
      </c>
      <c r="BT146" s="27" t="s">
        <v>7</v>
      </c>
      <c r="BU146" s="27" t="s">
        <v>8</v>
      </c>
      <c r="BV146" s="27" t="s">
        <v>7</v>
      </c>
      <c r="CA146" s="27" t="s">
        <v>8</v>
      </c>
      <c r="CB146" s="27" t="s">
        <v>7</v>
      </c>
      <c r="CC146" s="27" t="s">
        <v>8</v>
      </c>
      <c r="CD146" s="27" t="s">
        <v>7</v>
      </c>
      <c r="CE146" s="27" t="s">
        <v>8</v>
      </c>
      <c r="CF146" s="27" t="s">
        <v>7</v>
      </c>
      <c r="CG146" s="27" t="s">
        <v>8</v>
      </c>
      <c r="CH146" s="27" t="s">
        <v>7</v>
      </c>
      <c r="CI146" s="27" t="s">
        <v>8</v>
      </c>
      <c r="CJ146" s="27" t="s">
        <v>7</v>
      </c>
      <c r="CK146" s="27" t="s">
        <v>8</v>
      </c>
      <c r="CL146" s="27" t="s">
        <v>7</v>
      </c>
      <c r="CM146" s="27" t="s">
        <v>8</v>
      </c>
      <c r="CN146" s="27" t="s">
        <v>7</v>
      </c>
    </row>
    <row r="147" spans="1:94" x14ac:dyDescent="0.25">
      <c r="A147" s="30">
        <v>8.3905452888239848E-2</v>
      </c>
      <c r="B147"/>
      <c r="C147"/>
      <c r="D147"/>
      <c r="E147"/>
      <c r="F147" s="27" t="s">
        <v>7</v>
      </c>
      <c r="AM147" s="27" t="s">
        <v>8</v>
      </c>
      <c r="AN147" s="27" t="s">
        <v>7</v>
      </c>
      <c r="AP147" s="27" t="s">
        <v>7</v>
      </c>
      <c r="AQ147" s="27" t="s">
        <v>8</v>
      </c>
      <c r="AT147" s="27" t="s">
        <v>7</v>
      </c>
      <c r="AU147" s="27" t="s">
        <v>8</v>
      </c>
      <c r="AV147" s="27" t="s">
        <v>7</v>
      </c>
      <c r="BA147" s="27" t="s">
        <v>8</v>
      </c>
      <c r="BB147" s="27" t="s">
        <v>7</v>
      </c>
      <c r="BC147" s="27" t="s">
        <v>8</v>
      </c>
      <c r="BD147" s="27" t="s">
        <v>7</v>
      </c>
      <c r="BE147" s="27" t="s">
        <v>8</v>
      </c>
      <c r="BF147" s="27" t="s">
        <v>7</v>
      </c>
      <c r="BM147" s="27" t="s">
        <v>8</v>
      </c>
      <c r="BN147" s="27" t="s">
        <v>7</v>
      </c>
      <c r="BP147" s="27" t="s">
        <v>7</v>
      </c>
      <c r="BQ147" s="27" t="s">
        <v>8</v>
      </c>
      <c r="BT147" s="27" t="s">
        <v>7</v>
      </c>
      <c r="BU147" s="27" t="s">
        <v>8</v>
      </c>
      <c r="BV147" s="27" t="s">
        <v>7</v>
      </c>
      <c r="CA147" s="27" t="s">
        <v>8</v>
      </c>
      <c r="CB147" s="27" t="s">
        <v>7</v>
      </c>
      <c r="CC147" s="27" t="s">
        <v>8</v>
      </c>
      <c r="CD147" s="27" t="s">
        <v>7</v>
      </c>
      <c r="CE147" s="27" t="s">
        <v>8</v>
      </c>
      <c r="CF147" s="27" t="s">
        <v>7</v>
      </c>
      <c r="CG147" s="27" t="s">
        <v>8</v>
      </c>
      <c r="CH147" s="27" t="s">
        <v>7</v>
      </c>
      <c r="CJ147" s="27" t="s">
        <v>7</v>
      </c>
      <c r="CK147" s="27" t="s">
        <v>8</v>
      </c>
      <c r="CL147" s="27" t="s">
        <v>7</v>
      </c>
      <c r="CM147" s="27" t="s">
        <v>8</v>
      </c>
      <c r="CN147" s="27" t="s">
        <v>7</v>
      </c>
      <c r="CO147" s="27" t="s">
        <v>8</v>
      </c>
    </row>
    <row r="148" spans="1:94" x14ac:dyDescent="0.25">
      <c r="A148" s="30">
        <v>7.6277684443854396E-2</v>
      </c>
      <c r="B148"/>
      <c r="C148"/>
      <c r="D148"/>
      <c r="E148"/>
      <c r="F148" s="27" t="s">
        <v>7</v>
      </c>
      <c r="AM148" s="27" t="s">
        <v>8</v>
      </c>
      <c r="AP148" s="27" t="s">
        <v>7</v>
      </c>
      <c r="AT148" s="27" t="s">
        <v>7</v>
      </c>
      <c r="AU148" s="27" t="s">
        <v>8</v>
      </c>
      <c r="AV148" s="27" t="s">
        <v>7</v>
      </c>
      <c r="AY148" s="27" t="s">
        <v>8</v>
      </c>
      <c r="BA148" s="27" t="s">
        <v>8</v>
      </c>
      <c r="BB148" s="27" t="s">
        <v>7</v>
      </c>
      <c r="BC148" s="27" t="s">
        <v>8</v>
      </c>
      <c r="BD148" s="27" t="s">
        <v>7</v>
      </c>
      <c r="BE148" s="27" t="s">
        <v>8</v>
      </c>
      <c r="BF148" s="27" t="s">
        <v>7</v>
      </c>
      <c r="BM148" s="27" t="s">
        <v>8</v>
      </c>
      <c r="BP148" s="27" t="s">
        <v>7</v>
      </c>
      <c r="BT148" s="27" t="s">
        <v>7</v>
      </c>
      <c r="BU148" s="27" t="s">
        <v>8</v>
      </c>
      <c r="BV148" s="27" t="s">
        <v>7</v>
      </c>
      <c r="BY148" s="27" t="s">
        <v>8</v>
      </c>
      <c r="CA148" s="27" t="s">
        <v>8</v>
      </c>
      <c r="CB148" s="27" t="s">
        <v>7</v>
      </c>
      <c r="CC148" s="27" t="s">
        <v>8</v>
      </c>
      <c r="CD148" s="27" t="s">
        <v>7</v>
      </c>
      <c r="CE148" s="27" t="s">
        <v>8</v>
      </c>
      <c r="CF148" s="27" t="s">
        <v>7</v>
      </c>
      <c r="CG148" s="27" t="s">
        <v>8</v>
      </c>
      <c r="CJ148" s="27" t="s">
        <v>7</v>
      </c>
      <c r="CL148" s="27" t="s">
        <v>7</v>
      </c>
      <c r="CN148" s="27" t="s">
        <v>7</v>
      </c>
      <c r="CO148" s="27" t="s">
        <v>8</v>
      </c>
      <c r="CP148" s="27" t="s">
        <v>7</v>
      </c>
    </row>
    <row r="149" spans="1:94" x14ac:dyDescent="0.25">
      <c r="A149" s="30">
        <v>6.9343349494413078E-2</v>
      </c>
      <c r="B149"/>
      <c r="C149"/>
      <c r="D149"/>
      <c r="E149"/>
      <c r="F149" s="27" t="s">
        <v>7</v>
      </c>
      <c r="AM149" s="27" t="s">
        <v>8</v>
      </c>
      <c r="AT149" s="27" t="s">
        <v>7</v>
      </c>
      <c r="AV149" s="27" t="s">
        <v>7</v>
      </c>
      <c r="AY149" s="27" t="s">
        <v>8</v>
      </c>
      <c r="AZ149" s="27" t="s">
        <v>7</v>
      </c>
      <c r="BA149" s="27" t="s">
        <v>8</v>
      </c>
      <c r="BB149" s="27" t="s">
        <v>7</v>
      </c>
      <c r="BD149" s="27" t="s">
        <v>7</v>
      </c>
      <c r="BE149" s="27" t="s">
        <v>8</v>
      </c>
      <c r="BF149" s="27" t="s">
        <v>7</v>
      </c>
      <c r="BM149" s="27" t="s">
        <v>8</v>
      </c>
      <c r="BT149" s="27" t="s">
        <v>7</v>
      </c>
      <c r="BV149" s="27" t="s">
        <v>7</v>
      </c>
      <c r="BY149" s="27" t="s">
        <v>8</v>
      </c>
      <c r="BZ149" s="27" t="s">
        <v>7</v>
      </c>
      <c r="CA149" s="27" t="s">
        <v>8</v>
      </c>
      <c r="CB149" s="27" t="s">
        <v>7</v>
      </c>
      <c r="CD149" s="27" t="s">
        <v>7</v>
      </c>
      <c r="CE149" s="27" t="s">
        <v>8</v>
      </c>
      <c r="CF149" s="27" t="s">
        <v>7</v>
      </c>
      <c r="CG149" s="27" t="s">
        <v>8</v>
      </c>
      <c r="CN149" s="27" t="s">
        <v>7</v>
      </c>
      <c r="CO149" s="27" t="s">
        <v>8</v>
      </c>
      <c r="CP149" s="27" t="s">
        <v>7</v>
      </c>
    </row>
    <row r="150" spans="1:94" x14ac:dyDescent="0.25">
      <c r="A150" s="30">
        <v>6.3039408631284613E-2</v>
      </c>
      <c r="B150"/>
      <c r="C150"/>
      <c r="D150"/>
      <c r="E150"/>
      <c r="F150" s="27" t="s">
        <v>7</v>
      </c>
      <c r="AM150" s="27" t="s">
        <v>8</v>
      </c>
      <c r="AV150" s="27" t="s">
        <v>7</v>
      </c>
      <c r="AW150" s="27" t="s">
        <v>8</v>
      </c>
      <c r="AY150" s="27" t="s">
        <v>8</v>
      </c>
      <c r="AZ150" s="27" t="s">
        <v>7</v>
      </c>
      <c r="BA150" s="27" t="s">
        <v>8</v>
      </c>
      <c r="BD150" s="27" t="s">
        <v>7</v>
      </c>
      <c r="BE150" s="27" t="s">
        <v>8</v>
      </c>
      <c r="BF150" s="27" t="s">
        <v>7</v>
      </c>
      <c r="BM150" s="27" t="s">
        <v>8</v>
      </c>
      <c r="BV150" s="27" t="s">
        <v>7</v>
      </c>
      <c r="BW150" s="27" t="s">
        <v>8</v>
      </c>
      <c r="BY150" s="27" t="s">
        <v>8</v>
      </c>
      <c r="BZ150" s="27" t="s">
        <v>7</v>
      </c>
      <c r="CA150" s="27" t="s">
        <v>8</v>
      </c>
      <c r="CD150" s="27" t="s">
        <v>7</v>
      </c>
      <c r="CE150" s="27" t="s">
        <v>8</v>
      </c>
      <c r="CF150" s="18" t="s">
        <v>7</v>
      </c>
      <c r="CG150" s="27" t="s">
        <v>8</v>
      </c>
      <c r="CN150" s="27" t="s">
        <v>7</v>
      </c>
      <c r="CP150" s="27" t="s">
        <v>7</v>
      </c>
    </row>
    <row r="151" spans="1:94" x14ac:dyDescent="0.25">
      <c r="A151" s="30">
        <v>5.7308553301167818E-2</v>
      </c>
      <c r="B151"/>
      <c r="C151"/>
      <c r="D151"/>
      <c r="E151"/>
      <c r="F151" s="27" t="s">
        <v>7</v>
      </c>
      <c r="AM151" s="27" t="s">
        <v>8</v>
      </c>
      <c r="AV151" s="27" t="s">
        <v>7</v>
      </c>
      <c r="AW151" s="27" t="s">
        <v>8</v>
      </c>
      <c r="AX151" s="27" t="s">
        <v>7</v>
      </c>
      <c r="AY151" s="27" t="s">
        <v>8</v>
      </c>
      <c r="AZ151" s="27" t="s">
        <v>7</v>
      </c>
      <c r="BD151" s="27" t="s">
        <v>7</v>
      </c>
      <c r="BE151" s="27" t="s">
        <v>8</v>
      </c>
      <c r="BF151" s="27" t="s">
        <v>7</v>
      </c>
      <c r="BM151" s="27" t="s">
        <v>8</v>
      </c>
      <c r="BV151" s="27" t="s">
        <v>7</v>
      </c>
      <c r="BW151" s="27" t="s">
        <v>8</v>
      </c>
      <c r="BX151" s="27" t="s">
        <v>7</v>
      </c>
      <c r="BY151" s="27" t="s">
        <v>8</v>
      </c>
      <c r="BZ151" s="27" t="s">
        <v>7</v>
      </c>
      <c r="CD151" s="27" t="s">
        <v>7</v>
      </c>
      <c r="CE151" s="27" t="s">
        <v>8</v>
      </c>
      <c r="CF151" s="27" t="s">
        <v>7</v>
      </c>
      <c r="CP151" s="27" t="s">
        <v>7</v>
      </c>
    </row>
    <row r="152" spans="1:94" x14ac:dyDescent="0.25">
      <c r="A152" s="30">
        <v>5.2098684819243464E-2</v>
      </c>
      <c r="B152"/>
      <c r="C152"/>
      <c r="D152"/>
      <c r="E152"/>
      <c r="F152" s="27" t="s">
        <v>7</v>
      </c>
      <c r="AK152" s="27" t="s">
        <v>8</v>
      </c>
      <c r="AM152" s="27" t="s">
        <v>8</v>
      </c>
      <c r="AV152" s="27" t="s">
        <v>7</v>
      </c>
      <c r="AW152" s="27" t="s">
        <v>8</v>
      </c>
      <c r="AX152" s="27" t="s">
        <v>7</v>
      </c>
      <c r="AY152" s="27" t="s">
        <v>8</v>
      </c>
      <c r="BD152" s="27" t="s">
        <v>7</v>
      </c>
      <c r="BF152" s="27" t="s">
        <v>7</v>
      </c>
      <c r="BK152" s="27" t="s">
        <v>8</v>
      </c>
      <c r="BM152" s="27" t="s">
        <v>8</v>
      </c>
      <c r="BV152" s="27" t="s">
        <v>7</v>
      </c>
      <c r="BW152" s="27" t="s">
        <v>8</v>
      </c>
      <c r="BX152" s="27" t="s">
        <v>7</v>
      </c>
      <c r="BY152" s="27" t="s">
        <v>8</v>
      </c>
      <c r="CD152" s="27" t="s">
        <v>7</v>
      </c>
      <c r="CP152" s="27" t="s">
        <v>7</v>
      </c>
    </row>
    <row r="153" spans="1:94" x14ac:dyDescent="0.25">
      <c r="A153" s="30">
        <v>4.7362440744766775E-2</v>
      </c>
      <c r="B153"/>
      <c r="C153"/>
      <c r="D153"/>
      <c r="E153"/>
      <c r="F153" s="27" t="s">
        <v>7</v>
      </c>
      <c r="AK153" s="27" t="s">
        <v>8</v>
      </c>
      <c r="AL153" s="27" t="s">
        <v>7</v>
      </c>
      <c r="AM153" s="27" t="s">
        <v>8</v>
      </c>
      <c r="AV153" s="27" t="s">
        <v>7</v>
      </c>
      <c r="AW153" s="27" t="s">
        <v>8</v>
      </c>
      <c r="AX153" s="27" t="s">
        <v>7</v>
      </c>
      <c r="AY153" s="27" t="s">
        <v>8</v>
      </c>
      <c r="BF153" s="27" t="s">
        <v>7</v>
      </c>
      <c r="BK153" s="27" t="s">
        <v>8</v>
      </c>
      <c r="BL153" s="27" t="s">
        <v>7</v>
      </c>
      <c r="BM153" s="27" t="s">
        <v>8</v>
      </c>
      <c r="BV153" s="27" t="s">
        <v>7</v>
      </c>
      <c r="BW153" s="27" t="s">
        <v>8</v>
      </c>
      <c r="BX153" s="27" t="s">
        <v>7</v>
      </c>
      <c r="BY153" s="27" t="s">
        <v>8</v>
      </c>
      <c r="CP153" s="27" t="s">
        <v>7</v>
      </c>
    </row>
    <row r="154" spans="1:94" x14ac:dyDescent="0.25">
      <c r="A154" s="30">
        <v>4.3056764313424332E-2</v>
      </c>
      <c r="B154"/>
      <c r="C154"/>
      <c r="D154"/>
      <c r="E154"/>
      <c r="F154" s="27" t="s">
        <v>7</v>
      </c>
      <c r="AK154" s="27" t="s">
        <v>8</v>
      </c>
      <c r="AL154" s="27" t="s">
        <v>7</v>
      </c>
      <c r="AM154" s="27" t="s">
        <v>8</v>
      </c>
      <c r="AV154" s="27" t="s">
        <v>7</v>
      </c>
      <c r="AX154" s="27" t="s">
        <v>7</v>
      </c>
      <c r="AY154" s="27" t="s">
        <v>8</v>
      </c>
      <c r="BF154" s="27" t="s">
        <v>7</v>
      </c>
      <c r="BK154" s="27" t="s">
        <v>8</v>
      </c>
      <c r="BL154" s="27" t="s">
        <v>7</v>
      </c>
      <c r="BM154" s="27" t="s">
        <v>8</v>
      </c>
      <c r="BV154" s="27" t="s">
        <v>7</v>
      </c>
      <c r="BX154" s="27" t="s">
        <v>7</v>
      </c>
      <c r="BY154" s="27" t="s">
        <v>8</v>
      </c>
      <c r="CP154" s="27" t="s">
        <v>7</v>
      </c>
    </row>
    <row r="155" spans="1:94" x14ac:dyDescent="0.25">
      <c r="A155" s="30">
        <v>3.9142513012203929E-2</v>
      </c>
      <c r="B155"/>
      <c r="C155"/>
      <c r="D155"/>
      <c r="E155"/>
      <c r="F155" s="27" t="s">
        <v>7</v>
      </c>
      <c r="AK155" s="27" t="s">
        <v>8</v>
      </c>
      <c r="AL155" s="27" t="s">
        <v>7</v>
      </c>
      <c r="AM155" s="27" t="s">
        <v>8</v>
      </c>
      <c r="AX155" s="27" t="s">
        <v>7</v>
      </c>
      <c r="AY155" s="27" t="s">
        <v>8</v>
      </c>
      <c r="BF155" s="27" t="s">
        <v>7</v>
      </c>
      <c r="BK155" s="27" t="s">
        <v>8</v>
      </c>
      <c r="BL155" s="27" t="s">
        <v>7</v>
      </c>
      <c r="BM155" s="27" t="s">
        <v>8</v>
      </c>
      <c r="BX155" s="27" t="s">
        <v>7</v>
      </c>
      <c r="BY155" s="27" t="s">
        <v>8</v>
      </c>
      <c r="CP155" s="27" t="s">
        <v>7</v>
      </c>
    </row>
    <row r="156" spans="1:94" x14ac:dyDescent="0.25">
      <c r="A156" s="30">
        <v>3.55841027383672E-2</v>
      </c>
      <c r="B156"/>
      <c r="C156"/>
      <c r="D156"/>
      <c r="E156"/>
      <c r="F156" s="27" t="s">
        <v>7</v>
      </c>
      <c r="AK156" s="27" t="s">
        <v>8</v>
      </c>
      <c r="AL156" s="27" t="s">
        <v>7</v>
      </c>
      <c r="AM156" s="27" t="s">
        <v>8</v>
      </c>
      <c r="AX156" s="27" t="s">
        <v>7</v>
      </c>
      <c r="AY156" s="27" t="s">
        <v>8</v>
      </c>
      <c r="BF156" s="27" t="s">
        <v>7</v>
      </c>
      <c r="BK156" s="27" t="s">
        <v>8</v>
      </c>
      <c r="BL156" s="27" t="s">
        <v>7</v>
      </c>
      <c r="BM156" s="27" t="s">
        <v>8</v>
      </c>
      <c r="BX156" s="27" t="s">
        <v>7</v>
      </c>
      <c r="BY156" s="27" t="s">
        <v>8</v>
      </c>
      <c r="CP156" s="27" t="s">
        <v>7</v>
      </c>
    </row>
    <row r="157" spans="1:94" x14ac:dyDescent="0.25">
      <c r="A157" s="30">
        <v>3.2349184307606541E-2</v>
      </c>
      <c r="B157"/>
      <c r="C157"/>
      <c r="D157"/>
      <c r="E157"/>
      <c r="F157" s="27" t="s">
        <v>7</v>
      </c>
      <c r="Y157" s="27" t="s">
        <v>8</v>
      </c>
      <c r="AI157" s="27" t="s">
        <v>8</v>
      </c>
      <c r="AK157" s="27" t="s">
        <v>8</v>
      </c>
      <c r="AL157" s="27" t="s">
        <v>7</v>
      </c>
      <c r="AX157" s="27" t="s">
        <v>7</v>
      </c>
      <c r="BF157" s="27" t="s">
        <v>7</v>
      </c>
      <c r="BI157" s="27" t="s">
        <v>8</v>
      </c>
      <c r="BK157" s="27" t="s">
        <v>8</v>
      </c>
      <c r="BL157" s="27" t="s">
        <v>7</v>
      </c>
      <c r="BX157" s="27" t="s">
        <v>7</v>
      </c>
    </row>
    <row r="158" spans="1:94" x14ac:dyDescent="0.25">
      <c r="A158" s="30">
        <v>2.9408349370551395E-2</v>
      </c>
      <c r="B158"/>
      <c r="C158"/>
      <c r="D158"/>
      <c r="E158"/>
      <c r="F158" s="27" t="s">
        <v>7</v>
      </c>
      <c r="Y158" s="27" t="s">
        <v>8</v>
      </c>
      <c r="Z158" s="27" t="s">
        <v>7</v>
      </c>
      <c r="AI158" s="27" t="s">
        <v>8</v>
      </c>
      <c r="AJ158" s="27" t="s">
        <v>7</v>
      </c>
      <c r="AK158" s="27" t="s">
        <v>8</v>
      </c>
      <c r="BF158" s="27" t="s">
        <v>7</v>
      </c>
      <c r="BI158" s="27" t="s">
        <v>8</v>
      </c>
      <c r="BJ158" s="27" t="s">
        <v>7</v>
      </c>
      <c r="BK158" s="27" t="s">
        <v>8</v>
      </c>
    </row>
    <row r="159" spans="1:94" x14ac:dyDescent="0.25">
      <c r="A159" s="30">
        <v>2.6734863064137627E-2</v>
      </c>
      <c r="B159"/>
      <c r="C159"/>
      <c r="D159"/>
      <c r="E159"/>
      <c r="F159" s="27" t="s">
        <v>7</v>
      </c>
      <c r="Y159" s="27" t="s">
        <v>8</v>
      </c>
      <c r="Z159" s="27" t="s">
        <v>7</v>
      </c>
      <c r="AI159" s="27" t="s">
        <v>8</v>
      </c>
      <c r="AJ159" s="27" t="s">
        <v>7</v>
      </c>
      <c r="AK159" s="27" t="s">
        <v>8</v>
      </c>
      <c r="BF159" s="27" t="s">
        <v>7</v>
      </c>
      <c r="BI159" s="27" t="s">
        <v>8</v>
      </c>
      <c r="BJ159" s="27" t="s">
        <v>7</v>
      </c>
      <c r="BK159" s="27" t="s">
        <v>8</v>
      </c>
    </row>
    <row r="160" spans="1:94" x14ac:dyDescent="0.25">
      <c r="A160" s="30">
        <v>2.4304420967397839E-2</v>
      </c>
      <c r="B160"/>
      <c r="C160"/>
      <c r="D160"/>
      <c r="E160"/>
      <c r="F160" s="27" t="s">
        <v>7</v>
      </c>
      <c r="I160" s="27" t="s">
        <v>8</v>
      </c>
      <c r="Y160" s="27" t="s">
        <v>8</v>
      </c>
      <c r="Z160" s="27" t="s">
        <v>7</v>
      </c>
      <c r="AI160" s="27" t="s">
        <v>8</v>
      </c>
      <c r="AJ160" s="27" t="s">
        <v>7</v>
      </c>
      <c r="AK160" s="27" t="s">
        <v>8</v>
      </c>
      <c r="BF160" s="27" t="s">
        <v>7</v>
      </c>
      <c r="BI160" s="27" t="s">
        <v>8</v>
      </c>
      <c r="BJ160" s="27" t="s">
        <v>7</v>
      </c>
      <c r="BK160" s="27" t="s">
        <v>8</v>
      </c>
    </row>
    <row r="161" spans="1:63" x14ac:dyDescent="0.25">
      <c r="A161" s="30">
        <v>2.2094928152179852E-2</v>
      </c>
      <c r="B161"/>
      <c r="C161"/>
      <c r="D161"/>
      <c r="E161"/>
      <c r="F161" s="27" t="s">
        <v>7</v>
      </c>
      <c r="I161" s="27" t="s">
        <v>8</v>
      </c>
      <c r="J161" s="27" t="s">
        <v>7</v>
      </c>
      <c r="Y161" s="27" t="s">
        <v>8</v>
      </c>
      <c r="Z161" s="27" t="s">
        <v>7</v>
      </c>
      <c r="AA161" s="27" t="s">
        <v>8</v>
      </c>
      <c r="AG161" s="27" t="s">
        <v>8</v>
      </c>
      <c r="AI161" s="27" t="s">
        <v>8</v>
      </c>
      <c r="AJ161" s="27" t="s">
        <v>7</v>
      </c>
      <c r="AK161" s="27" t="s">
        <v>8</v>
      </c>
      <c r="BF161" s="27" t="s">
        <v>7</v>
      </c>
      <c r="BG161" s="27" t="s">
        <v>8</v>
      </c>
      <c r="BI161" s="27" t="s">
        <v>8</v>
      </c>
      <c r="BJ161" s="27" t="s">
        <v>7</v>
      </c>
      <c r="BK161" s="27" t="s">
        <v>8</v>
      </c>
    </row>
    <row r="162" spans="1:63" x14ac:dyDescent="0.25">
      <c r="A162" s="30">
        <v>2.0086298320163499E-2</v>
      </c>
      <c r="B162"/>
      <c r="C162"/>
      <c r="D162"/>
      <c r="E162"/>
      <c r="F162" s="27" t="s">
        <v>7</v>
      </c>
      <c r="I162" s="27" t="s">
        <v>8</v>
      </c>
      <c r="J162" s="27" t="s">
        <v>7</v>
      </c>
      <c r="Y162" s="27" t="s">
        <v>8</v>
      </c>
      <c r="Z162" s="27" t="s">
        <v>7</v>
      </c>
      <c r="AA162" s="27" t="s">
        <v>8</v>
      </c>
      <c r="AB162" s="27" t="s">
        <v>7</v>
      </c>
      <c r="AE162" s="27" t="s">
        <v>8</v>
      </c>
      <c r="AG162" s="27" t="s">
        <v>8</v>
      </c>
      <c r="AH162" s="27" t="s">
        <v>7</v>
      </c>
      <c r="AI162" s="27" t="s">
        <v>8</v>
      </c>
      <c r="AJ162" s="27" t="s">
        <v>7</v>
      </c>
      <c r="BF162" s="27" t="s">
        <v>7</v>
      </c>
      <c r="BG162" s="27" t="s">
        <v>8</v>
      </c>
      <c r="BH162" s="27" t="s">
        <v>7</v>
      </c>
      <c r="BI162" s="27" t="s">
        <v>8</v>
      </c>
      <c r="BJ162" s="27" t="s">
        <v>7</v>
      </c>
    </row>
    <row r="163" spans="1:63" x14ac:dyDescent="0.25">
      <c r="A163" s="30">
        <v>1.8260271200148632E-2</v>
      </c>
      <c r="B163"/>
      <c r="C163"/>
      <c r="D163"/>
      <c r="E163"/>
      <c r="F163" s="27" t="s">
        <v>7</v>
      </c>
      <c r="I163" s="27" t="s">
        <v>8</v>
      </c>
      <c r="J163" s="27" t="s">
        <v>7</v>
      </c>
      <c r="Y163" s="27" t="s">
        <v>8</v>
      </c>
      <c r="Z163" s="27" t="s">
        <v>7</v>
      </c>
      <c r="AA163" s="27" t="s">
        <v>8</v>
      </c>
      <c r="AB163" s="27" t="s">
        <v>7</v>
      </c>
      <c r="AE163" s="27" t="s">
        <v>8</v>
      </c>
      <c r="AF163" s="27" t="s">
        <v>7</v>
      </c>
      <c r="AG163" s="27" t="s">
        <v>8</v>
      </c>
      <c r="AH163" s="27" t="s">
        <v>7</v>
      </c>
      <c r="AI163" s="27" t="s">
        <v>8</v>
      </c>
      <c r="BF163" s="27" t="s">
        <v>7</v>
      </c>
      <c r="BG163" s="27" t="s">
        <v>8</v>
      </c>
      <c r="BH163" s="27" t="s">
        <v>7</v>
      </c>
      <c r="BI163" s="27" t="s">
        <v>8</v>
      </c>
    </row>
    <row r="164" spans="1:63" x14ac:dyDescent="0.25">
      <c r="A164" s="30">
        <v>1.6600246545589663E-2</v>
      </c>
      <c r="B164"/>
      <c r="C164"/>
      <c r="D164"/>
      <c r="E164"/>
      <c r="F164" s="27" t="s">
        <v>7</v>
      </c>
      <c r="I164" s="27" t="s">
        <v>8</v>
      </c>
      <c r="J164" s="27" t="s">
        <v>7</v>
      </c>
      <c r="Y164" s="27" t="s">
        <v>8</v>
      </c>
      <c r="Z164" s="27" t="s">
        <v>7</v>
      </c>
      <c r="AA164" s="27" t="s">
        <v>8</v>
      </c>
      <c r="AB164" s="27" t="s">
        <v>7</v>
      </c>
      <c r="AE164" s="27" t="s">
        <v>8</v>
      </c>
      <c r="AF164" s="27" t="s">
        <v>7</v>
      </c>
      <c r="AG164" s="27" t="s">
        <v>8</v>
      </c>
      <c r="AH164" s="27" t="s">
        <v>7</v>
      </c>
      <c r="BF164" s="27" t="s">
        <v>7</v>
      </c>
      <c r="BG164" s="27" t="s">
        <v>8</v>
      </c>
      <c r="BH164" s="27" t="s">
        <v>7</v>
      </c>
    </row>
    <row r="165" spans="1:63" x14ac:dyDescent="0.25">
      <c r="A165" s="30">
        <v>1.5091133223263328E-2</v>
      </c>
      <c r="B165"/>
      <c r="C165"/>
      <c r="D165"/>
      <c r="E165"/>
      <c r="F165" s="27" t="s">
        <v>7</v>
      </c>
      <c r="I165" s="27" t="s">
        <v>8</v>
      </c>
      <c r="J165" s="27" t="s">
        <v>7</v>
      </c>
      <c r="W165" s="27" t="s">
        <v>8</v>
      </c>
      <c r="Y165" s="27" t="s">
        <v>8</v>
      </c>
      <c r="Z165" s="27" t="s">
        <v>7</v>
      </c>
      <c r="AA165" s="27" t="s">
        <v>8</v>
      </c>
      <c r="AB165" s="27" t="s">
        <v>7</v>
      </c>
      <c r="AE165" s="27" t="s">
        <v>8</v>
      </c>
      <c r="AF165" s="27" t="s">
        <v>7</v>
      </c>
      <c r="AG165" s="27" t="s">
        <v>8</v>
      </c>
      <c r="BF165" s="27" t="s">
        <v>7</v>
      </c>
      <c r="BG165" s="27" t="s">
        <v>8</v>
      </c>
    </row>
    <row r="166" spans="1:63" x14ac:dyDescent="0.25">
      <c r="A166" s="30">
        <v>1.3719212021148477E-2</v>
      </c>
      <c r="B166"/>
      <c r="C166"/>
      <c r="D166"/>
      <c r="E166"/>
      <c r="F166" s="27" t="s">
        <v>7</v>
      </c>
      <c r="I166" s="27" t="s">
        <v>8</v>
      </c>
      <c r="J166" s="27" t="s">
        <v>7</v>
      </c>
      <c r="K166" s="27" t="s">
        <v>8</v>
      </c>
      <c r="M166" s="27" t="s">
        <v>8</v>
      </c>
      <c r="W166" s="27" t="s">
        <v>8</v>
      </c>
      <c r="X166" s="27" t="s">
        <v>7</v>
      </c>
      <c r="Y166" s="27" t="s">
        <v>8</v>
      </c>
      <c r="Z166" s="27" t="s">
        <v>7</v>
      </c>
      <c r="AB166" s="27" t="s">
        <v>7</v>
      </c>
      <c r="AC166" s="27" t="s">
        <v>8</v>
      </c>
      <c r="AE166" s="27" t="s">
        <v>8</v>
      </c>
      <c r="AF166" s="27" t="s">
        <v>7</v>
      </c>
      <c r="AG166" s="27" t="s">
        <v>8</v>
      </c>
      <c r="BF166" s="27" t="s">
        <v>7</v>
      </c>
      <c r="BG166" s="27" t="s">
        <v>8</v>
      </c>
    </row>
    <row r="167" spans="1:63" x14ac:dyDescent="0.25">
      <c r="A167" s="30">
        <v>1.2472010928316795E-2</v>
      </c>
      <c r="B167"/>
      <c r="C167"/>
      <c r="D167"/>
      <c r="E167"/>
      <c r="F167" s="27" t="s">
        <v>7</v>
      </c>
      <c r="I167" s="27" t="s">
        <v>8</v>
      </c>
      <c r="J167" s="27" t="s">
        <v>7</v>
      </c>
      <c r="K167" s="27" t="s">
        <v>8</v>
      </c>
      <c r="L167" s="27" t="s">
        <v>7</v>
      </c>
      <c r="M167" s="27" t="s">
        <v>8</v>
      </c>
      <c r="N167" s="27" t="s">
        <v>7</v>
      </c>
      <c r="Q167" s="27" t="s">
        <v>8</v>
      </c>
      <c r="W167" s="27" t="s">
        <v>8</v>
      </c>
      <c r="X167" s="27" t="s">
        <v>7</v>
      </c>
      <c r="Y167" s="27" t="s">
        <v>8</v>
      </c>
      <c r="AB167" s="27" t="s">
        <v>7</v>
      </c>
      <c r="AC167" s="27" t="s">
        <v>8</v>
      </c>
      <c r="AD167" s="27" t="s">
        <v>7</v>
      </c>
      <c r="AE167" s="27" t="s">
        <v>8</v>
      </c>
      <c r="AF167" s="27" t="s">
        <v>7</v>
      </c>
      <c r="BF167" s="27" t="s">
        <v>7</v>
      </c>
    </row>
    <row r="168" spans="1:63" x14ac:dyDescent="0.25">
      <c r="A168" s="30">
        <v>1.1338191753015267E-2</v>
      </c>
      <c r="B168"/>
      <c r="C168"/>
      <c r="D168"/>
      <c r="E168"/>
      <c r="F168" s="27" t="s">
        <v>7</v>
      </c>
      <c r="I168" s="27" t="s">
        <v>8</v>
      </c>
      <c r="J168" s="27" t="s">
        <v>7</v>
      </c>
      <c r="K168" s="27" t="s">
        <v>8</v>
      </c>
      <c r="L168" s="27" t="s">
        <v>7</v>
      </c>
      <c r="M168" s="27" t="s">
        <v>8</v>
      </c>
      <c r="N168" s="27" t="s">
        <v>7</v>
      </c>
      <c r="Q168" s="27" t="s">
        <v>8</v>
      </c>
      <c r="R168" s="27" t="s">
        <v>7</v>
      </c>
      <c r="W168" s="27" t="s">
        <v>8</v>
      </c>
      <c r="X168" s="27" t="s">
        <v>7</v>
      </c>
      <c r="AB168" s="27" t="s">
        <v>7</v>
      </c>
      <c r="AC168" s="27" t="s">
        <v>8</v>
      </c>
      <c r="AD168" s="27" t="s">
        <v>7</v>
      </c>
      <c r="AE168" s="27" t="s">
        <v>8</v>
      </c>
    </row>
    <row r="169" spans="1:63" x14ac:dyDescent="0.25">
      <c r="A169" s="30">
        <v>1.0307447048195697E-2</v>
      </c>
      <c r="B169"/>
      <c r="C169"/>
      <c r="D169"/>
      <c r="E169"/>
      <c r="F169" s="27" t="s">
        <v>7</v>
      </c>
      <c r="G169" s="27" t="s">
        <v>8</v>
      </c>
      <c r="I169" s="27" t="s">
        <v>8</v>
      </c>
      <c r="J169" s="27" t="s">
        <v>7</v>
      </c>
      <c r="K169" s="27" t="s">
        <v>8</v>
      </c>
      <c r="L169" s="27" t="s">
        <v>7</v>
      </c>
      <c r="M169" s="27" t="s">
        <v>8</v>
      </c>
      <c r="N169" s="27" t="s">
        <v>7</v>
      </c>
      <c r="O169" s="27" t="s">
        <v>8</v>
      </c>
      <c r="Q169" s="27" t="s">
        <v>8</v>
      </c>
      <c r="R169" s="27" t="s">
        <v>7</v>
      </c>
      <c r="W169" s="27" t="s">
        <v>8</v>
      </c>
      <c r="AB169" s="27" t="s">
        <v>7</v>
      </c>
      <c r="AC169" s="27" t="s">
        <v>8</v>
      </c>
      <c r="AD169" s="27" t="s">
        <v>7</v>
      </c>
    </row>
    <row r="170" spans="1:63" x14ac:dyDescent="0.25">
      <c r="A170" s="30">
        <v>9.3704064074506318E-3</v>
      </c>
      <c r="B170"/>
      <c r="C170"/>
      <c r="D170"/>
      <c r="E170"/>
      <c r="F170" s="27" t="s">
        <v>7</v>
      </c>
      <c r="G170" s="27" t="s">
        <v>8</v>
      </c>
      <c r="H170" s="27" t="s">
        <v>7</v>
      </c>
      <c r="I170" s="27" t="s">
        <v>8</v>
      </c>
      <c r="J170" s="27" t="s">
        <v>7</v>
      </c>
      <c r="K170" s="27" t="s">
        <v>8</v>
      </c>
      <c r="L170" s="27" t="s">
        <v>7</v>
      </c>
      <c r="N170" s="27" t="s">
        <v>7</v>
      </c>
      <c r="O170" s="27" t="s">
        <v>8</v>
      </c>
      <c r="P170" s="27" t="s">
        <v>7</v>
      </c>
      <c r="Q170" s="27" t="s">
        <v>8</v>
      </c>
      <c r="R170" s="27" t="s">
        <v>7</v>
      </c>
      <c r="W170" s="27" t="s">
        <v>8</v>
      </c>
      <c r="AB170" s="27" t="s">
        <v>7</v>
      </c>
      <c r="AC170" s="27" t="s">
        <v>8</v>
      </c>
    </row>
    <row r="171" spans="1:63" x14ac:dyDescent="0.25">
      <c r="A171" s="30">
        <v>8.5185512795005747E-3</v>
      </c>
      <c r="F171" s="27" t="s">
        <v>7</v>
      </c>
      <c r="G171" s="27" t="s">
        <v>8</v>
      </c>
      <c r="H171" s="27" t="s">
        <v>7</v>
      </c>
      <c r="I171" s="27" t="s">
        <v>8</v>
      </c>
      <c r="J171" s="27" t="s">
        <v>7</v>
      </c>
      <c r="K171" s="27" t="s">
        <v>8</v>
      </c>
      <c r="N171" s="27" t="s">
        <v>7</v>
      </c>
      <c r="O171" s="27" t="s">
        <v>8</v>
      </c>
      <c r="P171" s="27" t="s">
        <v>7</v>
      </c>
      <c r="Q171" s="27" t="s">
        <v>8</v>
      </c>
      <c r="R171" s="27" t="s">
        <v>7</v>
      </c>
      <c r="U171" s="27" t="s">
        <v>8</v>
      </c>
      <c r="W171" s="27" t="s">
        <v>8</v>
      </c>
      <c r="AB171" s="27" t="s">
        <v>7</v>
      </c>
      <c r="AC171" s="27" t="s">
        <v>8</v>
      </c>
    </row>
    <row r="172" spans="1:63" x14ac:dyDescent="0.25">
      <c r="A172" s="30">
        <v>7.744137526818704E-3</v>
      </c>
      <c r="F172" s="27" t="s">
        <v>7</v>
      </c>
      <c r="G172" s="27" t="s">
        <v>8</v>
      </c>
      <c r="H172" s="27" t="s">
        <v>7</v>
      </c>
      <c r="I172" s="27" t="s">
        <v>8</v>
      </c>
      <c r="J172" s="27" t="s">
        <v>7</v>
      </c>
      <c r="N172" s="27" t="s">
        <v>7</v>
      </c>
      <c r="O172" s="27" t="s">
        <v>8</v>
      </c>
      <c r="P172" s="27" t="s">
        <v>7</v>
      </c>
      <c r="Q172" s="27" t="s">
        <v>8</v>
      </c>
      <c r="R172" s="27" t="s">
        <v>7</v>
      </c>
      <c r="U172" s="27" t="s">
        <v>8</v>
      </c>
      <c r="V172" s="27" t="s">
        <v>7</v>
      </c>
      <c r="W172" s="27" t="s">
        <v>8</v>
      </c>
      <c r="AB172" s="27" t="s">
        <v>7</v>
      </c>
    </row>
    <row r="173" spans="1:63" x14ac:dyDescent="0.25">
      <c r="A173" s="30">
        <v>7.0401250243806394E-3</v>
      </c>
      <c r="F173" s="27" t="s">
        <v>7</v>
      </c>
      <c r="G173" s="27" t="s">
        <v>8</v>
      </c>
      <c r="H173" s="27" t="s">
        <v>7</v>
      </c>
      <c r="N173" s="27" t="s">
        <v>7</v>
      </c>
      <c r="P173" s="27" t="s">
        <v>7</v>
      </c>
      <c r="Q173" s="27" t="s">
        <v>8</v>
      </c>
      <c r="R173" s="27" t="s">
        <v>7</v>
      </c>
      <c r="U173" s="27" t="s">
        <v>8</v>
      </c>
      <c r="V173" s="27" t="s">
        <v>7</v>
      </c>
      <c r="W173" s="27" t="s">
        <v>8</v>
      </c>
    </row>
    <row r="174" spans="1:63" x14ac:dyDescent="0.25">
      <c r="A174" s="30">
        <v>6.4001136585278536E-3</v>
      </c>
      <c r="F174" s="27" t="s">
        <v>7</v>
      </c>
      <c r="G174" s="27" t="s">
        <v>8</v>
      </c>
      <c r="P174" s="27" t="s">
        <v>7</v>
      </c>
      <c r="R174" s="27" t="s">
        <v>7</v>
      </c>
      <c r="U174" s="27" t="s">
        <v>8</v>
      </c>
      <c r="V174" s="27" t="s">
        <v>7</v>
      </c>
    </row>
    <row r="175" spans="1:63" x14ac:dyDescent="0.25">
      <c r="A175" s="30">
        <v>5.8182851441162305E-3</v>
      </c>
      <c r="F175" s="27" t="s">
        <v>7</v>
      </c>
      <c r="G175" s="27" t="s">
        <v>8</v>
      </c>
      <c r="R175" s="27" t="s">
        <v>7</v>
      </c>
      <c r="U175" s="27" t="s">
        <v>8</v>
      </c>
    </row>
    <row r="176" spans="1:63" x14ac:dyDescent="0.25">
      <c r="A176" s="30">
        <v>5.2893501310147546E-3</v>
      </c>
      <c r="F176" s="27" t="s">
        <v>7</v>
      </c>
      <c r="R176" s="27" t="s">
        <v>7</v>
      </c>
      <c r="U176" s="27" t="s">
        <v>8</v>
      </c>
    </row>
    <row r="177" spans="1:21" x14ac:dyDescent="0.25">
      <c r="A177" s="30">
        <v>4.8085001191043222E-3</v>
      </c>
      <c r="R177" s="27" t="s">
        <v>7</v>
      </c>
      <c r="U177" s="27" t="s">
        <v>8</v>
      </c>
    </row>
    <row r="178" spans="1:21" x14ac:dyDescent="0.25">
      <c r="A178" s="30">
        <v>4.3713637446402926E-3</v>
      </c>
      <c r="R178" s="27" t="s">
        <v>7</v>
      </c>
      <c r="U178" s="27" t="s">
        <v>8</v>
      </c>
    </row>
    <row r="179" spans="1:21" x14ac:dyDescent="0.25">
      <c r="A179" s="30">
        <v>3.9739670405820838E-3</v>
      </c>
      <c r="R179" s="27" t="s">
        <v>7</v>
      </c>
      <c r="U179" s="27" t="s">
        <v>8</v>
      </c>
    </row>
    <row r="180" spans="1:21" x14ac:dyDescent="0.25">
      <c r="A180" s="30">
        <v>3.6126973096200759E-3</v>
      </c>
      <c r="R180" s="27" t="s">
        <v>7</v>
      </c>
      <c r="S180" s="27" t="s">
        <v>8</v>
      </c>
      <c r="U180" s="27" t="s">
        <v>8</v>
      </c>
    </row>
    <row r="181" spans="1:21" x14ac:dyDescent="0.25">
      <c r="A181" s="30">
        <v>3.2842702814727962E-3</v>
      </c>
      <c r="R181" s="27" t="s">
        <v>7</v>
      </c>
      <c r="S181" s="27" t="s">
        <v>8</v>
      </c>
      <c r="T181" s="27" t="s">
        <v>7</v>
      </c>
      <c r="U181" s="27" t="s">
        <v>8</v>
      </c>
    </row>
    <row r="182" spans="1:21" x14ac:dyDescent="0.25">
      <c r="A182" s="30">
        <v>2.9857002558843601E-3</v>
      </c>
      <c r="R182" s="27" t="s">
        <v>7</v>
      </c>
      <c r="S182" s="27" t="s">
        <v>8</v>
      </c>
      <c r="T182" s="27" t="s">
        <v>7</v>
      </c>
      <c r="U182" s="27" t="s">
        <v>8</v>
      </c>
    </row>
    <row r="183" spans="1:21" x14ac:dyDescent="0.25">
      <c r="A183" s="30">
        <v>2.7142729598948726E-3</v>
      </c>
      <c r="R183" s="27" t="s">
        <v>7</v>
      </c>
      <c r="S183" s="27" t="s">
        <v>8</v>
      </c>
      <c r="T183" s="27" t="s">
        <v>7</v>
      </c>
    </row>
    <row r="184" spans="1:21" x14ac:dyDescent="0.25">
      <c r="A184" s="30">
        <v>2.4675208726317021E-3</v>
      </c>
      <c r="R184" s="27" t="s">
        <v>7</v>
      </c>
      <c r="S184" s="27" t="s">
        <v>8</v>
      </c>
    </row>
    <row r="185" spans="1:21" x14ac:dyDescent="0.25">
      <c r="A185" s="30">
        <v>2.2432007933015472E-3</v>
      </c>
      <c r="R185" s="27" t="s">
        <v>7</v>
      </c>
    </row>
    <row r="186" spans="1:21" x14ac:dyDescent="0.25">
      <c r="A186" s="30">
        <v>2.0392734484559519E-3</v>
      </c>
    </row>
    <row r="187" spans="1:21" x14ac:dyDescent="0.25">
      <c r="A187" s="30">
        <v>1.8538849531417744E-3</v>
      </c>
    </row>
    <row r="188" spans="1:21" x14ac:dyDescent="0.25">
      <c r="A188" s="30">
        <v>1.6853499574016129E-3</v>
      </c>
    </row>
    <row r="189" spans="1:21" x14ac:dyDescent="0.25">
      <c r="A189" s="30">
        <v>1.5321363249105571E-3</v>
      </c>
    </row>
    <row r="190" spans="1:21" x14ac:dyDescent="0.25">
      <c r="A190" s="30">
        <v>1.3928512044641427E-3</v>
      </c>
    </row>
    <row r="191" spans="1:21" x14ac:dyDescent="0.25">
      <c r="A191" s="30">
        <v>1.2662283676946752E-3</v>
      </c>
    </row>
    <row r="192" spans="1:2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500" operator="equal">
      <formula>$U$1</formula>
    </cfRule>
    <cfRule type="cellIs" dxfId="30" priority="1501" operator="equal">
      <formula>$S$1</formula>
    </cfRule>
  </conditionalFormatting>
  <conditionalFormatting sqref="D136">
    <cfRule type="cellIs" dxfId="29" priority="1498" operator="equal">
      <formula>$S$1</formula>
    </cfRule>
    <cfRule type="cellIs" dxfId="28" priority="1499" operator="equal">
      <formula>$U$1</formula>
    </cfRule>
  </conditionalFormatting>
  <conditionalFormatting sqref="C102">
    <cfRule type="cellIs" dxfId="27" priority="1496" operator="equal">
      <formula>$U$1</formula>
    </cfRule>
    <cfRule type="cellIs" dxfId="26" priority="1497" operator="equal">
      <formula>$S$1</formula>
    </cfRule>
  </conditionalFormatting>
  <conditionalFormatting sqref="D102">
    <cfRule type="cellIs" dxfId="25" priority="1494" operator="equal">
      <formula>$S$1</formula>
    </cfRule>
    <cfRule type="cellIs" dxfId="24" priority="1495" operator="equal">
      <formula>$U$1</formula>
    </cfRule>
  </conditionalFormatting>
  <conditionalFormatting sqref="C77">
    <cfRule type="cellIs" dxfId="23" priority="1492" operator="equal">
      <formula>$U$1</formula>
    </cfRule>
    <cfRule type="cellIs" dxfId="22" priority="1493" operator="equal">
      <formula>$S$1</formula>
    </cfRule>
  </conditionalFormatting>
  <conditionalFormatting sqref="D77">
    <cfRule type="cellIs" dxfId="21" priority="1490" operator="equal">
      <formula>$S$1</formula>
    </cfRule>
    <cfRule type="cellIs" dxfId="20" priority="1491" operator="equal">
      <formula>$U$1</formula>
    </cfRule>
  </conditionalFormatting>
  <conditionalFormatting sqref="C52">
    <cfRule type="cellIs" dxfId="19" priority="1488" operator="equal">
      <formula>$U$1</formula>
    </cfRule>
    <cfRule type="cellIs" dxfId="18" priority="1489" operator="equal">
      <formula>$S$1</formula>
    </cfRule>
  </conditionalFormatting>
  <conditionalFormatting sqref="D52">
    <cfRule type="cellIs" dxfId="17" priority="1486" operator="equal">
      <formula>$S$1</formula>
    </cfRule>
    <cfRule type="cellIs" dxfId="16" priority="1487" operator="equal">
      <formula>$U$1</formula>
    </cfRule>
  </conditionalFormatting>
  <conditionalFormatting sqref="C26">
    <cfRule type="cellIs" dxfId="15" priority="1484" operator="equal">
      <formula>$U$1</formula>
    </cfRule>
    <cfRule type="cellIs" dxfId="14" priority="1485" operator="equal">
      <formula>$S$1</formula>
    </cfRule>
  </conditionalFormatting>
  <conditionalFormatting sqref="D26">
    <cfRule type="cellIs" dxfId="13" priority="1482" operator="equal">
      <formula>$S$1</formula>
    </cfRule>
    <cfRule type="cellIs" dxfId="12" priority="1483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2022-01-28T01:15:56Z</dcterms:modified>
</cp:coreProperties>
</file>