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8A12111-2768-4D5E-A1C4-6DD354AECCD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4"/>
  <c r="C122" i="4"/>
  <c r="C133" i="4" s="1"/>
  <c r="C136" i="4" s="1"/>
  <c r="C122" i="5"/>
  <c r="C133" i="5" s="1"/>
  <c r="C136" i="5" s="1"/>
  <c r="C118" i="5"/>
  <c r="C116" i="3"/>
  <c r="C122" i="3"/>
  <c r="C133" i="3" s="1"/>
  <c r="D136" i="3" s="1"/>
  <c r="R765" i="1"/>
  <c r="S765" i="1" s="1"/>
  <c r="T765" i="1" s="1"/>
  <c r="S766" i="1"/>
  <c r="T766" i="1" s="1"/>
  <c r="R764" i="1"/>
  <c r="D136" i="4" l="1"/>
  <c r="C138" i="4" s="1"/>
  <c r="D136" i="5"/>
  <c r="C138" i="5" s="1"/>
  <c r="C136" i="3"/>
  <c r="C138" i="3" s="1"/>
  <c r="S764" i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R548" i="1" l="1"/>
  <c r="S549" i="1"/>
  <c r="T549" i="1" s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<sst xmlns="http://schemas.openxmlformats.org/spreadsheetml/2006/main" count="2275" uniqueCount="34">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</sst>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10.41</c:v>
                </c:pt>
                <c:pt idx="1">
                  <c:v>10.56</c:v>
                </c:pt>
                <c:pt idx="2">
                  <c:v>10.88</c:v>
                </c:pt>
                <c:pt idx="3">
                  <c:v>10.75</c:v>
                </c:pt>
                <c:pt idx="4">
                  <c:v>11.17</c:v>
                </c:pt>
                <c:pt idx="5">
                  <c:v>10.66</c:v>
                </c:pt>
                <c:pt idx="6">
                  <c:v>11.53</c:v>
                </c:pt>
                <c:pt idx="7">
                  <c:v>13.14</c:v>
                </c:pt>
                <c:pt idx="8">
                  <c:v>13.65</c:v>
                </c:pt>
                <c:pt idx="9">
                  <c:v>14.13</c:v>
                </c:pt>
                <c:pt idx="10">
                  <c:v>14.54</c:v>
                </c:pt>
                <c:pt idx="11">
                  <c:v>14.86</c:v>
                </c:pt>
                <c:pt idx="12">
                  <c:v>14.98</c:v>
                </c:pt>
                <c:pt idx="13">
                  <c:v>14.7</c:v>
                </c:pt>
                <c:pt idx="14">
                  <c:v>14.64</c:v>
                </c:pt>
                <c:pt idx="15">
                  <c:v>15.16</c:v>
                </c:pt>
                <c:pt idx="16">
                  <c:v>14.73</c:v>
                </c:pt>
                <c:pt idx="17">
                  <c:v>14.94</c:v>
                </c:pt>
                <c:pt idx="18">
                  <c:v>15.46</c:v>
                </c:pt>
                <c:pt idx="19">
                  <c:v>15.08</c:v>
                </c:pt>
                <c:pt idx="20">
                  <c:v>15.72</c:v>
                </c:pt>
                <c:pt idx="21">
                  <c:v>16.47</c:v>
                </c:pt>
                <c:pt idx="22">
                  <c:v>16.52</c:v>
                </c:pt>
                <c:pt idx="23">
                  <c:v>18.25</c:v>
                </c:pt>
                <c:pt idx="24">
                  <c:v>18.36</c:v>
                </c:pt>
                <c:pt idx="25">
                  <c:v>18.399999999999999</c:v>
                </c:pt>
                <c:pt idx="26">
                  <c:v>18.32</c:v>
                </c:pt>
                <c:pt idx="27">
                  <c:v>16.489999999999998</c:v>
                </c:pt>
                <c:pt idx="28">
                  <c:v>16.34</c:v>
                </c:pt>
                <c:pt idx="29">
                  <c:v>16.920000000000002</c:v>
                </c:pt>
                <c:pt idx="30">
                  <c:v>19.05</c:v>
                </c:pt>
                <c:pt idx="31">
                  <c:v>16.989999999999998</c:v>
                </c:pt>
                <c:pt idx="32">
                  <c:v>17.149999999999999</c:v>
                </c:pt>
                <c:pt idx="33">
                  <c:v>16.940000000000001</c:v>
                </c:pt>
                <c:pt idx="34">
                  <c:v>16.55</c:v>
                </c:pt>
                <c:pt idx="35">
                  <c:v>17</c:v>
                </c:pt>
                <c:pt idx="36">
                  <c:v>15.8</c:v>
                </c:pt>
                <c:pt idx="37">
                  <c:v>15.42</c:v>
                </c:pt>
                <c:pt idx="38">
                  <c:v>15.12</c:v>
                </c:pt>
                <c:pt idx="39">
                  <c:v>16.260000000000002</c:v>
                </c:pt>
                <c:pt idx="40">
                  <c:v>16.11</c:v>
                </c:pt>
                <c:pt idx="41">
                  <c:v>15.74</c:v>
                </c:pt>
                <c:pt idx="42">
                  <c:v>15.17</c:v>
                </c:pt>
                <c:pt idx="43">
                  <c:v>15.53</c:v>
                </c:pt>
                <c:pt idx="44">
                  <c:v>15.01</c:v>
                </c:pt>
                <c:pt idx="45">
                  <c:v>15.78</c:v>
                </c:pt>
                <c:pt idx="46">
                  <c:v>17.5</c:v>
                </c:pt>
                <c:pt idx="47">
                  <c:v>16.8</c:v>
                </c:pt>
                <c:pt idx="48">
                  <c:v>16.63</c:v>
                </c:pt>
                <c:pt idx="49">
                  <c:v>17.920000000000002</c:v>
                </c:pt>
                <c:pt idx="50">
                  <c:v>18.940000000000001</c:v>
                </c:pt>
                <c:pt idx="51">
                  <c:v>19.28</c:v>
                </c:pt>
                <c:pt idx="52">
                  <c:v>19.850000000000001</c:v>
                </c:pt>
                <c:pt idx="53">
                  <c:v>21.17</c:v>
                </c:pt>
                <c:pt idx="54">
                  <c:v>22.87</c:v>
                </c:pt>
                <c:pt idx="55">
                  <c:v>24.45</c:v>
                </c:pt>
                <c:pt idx="56">
                  <c:v>26.06</c:v>
                </c:pt>
                <c:pt idx="57">
                  <c:v>25.31</c:v>
                </c:pt>
                <c:pt idx="58">
                  <c:v>24.34</c:v>
                </c:pt>
                <c:pt idx="59">
                  <c:v>24.92</c:v>
                </c:pt>
                <c:pt idx="60">
                  <c:v>25.65</c:v>
                </c:pt>
                <c:pt idx="61">
                  <c:v>25.98</c:v>
                </c:pt>
                <c:pt idx="62">
                  <c:v>24.79</c:v>
                </c:pt>
                <c:pt idx="63">
                  <c:v>26.87</c:v>
                </c:pt>
                <c:pt idx="64">
                  <c:v>26.87</c:v>
                </c:pt>
                <c:pt idx="65">
                  <c:v>27.59</c:v>
                </c:pt>
                <c:pt idx="66">
                  <c:v>27.36</c:v>
                </c:pt>
                <c:pt idx="67">
                  <c:v>28.67</c:v>
                </c:pt>
                <c:pt idx="68">
                  <c:v>29.6</c:v>
                </c:pt>
                <c:pt idx="69">
                  <c:v>29.06</c:v>
                </c:pt>
                <c:pt idx="70">
                  <c:v>28.31</c:v>
                </c:pt>
                <c:pt idx="71">
                  <c:v>29.83</c:v>
                </c:pt>
                <c:pt idx="72">
                  <c:v>29.99</c:v>
                </c:pt>
                <c:pt idx="73">
                  <c:v>31.5</c:v>
                </c:pt>
                <c:pt idx="74">
                  <c:v>32.69</c:v>
                </c:pt>
                <c:pt idx="75">
                  <c:v>32.89</c:v>
                </c:pt>
                <c:pt idx="76">
                  <c:v>33.18</c:v>
                </c:pt>
                <c:pt idx="77">
                  <c:v>35.090000000000003</c:v>
                </c:pt>
                <c:pt idx="78">
                  <c:v>35.83</c:v>
                </c:pt>
                <c:pt idx="79">
                  <c:v>37.270000000000003</c:v>
                </c:pt>
                <c:pt idx="80">
                  <c:v>34.85</c:v>
                </c:pt>
                <c:pt idx="81">
                  <c:v>33.65</c:v>
                </c:pt>
                <c:pt idx="82">
                  <c:v>29.58</c:v>
                </c:pt>
                <c:pt idx="83">
                  <c:v>28.65</c:v>
                </c:pt>
                <c:pt idx="84">
                  <c:v>29.01</c:v>
                </c:pt>
                <c:pt idx="85">
                  <c:v>30.54</c:v>
                </c:pt>
                <c:pt idx="86">
                  <c:v>28.25</c:v>
                </c:pt>
                <c:pt idx="87">
                  <c:v>28.28</c:v>
                </c:pt>
                <c:pt idx="88">
                  <c:v>28.7</c:v>
                </c:pt>
                <c:pt idx="89">
                  <c:v>29.11</c:v>
                </c:pt>
                <c:pt idx="90">
                  <c:v>26.57</c:v>
                </c:pt>
                <c:pt idx="91">
                  <c:v>26.59</c:v>
                </c:pt>
                <c:pt idx="92">
                  <c:v>26.24</c:v>
                </c:pt>
                <c:pt idx="93">
                  <c:v>28.63</c:v>
                </c:pt>
                <c:pt idx="94">
                  <c:v>29.2</c:v>
                </c:pt>
                <c:pt idx="95">
                  <c:v>29.01</c:v>
                </c:pt>
                <c:pt idx="96">
                  <c:v>28.19</c:v>
                </c:pt>
                <c:pt idx="97">
                  <c:v>28.37</c:v>
                </c:pt>
                <c:pt idx="98">
                  <c:v>29.33</c:v>
                </c:pt>
                <c:pt idx="99">
                  <c:v>30.05</c:v>
                </c:pt>
                <c:pt idx="100">
                  <c:v>30.05</c:v>
                </c:pt>
                <c:pt idx="101">
                  <c:v>29.49</c:v>
                </c:pt>
                <c:pt idx="102">
                  <c:v>27.95</c:v>
                </c:pt>
                <c:pt idx="103">
                  <c:v>30.04</c:v>
                </c:pt>
                <c:pt idx="104">
                  <c:v>33.299999999999997</c:v>
                </c:pt>
                <c:pt idx="105">
                  <c:v>23.92</c:v>
                </c:pt>
                <c:pt idx="106">
                  <c:v>23.49</c:v>
                </c:pt>
                <c:pt idx="107">
                  <c:v>22.73</c:v>
                </c:pt>
                <c:pt idx="108">
                  <c:v>23.18</c:v>
                </c:pt>
                <c:pt idx="109">
                  <c:v>23.16</c:v>
                </c:pt>
                <c:pt idx="110">
                  <c:v>24.69</c:v>
                </c:pt>
                <c:pt idx="111">
                  <c:v>24.21</c:v>
                </c:pt>
                <c:pt idx="112">
                  <c:v>24.7</c:v>
                </c:pt>
                <c:pt idx="113">
                  <c:v>24.51</c:v>
                </c:pt>
                <c:pt idx="114">
                  <c:v>24.87</c:v>
                </c:pt>
                <c:pt idx="115">
                  <c:v>25.13</c:v>
                </c:pt>
                <c:pt idx="116">
                  <c:v>25.16</c:v>
                </c:pt>
                <c:pt idx="117">
                  <c:v>25.78</c:v>
                </c:pt>
                <c:pt idx="118">
                  <c:v>25.19</c:v>
                </c:pt>
                <c:pt idx="119">
                  <c:v>23.7</c:v>
                </c:pt>
                <c:pt idx="120">
                  <c:v>24.3</c:v>
                </c:pt>
                <c:pt idx="121">
                  <c:v>26.18</c:v>
                </c:pt>
                <c:pt idx="122">
                  <c:v>22.26</c:v>
                </c:pt>
                <c:pt idx="123">
                  <c:v>23.05</c:v>
                </c:pt>
                <c:pt idx="124">
                  <c:v>24.1</c:v>
                </c:pt>
                <c:pt idx="125">
                  <c:v>22.31</c:v>
                </c:pt>
                <c:pt idx="126">
                  <c:v>23.54</c:v>
                </c:pt>
                <c:pt idx="127">
                  <c:v>23.03</c:v>
                </c:pt>
                <c:pt idx="128">
                  <c:v>21.62</c:v>
                </c:pt>
                <c:pt idx="129">
                  <c:v>22.86</c:v>
                </c:pt>
                <c:pt idx="130">
                  <c:v>25.23</c:v>
                </c:pt>
                <c:pt idx="131">
                  <c:v>25.85</c:v>
                </c:pt>
                <c:pt idx="132">
                  <c:v>24.52</c:v>
                </c:pt>
                <c:pt idx="133">
                  <c:v>25.2</c:v>
                </c:pt>
                <c:pt idx="134">
                  <c:v>25.94</c:v>
                </c:pt>
                <c:pt idx="135">
                  <c:v>25.44</c:v>
                </c:pt>
                <c:pt idx="136">
                  <c:v>25.51</c:v>
                </c:pt>
                <c:pt idx="137">
                  <c:v>27.01</c:v>
                </c:pt>
                <c:pt idx="138">
                  <c:v>26.82</c:v>
                </c:pt>
                <c:pt idx="139">
                  <c:v>26.71</c:v>
                </c:pt>
                <c:pt idx="140">
                  <c:v>28.62</c:v>
                </c:pt>
                <c:pt idx="141">
                  <c:v>29.1</c:v>
                </c:pt>
                <c:pt idx="142">
                  <c:v>27.21</c:v>
                </c:pt>
                <c:pt idx="143">
                  <c:v>30.44</c:v>
                </c:pt>
                <c:pt idx="144">
                  <c:v>29.48</c:v>
                </c:pt>
                <c:pt idx="145">
                  <c:v>29.04</c:v>
                </c:pt>
                <c:pt idx="146">
                  <c:v>29.9</c:v>
                </c:pt>
                <c:pt idx="147">
                  <c:v>27.73</c:v>
                </c:pt>
                <c:pt idx="148">
                  <c:v>28.18</c:v>
                </c:pt>
                <c:pt idx="149">
                  <c:v>26.98</c:v>
                </c:pt>
                <c:pt idx="150">
                  <c:v>27.86</c:v>
                </c:pt>
                <c:pt idx="151">
                  <c:v>30.22</c:v>
                </c:pt>
                <c:pt idx="152">
                  <c:v>30.45</c:v>
                </c:pt>
                <c:pt idx="153">
                  <c:v>32.24</c:v>
                </c:pt>
                <c:pt idx="154">
                  <c:v>31.03</c:v>
                </c:pt>
                <c:pt idx="155">
                  <c:v>30.31</c:v>
                </c:pt>
                <c:pt idx="156">
                  <c:v>30.97</c:v>
                </c:pt>
                <c:pt idx="157">
                  <c:v>28.47</c:v>
                </c:pt>
                <c:pt idx="158">
                  <c:v>28.26</c:v>
                </c:pt>
                <c:pt idx="159">
                  <c:v>27.91</c:v>
                </c:pt>
                <c:pt idx="160">
                  <c:v>28.73</c:v>
                </c:pt>
                <c:pt idx="161">
                  <c:v>27.58</c:v>
                </c:pt>
                <c:pt idx="162">
                  <c:v>28.15</c:v>
                </c:pt>
                <c:pt idx="163">
                  <c:v>29.46</c:v>
                </c:pt>
                <c:pt idx="164">
                  <c:v>26.46</c:v>
                </c:pt>
                <c:pt idx="165">
                  <c:v>26.68</c:v>
                </c:pt>
                <c:pt idx="166">
                  <c:v>26.39</c:v>
                </c:pt>
                <c:pt idx="167">
                  <c:v>27.23</c:v>
                </c:pt>
                <c:pt idx="168">
                  <c:v>25.63</c:v>
                </c:pt>
                <c:pt idx="169">
                  <c:v>27.18</c:v>
                </c:pt>
                <c:pt idx="170">
                  <c:v>26.13</c:v>
                </c:pt>
                <c:pt idx="171">
                  <c:v>27.08</c:v>
                </c:pt>
                <c:pt idx="172">
                  <c:v>27.44</c:v>
                </c:pt>
                <c:pt idx="173">
                  <c:v>23.3</c:v>
                </c:pt>
                <c:pt idx="174">
                  <c:v>22.35</c:v>
                </c:pt>
                <c:pt idx="175">
                  <c:v>21.54</c:v>
                </c:pt>
                <c:pt idx="176">
                  <c:v>21.68</c:v>
                </c:pt>
                <c:pt idx="177">
                  <c:v>20.74</c:v>
                </c:pt>
                <c:pt idx="178">
                  <c:v>22.04</c:v>
                </c:pt>
                <c:pt idx="179">
                  <c:v>22.47</c:v>
                </c:pt>
                <c:pt idx="180">
                  <c:v>22.55</c:v>
                </c:pt>
                <c:pt idx="181">
                  <c:v>21.15</c:v>
                </c:pt>
                <c:pt idx="182">
                  <c:v>20.86</c:v>
                </c:pt>
                <c:pt idx="183">
                  <c:v>20.93</c:v>
                </c:pt>
                <c:pt idx="184">
                  <c:v>21.89</c:v>
                </c:pt>
                <c:pt idx="185">
                  <c:v>21.8</c:v>
                </c:pt>
                <c:pt idx="186">
                  <c:v>22.44</c:v>
                </c:pt>
                <c:pt idx="187">
                  <c:v>22.06</c:v>
                </c:pt>
                <c:pt idx="188">
                  <c:v>22.71</c:v>
                </c:pt>
                <c:pt idx="189">
                  <c:v>21.08</c:v>
                </c:pt>
                <c:pt idx="190">
                  <c:v>20.3</c:v>
                </c:pt>
                <c:pt idx="191">
                  <c:v>19.84</c:v>
                </c:pt>
                <c:pt idx="192">
                  <c:v>20.170000000000002</c:v>
                </c:pt>
                <c:pt idx="193">
                  <c:v>23.4</c:v>
                </c:pt>
                <c:pt idx="194">
                  <c:v>22.8</c:v>
                </c:pt>
                <c:pt idx="195">
                  <c:v>24.15</c:v>
                </c:pt>
                <c:pt idx="196">
                  <c:v>25.01</c:v>
                </c:pt>
                <c:pt idx="197">
                  <c:v>26.9</c:v>
                </c:pt>
                <c:pt idx="198">
                  <c:v>26.76</c:v>
                </c:pt>
                <c:pt idx="199">
                  <c:v>28.26</c:v>
                </c:pt>
                <c:pt idx="200">
                  <c:v>30.06</c:v>
                </c:pt>
                <c:pt idx="201">
                  <c:v>30.03</c:v>
                </c:pt>
                <c:pt idx="202">
                  <c:v>30.71</c:v>
                </c:pt>
                <c:pt idx="203">
                  <c:v>30.35</c:v>
                </c:pt>
                <c:pt idx="204">
                  <c:v>33.54</c:v>
                </c:pt>
                <c:pt idx="205">
                  <c:v>33.79</c:v>
                </c:pt>
                <c:pt idx="206">
                  <c:v>34.28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7-4972-BF6D-A68DADB54D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-0.12771359941760418</c:v>
                </c:pt>
                <c:pt idx="1">
                  <c:v>-0.1277021583176042</c:v>
                </c:pt>
                <c:pt idx="2">
                  <c:v>-0.12708617254677088</c:v>
                </c:pt>
                <c:pt idx="3">
                  <c:v>-0.12696689604391373</c:v>
                </c:pt>
                <c:pt idx="4">
                  <c:v>-0.12614727607248516</c:v>
                </c:pt>
                <c:pt idx="5">
                  <c:v>-0.12604742144391376</c:v>
                </c:pt>
                <c:pt idx="6">
                  <c:v>-0.12568517976823806</c:v>
                </c:pt>
                <c:pt idx="7">
                  <c:v>-0.12513834167645724</c:v>
                </c:pt>
                <c:pt idx="8">
                  <c:v>-0.12485270746554816</c:v>
                </c:pt>
                <c:pt idx="9">
                  <c:v>-0.12454169773112193</c:v>
                </c:pt>
                <c:pt idx="10">
                  <c:v>-0.12435426041461707</c:v>
                </c:pt>
                <c:pt idx="11">
                  <c:v>-0.12395714305072819</c:v>
                </c:pt>
                <c:pt idx="12">
                  <c:v>-0.12400567475981912</c:v>
                </c:pt>
                <c:pt idx="13">
                  <c:v>-0.12406154617181912</c:v>
                </c:pt>
                <c:pt idx="14">
                  <c:v>-0.12404083987409184</c:v>
                </c:pt>
                <c:pt idx="15">
                  <c:v>-0.12343757749439259</c:v>
                </c:pt>
                <c:pt idx="16">
                  <c:v>-0.1238942786943926</c:v>
                </c:pt>
                <c:pt idx="17">
                  <c:v>-0.12363185980888534</c:v>
                </c:pt>
                <c:pt idx="18">
                  <c:v>-0.12345780222113024</c:v>
                </c:pt>
                <c:pt idx="19">
                  <c:v>-0.12363681487738025</c:v>
                </c:pt>
                <c:pt idx="20">
                  <c:v>-0.12323078121195968</c:v>
                </c:pt>
                <c:pt idx="21">
                  <c:v>-0.12264661606540796</c:v>
                </c:pt>
                <c:pt idx="22">
                  <c:v>-0.1212524506044808</c:v>
                </c:pt>
                <c:pt idx="23">
                  <c:v>-0.12031186400253906</c:v>
                </c:pt>
                <c:pt idx="24">
                  <c:v>-0.12056004735578579</c:v>
                </c:pt>
                <c:pt idx="25">
                  <c:v>-0.12039704562931522</c:v>
                </c:pt>
                <c:pt idx="26">
                  <c:v>-0.11822244383472061</c:v>
                </c:pt>
                <c:pt idx="27">
                  <c:v>-0.11596911510769359</c:v>
                </c:pt>
                <c:pt idx="28">
                  <c:v>-0.11615380718381298</c:v>
                </c:pt>
                <c:pt idx="29">
                  <c:v>-0.11431511342871091</c:v>
                </c:pt>
                <c:pt idx="30">
                  <c:v>-0.11135277144132921</c:v>
                </c:pt>
                <c:pt idx="31">
                  <c:v>-0.1077321471656694</c:v>
                </c:pt>
                <c:pt idx="32">
                  <c:v>-0.10660075044538968</c:v>
                </c:pt>
                <c:pt idx="33">
                  <c:v>-0.10660075044538968</c:v>
                </c:pt>
                <c:pt idx="34">
                  <c:v>-0.10652187085163968</c:v>
                </c:pt>
                <c:pt idx="35">
                  <c:v>-0.10555992011224573</c:v>
                </c:pt>
                <c:pt idx="36">
                  <c:v>-0.10712510587828347</c:v>
                </c:pt>
                <c:pt idx="37">
                  <c:v>-0.10767711395235754</c:v>
                </c:pt>
                <c:pt idx="38">
                  <c:v>-0.10772119060326664</c:v>
                </c:pt>
                <c:pt idx="39">
                  <c:v>-0.1065503036771128</c:v>
                </c:pt>
                <c:pt idx="40">
                  <c:v>-0.10635258519015628</c:v>
                </c:pt>
                <c:pt idx="41">
                  <c:v>-0.1031910681209255</c:v>
                </c:pt>
                <c:pt idx="42">
                  <c:v>-0.1029817074548649</c:v>
                </c:pt>
                <c:pt idx="43">
                  <c:v>-0.10140572455831316</c:v>
                </c:pt>
                <c:pt idx="44">
                  <c:v>-0.10226094463112871</c:v>
                </c:pt>
                <c:pt idx="45">
                  <c:v>-0.10164124132031789</c:v>
                </c:pt>
                <c:pt idx="46">
                  <c:v>-0.10077459106976845</c:v>
                </c:pt>
                <c:pt idx="47">
                  <c:v>-0.10011971117068587</c:v>
                </c:pt>
                <c:pt idx="48">
                  <c:v>-0.10013164123735252</c:v>
                </c:pt>
                <c:pt idx="49">
                  <c:v>-9.9035560183135654E-2</c:v>
                </c:pt>
                <c:pt idx="50">
                  <c:v>-9.8808032143437169E-2</c:v>
                </c:pt>
                <c:pt idx="51">
                  <c:v>-9.8341727787881625E-2</c:v>
                </c:pt>
                <c:pt idx="52">
                  <c:v>-9.7404583947881637E-2</c:v>
                </c:pt>
                <c:pt idx="53">
                  <c:v>-9.5985516979375129E-2</c:v>
                </c:pt>
                <c:pt idx="54">
                  <c:v>-9.5572106432840476E-2</c:v>
                </c:pt>
                <c:pt idx="55">
                  <c:v>-9.6002644844690774E-2</c:v>
                </c:pt>
                <c:pt idx="56">
                  <c:v>-9.3795986104065782E-2</c:v>
                </c:pt>
                <c:pt idx="57">
                  <c:v>-9.1615818448746639E-2</c:v>
                </c:pt>
                <c:pt idx="58">
                  <c:v>-9.1986354555643191E-2</c:v>
                </c:pt>
                <c:pt idx="59">
                  <c:v>-9.1197209268409143E-2</c:v>
                </c:pt>
                <c:pt idx="60">
                  <c:v>-9.0962382752515114E-2</c:v>
                </c:pt>
                <c:pt idx="61">
                  <c:v>-9.1245434456361268E-2</c:v>
                </c:pt>
                <c:pt idx="62">
                  <c:v>-9.1346283130045475E-2</c:v>
                </c:pt>
                <c:pt idx="63">
                  <c:v>-9.0477408012248878E-2</c:v>
                </c:pt>
                <c:pt idx="64">
                  <c:v>-9.0301697168642323E-2</c:v>
                </c:pt>
                <c:pt idx="65">
                  <c:v>-9.0210619277733231E-2</c:v>
                </c:pt>
                <c:pt idx="66">
                  <c:v>-9.0040670796194766E-2</c:v>
                </c:pt>
                <c:pt idx="67">
                  <c:v>-8.943517468134328E-2</c:v>
                </c:pt>
                <c:pt idx="68">
                  <c:v>-8.8652873381343297E-2</c:v>
                </c:pt>
                <c:pt idx="69">
                  <c:v>-8.8780453631343306E-2</c:v>
                </c:pt>
                <c:pt idx="70">
                  <c:v>-8.9259560674952332E-2</c:v>
                </c:pt>
                <c:pt idx="71">
                  <c:v>-8.8932965769275465E-2</c:v>
                </c:pt>
                <c:pt idx="72">
                  <c:v>-8.919836180188416E-2</c:v>
                </c:pt>
                <c:pt idx="73">
                  <c:v>-8.9083189014191849E-2</c:v>
                </c:pt>
                <c:pt idx="74">
                  <c:v>-8.8617718956052305E-2</c:v>
                </c:pt>
                <c:pt idx="75">
                  <c:v>-8.8790555269095794E-2</c:v>
                </c:pt>
                <c:pt idx="76">
                  <c:v>-8.8744622481999005E-2</c:v>
                </c:pt>
                <c:pt idx="77">
                  <c:v>-8.745758622751626E-2</c:v>
                </c:pt>
                <c:pt idx="78">
                  <c:v>-8.6191100881759811E-2</c:v>
                </c:pt>
                <c:pt idx="79">
                  <c:v>-7.7679727520350808E-2</c:v>
                </c:pt>
                <c:pt idx="80">
                  <c:v>-7.8194743335304073E-2</c:v>
                </c:pt>
                <c:pt idx="81">
                  <c:v>-7.7845318942240477E-2</c:v>
                </c:pt>
                <c:pt idx="82">
                  <c:v>-7.9001774666730265E-2</c:v>
                </c:pt>
                <c:pt idx="83">
                  <c:v>-7.9299023241148875E-2</c:v>
                </c:pt>
                <c:pt idx="84">
                  <c:v>-7.9104863000272974E-2</c:v>
                </c:pt>
                <c:pt idx="85">
                  <c:v>-7.8077644170272978E-2</c:v>
                </c:pt>
                <c:pt idx="86">
                  <c:v>-7.910899553027298E-2</c:v>
                </c:pt>
                <c:pt idx="87">
                  <c:v>-7.8833081835357713E-2</c:v>
                </c:pt>
                <c:pt idx="88">
                  <c:v>-7.8658770500575112E-2</c:v>
                </c:pt>
                <c:pt idx="89">
                  <c:v>-7.753995015242697E-2</c:v>
                </c:pt>
                <c:pt idx="90">
                  <c:v>-7.7919568875621723E-2</c:v>
                </c:pt>
                <c:pt idx="91">
                  <c:v>-7.7281400817526477E-2</c:v>
                </c:pt>
                <c:pt idx="92">
                  <c:v>-7.7567704860383613E-2</c:v>
                </c:pt>
                <c:pt idx="93">
                  <c:v>-7.6747465289566497E-2</c:v>
                </c:pt>
                <c:pt idx="94">
                  <c:v>-7.58866414495665E-2</c:v>
                </c:pt>
                <c:pt idx="95">
                  <c:v>-7.5411728827106603E-2</c:v>
                </c:pt>
                <c:pt idx="96">
                  <c:v>-7.2891597814861694E-2</c:v>
                </c:pt>
                <c:pt idx="97">
                  <c:v>-7.2578089932894482E-2</c:v>
                </c:pt>
                <c:pt idx="98">
                  <c:v>-7.2336412219561164E-2</c:v>
                </c:pt>
                <c:pt idx="99">
                  <c:v>-7.2044616893474203E-2</c:v>
                </c:pt>
                <c:pt idx="100">
                  <c:v>-7.0750308390329544E-2</c:v>
                </c:pt>
                <c:pt idx="101">
                  <c:v>-6.6955167973609286E-2</c:v>
                </c:pt>
                <c:pt idx="102">
                  <c:v>-6.6247347337650891E-2</c:v>
                </c:pt>
                <c:pt idx="103">
                  <c:v>-6.3505754425988353E-2</c:v>
                </c:pt>
                <c:pt idx="104">
                  <c:v>-6.0335125741274982E-2</c:v>
                </c:pt>
                <c:pt idx="105">
                  <c:v>-3.4419452239848353E-2</c:v>
                </c:pt>
                <c:pt idx="106">
                  <c:v>-3.4353519883690724E-2</c:v>
                </c:pt>
                <c:pt idx="107">
                  <c:v>-3.4413928744234941E-2</c:v>
                </c:pt>
                <c:pt idx="108">
                  <c:v>-3.4243005787859104E-2</c:v>
                </c:pt>
                <c:pt idx="109">
                  <c:v>-3.4074792611826041E-2</c:v>
                </c:pt>
                <c:pt idx="110">
                  <c:v>-3.350625265940968E-2</c:v>
                </c:pt>
                <c:pt idx="111">
                  <c:v>-3.2997634283799933E-2</c:v>
                </c:pt>
                <c:pt idx="112">
                  <c:v>-3.2708461326937187E-2</c:v>
                </c:pt>
                <c:pt idx="113">
                  <c:v>-3.1656709989682286E-2</c:v>
                </c:pt>
                <c:pt idx="114">
                  <c:v>-3.1528558278289875E-2</c:v>
                </c:pt>
                <c:pt idx="115">
                  <c:v>-3.1195042926938529E-2</c:v>
                </c:pt>
                <c:pt idx="116">
                  <c:v>-3.1241273680669871E-2</c:v>
                </c:pt>
                <c:pt idx="117">
                  <c:v>-3.1014851434723927E-2</c:v>
                </c:pt>
                <c:pt idx="118">
                  <c:v>-3.0991431821025296E-2</c:v>
                </c:pt>
                <c:pt idx="119">
                  <c:v>-3.1788157845804056E-2</c:v>
                </c:pt>
                <c:pt idx="120">
                  <c:v>-3.0861607959793695E-2</c:v>
                </c:pt>
                <c:pt idx="121">
                  <c:v>-2.7376397377601919E-2</c:v>
                </c:pt>
                <c:pt idx="122">
                  <c:v>-2.7980000826211347E-2</c:v>
                </c:pt>
                <c:pt idx="123">
                  <c:v>-2.7123977681050057E-2</c:v>
                </c:pt>
                <c:pt idx="124">
                  <c:v>-2.5668620814114571E-2</c:v>
                </c:pt>
                <c:pt idx="125">
                  <c:v>-2.6322670345307234E-2</c:v>
                </c:pt>
                <c:pt idx="126">
                  <c:v>-2.5938279072579961E-2</c:v>
                </c:pt>
                <c:pt idx="127">
                  <c:v>-2.5786731368758305E-2</c:v>
                </c:pt>
                <c:pt idx="128">
                  <c:v>-2.707316575454511E-2</c:v>
                </c:pt>
                <c:pt idx="129">
                  <c:v>-2.4655079216217578E-2</c:v>
                </c:pt>
                <c:pt idx="130">
                  <c:v>-2.1543631035341085E-2</c:v>
                </c:pt>
                <c:pt idx="131">
                  <c:v>-1.9648383850341091E-2</c:v>
                </c:pt>
                <c:pt idx="132">
                  <c:v>-2.0055840173418014E-2</c:v>
                </c:pt>
                <c:pt idx="133">
                  <c:v>-1.9137680645418018E-2</c:v>
                </c:pt>
                <c:pt idx="134">
                  <c:v>-1.7868855190539965E-2</c:v>
                </c:pt>
                <c:pt idx="135">
                  <c:v>-1.7792764225022729E-2</c:v>
                </c:pt>
                <c:pt idx="136">
                  <c:v>-1.8340478652183224E-2</c:v>
                </c:pt>
                <c:pt idx="137">
                  <c:v>-1.8048186470232007E-2</c:v>
                </c:pt>
                <c:pt idx="138">
                  <c:v>-1.8158437988982007E-2</c:v>
                </c:pt>
                <c:pt idx="139">
                  <c:v>-1.8118485738646439E-2</c:v>
                </c:pt>
                <c:pt idx="140">
                  <c:v>-1.7583054256956297E-2</c:v>
                </c:pt>
                <c:pt idx="141">
                  <c:v>-1.5485487839430531E-2</c:v>
                </c:pt>
                <c:pt idx="142">
                  <c:v>-1.4030303655277528E-2</c:v>
                </c:pt>
                <c:pt idx="143">
                  <c:v>-1.3855583776408975E-2</c:v>
                </c:pt>
                <c:pt idx="144">
                  <c:v>-1.3824810883205092E-2</c:v>
                </c:pt>
                <c:pt idx="145">
                  <c:v>-1.4093323784303995E-2</c:v>
                </c:pt>
                <c:pt idx="146">
                  <c:v>-1.3707665965816598E-2</c:v>
                </c:pt>
                <c:pt idx="147">
                  <c:v>-1.4067080281758624E-2</c:v>
                </c:pt>
                <c:pt idx="148">
                  <c:v>-1.3909866765542409E-2</c:v>
                </c:pt>
                <c:pt idx="149">
                  <c:v>-1.4483560475990172E-2</c:v>
                </c:pt>
                <c:pt idx="150">
                  <c:v>-1.3853159646176508E-2</c:v>
                </c:pt>
                <c:pt idx="151">
                  <c:v>-1.3306247999931445E-2</c:v>
                </c:pt>
                <c:pt idx="152">
                  <c:v>-1.3403200938955834E-2</c:v>
                </c:pt>
                <c:pt idx="153">
                  <c:v>-1.2709046115012172E-2</c:v>
                </c:pt>
                <c:pt idx="154">
                  <c:v>-1.4959984301132042E-2</c:v>
                </c:pt>
                <c:pt idx="155">
                  <c:v>-1.2051555831053301E-2</c:v>
                </c:pt>
                <c:pt idx="156">
                  <c:v>-1.1422699288196156E-2</c:v>
                </c:pt>
                <c:pt idx="157">
                  <c:v>-1.1917236524448701E-2</c:v>
                </c:pt>
                <c:pt idx="158">
                  <c:v>-1.1710551519937419E-2</c:v>
                </c:pt>
                <c:pt idx="159">
                  <c:v>-1.1713145136153636E-2</c:v>
                </c:pt>
                <c:pt idx="160">
                  <c:v>-1.083209354567745E-2</c:v>
                </c:pt>
                <c:pt idx="161">
                  <c:v>-1.1255443730052451E-2</c:v>
                </c:pt>
                <c:pt idx="162">
                  <c:v>-1.1191244018822504E-2</c:v>
                </c:pt>
                <c:pt idx="163">
                  <c:v>-1.0339349018822502E-2</c:v>
                </c:pt>
                <c:pt idx="164">
                  <c:v>-1.0969363757077535E-2</c:v>
                </c:pt>
                <c:pt idx="165">
                  <c:v>-9.9456331416929219E-3</c:v>
                </c:pt>
                <c:pt idx="166">
                  <c:v>-1.0206395537569211E-2</c:v>
                </c:pt>
                <c:pt idx="167">
                  <c:v>-9.9229752121723861E-3</c:v>
                </c:pt>
                <c:pt idx="168">
                  <c:v>-1.0704011367777768E-2</c:v>
                </c:pt>
                <c:pt idx="169">
                  <c:v>-1.0424375444420103E-2</c:v>
                </c:pt>
                <c:pt idx="170">
                  <c:v>-1.0476620909021871E-2</c:v>
                </c:pt>
                <c:pt idx="171">
                  <c:v>-9.8838349090218675E-3</c:v>
                </c:pt>
                <c:pt idx="172">
                  <c:v>-1.0994262863836677E-2</c:v>
                </c:pt>
                <c:pt idx="173">
                  <c:v>-8.4705676424946495E-3</c:v>
                </c:pt>
                <c:pt idx="174">
                  <c:v>-9.8354082146158654E-3</c:v>
                </c:pt>
                <c:pt idx="175">
                  <c:v>-1.0202871489615869E-2</c:v>
                </c:pt>
                <c:pt idx="176">
                  <c:v>-9.0708768016330328E-3</c:v>
                </c:pt>
                <c:pt idx="177">
                  <c:v>-9.3769512459368296E-3</c:v>
                </c:pt>
                <c:pt idx="178">
                  <c:v>-8.7348511451616345E-3</c:v>
                </c:pt>
                <c:pt idx="179">
                  <c:v>-8.3706820174507916E-3</c:v>
                </c:pt>
                <c:pt idx="180">
                  <c:v>-7.3110308931086847E-3</c:v>
                </c:pt>
                <c:pt idx="181">
                  <c:v>-8.2549040384638749E-3</c:v>
                </c:pt>
                <c:pt idx="182">
                  <c:v>-8.5157215263759623E-3</c:v>
                </c:pt>
                <c:pt idx="183">
                  <c:v>-8.6214403708204049E-3</c:v>
                </c:pt>
                <c:pt idx="184">
                  <c:v>-8.3349285643687914E-3</c:v>
                </c:pt>
                <c:pt idx="185">
                  <c:v>-8.4457105461869728E-3</c:v>
                </c:pt>
                <c:pt idx="186">
                  <c:v>-7.5028912194542987E-3</c:v>
                </c:pt>
                <c:pt idx="187">
                  <c:v>-7.1514323179617647E-3</c:v>
                </c:pt>
                <c:pt idx="188">
                  <c:v>-6.833912764770275E-3</c:v>
                </c:pt>
                <c:pt idx="189">
                  <c:v>-7.2492818450334336E-3</c:v>
                </c:pt>
                <c:pt idx="190">
                  <c:v>-7.5383418685628411E-3</c:v>
                </c:pt>
                <c:pt idx="191">
                  <c:v>-7.2340799275989872E-3</c:v>
                </c:pt>
                <c:pt idx="192">
                  <c:v>-6.6941598558690318E-3</c:v>
                </c:pt>
                <c:pt idx="193">
                  <c:v>-5.5412682352464649E-3</c:v>
                </c:pt>
                <c:pt idx="194">
                  <c:v>-5.4294841778390569E-3</c:v>
                </c:pt>
                <c:pt idx="195">
                  <c:v>-5.2202786038553174E-3</c:v>
                </c:pt>
                <c:pt idx="196">
                  <c:v>-4.9941153197973461E-3</c:v>
                </c:pt>
                <c:pt idx="197">
                  <c:v>-4.447342502756987E-3</c:v>
                </c:pt>
                <c:pt idx="198">
                  <c:v>-4.4951085983452226E-3</c:v>
                </c:pt>
                <c:pt idx="199">
                  <c:v>-4.2798034326309367E-3</c:v>
                </c:pt>
                <c:pt idx="200">
                  <c:v>-3.9689472886390836E-3</c:v>
                </c:pt>
                <c:pt idx="201">
                  <c:v>-3.8866177636390832E-3</c:v>
                </c:pt>
                <c:pt idx="202">
                  <c:v>-3.6994589258613057E-3</c:v>
                </c:pt>
                <c:pt idx="203">
                  <c:v>-3.6548283753312706E-3</c:v>
                </c:pt>
                <c:pt idx="204">
                  <c:v>-3.1733522404998097E-3</c:v>
                </c:pt>
                <c:pt idx="205">
                  <c:v>-2.8428776895320683E-3</c:v>
                </c:pt>
                <c:pt idx="206">
                  <c:v>-2.1262015498261853E-3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77-4972-BF6D-A68DADB54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980031"/>
        <c:axId val="940596671"/>
      </c:lineChart>
      <c:dateAx>
        <c:axId val="7889800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596671"/>
        <c:crosses val="autoZero"/>
        <c:auto val="1"/>
        <c:lblOffset val="100"/>
        <c:baseTimeUnit val="days"/>
      </c:dateAx>
      <c:valAx>
        <c:axId val="94059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98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D20F08-542F-450D-9A9B-5D7C0289103D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B61E92-D6E4-4763-9EF9-C9F227E441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75</v>
      </c>
      <c r="D2" s="4">
        <f>MIN(D3:D1912)</f>
        <v>10.3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10.56</v>
      </c>
      <c r="C5">
        <v>10.61</v>
      </c>
      <c r="D5">
        <v>10.41</v>
      </c>
      <c r="E5">
        <v>10.41</v>
      </c>
      <c r="F5">
        <v>1144.1099999999999</v>
      </c>
      <c r="G5">
        <v>10.41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-1144.1099999999999</v>
      </c>
      <c r="R5">
        <f t="shared" ref="R5" si="2">R6+Q5</f>
        <v>-12771359.941760419</v>
      </c>
      <c r="S5">
        <f t="shared" ref="S5" si="3">R5/100000</f>
        <v>-127.71359941760419</v>
      </c>
      <c r="T5">
        <f t="shared" ref="T5" si="4">S5/1000</f>
        <v>-0.12771359941760418</v>
      </c>
    </row>
    <row r="6" spans="1:20" x14ac:dyDescent="0.25">
      <c r="A6" s="5">
        <v>44587</v>
      </c>
      <c r="B6">
        <v>10.85</v>
      </c>
      <c r="C6">
        <v>11.3</v>
      </c>
      <c r="D6">
        <v>10.34</v>
      </c>
      <c r="E6">
        <v>10.56</v>
      </c>
      <c r="F6">
        <v>113720.45</v>
      </c>
      <c r="G6">
        <v>10.56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-0.54166666666666574</v>
      </c>
      <c r="Q6">
        <f t="shared" ref="Q6" si="6">F6*P6</f>
        <v>-61598.577083333228</v>
      </c>
      <c r="R6">
        <f t="shared" ref="R6" si="7">R7+Q6</f>
        <v>-12770215.83176042</v>
      </c>
      <c r="S6">
        <f t="shared" ref="S6" si="8">R6/100000</f>
        <v>-127.7021583176042</v>
      </c>
      <c r="T6">
        <f t="shared" ref="T6" si="9">S6/1000</f>
        <v>-0.1277021583176042</v>
      </c>
    </row>
    <row r="7" spans="1:20" x14ac:dyDescent="0.25">
      <c r="A7" s="5">
        <v>44586</v>
      </c>
      <c r="B7">
        <v>10.75</v>
      </c>
      <c r="C7">
        <v>11.29</v>
      </c>
      <c r="D7">
        <v>10.59</v>
      </c>
      <c r="E7">
        <v>10.88</v>
      </c>
      <c r="F7">
        <v>69577.960000000006</v>
      </c>
      <c r="G7">
        <v>10.88</v>
      </c>
      <c r="L7" t="s">
        <v>7</v>
      </c>
      <c r="M7" t="s">
        <v>8</v>
      </c>
      <c r="N7" t="s">
        <v>7</v>
      </c>
      <c r="P7">
        <f t="shared" ref="P7" si="10">IF(C7=D7,0,((E7-D7)-(C7-E7))/(C7-D7))</f>
        <v>-0.17142857142856796</v>
      </c>
      <c r="Q7">
        <f t="shared" ref="Q7" si="11">F7*P7</f>
        <v>-11927.650285714046</v>
      </c>
      <c r="R7">
        <f t="shared" ref="R7" si="12">R8+Q7</f>
        <v>-12708617.254677087</v>
      </c>
      <c r="S7">
        <f t="shared" ref="S7" si="13">R7/100000</f>
        <v>-127.08617254677087</v>
      </c>
      <c r="T7">
        <f t="shared" ref="T7" si="14">S7/1000</f>
        <v>-0.12708617254677088</v>
      </c>
    </row>
    <row r="8" spans="1:20" x14ac:dyDescent="0.25">
      <c r="A8" s="5">
        <v>44585</v>
      </c>
      <c r="B8">
        <v>11.17</v>
      </c>
      <c r="C8">
        <v>12.13</v>
      </c>
      <c r="D8">
        <v>10.45</v>
      </c>
      <c r="E8">
        <v>10.75</v>
      </c>
      <c r="F8">
        <v>127496.44</v>
      </c>
      <c r="G8">
        <v>10.75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-0.64285714285714235</v>
      </c>
      <c r="Q8">
        <f t="shared" ref="Q8" si="16">F8*P8</f>
        <v>-81961.997142857086</v>
      </c>
      <c r="R8">
        <f t="shared" ref="R8" si="17">R9+Q8</f>
        <v>-12696689.604391374</v>
      </c>
      <c r="S8">
        <f t="shared" ref="S8" si="18">R8/100000</f>
        <v>-126.96689604391374</v>
      </c>
      <c r="T8">
        <f t="shared" ref="T8" si="19">S8/1000</f>
        <v>-0.12696689604391373</v>
      </c>
    </row>
    <row r="9" spans="1:20" x14ac:dyDescent="0.25">
      <c r="A9" s="5">
        <v>44584</v>
      </c>
      <c r="B9">
        <v>10.69</v>
      </c>
      <c r="C9">
        <v>11.88</v>
      </c>
      <c r="D9">
        <v>10.62</v>
      </c>
      <c r="E9">
        <v>11.17</v>
      </c>
      <c r="F9">
        <v>78635.520000000004</v>
      </c>
      <c r="G9">
        <v>11.17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-0.12698412698412695</v>
      </c>
      <c r="Q9">
        <f t="shared" ref="Q9" si="21">F9*P9</f>
        <v>-9985.4628571428548</v>
      </c>
      <c r="R9">
        <f t="shared" ref="R9" si="22">R10+Q9</f>
        <v>-12614727.607248517</v>
      </c>
      <c r="S9">
        <f t="shared" ref="S9" si="23">R9/100000</f>
        <v>-126.14727607248517</v>
      </c>
      <c r="T9">
        <f t="shared" ref="T9" si="24">S9/1000</f>
        <v>-0.12614727607248516</v>
      </c>
    </row>
    <row r="10" spans="1:20" x14ac:dyDescent="0.25">
      <c r="A10" s="5">
        <v>44583</v>
      </c>
      <c r="B10">
        <v>11.51</v>
      </c>
      <c r="C10">
        <v>11.78</v>
      </c>
      <c r="D10">
        <v>10.3</v>
      </c>
      <c r="E10">
        <v>10.66</v>
      </c>
      <c r="F10">
        <v>70541.8</v>
      </c>
      <c r="G10">
        <v>10.66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-0.51351351351351382</v>
      </c>
      <c r="Q10">
        <f t="shared" ref="Q10" si="26">F10*P10</f>
        <v>-36224.167567567594</v>
      </c>
      <c r="R10">
        <f t="shared" ref="R10" si="27">R11+Q10</f>
        <v>-12604742.144391375</v>
      </c>
      <c r="S10">
        <f t="shared" ref="S10" si="28">R10/100000</f>
        <v>-126.04742144391375</v>
      </c>
      <c r="T10">
        <f t="shared" ref="T10" si="29">S10/1000</f>
        <v>-0.12604742144391376</v>
      </c>
    </row>
    <row r="11" spans="1:20" x14ac:dyDescent="0.25">
      <c r="A11" s="5">
        <v>44582</v>
      </c>
      <c r="B11">
        <v>13.14</v>
      </c>
      <c r="C11">
        <v>13.22</v>
      </c>
      <c r="D11">
        <v>11.03</v>
      </c>
      <c r="E11">
        <v>11.53</v>
      </c>
      <c r="F11">
        <v>100636.59</v>
      </c>
      <c r="G11">
        <v>11.53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-0.5433789954337902</v>
      </c>
      <c r="Q11">
        <f t="shared" ref="Q11" si="31">F11*P11</f>
        <v>-54683.809178082214</v>
      </c>
      <c r="R11">
        <f t="shared" ref="R11" si="32">R12+Q11</f>
        <v>-12568517.976823807</v>
      </c>
      <c r="S11">
        <f t="shared" ref="S11" si="33">R11/100000</f>
        <v>-125.68517976823807</v>
      </c>
      <c r="T11">
        <f t="shared" ref="T11" si="34">S11/1000</f>
        <v>-0.12568517976823806</v>
      </c>
    </row>
    <row r="12" spans="1:20" x14ac:dyDescent="0.25">
      <c r="A12" s="5">
        <v>44581</v>
      </c>
      <c r="B12">
        <v>13.64</v>
      </c>
      <c r="C12">
        <v>14.17</v>
      </c>
      <c r="D12">
        <v>13.07</v>
      </c>
      <c r="E12">
        <v>13.14</v>
      </c>
      <c r="F12">
        <v>32728.92</v>
      </c>
      <c r="G12">
        <v>13.14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-0.87272727272727213</v>
      </c>
      <c r="Q12">
        <f t="shared" ref="Q12" si="36">F12*P12</f>
        <v>-28563.421090909069</v>
      </c>
      <c r="R12">
        <f t="shared" ref="R12" si="37">R13+Q12</f>
        <v>-12513834.167645724</v>
      </c>
      <c r="S12">
        <f t="shared" ref="S12" si="38">R12/100000</f>
        <v>-125.13834167645724</v>
      </c>
      <c r="T12">
        <f t="shared" ref="T12" si="39">S12/1000</f>
        <v>-0.12513834167645724</v>
      </c>
    </row>
    <row r="13" spans="1:20" x14ac:dyDescent="0.25">
      <c r="A13" s="5">
        <v>44580</v>
      </c>
      <c r="B13">
        <v>14.12</v>
      </c>
      <c r="C13">
        <v>14.16</v>
      </c>
      <c r="D13">
        <v>13.55</v>
      </c>
      <c r="E13">
        <v>13.65</v>
      </c>
      <c r="F13">
        <v>46272.18</v>
      </c>
      <c r="G13">
        <v>13.65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-0.67213114754098446</v>
      </c>
      <c r="Q13">
        <f t="shared" ref="Q13" si="41">F13*P13</f>
        <v>-31100.973442622992</v>
      </c>
      <c r="R13">
        <f t="shared" ref="R13" si="42">R14+Q13</f>
        <v>-12485270.746554816</v>
      </c>
      <c r="S13">
        <f t="shared" ref="S13" si="43">R13/100000</f>
        <v>-124.85270746554816</v>
      </c>
      <c r="T13">
        <f t="shared" ref="T13" si="44">S13/1000</f>
        <v>-0.12485270746554816</v>
      </c>
    </row>
    <row r="14" spans="1:20" x14ac:dyDescent="0.25">
      <c r="A14" s="5">
        <v>44579</v>
      </c>
      <c r="B14">
        <v>14.52</v>
      </c>
      <c r="C14">
        <v>14.8</v>
      </c>
      <c r="D14">
        <v>13.77</v>
      </c>
      <c r="E14">
        <v>14.13</v>
      </c>
      <c r="F14">
        <v>62277.56</v>
      </c>
      <c r="G14">
        <v>14.13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-0.30097087378640619</v>
      </c>
      <c r="Q14">
        <f t="shared" ref="Q14" si="46">F14*P14</f>
        <v>-18743.731650485337</v>
      </c>
      <c r="R14">
        <f t="shared" ref="R14" si="47">R15+Q14</f>
        <v>-12454169.773112193</v>
      </c>
      <c r="S14">
        <f t="shared" ref="S14" si="48">R14/100000</f>
        <v>-124.54169773112193</v>
      </c>
      <c r="T14">
        <f t="shared" ref="T14" si="49">S14/1000</f>
        <v>-0.12454169773112193</v>
      </c>
    </row>
    <row r="15" spans="1:20" x14ac:dyDescent="0.25">
      <c r="A15" s="5">
        <v>44578</v>
      </c>
      <c r="B15">
        <v>14.83</v>
      </c>
      <c r="C15">
        <v>15.09</v>
      </c>
      <c r="D15">
        <v>14.37</v>
      </c>
      <c r="E15">
        <v>14.54</v>
      </c>
      <c r="F15">
        <v>75243.289999999994</v>
      </c>
      <c r="G15">
        <v>14.54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-0.52777777777777835</v>
      </c>
      <c r="Q15">
        <f t="shared" ref="Q15" si="51">F15*P15</f>
        <v>-39711.73638888893</v>
      </c>
      <c r="R15">
        <f t="shared" ref="R15" si="52">R16+Q15</f>
        <v>-12435426.041461708</v>
      </c>
      <c r="S15">
        <f t="shared" ref="S15" si="53">R15/100000</f>
        <v>-124.35426041461707</v>
      </c>
      <c r="T15">
        <f t="shared" ref="T15" si="54">S15/1000</f>
        <v>-0.12435426041461707</v>
      </c>
    </row>
    <row r="16" spans="1:20" x14ac:dyDescent="0.25">
      <c r="A16" s="5">
        <v>44577</v>
      </c>
      <c r="B16">
        <v>14.97</v>
      </c>
      <c r="C16">
        <v>15.04</v>
      </c>
      <c r="D16">
        <v>14.6</v>
      </c>
      <c r="E16">
        <v>14.86</v>
      </c>
      <c r="F16">
        <v>26692.44</v>
      </c>
      <c r="G16">
        <v>14.86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0.18181818181818218</v>
      </c>
      <c r="Q16">
        <f t="shared" ref="Q16" si="56">F16*P16</f>
        <v>4853.1709090909189</v>
      </c>
      <c r="R16">
        <f t="shared" ref="R16" si="57">R17+Q16</f>
        <v>-12395714.30507282</v>
      </c>
      <c r="S16">
        <f t="shared" ref="S16" si="58">R16/100000</f>
        <v>-123.95714305072819</v>
      </c>
      <c r="T16">
        <f t="shared" ref="T16" si="59">S16/1000</f>
        <v>-0.12395714305072819</v>
      </c>
    </row>
    <row r="17" spans="1:20" x14ac:dyDescent="0.25">
      <c r="A17" s="5">
        <v>44576</v>
      </c>
      <c r="B17">
        <v>14.7</v>
      </c>
      <c r="C17">
        <v>15.31</v>
      </c>
      <c r="D17">
        <v>14.56</v>
      </c>
      <c r="E17">
        <v>14.98</v>
      </c>
      <c r="F17">
        <v>46559.51</v>
      </c>
      <c r="G17">
        <v>14.98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0.11999999999999982</v>
      </c>
      <c r="Q17">
        <f t="shared" ref="Q17" si="61">F17*P17</f>
        <v>5587.1411999999918</v>
      </c>
      <c r="R17">
        <f t="shared" ref="R17" si="62">R18+Q17</f>
        <v>-12400567.475981912</v>
      </c>
      <c r="S17">
        <f t="shared" ref="S17" si="63">R17/100000</f>
        <v>-124.00567475981912</v>
      </c>
      <c r="T17">
        <f t="shared" ref="T17" si="64">S17/1000</f>
        <v>-0.12400567475981912</v>
      </c>
    </row>
    <row r="18" spans="1:20" x14ac:dyDescent="0.25">
      <c r="A18" s="5">
        <v>44575</v>
      </c>
      <c r="B18">
        <v>14.64</v>
      </c>
      <c r="C18">
        <v>15.15</v>
      </c>
      <c r="D18">
        <v>14.27</v>
      </c>
      <c r="E18">
        <v>14.7</v>
      </c>
      <c r="F18">
        <v>91107.71</v>
      </c>
      <c r="G18">
        <v>14.7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-2.2727272727274241E-2</v>
      </c>
      <c r="Q18">
        <f t="shared" ref="Q18" si="66">F18*P18</f>
        <v>-2070.6297727274109</v>
      </c>
      <c r="R18">
        <f t="shared" ref="R18" si="67">R19+Q18</f>
        <v>-12406154.617181912</v>
      </c>
      <c r="S18">
        <f t="shared" ref="S18" si="68">R18/100000</f>
        <v>-124.06154617181912</v>
      </c>
      <c r="T18">
        <f t="shared" ref="T18" si="69">S18/1000</f>
        <v>-0.12406154617181912</v>
      </c>
    </row>
    <row r="19" spans="1:20" x14ac:dyDescent="0.25">
      <c r="A19" s="5">
        <v>44574</v>
      </c>
      <c r="B19">
        <v>15.19</v>
      </c>
      <c r="C19">
        <v>15.84</v>
      </c>
      <c r="D19">
        <v>14.51</v>
      </c>
      <c r="E19">
        <v>14.64</v>
      </c>
      <c r="F19">
        <v>74984.95</v>
      </c>
      <c r="G19">
        <v>14.64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-0.80451127819548751</v>
      </c>
      <c r="Q19">
        <f t="shared" ref="Q19" si="71">F19*P19</f>
        <v>-60326.237969924718</v>
      </c>
      <c r="R19">
        <f t="shared" ref="R19" si="72">R20+Q19</f>
        <v>-12404083.987409184</v>
      </c>
      <c r="S19">
        <f t="shared" ref="S19" si="73">R19/100000</f>
        <v>-124.04083987409184</v>
      </c>
      <c r="T19">
        <f t="shared" ref="T19" si="74">S19/1000</f>
        <v>-0.12404083987409184</v>
      </c>
    </row>
    <row r="20" spans="1:20" x14ac:dyDescent="0.25">
      <c r="A20" s="5">
        <v>44573</v>
      </c>
      <c r="B20">
        <v>14.71</v>
      </c>
      <c r="C20">
        <v>15.34</v>
      </c>
      <c r="D20">
        <v>14.62</v>
      </c>
      <c r="E20">
        <v>15.16</v>
      </c>
      <c r="F20">
        <v>91340.24</v>
      </c>
      <c r="G20">
        <v>15.16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0.50000000000000122</v>
      </c>
      <c r="Q20">
        <f t="shared" ref="Q20" si="76">F20*P20</f>
        <v>45670.120000000112</v>
      </c>
      <c r="R20">
        <f t="shared" ref="R20" si="77">R21+Q20</f>
        <v>-12343757.749439258</v>
      </c>
      <c r="S20">
        <f t="shared" ref="S20" si="78">R20/100000</f>
        <v>-123.43757749439258</v>
      </c>
      <c r="T20">
        <f t="shared" ref="T20" si="79">S20/1000</f>
        <v>-0.12343757749439259</v>
      </c>
    </row>
    <row r="21" spans="1:20" x14ac:dyDescent="0.25">
      <c r="A21" s="5">
        <v>44572</v>
      </c>
      <c r="B21">
        <v>14.91</v>
      </c>
      <c r="C21">
        <v>15.17</v>
      </c>
      <c r="D21">
        <v>14.48</v>
      </c>
      <c r="E21">
        <v>14.73</v>
      </c>
      <c r="F21">
        <v>95299.49</v>
      </c>
      <c r="G21">
        <v>14.73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-0.27536231884057921</v>
      </c>
      <c r="Q21">
        <f t="shared" ref="Q21" si="81">F21*P21</f>
        <v>-26241.88855072459</v>
      </c>
      <c r="R21">
        <f t="shared" ref="R21" si="82">R22+Q21</f>
        <v>-12389427.869439259</v>
      </c>
      <c r="S21">
        <f t="shared" ref="S21" si="83">R21/100000</f>
        <v>-123.8942786943926</v>
      </c>
      <c r="T21">
        <f t="shared" ref="T21" si="84">S21/1000</f>
        <v>-0.1238942786943926</v>
      </c>
    </row>
    <row r="22" spans="1:20" x14ac:dyDescent="0.25">
      <c r="A22" s="5">
        <v>44571</v>
      </c>
      <c r="B22">
        <v>15.46</v>
      </c>
      <c r="C22">
        <v>15.6</v>
      </c>
      <c r="D22">
        <v>14.62</v>
      </c>
      <c r="E22">
        <v>14.94</v>
      </c>
      <c r="F22">
        <v>50169.54</v>
      </c>
      <c r="G22">
        <v>14.94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-0.3469387755102038</v>
      </c>
      <c r="Q22">
        <f t="shared" ref="Q22" si="86">F22*P22</f>
        <v>-17405.758775510189</v>
      </c>
      <c r="R22">
        <f t="shared" ref="R22" si="87">R23+Q22</f>
        <v>-12363185.980888534</v>
      </c>
      <c r="S22">
        <f t="shared" ref="S22" si="88">R22/100000</f>
        <v>-123.63185980888534</v>
      </c>
      <c r="T22">
        <f t="shared" ref="T22" si="89">S22/1000</f>
        <v>-0.12363185980888534</v>
      </c>
    </row>
    <row r="23" spans="1:20" x14ac:dyDescent="0.25">
      <c r="A23" s="5">
        <v>44570</v>
      </c>
      <c r="B23">
        <v>15.08</v>
      </c>
      <c r="C23">
        <v>15.61</v>
      </c>
      <c r="D23">
        <v>14.97</v>
      </c>
      <c r="E23">
        <v>15.46</v>
      </c>
      <c r="F23">
        <v>33696.5</v>
      </c>
      <c r="G23">
        <v>15.46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0.53125000000000355</v>
      </c>
      <c r="Q23">
        <f t="shared" ref="Q23" si="91">F23*P23</f>
        <v>17901.26562500012</v>
      </c>
      <c r="R23">
        <f t="shared" ref="R23" si="92">R24+Q23</f>
        <v>-12345780.222113024</v>
      </c>
      <c r="S23">
        <f t="shared" ref="S23" si="93">R23/100000</f>
        <v>-123.45780222113025</v>
      </c>
      <c r="T23">
        <f t="shared" ref="T23" si="94">S23/1000</f>
        <v>-0.12345780222113024</v>
      </c>
    </row>
    <row r="24" spans="1:20" x14ac:dyDescent="0.25">
      <c r="A24" s="5">
        <v>44569</v>
      </c>
      <c r="B24">
        <v>15.75</v>
      </c>
      <c r="C24">
        <v>16.07</v>
      </c>
      <c r="D24">
        <v>15</v>
      </c>
      <c r="E24">
        <v>15.08</v>
      </c>
      <c r="F24">
        <v>47742.42</v>
      </c>
      <c r="G24">
        <v>15.08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-0.85046728971962604</v>
      </c>
      <c r="Q24">
        <f t="shared" ref="Q24" si="96">F24*P24</f>
        <v>-40603.366542056065</v>
      </c>
      <c r="R24">
        <f t="shared" ref="R24" si="97">R25+Q24</f>
        <v>-12363681.487738024</v>
      </c>
      <c r="S24">
        <f t="shared" ref="S24" si="98">R24/100000</f>
        <v>-123.63681487738025</v>
      </c>
      <c r="T24">
        <f t="shared" ref="T24" si="99">S24/1000</f>
        <v>-0.12363681487738025</v>
      </c>
    </row>
    <row r="25" spans="1:20" x14ac:dyDescent="0.25">
      <c r="A25" s="5">
        <v>44568</v>
      </c>
      <c r="B25">
        <v>16.5</v>
      </c>
      <c r="C25">
        <v>16.649999999999999</v>
      </c>
      <c r="D25">
        <v>15.49</v>
      </c>
      <c r="E25">
        <v>15.72</v>
      </c>
      <c r="F25">
        <v>96804.51</v>
      </c>
      <c r="G25">
        <v>15.72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-0.60344827586206762</v>
      </c>
      <c r="Q25">
        <f t="shared" ref="Q25" si="101">F25*P25</f>
        <v>-58416.514655172279</v>
      </c>
      <c r="R25">
        <f t="shared" ref="R25" si="102">R26+Q25</f>
        <v>-12323078.121195968</v>
      </c>
      <c r="S25">
        <f t="shared" ref="S25" si="103">R25/100000</f>
        <v>-123.23078121195968</v>
      </c>
      <c r="T25">
        <f t="shared" ref="T25" si="104">S25/1000</f>
        <v>-0.12323078121195968</v>
      </c>
    </row>
    <row r="26" spans="1:20" x14ac:dyDescent="0.25">
      <c r="A26" s="5">
        <v>44567</v>
      </c>
      <c r="B26">
        <v>16.52</v>
      </c>
      <c r="C26">
        <v>17.86</v>
      </c>
      <c r="D26">
        <v>16.350000000000001</v>
      </c>
      <c r="E26">
        <v>16.47</v>
      </c>
      <c r="F26">
        <v>165762.98000000001</v>
      </c>
      <c r="G26">
        <v>16.47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-0.84105960264900981</v>
      </c>
      <c r="Q26">
        <f t="shared" ref="Q26" si="106">F26*P26</f>
        <v>-139416.54609271575</v>
      </c>
      <c r="R26">
        <f t="shared" ref="R26" si="107">R27+Q26</f>
        <v>-12264661.606540795</v>
      </c>
      <c r="S26">
        <f t="shared" ref="S26" si="108">R26/100000</f>
        <v>-122.64661606540795</v>
      </c>
      <c r="T26">
        <f t="shared" ref="T26" si="109">S26/1000</f>
        <v>-0.12264661606540796</v>
      </c>
    </row>
    <row r="27" spans="1:20" x14ac:dyDescent="0.25">
      <c r="A27" s="5">
        <v>44566</v>
      </c>
      <c r="B27">
        <v>18.27</v>
      </c>
      <c r="C27">
        <v>18.46</v>
      </c>
      <c r="D27">
        <v>16.399999999999999</v>
      </c>
      <c r="E27">
        <v>16.52</v>
      </c>
      <c r="F27">
        <v>106462</v>
      </c>
      <c r="G27">
        <v>16.52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-0.88349514563106712</v>
      </c>
      <c r="Q27">
        <f t="shared" ref="Q27" si="111">F27*P27</f>
        <v>-94058.660194174663</v>
      </c>
      <c r="R27">
        <f t="shared" ref="R27" si="112">R28+Q27</f>
        <v>-12125245.06044808</v>
      </c>
      <c r="S27">
        <f t="shared" ref="S27" si="113">R27/100000</f>
        <v>-121.2524506044808</v>
      </c>
      <c r="T27">
        <f t="shared" ref="T27" si="114">S27/1000</f>
        <v>-0.1212524506044808</v>
      </c>
    </row>
    <row r="28" spans="1:20" x14ac:dyDescent="0.25">
      <c r="A28" s="5">
        <v>44565</v>
      </c>
      <c r="B28">
        <v>18.38</v>
      </c>
      <c r="C28">
        <v>18.55</v>
      </c>
      <c r="D28">
        <v>17.78</v>
      </c>
      <c r="E28">
        <v>18.25</v>
      </c>
      <c r="F28">
        <v>112412.46</v>
      </c>
      <c r="G28">
        <v>18.25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0.22077922077921849</v>
      </c>
      <c r="Q28">
        <f t="shared" ref="Q28" si="116">F28*P28</f>
        <v>24818.33532467507</v>
      </c>
      <c r="R28">
        <f t="shared" ref="R28" si="117">R29+Q28</f>
        <v>-12031186.400253905</v>
      </c>
      <c r="S28">
        <f t="shared" ref="S28" si="118">R28/100000</f>
        <v>-120.31186400253905</v>
      </c>
      <c r="T28">
        <f t="shared" ref="T28" si="119">S28/1000</f>
        <v>-0.12031186400253906</v>
      </c>
    </row>
    <row r="29" spans="1:20" x14ac:dyDescent="0.25">
      <c r="A29" s="5">
        <v>44564</v>
      </c>
      <c r="B29">
        <v>18.39</v>
      </c>
      <c r="C29">
        <v>19.13</v>
      </c>
      <c r="D29">
        <v>17.77</v>
      </c>
      <c r="E29">
        <v>18.36</v>
      </c>
      <c r="F29">
        <v>123156.86</v>
      </c>
      <c r="G29">
        <v>18.36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-0.13235294117647042</v>
      </c>
      <c r="Q29">
        <f t="shared" ref="Q29" si="121">F29*P29</f>
        <v>-16300.172647058804</v>
      </c>
      <c r="R29">
        <f t="shared" ref="R29" si="122">R30+Q29</f>
        <v>-12056004.73557858</v>
      </c>
      <c r="S29">
        <f t="shared" ref="S29" si="123">R29/100000</f>
        <v>-120.5600473557858</v>
      </c>
      <c r="T29">
        <f t="shared" ref="T29" si="124">S29/1000</f>
        <v>-0.12056004735578579</v>
      </c>
    </row>
    <row r="30" spans="1:20" x14ac:dyDescent="0.25">
      <c r="A30" s="5">
        <v>44563</v>
      </c>
      <c r="B30">
        <v>18.32</v>
      </c>
      <c r="C30">
        <v>20.23</v>
      </c>
      <c r="D30">
        <v>18.010000000000002</v>
      </c>
      <c r="E30">
        <v>18.399999999999999</v>
      </c>
      <c r="F30">
        <v>335251.11</v>
      </c>
      <c r="G30">
        <v>18.399999999999999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-0.64864864864865113</v>
      </c>
      <c r="Q30">
        <f t="shared" ref="Q30" si="126">F30*P30</f>
        <v>-217460.17945946028</v>
      </c>
      <c r="R30">
        <f t="shared" ref="R30" si="127">R31+Q30</f>
        <v>-12039704.562931521</v>
      </c>
      <c r="S30">
        <f t="shared" ref="S30" si="128">R30/100000</f>
        <v>-120.39704562931522</v>
      </c>
      <c r="T30">
        <f t="shared" ref="T30" si="129">S30/1000</f>
        <v>-0.12039704562931522</v>
      </c>
    </row>
    <row r="31" spans="1:20" x14ac:dyDescent="0.25">
      <c r="A31" s="5">
        <v>44562</v>
      </c>
      <c r="B31">
        <v>16.48</v>
      </c>
      <c r="C31">
        <v>21.62</v>
      </c>
      <c r="D31">
        <v>16.440000000000001</v>
      </c>
      <c r="E31">
        <v>18.32</v>
      </c>
      <c r="F31">
        <v>821988.93</v>
      </c>
      <c r="G31">
        <v>18.32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-0.27413127413127447</v>
      </c>
      <c r="Q31">
        <f t="shared" ref="Q31" si="131">F31*P31</f>
        <v>-225332.872702703</v>
      </c>
      <c r="R31">
        <f t="shared" ref="R31" si="132">R32+Q31</f>
        <v>-11822244.383472061</v>
      </c>
      <c r="S31">
        <f t="shared" ref="S31" si="133">R31/100000</f>
        <v>-118.22244383472061</v>
      </c>
      <c r="T31">
        <f t="shared" ref="T31" si="134">S31/1000</f>
        <v>-0.11822244383472061</v>
      </c>
    </row>
    <row r="32" spans="1:20" x14ac:dyDescent="0.25">
      <c r="A32" s="5">
        <v>44561</v>
      </c>
      <c r="B32">
        <v>16.34</v>
      </c>
      <c r="C32">
        <v>16.78</v>
      </c>
      <c r="D32">
        <v>16.11</v>
      </c>
      <c r="E32">
        <v>16.489999999999998</v>
      </c>
      <c r="F32">
        <v>137492.99</v>
      </c>
      <c r="G32">
        <v>16.489999999999998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0.13432835820894937</v>
      </c>
      <c r="Q32">
        <f t="shared" ref="Q32" si="136">F32*P32</f>
        <v>18469.207611939491</v>
      </c>
      <c r="R32">
        <f t="shared" ref="R32" si="137">R33+Q32</f>
        <v>-11596911.510769358</v>
      </c>
      <c r="S32">
        <f t="shared" ref="S32" si="138">R32/100000</f>
        <v>-115.96911510769358</v>
      </c>
      <c r="T32">
        <f t="shared" ref="T32" si="139">S32/1000</f>
        <v>-0.11596911510769359</v>
      </c>
    </row>
    <row r="33" spans="1:20" x14ac:dyDescent="0.25">
      <c r="A33" s="5">
        <v>44560</v>
      </c>
      <c r="B33">
        <v>16.91</v>
      </c>
      <c r="C33">
        <v>17.28</v>
      </c>
      <c r="D33">
        <v>16.3</v>
      </c>
      <c r="E33">
        <v>16.34</v>
      </c>
      <c r="F33">
        <v>200213.32</v>
      </c>
      <c r="G33">
        <v>16.34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-0.91836734693877731</v>
      </c>
      <c r="Q33">
        <f t="shared" ref="Q33" si="141">F33*P33</f>
        <v>-183869.37551020444</v>
      </c>
      <c r="R33">
        <f t="shared" ref="R33" si="142">R34+Q33</f>
        <v>-11615380.718381297</v>
      </c>
      <c r="S33">
        <f t="shared" ref="S33" si="143">R33/100000</f>
        <v>-116.15380718381297</v>
      </c>
      <c r="T33">
        <f t="shared" ref="T33" si="144">S33/1000</f>
        <v>-0.11615380718381298</v>
      </c>
    </row>
    <row r="34" spans="1:20" x14ac:dyDescent="0.25">
      <c r="A34" s="5">
        <v>44559</v>
      </c>
      <c r="B34">
        <v>19.079999999999998</v>
      </c>
      <c r="C34">
        <v>19.88</v>
      </c>
      <c r="D34">
        <v>16.71</v>
      </c>
      <c r="E34">
        <v>16.920000000000002</v>
      </c>
      <c r="F34">
        <v>341477.24</v>
      </c>
      <c r="G34">
        <v>16.920000000000002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-0.86750788643533061</v>
      </c>
      <c r="Q34">
        <f t="shared" ref="Q34" si="146">F34*P34</f>
        <v>-296234.19873817015</v>
      </c>
      <c r="R34">
        <f t="shared" ref="R34" si="147">R35+Q34</f>
        <v>-11431511.342871092</v>
      </c>
      <c r="S34">
        <f t="shared" ref="S34" si="148">R34/100000</f>
        <v>-114.31511342871092</v>
      </c>
      <c r="T34">
        <f t="shared" ref="T34" si="149">S34/1000</f>
        <v>-0.11431511342871091</v>
      </c>
    </row>
    <row r="35" spans="1:20" x14ac:dyDescent="0.25">
      <c r="A35" s="5">
        <v>44558</v>
      </c>
      <c r="B35">
        <v>17.02</v>
      </c>
      <c r="C35">
        <v>23.43</v>
      </c>
      <c r="D35">
        <v>16.61</v>
      </c>
      <c r="E35">
        <v>19.05</v>
      </c>
      <c r="F35">
        <v>1272817.3999999999</v>
      </c>
      <c r="G35">
        <v>19.05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-0.28445747800586474</v>
      </c>
      <c r="Q35">
        <f t="shared" ref="Q35" si="151">F35*P35</f>
        <v>-362062.42756598192</v>
      </c>
      <c r="R35">
        <f t="shared" ref="R35" si="152">R36+Q35</f>
        <v>-11135277.144132921</v>
      </c>
      <c r="S35">
        <f t="shared" ref="S35" si="153">R35/100000</f>
        <v>-111.35277144132921</v>
      </c>
      <c r="T35">
        <f t="shared" ref="T35" si="154">S35/1000</f>
        <v>-0.11135277144132921</v>
      </c>
    </row>
    <row r="36" spans="1:20" x14ac:dyDescent="0.25">
      <c r="A36" s="5">
        <v>44557</v>
      </c>
      <c r="B36">
        <v>17.149999999999999</v>
      </c>
      <c r="C36">
        <v>18.18</v>
      </c>
      <c r="D36">
        <v>16.75</v>
      </c>
      <c r="E36">
        <v>16.989999999999998</v>
      </c>
      <c r="F36">
        <v>170304.98</v>
      </c>
      <c r="G36">
        <v>16.989999999999998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-0.66433566433566649</v>
      </c>
      <c r="Q36">
        <f t="shared" ref="Q36" si="156">F36*P36</f>
        <v>-113139.6720279724</v>
      </c>
      <c r="R36">
        <f t="shared" ref="R36" si="157">R37+Q36</f>
        <v>-10773214.716566939</v>
      </c>
      <c r="S36">
        <f t="shared" ref="S36" si="158">R36/100000</f>
        <v>-107.73214716566939</v>
      </c>
      <c r="T36">
        <f t="shared" ref="T36" si="159">S36/1000</f>
        <v>-0.1077321471656694</v>
      </c>
    </row>
    <row r="37" spans="1:20" x14ac:dyDescent="0.25">
      <c r="A37" s="5">
        <v>44556</v>
      </c>
      <c r="B37">
        <v>16.93</v>
      </c>
      <c r="C37">
        <v>17.579999999999998</v>
      </c>
      <c r="D37">
        <v>16.72</v>
      </c>
      <c r="E37">
        <v>17.149999999999999</v>
      </c>
      <c r="F37">
        <v>138280.37</v>
      </c>
      <c r="G37">
        <v>17.149999999999999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</v>
      </c>
      <c r="Q37">
        <f t="shared" ref="Q37" si="161">F37*P37</f>
        <v>0</v>
      </c>
      <c r="R37">
        <f t="shared" ref="R37" si="162">R38+Q37</f>
        <v>-10660075.044538967</v>
      </c>
      <c r="S37">
        <f t="shared" ref="S37" si="163">R37/100000</f>
        <v>-106.60075044538968</v>
      </c>
      <c r="T37">
        <f t="shared" ref="T37" si="164">S37/1000</f>
        <v>-0.10660075044538968</v>
      </c>
    </row>
    <row r="38" spans="1:20" x14ac:dyDescent="0.25">
      <c r="A38" s="5">
        <v>44555</v>
      </c>
      <c r="B38">
        <v>16.579999999999998</v>
      </c>
      <c r="C38">
        <v>17.63</v>
      </c>
      <c r="D38">
        <v>16.350000000000001</v>
      </c>
      <c r="E38">
        <v>16.940000000000001</v>
      </c>
      <c r="F38">
        <v>100965.88</v>
      </c>
      <c r="G38">
        <v>16.940000000000001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-7.8124999999998487E-2</v>
      </c>
      <c r="Q38">
        <f t="shared" ref="Q38" si="166">F38*P38</f>
        <v>-7887.9593749998476</v>
      </c>
      <c r="R38">
        <f t="shared" ref="R38" si="167">R39+Q38</f>
        <v>-10660075.044538967</v>
      </c>
      <c r="S38">
        <f t="shared" ref="S38" si="168">R38/100000</f>
        <v>-106.60075044538968</v>
      </c>
      <c r="T38">
        <f t="shared" ref="T38" si="169">S38/1000</f>
        <v>-0.10660075044538968</v>
      </c>
    </row>
    <row r="39" spans="1:20" x14ac:dyDescent="0.25">
      <c r="A39" s="5">
        <v>44554</v>
      </c>
      <c r="B39">
        <v>17.010000000000002</v>
      </c>
      <c r="C39">
        <v>17.48</v>
      </c>
      <c r="D39">
        <v>16.489999999999998</v>
      </c>
      <c r="E39">
        <v>16.55</v>
      </c>
      <c r="F39">
        <v>109463.36</v>
      </c>
      <c r="G39">
        <v>16.55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-0.87878787878787445</v>
      </c>
      <c r="Q39">
        <f t="shared" ref="Q39" si="171">F39*P39</f>
        <v>-96195.073939393464</v>
      </c>
      <c r="R39">
        <f t="shared" ref="R39" si="172">R40+Q39</f>
        <v>-10652187.085163968</v>
      </c>
      <c r="S39">
        <f t="shared" ref="S39" si="173">R39/100000</f>
        <v>-106.52187085163968</v>
      </c>
      <c r="T39">
        <f t="shared" ref="T39" si="174">S39/1000</f>
        <v>-0.10652187085163968</v>
      </c>
    </row>
    <row r="40" spans="1:20" x14ac:dyDescent="0.25">
      <c r="A40" s="5">
        <v>44553</v>
      </c>
      <c r="B40">
        <v>15.82</v>
      </c>
      <c r="C40">
        <v>17.38</v>
      </c>
      <c r="D40">
        <v>15.26</v>
      </c>
      <c r="E40">
        <v>17</v>
      </c>
      <c r="F40">
        <v>243984.84</v>
      </c>
      <c r="G40">
        <v>17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0.64150943396226501</v>
      </c>
      <c r="Q40">
        <f t="shared" ref="Q40" si="176">F40*P40</f>
        <v>156518.57660377378</v>
      </c>
      <c r="R40">
        <f t="shared" ref="R40" si="177">R41+Q40</f>
        <v>-10555992.011224573</v>
      </c>
      <c r="S40">
        <f t="shared" ref="S40" si="178">R40/100000</f>
        <v>-105.55992011224573</v>
      </c>
      <c r="T40">
        <f t="shared" ref="T40" si="179">S40/1000</f>
        <v>-0.10555992011224573</v>
      </c>
    </row>
    <row r="41" spans="1:20" x14ac:dyDescent="0.25">
      <c r="A41" s="5">
        <v>44552</v>
      </c>
      <c r="B41">
        <v>15.43</v>
      </c>
      <c r="C41">
        <v>15.87</v>
      </c>
      <c r="D41">
        <v>15.33</v>
      </c>
      <c r="E41">
        <v>15.8</v>
      </c>
      <c r="F41">
        <v>74521.09</v>
      </c>
      <c r="G41">
        <v>15.8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0.74074074074074581</v>
      </c>
      <c r="Q41">
        <f t="shared" ref="Q41" si="181">F41*P41</f>
        <v>55200.807407407781</v>
      </c>
      <c r="R41">
        <f t="shared" ref="R41" si="182">R42+Q41</f>
        <v>-10712510.587828347</v>
      </c>
      <c r="S41">
        <f t="shared" ref="S41" si="183">R41/100000</f>
        <v>-107.12510587828348</v>
      </c>
      <c r="T41">
        <f t="shared" ref="T41" si="184">S41/1000</f>
        <v>-0.10712510587828347</v>
      </c>
    </row>
    <row r="42" spans="1:20" x14ac:dyDescent="0.25">
      <c r="A42" s="5">
        <v>44551</v>
      </c>
      <c r="B42">
        <v>15.15</v>
      </c>
      <c r="C42">
        <v>15.95</v>
      </c>
      <c r="D42">
        <v>14.85</v>
      </c>
      <c r="E42">
        <v>15.42</v>
      </c>
      <c r="F42">
        <v>121210.79</v>
      </c>
      <c r="G42">
        <v>15.42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3.6363636363637215E-2</v>
      </c>
      <c r="Q42">
        <f t="shared" ref="Q42" si="186">F42*P42</f>
        <v>4407.6650909091941</v>
      </c>
      <c r="R42">
        <f t="shared" ref="R42" si="187">R43+Q42</f>
        <v>-10767711.395235755</v>
      </c>
      <c r="S42">
        <f t="shared" ref="S42" si="188">R42/100000</f>
        <v>-107.67711395235754</v>
      </c>
      <c r="T42">
        <f t="shared" ref="T42" si="189">S42/1000</f>
        <v>-0.10767711395235754</v>
      </c>
    </row>
    <row r="43" spans="1:20" x14ac:dyDescent="0.25">
      <c r="A43" s="5">
        <v>44550</v>
      </c>
      <c r="B43">
        <v>16.260000000000002</v>
      </c>
      <c r="C43">
        <v>16.3</v>
      </c>
      <c r="D43">
        <v>15</v>
      </c>
      <c r="E43">
        <v>15.12</v>
      </c>
      <c r="F43">
        <v>143599.34</v>
      </c>
      <c r="G43">
        <v>15.12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-0.81538461538461671</v>
      </c>
      <c r="Q43">
        <f t="shared" ref="Q43" si="191">F43*P43</f>
        <v>-117088.6926153848</v>
      </c>
      <c r="R43">
        <f t="shared" ref="R43" si="192">R44+Q43</f>
        <v>-10772119.060326664</v>
      </c>
      <c r="S43">
        <f t="shared" ref="S43" si="193">R43/100000</f>
        <v>-107.72119060326663</v>
      </c>
      <c r="T43">
        <f t="shared" ref="T43" si="194">S43/1000</f>
        <v>-0.10772119060326664</v>
      </c>
    </row>
    <row r="44" spans="1:20" x14ac:dyDescent="0.25">
      <c r="A44" s="5">
        <v>44549</v>
      </c>
      <c r="B44">
        <v>16.11</v>
      </c>
      <c r="C44">
        <v>16.8</v>
      </c>
      <c r="D44">
        <v>15.88</v>
      </c>
      <c r="E44">
        <v>16.260000000000002</v>
      </c>
      <c r="F44">
        <v>113688.13</v>
      </c>
      <c r="G44">
        <v>16.260000000000002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-0.17391304347825912</v>
      </c>
      <c r="Q44">
        <f t="shared" ref="Q44" si="196">F44*P44</f>
        <v>-19771.848695651974</v>
      </c>
      <c r="R44">
        <f t="shared" ref="R44" si="197">R45+Q44</f>
        <v>-10655030.36771128</v>
      </c>
      <c r="S44">
        <f t="shared" ref="S44" si="198">R44/100000</f>
        <v>-106.55030367711279</v>
      </c>
      <c r="T44">
        <f t="shared" ref="T44" si="199">S44/1000</f>
        <v>-0.1065503036771128</v>
      </c>
    </row>
    <row r="45" spans="1:20" x14ac:dyDescent="0.25">
      <c r="A45" s="5">
        <v>44548</v>
      </c>
      <c r="B45">
        <v>15.78</v>
      </c>
      <c r="C45">
        <v>17.829999999999998</v>
      </c>
      <c r="D45">
        <v>15.75</v>
      </c>
      <c r="E45">
        <v>16.11</v>
      </c>
      <c r="F45">
        <v>483526.14</v>
      </c>
      <c r="G45">
        <v>16.11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-0.65384615384615408</v>
      </c>
      <c r="Q45">
        <f t="shared" ref="Q45" si="201">F45*P45</f>
        <v>-316151.70692307706</v>
      </c>
      <c r="R45">
        <f t="shared" ref="R45" si="202">R46+Q45</f>
        <v>-10635258.519015627</v>
      </c>
      <c r="S45">
        <f t="shared" ref="S45" si="203">R45/100000</f>
        <v>-106.35258519015628</v>
      </c>
      <c r="T45">
        <f t="shared" ref="T45" si="204">S45/1000</f>
        <v>-0.10635258519015628</v>
      </c>
    </row>
    <row r="46" spans="1:20" x14ac:dyDescent="0.25">
      <c r="A46" s="5">
        <v>44547</v>
      </c>
      <c r="B46">
        <v>15.15</v>
      </c>
      <c r="C46">
        <v>16.66</v>
      </c>
      <c r="D46">
        <v>15.01</v>
      </c>
      <c r="E46">
        <v>15.74</v>
      </c>
      <c r="F46">
        <v>181813.21</v>
      </c>
      <c r="G46">
        <v>15.74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-0.11515151515151482</v>
      </c>
      <c r="Q46">
        <f t="shared" ref="Q46" si="206">F46*P46</f>
        <v>-20936.066606060547</v>
      </c>
      <c r="R46">
        <f t="shared" ref="R46" si="207">R47+Q46</f>
        <v>-10319106.81209255</v>
      </c>
      <c r="S46">
        <f t="shared" ref="S46" si="208">R46/100000</f>
        <v>-103.19106812092551</v>
      </c>
      <c r="T46">
        <f t="shared" ref="T46" si="209">S46/1000</f>
        <v>-0.1031910681209255</v>
      </c>
    </row>
    <row r="47" spans="1:20" x14ac:dyDescent="0.25">
      <c r="A47" s="5">
        <v>44546</v>
      </c>
      <c r="B47">
        <v>15.58</v>
      </c>
      <c r="C47">
        <v>16.3</v>
      </c>
      <c r="D47">
        <v>15.14</v>
      </c>
      <c r="E47">
        <v>15.17</v>
      </c>
      <c r="F47">
        <v>166194.56</v>
      </c>
      <c r="G47">
        <v>15.17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-0.94827586206896664</v>
      </c>
      <c r="Q47">
        <f t="shared" ref="Q47" si="211">F47*P47</f>
        <v>-157598.28965517259</v>
      </c>
      <c r="R47">
        <f t="shared" ref="R47" si="212">R48+Q47</f>
        <v>-10298170.74548649</v>
      </c>
      <c r="S47">
        <f t="shared" ref="S47" si="213">R47/100000</f>
        <v>-102.9817074548649</v>
      </c>
      <c r="T47">
        <f t="shared" ref="T47" si="214">S47/1000</f>
        <v>-0.1029817074548649</v>
      </c>
    </row>
    <row r="48" spans="1:20" x14ac:dyDescent="0.25">
      <c r="A48" s="5">
        <v>44545</v>
      </c>
      <c r="B48">
        <v>15.01</v>
      </c>
      <c r="C48">
        <v>15.62</v>
      </c>
      <c r="D48">
        <v>14.59</v>
      </c>
      <c r="E48">
        <v>15.53</v>
      </c>
      <c r="F48">
        <v>103632.55</v>
      </c>
      <c r="G48">
        <v>15.53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0.82524271844660213</v>
      </c>
      <c r="Q48">
        <f t="shared" ref="Q48" si="216">F48*P48</f>
        <v>85522.007281553422</v>
      </c>
      <c r="R48">
        <f t="shared" ref="R48" si="217">R49+Q48</f>
        <v>-10140572.455831317</v>
      </c>
      <c r="S48">
        <f t="shared" ref="S48" si="218">R48/100000</f>
        <v>-101.40572455831317</v>
      </c>
      <c r="T48">
        <f t="shared" ref="T48" si="219">S48/1000</f>
        <v>-0.10140572455831316</v>
      </c>
    </row>
    <row r="49" spans="1:20" x14ac:dyDescent="0.25">
      <c r="A49" s="5">
        <v>44544</v>
      </c>
      <c r="B49">
        <v>15.79</v>
      </c>
      <c r="C49">
        <v>16</v>
      </c>
      <c r="D49">
        <v>14.52</v>
      </c>
      <c r="E49">
        <v>15.01</v>
      </c>
      <c r="F49">
        <v>183432.18</v>
      </c>
      <c r="G49">
        <v>15.01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-0.33783783783783772</v>
      </c>
      <c r="Q49">
        <f t="shared" ref="Q49" si="221">F49*P49</f>
        <v>-61970.331081081058</v>
      </c>
      <c r="R49">
        <f t="shared" ref="R49" si="222">R50+Q49</f>
        <v>-10226094.46311287</v>
      </c>
      <c r="S49">
        <f t="shared" ref="S49" si="223">R49/100000</f>
        <v>-102.26094463112871</v>
      </c>
      <c r="T49">
        <f t="shared" ref="T49" si="224">S49/1000</f>
        <v>-0.10226094463112871</v>
      </c>
    </row>
    <row r="50" spans="1:20" x14ac:dyDescent="0.25">
      <c r="A50" s="5">
        <v>44543</v>
      </c>
      <c r="B50">
        <v>17.48</v>
      </c>
      <c r="C50">
        <v>17.510000000000002</v>
      </c>
      <c r="D50">
        <v>15.69</v>
      </c>
      <c r="E50">
        <v>15.78</v>
      </c>
      <c r="F50">
        <v>96177.04</v>
      </c>
      <c r="G50">
        <v>15.78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-0.90109890109890134</v>
      </c>
      <c r="Q50">
        <f t="shared" ref="Q50" si="226">F50*P50</f>
        <v>-86665.025054945072</v>
      </c>
      <c r="R50">
        <f t="shared" ref="R50" si="227">R51+Q50</f>
        <v>-10164124.132031789</v>
      </c>
      <c r="S50">
        <f t="shared" ref="S50" si="228">R50/100000</f>
        <v>-101.64124132031789</v>
      </c>
      <c r="T50">
        <f t="shared" ref="T50" si="229">S50/1000</f>
        <v>-0.10164124132031789</v>
      </c>
    </row>
    <row r="51" spans="1:20" x14ac:dyDescent="0.25">
      <c r="A51" s="5">
        <v>44542</v>
      </c>
      <c r="B51">
        <v>17.61</v>
      </c>
      <c r="C51">
        <v>18.46</v>
      </c>
      <c r="D51">
        <v>17.37</v>
      </c>
      <c r="E51">
        <v>17.5</v>
      </c>
      <c r="F51">
        <v>86002.3</v>
      </c>
      <c r="G51">
        <v>17.5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-0.76146788990825864</v>
      </c>
      <c r="Q51">
        <f t="shared" ref="Q51" si="231">F51*P51</f>
        <v>-65487.989908257034</v>
      </c>
      <c r="R51">
        <f t="shared" ref="R51" si="232">R52+Q51</f>
        <v>-10077459.106976844</v>
      </c>
      <c r="S51">
        <f t="shared" ref="S51" si="233">R51/100000</f>
        <v>-100.77459106976845</v>
      </c>
      <c r="T51">
        <f t="shared" ref="T51" si="234">S51/1000</f>
        <v>-0.10077459106976845</v>
      </c>
    </row>
    <row r="52" spans="1:20" x14ac:dyDescent="0.25">
      <c r="A52" s="5">
        <v>44541</v>
      </c>
      <c r="B52">
        <v>16.670000000000002</v>
      </c>
      <c r="C52">
        <v>16.93</v>
      </c>
      <c r="D52">
        <v>16.54</v>
      </c>
      <c r="E52">
        <v>16.8</v>
      </c>
      <c r="F52">
        <v>3579.02</v>
      </c>
      <c r="G52">
        <v>16.8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0.33333333333333942</v>
      </c>
      <c r="Q52">
        <f t="shared" ref="Q52" si="236">F52*P52</f>
        <v>1193.0066666666885</v>
      </c>
      <c r="R52">
        <f t="shared" ref="R52" si="237">R53+Q52</f>
        <v>-10011971.117068587</v>
      </c>
      <c r="S52">
        <f t="shared" ref="S52" si="238">R52/100000</f>
        <v>-100.11971117068587</v>
      </c>
      <c r="T52">
        <f t="shared" ref="T52" si="239">S52/1000</f>
        <v>-0.10011971117068587</v>
      </c>
    </row>
    <row r="53" spans="1:20" x14ac:dyDescent="0.25">
      <c r="A53" s="5">
        <v>44540</v>
      </c>
      <c r="B53">
        <v>17.899999999999999</v>
      </c>
      <c r="C53">
        <v>19.05</v>
      </c>
      <c r="D53">
        <v>16.559999999999999</v>
      </c>
      <c r="E53">
        <v>16.63</v>
      </c>
      <c r="F53">
        <v>116137.95</v>
      </c>
      <c r="G53">
        <v>16.63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-0.94377510040160628</v>
      </c>
      <c r="Q53">
        <f t="shared" ref="Q53" si="241">F53*P53</f>
        <v>-109608.10542168673</v>
      </c>
      <c r="R53">
        <f t="shared" ref="R53" si="242">R54+Q53</f>
        <v>-10013164.123735253</v>
      </c>
      <c r="S53">
        <f t="shared" ref="S53" si="243">R53/100000</f>
        <v>-100.13164123735253</v>
      </c>
      <c r="T53">
        <f t="shared" ref="T53" si="244">S53/1000</f>
        <v>-0.10013164123735252</v>
      </c>
    </row>
    <row r="54" spans="1:20" x14ac:dyDescent="0.25">
      <c r="A54" s="5">
        <v>44539</v>
      </c>
      <c r="B54">
        <v>18.93</v>
      </c>
      <c r="C54">
        <v>19.059999999999999</v>
      </c>
      <c r="D54">
        <v>17.07</v>
      </c>
      <c r="E54">
        <v>17.920000000000002</v>
      </c>
      <c r="F54">
        <v>156131.31</v>
      </c>
      <c r="G54">
        <v>17.920000000000002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-0.14572864321607831</v>
      </c>
      <c r="Q54">
        <f t="shared" ref="Q54" si="246">F54*P54</f>
        <v>-22752.803969848919</v>
      </c>
      <c r="R54">
        <f t="shared" ref="R54" si="247">R55+Q54</f>
        <v>-9903556.0183135662</v>
      </c>
      <c r="S54">
        <f t="shared" ref="S54" si="248">R54/100000</f>
        <v>-99.035560183135658</v>
      </c>
      <c r="T54">
        <f t="shared" ref="T54" si="249">S54/1000</f>
        <v>-9.9035560183135654E-2</v>
      </c>
    </row>
    <row r="55" spans="1:20" x14ac:dyDescent="0.25">
      <c r="A55" s="5">
        <v>44538</v>
      </c>
      <c r="B55">
        <v>19.27</v>
      </c>
      <c r="C55">
        <v>19.59</v>
      </c>
      <c r="D55">
        <v>18.690000000000001</v>
      </c>
      <c r="E55">
        <v>18.940000000000001</v>
      </c>
      <c r="F55">
        <v>104918.48</v>
      </c>
      <c r="G55">
        <v>18.940000000000001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-0.44444444444444359</v>
      </c>
      <c r="Q55">
        <f t="shared" ref="Q55" si="251">F55*P55</f>
        <v>-46630.435555555465</v>
      </c>
      <c r="R55">
        <f t="shared" ref="R55" si="252">R56+Q55</f>
        <v>-9880803.2143437173</v>
      </c>
      <c r="S55">
        <f t="shared" ref="S55" si="253">R55/100000</f>
        <v>-98.808032143437174</v>
      </c>
      <c r="T55">
        <f t="shared" ref="T55" si="254">S55/1000</f>
        <v>-9.8808032143437169E-2</v>
      </c>
    </row>
    <row r="56" spans="1:20" x14ac:dyDescent="0.25">
      <c r="A56" s="5">
        <v>44537</v>
      </c>
      <c r="B56">
        <v>19.84</v>
      </c>
      <c r="C56">
        <v>20.82</v>
      </c>
      <c r="D56">
        <v>19.07</v>
      </c>
      <c r="E56">
        <v>19.28</v>
      </c>
      <c r="F56">
        <v>123308.4</v>
      </c>
      <c r="G56">
        <v>19.28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-0.75999999999999901</v>
      </c>
      <c r="Q56">
        <f t="shared" ref="Q56" si="256">F56*P56</f>
        <v>-93714.383999999875</v>
      </c>
      <c r="R56">
        <f t="shared" ref="R56" si="257">R57+Q56</f>
        <v>-9834172.7787881624</v>
      </c>
      <c r="S56">
        <f t="shared" ref="S56" si="258">R56/100000</f>
        <v>-98.341727787881624</v>
      </c>
      <c r="T56">
        <f t="shared" ref="T56" si="259">S56/1000</f>
        <v>-9.8341727787881625E-2</v>
      </c>
    </row>
    <row r="57" spans="1:20" x14ac:dyDescent="0.25">
      <c r="A57" s="5">
        <v>44536</v>
      </c>
      <c r="B57">
        <v>21.18</v>
      </c>
      <c r="C57">
        <v>24</v>
      </c>
      <c r="D57">
        <v>17.84</v>
      </c>
      <c r="E57">
        <v>19.850000000000001</v>
      </c>
      <c r="F57">
        <v>408479.09</v>
      </c>
      <c r="G57">
        <v>19.850000000000001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-0.34740259740259694</v>
      </c>
      <c r="Q57">
        <f t="shared" ref="Q57" si="261">F57*P57</f>
        <v>-141906.69685064917</v>
      </c>
      <c r="R57">
        <f t="shared" ref="R57" si="262">R58+Q57</f>
        <v>-9740458.3947881628</v>
      </c>
      <c r="S57">
        <f t="shared" ref="S57" si="263">R57/100000</f>
        <v>-97.404583947881633</v>
      </c>
      <c r="T57">
        <f t="shared" ref="T57" si="264">S57/1000</f>
        <v>-9.7404583947881637E-2</v>
      </c>
    </row>
    <row r="58" spans="1:20" x14ac:dyDescent="0.25">
      <c r="A58" s="5">
        <v>44535</v>
      </c>
      <c r="B58">
        <v>22.82</v>
      </c>
      <c r="C58">
        <v>23.57</v>
      </c>
      <c r="D58">
        <v>20.54</v>
      </c>
      <c r="E58">
        <v>21.17</v>
      </c>
      <c r="F58">
        <v>70770.28</v>
      </c>
      <c r="G58">
        <v>21.17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-0.58415841584158268</v>
      </c>
      <c r="Q58">
        <f t="shared" ref="Q58" si="266">F58*P58</f>
        <v>-41341.054653465239</v>
      </c>
      <c r="R58">
        <f t="shared" ref="R58" si="267">R59+Q58</f>
        <v>-9598551.6979375128</v>
      </c>
      <c r="S58">
        <f t="shared" ref="S58" si="268">R58/100000</f>
        <v>-95.985516979375134</v>
      </c>
      <c r="T58">
        <f t="shared" ref="T58" si="269">S58/1000</f>
        <v>-9.5985516979375129E-2</v>
      </c>
    </row>
    <row r="59" spans="1:20" x14ac:dyDescent="0.25">
      <c r="A59" s="5">
        <v>44534</v>
      </c>
      <c r="B59">
        <v>24.53</v>
      </c>
      <c r="C59">
        <v>24.53</v>
      </c>
      <c r="D59">
        <v>19.72</v>
      </c>
      <c r="E59">
        <v>22.87</v>
      </c>
      <c r="F59">
        <v>138985.89000000001</v>
      </c>
      <c r="G59">
        <v>22.87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0.30977130977131007</v>
      </c>
      <c r="Q59">
        <f t="shared" ref="Q59" si="271">F59*P59</f>
        <v>43053.841185031233</v>
      </c>
      <c r="R59">
        <f t="shared" ref="R59" si="272">R60+Q59</f>
        <v>-9557210.643284047</v>
      </c>
      <c r="S59">
        <f t="shared" ref="S59" si="273">R59/100000</f>
        <v>-95.572106432840471</v>
      </c>
      <c r="T59">
        <f t="shared" ref="T59" si="274">S59/1000</f>
        <v>-9.5572106432840476E-2</v>
      </c>
    </row>
    <row r="60" spans="1:20" x14ac:dyDescent="0.25">
      <c r="A60" s="5">
        <v>44533</v>
      </c>
      <c r="B60">
        <v>26.14</v>
      </c>
      <c r="C60">
        <v>27.2</v>
      </c>
      <c r="D60">
        <v>24</v>
      </c>
      <c r="E60">
        <v>24.45</v>
      </c>
      <c r="F60">
        <v>307013.39</v>
      </c>
      <c r="G60">
        <v>24.45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-0.71875000000000033</v>
      </c>
      <c r="Q60">
        <f t="shared" ref="Q60" si="276">F60*P60</f>
        <v>-220665.87406250011</v>
      </c>
      <c r="R60">
        <f t="shared" ref="R60" si="277">R61+Q60</f>
        <v>-9600264.4844690785</v>
      </c>
      <c r="S60">
        <f t="shared" ref="S60" si="278">R60/100000</f>
        <v>-96.002644844690778</v>
      </c>
      <c r="T60">
        <f t="shared" ref="T60" si="279">S60/1000</f>
        <v>-9.6002644844690774E-2</v>
      </c>
    </row>
    <row r="61" spans="1:20" x14ac:dyDescent="0.25">
      <c r="A61" s="5">
        <v>44532</v>
      </c>
      <c r="B61">
        <v>25.28</v>
      </c>
      <c r="C61">
        <v>30.2</v>
      </c>
      <c r="D61">
        <v>24.56</v>
      </c>
      <c r="E61">
        <v>26.06</v>
      </c>
      <c r="F61">
        <v>465763.09</v>
      </c>
      <c r="G61">
        <v>26.06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-0.46808510638297879</v>
      </c>
      <c r="Q61">
        <f t="shared" ref="Q61" si="281">F61*P61</f>
        <v>-218016.76553191495</v>
      </c>
      <c r="R61">
        <f t="shared" ref="R61" si="282">R62+Q61</f>
        <v>-9379598.6104065776</v>
      </c>
      <c r="S61">
        <f t="shared" ref="S61" si="283">R61/100000</f>
        <v>-93.795986104065776</v>
      </c>
      <c r="T61">
        <f t="shared" ref="T61" si="284">S61/1000</f>
        <v>-9.3795986104065782E-2</v>
      </c>
    </row>
    <row r="62" spans="1:20" x14ac:dyDescent="0.25">
      <c r="A62" s="5">
        <v>44531</v>
      </c>
      <c r="B62">
        <v>24.35</v>
      </c>
      <c r="C62">
        <v>25.7</v>
      </c>
      <c r="D62">
        <v>24.25</v>
      </c>
      <c r="E62">
        <v>25.31</v>
      </c>
      <c r="F62">
        <v>80190.649999999994</v>
      </c>
      <c r="G62">
        <v>25.31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0.4620689655172403</v>
      </c>
      <c r="Q62">
        <f t="shared" ref="Q62" si="286">F62*P62</f>
        <v>37053.610689655085</v>
      </c>
      <c r="R62">
        <f t="shared" ref="R62" si="287">R63+Q62</f>
        <v>-9161581.8448746633</v>
      </c>
      <c r="S62">
        <f t="shared" ref="S62" si="288">R62/100000</f>
        <v>-91.615818448746637</v>
      </c>
      <c r="T62">
        <f t="shared" ref="T62" si="289">S62/1000</f>
        <v>-9.1615818448746639E-2</v>
      </c>
    </row>
    <row r="63" spans="1:20" x14ac:dyDescent="0.25">
      <c r="A63" s="5">
        <v>44530</v>
      </c>
      <c r="B63">
        <v>24.91</v>
      </c>
      <c r="C63">
        <v>26.07</v>
      </c>
      <c r="D63">
        <v>24.19</v>
      </c>
      <c r="E63">
        <v>24.34</v>
      </c>
      <c r="F63">
        <v>93898.3</v>
      </c>
      <c r="G63">
        <v>24.34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-0.840425531914895</v>
      </c>
      <c r="Q63">
        <f t="shared" ref="Q63" si="291">F63*P63</f>
        <v>-78914.528723404394</v>
      </c>
      <c r="R63">
        <f t="shared" ref="R63" si="292">R64+Q63</f>
        <v>-9198635.4555643182</v>
      </c>
      <c r="S63">
        <f t="shared" ref="S63" si="293">R63/100000</f>
        <v>-91.986354555643189</v>
      </c>
      <c r="T63">
        <f t="shared" ref="T63" si="294">S63/1000</f>
        <v>-9.1986354555643191E-2</v>
      </c>
    </row>
    <row r="64" spans="1:20" x14ac:dyDescent="0.25">
      <c r="A64" s="5">
        <v>44529</v>
      </c>
      <c r="B64">
        <v>25.7</v>
      </c>
      <c r="C64">
        <v>25.87</v>
      </c>
      <c r="D64">
        <v>24.36</v>
      </c>
      <c r="E64">
        <v>24.92</v>
      </c>
      <c r="F64">
        <v>90920.01</v>
      </c>
      <c r="G64">
        <v>24.92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-0.258278145695362</v>
      </c>
      <c r="Q64">
        <f t="shared" ref="Q64" si="296">F64*P64</f>
        <v>-23482.651589403769</v>
      </c>
      <c r="R64">
        <f t="shared" ref="R64" si="297">R65+Q64</f>
        <v>-9119720.9268409144</v>
      </c>
      <c r="S64">
        <f t="shared" ref="S64" si="298">R64/100000</f>
        <v>-91.197209268409139</v>
      </c>
      <c r="T64">
        <f t="shared" ref="T64" si="299">S64/1000</f>
        <v>-9.1197209268409143E-2</v>
      </c>
    </row>
    <row r="65" spans="1:20" x14ac:dyDescent="0.25">
      <c r="A65" s="5">
        <v>44528</v>
      </c>
      <c r="B65">
        <v>25.98</v>
      </c>
      <c r="C65">
        <v>26.2</v>
      </c>
      <c r="D65">
        <v>24.12</v>
      </c>
      <c r="E65">
        <v>25.65</v>
      </c>
      <c r="F65">
        <v>60076.28</v>
      </c>
      <c r="G65">
        <v>25.65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0.47115384615384504</v>
      </c>
      <c r="Q65">
        <f t="shared" ref="Q65" si="301">F65*P65</f>
        <v>28305.170384615318</v>
      </c>
      <c r="R65">
        <f t="shared" ref="R65" si="302">R66+Q65</f>
        <v>-9096238.2752515115</v>
      </c>
      <c r="S65">
        <f t="shared" ref="S65" si="303">R65/100000</f>
        <v>-90.962382752515111</v>
      </c>
      <c r="T65">
        <f t="shared" ref="T65" si="304">S65/1000</f>
        <v>-9.0962382752515114E-2</v>
      </c>
    </row>
    <row r="66" spans="1:20" x14ac:dyDescent="0.25">
      <c r="A66" s="5">
        <v>44527</v>
      </c>
      <c r="B66">
        <v>24.83</v>
      </c>
      <c r="C66">
        <v>26.96</v>
      </c>
      <c r="D66">
        <v>24.68</v>
      </c>
      <c r="E66">
        <v>25.98</v>
      </c>
      <c r="F66">
        <v>71854.679999999993</v>
      </c>
      <c r="G66">
        <v>25.98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0.1403508771929825</v>
      </c>
      <c r="Q66">
        <f t="shared" ref="Q66" si="306">F66*P66</f>
        <v>10084.867368421055</v>
      </c>
      <c r="R66">
        <f t="shared" ref="R66" si="307">R67+Q66</f>
        <v>-9124543.4456361271</v>
      </c>
      <c r="S66">
        <f t="shared" ref="S66" si="308">R66/100000</f>
        <v>-91.245434456361266</v>
      </c>
      <c r="T66">
        <f t="shared" ref="T66" si="309">S66/1000</f>
        <v>-9.1245434456361268E-2</v>
      </c>
    </row>
    <row r="67" spans="1:20" x14ac:dyDescent="0.25">
      <c r="A67" s="5">
        <v>44526</v>
      </c>
      <c r="B67">
        <v>26.95</v>
      </c>
      <c r="C67">
        <v>27.06</v>
      </c>
      <c r="D67">
        <v>24.7</v>
      </c>
      <c r="E67">
        <v>24.79</v>
      </c>
      <c r="F67">
        <v>94061.71</v>
      </c>
      <c r="G67">
        <v>24.79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-0.92372881355932213</v>
      </c>
      <c r="Q67">
        <f t="shared" ref="Q67" si="311">F67*P67</f>
        <v>-86887.511779661028</v>
      </c>
      <c r="R67">
        <f t="shared" ref="R67" si="312">R68+Q67</f>
        <v>-9134628.3130045477</v>
      </c>
      <c r="S67">
        <f t="shared" ref="S67" si="313">R67/100000</f>
        <v>-91.346283130045478</v>
      </c>
      <c r="T67">
        <f t="shared" ref="T67" si="314">S67/1000</f>
        <v>-9.1346283130045475E-2</v>
      </c>
    </row>
    <row r="68" spans="1:20" x14ac:dyDescent="0.25">
      <c r="A68" s="5">
        <v>44525</v>
      </c>
      <c r="B68">
        <v>25.79</v>
      </c>
      <c r="C68">
        <v>28.61</v>
      </c>
      <c r="D68">
        <v>25.56</v>
      </c>
      <c r="E68">
        <v>26.87</v>
      </c>
      <c r="F68">
        <v>124632.11</v>
      </c>
      <c r="G68">
        <v>26.87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-0.14098360655737577</v>
      </c>
      <c r="Q68">
        <f t="shared" ref="Q68" si="316">F68*P68</f>
        <v>-17571.084360655579</v>
      </c>
      <c r="R68">
        <f t="shared" ref="R68" si="317">R69+Q68</f>
        <v>-9047740.8012248874</v>
      </c>
      <c r="S68">
        <f t="shared" ref="S68" si="318">R68/100000</f>
        <v>-90.477408012248873</v>
      </c>
      <c r="T68">
        <f t="shared" ref="T68" si="319">S68/1000</f>
        <v>-9.0477408012248878E-2</v>
      </c>
    </row>
    <row r="69" spans="1:20" x14ac:dyDescent="0.25">
      <c r="A69" s="5">
        <v>44524</v>
      </c>
      <c r="B69">
        <v>27.56</v>
      </c>
      <c r="C69">
        <v>27.63</v>
      </c>
      <c r="D69">
        <v>26.75</v>
      </c>
      <c r="E69">
        <v>26.87</v>
      </c>
      <c r="F69">
        <v>12523.21</v>
      </c>
      <c r="G69">
        <v>26.87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-0.72727272727272474</v>
      </c>
      <c r="Q69">
        <f t="shared" ref="Q69" si="321">F69*P69</f>
        <v>-9107.7890909090584</v>
      </c>
      <c r="R69">
        <f t="shared" ref="R69" si="322">R70+Q69</f>
        <v>-9030169.716864232</v>
      </c>
      <c r="S69">
        <f t="shared" ref="S69" si="323">R69/100000</f>
        <v>-90.30169716864232</v>
      </c>
      <c r="T69">
        <f t="shared" ref="T69" si="324">S69/1000</f>
        <v>-9.0301697168642323E-2</v>
      </c>
    </row>
    <row r="70" spans="1:20" x14ac:dyDescent="0.25">
      <c r="A70" s="5">
        <v>44523</v>
      </c>
      <c r="B70">
        <v>27.37</v>
      </c>
      <c r="C70">
        <v>28.43</v>
      </c>
      <c r="D70">
        <v>27.13</v>
      </c>
      <c r="E70">
        <v>27.59</v>
      </c>
      <c r="F70">
        <v>58140.27</v>
      </c>
      <c r="G70">
        <v>27.59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-0.29230769230769138</v>
      </c>
      <c r="Q70">
        <f t="shared" ref="Q70" si="326">F70*P70</f>
        <v>-16994.848153846098</v>
      </c>
      <c r="R70">
        <f t="shared" ref="R70" si="327">R71+Q70</f>
        <v>-9021061.9277733229</v>
      </c>
      <c r="S70">
        <f t="shared" ref="S70" si="328">R70/100000</f>
        <v>-90.21061927773323</v>
      </c>
      <c r="T70">
        <f t="shared" ref="T70" si="329">S70/1000</f>
        <v>-9.0210619277733231E-2</v>
      </c>
    </row>
    <row r="71" spans="1:20" x14ac:dyDescent="0.25">
      <c r="A71" s="5">
        <v>44522</v>
      </c>
      <c r="B71">
        <v>28.67</v>
      </c>
      <c r="C71">
        <v>29.04</v>
      </c>
      <c r="D71">
        <v>27.02</v>
      </c>
      <c r="E71">
        <v>27.36</v>
      </c>
      <c r="F71">
        <v>91276.28</v>
      </c>
      <c r="G71">
        <v>27.36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-0.6633663366336634</v>
      </c>
      <c r="Q71">
        <f t="shared" ref="Q71" si="331">F71*P71</f>
        <v>-60549.611485148518</v>
      </c>
      <c r="R71">
        <f t="shared" ref="R71" si="332">R72+Q71</f>
        <v>-9004067.0796194766</v>
      </c>
      <c r="S71">
        <f t="shared" ref="S71" si="333">R71/100000</f>
        <v>-90.04067079619476</v>
      </c>
      <c r="T71">
        <f t="shared" ref="T71" si="334">S71/1000</f>
        <v>-9.0040670796194766E-2</v>
      </c>
    </row>
    <row r="72" spans="1:20" x14ac:dyDescent="0.25">
      <c r="A72" s="5">
        <v>44521</v>
      </c>
      <c r="B72">
        <v>29.6</v>
      </c>
      <c r="C72">
        <v>31.36</v>
      </c>
      <c r="D72">
        <v>28.4</v>
      </c>
      <c r="E72">
        <v>28.67</v>
      </c>
      <c r="F72">
        <v>95686.44</v>
      </c>
      <c r="G72">
        <v>28.67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-0.81756756756756555</v>
      </c>
      <c r="Q72">
        <f t="shared" ref="Q72" si="336">F72*P72</f>
        <v>-78230.129999999815</v>
      </c>
      <c r="R72">
        <f t="shared" ref="R72" si="337">R73+Q72</f>
        <v>-8943517.4681343287</v>
      </c>
      <c r="S72">
        <f t="shared" ref="S72" si="338">R72/100000</f>
        <v>-89.435174681343284</v>
      </c>
      <c r="T72">
        <f t="shared" ref="T72" si="339">S72/1000</f>
        <v>-8.943517468134328E-2</v>
      </c>
    </row>
    <row r="73" spans="1:20" x14ac:dyDescent="0.25">
      <c r="A73" s="5">
        <v>44520</v>
      </c>
      <c r="B73">
        <v>29.07</v>
      </c>
      <c r="C73">
        <v>30.33</v>
      </c>
      <c r="D73">
        <v>28.49</v>
      </c>
      <c r="E73">
        <v>29.6</v>
      </c>
      <c r="F73">
        <v>61775.7</v>
      </c>
      <c r="G73">
        <v>29.6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0.20652173913043811</v>
      </c>
      <c r="Q73">
        <f t="shared" ref="Q73" si="341">F73*P73</f>
        <v>12758.025000000205</v>
      </c>
      <c r="R73">
        <f t="shared" ref="R73" si="342">R74+Q73</f>
        <v>-8865287.3381343298</v>
      </c>
      <c r="S73">
        <f t="shared" ref="S73" si="343">R73/100000</f>
        <v>-88.652873381343298</v>
      </c>
      <c r="T73">
        <f t="shared" ref="T73" si="344">S73/1000</f>
        <v>-8.8652873381343297E-2</v>
      </c>
    </row>
    <row r="74" spans="1:20" x14ac:dyDescent="0.25">
      <c r="A74" s="5">
        <v>44519</v>
      </c>
      <c r="B74">
        <v>28.31</v>
      </c>
      <c r="C74">
        <v>29.87</v>
      </c>
      <c r="D74">
        <v>27.21</v>
      </c>
      <c r="E74">
        <v>29.06</v>
      </c>
      <c r="F74">
        <v>122540.84</v>
      </c>
      <c r="G74">
        <v>29.06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0.39097744360902087</v>
      </c>
      <c r="Q74">
        <f t="shared" ref="Q74" si="346">F74*P74</f>
        <v>47910.704360902047</v>
      </c>
      <c r="R74">
        <f t="shared" ref="R74" si="347">R75+Q74</f>
        <v>-8878045.3631343301</v>
      </c>
      <c r="S74">
        <f t="shared" ref="S74" si="348">R74/100000</f>
        <v>-88.780453631343306</v>
      </c>
      <c r="T74">
        <f t="shared" ref="T74" si="349">S74/1000</f>
        <v>-8.8780453631343306E-2</v>
      </c>
    </row>
    <row r="75" spans="1:20" x14ac:dyDescent="0.25">
      <c r="A75" s="5">
        <v>44518</v>
      </c>
      <c r="B75">
        <v>29.78</v>
      </c>
      <c r="C75">
        <v>30.37</v>
      </c>
      <c r="D75">
        <v>28.08</v>
      </c>
      <c r="E75">
        <v>28.31</v>
      </c>
      <c r="F75">
        <v>40868.980000000003</v>
      </c>
      <c r="G75">
        <v>28.31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-0.79912663755458502</v>
      </c>
      <c r="Q75">
        <f t="shared" ref="Q75" si="351">F75*P75</f>
        <v>-32659.490567685585</v>
      </c>
      <c r="R75">
        <f t="shared" ref="R75" si="352">R76+Q75</f>
        <v>-8925956.0674952324</v>
      </c>
      <c r="S75">
        <f t="shared" ref="S75" si="353">R75/100000</f>
        <v>-89.259560674952326</v>
      </c>
      <c r="T75">
        <f t="shared" ref="T75" si="354">S75/1000</f>
        <v>-8.9259560674952332E-2</v>
      </c>
    </row>
    <row r="76" spans="1:20" x14ac:dyDescent="0.25">
      <c r="A76" s="5">
        <v>44517</v>
      </c>
      <c r="B76">
        <v>29.95</v>
      </c>
      <c r="C76">
        <v>30.25</v>
      </c>
      <c r="D76">
        <v>28.41</v>
      </c>
      <c r="E76">
        <v>29.83</v>
      </c>
      <c r="F76">
        <v>48832.87</v>
      </c>
      <c r="G76">
        <v>29.83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0.5434782608695633</v>
      </c>
      <c r="Q76">
        <f t="shared" ref="Q76" si="356">F76*P76</f>
        <v>26539.603260869473</v>
      </c>
      <c r="R76">
        <f t="shared" ref="R76" si="357">R77+Q76</f>
        <v>-8893296.5769275464</v>
      </c>
      <c r="S76">
        <f t="shared" ref="S76" si="358">R76/100000</f>
        <v>-88.932965769275469</v>
      </c>
      <c r="T76">
        <f t="shared" ref="T76" si="359">S76/1000</f>
        <v>-8.8932965769275465E-2</v>
      </c>
    </row>
    <row r="77" spans="1:20" x14ac:dyDescent="0.25">
      <c r="A77" s="5">
        <v>44516</v>
      </c>
      <c r="B77">
        <v>31.46</v>
      </c>
      <c r="C77">
        <v>31.5</v>
      </c>
      <c r="D77">
        <v>28.9</v>
      </c>
      <c r="E77">
        <v>29.99</v>
      </c>
      <c r="F77">
        <v>71297.440000000002</v>
      </c>
      <c r="G77">
        <v>29.99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-0.1615384615384621</v>
      </c>
      <c r="Q77">
        <f t="shared" ref="Q77" si="361">F77*P77</f>
        <v>-11517.27876923081</v>
      </c>
      <c r="R77">
        <f t="shared" ref="R77" si="362">R78+Q77</f>
        <v>-8919836.1801884156</v>
      </c>
      <c r="S77">
        <f t="shared" ref="S77" si="363">R77/100000</f>
        <v>-89.198361801884161</v>
      </c>
      <c r="T77">
        <f t="shared" ref="T77" si="364">S77/1000</f>
        <v>-8.919836180188416E-2</v>
      </c>
    </row>
    <row r="78" spans="1:20" x14ac:dyDescent="0.25">
      <c r="A78" s="5">
        <v>44515</v>
      </c>
      <c r="B78">
        <v>32.729999999999997</v>
      </c>
      <c r="C78">
        <v>33.11</v>
      </c>
      <c r="D78">
        <v>31.39</v>
      </c>
      <c r="E78">
        <v>31.5</v>
      </c>
      <c r="F78">
        <v>53373.9</v>
      </c>
      <c r="G78">
        <v>31.5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-0.8720930232558145</v>
      </c>
      <c r="Q78">
        <f t="shared" ref="Q78" si="366">F78*P78</f>
        <v>-46547.005813953518</v>
      </c>
      <c r="R78">
        <f t="shared" ref="R78" si="367">R79+Q78</f>
        <v>-8908318.9014191851</v>
      </c>
      <c r="S78">
        <f t="shared" ref="S78" si="368">R78/100000</f>
        <v>-89.083189014191845</v>
      </c>
      <c r="T78">
        <f t="shared" ref="T78" si="369">S78/1000</f>
        <v>-8.9083189014191849E-2</v>
      </c>
    </row>
    <row r="79" spans="1:20" x14ac:dyDescent="0.25">
      <c r="A79" s="5">
        <v>44514</v>
      </c>
      <c r="B79">
        <v>32.89</v>
      </c>
      <c r="C79">
        <v>33.200000000000003</v>
      </c>
      <c r="D79">
        <v>31.82</v>
      </c>
      <c r="E79">
        <v>32.69</v>
      </c>
      <c r="F79">
        <v>66253.919999999998</v>
      </c>
      <c r="G79">
        <v>32.69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0.26086956521738525</v>
      </c>
      <c r="Q79">
        <f t="shared" ref="Q79" si="371">F79*P79</f>
        <v>17283.631304347426</v>
      </c>
      <c r="R79">
        <f t="shared" ref="R79" si="372">R80+Q79</f>
        <v>-8861771.8956052307</v>
      </c>
      <c r="S79">
        <f t="shared" ref="S79" si="373">R79/100000</f>
        <v>-88.6177189560523</v>
      </c>
      <c r="T79">
        <f t="shared" ref="T79" si="374">S79/1000</f>
        <v>-8.8617718956052305E-2</v>
      </c>
    </row>
    <row r="80" spans="1:20" x14ac:dyDescent="0.25">
      <c r="A80" s="5">
        <v>44513</v>
      </c>
      <c r="B80">
        <v>33.14</v>
      </c>
      <c r="C80">
        <v>33.57</v>
      </c>
      <c r="D80">
        <v>32.33</v>
      </c>
      <c r="E80">
        <v>32.89</v>
      </c>
      <c r="F80">
        <v>47463.88</v>
      </c>
      <c r="G80">
        <v>32.89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-9.6774193548384874E-2</v>
      </c>
      <c r="Q80">
        <f t="shared" ref="Q80" si="376">F80*P80</f>
        <v>-4593.2787096773136</v>
      </c>
      <c r="R80">
        <f t="shared" ref="R80" si="377">R81+Q80</f>
        <v>-8879055.5269095786</v>
      </c>
      <c r="S80">
        <f t="shared" ref="S80" si="378">R80/100000</f>
        <v>-88.79055526909579</v>
      </c>
      <c r="T80">
        <f t="shared" ref="T80" si="379">S80/1000</f>
        <v>-8.8790555269095794E-2</v>
      </c>
    </row>
    <row r="81" spans="1:20" x14ac:dyDescent="0.25">
      <c r="A81" s="5">
        <v>44512</v>
      </c>
      <c r="B81">
        <v>35.130000000000003</v>
      </c>
      <c r="C81">
        <v>35.619999999999997</v>
      </c>
      <c r="D81">
        <v>32.72</v>
      </c>
      <c r="E81">
        <v>33.18</v>
      </c>
      <c r="F81">
        <v>188505.31</v>
      </c>
      <c r="G81">
        <v>33.18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-0.68275862068965443</v>
      </c>
      <c r="Q81">
        <f t="shared" ref="Q81" si="381">F81*P81</f>
        <v>-128703.62544827572</v>
      </c>
      <c r="R81">
        <f t="shared" ref="R81" si="382">R82+Q81</f>
        <v>-8874462.2481999006</v>
      </c>
      <c r="S81">
        <f t="shared" ref="S81" si="383">R81/100000</f>
        <v>-88.744622481999002</v>
      </c>
      <c r="T81">
        <f t="shared" ref="T81" si="384">S81/1000</f>
        <v>-8.8744622481999005E-2</v>
      </c>
    </row>
    <row r="82" spans="1:20" x14ac:dyDescent="0.25">
      <c r="A82" s="5">
        <v>44511</v>
      </c>
      <c r="B82">
        <v>35.75</v>
      </c>
      <c r="C82">
        <v>37.51</v>
      </c>
      <c r="D82">
        <v>34.799999999999997</v>
      </c>
      <c r="E82">
        <v>35.090000000000003</v>
      </c>
      <c r="F82">
        <v>161134.99</v>
      </c>
      <c r="G82">
        <v>35.090000000000003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-0.78597785977859325</v>
      </c>
      <c r="Q82">
        <f t="shared" ref="Q82" si="386">F82*P82</f>
        <v>-126648.53457564501</v>
      </c>
      <c r="R82">
        <f t="shared" ref="R82" si="387">R83+Q82</f>
        <v>-8745758.6227516253</v>
      </c>
      <c r="S82">
        <f t="shared" ref="S82" si="388">R82/100000</f>
        <v>-87.457586227516259</v>
      </c>
      <c r="T82">
        <f t="shared" ref="T82" si="389">S82/1000</f>
        <v>-8.745758622751626E-2</v>
      </c>
    </row>
    <row r="83" spans="1:20" x14ac:dyDescent="0.25">
      <c r="A83" s="5">
        <v>44510</v>
      </c>
      <c r="B83">
        <v>37.28</v>
      </c>
      <c r="C83">
        <v>60</v>
      </c>
      <c r="D83">
        <v>34.450000000000003</v>
      </c>
      <c r="E83">
        <v>35.83</v>
      </c>
      <c r="F83">
        <v>954214.96</v>
      </c>
      <c r="G83">
        <v>35.83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-0.8919765166340512</v>
      </c>
      <c r="Q83">
        <f t="shared" ref="Q83" si="391">F83*P83</f>
        <v>-851137.3361409005</v>
      </c>
      <c r="R83">
        <f t="shared" ref="R83" si="392">R84+Q83</f>
        <v>-8619110.0881759804</v>
      </c>
      <c r="S83">
        <f t="shared" ref="S83" si="393">R83/100000</f>
        <v>-86.191100881759809</v>
      </c>
      <c r="T83">
        <f t="shared" ref="T83" si="394">S83/1000</f>
        <v>-8.6191100881759811E-2</v>
      </c>
    </row>
    <row r="84" spans="1:20" x14ac:dyDescent="0.25">
      <c r="A84" s="5">
        <v>44509</v>
      </c>
      <c r="B84">
        <v>34.85</v>
      </c>
      <c r="C84">
        <v>39</v>
      </c>
      <c r="D84">
        <v>33.65</v>
      </c>
      <c r="E84">
        <v>37.270000000000003</v>
      </c>
      <c r="F84">
        <v>145784.9</v>
      </c>
      <c r="G84">
        <v>37.270000000000003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0.35327102803738453</v>
      </c>
      <c r="Q84">
        <f t="shared" ref="Q84" si="396">F84*P84</f>
        <v>51501.5814953273</v>
      </c>
      <c r="R84">
        <f t="shared" ref="R84" si="397">R85+Q84</f>
        <v>-7767972.7520350805</v>
      </c>
      <c r="S84">
        <f t="shared" ref="S84" si="398">R84/100000</f>
        <v>-77.679727520350809</v>
      </c>
      <c r="T84">
        <f t="shared" ref="T84" si="399">S84/1000</f>
        <v>-7.7679727520350808E-2</v>
      </c>
    </row>
    <row r="85" spans="1:20" x14ac:dyDescent="0.25">
      <c r="A85" s="5">
        <v>44508</v>
      </c>
      <c r="B85">
        <v>33.729999999999997</v>
      </c>
      <c r="C85">
        <v>37.82</v>
      </c>
      <c r="D85">
        <v>32.630000000000003</v>
      </c>
      <c r="E85">
        <v>34.85</v>
      </c>
      <c r="F85">
        <v>241801.68</v>
      </c>
      <c r="G85">
        <v>34.85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-0.14450867052023128</v>
      </c>
      <c r="Q85">
        <f t="shared" ref="Q85" si="401">F85*P85</f>
        <v>-34942.439306358399</v>
      </c>
      <c r="R85">
        <f t="shared" ref="R85" si="402">R86+Q85</f>
        <v>-7819474.3335304074</v>
      </c>
      <c r="S85">
        <f t="shared" ref="S85" si="403">R85/100000</f>
        <v>-78.194743335304068</v>
      </c>
      <c r="T85">
        <f t="shared" ref="T85" si="404">S85/1000</f>
        <v>-7.8194743335304073E-2</v>
      </c>
    </row>
    <row r="86" spans="1:20" x14ac:dyDescent="0.25">
      <c r="A86" s="5">
        <v>44507</v>
      </c>
      <c r="B86">
        <v>29.6</v>
      </c>
      <c r="C86">
        <v>35.93</v>
      </c>
      <c r="D86">
        <v>29.07</v>
      </c>
      <c r="E86">
        <v>33.65</v>
      </c>
      <c r="F86">
        <v>344925.49</v>
      </c>
      <c r="G86">
        <v>33.65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0.33527696793002876</v>
      </c>
      <c r="Q86">
        <f t="shared" ref="Q86" si="406">F86*P86</f>
        <v>115645.57244897945</v>
      </c>
      <c r="R86">
        <f t="shared" ref="R86" si="407">R87+Q86</f>
        <v>-7784531.8942240486</v>
      </c>
      <c r="S86">
        <f t="shared" ref="S86" si="408">R86/100000</f>
        <v>-77.845318942240482</v>
      </c>
      <c r="T86">
        <f t="shared" ref="T86" si="409">S86/1000</f>
        <v>-7.7845318942240477E-2</v>
      </c>
    </row>
    <row r="87" spans="1:20" x14ac:dyDescent="0.25">
      <c r="A87" s="5">
        <v>44506</v>
      </c>
      <c r="B87">
        <v>28.62</v>
      </c>
      <c r="C87">
        <v>29.73</v>
      </c>
      <c r="D87">
        <v>28.44</v>
      </c>
      <c r="E87">
        <v>29.58</v>
      </c>
      <c r="F87">
        <v>38732.39</v>
      </c>
      <c r="G87">
        <v>29.58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0.76744186046511287</v>
      </c>
      <c r="Q87">
        <f t="shared" ref="Q87" si="411">F87*P87</f>
        <v>29724.857441860331</v>
      </c>
      <c r="R87">
        <f t="shared" ref="R87" si="412">R88+Q87</f>
        <v>-7900177.4666730277</v>
      </c>
      <c r="S87">
        <f t="shared" ref="S87" si="413">R87/100000</f>
        <v>-79.00177466673027</v>
      </c>
      <c r="T87">
        <f t="shared" ref="T87" si="414">S87/1000</f>
        <v>-7.9001774666730265E-2</v>
      </c>
    </row>
    <row r="88" spans="1:20" x14ac:dyDescent="0.25">
      <c r="A88" s="5">
        <v>44505</v>
      </c>
      <c r="B88">
        <v>29.01</v>
      </c>
      <c r="C88">
        <v>29.49</v>
      </c>
      <c r="D88">
        <v>28.12</v>
      </c>
      <c r="E88">
        <v>28.65</v>
      </c>
      <c r="F88">
        <v>85806.3</v>
      </c>
      <c r="G88">
        <v>28.65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-0.22627737226277581</v>
      </c>
      <c r="Q88">
        <f t="shared" ref="Q88" si="416">F88*P88</f>
        <v>-19416.024087591421</v>
      </c>
      <c r="R88">
        <f t="shared" ref="R88" si="417">R89+Q88</f>
        <v>-7929902.324114888</v>
      </c>
      <c r="S88">
        <f t="shared" ref="S88" si="418">R88/100000</f>
        <v>-79.299023241148873</v>
      </c>
      <c r="T88">
        <f t="shared" ref="T88" si="419">S88/1000</f>
        <v>-7.9299023241148875E-2</v>
      </c>
    </row>
    <row r="89" spans="1:20" x14ac:dyDescent="0.25">
      <c r="A89" s="5">
        <v>44504</v>
      </c>
      <c r="B89">
        <v>30.54</v>
      </c>
      <c r="C89">
        <v>32.4</v>
      </c>
      <c r="D89">
        <v>28.2</v>
      </c>
      <c r="E89">
        <v>29.01</v>
      </c>
      <c r="F89">
        <v>167221.67000000001</v>
      </c>
      <c r="G89">
        <v>29.01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-0.6142857142857131</v>
      </c>
      <c r="Q89">
        <f t="shared" ref="Q89" si="421">F89*P89</f>
        <v>-102721.88299999981</v>
      </c>
      <c r="R89">
        <f t="shared" ref="R89" si="422">R90+Q89</f>
        <v>-7910486.3000272969</v>
      </c>
      <c r="S89">
        <f t="shared" ref="S89" si="423">R89/100000</f>
        <v>-79.104863000272971</v>
      </c>
      <c r="T89">
        <f t="shared" ref="T89" si="424">S89/1000</f>
        <v>-7.9104863000272974E-2</v>
      </c>
    </row>
    <row r="90" spans="1:20" x14ac:dyDescent="0.25">
      <c r="A90" s="5">
        <v>44503</v>
      </c>
      <c r="B90">
        <v>28.21</v>
      </c>
      <c r="C90">
        <v>30.81</v>
      </c>
      <c r="D90">
        <v>27.66</v>
      </c>
      <c r="E90">
        <v>30.54</v>
      </c>
      <c r="F90">
        <v>124473.44</v>
      </c>
      <c r="G90">
        <v>30.54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0.82857142857142874</v>
      </c>
      <c r="Q90">
        <f t="shared" ref="Q90" si="426">F90*P90</f>
        <v>103135.13600000003</v>
      </c>
      <c r="R90">
        <f t="shared" ref="R90" si="427">R91+Q90</f>
        <v>-7807764.4170272974</v>
      </c>
      <c r="S90">
        <f t="shared" ref="S90" si="428">R90/100000</f>
        <v>-78.077644170272976</v>
      </c>
      <c r="T90">
        <f t="shared" ref="T90" si="429">S90/1000</f>
        <v>-7.8077644170272978E-2</v>
      </c>
    </row>
    <row r="91" spans="1:20" x14ac:dyDescent="0.25">
      <c r="A91" s="5">
        <v>44502</v>
      </c>
      <c r="B91">
        <v>28.32</v>
      </c>
      <c r="C91">
        <v>29.04</v>
      </c>
      <c r="D91">
        <v>27.86</v>
      </c>
      <c r="E91">
        <v>28.25</v>
      </c>
      <c r="F91">
        <v>81394.539999999994</v>
      </c>
      <c r="G91">
        <v>28.25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-0.3389830508474565</v>
      </c>
      <c r="Q91">
        <f t="shared" ref="Q91" si="431">F91*P91</f>
        <v>-27591.369491525329</v>
      </c>
      <c r="R91">
        <f t="shared" ref="R91" si="432">R92+Q91</f>
        <v>-7910899.5530272974</v>
      </c>
      <c r="S91">
        <f t="shared" ref="S91" si="433">R91/100000</f>
        <v>-79.108995530272978</v>
      </c>
      <c r="T91">
        <f t="shared" ref="T91" si="434">S91/1000</f>
        <v>-7.910899553027298E-2</v>
      </c>
    </row>
    <row r="92" spans="1:20" x14ac:dyDescent="0.25">
      <c r="A92" s="5">
        <v>44501</v>
      </c>
      <c r="B92">
        <v>28.7</v>
      </c>
      <c r="C92">
        <v>28.92</v>
      </c>
      <c r="D92">
        <v>28</v>
      </c>
      <c r="E92">
        <v>28.28</v>
      </c>
      <c r="F92">
        <v>44546.23</v>
      </c>
      <c r="G92">
        <v>28.28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-0.39130434782608559</v>
      </c>
      <c r="Q92">
        <f t="shared" ref="Q92" si="436">F92*P92</f>
        <v>-17431.13347826081</v>
      </c>
      <c r="R92">
        <f t="shared" ref="R92" si="437">R93+Q92</f>
        <v>-7883308.1835357724</v>
      </c>
      <c r="S92">
        <f t="shared" ref="S92" si="438">R92/100000</f>
        <v>-78.833081835357717</v>
      </c>
      <c r="T92">
        <f t="shared" ref="T92" si="439">S92/1000</f>
        <v>-7.8833081835357713E-2</v>
      </c>
    </row>
    <row r="93" spans="1:20" x14ac:dyDescent="0.25">
      <c r="A93" s="5">
        <v>44500</v>
      </c>
      <c r="B93">
        <v>29.2</v>
      </c>
      <c r="C93">
        <v>31.5</v>
      </c>
      <c r="D93">
        <v>27.72</v>
      </c>
      <c r="E93">
        <v>28.7</v>
      </c>
      <c r="F93">
        <v>232370.38</v>
      </c>
      <c r="G93">
        <v>28.7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-0.4814814814814814</v>
      </c>
      <c r="Q93">
        <f t="shared" ref="Q93" si="441">F93*P93</f>
        <v>-111882.0348148148</v>
      </c>
      <c r="R93">
        <f t="shared" ref="R93" si="442">R94+Q93</f>
        <v>-7865877.0500575118</v>
      </c>
      <c r="S93">
        <f t="shared" ref="S93" si="443">R93/100000</f>
        <v>-78.658770500575116</v>
      </c>
      <c r="T93">
        <f t="shared" ref="T93" si="444">S93/1000</f>
        <v>-7.8658770500575112E-2</v>
      </c>
    </row>
    <row r="94" spans="1:20" x14ac:dyDescent="0.25">
      <c r="A94" s="5">
        <v>44499</v>
      </c>
      <c r="B94">
        <v>26.52</v>
      </c>
      <c r="C94">
        <v>30.97</v>
      </c>
      <c r="D94">
        <v>26.4</v>
      </c>
      <c r="E94">
        <v>29.11</v>
      </c>
      <c r="F94">
        <v>204100.89</v>
      </c>
      <c r="G94">
        <v>29.11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0.18599562363238542</v>
      </c>
      <c r="Q94">
        <f t="shared" ref="Q94" si="446">F94*P94</f>
        <v>37961.872319474896</v>
      </c>
      <c r="R94">
        <f t="shared" ref="R94" si="447">R95+Q94</f>
        <v>-7753995.0152426967</v>
      </c>
      <c r="S94">
        <f t="shared" ref="S94" si="448">R94/100000</f>
        <v>-77.539950152426968</v>
      </c>
      <c r="T94">
        <f t="shared" ref="T94" si="449">S94/1000</f>
        <v>-7.753995015242697E-2</v>
      </c>
    </row>
    <row r="95" spans="1:20" x14ac:dyDescent="0.25">
      <c r="A95" s="5">
        <v>44498</v>
      </c>
      <c r="B95">
        <v>26.59</v>
      </c>
      <c r="C95">
        <v>27.54</v>
      </c>
      <c r="D95">
        <v>26.49</v>
      </c>
      <c r="E95">
        <v>26.57</v>
      </c>
      <c r="F95">
        <v>75289.490000000005</v>
      </c>
      <c r="G95">
        <v>26.57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-0.84761904761904416</v>
      </c>
      <c r="Q95">
        <f t="shared" ref="Q95" si="451">F95*P95</f>
        <v>-63816.805809523554</v>
      </c>
      <c r="R95">
        <f t="shared" ref="R95" si="452">R96+Q95</f>
        <v>-7791956.8875621716</v>
      </c>
      <c r="S95">
        <f t="shared" ref="S95" si="453">R95/100000</f>
        <v>-77.919568875621721</v>
      </c>
      <c r="T95">
        <f t="shared" ref="T95" si="454">S95/1000</f>
        <v>-7.7919568875621723E-2</v>
      </c>
    </row>
    <row r="96" spans="1:20" x14ac:dyDescent="0.25">
      <c r="A96" s="5">
        <v>44497</v>
      </c>
      <c r="B96">
        <v>26.22</v>
      </c>
      <c r="C96">
        <v>27.05</v>
      </c>
      <c r="D96">
        <v>25.51</v>
      </c>
      <c r="E96">
        <v>26.59</v>
      </c>
      <c r="F96">
        <v>71114.23</v>
      </c>
      <c r="G96">
        <v>26.59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0.40259740259740118</v>
      </c>
      <c r="Q96">
        <f t="shared" ref="Q96" si="456">F96*P96</f>
        <v>28630.404285714183</v>
      </c>
      <c r="R96">
        <f t="shared" ref="R96" si="457">R97+Q96</f>
        <v>-7728140.0817526476</v>
      </c>
      <c r="S96">
        <f t="shared" ref="S96" si="458">R96/100000</f>
        <v>-77.281400817526475</v>
      </c>
      <c r="T96">
        <f t="shared" ref="T96" si="459">S96/1000</f>
        <v>-7.7281400817526477E-2</v>
      </c>
    </row>
    <row r="97" spans="1:20" x14ac:dyDescent="0.25">
      <c r="A97" s="5">
        <v>44496</v>
      </c>
      <c r="B97">
        <v>28.57</v>
      </c>
      <c r="C97">
        <v>28.71</v>
      </c>
      <c r="D97">
        <v>26.14</v>
      </c>
      <c r="E97">
        <v>26.24</v>
      </c>
      <c r="F97">
        <v>88945.81</v>
      </c>
      <c r="G97">
        <v>26.24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-0.92217898832684997</v>
      </c>
      <c r="Q97">
        <f t="shared" ref="Q97" si="461">F97*P97</f>
        <v>-82023.957081712215</v>
      </c>
      <c r="R97">
        <f t="shared" ref="R97" si="462">R98+Q97</f>
        <v>-7756770.4860383617</v>
      </c>
      <c r="S97">
        <f t="shared" ref="S97" si="463">R97/100000</f>
        <v>-77.567704860383614</v>
      </c>
      <c r="T97">
        <f t="shared" ref="T97" si="464">S97/1000</f>
        <v>-7.7567704860383613E-2</v>
      </c>
    </row>
    <row r="98" spans="1:20" x14ac:dyDescent="0.25">
      <c r="A98" s="5">
        <v>44495</v>
      </c>
      <c r="B98">
        <v>29.2</v>
      </c>
      <c r="C98">
        <v>30.43</v>
      </c>
      <c r="D98">
        <v>28.43</v>
      </c>
      <c r="E98">
        <v>28.63</v>
      </c>
      <c r="F98">
        <v>107602.98</v>
      </c>
      <c r="G98">
        <v>28.63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-0.80000000000000071</v>
      </c>
      <c r="Q98">
        <f t="shared" ref="Q98" si="466">F98*P98</f>
        <v>-86082.384000000078</v>
      </c>
      <c r="R98">
        <f t="shared" ref="R98" si="467">R99+Q98</f>
        <v>-7674746.5289566498</v>
      </c>
      <c r="S98">
        <f t="shared" ref="S98" si="468">R98/100000</f>
        <v>-76.747465289566492</v>
      </c>
      <c r="T98">
        <f t="shared" ref="T98" si="469">S98/1000</f>
        <v>-7.6747465289566497E-2</v>
      </c>
    </row>
    <row r="99" spans="1:20" x14ac:dyDescent="0.25">
      <c r="A99" s="5">
        <v>44494</v>
      </c>
      <c r="B99">
        <v>29.08</v>
      </c>
      <c r="C99">
        <v>30.57</v>
      </c>
      <c r="D99">
        <v>28.7</v>
      </c>
      <c r="E99">
        <v>29.2</v>
      </c>
      <c r="F99">
        <v>102078.92</v>
      </c>
      <c r="G99">
        <v>29.2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-0.46524064171123025</v>
      </c>
      <c r="Q99">
        <f t="shared" ref="Q99" si="471">F99*P99</f>
        <v>-47491.262245989332</v>
      </c>
      <c r="R99">
        <f t="shared" ref="R99" si="472">R100+Q99</f>
        <v>-7588664.1449566493</v>
      </c>
      <c r="S99">
        <f t="shared" ref="S99" si="473">R99/100000</f>
        <v>-75.886641449566497</v>
      </c>
      <c r="T99">
        <f t="shared" ref="T99" si="474">S99/1000</f>
        <v>-7.58866414495665E-2</v>
      </c>
    </row>
    <row r="100" spans="1:20" x14ac:dyDescent="0.25">
      <c r="A100" s="5">
        <v>44493</v>
      </c>
      <c r="B100">
        <v>28.18</v>
      </c>
      <c r="C100">
        <v>33.299999999999997</v>
      </c>
      <c r="D100">
        <v>27.91</v>
      </c>
      <c r="E100">
        <v>29.01</v>
      </c>
      <c r="F100">
        <v>425815.24</v>
      </c>
      <c r="G100">
        <v>29.01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-0.59183673469387676</v>
      </c>
      <c r="Q100">
        <f t="shared" ref="Q100" si="476">F100*P100</f>
        <v>-252013.10122448945</v>
      </c>
      <c r="R100">
        <f t="shared" ref="R100" si="477">R101+Q100</f>
        <v>-7541172.8827106599</v>
      </c>
      <c r="S100">
        <f t="shared" ref="S100" si="478">R100/100000</f>
        <v>-75.4117288271066</v>
      </c>
      <c r="T100">
        <f t="shared" ref="T100" si="479">S100/1000</f>
        <v>-7.5411728827106603E-2</v>
      </c>
    </row>
    <row r="101" spans="1:20" x14ac:dyDescent="0.25">
      <c r="A101" s="5">
        <v>44492</v>
      </c>
      <c r="B101">
        <v>28.37</v>
      </c>
      <c r="C101">
        <v>29.12</v>
      </c>
      <c r="D101">
        <v>27.9</v>
      </c>
      <c r="E101">
        <v>28.19</v>
      </c>
      <c r="F101">
        <v>59762.44</v>
      </c>
      <c r="G101">
        <v>28.19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-0.5245901639344227</v>
      </c>
      <c r="Q101">
        <f t="shared" ref="Q101" si="481">F101*P101</f>
        <v>-31350.788196721103</v>
      </c>
      <c r="R101">
        <f t="shared" ref="R101" si="482">R102+Q101</f>
        <v>-7289159.7814861704</v>
      </c>
      <c r="S101">
        <f t="shared" ref="S101" si="483">R101/100000</f>
        <v>-72.891597814861697</v>
      </c>
      <c r="T101">
        <f t="shared" ref="T101" si="484">S101/1000</f>
        <v>-7.2891597814861694E-2</v>
      </c>
    </row>
    <row r="102" spans="1:20" x14ac:dyDescent="0.25">
      <c r="A102" s="5">
        <v>44491</v>
      </c>
      <c r="B102">
        <v>29.37</v>
      </c>
      <c r="C102">
        <v>29.53</v>
      </c>
      <c r="D102">
        <v>27.73</v>
      </c>
      <c r="E102">
        <v>28.37</v>
      </c>
      <c r="F102">
        <v>83657.67</v>
      </c>
      <c r="G102">
        <v>28.37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-0.28888888888888853</v>
      </c>
      <c r="Q102">
        <f t="shared" ref="Q102" si="486">F102*P102</f>
        <v>-24167.771333333301</v>
      </c>
      <c r="R102">
        <f t="shared" ref="R102" si="487">R103+Q102</f>
        <v>-7257808.9932894493</v>
      </c>
      <c r="S102">
        <f t="shared" ref="S102" si="488">R102/100000</f>
        <v>-72.578089932894486</v>
      </c>
      <c r="T102">
        <f t="shared" ref="T102" si="489">S102/1000</f>
        <v>-7.2578089932894482E-2</v>
      </c>
    </row>
    <row r="103" spans="1:20" x14ac:dyDescent="0.25">
      <c r="A103" s="5">
        <v>44490</v>
      </c>
      <c r="B103">
        <v>30.06</v>
      </c>
      <c r="C103">
        <v>30.17</v>
      </c>
      <c r="D103">
        <v>28.79</v>
      </c>
      <c r="E103">
        <v>29.33</v>
      </c>
      <c r="F103">
        <v>134225.85</v>
      </c>
      <c r="G103">
        <v>29.33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-0.21739130434782877</v>
      </c>
      <c r="Q103">
        <f t="shared" ref="Q103" si="491">F103*P103</f>
        <v>-29179.532608696016</v>
      </c>
      <c r="R103">
        <f t="shared" ref="R103" si="492">R104+Q103</f>
        <v>-7233641.2219561161</v>
      </c>
      <c r="S103">
        <f t="shared" ref="S103" si="493">R103/100000</f>
        <v>-72.336412219561169</v>
      </c>
      <c r="T103">
        <f t="shared" ref="T103" si="494">S103/1000</f>
        <v>-7.2336412219561164E-2</v>
      </c>
    </row>
    <row r="104" spans="1:20" x14ac:dyDescent="0.25">
      <c r="A104" s="5">
        <v>44489</v>
      </c>
      <c r="B104">
        <v>30.14</v>
      </c>
      <c r="C104">
        <v>31.39</v>
      </c>
      <c r="D104">
        <v>29.8</v>
      </c>
      <c r="E104">
        <v>30.05</v>
      </c>
      <c r="F104">
        <v>188802.8</v>
      </c>
      <c r="G104">
        <v>30.05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-0.68553459119496851</v>
      </c>
      <c r="Q104">
        <f t="shared" ref="Q104" si="496">F104*P104</f>
        <v>-129430.8503144654</v>
      </c>
      <c r="R104">
        <f t="shared" ref="R104" si="497">R105+Q104</f>
        <v>-7204461.6893474199</v>
      </c>
      <c r="S104">
        <f t="shared" ref="S104" si="498">R104/100000</f>
        <v>-72.044616893474199</v>
      </c>
      <c r="T104">
        <f t="shared" ref="T104" si="499">S104/1000</f>
        <v>-7.2044616893474203E-2</v>
      </c>
    </row>
    <row r="105" spans="1:20" x14ac:dyDescent="0.25">
      <c r="A105" s="5">
        <v>44488</v>
      </c>
      <c r="B105">
        <v>29.46</v>
      </c>
      <c r="C105">
        <v>34.5</v>
      </c>
      <c r="D105">
        <v>28.28</v>
      </c>
      <c r="E105">
        <v>30.05</v>
      </c>
      <c r="F105">
        <v>880812.44</v>
      </c>
      <c r="G105">
        <v>30.05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-0.43086816720257237</v>
      </c>
      <c r="Q105">
        <f t="shared" ref="Q105" si="501">F105*P105</f>
        <v>-379514.04167202575</v>
      </c>
      <c r="R105">
        <f t="shared" ref="R105" si="502">R106+Q105</f>
        <v>-7075030.8390329545</v>
      </c>
      <c r="S105">
        <f t="shared" ref="S105" si="503">R105/100000</f>
        <v>-70.75030839032955</v>
      </c>
      <c r="T105">
        <f t="shared" ref="T105" si="504">S105/1000</f>
        <v>-7.0750308390329544E-2</v>
      </c>
    </row>
    <row r="106" spans="1:20" x14ac:dyDescent="0.25">
      <c r="A106" s="5">
        <v>44487</v>
      </c>
      <c r="B106">
        <v>27.96</v>
      </c>
      <c r="C106">
        <v>33.33</v>
      </c>
      <c r="D106">
        <v>26.6</v>
      </c>
      <c r="E106">
        <v>29.49</v>
      </c>
      <c r="F106">
        <v>501435.04</v>
      </c>
      <c r="G106">
        <v>29.49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-0.14115898959881179</v>
      </c>
      <c r="Q106">
        <f t="shared" ref="Q106" si="506">F106*P106</f>
        <v>-70782.063595839776</v>
      </c>
      <c r="R106">
        <f t="shared" ref="R106" si="507">R107+Q106</f>
        <v>-6695516.7973609287</v>
      </c>
      <c r="S106">
        <f t="shared" ref="S106" si="508">R106/100000</f>
        <v>-66.955167973609292</v>
      </c>
      <c r="T106">
        <f t="shared" ref="T106" si="509">S106/1000</f>
        <v>-6.6955167973609286E-2</v>
      </c>
    </row>
    <row r="107" spans="1:20" x14ac:dyDescent="0.25">
      <c r="A107" s="5">
        <v>44486</v>
      </c>
      <c r="B107">
        <v>30.03</v>
      </c>
      <c r="C107">
        <v>31.77</v>
      </c>
      <c r="D107">
        <v>27.74</v>
      </c>
      <c r="E107">
        <v>27.95</v>
      </c>
      <c r="F107">
        <v>306055.94</v>
      </c>
      <c r="G107">
        <v>27.95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-0.89578163771712116</v>
      </c>
      <c r="Q107">
        <f t="shared" ref="Q107" si="511">F107*P107</f>
        <v>-274159.29116625298</v>
      </c>
      <c r="R107">
        <f t="shared" ref="R107" si="512">R108+Q107</f>
        <v>-6624734.733765089</v>
      </c>
      <c r="S107">
        <f t="shared" ref="S107" si="513">R107/100000</f>
        <v>-66.247347337650893</v>
      </c>
      <c r="T107">
        <f t="shared" ref="T107" si="514">S107/1000</f>
        <v>-6.6247347337650891E-2</v>
      </c>
    </row>
    <row r="108" spans="1:20" x14ac:dyDescent="0.25">
      <c r="A108" s="5">
        <v>44485</v>
      </c>
      <c r="B108">
        <v>33.35</v>
      </c>
      <c r="C108">
        <v>33.46</v>
      </c>
      <c r="D108">
        <v>28.75</v>
      </c>
      <c r="E108">
        <v>30.04</v>
      </c>
      <c r="F108">
        <v>701110.85</v>
      </c>
      <c r="G108">
        <v>30.04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-0.45222929936305778</v>
      </c>
      <c r="Q108">
        <f t="shared" ref="Q108" si="516">F108*P108</f>
        <v>-317062.86847133789</v>
      </c>
      <c r="R108">
        <f t="shared" ref="R108" si="517">R109+Q108</f>
        <v>-6350575.4425988356</v>
      </c>
      <c r="S108">
        <f t="shared" ref="S108" si="518">R108/100000</f>
        <v>-63.505754425988357</v>
      </c>
      <c r="T108">
        <f t="shared" ref="T108" si="519">S108/1000</f>
        <v>-6.3505754425988353E-2</v>
      </c>
    </row>
    <row r="109" spans="1:20" x14ac:dyDescent="0.25">
      <c r="A109" s="5">
        <v>44484</v>
      </c>
      <c r="B109">
        <v>23.91</v>
      </c>
      <c r="C109">
        <v>75</v>
      </c>
      <c r="D109">
        <v>23.83</v>
      </c>
      <c r="E109">
        <v>33.299999999999997</v>
      </c>
      <c r="F109">
        <v>4114505.16</v>
      </c>
      <c r="G109">
        <v>33.299999999999997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-0.62986124682431122</v>
      </c>
      <c r="Q109">
        <f t="shared" ref="Q109" si="521">F109*P109</f>
        <v>-2591567.3501426624</v>
      </c>
      <c r="R109">
        <f t="shared" ref="R109" si="522">R110+Q109</f>
        <v>-6033512.5741274981</v>
      </c>
      <c r="S109">
        <f t="shared" ref="S109" si="523">R109/100000</f>
        <v>-60.335125741274979</v>
      </c>
      <c r="T109">
        <f t="shared" ref="T109" si="524">S109/1000</f>
        <v>-6.0335125741274982E-2</v>
      </c>
    </row>
    <row r="110" spans="1:20" x14ac:dyDescent="0.25">
      <c r="A110" s="5">
        <v>44483</v>
      </c>
      <c r="B110">
        <v>23.49</v>
      </c>
      <c r="C110">
        <v>25</v>
      </c>
      <c r="D110">
        <v>22.97</v>
      </c>
      <c r="E110">
        <v>23.92</v>
      </c>
      <c r="F110">
        <v>102955.91</v>
      </c>
      <c r="G110">
        <v>23.92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-6.4039408866992803E-2</v>
      </c>
      <c r="Q110">
        <f t="shared" ref="Q110" si="526">F110*P110</f>
        <v>-6593.235615763313</v>
      </c>
      <c r="R110">
        <f t="shared" ref="R110" si="527">R111+Q110</f>
        <v>-3441945.2239848357</v>
      </c>
      <c r="S110">
        <f t="shared" ref="S110" si="528">R110/100000</f>
        <v>-34.419452239848354</v>
      </c>
      <c r="T110">
        <f t="shared" ref="T110" si="529">S110/1000</f>
        <v>-3.4419452239848353E-2</v>
      </c>
    </row>
    <row r="111" spans="1:20" x14ac:dyDescent="0.25">
      <c r="A111" s="5">
        <v>44482</v>
      </c>
      <c r="B111">
        <v>22.72</v>
      </c>
      <c r="C111">
        <v>24.1</v>
      </c>
      <c r="D111">
        <v>22.63</v>
      </c>
      <c r="E111">
        <v>23.49</v>
      </c>
      <c r="F111">
        <v>35520.410000000003</v>
      </c>
      <c r="G111">
        <v>23.49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0.17006802721088166</v>
      </c>
      <c r="Q111">
        <f t="shared" ref="Q111" si="531">F111*P111</f>
        <v>6040.8860544216732</v>
      </c>
      <c r="R111">
        <f t="shared" ref="R111" si="532">R112+Q111</f>
        <v>-3435351.9883690723</v>
      </c>
      <c r="S111">
        <f t="shared" ref="S111" si="533">R111/100000</f>
        <v>-34.353519883690723</v>
      </c>
      <c r="T111">
        <f t="shared" ref="T111" si="534">S111/1000</f>
        <v>-3.4353519883690724E-2</v>
      </c>
    </row>
    <row r="112" spans="1:20" x14ac:dyDescent="0.25">
      <c r="A112" s="5">
        <v>44481</v>
      </c>
      <c r="B112">
        <v>23.09</v>
      </c>
      <c r="C112">
        <v>23.7</v>
      </c>
      <c r="D112">
        <v>22.21</v>
      </c>
      <c r="E112">
        <v>22.73</v>
      </c>
      <c r="F112">
        <v>56594.49</v>
      </c>
      <c r="G112">
        <v>22.73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-0.30201342281879179</v>
      </c>
      <c r="Q112">
        <f t="shared" ref="Q112" si="536">F112*P112</f>
        <v>-17092.295637583884</v>
      </c>
      <c r="R112">
        <f t="shared" ref="R112" si="537">R113+Q112</f>
        <v>-3441392.8744234941</v>
      </c>
      <c r="S112">
        <f t="shared" ref="S112" si="538">R112/100000</f>
        <v>-34.413928744234944</v>
      </c>
      <c r="T112">
        <f t="shared" ref="T112" si="539">S112/1000</f>
        <v>-3.4413928744234941E-2</v>
      </c>
    </row>
    <row r="113" spans="1:20" x14ac:dyDescent="0.25">
      <c r="A113" s="5">
        <v>44480</v>
      </c>
      <c r="B113">
        <v>23.16</v>
      </c>
      <c r="C113">
        <v>24.15</v>
      </c>
      <c r="D113">
        <v>22.94</v>
      </c>
      <c r="E113">
        <v>23.18</v>
      </c>
      <c r="F113">
        <v>27881.91</v>
      </c>
      <c r="G113">
        <v>23.18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-0.6033057851239686</v>
      </c>
      <c r="Q113">
        <f t="shared" ref="Q113" si="541">F113*P113</f>
        <v>-16821.31760330583</v>
      </c>
      <c r="R113">
        <f t="shared" ref="R113" si="542">R114+Q113</f>
        <v>-3424300.5787859103</v>
      </c>
      <c r="S113">
        <f t="shared" ref="S113" si="543">R113/100000</f>
        <v>-34.243005787859104</v>
      </c>
      <c r="T113">
        <f t="shared" ref="T113" si="544">S113/1000</f>
        <v>-3.4243005787859104E-2</v>
      </c>
    </row>
    <row r="114" spans="1:20" x14ac:dyDescent="0.25">
      <c r="A114" s="5">
        <v>44479</v>
      </c>
      <c r="B114">
        <v>24.68</v>
      </c>
      <c r="C114">
        <v>25.7</v>
      </c>
      <c r="D114">
        <v>23.01</v>
      </c>
      <c r="E114">
        <v>23.16</v>
      </c>
      <c r="F114">
        <v>63990.48</v>
      </c>
      <c r="G114">
        <v>23.16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-0.88847583643122774</v>
      </c>
      <c r="Q114">
        <f t="shared" ref="Q114" si="546">F114*P114</f>
        <v>-56853.995241635756</v>
      </c>
      <c r="R114">
        <f t="shared" ref="R114" si="547">R115+Q114</f>
        <v>-3407479.2611826044</v>
      </c>
      <c r="S114">
        <f t="shared" ref="S114" si="548">R114/100000</f>
        <v>-34.074792611826041</v>
      </c>
      <c r="T114">
        <f t="shared" ref="T114" si="549">S114/1000</f>
        <v>-3.4074792611826041E-2</v>
      </c>
    </row>
    <row r="115" spans="1:20" x14ac:dyDescent="0.25">
      <c r="A115" s="5">
        <v>44478</v>
      </c>
      <c r="B115">
        <v>24.24</v>
      </c>
      <c r="C115">
        <v>26.58</v>
      </c>
      <c r="D115">
        <v>24.12</v>
      </c>
      <c r="E115">
        <v>24.69</v>
      </c>
      <c r="F115">
        <v>94787.97</v>
      </c>
      <c r="G115">
        <v>24.69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-0.53658536585365779</v>
      </c>
      <c r="Q115">
        <f t="shared" ref="Q115" si="551">F115*P115</f>
        <v>-50861.837560975539</v>
      </c>
      <c r="R115">
        <f t="shared" ref="R115" si="552">R116+Q115</f>
        <v>-3350625.2659409684</v>
      </c>
      <c r="S115">
        <f t="shared" ref="S115" si="553">R115/100000</f>
        <v>-33.506252659409682</v>
      </c>
      <c r="T115">
        <f t="shared" ref="T115" si="554">S115/1000</f>
        <v>-3.350625265940968E-2</v>
      </c>
    </row>
    <row r="116" spans="1:20" x14ac:dyDescent="0.25">
      <c r="A116" s="5">
        <v>44477</v>
      </c>
      <c r="B116">
        <v>24.7</v>
      </c>
      <c r="C116">
        <v>25.18</v>
      </c>
      <c r="D116">
        <v>24.16</v>
      </c>
      <c r="E116">
        <v>24.21</v>
      </c>
      <c r="F116">
        <v>32060.48</v>
      </c>
      <c r="G116">
        <v>24.21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-0.90196078431372406</v>
      </c>
      <c r="Q116">
        <f t="shared" ref="Q116" si="556">F116*P116</f>
        <v>-28917.295686274465</v>
      </c>
      <c r="R116">
        <f t="shared" ref="R116" si="557">R117+Q116</f>
        <v>-3299763.428379993</v>
      </c>
      <c r="S116">
        <f t="shared" ref="S116" si="558">R116/100000</f>
        <v>-32.997634283799933</v>
      </c>
      <c r="T116">
        <f t="shared" ref="T116" si="559">S116/1000</f>
        <v>-3.2997634283799933E-2</v>
      </c>
    </row>
    <row r="117" spans="1:20" x14ac:dyDescent="0.25">
      <c r="A117" s="5">
        <v>44476</v>
      </c>
      <c r="B117">
        <v>24.51</v>
      </c>
      <c r="C117">
        <v>27.01</v>
      </c>
      <c r="D117">
        <v>23.95</v>
      </c>
      <c r="E117">
        <v>24.7</v>
      </c>
      <c r="F117">
        <v>206305.07</v>
      </c>
      <c r="G117">
        <v>24.7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-0.50980392156862786</v>
      </c>
      <c r="Q117">
        <f t="shared" ref="Q117" si="561">F117*P117</f>
        <v>-105175.13372549029</v>
      </c>
      <c r="R117">
        <f t="shared" ref="R117" si="562">R118+Q117</f>
        <v>-3270846.1326937187</v>
      </c>
      <c r="S117">
        <f t="shared" ref="S117" si="563">R117/100000</f>
        <v>-32.70846132693719</v>
      </c>
      <c r="T117">
        <f t="shared" ref="T117" si="564">S117/1000</f>
        <v>-3.2708461326937187E-2</v>
      </c>
    </row>
    <row r="118" spans="1:20" x14ac:dyDescent="0.25">
      <c r="A118" s="5">
        <v>44475</v>
      </c>
      <c r="B118">
        <v>24.87</v>
      </c>
      <c r="C118">
        <v>25.44</v>
      </c>
      <c r="D118">
        <v>23.86</v>
      </c>
      <c r="E118">
        <v>24.51</v>
      </c>
      <c r="F118">
        <v>72314.179999999993</v>
      </c>
      <c r="G118">
        <v>24.51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-0.17721518987341597</v>
      </c>
      <c r="Q118">
        <f t="shared" ref="Q118" si="566">F118*P118</f>
        <v>-12815.171139240379</v>
      </c>
      <c r="R118">
        <f t="shared" ref="R118" si="567">R119+Q118</f>
        <v>-3165670.9989682282</v>
      </c>
      <c r="S118">
        <f t="shared" ref="S118" si="568">R118/100000</f>
        <v>-31.656709989682284</v>
      </c>
      <c r="T118">
        <f t="shared" ref="T118" si="569">S118/1000</f>
        <v>-3.1656709989682286E-2</v>
      </c>
    </row>
    <row r="119" spans="1:20" x14ac:dyDescent="0.25">
      <c r="A119" s="5">
        <v>44474</v>
      </c>
      <c r="B119">
        <v>25.24</v>
      </c>
      <c r="C119">
        <v>26.13</v>
      </c>
      <c r="D119">
        <v>24.65</v>
      </c>
      <c r="E119">
        <v>24.87</v>
      </c>
      <c r="F119">
        <v>47461.8</v>
      </c>
      <c r="G119">
        <v>24.87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-0.70270270270269952</v>
      </c>
      <c r="Q119">
        <f t="shared" ref="Q119" si="571">F119*P119</f>
        <v>-33351.535135134989</v>
      </c>
      <c r="R119">
        <f t="shared" ref="R119" si="572">R120+Q119</f>
        <v>-3152855.827828988</v>
      </c>
      <c r="S119">
        <f t="shared" ref="S119" si="573">R119/100000</f>
        <v>-31.528558278289879</v>
      </c>
      <c r="T119">
        <f t="shared" ref="T119" si="574">S119/1000</f>
        <v>-3.1528558278289875E-2</v>
      </c>
    </row>
    <row r="120" spans="1:20" x14ac:dyDescent="0.25">
      <c r="A120" s="5">
        <v>44473</v>
      </c>
      <c r="B120">
        <v>25.45</v>
      </c>
      <c r="C120">
        <v>25.75</v>
      </c>
      <c r="D120">
        <v>24.41</v>
      </c>
      <c r="E120">
        <v>25.13</v>
      </c>
      <c r="F120">
        <v>61949.21</v>
      </c>
      <c r="G120">
        <v>25.13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7.4626865671640202E-2</v>
      </c>
      <c r="Q120">
        <f t="shared" ref="Q120" si="576">F120*P120</f>
        <v>4623.0753731342302</v>
      </c>
      <c r="R120">
        <f t="shared" ref="R120" si="577">R121+Q120</f>
        <v>-3119504.2926938529</v>
      </c>
      <c r="S120">
        <f t="shared" ref="S120" si="578">R120/100000</f>
        <v>-31.19504292693853</v>
      </c>
      <c r="T120">
        <f t="shared" ref="T120" si="579">S120/1000</f>
        <v>-3.1195042926938529E-2</v>
      </c>
    </row>
    <row r="121" spans="1:20" x14ac:dyDescent="0.25">
      <c r="A121" s="5">
        <v>44472</v>
      </c>
      <c r="B121">
        <v>25.82</v>
      </c>
      <c r="C121">
        <v>25.95</v>
      </c>
      <c r="D121">
        <v>24.84</v>
      </c>
      <c r="E121">
        <v>25.16</v>
      </c>
      <c r="F121">
        <v>53474.19</v>
      </c>
      <c r="G121">
        <v>25.16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-0.4234234234234226</v>
      </c>
      <c r="Q121">
        <f t="shared" ref="Q121" si="581">F121*P121</f>
        <v>-22642.224594594551</v>
      </c>
      <c r="R121">
        <f t="shared" ref="R121" si="582">R122+Q121</f>
        <v>-3124127.368066987</v>
      </c>
      <c r="S121">
        <f t="shared" ref="S121" si="583">R121/100000</f>
        <v>-31.24127368066987</v>
      </c>
      <c r="T121">
        <f t="shared" ref="T121" si="584">S121/1000</f>
        <v>-3.1241273680669871E-2</v>
      </c>
    </row>
    <row r="122" spans="1:20" x14ac:dyDescent="0.25">
      <c r="A122" s="5">
        <v>44471</v>
      </c>
      <c r="B122">
        <v>25.25</v>
      </c>
      <c r="C122">
        <v>26.53</v>
      </c>
      <c r="D122">
        <v>25.07</v>
      </c>
      <c r="E122">
        <v>25.78</v>
      </c>
      <c r="F122">
        <v>85481.59</v>
      </c>
      <c r="G122">
        <v>25.78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-2.7397260273972001E-2</v>
      </c>
      <c r="Q122">
        <f t="shared" ref="Q122" si="586">F122*P122</f>
        <v>-2341.9613698629623</v>
      </c>
      <c r="R122">
        <f t="shared" ref="R122" si="587">R123+Q122</f>
        <v>-3101485.1434723926</v>
      </c>
      <c r="S122">
        <f t="shared" ref="S122" si="588">R122/100000</f>
        <v>-31.014851434723926</v>
      </c>
      <c r="T122">
        <f t="shared" ref="T122" si="589">S122/1000</f>
        <v>-3.1014851434723927E-2</v>
      </c>
    </row>
    <row r="123" spans="1:20" x14ac:dyDescent="0.25">
      <c r="A123" s="5">
        <v>44470</v>
      </c>
      <c r="B123">
        <v>23.66</v>
      </c>
      <c r="C123">
        <v>25.76</v>
      </c>
      <c r="D123">
        <v>23.5</v>
      </c>
      <c r="E123">
        <v>25.19</v>
      </c>
      <c r="F123">
        <v>160767.93</v>
      </c>
      <c r="G123">
        <v>25.19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0.49557522123893816</v>
      </c>
      <c r="Q123">
        <f t="shared" ref="Q123" si="591">F123*P123</f>
        <v>79672.60247787612</v>
      </c>
      <c r="R123">
        <f t="shared" ref="R123" si="592">R124+Q123</f>
        <v>-3099143.1821025298</v>
      </c>
      <c r="S123">
        <f t="shared" ref="S123" si="593">R123/100000</f>
        <v>-30.991431821025298</v>
      </c>
      <c r="T123">
        <f t="shared" ref="T123" si="594">S123/1000</f>
        <v>-3.0991431821025296E-2</v>
      </c>
    </row>
    <row r="124" spans="1:20" x14ac:dyDescent="0.25">
      <c r="A124" s="5">
        <v>44469</v>
      </c>
      <c r="B124">
        <v>24.32</v>
      </c>
      <c r="C124">
        <v>25.3</v>
      </c>
      <c r="D124">
        <v>23.37</v>
      </c>
      <c r="E124">
        <v>23.7</v>
      </c>
      <c r="F124">
        <v>140806.39999999999</v>
      </c>
      <c r="G124">
        <v>23.7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-0.65803108808290323</v>
      </c>
      <c r="Q124">
        <f t="shared" ref="Q124" si="596">F124*P124</f>
        <v>-92654.988601036501</v>
      </c>
      <c r="R124">
        <f t="shared" ref="R124" si="597">R125+Q124</f>
        <v>-3178815.7845804058</v>
      </c>
      <c r="S124">
        <f t="shared" ref="S124" si="598">R124/100000</f>
        <v>-31.788157845804058</v>
      </c>
      <c r="T124">
        <f t="shared" ref="T124" si="599">S124/1000</f>
        <v>-3.1788157845804056E-2</v>
      </c>
    </row>
    <row r="125" spans="1:20" x14ac:dyDescent="0.25">
      <c r="A125" s="5">
        <v>44468</v>
      </c>
      <c r="B125">
        <v>26.19</v>
      </c>
      <c r="C125">
        <v>28.24</v>
      </c>
      <c r="D125">
        <v>23.86</v>
      </c>
      <c r="E125">
        <v>24.3</v>
      </c>
      <c r="F125">
        <v>436149.21</v>
      </c>
      <c r="G125">
        <v>24.3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-0.79908675799086692</v>
      </c>
      <c r="Q125">
        <f t="shared" ref="Q125" si="601">F125*P125</f>
        <v>-348521.05821917782</v>
      </c>
      <c r="R125">
        <f t="shared" ref="R125" si="602">R126+Q125</f>
        <v>-3086160.7959793694</v>
      </c>
      <c r="S125">
        <f t="shared" ref="S125" si="603">R125/100000</f>
        <v>-30.861607959793695</v>
      </c>
      <c r="T125">
        <f t="shared" ref="T125" si="604">S125/1000</f>
        <v>-3.0861607959793695E-2</v>
      </c>
    </row>
    <row r="126" spans="1:20" x14ac:dyDescent="0.25">
      <c r="A126" s="5">
        <v>44467</v>
      </c>
      <c r="B126">
        <v>22.24</v>
      </c>
      <c r="C126">
        <v>30.07</v>
      </c>
      <c r="D126">
        <v>21.8</v>
      </c>
      <c r="E126">
        <v>26.18</v>
      </c>
      <c r="F126">
        <v>1018734.8</v>
      </c>
      <c r="G126">
        <v>26.18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5.9250302297460512E-2</v>
      </c>
      <c r="Q126">
        <f t="shared" ref="Q126" si="606">F126*P126</f>
        <v>60360.344860942976</v>
      </c>
      <c r="R126">
        <f t="shared" ref="R126" si="607">R127+Q126</f>
        <v>-2737639.7377601918</v>
      </c>
      <c r="S126">
        <f t="shared" ref="S126" si="608">R126/100000</f>
        <v>-27.376397377601918</v>
      </c>
      <c r="T126">
        <f t="shared" ref="T126" si="609">S126/1000</f>
        <v>-2.7376397377601919E-2</v>
      </c>
    </row>
    <row r="127" spans="1:20" x14ac:dyDescent="0.25">
      <c r="A127" s="5">
        <v>44466</v>
      </c>
      <c r="B127">
        <v>23.06</v>
      </c>
      <c r="C127">
        <v>24.5</v>
      </c>
      <c r="D127">
        <v>22.02</v>
      </c>
      <c r="E127">
        <v>22.26</v>
      </c>
      <c r="F127">
        <v>106146.87</v>
      </c>
      <c r="G127">
        <v>22.26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-0.8064516129032242</v>
      </c>
      <c r="Q127">
        <f t="shared" ref="Q127" si="611">F127*P127</f>
        <v>-85602.314516128856</v>
      </c>
      <c r="R127">
        <f t="shared" ref="R127" si="612">R128+Q127</f>
        <v>-2798000.0826211348</v>
      </c>
      <c r="S127">
        <f t="shared" ref="S127" si="613">R127/100000</f>
        <v>-27.980000826211349</v>
      </c>
      <c r="T127">
        <f t="shared" ref="T127" si="614">S127/1000</f>
        <v>-2.7980000826211347E-2</v>
      </c>
    </row>
    <row r="128" spans="1:20" x14ac:dyDescent="0.25">
      <c r="A128" s="5">
        <v>44465</v>
      </c>
      <c r="B128">
        <v>24.1</v>
      </c>
      <c r="C128">
        <v>25.24</v>
      </c>
      <c r="D128">
        <v>22.76</v>
      </c>
      <c r="E128">
        <v>23.05</v>
      </c>
      <c r="F128">
        <v>189962.37</v>
      </c>
      <c r="G128">
        <v>23.05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-0.76612903225806495</v>
      </c>
      <c r="Q128">
        <f t="shared" ref="Q128" si="616">F128*P128</f>
        <v>-145535.68669354846</v>
      </c>
      <c r="R128">
        <f t="shared" ref="R128" si="617">R129+Q128</f>
        <v>-2712397.7681050058</v>
      </c>
      <c r="S128">
        <f t="shared" ref="S128" si="618">R128/100000</f>
        <v>-27.123977681050057</v>
      </c>
      <c r="T128">
        <f t="shared" ref="T128" si="619">S128/1000</f>
        <v>-2.7123977681050057E-2</v>
      </c>
    </row>
    <row r="129" spans="1:20" x14ac:dyDescent="0.25">
      <c r="A129" s="5">
        <v>44464</v>
      </c>
      <c r="B129">
        <v>22.37</v>
      </c>
      <c r="C129">
        <v>25.3</v>
      </c>
      <c r="D129">
        <v>22.03</v>
      </c>
      <c r="E129">
        <v>24.1</v>
      </c>
      <c r="F129">
        <v>245832.41</v>
      </c>
      <c r="G129">
        <v>24.1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0.26605504587155998</v>
      </c>
      <c r="Q129">
        <f t="shared" ref="Q129" si="621">F129*P129</f>
        <v>65404.953119266138</v>
      </c>
      <c r="R129">
        <f t="shared" ref="R129" si="622">R130+Q129</f>
        <v>-2566862.0814114572</v>
      </c>
      <c r="S129">
        <f t="shared" ref="S129" si="623">R129/100000</f>
        <v>-25.668620814114572</v>
      </c>
      <c r="T129">
        <f t="shared" ref="T129" si="624">S129/1000</f>
        <v>-2.5668620814114571E-2</v>
      </c>
    </row>
    <row r="130" spans="1:20" x14ac:dyDescent="0.25">
      <c r="A130" s="5">
        <v>44463</v>
      </c>
      <c r="B130">
        <v>23.55</v>
      </c>
      <c r="C130">
        <v>24.11</v>
      </c>
      <c r="D130">
        <v>21.47</v>
      </c>
      <c r="E130">
        <v>22.31</v>
      </c>
      <c r="F130">
        <v>105707.6</v>
      </c>
      <c r="G130">
        <v>22.31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-0.36363636363636387</v>
      </c>
      <c r="Q130">
        <f t="shared" ref="Q130" si="626">F130*P130</f>
        <v>-38439.127272727303</v>
      </c>
      <c r="R130">
        <f t="shared" ref="R130" si="627">R131+Q130</f>
        <v>-2632267.0345307235</v>
      </c>
      <c r="S130">
        <f t="shared" ref="S130" si="628">R130/100000</f>
        <v>-26.322670345307234</v>
      </c>
      <c r="T130">
        <f t="shared" ref="T130" si="629">S130/1000</f>
        <v>-2.6322670345307234E-2</v>
      </c>
    </row>
    <row r="131" spans="1:20" x14ac:dyDescent="0.25">
      <c r="A131" s="5">
        <v>44462</v>
      </c>
      <c r="B131">
        <v>23.02</v>
      </c>
      <c r="C131">
        <v>24.4</v>
      </c>
      <c r="D131">
        <v>22.83</v>
      </c>
      <c r="E131">
        <v>23.54</v>
      </c>
      <c r="F131">
        <v>158619.93</v>
      </c>
      <c r="G131">
        <v>23.54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-9.5541401273884427E-2</v>
      </c>
      <c r="Q131">
        <f t="shared" ref="Q131" si="631">F131*P131</f>
        <v>-15154.770382165458</v>
      </c>
      <c r="R131">
        <f t="shared" ref="R131" si="632">R132+Q131</f>
        <v>-2593827.907257996</v>
      </c>
      <c r="S131">
        <f t="shared" ref="S131" si="633">R131/100000</f>
        <v>-25.938279072579959</v>
      </c>
      <c r="T131">
        <f t="shared" ref="T131" si="634">S131/1000</f>
        <v>-2.5938279072579961E-2</v>
      </c>
    </row>
    <row r="132" spans="1:20" x14ac:dyDescent="0.25">
      <c r="A132" s="5">
        <v>44461</v>
      </c>
      <c r="B132">
        <v>21.65</v>
      </c>
      <c r="C132">
        <v>23.48</v>
      </c>
      <c r="D132">
        <v>21.51</v>
      </c>
      <c r="E132">
        <v>23.03</v>
      </c>
      <c r="F132">
        <v>236848.2</v>
      </c>
      <c r="G132">
        <v>23.03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0.54314720812182782</v>
      </c>
      <c r="Q132">
        <f t="shared" ref="Q132" si="636">F132*P132</f>
        <v>128643.4385786803</v>
      </c>
      <c r="R132">
        <f t="shared" ref="R132" si="637">R133+Q132</f>
        <v>-2578673.1368758306</v>
      </c>
      <c r="S132">
        <f t="shared" ref="S132" si="638">R132/100000</f>
        <v>-25.786731368758307</v>
      </c>
      <c r="T132">
        <f t="shared" ref="T132" si="639">S132/1000</f>
        <v>-2.5786731368758305E-2</v>
      </c>
    </row>
    <row r="133" spans="1:20" x14ac:dyDescent="0.25">
      <c r="A133" s="5">
        <v>44460</v>
      </c>
      <c r="B133">
        <v>22.31</v>
      </c>
      <c r="C133">
        <v>24.29</v>
      </c>
      <c r="D133">
        <v>21.42</v>
      </c>
      <c r="E133">
        <v>21.62</v>
      </c>
      <c r="F133">
        <v>280967.95</v>
      </c>
      <c r="G133">
        <v>21.62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-0.8606271777003488</v>
      </c>
      <c r="Q133">
        <f t="shared" ref="Q133" si="641">F133*P133</f>
        <v>-241808.65383275272</v>
      </c>
      <c r="R133">
        <f t="shared" ref="R133" si="642">R134+Q133</f>
        <v>-2707316.5754545107</v>
      </c>
      <c r="S133">
        <f t="shared" ref="S133" si="643">R133/100000</f>
        <v>-27.073165754545109</v>
      </c>
      <c r="T133">
        <f t="shared" ref="T133" si="644">S133/1000</f>
        <v>-2.707316575454511E-2</v>
      </c>
    </row>
    <row r="134" spans="1:20" x14ac:dyDescent="0.25">
      <c r="A134" s="5">
        <v>44459</v>
      </c>
      <c r="B134">
        <v>25.25</v>
      </c>
      <c r="C134">
        <v>25.26</v>
      </c>
      <c r="D134">
        <v>22.75</v>
      </c>
      <c r="E134">
        <v>22.86</v>
      </c>
      <c r="F134">
        <v>341036.46</v>
      </c>
      <c r="G134">
        <v>22.86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-0.91235059760956227</v>
      </c>
      <c r="Q134">
        <f t="shared" ref="Q134" si="646">F134*P134</f>
        <v>-311144.81808764959</v>
      </c>
      <c r="R134">
        <f t="shared" ref="R134" si="647">R135+Q134</f>
        <v>-2465507.921621758</v>
      </c>
      <c r="S134">
        <f t="shared" ref="S134" si="648">R134/100000</f>
        <v>-24.65507921621758</v>
      </c>
      <c r="T134">
        <f t="shared" ref="T134" si="649">S134/1000</f>
        <v>-2.4655079216217578E-2</v>
      </c>
    </row>
    <row r="135" spans="1:20" x14ac:dyDescent="0.25">
      <c r="A135" s="5">
        <v>44458</v>
      </c>
      <c r="B135">
        <v>25.86</v>
      </c>
      <c r="C135">
        <v>26.55</v>
      </c>
      <c r="D135">
        <v>24.95</v>
      </c>
      <c r="E135">
        <v>25.23</v>
      </c>
      <c r="F135">
        <v>291576.49</v>
      </c>
      <c r="G135">
        <v>25.23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-0.64999999999999891</v>
      </c>
      <c r="Q135">
        <f t="shared" ref="Q135" si="651">F135*P135</f>
        <v>-189524.71849999967</v>
      </c>
      <c r="R135">
        <f t="shared" ref="R135" si="652">R136+Q135</f>
        <v>-2154363.1035341085</v>
      </c>
      <c r="S135">
        <f t="shared" ref="S135" si="653">R135/100000</f>
        <v>-21.543631035341086</v>
      </c>
      <c r="T135">
        <f t="shared" ref="T135" si="654">S135/1000</f>
        <v>-2.1543631035341085E-2</v>
      </c>
    </row>
    <row r="136" spans="1:20" x14ac:dyDescent="0.25">
      <c r="A136" s="5">
        <v>44457</v>
      </c>
      <c r="B136">
        <v>24.53</v>
      </c>
      <c r="C136">
        <v>27.06</v>
      </c>
      <c r="D136">
        <v>24.2</v>
      </c>
      <c r="E136">
        <v>25.85</v>
      </c>
      <c r="F136">
        <v>264846.61</v>
      </c>
      <c r="G136">
        <v>25.85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0.15384615384615558</v>
      </c>
      <c r="Q136">
        <f t="shared" ref="Q136" si="656">F136*P136</f>
        <v>40745.632307692766</v>
      </c>
      <c r="R136">
        <f t="shared" ref="R136" si="657">R137+Q136</f>
        <v>-1964838.385034109</v>
      </c>
      <c r="S136">
        <f t="shared" ref="S136" si="658">R136/100000</f>
        <v>-19.648383850341091</v>
      </c>
      <c r="T136">
        <f t="shared" ref="T136" si="659">S136/1000</f>
        <v>-1.9648383850341091E-2</v>
      </c>
    </row>
    <row r="137" spans="1:20" x14ac:dyDescent="0.25">
      <c r="A137" s="5">
        <v>44456</v>
      </c>
      <c r="B137">
        <v>25.2</v>
      </c>
      <c r="C137">
        <v>26.2</v>
      </c>
      <c r="D137">
        <v>24.2</v>
      </c>
      <c r="E137">
        <v>24.52</v>
      </c>
      <c r="F137">
        <v>135023.46</v>
      </c>
      <c r="G137">
        <v>24.52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-0.67999999999999972</v>
      </c>
      <c r="Q137">
        <f t="shared" ref="Q137" si="661">F137*P137</f>
        <v>-91815.952799999955</v>
      </c>
      <c r="R137">
        <f t="shared" ref="R137" si="662">R138+Q137</f>
        <v>-2005584.0173418017</v>
      </c>
      <c r="S137">
        <f t="shared" ref="S137" si="663">R137/100000</f>
        <v>-20.055840173418016</v>
      </c>
      <c r="T137">
        <f t="shared" ref="T137" si="664">S137/1000</f>
        <v>-2.0055840173418014E-2</v>
      </c>
    </row>
    <row r="138" spans="1:20" x14ac:dyDescent="0.25">
      <c r="A138" s="5">
        <v>44455</v>
      </c>
      <c r="B138">
        <v>25.95</v>
      </c>
      <c r="C138">
        <v>26.81</v>
      </c>
      <c r="D138">
        <v>25.17</v>
      </c>
      <c r="E138">
        <v>25.2</v>
      </c>
      <c r="F138">
        <v>131700.87</v>
      </c>
      <c r="G138">
        <v>25.2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-0.96341463414634432</v>
      </c>
      <c r="Q138">
        <f t="shared" ref="Q138" si="666">F138*P138</f>
        <v>-126882.54548780526</v>
      </c>
      <c r="R138">
        <f t="shared" ref="R138" si="667">R139+Q138</f>
        <v>-1913768.0645418018</v>
      </c>
      <c r="S138">
        <f t="shared" ref="S138" si="668">R138/100000</f>
        <v>-19.137680645418019</v>
      </c>
      <c r="T138">
        <f t="shared" ref="T138" si="669">S138/1000</f>
        <v>-1.9137680645418018E-2</v>
      </c>
    </row>
    <row r="139" spans="1:20" x14ac:dyDescent="0.25">
      <c r="A139" s="5">
        <v>44454</v>
      </c>
      <c r="B139">
        <v>25.45</v>
      </c>
      <c r="C139">
        <v>26.7</v>
      </c>
      <c r="D139">
        <v>25.25</v>
      </c>
      <c r="E139">
        <v>25.94</v>
      </c>
      <c r="F139">
        <v>157617</v>
      </c>
      <c r="G139">
        <v>25.94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-4.8275862068963289E-2</v>
      </c>
      <c r="Q139">
        <f t="shared" ref="Q139" si="671">F139*P139</f>
        <v>-7609.0965517237864</v>
      </c>
      <c r="R139">
        <f t="shared" ref="R139" si="672">R140+Q139</f>
        <v>-1786885.5190539965</v>
      </c>
      <c r="S139">
        <f t="shared" ref="S139" si="673">R139/100000</f>
        <v>-17.868855190539964</v>
      </c>
      <c r="T139">
        <f t="shared" ref="T139" si="674">S139/1000</f>
        <v>-1.7868855190539965E-2</v>
      </c>
    </row>
    <row r="140" spans="1:20" x14ac:dyDescent="0.25">
      <c r="A140" s="5">
        <v>44453</v>
      </c>
      <c r="B140">
        <v>25.53</v>
      </c>
      <c r="C140">
        <v>25.99</v>
      </c>
      <c r="D140">
        <v>24.37</v>
      </c>
      <c r="E140">
        <v>25.44</v>
      </c>
      <c r="F140">
        <v>170634.11</v>
      </c>
      <c r="G140">
        <v>25.44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0.32098765432099008</v>
      </c>
      <c r="Q140">
        <f t="shared" ref="Q140" si="676">F140*P140</f>
        <v>54771.442716049794</v>
      </c>
      <c r="R140">
        <f t="shared" ref="R140" si="677">R141+Q140</f>
        <v>-1779276.4225022728</v>
      </c>
      <c r="S140">
        <f t="shared" ref="S140" si="678">R140/100000</f>
        <v>-17.792764225022729</v>
      </c>
      <c r="T140">
        <f t="shared" ref="T140" si="679">S140/1000</f>
        <v>-1.7792764225022729E-2</v>
      </c>
    </row>
    <row r="141" spans="1:20" x14ac:dyDescent="0.25">
      <c r="A141" s="5">
        <v>44452</v>
      </c>
      <c r="B141">
        <v>27.01</v>
      </c>
      <c r="C141">
        <v>27.02</v>
      </c>
      <c r="D141">
        <v>24.97</v>
      </c>
      <c r="E141">
        <v>25.51</v>
      </c>
      <c r="F141">
        <v>61773.09</v>
      </c>
      <c r="G141">
        <v>25.51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-0.47317073170731461</v>
      </c>
      <c r="Q141">
        <f t="shared" ref="Q141" si="681">F141*P141</f>
        <v>-29229.218195121797</v>
      </c>
      <c r="R141">
        <f t="shared" ref="R141" si="682">R142+Q141</f>
        <v>-1834047.8652183225</v>
      </c>
      <c r="S141">
        <f t="shared" ref="S141" si="683">R141/100000</f>
        <v>-18.340478652183226</v>
      </c>
      <c r="T141">
        <f t="shared" ref="T141" si="684">S141/1000</f>
        <v>-1.8340478652183224E-2</v>
      </c>
    </row>
    <row r="142" spans="1:20" x14ac:dyDescent="0.25">
      <c r="A142" s="5">
        <v>44451</v>
      </c>
      <c r="B142">
        <v>26.82</v>
      </c>
      <c r="C142">
        <v>27.47</v>
      </c>
      <c r="D142">
        <v>26.19</v>
      </c>
      <c r="E142">
        <v>27.01</v>
      </c>
      <c r="F142">
        <v>39200.54</v>
      </c>
      <c r="G142">
        <v>27.01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0.28125000000000289</v>
      </c>
      <c r="Q142">
        <f t="shared" ref="Q142" si="686">F142*P142</f>
        <v>11025.151875000114</v>
      </c>
      <c r="R142">
        <f t="shared" ref="R142" si="687">R143+Q142</f>
        <v>-1804818.6470232008</v>
      </c>
      <c r="S142">
        <f t="shared" ref="S142" si="688">R142/100000</f>
        <v>-18.048186470232007</v>
      </c>
      <c r="T142">
        <f t="shared" ref="T142" si="689">S142/1000</f>
        <v>-1.8048186470232007E-2</v>
      </c>
    </row>
    <row r="143" spans="1:20" x14ac:dyDescent="0.25">
      <c r="A143" s="5">
        <v>44450</v>
      </c>
      <c r="B143">
        <v>26.7</v>
      </c>
      <c r="C143">
        <v>27.61</v>
      </c>
      <c r="D143">
        <v>26.12</v>
      </c>
      <c r="E143">
        <v>26.82</v>
      </c>
      <c r="F143">
        <v>66143.17</v>
      </c>
      <c r="G143">
        <v>26.82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-6.0402684563758358E-2</v>
      </c>
      <c r="Q143">
        <f t="shared" ref="Q143" si="691">F143*P143</f>
        <v>-3995.2250335570448</v>
      </c>
      <c r="R143">
        <f t="shared" ref="R143" si="692">R144+Q143</f>
        <v>-1815843.798898201</v>
      </c>
      <c r="S143">
        <f t="shared" ref="S143" si="693">R143/100000</f>
        <v>-18.158437988982008</v>
      </c>
      <c r="T143">
        <f t="shared" ref="T143" si="694">S143/1000</f>
        <v>-1.8158437988982007E-2</v>
      </c>
    </row>
    <row r="144" spans="1:20" x14ac:dyDescent="0.25">
      <c r="A144" s="5">
        <v>44449</v>
      </c>
      <c r="B144">
        <v>28.6</v>
      </c>
      <c r="C144">
        <v>29.24</v>
      </c>
      <c r="D144">
        <v>26.4</v>
      </c>
      <c r="E144">
        <v>26.71</v>
      </c>
      <c r="F144">
        <v>68496.639999999999</v>
      </c>
      <c r="G144">
        <v>26.71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-0.78169014084506883</v>
      </c>
      <c r="Q144">
        <f t="shared" ref="Q144" si="696">F144*P144</f>
        <v>-53543.148169013977</v>
      </c>
      <c r="R144">
        <f t="shared" ref="R144" si="697">R145+Q144</f>
        <v>-1811848.5738646439</v>
      </c>
      <c r="S144">
        <f t="shared" ref="S144" si="698">R144/100000</f>
        <v>-18.118485738646438</v>
      </c>
      <c r="T144">
        <f t="shared" ref="T144" si="699">S144/1000</f>
        <v>-1.8118485738646439E-2</v>
      </c>
    </row>
    <row r="145" spans="1:20" x14ac:dyDescent="0.25">
      <c r="A145" s="5">
        <v>44448</v>
      </c>
      <c r="B145">
        <v>29.12</v>
      </c>
      <c r="C145">
        <v>30.95</v>
      </c>
      <c r="D145">
        <v>28.04</v>
      </c>
      <c r="E145">
        <v>28.62</v>
      </c>
      <c r="F145">
        <v>348795.33</v>
      </c>
      <c r="G145">
        <v>28.62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-0.60137457044673415</v>
      </c>
      <c r="Q145">
        <f t="shared" ref="Q145" si="701">F145*P145</f>
        <v>-209756.64175257689</v>
      </c>
      <c r="R145">
        <f t="shared" ref="R145" si="702">R146+Q145</f>
        <v>-1758305.42569563</v>
      </c>
      <c r="S145">
        <f t="shared" ref="S145" si="703">R145/100000</f>
        <v>-17.583054256956299</v>
      </c>
      <c r="T145">
        <f t="shared" ref="T145" si="704">S145/1000</f>
        <v>-1.7583054256956297E-2</v>
      </c>
    </row>
    <row r="146" spans="1:20" x14ac:dyDescent="0.25">
      <c r="A146" s="5">
        <v>44447</v>
      </c>
      <c r="B146">
        <v>27.26</v>
      </c>
      <c r="C146">
        <v>36.159999999999997</v>
      </c>
      <c r="D146">
        <v>25.18</v>
      </c>
      <c r="E146">
        <v>29.1</v>
      </c>
      <c r="F146">
        <v>508851.03</v>
      </c>
      <c r="G146">
        <v>29.1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-0.28597449908925265</v>
      </c>
      <c r="Q146">
        <f t="shared" ref="Q146" si="706">F146*P146</f>
        <v>-145518.41841530029</v>
      </c>
      <c r="R146">
        <f t="shared" ref="R146" si="707">R147+Q146</f>
        <v>-1548548.7839430531</v>
      </c>
      <c r="S146">
        <f t="shared" ref="S146" si="708">R146/100000</f>
        <v>-15.485487839430531</v>
      </c>
      <c r="T146">
        <f t="shared" ref="T146" si="709">S146/1000</f>
        <v>-1.5485487839430531E-2</v>
      </c>
    </row>
    <row r="147" spans="1:20" x14ac:dyDescent="0.25">
      <c r="A147" s="5">
        <v>44446</v>
      </c>
      <c r="B147">
        <v>30.42</v>
      </c>
      <c r="C147">
        <v>30.67</v>
      </c>
      <c r="D147">
        <v>24.66</v>
      </c>
      <c r="E147">
        <v>27.21</v>
      </c>
      <c r="F147">
        <v>115391.92</v>
      </c>
      <c r="G147">
        <v>27.21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-0.15141430948419299</v>
      </c>
      <c r="Q147">
        <f t="shared" ref="Q147" si="711">F147*P147</f>
        <v>-17471.987886855237</v>
      </c>
      <c r="R147">
        <f t="shared" ref="R147" si="712">R148+Q147</f>
        <v>-1403030.3655277528</v>
      </c>
      <c r="S147">
        <f t="shared" ref="S147" si="713">R147/100000</f>
        <v>-14.030303655277528</v>
      </c>
      <c r="T147">
        <f t="shared" ref="T147" si="714">S147/1000</f>
        <v>-1.4030303655277528E-2</v>
      </c>
    </row>
    <row r="148" spans="1:20" x14ac:dyDescent="0.25">
      <c r="A148" s="5">
        <v>44445</v>
      </c>
      <c r="B148">
        <v>29.48</v>
      </c>
      <c r="C148">
        <v>31.5</v>
      </c>
      <c r="D148">
        <v>29.44</v>
      </c>
      <c r="E148">
        <v>30.44</v>
      </c>
      <c r="F148">
        <v>105653.6</v>
      </c>
      <c r="G148">
        <v>30.44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-2.9126213592232407E-2</v>
      </c>
      <c r="Q148">
        <f t="shared" ref="Q148" si="716">F148*P148</f>
        <v>-3077.2893203882859</v>
      </c>
      <c r="R148">
        <f t="shared" ref="R148" si="717">R149+Q148</f>
        <v>-1385558.3776408976</v>
      </c>
      <c r="S148">
        <f t="shared" ref="S148" si="718">R148/100000</f>
        <v>-13.855583776408976</v>
      </c>
      <c r="T148">
        <f t="shared" ref="T148" si="719">S148/1000</f>
        <v>-1.3855583776408975E-2</v>
      </c>
    </row>
    <row r="149" spans="1:20" x14ac:dyDescent="0.25">
      <c r="A149" s="5">
        <v>44444</v>
      </c>
      <c r="B149">
        <v>29.1</v>
      </c>
      <c r="C149">
        <v>29.66</v>
      </c>
      <c r="D149">
        <v>28.75</v>
      </c>
      <c r="E149">
        <v>29.48</v>
      </c>
      <c r="F149">
        <v>44426.68</v>
      </c>
      <c r="G149">
        <v>29.48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0.60439560439560513</v>
      </c>
      <c r="Q149">
        <f t="shared" ref="Q149" si="721">F149*P149</f>
        <v>26851.290109890142</v>
      </c>
      <c r="R149">
        <f t="shared" ref="R149" si="722">R150+Q149</f>
        <v>-1382481.0883205093</v>
      </c>
      <c r="S149">
        <f t="shared" ref="S149" si="723">R149/100000</f>
        <v>-13.824810883205092</v>
      </c>
      <c r="T149">
        <f t="shared" ref="T149" si="724">S149/1000</f>
        <v>-1.3824810883205092E-2</v>
      </c>
    </row>
    <row r="150" spans="1:20" x14ac:dyDescent="0.25">
      <c r="A150" s="5">
        <v>44443</v>
      </c>
      <c r="B150">
        <v>29.9</v>
      </c>
      <c r="C150">
        <v>30.03</v>
      </c>
      <c r="D150">
        <v>28.84</v>
      </c>
      <c r="E150">
        <v>29.04</v>
      </c>
      <c r="F150">
        <v>58092.76</v>
      </c>
      <c r="G150">
        <v>29.04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-0.66386554621848892</v>
      </c>
      <c r="Q150">
        <f t="shared" ref="Q150" si="726">F150*P150</f>
        <v>-38565.781848739585</v>
      </c>
      <c r="R150">
        <f t="shared" ref="R150" si="727">R151+Q150</f>
        <v>-1409332.3784303993</v>
      </c>
      <c r="S150">
        <f t="shared" ref="S150" si="728">R150/100000</f>
        <v>-14.093323784303994</v>
      </c>
      <c r="T150">
        <f t="shared" ref="T150" si="729">S150/1000</f>
        <v>-1.4093323784303995E-2</v>
      </c>
    </row>
    <row r="151" spans="1:20" x14ac:dyDescent="0.25">
      <c r="A151" s="5">
        <v>44442</v>
      </c>
      <c r="B151">
        <v>27.72</v>
      </c>
      <c r="C151">
        <v>31.68</v>
      </c>
      <c r="D151">
        <v>27.54</v>
      </c>
      <c r="E151">
        <v>29.9</v>
      </c>
      <c r="F151">
        <v>256547.46</v>
      </c>
      <c r="G151">
        <v>29.9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0.14009661835748749</v>
      </c>
      <c r="Q151">
        <f t="shared" ref="Q151" si="731">F151*P151</f>
        <v>35941.43159420279</v>
      </c>
      <c r="R151">
        <f t="shared" ref="R151" si="732">R152+Q151</f>
        <v>-1370766.5965816597</v>
      </c>
      <c r="S151">
        <f t="shared" ref="S151" si="733">R151/100000</f>
        <v>-13.707665965816597</v>
      </c>
      <c r="T151">
        <f t="shared" ref="T151" si="734">S151/1000</f>
        <v>-1.3707665965816598E-2</v>
      </c>
    </row>
    <row r="152" spans="1:20" x14ac:dyDescent="0.25">
      <c r="A152" s="5">
        <v>44441</v>
      </c>
      <c r="B152">
        <v>28.21</v>
      </c>
      <c r="C152">
        <v>28.21</v>
      </c>
      <c r="D152">
        <v>27.47</v>
      </c>
      <c r="E152">
        <v>27.73</v>
      </c>
      <c r="F152">
        <v>52880.91</v>
      </c>
      <c r="G152">
        <v>27.73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-0.29729729729729498</v>
      </c>
      <c r="Q152">
        <f t="shared" ref="Q152" si="736">F152*P152</f>
        <v>-15721.351621621499</v>
      </c>
      <c r="R152">
        <f t="shared" ref="R152" si="737">R153+Q152</f>
        <v>-1406708.0281758625</v>
      </c>
      <c r="S152">
        <f t="shared" ref="S152" si="738">R152/100000</f>
        <v>-14.067080281758624</v>
      </c>
      <c r="T152">
        <f t="shared" ref="T152" si="739">S152/1000</f>
        <v>-1.4067080281758624E-2</v>
      </c>
    </row>
    <row r="153" spans="1:20" x14ac:dyDescent="0.25">
      <c r="A153" s="5">
        <v>44440</v>
      </c>
      <c r="B153">
        <v>27.07</v>
      </c>
      <c r="C153">
        <v>28.24</v>
      </c>
      <c r="D153">
        <v>26.9</v>
      </c>
      <c r="E153">
        <v>28.18</v>
      </c>
      <c r="F153">
        <v>63012.26</v>
      </c>
      <c r="G153">
        <v>28.18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0.9104477611940317</v>
      </c>
      <c r="Q153">
        <f t="shared" ref="Q153" si="741">F153*P153</f>
        <v>57369.371044776235</v>
      </c>
      <c r="R153">
        <f t="shared" ref="R153" si="742">R154+Q153</f>
        <v>-1390986.676554241</v>
      </c>
      <c r="S153">
        <f t="shared" ref="S153" si="743">R153/100000</f>
        <v>-13.909866765542409</v>
      </c>
      <c r="T153">
        <f t="shared" ref="T153" si="744">S153/1000</f>
        <v>-1.3909866765542409E-2</v>
      </c>
    </row>
    <row r="154" spans="1:20" x14ac:dyDescent="0.25">
      <c r="A154" s="5">
        <v>44439</v>
      </c>
      <c r="B154">
        <v>27.9</v>
      </c>
      <c r="C154">
        <v>28.58</v>
      </c>
      <c r="D154">
        <v>26.97</v>
      </c>
      <c r="E154">
        <v>26.98</v>
      </c>
      <c r="F154">
        <v>63833.04</v>
      </c>
      <c r="G154">
        <v>26.98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-0.98757763975155088</v>
      </c>
      <c r="Q154">
        <f t="shared" ref="Q154" si="746">F154*P154</f>
        <v>-63040.082981366337</v>
      </c>
      <c r="R154">
        <f t="shared" ref="R154" si="747">R155+Q154</f>
        <v>-1448356.0475990172</v>
      </c>
      <c r="S154">
        <f t="shared" ref="S154" si="748">R154/100000</f>
        <v>-14.483560475990172</v>
      </c>
      <c r="T154">
        <f t="shared" ref="T154" si="749">S154/1000</f>
        <v>-1.4483560475990172E-2</v>
      </c>
    </row>
    <row r="155" spans="1:20" x14ac:dyDescent="0.25">
      <c r="A155" s="5">
        <v>44438</v>
      </c>
      <c r="B155">
        <v>30.2</v>
      </c>
      <c r="C155">
        <v>30.2</v>
      </c>
      <c r="D155">
        <v>27.67</v>
      </c>
      <c r="E155">
        <v>27.86</v>
      </c>
      <c r="F155">
        <v>64357.51</v>
      </c>
      <c r="G155">
        <v>27.86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-0.84980237154150362</v>
      </c>
      <c r="Q155">
        <f t="shared" ref="Q155" si="751">F155*P155</f>
        <v>-54691.164624506033</v>
      </c>
      <c r="R155">
        <f t="shared" ref="R155" si="752">R156+Q155</f>
        <v>-1385315.9646176507</v>
      </c>
      <c r="S155">
        <f t="shared" ref="S155" si="753">R155/100000</f>
        <v>-13.853159646176508</v>
      </c>
      <c r="T155">
        <f t="shared" ref="T155" si="754">S155/1000</f>
        <v>-1.3853159646176508E-2</v>
      </c>
    </row>
    <row r="156" spans="1:20" x14ac:dyDescent="0.25">
      <c r="A156" s="5">
        <v>44437</v>
      </c>
      <c r="B156">
        <v>30.47</v>
      </c>
      <c r="C156">
        <v>30.94</v>
      </c>
      <c r="D156">
        <v>29.3</v>
      </c>
      <c r="E156">
        <v>30.22</v>
      </c>
      <c r="F156">
        <v>79501.41</v>
      </c>
      <c r="G156">
        <v>30.22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0.12195121951219248</v>
      </c>
      <c r="Q156">
        <f t="shared" ref="Q156" si="756">F156*P156</f>
        <v>9695.2939024388143</v>
      </c>
      <c r="R156">
        <f t="shared" ref="R156" si="757">R157+Q156</f>
        <v>-1330624.7999931446</v>
      </c>
      <c r="S156">
        <f t="shared" ref="S156" si="758">R156/100000</f>
        <v>-13.306247999931445</v>
      </c>
      <c r="T156">
        <f t="shared" ref="T156" si="759">S156/1000</f>
        <v>-1.3306247999931445E-2</v>
      </c>
    </row>
    <row r="157" spans="1:20" x14ac:dyDescent="0.25">
      <c r="A157" s="5">
        <v>44436</v>
      </c>
      <c r="B157">
        <v>32.229999999999997</v>
      </c>
      <c r="C157">
        <v>32.24</v>
      </c>
      <c r="D157">
        <v>30.11</v>
      </c>
      <c r="E157">
        <v>30.45</v>
      </c>
      <c r="F157">
        <v>101968.95</v>
      </c>
      <c r="G157">
        <v>30.45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-0.68075117370892069</v>
      </c>
      <c r="Q157">
        <f t="shared" ref="Q157" si="761">F157*P157</f>
        <v>-69415.482394366249</v>
      </c>
      <c r="R157">
        <f t="shared" ref="R157" si="762">R158+Q157</f>
        <v>-1340320.0938955834</v>
      </c>
      <c r="S157">
        <f t="shared" ref="S157" si="763">R157/100000</f>
        <v>-13.403200938955834</v>
      </c>
      <c r="T157">
        <f t="shared" ref="T157" si="764">S157/1000</f>
        <v>-1.3403200938955834E-2</v>
      </c>
    </row>
    <row r="158" spans="1:20" x14ac:dyDescent="0.25">
      <c r="A158" s="5">
        <v>44435</v>
      </c>
      <c r="B158">
        <v>31.02</v>
      </c>
      <c r="C158">
        <v>32.700000000000003</v>
      </c>
      <c r="D158">
        <v>29.53</v>
      </c>
      <c r="E158">
        <v>32.24</v>
      </c>
      <c r="F158">
        <v>317132.18</v>
      </c>
      <c r="G158">
        <v>32.24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0.70977917981072514</v>
      </c>
      <c r="Q158">
        <f t="shared" ref="Q158" si="766">F158*P158</f>
        <v>225093.81861198726</v>
      </c>
      <c r="R158">
        <f t="shared" ref="R158" si="767">R159+Q158</f>
        <v>-1270904.6115012171</v>
      </c>
      <c r="S158">
        <f t="shared" ref="S158" si="768">R158/100000</f>
        <v>-12.709046115012171</v>
      </c>
      <c r="T158">
        <f t="shared" ref="T158" si="769">S158/1000</f>
        <v>-1.2709046115012172E-2</v>
      </c>
    </row>
    <row r="159" spans="1:20" x14ac:dyDescent="0.25">
      <c r="A159" s="5">
        <v>44434</v>
      </c>
      <c r="B159">
        <v>30.3</v>
      </c>
      <c r="C159">
        <v>37.49</v>
      </c>
      <c r="D159">
        <v>28.6</v>
      </c>
      <c r="E159">
        <v>31.03</v>
      </c>
      <c r="F159">
        <v>641586.32999999996</v>
      </c>
      <c r="G159">
        <v>31.03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-0.45331833520809911</v>
      </c>
      <c r="Q159">
        <f t="shared" ref="Q159" si="771">F159*P159</f>
        <v>-290842.84700787405</v>
      </c>
      <c r="R159">
        <f t="shared" ref="R159" si="772">R160+Q159</f>
        <v>-1495998.4301132043</v>
      </c>
      <c r="S159">
        <f t="shared" ref="S159" si="773">R159/100000</f>
        <v>-14.959984301132042</v>
      </c>
      <c r="T159">
        <f t="shared" ref="T159" si="774">S159/1000</f>
        <v>-1.4959984301132042E-2</v>
      </c>
    </row>
    <row r="160" spans="1:20" x14ac:dyDescent="0.25">
      <c r="A160" s="5">
        <v>44433</v>
      </c>
      <c r="B160">
        <v>31.04</v>
      </c>
      <c r="C160">
        <v>33</v>
      </c>
      <c r="D160">
        <v>28.59</v>
      </c>
      <c r="E160">
        <v>30.31</v>
      </c>
      <c r="F160">
        <v>285902.82</v>
      </c>
      <c r="G160">
        <v>30.31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-0.21995464852607763</v>
      </c>
      <c r="Q160">
        <f t="shared" ref="Q160" si="776">F160*P160</f>
        <v>-62885.654285714438</v>
      </c>
      <c r="R160">
        <f t="shared" ref="R160" si="777">R161+Q160</f>
        <v>-1205155.5831053301</v>
      </c>
      <c r="S160">
        <f t="shared" ref="S160" si="778">R160/100000</f>
        <v>-12.051555831053301</v>
      </c>
      <c r="T160">
        <f t="shared" ref="T160" si="779">S160/1000</f>
        <v>-1.2051555831053301E-2</v>
      </c>
    </row>
    <row r="161" spans="1:20" x14ac:dyDescent="0.25">
      <c r="A161" s="5">
        <v>44432</v>
      </c>
      <c r="B161">
        <v>28.5</v>
      </c>
      <c r="C161">
        <v>33</v>
      </c>
      <c r="D161">
        <v>28.09</v>
      </c>
      <c r="E161">
        <v>30.97</v>
      </c>
      <c r="F161">
        <v>285667.98</v>
      </c>
      <c r="G161">
        <v>30.97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0.17311608961303418</v>
      </c>
      <c r="Q161">
        <f t="shared" ref="Q161" si="781">F161*P161</f>
        <v>49453.723625254454</v>
      </c>
      <c r="R161">
        <f t="shared" ref="R161" si="782">R162+Q161</f>
        <v>-1142269.9288196156</v>
      </c>
      <c r="S161">
        <f t="shared" ref="S161" si="783">R161/100000</f>
        <v>-11.422699288196156</v>
      </c>
      <c r="T161">
        <f t="shared" ref="T161" si="784">S161/1000</f>
        <v>-1.1422699288196156E-2</v>
      </c>
    </row>
    <row r="162" spans="1:20" x14ac:dyDescent="0.25">
      <c r="A162" s="5">
        <v>44431</v>
      </c>
      <c r="B162">
        <v>28.61</v>
      </c>
      <c r="C162">
        <v>29.3</v>
      </c>
      <c r="D162">
        <v>27.97</v>
      </c>
      <c r="E162">
        <v>28.47</v>
      </c>
      <c r="F162">
        <v>83300.320000000007</v>
      </c>
      <c r="G162">
        <v>28.47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-0.24812030075188074</v>
      </c>
      <c r="Q162">
        <f t="shared" ref="Q162" si="786">F162*P162</f>
        <v>-20668.500451127908</v>
      </c>
      <c r="R162">
        <f t="shared" ref="R162" si="787">R163+Q162</f>
        <v>-1191723.65244487</v>
      </c>
      <c r="S162">
        <f t="shared" ref="S162" si="788">R162/100000</f>
        <v>-11.9172365244487</v>
      </c>
      <c r="T162">
        <f t="shared" ref="T162" si="789">S162/1000</f>
        <v>-1.1917236524448701E-2</v>
      </c>
    </row>
    <row r="163" spans="1:20" x14ac:dyDescent="0.25">
      <c r="A163" s="5">
        <v>44430</v>
      </c>
      <c r="B163">
        <v>27.92</v>
      </c>
      <c r="C163">
        <v>28.62</v>
      </c>
      <c r="D163">
        <v>27.88</v>
      </c>
      <c r="E163">
        <v>28.26</v>
      </c>
      <c r="F163">
        <v>9596.3799999999992</v>
      </c>
      <c r="G163">
        <v>28.26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2.7027027027031178E-2</v>
      </c>
      <c r="Q163">
        <f t="shared" ref="Q163" si="791">F163*P163</f>
        <v>259.36162162166141</v>
      </c>
      <c r="R163">
        <f t="shared" ref="R163" si="792">R164+Q163</f>
        <v>-1171055.151993742</v>
      </c>
      <c r="S163">
        <f t="shared" ref="S163" si="793">R163/100000</f>
        <v>-11.71055151993742</v>
      </c>
      <c r="T163">
        <f t="shared" ref="T163" si="794">S163/1000</f>
        <v>-1.1710551519937419E-2</v>
      </c>
    </row>
    <row r="164" spans="1:20" x14ac:dyDescent="0.25">
      <c r="A164" s="5">
        <v>44429</v>
      </c>
      <c r="B164">
        <v>28.68</v>
      </c>
      <c r="C164">
        <v>29.16</v>
      </c>
      <c r="D164">
        <v>27.9</v>
      </c>
      <c r="E164">
        <v>27.91</v>
      </c>
      <c r="F164">
        <v>89526.21</v>
      </c>
      <c r="G164">
        <v>27.91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-0.98412698412698163</v>
      </c>
      <c r="Q164">
        <f t="shared" ref="Q164" si="796">F164*P164</f>
        <v>-88105.159047618828</v>
      </c>
      <c r="R164">
        <f t="shared" ref="R164" si="797">R165+Q164</f>
        <v>-1171314.5136153637</v>
      </c>
      <c r="S164">
        <f t="shared" ref="S164" si="798">R164/100000</f>
        <v>-11.713145136153637</v>
      </c>
      <c r="T164">
        <f t="shared" ref="T164" si="799">S164/1000</f>
        <v>-1.1713145136153636E-2</v>
      </c>
    </row>
    <row r="165" spans="1:20" x14ac:dyDescent="0.25">
      <c r="A165" s="5">
        <v>44428</v>
      </c>
      <c r="B165">
        <v>27.57</v>
      </c>
      <c r="C165">
        <v>29.32</v>
      </c>
      <c r="D165">
        <v>27.4</v>
      </c>
      <c r="E165">
        <v>28.73</v>
      </c>
      <c r="F165">
        <v>109842.21</v>
      </c>
      <c r="G165">
        <v>28.73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0.38541666666666735</v>
      </c>
      <c r="Q165">
        <f t="shared" ref="Q165" si="801">F165*P165</f>
        <v>42335.018437500075</v>
      </c>
      <c r="R165">
        <f t="shared" ref="R165" si="802">R166+Q165</f>
        <v>-1083209.354567745</v>
      </c>
      <c r="S165">
        <f t="shared" ref="S165" si="803">R165/100000</f>
        <v>-10.83209354567745</v>
      </c>
      <c r="T165">
        <f t="shared" ref="T165" si="804">S165/1000</f>
        <v>-1.083209354567745E-2</v>
      </c>
    </row>
    <row r="166" spans="1:20" x14ac:dyDescent="0.25">
      <c r="A166" s="5">
        <v>44427</v>
      </c>
      <c r="B166">
        <v>28.15</v>
      </c>
      <c r="C166">
        <v>28.59</v>
      </c>
      <c r="D166">
        <v>26.72</v>
      </c>
      <c r="E166">
        <v>27.58</v>
      </c>
      <c r="F166">
        <v>80035.64</v>
      </c>
      <c r="G166">
        <v>27.58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-8.0213903743316606E-2</v>
      </c>
      <c r="Q166">
        <f t="shared" ref="Q166" si="806">F166*P166</f>
        <v>-6419.9711229947407</v>
      </c>
      <c r="R166">
        <f t="shared" ref="R166" si="807">R167+Q166</f>
        <v>-1125544.3730052451</v>
      </c>
      <c r="S166">
        <f t="shared" ref="S166" si="808">R166/100000</f>
        <v>-11.255443730052452</v>
      </c>
      <c r="T166">
        <f t="shared" ref="T166" si="809">S166/1000</f>
        <v>-1.1255443730052451E-2</v>
      </c>
    </row>
    <row r="167" spans="1:20" x14ac:dyDescent="0.25">
      <c r="A167" s="5">
        <v>44426</v>
      </c>
      <c r="B167">
        <v>29.48</v>
      </c>
      <c r="C167">
        <v>30.34</v>
      </c>
      <c r="D167">
        <v>27.61</v>
      </c>
      <c r="E167">
        <v>28.15</v>
      </c>
      <c r="F167">
        <v>140949.9</v>
      </c>
      <c r="G167">
        <v>28.15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-0.60439560439560513</v>
      </c>
      <c r="Q167">
        <f t="shared" ref="Q167" si="811">F167*P167</f>
        <v>-85189.500000000102</v>
      </c>
      <c r="R167">
        <f t="shared" ref="R167" si="812">R168+Q167</f>
        <v>-1119124.4018822503</v>
      </c>
      <c r="S167">
        <f t="shared" ref="S167" si="813">R167/100000</f>
        <v>-11.191244018822504</v>
      </c>
      <c r="T167">
        <f t="shared" ref="T167" si="814">S167/1000</f>
        <v>-1.1191244018822504E-2</v>
      </c>
    </row>
    <row r="168" spans="1:20" x14ac:dyDescent="0.25">
      <c r="A168" s="5">
        <v>44425</v>
      </c>
      <c r="B168">
        <v>26.45</v>
      </c>
      <c r="C168">
        <v>32</v>
      </c>
      <c r="D168">
        <v>26.04</v>
      </c>
      <c r="E168">
        <v>29.46</v>
      </c>
      <c r="F168">
        <v>426691.8</v>
      </c>
      <c r="G168">
        <v>29.46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0.14765100671140979</v>
      </c>
      <c r="Q168">
        <f t="shared" ref="Q168" si="816">F168*P168</f>
        <v>63001.473825503526</v>
      </c>
      <c r="R168">
        <f t="shared" ref="R168" si="817">R169+Q168</f>
        <v>-1033934.9018822502</v>
      </c>
      <c r="S168">
        <f t="shared" ref="S168" si="818">R168/100000</f>
        <v>-10.339349018822501</v>
      </c>
      <c r="T168">
        <f t="shared" ref="T168" si="819">S168/1000</f>
        <v>-1.0339349018822502E-2</v>
      </c>
    </row>
    <row r="169" spans="1:20" x14ac:dyDescent="0.25">
      <c r="A169" s="5">
        <v>44424</v>
      </c>
      <c r="B169">
        <v>26.69</v>
      </c>
      <c r="C169">
        <v>28.21</v>
      </c>
      <c r="D169">
        <v>26.39</v>
      </c>
      <c r="E169">
        <v>26.46</v>
      </c>
      <c r="F169">
        <v>110904.15</v>
      </c>
      <c r="G169">
        <v>26.46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-0.9230769230769228</v>
      </c>
      <c r="Q169">
        <f t="shared" ref="Q169" si="821">F169*P169</f>
        <v>-102373.06153846151</v>
      </c>
      <c r="R169">
        <f t="shared" ref="R169" si="822">R170+Q169</f>
        <v>-1096936.3757077537</v>
      </c>
      <c r="S169">
        <f t="shared" ref="S169" si="823">R169/100000</f>
        <v>-10.969363757077536</v>
      </c>
      <c r="T169">
        <f t="shared" ref="T169" si="824">S169/1000</f>
        <v>-1.0969363757077535E-2</v>
      </c>
    </row>
    <row r="170" spans="1:20" x14ac:dyDescent="0.25">
      <c r="A170" s="5">
        <v>44423</v>
      </c>
      <c r="B170">
        <v>26.43</v>
      </c>
      <c r="C170">
        <v>26.93</v>
      </c>
      <c r="D170">
        <v>25.96</v>
      </c>
      <c r="E170">
        <v>26.68</v>
      </c>
      <c r="F170">
        <v>53816.92</v>
      </c>
      <c r="G170">
        <v>26.68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0.48453608247422619</v>
      </c>
      <c r="Q170">
        <f t="shared" ref="Q170" si="826">F170*P170</f>
        <v>26076.239587628832</v>
      </c>
      <c r="R170">
        <f t="shared" ref="R170" si="827">R171+Q170</f>
        <v>-994563.31416929222</v>
      </c>
      <c r="S170">
        <f t="shared" ref="S170" si="828">R170/100000</f>
        <v>-9.9456331416929213</v>
      </c>
      <c r="T170">
        <f t="shared" ref="T170" si="829">S170/1000</f>
        <v>-9.9456331416929219E-3</v>
      </c>
    </row>
    <row r="171" spans="1:20" x14ac:dyDescent="0.25">
      <c r="A171" s="5">
        <v>44422</v>
      </c>
      <c r="B171">
        <v>27.24</v>
      </c>
      <c r="C171">
        <v>27.66</v>
      </c>
      <c r="D171">
        <v>25.77</v>
      </c>
      <c r="E171">
        <v>26.39</v>
      </c>
      <c r="F171">
        <v>82409.91</v>
      </c>
      <c r="G171">
        <v>26.39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-0.34391534391534306</v>
      </c>
      <c r="Q171">
        <f t="shared" ref="Q171" si="831">F171*P171</f>
        <v>-28342.03253968247</v>
      </c>
      <c r="R171">
        <f t="shared" ref="R171" si="832">R172+Q171</f>
        <v>-1020639.5537569211</v>
      </c>
      <c r="S171">
        <f t="shared" ref="S171" si="833">R171/100000</f>
        <v>-10.206395537569211</v>
      </c>
      <c r="T171">
        <f t="shared" ref="T171" si="834">S171/1000</f>
        <v>-1.0206395537569211E-2</v>
      </c>
    </row>
    <row r="172" spans="1:20" x14ac:dyDescent="0.25">
      <c r="A172" s="5">
        <v>44421</v>
      </c>
      <c r="B172">
        <v>25.63</v>
      </c>
      <c r="C172">
        <v>27.34</v>
      </c>
      <c r="D172">
        <v>25.11</v>
      </c>
      <c r="E172">
        <v>27.23</v>
      </c>
      <c r="F172">
        <v>86652.27</v>
      </c>
      <c r="G172">
        <v>27.23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0.90134529147982112</v>
      </c>
      <c r="Q172">
        <f t="shared" ref="Q172" si="836">F172*P172</f>
        <v>78103.615560538165</v>
      </c>
      <c r="R172">
        <f t="shared" ref="R172" si="837">R173+Q172</f>
        <v>-992297.52121723862</v>
      </c>
      <c r="S172">
        <f t="shared" ref="S172" si="838">R172/100000</f>
        <v>-9.9229752121723855</v>
      </c>
      <c r="T172">
        <f t="shared" ref="T172" si="839">S172/1000</f>
        <v>-9.9229752121723861E-3</v>
      </c>
    </row>
    <row r="173" spans="1:20" x14ac:dyDescent="0.25">
      <c r="A173" s="5">
        <v>44420</v>
      </c>
      <c r="B173">
        <v>27.18</v>
      </c>
      <c r="C173">
        <v>28.21</v>
      </c>
      <c r="D173">
        <v>24.1</v>
      </c>
      <c r="E173">
        <v>25.63</v>
      </c>
      <c r="F173">
        <v>109457.49</v>
      </c>
      <c r="G173">
        <v>25.63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-0.2554744525547456</v>
      </c>
      <c r="Q173">
        <f t="shared" ref="Q173" si="841">F173*P173</f>
        <v>-27963.592335766542</v>
      </c>
      <c r="R173">
        <f t="shared" ref="R173" si="842">R174+Q173</f>
        <v>-1070401.1367777768</v>
      </c>
      <c r="S173">
        <f t="shared" ref="S173" si="843">R173/100000</f>
        <v>-10.704011367777767</v>
      </c>
      <c r="T173">
        <f t="shared" ref="T173" si="844">S173/1000</f>
        <v>-1.0704011367777768E-2</v>
      </c>
    </row>
    <row r="174" spans="1:20" x14ac:dyDescent="0.25">
      <c r="A174" s="5">
        <v>44419</v>
      </c>
      <c r="B174">
        <v>26.15</v>
      </c>
      <c r="C174">
        <v>28.26</v>
      </c>
      <c r="D174">
        <v>26</v>
      </c>
      <c r="E174">
        <v>27.18</v>
      </c>
      <c r="F174">
        <v>118074.75</v>
      </c>
      <c r="G174">
        <v>27.18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4.4247787610618497E-2</v>
      </c>
      <c r="Q174">
        <f t="shared" ref="Q174" si="846">F174*P174</f>
        <v>5224.5464601768763</v>
      </c>
      <c r="R174">
        <f t="shared" ref="R174" si="847">R175+Q174</f>
        <v>-1042437.5444420101</v>
      </c>
      <c r="S174">
        <f t="shared" ref="S174" si="848">R174/100000</f>
        <v>-10.424375444420102</v>
      </c>
      <c r="T174">
        <f t="shared" ref="T174" si="849">S174/1000</f>
        <v>-1.0424375444420103E-2</v>
      </c>
    </row>
    <row r="175" spans="1:20" x14ac:dyDescent="0.25">
      <c r="A175" s="5">
        <v>44418</v>
      </c>
      <c r="B175">
        <v>27.15</v>
      </c>
      <c r="C175">
        <v>27.45</v>
      </c>
      <c r="D175">
        <v>25.64</v>
      </c>
      <c r="E175">
        <v>26.13</v>
      </c>
      <c r="F175">
        <v>129270.2</v>
      </c>
      <c r="G175">
        <v>26.13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-0.45856353591160354</v>
      </c>
      <c r="Q175">
        <f t="shared" ref="Q175" si="851">F175*P175</f>
        <v>-59278.600000000173</v>
      </c>
      <c r="R175">
        <f t="shared" ref="R175" si="852">R176+Q175</f>
        <v>-1047662.0909021869</v>
      </c>
      <c r="S175">
        <f t="shared" ref="S175" si="853">R175/100000</f>
        <v>-10.47662090902187</v>
      </c>
      <c r="T175">
        <f t="shared" ref="T175" si="854">S175/1000</f>
        <v>-1.0476620909021871E-2</v>
      </c>
    </row>
    <row r="176" spans="1:20" x14ac:dyDescent="0.25">
      <c r="A176" s="5">
        <v>44417</v>
      </c>
      <c r="B176">
        <v>27.44</v>
      </c>
      <c r="C176">
        <v>28</v>
      </c>
      <c r="D176">
        <v>25.3</v>
      </c>
      <c r="E176">
        <v>27.08</v>
      </c>
      <c r="F176">
        <v>348622.73</v>
      </c>
      <c r="G176">
        <v>27.08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0.31851851851851709</v>
      </c>
      <c r="Q176">
        <f t="shared" ref="Q176" si="856">F176*P176</f>
        <v>111042.79548148098</v>
      </c>
      <c r="R176">
        <f t="shared" ref="R176" si="857">R177+Q176</f>
        <v>-988383.49090218672</v>
      </c>
      <c r="S176">
        <f t="shared" ref="S176" si="858">R176/100000</f>
        <v>-9.8838349090218678</v>
      </c>
      <c r="T176">
        <f t="shared" ref="T176" si="859">S176/1000</f>
        <v>-9.8838349090218675E-3</v>
      </c>
    </row>
    <row r="177" spans="1:20" x14ac:dyDescent="0.25">
      <c r="A177" s="5">
        <v>44416</v>
      </c>
      <c r="B177">
        <v>23.3</v>
      </c>
      <c r="C177">
        <v>33.93</v>
      </c>
      <c r="D177">
        <v>23.2</v>
      </c>
      <c r="E177">
        <v>27.44</v>
      </c>
      <c r="F177">
        <v>1203522.21</v>
      </c>
      <c r="G177">
        <v>27.44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-0.20969245107176107</v>
      </c>
      <c r="Q177">
        <f t="shared" ref="Q177" si="861">F177*P177</f>
        <v>-252369.52213420274</v>
      </c>
      <c r="R177">
        <f t="shared" ref="R177" si="862">R178+Q177</f>
        <v>-1099426.2863836677</v>
      </c>
      <c r="S177">
        <f t="shared" ref="S177" si="863">R177/100000</f>
        <v>-10.994262863836678</v>
      </c>
      <c r="T177">
        <f t="shared" ref="T177" si="864">S177/1000</f>
        <v>-1.0994262863836677E-2</v>
      </c>
    </row>
    <row r="178" spans="1:20" x14ac:dyDescent="0.25">
      <c r="A178" s="5">
        <v>44415</v>
      </c>
      <c r="B178">
        <v>22.36</v>
      </c>
      <c r="C178">
        <v>23.56</v>
      </c>
      <c r="D178">
        <v>21.91</v>
      </c>
      <c r="E178">
        <v>23.3</v>
      </c>
      <c r="F178">
        <v>199290.88</v>
      </c>
      <c r="G178">
        <v>23.3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0.68484848484848704</v>
      </c>
      <c r="Q178">
        <f t="shared" ref="Q178" si="866">F178*P178</f>
        <v>136484.05721212164</v>
      </c>
      <c r="R178">
        <f t="shared" ref="R178" si="867">R179+Q178</f>
        <v>-847056.76424946496</v>
      </c>
      <c r="S178">
        <f t="shared" ref="S178" si="868">R178/100000</f>
        <v>-8.4705676424946503</v>
      </c>
      <c r="T178">
        <f t="shared" ref="T178" si="869">S178/1000</f>
        <v>-8.4705676424946495E-3</v>
      </c>
    </row>
    <row r="179" spans="1:20" x14ac:dyDescent="0.25">
      <c r="A179" s="5">
        <v>44414</v>
      </c>
      <c r="B179">
        <v>21.55</v>
      </c>
      <c r="C179">
        <v>22.89</v>
      </c>
      <c r="D179">
        <v>21.45</v>
      </c>
      <c r="E179">
        <v>22.35</v>
      </c>
      <c r="F179">
        <v>146985.31</v>
      </c>
      <c r="G179">
        <v>22.35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0.25000000000000183</v>
      </c>
      <c r="Q179">
        <f t="shared" ref="Q179" si="871">F179*P179</f>
        <v>36746.327500000269</v>
      </c>
      <c r="R179">
        <f t="shared" ref="R179" si="872">R180+Q179</f>
        <v>-983540.82146158663</v>
      </c>
      <c r="S179">
        <f t="shared" ref="S179" si="873">R179/100000</f>
        <v>-9.8354082146158657</v>
      </c>
      <c r="T179">
        <f t="shared" ref="T179" si="874">S179/1000</f>
        <v>-9.8354082146158654E-3</v>
      </c>
    </row>
    <row r="180" spans="1:20" x14ac:dyDescent="0.25">
      <c r="A180" s="5">
        <v>44413</v>
      </c>
      <c r="B180">
        <v>21.69</v>
      </c>
      <c r="C180">
        <v>23.59</v>
      </c>
      <c r="D180">
        <v>21.26</v>
      </c>
      <c r="E180">
        <v>21.54</v>
      </c>
      <c r="F180">
        <v>149013.99</v>
      </c>
      <c r="G180">
        <v>21.54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-0.75965665236051694</v>
      </c>
      <c r="Q180">
        <f t="shared" ref="Q180" si="876">F180*P180</f>
        <v>-113199.46879828355</v>
      </c>
      <c r="R180">
        <f t="shared" ref="R180" si="877">R181+Q180</f>
        <v>-1020287.1489615869</v>
      </c>
      <c r="S180">
        <f t="shared" ref="S180" si="878">R180/100000</f>
        <v>-10.20287148961587</v>
      </c>
      <c r="T180">
        <f t="shared" ref="T180" si="879">S180/1000</f>
        <v>-1.0202871489615869E-2</v>
      </c>
    </row>
    <row r="181" spans="1:20" x14ac:dyDescent="0.25">
      <c r="A181" s="5">
        <v>44412</v>
      </c>
      <c r="B181">
        <v>20.8</v>
      </c>
      <c r="C181">
        <v>22.1</v>
      </c>
      <c r="D181">
        <v>20.52</v>
      </c>
      <c r="E181">
        <v>21.68</v>
      </c>
      <c r="F181">
        <v>65351.03</v>
      </c>
      <c r="G181">
        <v>21.68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0.46835443037974528</v>
      </c>
      <c r="Q181">
        <f t="shared" ref="Q181" si="881">F181*P181</f>
        <v>30607.444430379644</v>
      </c>
      <c r="R181">
        <f t="shared" ref="R181" si="882">R182+Q181</f>
        <v>-907087.68016330327</v>
      </c>
      <c r="S181">
        <f t="shared" ref="S181" si="883">R181/100000</f>
        <v>-9.0708768016330321</v>
      </c>
      <c r="T181">
        <f t="shared" ref="T181" si="884">S181/1000</f>
        <v>-9.0708768016330328E-3</v>
      </c>
    </row>
    <row r="182" spans="1:20" x14ac:dyDescent="0.25">
      <c r="A182" s="5">
        <v>44411</v>
      </c>
      <c r="B182">
        <v>21.99</v>
      </c>
      <c r="C182">
        <v>21.99</v>
      </c>
      <c r="D182">
        <v>20.7</v>
      </c>
      <c r="E182">
        <v>20.74</v>
      </c>
      <c r="F182">
        <v>68455.3</v>
      </c>
      <c r="G182">
        <v>20.74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-0.93798449612403234</v>
      </c>
      <c r="Q182">
        <f t="shared" ref="Q182" si="886">F182*P182</f>
        <v>-64210.010077519473</v>
      </c>
      <c r="R182">
        <f t="shared" ref="R182" si="887">R183+Q182</f>
        <v>-937695.12459368294</v>
      </c>
      <c r="S182">
        <f t="shared" ref="S182" si="888">R182/100000</f>
        <v>-9.37695124593683</v>
      </c>
      <c r="T182">
        <f t="shared" ref="T182" si="889">S182/1000</f>
        <v>-9.3769512459368296E-3</v>
      </c>
    </row>
    <row r="183" spans="1:20" x14ac:dyDescent="0.25">
      <c r="A183" s="5">
        <v>44410</v>
      </c>
      <c r="B183">
        <v>22.43</v>
      </c>
      <c r="C183">
        <v>23.31</v>
      </c>
      <c r="D183">
        <v>21.65</v>
      </c>
      <c r="E183">
        <v>22.04</v>
      </c>
      <c r="F183">
        <v>68695.539999999994</v>
      </c>
      <c r="G183">
        <v>22.04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-0.53012048192771022</v>
      </c>
      <c r="Q183">
        <f t="shared" ref="Q183" si="891">F183*P183</f>
        <v>-36416.912771084288</v>
      </c>
      <c r="R183">
        <f t="shared" ref="R183" si="892">R184+Q183</f>
        <v>-873485.11451616348</v>
      </c>
      <c r="S183">
        <f t="shared" ref="S183" si="893">R183/100000</f>
        <v>-8.7348511451616346</v>
      </c>
      <c r="T183">
        <f t="shared" ref="T183" si="894">S183/1000</f>
        <v>-8.7348511451616345E-3</v>
      </c>
    </row>
    <row r="184" spans="1:20" x14ac:dyDescent="0.25">
      <c r="A184" s="5">
        <v>44409</v>
      </c>
      <c r="B184">
        <v>22.51</v>
      </c>
      <c r="C184">
        <v>24.98</v>
      </c>
      <c r="D184">
        <v>21.94</v>
      </c>
      <c r="E184">
        <v>22.47</v>
      </c>
      <c r="F184">
        <v>162693.91</v>
      </c>
      <c r="G184">
        <v>22.47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-0.65131578947368574</v>
      </c>
      <c r="Q184">
        <f t="shared" ref="Q184" si="896">F184*P184</f>
        <v>-105965.11243421078</v>
      </c>
      <c r="R184">
        <f t="shared" ref="R184" si="897">R185+Q184</f>
        <v>-837068.20174507913</v>
      </c>
      <c r="S184">
        <f t="shared" ref="S184" si="898">R184/100000</f>
        <v>-8.3706820174507914</v>
      </c>
      <c r="T184">
        <f t="shared" ref="T184" si="899">S184/1000</f>
        <v>-8.3706820174507916E-3</v>
      </c>
    </row>
    <row r="185" spans="1:20" x14ac:dyDescent="0.25">
      <c r="A185" s="5">
        <v>44408</v>
      </c>
      <c r="B185">
        <v>21.18</v>
      </c>
      <c r="C185">
        <v>22.87</v>
      </c>
      <c r="D185">
        <v>21.04</v>
      </c>
      <c r="E185">
        <v>22.55</v>
      </c>
      <c r="F185">
        <v>145150.24</v>
      </c>
      <c r="G185">
        <v>22.55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0.6502732240437159</v>
      </c>
      <c r="Q185">
        <f t="shared" ref="Q185" si="901">F185*P185</f>
        <v>94387.314535519123</v>
      </c>
      <c r="R185">
        <f t="shared" ref="R185" si="902">R186+Q185</f>
        <v>-731103.08931086841</v>
      </c>
      <c r="S185">
        <f t="shared" ref="S185" si="903">R185/100000</f>
        <v>-7.3110308931086845</v>
      </c>
      <c r="T185">
        <f t="shared" ref="T185" si="904">S185/1000</f>
        <v>-7.3110308931086847E-3</v>
      </c>
    </row>
    <row r="186" spans="1:20" x14ac:dyDescent="0.25">
      <c r="A186" s="5">
        <v>44407</v>
      </c>
      <c r="B186">
        <v>20.9</v>
      </c>
      <c r="C186">
        <v>21.88</v>
      </c>
      <c r="D186">
        <v>20.059999999999999</v>
      </c>
      <c r="E186">
        <v>21.15</v>
      </c>
      <c r="F186">
        <v>131857.73000000001</v>
      </c>
      <c r="G186">
        <v>21.15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0.19780219780219746</v>
      </c>
      <c r="Q186">
        <f t="shared" ref="Q186" si="906">F186*P186</f>
        <v>26081.748791208749</v>
      </c>
      <c r="R186">
        <f t="shared" ref="R186" si="907">R187+Q186</f>
        <v>-825490.40384638752</v>
      </c>
      <c r="S186">
        <f t="shared" ref="S186" si="908">R186/100000</f>
        <v>-8.2549040384638754</v>
      </c>
      <c r="T186">
        <f t="shared" ref="T186" si="909">S186/1000</f>
        <v>-8.2549040384638749E-3</v>
      </c>
    </row>
    <row r="187" spans="1:20" x14ac:dyDescent="0.25">
      <c r="A187" s="5">
        <v>44406</v>
      </c>
      <c r="B187">
        <v>20.93</v>
      </c>
      <c r="C187">
        <v>21.26</v>
      </c>
      <c r="D187">
        <v>20.36</v>
      </c>
      <c r="E187">
        <v>20.86</v>
      </c>
      <c r="F187">
        <v>95146.96</v>
      </c>
      <c r="G187">
        <v>20.86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0.11111111111110848</v>
      </c>
      <c r="Q187">
        <f t="shared" ref="Q187" si="911">F187*P187</f>
        <v>10571.884444444195</v>
      </c>
      <c r="R187">
        <f t="shared" ref="R187" si="912">R188+Q187</f>
        <v>-851572.15263759624</v>
      </c>
      <c r="S187">
        <f t="shared" ref="S187" si="913">R187/100000</f>
        <v>-8.5157215263759625</v>
      </c>
      <c r="T187">
        <f t="shared" ref="T187" si="914">S187/1000</f>
        <v>-8.5157215263759623E-3</v>
      </c>
    </row>
    <row r="188" spans="1:20" x14ac:dyDescent="0.25">
      <c r="A188" s="5">
        <v>44405</v>
      </c>
      <c r="B188">
        <v>21.86</v>
      </c>
      <c r="C188">
        <v>21.9</v>
      </c>
      <c r="D188">
        <v>20.66</v>
      </c>
      <c r="E188">
        <v>20.93</v>
      </c>
      <c r="F188">
        <v>50753.52</v>
      </c>
      <c r="G188">
        <v>20.93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-0.56451612903225823</v>
      </c>
      <c r="Q188">
        <f t="shared" ref="Q188" si="916">F188*P188</f>
        <v>-28651.180645161297</v>
      </c>
      <c r="R188">
        <f t="shared" ref="R188" si="917">R189+Q188</f>
        <v>-862144.03708204045</v>
      </c>
      <c r="S188">
        <f t="shared" ref="S188" si="918">R188/100000</f>
        <v>-8.6214403708204053</v>
      </c>
      <c r="T188">
        <f t="shared" ref="T188" si="919">S188/1000</f>
        <v>-8.6214403708204049E-3</v>
      </c>
    </row>
    <row r="189" spans="1:20" x14ac:dyDescent="0.25">
      <c r="A189" s="5">
        <v>44404</v>
      </c>
      <c r="B189">
        <v>21.81</v>
      </c>
      <c r="C189">
        <v>22.31</v>
      </c>
      <c r="D189">
        <v>21.21</v>
      </c>
      <c r="E189">
        <v>21.89</v>
      </c>
      <c r="F189">
        <v>46869.3</v>
      </c>
      <c r="G189">
        <v>21.89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0.23636363636363825</v>
      </c>
      <c r="Q189">
        <f t="shared" ref="Q189" si="921">F189*P189</f>
        <v>11078.19818181827</v>
      </c>
      <c r="R189">
        <f t="shared" ref="R189" si="922">R190+Q189</f>
        <v>-833492.85643687914</v>
      </c>
      <c r="S189">
        <f t="shared" ref="S189" si="923">R189/100000</f>
        <v>-8.3349285643687914</v>
      </c>
      <c r="T189">
        <f t="shared" ref="T189" si="924">S189/1000</f>
        <v>-8.3349285643687914E-3</v>
      </c>
    </row>
    <row r="190" spans="1:20" x14ac:dyDescent="0.25">
      <c r="A190" s="5">
        <v>44403</v>
      </c>
      <c r="B190">
        <v>22.48</v>
      </c>
      <c r="C190">
        <v>23.53</v>
      </c>
      <c r="D190">
        <v>21.51</v>
      </c>
      <c r="E190">
        <v>21.8</v>
      </c>
      <c r="F190">
        <v>132256.6</v>
      </c>
      <c r="G190">
        <v>21.8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-0.71287128712871362</v>
      </c>
      <c r="Q190">
        <f t="shared" ref="Q190" si="926">F190*P190</f>
        <v>-94281.932673267424</v>
      </c>
      <c r="R190">
        <f t="shared" ref="R190" si="927">R191+Q190</f>
        <v>-844571.05461869738</v>
      </c>
      <c r="S190">
        <f t="shared" ref="S190" si="928">R190/100000</f>
        <v>-8.445710546186973</v>
      </c>
      <c r="T190">
        <f t="shared" ref="T190" si="929">S190/1000</f>
        <v>-8.4457105461869728E-3</v>
      </c>
    </row>
    <row r="191" spans="1:20" x14ac:dyDescent="0.25">
      <c r="A191" s="5">
        <v>44402</v>
      </c>
      <c r="B191">
        <v>22.09</v>
      </c>
      <c r="C191">
        <v>23.8</v>
      </c>
      <c r="D191">
        <v>21.79</v>
      </c>
      <c r="E191">
        <v>22.44</v>
      </c>
      <c r="F191">
        <v>99497.52</v>
      </c>
      <c r="G191">
        <v>22.44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-0.35323383084576954</v>
      </c>
      <c r="Q191">
        <f t="shared" ref="Q191" si="931">F191*P191</f>
        <v>-35145.890149253573</v>
      </c>
      <c r="R191">
        <f t="shared" ref="R191" si="932">R192+Q191</f>
        <v>-750289.12194542994</v>
      </c>
      <c r="S191">
        <f t="shared" ref="S191" si="933">R191/100000</f>
        <v>-7.5028912194542992</v>
      </c>
      <c r="T191">
        <f t="shared" ref="T191:T197" si="934">S191/1000</f>
        <v>-7.5028912194542987E-3</v>
      </c>
    </row>
    <row r="192" spans="1:20" x14ac:dyDescent="0.25">
      <c r="A192" s="5">
        <v>44401</v>
      </c>
      <c r="B192">
        <v>22.73</v>
      </c>
      <c r="C192">
        <v>22.99</v>
      </c>
      <c r="D192">
        <v>21.58</v>
      </c>
      <c r="E192">
        <v>22.06</v>
      </c>
      <c r="F192">
        <v>99489.46</v>
      </c>
      <c r="G192">
        <v>22.06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-0.31914893617021223</v>
      </c>
      <c r="Q192">
        <f t="shared" ref="Q192" si="936">F192*P192</f>
        <v>-31751.955319148885</v>
      </c>
      <c r="R192">
        <f t="shared" ref="R192" si="937">R193+Q192</f>
        <v>-715143.23179617641</v>
      </c>
      <c r="S192">
        <f t="shared" ref="S192" si="938">R192/100000</f>
        <v>-7.1514323179617643</v>
      </c>
      <c r="T192">
        <f t="shared" si="934"/>
        <v>-7.1514323179617647E-3</v>
      </c>
    </row>
    <row r="193" spans="1:20" x14ac:dyDescent="0.25">
      <c r="A193" s="5">
        <v>44400</v>
      </c>
      <c r="B193">
        <v>21.08</v>
      </c>
      <c r="C193">
        <v>23.8</v>
      </c>
      <c r="D193">
        <v>20.76</v>
      </c>
      <c r="E193">
        <v>22.71</v>
      </c>
      <c r="F193">
        <v>146828.14000000001</v>
      </c>
      <c r="G193">
        <v>22.71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0.28289473684210514</v>
      </c>
      <c r="Q193">
        <f t="shared" ref="Q193" si="940">F193*P193</f>
        <v>41536.908026315774</v>
      </c>
      <c r="R193">
        <f t="shared" ref="R193" si="941">R194+Q193</f>
        <v>-683391.27647702757</v>
      </c>
      <c r="S193">
        <f t="shared" ref="S193" si="942">R193/100000</f>
        <v>-6.8339127647702753</v>
      </c>
      <c r="T193">
        <f t="shared" si="934"/>
        <v>-6.833912764770275E-3</v>
      </c>
    </row>
    <row r="194" spans="1:20" x14ac:dyDescent="0.25">
      <c r="A194" s="5">
        <v>44399</v>
      </c>
      <c r="B194">
        <v>20.309999999999999</v>
      </c>
      <c r="C194">
        <v>21.73</v>
      </c>
      <c r="D194">
        <v>20.03</v>
      </c>
      <c r="E194">
        <v>21.08</v>
      </c>
      <c r="F194">
        <v>122850.51</v>
      </c>
      <c r="G194">
        <v>21.08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0.23529411764705599</v>
      </c>
      <c r="Q194">
        <f t="shared" ref="Q194" si="944">F194*P194</f>
        <v>28906.002352940828</v>
      </c>
      <c r="R194">
        <f t="shared" ref="R194" si="945">R195+Q194</f>
        <v>-724928.18450334331</v>
      </c>
      <c r="S194">
        <f t="shared" ref="S194" si="946">R194/100000</f>
        <v>-7.2492818450334333</v>
      </c>
      <c r="T194">
        <f t="shared" si="934"/>
        <v>-7.2492818450334336E-3</v>
      </c>
    </row>
    <row r="195" spans="1:20" x14ac:dyDescent="0.25">
      <c r="A195" s="5">
        <v>44398</v>
      </c>
      <c r="B195">
        <v>19.93</v>
      </c>
      <c r="C195">
        <v>21.34</v>
      </c>
      <c r="D195">
        <v>19.68</v>
      </c>
      <c r="E195">
        <v>20.3</v>
      </c>
      <c r="F195">
        <v>120255.91</v>
      </c>
      <c r="G195">
        <v>20.3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-0.25301204819276996</v>
      </c>
      <c r="Q195">
        <f t="shared" ref="Q195" si="948">F195*P195</f>
        <v>-30426.194096385407</v>
      </c>
      <c r="R195">
        <f t="shared" ref="R195" si="949">R196+Q195</f>
        <v>-753834.18685628416</v>
      </c>
      <c r="S195">
        <f t="shared" ref="S195" si="950">R195/100000</f>
        <v>-7.5383418685628412</v>
      </c>
      <c r="T195">
        <f t="shared" si="934"/>
        <v>-7.5383418685628411E-3</v>
      </c>
    </row>
    <row r="196" spans="1:20" x14ac:dyDescent="0.25">
      <c r="A196" s="5">
        <v>44397</v>
      </c>
      <c r="B196">
        <v>20.2</v>
      </c>
      <c r="C196">
        <v>21.45</v>
      </c>
      <c r="D196">
        <v>19.079999999999998</v>
      </c>
      <c r="E196">
        <v>19.84</v>
      </c>
      <c r="F196">
        <v>150542.42000000001</v>
      </c>
      <c r="G196">
        <v>19.84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-0.35864978902953482</v>
      </c>
      <c r="Q196">
        <f t="shared" ref="Q196" si="952">F196*P196</f>
        <v>-53992.007172995625</v>
      </c>
      <c r="R196">
        <f t="shared" ref="R196" si="953">R197+Q196</f>
        <v>-723407.99275989877</v>
      </c>
      <c r="S196">
        <f t="shared" ref="S196" si="954">R196/100000</f>
        <v>-7.2340799275989873</v>
      </c>
      <c r="T196">
        <f t="shared" si="934"/>
        <v>-7.2340799275989872E-3</v>
      </c>
    </row>
    <row r="197" spans="1:20" x14ac:dyDescent="0.25">
      <c r="A197" s="5">
        <v>44396</v>
      </c>
      <c r="B197">
        <v>23.43</v>
      </c>
      <c r="C197">
        <v>25.09</v>
      </c>
      <c r="D197">
        <v>19.95</v>
      </c>
      <c r="E197">
        <v>20.170000000000002</v>
      </c>
      <c r="F197">
        <v>126082.19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-0.91439688715953216</v>
      </c>
      <c r="Q197">
        <f t="shared" ref="Q197" si="956">F197*P197</f>
        <v>-115289.1620622567</v>
      </c>
      <c r="R197">
        <f t="shared" ref="R197" si="957">R198+Q197</f>
        <v>-669415.98558690317</v>
      </c>
      <c r="S197">
        <f t="shared" ref="S197" si="958">R197/100000</f>
        <v>-6.6941598558690316</v>
      </c>
      <c r="T197">
        <f t="shared" si="934"/>
        <v>-6.6941598558690318E-3</v>
      </c>
    </row>
    <row r="198" spans="1:20" x14ac:dyDescent="0.25">
      <c r="A198" s="5">
        <v>44395</v>
      </c>
      <c r="B198">
        <v>22.79</v>
      </c>
      <c r="C198">
        <v>24.7</v>
      </c>
      <c r="D198">
        <v>22.54</v>
      </c>
      <c r="E198">
        <v>23.4</v>
      </c>
      <c r="F198">
        <v>54875.81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-0.20370370370370428</v>
      </c>
      <c r="Q198">
        <f t="shared" ref="Q198:Q261" si="960">F198*P198</f>
        <v>-11178.405740740771</v>
      </c>
      <c r="R198">
        <f t="shared" ref="R198:R261" si="961">R199+Q198</f>
        <v>-554126.82352464646</v>
      </c>
      <c r="S198">
        <f t="shared" ref="S198:S261" si="962">R198/100000</f>
        <v>-5.5412682352464646</v>
      </c>
      <c r="T198">
        <f t="shared" ref="T198:T261" si="963">S198/1000</f>
        <v>-5.5412682352464649E-3</v>
      </c>
    </row>
    <row r="199" spans="1:20" x14ac:dyDescent="0.25">
      <c r="A199" s="5">
        <v>44394</v>
      </c>
      <c r="B199">
        <v>24.13</v>
      </c>
      <c r="C199">
        <v>24.59</v>
      </c>
      <c r="D199">
        <v>22.13</v>
      </c>
      <c r="E199">
        <v>22.8</v>
      </c>
      <c r="F199">
        <v>45950.51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-0.45528455284552727</v>
      </c>
      <c r="Q199">
        <f t="shared" si="960"/>
        <v>-20920.55739837393</v>
      </c>
      <c r="R199">
        <f t="shared" si="961"/>
        <v>-542948.41778390564</v>
      </c>
      <c r="S199">
        <f t="shared" si="962"/>
        <v>-5.4294841778390568</v>
      </c>
      <c r="T199">
        <f t="shared" si="963"/>
        <v>-5.4294841778390569E-3</v>
      </c>
    </row>
    <row r="200" spans="1:20" x14ac:dyDescent="0.25">
      <c r="A200" s="5">
        <v>44393</v>
      </c>
      <c r="B200">
        <v>25.05</v>
      </c>
      <c r="C200">
        <v>25.57</v>
      </c>
      <c r="D200">
        <v>23.5</v>
      </c>
      <c r="E200">
        <v>24.15</v>
      </c>
      <c r="F200">
        <v>60799.74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-0.3719806763285039</v>
      </c>
      <c r="Q200">
        <f t="shared" si="960"/>
        <v>-22616.32840579719</v>
      </c>
      <c r="R200">
        <f t="shared" si="961"/>
        <v>-522027.86038553173</v>
      </c>
      <c r="S200">
        <f t="shared" si="962"/>
        <v>-5.2202786038553173</v>
      </c>
      <c r="T200">
        <f t="shared" si="963"/>
        <v>-5.2202786038553174E-3</v>
      </c>
    </row>
    <row r="201" spans="1:20" x14ac:dyDescent="0.25">
      <c r="A201" s="5">
        <v>44392</v>
      </c>
      <c r="B201">
        <v>26.87</v>
      </c>
      <c r="C201">
        <v>29.02</v>
      </c>
      <c r="D201">
        <v>24.56</v>
      </c>
      <c r="E201">
        <v>25.01</v>
      </c>
      <c r="F201">
        <v>68500.19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-0.79820627802690458</v>
      </c>
      <c r="Q201">
        <f t="shared" si="960"/>
        <v>-54677.281704035791</v>
      </c>
      <c r="R201">
        <f t="shared" si="961"/>
        <v>-499411.53197973454</v>
      </c>
      <c r="S201">
        <f t="shared" si="962"/>
        <v>-4.9941153197973458</v>
      </c>
      <c r="T201">
        <f t="shared" si="963"/>
        <v>-4.9941153197973461E-3</v>
      </c>
    </row>
    <row r="202" spans="1:20" x14ac:dyDescent="0.25">
      <c r="A202" s="5">
        <v>44391</v>
      </c>
      <c r="B202">
        <v>26.77</v>
      </c>
      <c r="C202">
        <v>27.35</v>
      </c>
      <c r="D202">
        <v>25.99</v>
      </c>
      <c r="E202">
        <v>26.9</v>
      </c>
      <c r="F202">
        <v>14122.15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0.33823529411764436</v>
      </c>
      <c r="Q202">
        <f t="shared" si="960"/>
        <v>4776.6095588234912</v>
      </c>
      <c r="R202">
        <f t="shared" si="961"/>
        <v>-444734.25027569872</v>
      </c>
      <c r="S202">
        <f t="shared" si="962"/>
        <v>-4.4473425027569871</v>
      </c>
      <c r="T202">
        <f t="shared" si="963"/>
        <v>-4.447342502756987E-3</v>
      </c>
    </row>
    <row r="203" spans="1:20" x14ac:dyDescent="0.25">
      <c r="A203" s="5">
        <v>44390</v>
      </c>
      <c r="B203">
        <v>28.26</v>
      </c>
      <c r="C203">
        <v>29.12</v>
      </c>
      <c r="D203">
        <v>26.32</v>
      </c>
      <c r="E203">
        <v>26.76</v>
      </c>
      <c r="F203">
        <v>31398.67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-0.68571428571428483</v>
      </c>
      <c r="Q203">
        <f t="shared" si="960"/>
        <v>-21530.516571428543</v>
      </c>
      <c r="R203">
        <f t="shared" si="961"/>
        <v>-449510.85983452224</v>
      </c>
      <c r="S203">
        <f t="shared" si="962"/>
        <v>-4.4951085983452224</v>
      </c>
      <c r="T203">
        <f t="shared" si="963"/>
        <v>-4.4951085983452226E-3</v>
      </c>
    </row>
    <row r="204" spans="1:20" x14ac:dyDescent="0.25">
      <c r="A204" s="5">
        <v>44389</v>
      </c>
      <c r="B204">
        <v>30.01</v>
      </c>
      <c r="C204">
        <v>32.4</v>
      </c>
      <c r="D204">
        <v>27.49</v>
      </c>
      <c r="E204">
        <v>28.26</v>
      </c>
      <c r="F204">
        <v>45290.91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-0.68635437881873596</v>
      </c>
      <c r="Q204">
        <f t="shared" si="960"/>
        <v>-31085.61439918528</v>
      </c>
      <c r="R204">
        <f t="shared" si="961"/>
        <v>-427980.34326309367</v>
      </c>
      <c r="S204">
        <f t="shared" si="962"/>
        <v>-4.2798034326309367</v>
      </c>
      <c r="T204">
        <f t="shared" si="963"/>
        <v>-4.2798034326309367E-3</v>
      </c>
    </row>
    <row r="205" spans="1:20" x14ac:dyDescent="0.25">
      <c r="A205" s="5">
        <v>44388</v>
      </c>
      <c r="B205">
        <v>30.17</v>
      </c>
      <c r="C205">
        <v>30.88</v>
      </c>
      <c r="D205">
        <v>29.6</v>
      </c>
      <c r="E205">
        <v>30.06</v>
      </c>
      <c r="F205">
        <v>29272.720000000001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-0.28125000000000289</v>
      </c>
      <c r="Q205">
        <f t="shared" si="960"/>
        <v>-8232.9525000000849</v>
      </c>
      <c r="R205">
        <f t="shared" si="961"/>
        <v>-396894.72886390839</v>
      </c>
      <c r="S205">
        <f t="shared" si="962"/>
        <v>-3.9689472886390837</v>
      </c>
      <c r="T205">
        <f t="shared" si="963"/>
        <v>-3.9689472886390836E-3</v>
      </c>
    </row>
    <row r="206" spans="1:20" x14ac:dyDescent="0.25">
      <c r="A206" s="5">
        <v>44387</v>
      </c>
      <c r="B206">
        <v>30.67</v>
      </c>
      <c r="C206">
        <v>31.35</v>
      </c>
      <c r="D206">
        <v>30</v>
      </c>
      <c r="E206">
        <v>30.03</v>
      </c>
      <c r="F206">
        <v>19586.39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-0.95555555555555394</v>
      </c>
      <c r="Q206">
        <f t="shared" si="960"/>
        <v>-18715.883777777744</v>
      </c>
      <c r="R206">
        <f t="shared" si="961"/>
        <v>-388661.77636390831</v>
      </c>
      <c r="S206">
        <f t="shared" si="962"/>
        <v>-3.8866177636390833</v>
      </c>
      <c r="T206">
        <f t="shared" si="963"/>
        <v>-3.8866177636390832E-3</v>
      </c>
    </row>
    <row r="207" spans="1:20" x14ac:dyDescent="0.25">
      <c r="A207" s="5">
        <v>44386</v>
      </c>
      <c r="B207">
        <v>30.33</v>
      </c>
      <c r="C207">
        <v>32.31</v>
      </c>
      <c r="D207">
        <v>29.48</v>
      </c>
      <c r="E207">
        <v>30.71</v>
      </c>
      <c r="F207">
        <v>34136.339999999997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-0.13074204946996493</v>
      </c>
      <c r="Q207">
        <f t="shared" si="960"/>
        <v>-4463.0550530035425</v>
      </c>
      <c r="R207">
        <f t="shared" si="961"/>
        <v>-369945.89258613059</v>
      </c>
      <c r="S207">
        <f t="shared" si="962"/>
        <v>-3.6994589258613058</v>
      </c>
      <c r="T207">
        <f t="shared" si="963"/>
        <v>-3.6994589258613057E-3</v>
      </c>
    </row>
    <row r="208" spans="1:20" x14ac:dyDescent="0.25">
      <c r="A208" s="5">
        <v>44385</v>
      </c>
      <c r="B208">
        <v>33.54</v>
      </c>
      <c r="C208">
        <v>33.57</v>
      </c>
      <c r="D208">
        <v>30.01</v>
      </c>
      <c r="E208">
        <v>30.35</v>
      </c>
      <c r="F208">
        <v>59515.8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-0.8089887640449438</v>
      </c>
      <c r="Q208">
        <f t="shared" si="960"/>
        <v>-48147.613483146066</v>
      </c>
      <c r="R208">
        <f t="shared" si="961"/>
        <v>-365482.83753312705</v>
      </c>
      <c r="S208">
        <f t="shared" si="962"/>
        <v>-3.6548283753312707</v>
      </c>
      <c r="T208">
        <f t="shared" si="963"/>
        <v>-3.6548283753312706E-3</v>
      </c>
    </row>
    <row r="209" spans="1:20" x14ac:dyDescent="0.25">
      <c r="A209" s="5">
        <v>44384</v>
      </c>
      <c r="B209">
        <v>33.79</v>
      </c>
      <c r="C209">
        <v>34.880000000000003</v>
      </c>
      <c r="D209">
        <v>33.33</v>
      </c>
      <c r="E209">
        <v>33.54</v>
      </c>
      <c r="F209">
        <v>45330.58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-0.72903225806451577</v>
      </c>
      <c r="Q209">
        <f t="shared" si="960"/>
        <v>-33047.455096774182</v>
      </c>
      <c r="R209">
        <f t="shared" si="961"/>
        <v>-317335.22404998099</v>
      </c>
      <c r="S209">
        <f t="shared" si="962"/>
        <v>-3.1733522404998098</v>
      </c>
      <c r="T209">
        <f t="shared" si="963"/>
        <v>-3.1733522404998097E-3</v>
      </c>
    </row>
    <row r="210" spans="1:20" x14ac:dyDescent="0.25">
      <c r="A210" s="5">
        <v>44383</v>
      </c>
      <c r="B210">
        <v>34.200000000000003</v>
      </c>
      <c r="C210">
        <v>37.4</v>
      </c>
      <c r="D210">
        <v>33.32</v>
      </c>
      <c r="E210">
        <v>33.79</v>
      </c>
      <c r="F210">
        <v>93122.25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-0.76960784313725539</v>
      </c>
      <c r="Q210">
        <f t="shared" si="960"/>
        <v>-71667.613970588282</v>
      </c>
      <c r="R210">
        <f t="shared" si="961"/>
        <v>-284287.76895320683</v>
      </c>
      <c r="S210">
        <f t="shared" si="962"/>
        <v>-2.8428776895320684</v>
      </c>
      <c r="T210">
        <f t="shared" si="963"/>
        <v>-2.8428776895320683E-3</v>
      </c>
    </row>
    <row r="211" spans="1:20" x14ac:dyDescent="0.25">
      <c r="A211" s="5">
        <v>44382</v>
      </c>
      <c r="B211">
        <v>37.479999999999997</v>
      </c>
      <c r="C211">
        <v>42</v>
      </c>
      <c r="D211">
        <v>33.369999999999997</v>
      </c>
      <c r="E211">
        <v>34.28</v>
      </c>
      <c r="F211">
        <v>269443.75</v>
      </c>
      <c r="G211">
        <v>0</v>
      </c>
      <c r="P211">
        <f t="shared" si="959"/>
        <v>-0.78910776361529467</v>
      </c>
      <c r="Q211">
        <f t="shared" si="960"/>
        <v>-212620.15498261855</v>
      </c>
      <c r="R211">
        <f t="shared" si="961"/>
        <v>-212620.15498261855</v>
      </c>
      <c r="S211">
        <f t="shared" si="962"/>
        <v>-2.1262015498261855</v>
      </c>
      <c r="T211">
        <f t="shared" si="963"/>
        <v>-2.1262015498261853E-3</v>
      </c>
    </row>
    <row r="212" spans="1:20" x14ac:dyDescent="0.25">
      <c r="A212" s="5"/>
      <c r="P212">
        <f t="shared" si="959"/>
        <v>0</v>
      </c>
      <c r="Q212">
        <f t="shared" si="960"/>
        <v>0</v>
      </c>
      <c r="R212">
        <f t="shared" si="961"/>
        <v>0</v>
      </c>
      <c r="S212">
        <f t="shared" si="962"/>
        <v>0</v>
      </c>
      <c r="T212">
        <f t="shared" si="963"/>
        <v>0</v>
      </c>
    </row>
    <row r="213" spans="1:20" x14ac:dyDescent="0.25">
      <c r="A213" s="5"/>
      <c r="P213">
        <f t="shared" si="959"/>
        <v>0</v>
      </c>
      <c r="Q213">
        <f t="shared" si="960"/>
        <v>0</v>
      </c>
      <c r="R213">
        <f t="shared" si="961"/>
        <v>0</v>
      </c>
      <c r="S213">
        <f t="shared" si="962"/>
        <v>0</v>
      </c>
      <c r="T213">
        <f t="shared" si="963"/>
        <v>0</v>
      </c>
    </row>
    <row r="214" spans="1:20" x14ac:dyDescent="0.25">
      <c r="A214" s="5"/>
      <c r="P214">
        <f t="shared" si="959"/>
        <v>0</v>
      </c>
      <c r="Q214">
        <f t="shared" si="960"/>
        <v>0</v>
      </c>
      <c r="R214">
        <f t="shared" si="961"/>
        <v>0</v>
      </c>
      <c r="S214">
        <f t="shared" si="962"/>
        <v>0</v>
      </c>
      <c r="T214">
        <f t="shared" si="963"/>
        <v>0</v>
      </c>
    </row>
    <row r="215" spans="1:20" x14ac:dyDescent="0.25">
      <c r="A215" s="5"/>
      <c r="P215">
        <f t="shared" si="959"/>
        <v>0</v>
      </c>
      <c r="Q215">
        <f t="shared" si="960"/>
        <v>0</v>
      </c>
      <c r="R215">
        <f t="shared" si="961"/>
        <v>0</v>
      </c>
      <c r="S215">
        <f t="shared" si="962"/>
        <v>0</v>
      </c>
      <c r="T215">
        <f t="shared" si="963"/>
        <v>0</v>
      </c>
    </row>
    <row r="216" spans="1:20" x14ac:dyDescent="0.25">
      <c r="A216" s="5"/>
      <c r="P216">
        <f t="shared" si="959"/>
        <v>0</v>
      </c>
      <c r="Q216">
        <f t="shared" si="960"/>
        <v>0</v>
      </c>
      <c r="R216">
        <f t="shared" si="961"/>
        <v>0</v>
      </c>
      <c r="S216">
        <f t="shared" si="962"/>
        <v>0</v>
      </c>
      <c r="T216">
        <f t="shared" si="963"/>
        <v>0</v>
      </c>
    </row>
    <row r="217" spans="1:20" x14ac:dyDescent="0.25">
      <c r="A217" s="5"/>
      <c r="P217">
        <f t="shared" si="959"/>
        <v>0</v>
      </c>
      <c r="Q217">
        <f t="shared" si="960"/>
        <v>0</v>
      </c>
      <c r="R217">
        <f t="shared" si="961"/>
        <v>0</v>
      </c>
      <c r="S217">
        <f t="shared" si="962"/>
        <v>0</v>
      </c>
      <c r="T217">
        <f t="shared" si="963"/>
        <v>0</v>
      </c>
    </row>
    <row r="218" spans="1:20" x14ac:dyDescent="0.25">
      <c r="A218" s="5"/>
      <c r="P218">
        <f t="shared" si="959"/>
        <v>0</v>
      </c>
      <c r="Q218">
        <f t="shared" si="960"/>
        <v>0</v>
      </c>
      <c r="R218">
        <f t="shared" si="961"/>
        <v>0</v>
      </c>
      <c r="S218">
        <f t="shared" si="962"/>
        <v>0</v>
      </c>
      <c r="T218">
        <f t="shared" si="963"/>
        <v>0</v>
      </c>
    </row>
    <row r="219" spans="1:20" x14ac:dyDescent="0.25">
      <c r="A219" s="5"/>
      <c r="P219">
        <f t="shared" si="959"/>
        <v>0</v>
      </c>
      <c r="Q219">
        <f t="shared" si="960"/>
        <v>0</v>
      </c>
      <c r="R219">
        <f t="shared" si="961"/>
        <v>0</v>
      </c>
      <c r="S219">
        <f t="shared" si="962"/>
        <v>0</v>
      </c>
      <c r="T219">
        <f t="shared" si="963"/>
        <v>0</v>
      </c>
    </row>
    <row r="220" spans="1:20" x14ac:dyDescent="0.25">
      <c r="A220" s="5"/>
      <c r="P220">
        <f t="shared" si="959"/>
        <v>0</v>
      </c>
      <c r="Q220">
        <f t="shared" si="960"/>
        <v>0</v>
      </c>
      <c r="R220">
        <f t="shared" si="961"/>
        <v>0</v>
      </c>
      <c r="S220">
        <f t="shared" si="962"/>
        <v>0</v>
      </c>
      <c r="T220">
        <f t="shared" si="963"/>
        <v>0</v>
      </c>
    </row>
    <row r="221" spans="1:20" x14ac:dyDescent="0.25">
      <c r="A221" s="5"/>
      <c r="P221">
        <f t="shared" si="959"/>
        <v>0</v>
      </c>
      <c r="Q221">
        <f t="shared" si="960"/>
        <v>0</v>
      </c>
      <c r="R221">
        <f t="shared" si="961"/>
        <v>0</v>
      </c>
      <c r="S221">
        <f t="shared" si="962"/>
        <v>0</v>
      </c>
      <c r="T221">
        <f t="shared" si="963"/>
        <v>0</v>
      </c>
    </row>
    <row r="222" spans="1:20" x14ac:dyDescent="0.25">
      <c r="A222" s="5"/>
      <c r="P222">
        <f t="shared" si="959"/>
        <v>0</v>
      </c>
      <c r="Q222">
        <f t="shared" si="960"/>
        <v>0</v>
      </c>
      <c r="R222">
        <f t="shared" si="961"/>
        <v>0</v>
      </c>
      <c r="S222">
        <f t="shared" si="962"/>
        <v>0</v>
      </c>
      <c r="T222">
        <f t="shared" si="963"/>
        <v>0</v>
      </c>
    </row>
    <row r="223" spans="1:20" x14ac:dyDescent="0.25">
      <c r="A223" s="5"/>
      <c r="P223">
        <f t="shared" si="959"/>
        <v>0</v>
      </c>
      <c r="Q223">
        <f t="shared" si="960"/>
        <v>0</v>
      </c>
      <c r="R223">
        <f t="shared" si="961"/>
        <v>0</v>
      </c>
      <c r="S223">
        <f t="shared" si="962"/>
        <v>0</v>
      </c>
      <c r="T223">
        <f t="shared" si="963"/>
        <v>0</v>
      </c>
    </row>
    <row r="224" spans="1:20" x14ac:dyDescent="0.25">
      <c r="A224" s="5"/>
      <c r="P224">
        <f t="shared" si="959"/>
        <v>0</v>
      </c>
      <c r="Q224">
        <f t="shared" si="960"/>
        <v>0</v>
      </c>
      <c r="R224">
        <f t="shared" si="961"/>
        <v>0</v>
      </c>
      <c r="S224">
        <f t="shared" si="962"/>
        <v>0</v>
      </c>
      <c r="T224">
        <f t="shared" si="963"/>
        <v>0</v>
      </c>
    </row>
    <row r="225" spans="1:20" x14ac:dyDescent="0.25">
      <c r="A225" s="5"/>
      <c r="P225">
        <f t="shared" si="959"/>
        <v>0</v>
      </c>
      <c r="Q225">
        <f t="shared" si="960"/>
        <v>0</v>
      </c>
      <c r="R225">
        <f t="shared" si="961"/>
        <v>0</v>
      </c>
      <c r="S225">
        <f t="shared" si="962"/>
        <v>0</v>
      </c>
      <c r="T225">
        <f t="shared" si="963"/>
        <v>0</v>
      </c>
    </row>
    <row r="226" spans="1:20" x14ac:dyDescent="0.25">
      <c r="A226" s="5"/>
      <c r="P226">
        <f t="shared" si="959"/>
        <v>0</v>
      </c>
      <c r="Q226">
        <f t="shared" si="960"/>
        <v>0</v>
      </c>
      <c r="R226">
        <f t="shared" si="961"/>
        <v>0</v>
      </c>
      <c r="S226">
        <f t="shared" si="962"/>
        <v>0</v>
      </c>
      <c r="T226">
        <f t="shared" si="96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959"/>
        <v>0</v>
      </c>
      <c r="Q227">
        <f t="shared" si="960"/>
        <v>0</v>
      </c>
      <c r="R227">
        <f t="shared" si="961"/>
        <v>0</v>
      </c>
      <c r="S227">
        <f t="shared" si="962"/>
        <v>0</v>
      </c>
      <c r="T227">
        <f t="shared" si="96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959"/>
        <v>0</v>
      </c>
      <c r="Q228">
        <f t="shared" si="960"/>
        <v>0</v>
      </c>
      <c r="R228">
        <f t="shared" si="961"/>
        <v>0</v>
      </c>
      <c r="S228">
        <f t="shared" si="962"/>
        <v>0</v>
      </c>
      <c r="T228">
        <f t="shared" si="96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959"/>
        <v>0</v>
      </c>
      <c r="Q229">
        <f t="shared" si="960"/>
        <v>0</v>
      </c>
      <c r="R229">
        <f t="shared" si="961"/>
        <v>0</v>
      </c>
      <c r="S229">
        <f t="shared" si="962"/>
        <v>0</v>
      </c>
      <c r="T229">
        <f t="shared" si="96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J469" sqref="CJ46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$A$468</v>
      </c>
      <c r="D111" s="1" t="str">
        <f>ADDRESS(C121-1,D121,1,1)</f>
        <v>$CJ$468</v>
      </c>
      <c r="E111"/>
    </row>
    <row r="112" spans="1:5" x14ac:dyDescent="0.25">
      <c r="A112" s="7">
        <v>12164.144957890772</v>
      </c>
      <c r="C112" s="1" t="str">
        <f>ADDRESS(C121,1,1,1)</f>
        <v>$A$469</v>
      </c>
      <c r="D112" s="1" t="str">
        <f>ADDRESS(C121,D121-1,1,1)</f>
        <v>$CI$469</v>
      </c>
      <c r="E112"/>
    </row>
    <row r="113" spans="1:5" x14ac:dyDescent="0.25">
      <c r="A113" s="7">
        <v>11925.63231165762</v>
      </c>
      <c r="C113" s="1" t="str">
        <f>ADDRESS(C121+1,1,1,1)</f>
        <v>$A$470</v>
      </c>
      <c r="D113" s="1" t="str">
        <f>ADDRESS(C121-1,D121+1,1,1)</f>
        <v>$CK$468</v>
      </c>
    </row>
    <row r="114" spans="1:5" x14ac:dyDescent="0.25">
      <c r="A114" s="7">
        <v>11691.796383978059</v>
      </c>
      <c r="C114" s="1" t="str">
        <f>ADDRESS(C121,D121,1,1)</f>
        <v>$CJ$469</v>
      </c>
      <c r="D114" s="1" t="str">
        <f>ADDRESS(C121+1,D121+1,1,1)</f>
        <v>$CK$470</v>
      </c>
    </row>
    <row r="115" spans="1:5" x14ac:dyDescent="0.25">
      <c r="A115" s="7">
        <v>11462.545474488292</v>
      </c>
      <c r="C115" s="1" t="str">
        <f>ADDRESS(C121+1,D121,1,1)</f>
        <v>$CJ$470</v>
      </c>
    </row>
    <row r="116" spans="1:5" x14ac:dyDescent="0.25">
      <c r="A116" s="7">
        <v>11237.789680870874</v>
      </c>
      <c r="C116" s="1">
        <f>C117-1</f>
        <v>468</v>
      </c>
    </row>
    <row r="117" spans="1:5" x14ac:dyDescent="0.25">
      <c r="A117" s="7">
        <v>11017.440863598895</v>
      </c>
      <c r="C117" s="1">
        <f>C121</f>
        <v>469</v>
      </c>
      <c r="D117" s="1">
        <f>D121</f>
        <v>88</v>
      </c>
    </row>
    <row r="118" spans="1:5" x14ac:dyDescent="0.25">
      <c r="A118" s="7">
        <v>10801.412611371465</v>
      </c>
      <c r="C118" s="1">
        <f>C117+1</f>
        <v>470</v>
      </c>
      <c r="D118" s="1">
        <f>D117+1</f>
        <v>89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469</v>
      </c>
      <c r="D121" s="19">
        <v>88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R469</v>
      </c>
      <c r="D123" s="1" t="str">
        <f>"C"&amp;D121</f>
        <v>C88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10.34713863341193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62" x14ac:dyDescent="0.25">
      <c r="A369" s="7">
        <v>74.961357735566622</v>
      </c>
      <c r="B369"/>
      <c r="C369"/>
      <c r="D369"/>
      <c r="E369"/>
      <c r="AY369" s="27" t="s">
        <v>8</v>
      </c>
    </row>
    <row r="370" spans="1:62" x14ac:dyDescent="0.25">
      <c r="A370" s="7">
        <v>73.491527191731976</v>
      </c>
      <c r="B370"/>
      <c r="C370"/>
      <c r="D370"/>
      <c r="E370"/>
      <c r="AY370" s="27" t="s">
        <v>8</v>
      </c>
      <c r="AZ370" s="27" t="s">
        <v>7</v>
      </c>
    </row>
    <row r="371" spans="1:62" x14ac:dyDescent="0.25">
      <c r="A371" s="7">
        <v>72.050516854639184</v>
      </c>
      <c r="B371"/>
      <c r="C371"/>
      <c r="D371"/>
      <c r="E371"/>
      <c r="AY371" s="27" t="s">
        <v>8</v>
      </c>
      <c r="AZ371" s="27" t="s">
        <v>7</v>
      </c>
    </row>
    <row r="372" spans="1:62" x14ac:dyDescent="0.25">
      <c r="A372" s="7">
        <v>70.637761622195271</v>
      </c>
      <c r="B372"/>
      <c r="C372"/>
      <c r="D372"/>
      <c r="E372"/>
      <c r="AY372" s="27" t="s">
        <v>8</v>
      </c>
      <c r="AZ372" s="27" t="s">
        <v>7</v>
      </c>
    </row>
    <row r="373" spans="1:62" x14ac:dyDescent="0.25">
      <c r="A373" s="7">
        <v>69.252707472740454</v>
      </c>
      <c r="B373"/>
      <c r="C373"/>
      <c r="D373"/>
      <c r="E373"/>
      <c r="AY373" s="27" t="s">
        <v>8</v>
      </c>
      <c r="AZ373" s="27" t="s">
        <v>7</v>
      </c>
    </row>
    <row r="374" spans="1:62" x14ac:dyDescent="0.25">
      <c r="A374" s="7">
        <v>67.894811247784759</v>
      </c>
      <c r="B374"/>
      <c r="C374"/>
      <c r="D374"/>
      <c r="E374"/>
      <c r="AY374" s="27" t="s">
        <v>8</v>
      </c>
      <c r="AZ374" s="27" t="s">
        <v>7</v>
      </c>
    </row>
    <row r="375" spans="1:62" x14ac:dyDescent="0.25">
      <c r="A375" s="7">
        <v>66.563540439004669</v>
      </c>
      <c r="B375"/>
      <c r="C375"/>
      <c r="D375"/>
      <c r="E375"/>
      <c r="AY375" s="27" t="s">
        <v>8</v>
      </c>
      <c r="AZ375" s="27" t="s">
        <v>7</v>
      </c>
    </row>
    <row r="376" spans="1:62" x14ac:dyDescent="0.25">
      <c r="A376" s="7">
        <v>65.258372979416336</v>
      </c>
      <c r="B376"/>
      <c r="C376"/>
      <c r="D376"/>
      <c r="E376"/>
      <c r="AY376" s="27" t="s">
        <v>8</v>
      </c>
      <c r="AZ376" s="27" t="s">
        <v>7</v>
      </c>
    </row>
    <row r="377" spans="1:62" x14ac:dyDescent="0.25">
      <c r="A377" s="7">
        <v>63.978797038643471</v>
      </c>
      <c r="B377"/>
      <c r="C377"/>
      <c r="D377"/>
      <c r="E377"/>
      <c r="AY377" s="27" t="s">
        <v>8</v>
      </c>
      <c r="AZ377" s="27" t="s">
        <v>7</v>
      </c>
    </row>
    <row r="378" spans="1:62" x14ac:dyDescent="0.25">
      <c r="A378" s="7">
        <v>62.724310822199477</v>
      </c>
      <c r="B378"/>
      <c r="C378"/>
      <c r="D378"/>
      <c r="E378"/>
      <c r="AY378" s="27" t="s">
        <v>8</v>
      </c>
      <c r="AZ378" s="27" t="s">
        <v>7</v>
      </c>
    </row>
    <row r="379" spans="1:62" x14ac:dyDescent="0.25">
      <c r="A379" s="7">
        <v>61.494422374705366</v>
      </c>
      <c r="B379"/>
      <c r="C379"/>
      <c r="D379"/>
      <c r="E379"/>
      <c r="AY379" s="27" t="s">
        <v>8</v>
      </c>
      <c r="AZ379" s="27" t="s">
        <v>7</v>
      </c>
    </row>
    <row r="380" spans="1:62" x14ac:dyDescent="0.25">
      <c r="A380" s="7">
        <v>60.288649386966043</v>
      </c>
      <c r="B380"/>
      <c r="C380"/>
      <c r="D380"/>
      <c r="E380"/>
      <c r="AY380" s="27" t="s">
        <v>8</v>
      </c>
      <c r="AZ380" s="27" t="s">
        <v>7</v>
      </c>
    </row>
    <row r="381" spans="1:62" x14ac:dyDescent="0.25">
      <c r="A381" s="7">
        <v>59.106519006829451</v>
      </c>
      <c r="B381"/>
      <c r="C381"/>
      <c r="D381"/>
      <c r="E381"/>
      <c r="AY381" s="27" t="s">
        <v>8</v>
      </c>
      <c r="AZ381" s="27" t="s">
        <v>7</v>
      </c>
      <c r="BI381" s="27" t="s">
        <v>8</v>
      </c>
    </row>
    <row r="382" spans="1:62" x14ac:dyDescent="0.25">
      <c r="A382" s="7">
        <v>57.947567653754362</v>
      </c>
      <c r="B382"/>
      <c r="C382"/>
      <c r="D382"/>
      <c r="E382"/>
      <c r="AY382" s="27" t="s">
        <v>8</v>
      </c>
      <c r="AZ382" s="27" t="s">
        <v>7</v>
      </c>
      <c r="BI382" s="27" t="s">
        <v>8</v>
      </c>
      <c r="BJ382" s="27" t="s">
        <v>7</v>
      </c>
    </row>
    <row r="383" spans="1:62" x14ac:dyDescent="0.25">
      <c r="A383" s="7">
        <v>56.811340837014079</v>
      </c>
      <c r="B383"/>
      <c r="C383"/>
      <c r="D383"/>
      <c r="E383"/>
      <c r="AY383" s="27" t="s">
        <v>8</v>
      </c>
      <c r="AZ383" s="27" t="s">
        <v>7</v>
      </c>
      <c r="BI383" s="27" t="s">
        <v>8</v>
      </c>
      <c r="BJ383" s="27" t="s">
        <v>7</v>
      </c>
    </row>
    <row r="384" spans="1:62" x14ac:dyDescent="0.25">
      <c r="A384" s="7">
        <v>55.69739297746478</v>
      </c>
      <c r="B384"/>
      <c r="C384"/>
      <c r="D384"/>
      <c r="E384"/>
      <c r="AY384" s="27" t="s">
        <v>8</v>
      </c>
      <c r="AZ384" s="27" t="s">
        <v>7</v>
      </c>
      <c r="BI384" s="27" t="s">
        <v>8</v>
      </c>
      <c r="BJ384" s="27" t="s">
        <v>7</v>
      </c>
    </row>
    <row r="385" spans="1:62" x14ac:dyDescent="0.25">
      <c r="A385" s="7">
        <v>54.605287232808607</v>
      </c>
      <c r="B385"/>
      <c r="C385"/>
      <c r="D385"/>
      <c r="E385"/>
      <c r="AY385" s="27" t="s">
        <v>8</v>
      </c>
      <c r="AZ385" s="27" t="s">
        <v>7</v>
      </c>
      <c r="BI385" s="27" t="s">
        <v>8</v>
      </c>
      <c r="BJ385" s="27" t="s">
        <v>7</v>
      </c>
    </row>
    <row r="386" spans="1:62" x14ac:dyDescent="0.25">
      <c r="A386" s="7">
        <v>53.534595326282947</v>
      </c>
      <c r="B386"/>
      <c r="C386"/>
      <c r="D386"/>
      <c r="E386"/>
      <c r="AY386" s="27" t="s">
        <v>8</v>
      </c>
      <c r="AZ386" s="27" t="s">
        <v>7</v>
      </c>
      <c r="BI386" s="27" t="s">
        <v>8</v>
      </c>
      <c r="BJ386" s="27" t="s">
        <v>7</v>
      </c>
    </row>
    <row r="387" spans="1:62" x14ac:dyDescent="0.25">
      <c r="A387" s="7">
        <v>52.484897378708773</v>
      </c>
      <c r="B387"/>
      <c r="C387"/>
      <c r="D387"/>
      <c r="E387"/>
      <c r="AY387" s="27" t="s">
        <v>8</v>
      </c>
      <c r="AZ387" s="27" t="s">
        <v>7</v>
      </c>
      <c r="BI387" s="27" t="s">
        <v>8</v>
      </c>
      <c r="BJ387" s="27" t="s">
        <v>7</v>
      </c>
    </row>
    <row r="388" spans="1:62" x14ac:dyDescent="0.25">
      <c r="A388" s="7">
        <v>51.455781743832127</v>
      </c>
      <c r="B388"/>
      <c r="C388"/>
      <c r="D388"/>
      <c r="E388"/>
      <c r="AY388" s="27" t="s">
        <v>8</v>
      </c>
      <c r="AZ388" s="27" t="s">
        <v>7</v>
      </c>
      <c r="BI388" s="27" t="s">
        <v>8</v>
      </c>
      <c r="BJ388" s="27" t="s">
        <v>7</v>
      </c>
    </row>
    <row r="389" spans="1:62" x14ac:dyDescent="0.25">
      <c r="A389" s="7">
        <v>50.446844846894244</v>
      </c>
      <c r="B389"/>
      <c r="C389"/>
      <c r="D389"/>
      <c r="E389"/>
      <c r="AY389" s="27" t="s">
        <v>8</v>
      </c>
      <c r="AZ389" s="27" t="s">
        <v>7</v>
      </c>
      <c r="BI389" s="27" t="s">
        <v>8</v>
      </c>
      <c r="BJ389" s="27" t="s">
        <v>7</v>
      </c>
    </row>
    <row r="390" spans="1:62" x14ac:dyDescent="0.25">
      <c r="A390" s="7">
        <v>49.457691026366902</v>
      </c>
      <c r="B390"/>
      <c r="C390"/>
      <c r="D390"/>
      <c r="E390"/>
      <c r="AY390" s="27" t="s">
        <v>8</v>
      </c>
      <c r="AZ390" s="27" t="s">
        <v>7</v>
      </c>
      <c r="BI390" s="27" t="s">
        <v>8</v>
      </c>
      <c r="BJ390" s="27" t="s">
        <v>7</v>
      </c>
    </row>
    <row r="391" spans="1:62" x14ac:dyDescent="0.25">
      <c r="A391" s="7">
        <v>48.487932378791079</v>
      </c>
      <c r="B391"/>
      <c r="C391"/>
      <c r="D391"/>
      <c r="E391"/>
      <c r="AY391" s="27" t="s">
        <v>8</v>
      </c>
      <c r="AZ391" s="27" t="s">
        <v>7</v>
      </c>
      <c r="BI391" s="27" t="s">
        <v>8</v>
      </c>
      <c r="BJ391" s="27" t="s">
        <v>7</v>
      </c>
    </row>
    <row r="392" spans="1:62" x14ac:dyDescent="0.25">
      <c r="A392" s="7">
        <v>47.537188606657921</v>
      </c>
      <c r="B392"/>
      <c r="C392"/>
      <c r="D392"/>
      <c r="E392"/>
      <c r="AY392" s="27" t="s">
        <v>8</v>
      </c>
      <c r="AZ392" s="27" t="s">
        <v>7</v>
      </c>
      <c r="BI392" s="27" t="s">
        <v>8</v>
      </c>
      <c r="BJ392" s="27" t="s">
        <v>7</v>
      </c>
    </row>
    <row r="393" spans="1:62" x14ac:dyDescent="0.25">
      <c r="A393" s="7">
        <v>46.605086869272469</v>
      </c>
      <c r="B393"/>
      <c r="C393"/>
      <c r="D393"/>
      <c r="E393"/>
      <c r="AY393" s="27" t="s">
        <v>8</v>
      </c>
      <c r="AZ393" s="27" t="s">
        <v>7</v>
      </c>
      <c r="BI393" s="27" t="s">
        <v>8</v>
      </c>
      <c r="BJ393" s="27" t="s">
        <v>7</v>
      </c>
    </row>
    <row r="394" spans="1:62" x14ac:dyDescent="0.25">
      <c r="A394" s="7">
        <v>45.691261636541633</v>
      </c>
      <c r="B394"/>
      <c r="C394"/>
      <c r="D394"/>
      <c r="E394"/>
      <c r="AY394" s="27" t="s">
        <v>8</v>
      </c>
      <c r="AZ394" s="27" t="s">
        <v>7</v>
      </c>
      <c r="BI394" s="27" t="s">
        <v>8</v>
      </c>
      <c r="BJ394" s="27" t="s">
        <v>7</v>
      </c>
    </row>
    <row r="395" spans="1:62" x14ac:dyDescent="0.25">
      <c r="A395" s="7">
        <v>44.795354545629053</v>
      </c>
      <c r="B395"/>
      <c r="C395"/>
      <c r="D395"/>
      <c r="E395"/>
      <c r="AY395" s="27" t="s">
        <v>8</v>
      </c>
      <c r="AZ395" s="27" t="s">
        <v>7</v>
      </c>
      <c r="BI395" s="27" t="s">
        <v>8</v>
      </c>
      <c r="BJ395" s="27" t="s">
        <v>7</v>
      </c>
    </row>
    <row r="396" spans="1:62" x14ac:dyDescent="0.25">
      <c r="A396" s="7">
        <v>43.917014260420636</v>
      </c>
      <c r="B396"/>
      <c r="C396"/>
      <c r="D396"/>
      <c r="E396"/>
      <c r="AY396" s="27" t="s">
        <v>8</v>
      </c>
      <c r="AZ396" s="27" t="s">
        <v>7</v>
      </c>
      <c r="BI396" s="27" t="s">
        <v>8</v>
      </c>
      <c r="BJ396" s="27" t="s">
        <v>7</v>
      </c>
    </row>
    <row r="397" spans="1:62" x14ac:dyDescent="0.25">
      <c r="A397" s="7">
        <v>43.055896333745721</v>
      </c>
      <c r="B397"/>
      <c r="C397"/>
      <c r="D397"/>
      <c r="E397"/>
      <c r="AY397" s="27" t="s">
        <v>8</v>
      </c>
      <c r="AZ397" s="27" t="s">
        <v>7</v>
      </c>
      <c r="BI397" s="27" t="s">
        <v>8</v>
      </c>
      <c r="BJ397" s="27" t="s">
        <v>7</v>
      </c>
    </row>
    <row r="398" spans="1:62" x14ac:dyDescent="0.25">
      <c r="A398" s="7">
        <v>42.211663072299729</v>
      </c>
      <c r="B398"/>
      <c r="C398"/>
      <c r="D398"/>
      <c r="E398"/>
      <c r="AY398" s="27" t="s">
        <v>8</v>
      </c>
      <c r="AZ398" s="27" t="s">
        <v>7</v>
      </c>
      <c r="BI398" s="27" t="s">
        <v>8</v>
      </c>
      <c r="BJ398" s="27" t="s">
        <v>7</v>
      </c>
    </row>
    <row r="399" spans="1:62" x14ac:dyDescent="0.25">
      <c r="A399" s="7">
        <v>41.383983404215421</v>
      </c>
      <c r="B399"/>
      <c r="C399"/>
      <c r="D399"/>
      <c r="E399"/>
      <c r="AY399" s="27" t="s">
        <v>8</v>
      </c>
      <c r="AZ399" s="27" t="s">
        <v>7</v>
      </c>
      <c r="BI399" s="27" t="s">
        <v>8</v>
      </c>
      <c r="BJ399" s="27" t="s">
        <v>7</v>
      </c>
    </row>
    <row r="400" spans="1:62" x14ac:dyDescent="0.25">
      <c r="A400" s="7">
        <v>40.572532749230803</v>
      </c>
      <c r="B400"/>
      <c r="C400"/>
      <c r="D400"/>
      <c r="E400"/>
      <c r="AY400" s="27" t="s">
        <v>8</v>
      </c>
      <c r="AZ400" s="27" t="s">
        <v>7</v>
      </c>
      <c r="BI400" s="27" t="s">
        <v>8</v>
      </c>
      <c r="BJ400" s="27" t="s">
        <v>7</v>
      </c>
    </row>
    <row r="401" spans="1:70" x14ac:dyDescent="0.25">
      <c r="A401" s="7">
        <v>39.776992891402749</v>
      </c>
      <c r="B401"/>
      <c r="C401"/>
      <c r="D401"/>
      <c r="E401"/>
      <c r="AY401" s="27" t="s">
        <v>8</v>
      </c>
      <c r="AZ401" s="27" t="s">
        <v>7</v>
      </c>
      <c r="BI401" s="27" t="s">
        <v>8</v>
      </c>
      <c r="BJ401" s="27" t="s">
        <v>7</v>
      </c>
    </row>
    <row r="402" spans="1:70" x14ac:dyDescent="0.25">
      <c r="A402" s="7">
        <v>38.997051854316418</v>
      </c>
      <c r="B402"/>
      <c r="C402"/>
      <c r="D402"/>
      <c r="E402"/>
      <c r="AY402" s="27" t="s">
        <v>8</v>
      </c>
      <c r="AZ402" s="27" t="s">
        <v>7</v>
      </c>
      <c r="BI402" s="27" t="s">
        <v>8</v>
      </c>
      <c r="BJ402" s="27" t="s">
        <v>7</v>
      </c>
    </row>
    <row r="403" spans="1:70" x14ac:dyDescent="0.25">
      <c r="A403" s="7">
        <v>38.232403778741585</v>
      </c>
      <c r="B403"/>
      <c r="C403"/>
      <c r="D403"/>
      <c r="E403"/>
      <c r="AY403" s="27" t="s">
        <v>8</v>
      </c>
      <c r="AZ403" s="27" t="s">
        <v>7</v>
      </c>
      <c r="BI403" s="27" t="s">
        <v>8</v>
      </c>
      <c r="BJ403" s="27" t="s">
        <v>7</v>
      </c>
    </row>
    <row r="404" spans="1:70" x14ac:dyDescent="0.25">
      <c r="A404" s="7">
        <v>37.48274880268783</v>
      </c>
      <c r="B404"/>
      <c r="C404"/>
      <c r="D404"/>
      <c r="E404"/>
      <c r="Y404" s="27" t="s">
        <v>8</v>
      </c>
      <c r="AY404" s="27" t="s">
        <v>8</v>
      </c>
      <c r="AZ404" s="27" t="s">
        <v>7</v>
      </c>
      <c r="BI404" s="27" t="s">
        <v>8</v>
      </c>
      <c r="BJ404" s="27" t="s">
        <v>7</v>
      </c>
    </row>
    <row r="405" spans="1:70" x14ac:dyDescent="0.25">
      <c r="A405" s="7">
        <v>36.747792943811596</v>
      </c>
      <c r="B405"/>
      <c r="C405"/>
      <c r="D405"/>
      <c r="E405" t="s">
        <v>8</v>
      </c>
      <c r="Y405" s="27" t="s">
        <v>8</v>
      </c>
      <c r="Z405" s="27" t="s">
        <v>7</v>
      </c>
      <c r="AY405" s="27" t="s">
        <v>8</v>
      </c>
      <c r="AZ405" s="27" t="s">
        <v>7</v>
      </c>
      <c r="BI405" s="27" t="s">
        <v>8</v>
      </c>
      <c r="BJ405" s="27" t="s">
        <v>7</v>
      </c>
    </row>
    <row r="406" spans="1:70" x14ac:dyDescent="0.25">
      <c r="A406" s="7">
        <v>36.027247984129012</v>
      </c>
      <c r="B406"/>
      <c r="C406"/>
      <c r="D406"/>
      <c r="E406" t="s">
        <v>8</v>
      </c>
      <c r="F406" s="27" t="s">
        <v>7</v>
      </c>
      <c r="Y406" s="27" t="s">
        <v>8</v>
      </c>
      <c r="Z406" s="27" t="s">
        <v>7</v>
      </c>
      <c r="AG406" s="27" t="s">
        <v>8</v>
      </c>
      <c r="AY406" s="27" t="s">
        <v>8</v>
      </c>
      <c r="AZ406" s="27" t="s">
        <v>7</v>
      </c>
      <c r="BI406" s="27" t="s">
        <v>8</v>
      </c>
      <c r="BJ406" s="27" t="s">
        <v>7</v>
      </c>
    </row>
    <row r="407" spans="1:70" x14ac:dyDescent="0.25">
      <c r="A407" s="7">
        <v>35.320831356989224</v>
      </c>
      <c r="B407"/>
      <c r="C407"/>
      <c r="D407"/>
      <c r="E407" t="s">
        <v>8</v>
      </c>
      <c r="F407" s="27" t="s">
        <v>7</v>
      </c>
      <c r="Y407" s="27" t="s">
        <v>8</v>
      </c>
      <c r="Z407" s="27" t="s">
        <v>7</v>
      </c>
      <c r="AG407" s="27" t="s">
        <v>8</v>
      </c>
      <c r="AH407" s="27" t="s">
        <v>7</v>
      </c>
      <c r="AY407" s="27" t="s">
        <v>8</v>
      </c>
      <c r="AZ407" s="27" t="s">
        <v>7</v>
      </c>
      <c r="BI407" s="27" t="s">
        <v>8</v>
      </c>
      <c r="BJ407" s="27" t="s">
        <v>7</v>
      </c>
    </row>
    <row r="408" spans="1:70" x14ac:dyDescent="0.25">
      <c r="A408" s="7">
        <v>34.628266036263945</v>
      </c>
      <c r="B408"/>
      <c r="C408"/>
      <c r="D408"/>
      <c r="E408" t="s">
        <v>8</v>
      </c>
      <c r="F408" s="27" t="s">
        <v>7</v>
      </c>
      <c r="Y408" s="27" t="s">
        <v>8</v>
      </c>
      <c r="Z408" s="27" t="s">
        <v>7</v>
      </c>
      <c r="AG408" s="27" t="s">
        <v>8</v>
      </c>
      <c r="AH408" s="27" t="s">
        <v>7</v>
      </c>
      <c r="AY408" s="27" t="s">
        <v>8</v>
      </c>
      <c r="AZ408" s="27" t="s">
        <v>7</v>
      </c>
      <c r="BI408" s="27" t="s">
        <v>8</v>
      </c>
      <c r="BJ408" s="27" t="s">
        <v>7</v>
      </c>
    </row>
    <row r="409" spans="1:70" x14ac:dyDescent="0.25">
      <c r="A409" s="7">
        <v>33.949280427709752</v>
      </c>
      <c r="B409"/>
      <c r="C409"/>
      <c r="D409"/>
      <c r="E409" t="s">
        <v>8</v>
      </c>
      <c r="F409" s="27" t="s">
        <v>7</v>
      </c>
      <c r="Y409" s="27" t="s">
        <v>8</v>
      </c>
      <c r="Z409" s="27" t="s">
        <v>7</v>
      </c>
      <c r="AG409" s="27" t="s">
        <v>8</v>
      </c>
      <c r="AH409" s="27" t="s">
        <v>7</v>
      </c>
      <c r="AY409" s="27" t="s">
        <v>8</v>
      </c>
      <c r="AZ409" s="27" t="s">
        <v>7</v>
      </c>
      <c r="BA409" s="27" t="s">
        <v>8</v>
      </c>
      <c r="BI409" s="27" t="s">
        <v>8</v>
      </c>
      <c r="BJ409" s="27" t="s">
        <v>7</v>
      </c>
    </row>
    <row r="410" spans="1:70" x14ac:dyDescent="0.25">
      <c r="A410" s="7">
        <v>33.28360826246054</v>
      </c>
      <c r="B410"/>
      <c r="C410"/>
      <c r="D410"/>
      <c r="E410" t="s">
        <v>8</v>
      </c>
      <c r="F410" s="27" t="s">
        <v>7</v>
      </c>
      <c r="Q410" s="27" t="s">
        <v>8</v>
      </c>
      <c r="Y410" s="27" t="s">
        <v>8</v>
      </c>
      <c r="Z410" s="27" t="s">
        <v>7</v>
      </c>
      <c r="AG410" s="27" t="s">
        <v>8</v>
      </c>
      <c r="AH410" s="27" t="s">
        <v>7</v>
      </c>
      <c r="AY410" s="27" t="s">
        <v>8</v>
      </c>
      <c r="AZ410" s="27" t="s">
        <v>7</v>
      </c>
      <c r="BA410" s="27" t="s">
        <v>8</v>
      </c>
      <c r="BB410" s="27" t="s">
        <v>7</v>
      </c>
      <c r="BC410" s="27" t="s">
        <v>8</v>
      </c>
      <c r="BI410" s="27" t="s">
        <v>8</v>
      </c>
      <c r="BJ410" s="27" t="s">
        <v>7</v>
      </c>
    </row>
    <row r="411" spans="1:70" x14ac:dyDescent="0.25">
      <c r="A411" s="7">
        <v>32.630988492608374</v>
      </c>
      <c r="B411"/>
      <c r="C411"/>
      <c r="D411"/>
      <c r="E411" t="s">
        <v>8</v>
      </c>
      <c r="F411" s="27" t="s">
        <v>7</v>
      </c>
      <c r="Q411" s="27" t="s">
        <v>8</v>
      </c>
      <c r="R411" s="27" t="s">
        <v>7</v>
      </c>
      <c r="W411" s="27" t="s">
        <v>8</v>
      </c>
      <c r="Y411" s="27" t="s">
        <v>8</v>
      </c>
      <c r="Z411" s="27" t="s">
        <v>7</v>
      </c>
      <c r="AG411" s="27" t="s">
        <v>8</v>
      </c>
      <c r="AH411" s="27" t="s">
        <v>7</v>
      </c>
      <c r="AY411" s="27" t="s">
        <v>8</v>
      </c>
      <c r="AZ411" s="27" t="s">
        <v>7</v>
      </c>
      <c r="BA411" s="27" t="s">
        <v>8</v>
      </c>
      <c r="BB411" s="27" t="s">
        <v>7</v>
      </c>
      <c r="BC411" s="27" t="s">
        <v>8</v>
      </c>
      <c r="BD411" s="27" t="s">
        <v>7</v>
      </c>
      <c r="BI411" s="27" t="s">
        <v>8</v>
      </c>
      <c r="BJ411" s="27" t="s">
        <v>7</v>
      </c>
    </row>
    <row r="412" spans="1:70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Q412" s="27" t="s">
        <v>8</v>
      </c>
      <c r="R412" s="27" t="s">
        <v>7</v>
      </c>
      <c r="U412" s="27" t="s">
        <v>8</v>
      </c>
      <c r="W412" s="27" t="s">
        <v>8</v>
      </c>
      <c r="X412" s="27" t="s">
        <v>7</v>
      </c>
      <c r="Y412" s="27" t="s">
        <v>8</v>
      </c>
      <c r="Z412" s="27" t="s">
        <v>7</v>
      </c>
      <c r="AA412" s="27" t="s">
        <v>8</v>
      </c>
      <c r="AG412" s="27" t="s">
        <v>8</v>
      </c>
      <c r="AH412" s="27" t="s">
        <v>7</v>
      </c>
      <c r="AY412" s="27" t="s">
        <v>8</v>
      </c>
      <c r="AZ412" s="27" t="s">
        <v>7</v>
      </c>
      <c r="BA412" s="27" t="s">
        <v>8</v>
      </c>
      <c r="BB412" s="27" t="s">
        <v>7</v>
      </c>
      <c r="BC412" s="27" t="s">
        <v>8</v>
      </c>
      <c r="BD412" s="27" t="s">
        <v>7</v>
      </c>
      <c r="BG412" s="27" t="s">
        <v>8</v>
      </c>
      <c r="BI412" s="27" t="s">
        <v>8</v>
      </c>
      <c r="BJ412" s="27" t="s">
        <v>7</v>
      </c>
    </row>
    <row r="413" spans="1:70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Q413" s="27" t="s">
        <v>8</v>
      </c>
      <c r="R413" s="27" t="s">
        <v>7</v>
      </c>
      <c r="U413" s="27" t="s">
        <v>8</v>
      </c>
      <c r="V413" s="27" t="s">
        <v>7</v>
      </c>
      <c r="W413" s="27" t="s">
        <v>8</v>
      </c>
      <c r="X413" s="27" t="s">
        <v>7</v>
      </c>
      <c r="Y413" s="27" t="s">
        <v>8</v>
      </c>
      <c r="Z413" s="27" t="s">
        <v>7</v>
      </c>
      <c r="AA413" s="27" t="s">
        <v>8</v>
      </c>
      <c r="AB413" s="27" t="s">
        <v>7</v>
      </c>
      <c r="AC413" s="27" t="s">
        <v>8</v>
      </c>
      <c r="AE413" s="27" t="s">
        <v>8</v>
      </c>
      <c r="AG413" s="27" t="s">
        <v>8</v>
      </c>
      <c r="AH413" s="27" t="s">
        <v>7</v>
      </c>
      <c r="AY413" s="27" t="s">
        <v>8</v>
      </c>
      <c r="AZ413" s="27" t="s">
        <v>7</v>
      </c>
      <c r="BA413" s="27" t="s">
        <v>8</v>
      </c>
      <c r="BB413" s="27" t="s">
        <v>7</v>
      </c>
      <c r="BC413" s="27" t="s">
        <v>8</v>
      </c>
      <c r="BD413" s="27" t="s">
        <v>7</v>
      </c>
      <c r="BE413" s="27" t="s">
        <v>8</v>
      </c>
      <c r="BG413" s="27" t="s">
        <v>8</v>
      </c>
      <c r="BH413" s="27" t="s">
        <v>7</v>
      </c>
      <c r="BI413" s="27" t="s">
        <v>8</v>
      </c>
      <c r="BJ413" s="27" t="s">
        <v>7</v>
      </c>
    </row>
    <row r="414" spans="1:70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Q414" s="27" t="s">
        <v>8</v>
      </c>
      <c r="R414" s="27" t="s">
        <v>7</v>
      </c>
      <c r="U414" s="27" t="s">
        <v>8</v>
      </c>
      <c r="V414" s="27" t="s">
        <v>7</v>
      </c>
      <c r="W414" s="27" t="s">
        <v>8</v>
      </c>
      <c r="X414" s="27" t="s">
        <v>7</v>
      </c>
      <c r="Y414" s="27" t="s">
        <v>8</v>
      </c>
      <c r="Z414" s="27" t="s">
        <v>7</v>
      </c>
      <c r="AA414" s="27" t="s">
        <v>8</v>
      </c>
      <c r="AB414" s="27" t="s">
        <v>7</v>
      </c>
      <c r="AC414" s="27" t="s">
        <v>8</v>
      </c>
      <c r="AD414" s="27" t="s">
        <v>7</v>
      </c>
      <c r="AE414" s="27" t="s">
        <v>8</v>
      </c>
      <c r="AF414" s="27" t="s">
        <v>7</v>
      </c>
      <c r="AG414" s="27" t="s">
        <v>8</v>
      </c>
      <c r="AH414" s="27" t="s">
        <v>7</v>
      </c>
      <c r="AY414" s="27" t="s">
        <v>8</v>
      </c>
      <c r="AZ414" s="27" t="s">
        <v>7</v>
      </c>
      <c r="BA414" s="27" t="s">
        <v>8</v>
      </c>
      <c r="BB414" s="27" t="s">
        <v>7</v>
      </c>
      <c r="BC414" s="27" t="s">
        <v>8</v>
      </c>
      <c r="BD414" s="27" t="s">
        <v>7</v>
      </c>
      <c r="BE414" s="27" t="s">
        <v>8</v>
      </c>
      <c r="BF414" s="27" t="s">
        <v>7</v>
      </c>
      <c r="BG414" s="27" t="s">
        <v>8</v>
      </c>
      <c r="BH414" s="27" t="s">
        <v>7</v>
      </c>
      <c r="BI414" s="27" t="s">
        <v>8</v>
      </c>
      <c r="BJ414" s="27" t="s">
        <v>7</v>
      </c>
      <c r="BK414" s="27" t="s">
        <v>8</v>
      </c>
    </row>
    <row r="415" spans="1:70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Q415" s="27" t="s">
        <v>8</v>
      </c>
      <c r="R415" s="27" t="s">
        <v>7</v>
      </c>
      <c r="U415" s="27" t="s">
        <v>8</v>
      </c>
      <c r="V415" s="27" t="s">
        <v>7</v>
      </c>
      <c r="W415" s="27" t="s">
        <v>8</v>
      </c>
      <c r="X415" s="27" t="s">
        <v>7</v>
      </c>
      <c r="Y415" s="27" t="s">
        <v>8</v>
      </c>
      <c r="Z415" s="27" t="s">
        <v>7</v>
      </c>
      <c r="AA415" s="27" t="s">
        <v>8</v>
      </c>
      <c r="AB415" s="27" t="s">
        <v>7</v>
      </c>
      <c r="AC415" s="27" t="s">
        <v>8</v>
      </c>
      <c r="AD415" s="27" t="s">
        <v>7</v>
      </c>
      <c r="AE415" s="27" t="s">
        <v>8</v>
      </c>
      <c r="AF415" s="27" t="s">
        <v>7</v>
      </c>
      <c r="AG415" s="27" t="s">
        <v>8</v>
      </c>
      <c r="AH415" s="27" t="s">
        <v>7</v>
      </c>
      <c r="AY415" s="27" t="s">
        <v>8</v>
      </c>
      <c r="AZ415" s="27" t="s">
        <v>7</v>
      </c>
      <c r="BA415" s="27" t="s">
        <v>8</v>
      </c>
      <c r="BB415" s="27" t="s">
        <v>7</v>
      </c>
      <c r="BC415" s="27" t="s">
        <v>8</v>
      </c>
      <c r="BD415" s="27" t="s">
        <v>7</v>
      </c>
      <c r="BE415" s="27" t="s">
        <v>8</v>
      </c>
      <c r="BF415" s="27" t="s">
        <v>7</v>
      </c>
      <c r="BG415" s="27" t="s">
        <v>8</v>
      </c>
      <c r="BH415" s="27" t="s">
        <v>7</v>
      </c>
      <c r="BI415" s="27" t="s">
        <v>8</v>
      </c>
      <c r="BJ415" s="27" t="s">
        <v>7</v>
      </c>
      <c r="BK415" s="27" t="s">
        <v>8</v>
      </c>
      <c r="BL415" s="27" t="s">
        <v>7</v>
      </c>
      <c r="BQ415" s="27" t="s">
        <v>8</v>
      </c>
    </row>
    <row r="416" spans="1:70" x14ac:dyDescent="0.25">
      <c r="A416" s="7">
        <v>29.55489163296085</v>
      </c>
      <c r="B416"/>
      <c r="C416"/>
      <c r="D416"/>
      <c r="E416" t="s">
        <v>8</v>
      </c>
      <c r="F416" s="27" t="s">
        <v>7</v>
      </c>
      <c r="Q416" s="27" t="s">
        <v>8</v>
      </c>
      <c r="R416" s="27" t="s">
        <v>7</v>
      </c>
      <c r="U416" s="27" t="s">
        <v>8</v>
      </c>
      <c r="V416" s="27" t="s">
        <v>7</v>
      </c>
      <c r="W416" s="27" t="s">
        <v>8</v>
      </c>
      <c r="X416" s="27" t="s">
        <v>7</v>
      </c>
      <c r="Y416" s="27" t="s">
        <v>8</v>
      </c>
      <c r="Z416" s="27" t="s">
        <v>7</v>
      </c>
      <c r="AB416" s="27" t="s">
        <v>7</v>
      </c>
      <c r="AC416" s="27" t="s">
        <v>8</v>
      </c>
      <c r="AD416" s="27" t="s">
        <v>7</v>
      </c>
      <c r="AE416" s="27" t="s">
        <v>8</v>
      </c>
      <c r="AF416" s="27" t="s">
        <v>7</v>
      </c>
      <c r="AG416" s="27" t="s">
        <v>8</v>
      </c>
      <c r="AH416" s="27" t="s">
        <v>7</v>
      </c>
      <c r="AY416" s="27" t="s">
        <v>8</v>
      </c>
      <c r="AZ416" s="27" t="s">
        <v>7</v>
      </c>
      <c r="BA416" s="27" t="s">
        <v>8</v>
      </c>
      <c r="BB416" s="27" t="s">
        <v>7</v>
      </c>
      <c r="BC416" s="27" t="s">
        <v>8</v>
      </c>
      <c r="BD416" s="27" t="s">
        <v>7</v>
      </c>
      <c r="BE416" s="27" t="s">
        <v>8</v>
      </c>
      <c r="BF416" s="27" t="s">
        <v>7</v>
      </c>
      <c r="BG416" s="27" t="s">
        <v>8</v>
      </c>
      <c r="BH416" s="27" t="s">
        <v>7</v>
      </c>
      <c r="BI416" s="27" t="s">
        <v>8</v>
      </c>
      <c r="BJ416" s="27" t="s">
        <v>7</v>
      </c>
      <c r="BK416" s="27" t="s">
        <v>8</v>
      </c>
      <c r="BL416" s="27" t="s">
        <v>7</v>
      </c>
      <c r="BQ416" s="27" t="s">
        <v>8</v>
      </c>
      <c r="BR416" s="27" t="s">
        <v>7</v>
      </c>
    </row>
    <row r="417" spans="1:79" x14ac:dyDescent="0.25">
      <c r="A417" s="7">
        <v>28.975383953883185</v>
      </c>
      <c r="B417"/>
      <c r="C417"/>
      <c r="D417"/>
      <c r="E417" t="s">
        <v>8</v>
      </c>
      <c r="F417" s="27" t="s">
        <v>7</v>
      </c>
      <c r="Q417" s="27" t="s">
        <v>8</v>
      </c>
      <c r="R417" s="27" t="s">
        <v>7</v>
      </c>
      <c r="U417" s="27" t="s">
        <v>8</v>
      </c>
      <c r="V417" s="27" t="s">
        <v>7</v>
      </c>
      <c r="W417" s="27" t="s">
        <v>8</v>
      </c>
      <c r="X417" s="27" t="s">
        <v>7</v>
      </c>
      <c r="AB417" s="27" t="s">
        <v>7</v>
      </c>
      <c r="AC417" s="27" t="s">
        <v>8</v>
      </c>
      <c r="AD417" s="27" t="s">
        <v>7</v>
      </c>
      <c r="AF417" s="27" t="s">
        <v>7</v>
      </c>
      <c r="AG417" s="27" t="s">
        <v>8</v>
      </c>
      <c r="AH417" s="27" t="s">
        <v>7</v>
      </c>
      <c r="AY417" s="27" t="s">
        <v>8</v>
      </c>
      <c r="AZ417" s="27" t="s">
        <v>7</v>
      </c>
      <c r="BA417" s="27" t="s">
        <v>8</v>
      </c>
      <c r="BB417" s="27" t="s">
        <v>7</v>
      </c>
      <c r="BC417" s="27" t="s">
        <v>8</v>
      </c>
      <c r="BD417" s="27" t="s">
        <v>7</v>
      </c>
      <c r="BE417" s="27" t="s">
        <v>8</v>
      </c>
      <c r="BF417" s="27" t="s">
        <v>7</v>
      </c>
      <c r="BG417" s="27" t="s">
        <v>8</v>
      </c>
      <c r="BH417" s="27" t="s">
        <v>7</v>
      </c>
      <c r="BI417" s="27" t="s">
        <v>8</v>
      </c>
      <c r="BJ417" s="27" t="s">
        <v>7</v>
      </c>
      <c r="BK417" s="27" t="s">
        <v>8</v>
      </c>
      <c r="BL417" s="27" t="s">
        <v>7</v>
      </c>
      <c r="BQ417" s="27" t="s">
        <v>8</v>
      </c>
      <c r="BR417" s="27" t="s">
        <v>7</v>
      </c>
    </row>
    <row r="418" spans="1:79" x14ac:dyDescent="0.25">
      <c r="A418" s="7">
        <v>28.407239170473709</v>
      </c>
      <c r="B418"/>
      <c r="C418"/>
      <c r="D418"/>
      <c r="E418" t="s">
        <v>8</v>
      </c>
      <c r="F418" s="27" t="s">
        <v>7</v>
      </c>
      <c r="Q418" s="27" t="s">
        <v>8</v>
      </c>
      <c r="R418" s="27" t="s">
        <v>7</v>
      </c>
      <c r="U418" s="27" t="s">
        <v>8</v>
      </c>
      <c r="V418" s="27" t="s">
        <v>7</v>
      </c>
      <c r="W418" s="27" t="s">
        <v>8</v>
      </c>
      <c r="AB418" s="27" t="s">
        <v>7</v>
      </c>
      <c r="AC418" s="27" t="s">
        <v>8</v>
      </c>
      <c r="AF418" s="27" t="s">
        <v>7</v>
      </c>
      <c r="AG418" s="27" t="s">
        <v>8</v>
      </c>
      <c r="AH418" s="27" t="s">
        <v>7</v>
      </c>
      <c r="AY418" s="27" t="s">
        <v>8</v>
      </c>
      <c r="AZ418" s="27" t="s">
        <v>7</v>
      </c>
      <c r="BA418" s="27" t="s">
        <v>8</v>
      </c>
      <c r="BB418" s="27" t="s">
        <v>7</v>
      </c>
      <c r="BC418" s="27" t="s">
        <v>8</v>
      </c>
      <c r="BD418" s="27" t="s">
        <v>7</v>
      </c>
      <c r="BE418" s="27" t="s">
        <v>8</v>
      </c>
      <c r="BF418" s="27" t="s">
        <v>7</v>
      </c>
      <c r="BG418" s="27" t="s">
        <v>8</v>
      </c>
      <c r="BH418" s="27" t="s">
        <v>7</v>
      </c>
      <c r="BJ418" s="27" t="s">
        <v>7</v>
      </c>
      <c r="BK418" s="27" t="s">
        <v>8</v>
      </c>
      <c r="BL418" s="27" t="s">
        <v>7</v>
      </c>
      <c r="BQ418" s="27" t="s">
        <v>8</v>
      </c>
      <c r="BR418" s="27" t="s">
        <v>7</v>
      </c>
    </row>
    <row r="419" spans="1:79" x14ac:dyDescent="0.25">
      <c r="A419" s="7">
        <v>27.850234480856578</v>
      </c>
      <c r="B419"/>
      <c r="C419"/>
      <c r="D419"/>
      <c r="E419" t="s">
        <v>8</v>
      </c>
      <c r="F419" s="27" t="s">
        <v>7</v>
      </c>
      <c r="Q419" s="27" t="s">
        <v>8</v>
      </c>
      <c r="R419" s="27" t="s">
        <v>7</v>
      </c>
      <c r="S419" s="27" t="s">
        <v>8</v>
      </c>
      <c r="U419" s="27" t="s">
        <v>8</v>
      </c>
      <c r="V419" s="27" t="s">
        <v>7</v>
      </c>
      <c r="W419" s="27" t="s">
        <v>8</v>
      </c>
      <c r="AB419" s="27" t="s">
        <v>7</v>
      </c>
      <c r="AC419" s="27" t="s">
        <v>8</v>
      </c>
      <c r="AF419" s="27" t="s">
        <v>7</v>
      </c>
      <c r="AG419" s="27" t="s">
        <v>8</v>
      </c>
      <c r="AH419" s="27" t="s">
        <v>7</v>
      </c>
      <c r="AQ419" s="27" t="s">
        <v>8</v>
      </c>
      <c r="AY419" s="27" t="s">
        <v>8</v>
      </c>
      <c r="AZ419" s="27" t="s">
        <v>7</v>
      </c>
      <c r="BA419" s="27" t="s">
        <v>8</v>
      </c>
      <c r="BB419" s="27" t="s">
        <v>7</v>
      </c>
      <c r="BD419" s="27" t="s">
        <v>7</v>
      </c>
      <c r="BE419" s="27" t="s">
        <v>8</v>
      </c>
      <c r="BF419" s="27" t="s">
        <v>7</v>
      </c>
      <c r="BJ419" s="27" t="s">
        <v>7</v>
      </c>
      <c r="BK419" s="27" t="s">
        <v>8</v>
      </c>
      <c r="BL419" s="27" t="s">
        <v>7</v>
      </c>
      <c r="BQ419" s="27" t="s">
        <v>8</v>
      </c>
      <c r="BR419" s="27" t="s">
        <v>7</v>
      </c>
    </row>
    <row r="420" spans="1:79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Q420" s="27" t="s">
        <v>8</v>
      </c>
      <c r="R420" s="27" t="s">
        <v>7</v>
      </c>
      <c r="S420" s="27" t="s">
        <v>8</v>
      </c>
      <c r="T420" s="27" t="s">
        <v>7</v>
      </c>
      <c r="U420" s="27" t="s">
        <v>8</v>
      </c>
      <c r="V420" s="27" t="s">
        <v>7</v>
      </c>
      <c r="W420" s="27" t="s">
        <v>8</v>
      </c>
      <c r="AB420" s="27" t="s">
        <v>7</v>
      </c>
      <c r="AF420" s="27" t="s">
        <v>7</v>
      </c>
      <c r="AG420" s="27" t="s">
        <v>8</v>
      </c>
      <c r="AH420" s="27" t="s">
        <v>7</v>
      </c>
      <c r="AQ420" s="27" t="s">
        <v>8</v>
      </c>
      <c r="AR420" s="27" t="s">
        <v>7</v>
      </c>
      <c r="AY420" s="27" t="s">
        <v>8</v>
      </c>
      <c r="AZ420" s="27" t="s">
        <v>7</v>
      </c>
      <c r="BA420" s="27" t="s">
        <v>8</v>
      </c>
      <c r="BD420" s="27" t="s">
        <v>7</v>
      </c>
      <c r="BE420" s="27" t="s">
        <v>8</v>
      </c>
      <c r="BJ420" s="27" t="s">
        <v>7</v>
      </c>
      <c r="BL420" s="27" t="s">
        <v>7</v>
      </c>
      <c r="BQ420" s="27" t="s">
        <v>8</v>
      </c>
      <c r="BR420" s="27" t="s">
        <v>7</v>
      </c>
    </row>
    <row r="421" spans="1:79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Q421" s="27" t="s">
        <v>8</v>
      </c>
      <c r="R421" s="27" t="s">
        <v>7</v>
      </c>
      <c r="S421" s="27" t="s">
        <v>8</v>
      </c>
      <c r="T421" s="27" t="s">
        <v>7</v>
      </c>
      <c r="U421" s="27" t="s">
        <v>8</v>
      </c>
      <c r="V421" s="27" t="s">
        <v>7</v>
      </c>
      <c r="AF421" s="27" t="s">
        <v>7</v>
      </c>
      <c r="AG421" s="27" t="s">
        <v>8</v>
      </c>
      <c r="AH421" s="27" t="s">
        <v>7</v>
      </c>
      <c r="AI421" s="27" t="s">
        <v>8</v>
      </c>
      <c r="AK421" s="27" t="s">
        <v>8</v>
      </c>
      <c r="AQ421" s="27" t="s">
        <v>8</v>
      </c>
      <c r="AR421" s="27" t="s">
        <v>7</v>
      </c>
      <c r="AU421" s="27" t="s">
        <v>8</v>
      </c>
      <c r="AY421" s="27" t="s">
        <v>8</v>
      </c>
      <c r="AZ421" s="27" t="s">
        <v>7</v>
      </c>
      <c r="BD421" s="27" t="s">
        <v>7</v>
      </c>
      <c r="BE421" s="27" t="s">
        <v>8</v>
      </c>
      <c r="BL421" s="27" t="s">
        <v>7</v>
      </c>
      <c r="BM421" s="27" t="s">
        <v>8</v>
      </c>
      <c r="BQ421" s="27" t="s">
        <v>8</v>
      </c>
      <c r="BR421" s="27" t="s">
        <v>7</v>
      </c>
    </row>
    <row r="422" spans="1:79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Q422" s="27" t="s">
        <v>8</v>
      </c>
      <c r="R422" s="27" t="s">
        <v>7</v>
      </c>
      <c r="S422" s="27" t="s">
        <v>8</v>
      </c>
      <c r="T422" s="27" t="s">
        <v>7</v>
      </c>
      <c r="U422" s="27" t="s">
        <v>8</v>
      </c>
      <c r="AF422" s="27" t="s">
        <v>7</v>
      </c>
      <c r="AG422" s="27" t="s">
        <v>8</v>
      </c>
      <c r="AH422" s="27" t="s">
        <v>7</v>
      </c>
      <c r="AI422" s="27" t="s">
        <v>8</v>
      </c>
      <c r="AJ422" s="27" t="s">
        <v>7</v>
      </c>
      <c r="AK422" s="27" t="s">
        <v>8</v>
      </c>
      <c r="AL422" s="27" t="s">
        <v>7</v>
      </c>
      <c r="AQ422" s="27" t="s">
        <v>8</v>
      </c>
      <c r="AR422" s="27" t="s">
        <v>7</v>
      </c>
      <c r="AS422" s="27" t="s">
        <v>8</v>
      </c>
      <c r="AU422" s="27" t="s">
        <v>8</v>
      </c>
      <c r="AV422" s="27" t="s">
        <v>7</v>
      </c>
      <c r="AW422" s="27" t="s">
        <v>8</v>
      </c>
      <c r="AY422" s="27" t="s">
        <v>8</v>
      </c>
      <c r="BD422" s="27" t="s">
        <v>7</v>
      </c>
      <c r="BE422" s="27" t="s">
        <v>8</v>
      </c>
      <c r="BL422" s="27" t="s">
        <v>7</v>
      </c>
      <c r="BM422" s="27" t="s">
        <v>8</v>
      </c>
      <c r="BN422" s="27" t="s">
        <v>7</v>
      </c>
      <c r="BQ422" s="27" t="s">
        <v>8</v>
      </c>
      <c r="BR422" s="27" t="s">
        <v>7</v>
      </c>
    </row>
    <row r="423" spans="1:79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Q423" s="27" t="s">
        <v>8</v>
      </c>
      <c r="R423" s="27" t="s">
        <v>7</v>
      </c>
      <c r="T423" s="27" t="s">
        <v>7</v>
      </c>
      <c r="U423" s="27" t="s">
        <v>8</v>
      </c>
      <c r="AF423" s="27" t="s">
        <v>7</v>
      </c>
      <c r="AG423" s="27" t="s">
        <v>8</v>
      </c>
      <c r="AH423" s="27" t="s">
        <v>7</v>
      </c>
      <c r="AI423" s="27" t="s">
        <v>8</v>
      </c>
      <c r="AJ423" s="27" t="s">
        <v>7</v>
      </c>
      <c r="AK423" s="27" t="s">
        <v>8</v>
      </c>
      <c r="AL423" s="27" t="s">
        <v>7</v>
      </c>
      <c r="AQ423" s="27" t="s">
        <v>8</v>
      </c>
      <c r="AR423" s="27" t="s">
        <v>7</v>
      </c>
      <c r="AS423" s="27" t="s">
        <v>8</v>
      </c>
      <c r="AT423" s="27" t="s">
        <v>7</v>
      </c>
      <c r="AU423" s="27" t="s">
        <v>8</v>
      </c>
      <c r="AV423" s="27" t="s">
        <v>7</v>
      </c>
      <c r="AW423" s="27" t="s">
        <v>8</v>
      </c>
      <c r="AX423" s="27" t="s">
        <v>7</v>
      </c>
      <c r="AY423" s="27" t="s">
        <v>8</v>
      </c>
      <c r="BD423" s="27" t="s">
        <v>7</v>
      </c>
      <c r="BL423" s="27" t="s">
        <v>7</v>
      </c>
      <c r="BM423" s="27" t="s">
        <v>8</v>
      </c>
      <c r="BN423" s="27" t="s">
        <v>7</v>
      </c>
      <c r="BO423" s="27" t="s">
        <v>8</v>
      </c>
      <c r="BQ423" s="27" t="s">
        <v>8</v>
      </c>
      <c r="BR423" s="27" t="s">
        <v>7</v>
      </c>
    </row>
    <row r="424" spans="1:79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Q424" s="27" t="s">
        <v>8</v>
      </c>
      <c r="T424" s="27" t="s">
        <v>7</v>
      </c>
      <c r="U424" s="27" t="s">
        <v>8</v>
      </c>
      <c r="AF424" s="27" t="s">
        <v>7</v>
      </c>
      <c r="AG424" s="27" t="s">
        <v>8</v>
      </c>
      <c r="AH424" s="27" t="s">
        <v>7</v>
      </c>
      <c r="AI424" s="27" t="s">
        <v>8</v>
      </c>
      <c r="AJ424" s="27" t="s">
        <v>7</v>
      </c>
      <c r="AK424" s="27" t="s">
        <v>8</v>
      </c>
      <c r="AL424" s="27" t="s">
        <v>7</v>
      </c>
      <c r="AO424" s="27" t="s">
        <v>8</v>
      </c>
      <c r="AQ424" s="27" t="s">
        <v>8</v>
      </c>
      <c r="AR424" s="27" t="s">
        <v>7</v>
      </c>
      <c r="AS424" s="27" t="s">
        <v>8</v>
      </c>
      <c r="AT424" s="27" t="s">
        <v>7</v>
      </c>
      <c r="AU424" s="27" t="s">
        <v>8</v>
      </c>
      <c r="AV424" s="27" t="s">
        <v>7</v>
      </c>
      <c r="AW424" s="27" t="s">
        <v>8</v>
      </c>
      <c r="AX424" s="27" t="s">
        <v>7</v>
      </c>
      <c r="AY424" s="27" t="s">
        <v>8</v>
      </c>
      <c r="BL424" s="27" t="s">
        <v>7</v>
      </c>
      <c r="BM424" s="27" t="s">
        <v>8</v>
      </c>
      <c r="BN424" s="27" t="s">
        <v>7</v>
      </c>
      <c r="BO424" s="27" t="s">
        <v>8</v>
      </c>
      <c r="BP424" s="27" t="s">
        <v>7</v>
      </c>
      <c r="BQ424" s="27" t="s">
        <v>8</v>
      </c>
      <c r="BR424" s="27" t="s">
        <v>7</v>
      </c>
    </row>
    <row r="425" spans="1:79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G425" s="18" t="s">
        <v>8</v>
      </c>
      <c r="M425" s="27" t="s">
        <v>8</v>
      </c>
      <c r="Q425" s="27" t="s">
        <v>8</v>
      </c>
      <c r="T425" s="27" t="s">
        <v>7</v>
      </c>
      <c r="U425" s="27" t="s">
        <v>8</v>
      </c>
      <c r="AF425" s="27" t="s">
        <v>7</v>
      </c>
      <c r="AH425" s="27" t="s">
        <v>7</v>
      </c>
      <c r="AJ425" s="27" t="s">
        <v>7</v>
      </c>
      <c r="AK425" s="27" t="s">
        <v>8</v>
      </c>
      <c r="AL425" s="27" t="s">
        <v>7</v>
      </c>
      <c r="AO425" s="27" t="s">
        <v>8</v>
      </c>
      <c r="AP425" s="27" t="s">
        <v>7</v>
      </c>
      <c r="AQ425" s="27" t="s">
        <v>8</v>
      </c>
      <c r="AR425" s="27" t="s">
        <v>7</v>
      </c>
      <c r="AS425" s="27" t="s">
        <v>8</v>
      </c>
      <c r="AT425" s="27" t="s">
        <v>7</v>
      </c>
      <c r="AU425" s="27" t="s">
        <v>8</v>
      </c>
      <c r="AV425" s="27" t="s">
        <v>7</v>
      </c>
      <c r="AW425" s="27" t="s">
        <v>8</v>
      </c>
      <c r="AX425" s="27" t="s">
        <v>7</v>
      </c>
      <c r="AY425" s="27" t="s">
        <v>8</v>
      </c>
      <c r="BL425" s="27" t="s">
        <v>7</v>
      </c>
      <c r="BN425" s="27" t="s">
        <v>7</v>
      </c>
      <c r="BO425" s="27" t="s">
        <v>8</v>
      </c>
      <c r="BP425" s="27" t="s">
        <v>7</v>
      </c>
      <c r="BQ425" s="27" t="s">
        <v>8</v>
      </c>
      <c r="BR425" s="27" t="s">
        <v>7</v>
      </c>
    </row>
    <row r="426" spans="1:79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G426" s="27" t="s">
        <v>8</v>
      </c>
      <c r="H426" s="27" t="s">
        <v>7</v>
      </c>
      <c r="M426" s="27" t="s">
        <v>8</v>
      </c>
      <c r="N426" s="27" t="s">
        <v>7</v>
      </c>
      <c r="Q426" s="27" t="s">
        <v>8</v>
      </c>
      <c r="T426" s="27" t="s">
        <v>7</v>
      </c>
      <c r="AJ426" s="27" t="s">
        <v>7</v>
      </c>
      <c r="AL426" s="27" t="s">
        <v>7</v>
      </c>
      <c r="AM426" s="27" t="s">
        <v>8</v>
      </c>
      <c r="AO426" s="27" t="s">
        <v>8</v>
      </c>
      <c r="AP426" s="27" t="s">
        <v>7</v>
      </c>
      <c r="AQ426" s="27" t="s">
        <v>8</v>
      </c>
      <c r="AR426" s="27" t="s">
        <v>7</v>
      </c>
      <c r="AS426" s="27" t="s">
        <v>8</v>
      </c>
      <c r="AT426" s="27" t="s">
        <v>7</v>
      </c>
      <c r="AV426" s="27" t="s">
        <v>7</v>
      </c>
      <c r="AX426" s="27" t="s">
        <v>7</v>
      </c>
      <c r="AY426" s="27" t="s">
        <v>8</v>
      </c>
      <c r="BN426" s="27" t="s">
        <v>7</v>
      </c>
      <c r="BP426" s="27" t="s">
        <v>7</v>
      </c>
      <c r="BR426" s="27" t="s">
        <v>7</v>
      </c>
    </row>
    <row r="427" spans="1:79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G427" s="27" t="s">
        <v>8</v>
      </c>
      <c r="H427" s="27" t="s">
        <v>7</v>
      </c>
      <c r="I427" s="27" t="s">
        <v>8</v>
      </c>
      <c r="K427" s="27" t="s">
        <v>8</v>
      </c>
      <c r="M427" s="27" t="s">
        <v>8</v>
      </c>
      <c r="N427" s="27" t="s">
        <v>7</v>
      </c>
      <c r="Q427" s="27" t="s">
        <v>8</v>
      </c>
      <c r="AL427" s="27" t="s">
        <v>7</v>
      </c>
      <c r="AM427" s="27" t="s">
        <v>8</v>
      </c>
      <c r="AN427" s="27" t="s">
        <v>7</v>
      </c>
      <c r="AO427" s="27" t="s">
        <v>8</v>
      </c>
      <c r="AP427" s="27" t="s">
        <v>7</v>
      </c>
      <c r="AQ427" s="27" t="s">
        <v>8</v>
      </c>
      <c r="AR427" s="27" t="s">
        <v>7</v>
      </c>
      <c r="AX427" s="27" t="s">
        <v>7</v>
      </c>
      <c r="AY427" s="27" t="s">
        <v>8</v>
      </c>
      <c r="BR427" s="27" t="s">
        <v>7</v>
      </c>
      <c r="BS427" s="27" t="s">
        <v>8</v>
      </c>
    </row>
    <row r="428" spans="1:79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G428" s="27" t="s">
        <v>8</v>
      </c>
      <c r="H428" s="27" t="s">
        <v>7</v>
      </c>
      <c r="I428" s="27" t="s">
        <v>8</v>
      </c>
      <c r="J428" s="27" t="s">
        <v>7</v>
      </c>
      <c r="K428" s="27" t="s">
        <v>8</v>
      </c>
      <c r="L428" s="27" t="s">
        <v>7</v>
      </c>
      <c r="M428" s="27" t="s">
        <v>8</v>
      </c>
      <c r="N428" s="27" t="s">
        <v>7</v>
      </c>
      <c r="O428" s="27" t="s">
        <v>8</v>
      </c>
      <c r="Q428" s="27" t="s">
        <v>8</v>
      </c>
      <c r="AL428" s="27" t="s">
        <v>7</v>
      </c>
      <c r="AM428" s="27" t="s">
        <v>8</v>
      </c>
      <c r="AN428" s="27" t="s">
        <v>7</v>
      </c>
      <c r="AO428" s="27" t="s">
        <v>8</v>
      </c>
      <c r="AP428" s="27" t="s">
        <v>7</v>
      </c>
      <c r="AQ428" s="27" t="s">
        <v>8</v>
      </c>
      <c r="AX428" s="27" t="s">
        <v>7</v>
      </c>
      <c r="AY428" s="27" t="s">
        <v>8</v>
      </c>
      <c r="BR428" s="27" t="s">
        <v>7</v>
      </c>
      <c r="BS428" s="27" t="s">
        <v>8</v>
      </c>
      <c r="BT428" s="27" t="s">
        <v>7</v>
      </c>
      <c r="BY428" s="27" t="s">
        <v>8</v>
      </c>
    </row>
    <row r="429" spans="1:79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G429" s="27" t="s">
        <v>8</v>
      </c>
      <c r="H429" s="27" t="s">
        <v>7</v>
      </c>
      <c r="I429" s="27" t="s">
        <v>8</v>
      </c>
      <c r="J429" s="27" t="s">
        <v>7</v>
      </c>
      <c r="K429" s="27" t="s">
        <v>8</v>
      </c>
      <c r="L429" s="27" t="s">
        <v>7</v>
      </c>
      <c r="M429" s="27" t="s">
        <v>8</v>
      </c>
      <c r="N429" s="27" t="s">
        <v>7</v>
      </c>
      <c r="O429" s="27" t="s">
        <v>8</v>
      </c>
      <c r="P429" s="27" t="s">
        <v>7</v>
      </c>
      <c r="Q429" s="27" t="s">
        <v>8</v>
      </c>
      <c r="AL429" s="27" t="s">
        <v>7</v>
      </c>
      <c r="AM429" s="27" t="s">
        <v>8</v>
      </c>
      <c r="AN429" s="27" t="s">
        <v>7</v>
      </c>
      <c r="AO429" s="27" t="s">
        <v>8</v>
      </c>
      <c r="AP429" s="27" t="s">
        <v>7</v>
      </c>
      <c r="AQ429" s="27" t="s">
        <v>8</v>
      </c>
      <c r="AX429" s="27" t="s">
        <v>7</v>
      </c>
      <c r="AY429" s="27" t="s">
        <v>8</v>
      </c>
      <c r="BR429" s="27" t="s">
        <v>7</v>
      </c>
      <c r="BS429" s="27" t="s">
        <v>8</v>
      </c>
      <c r="BT429" s="27" t="s">
        <v>7</v>
      </c>
      <c r="BY429" s="27" t="s">
        <v>8</v>
      </c>
      <c r="BZ429" s="27" t="s">
        <v>7</v>
      </c>
    </row>
    <row r="430" spans="1:79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H430" s="27" t="s">
        <v>7</v>
      </c>
      <c r="I430" s="27" t="s">
        <v>8</v>
      </c>
      <c r="J430" s="27" t="s">
        <v>7</v>
      </c>
      <c r="K430" s="27" t="s">
        <v>8</v>
      </c>
      <c r="L430" s="27" t="s">
        <v>7</v>
      </c>
      <c r="M430" s="27" t="s">
        <v>8</v>
      </c>
      <c r="N430" s="27" t="s">
        <v>7</v>
      </c>
      <c r="O430" s="27" t="s">
        <v>8</v>
      </c>
      <c r="P430" s="27" t="s">
        <v>7</v>
      </c>
      <c r="Q430" s="27" t="s">
        <v>8</v>
      </c>
      <c r="AL430" s="27" t="s">
        <v>7</v>
      </c>
      <c r="AM430" s="27" t="s">
        <v>8</v>
      </c>
      <c r="AN430" s="27" t="s">
        <v>7</v>
      </c>
      <c r="AO430" s="27" t="s">
        <v>8</v>
      </c>
      <c r="AP430" s="27" t="s">
        <v>7</v>
      </c>
      <c r="AQ430" s="27" t="s">
        <v>8</v>
      </c>
      <c r="AX430" s="27" t="s">
        <v>7</v>
      </c>
      <c r="BR430" s="27" t="s">
        <v>7</v>
      </c>
      <c r="BS430" s="27" t="s">
        <v>8</v>
      </c>
      <c r="BT430" s="27" t="s">
        <v>7</v>
      </c>
      <c r="BY430" s="27" t="s">
        <v>8</v>
      </c>
      <c r="BZ430" s="27" t="s">
        <v>7</v>
      </c>
    </row>
    <row r="431" spans="1:79" x14ac:dyDescent="0.25">
      <c r="A431" s="7">
        <v>21.959719826504344</v>
      </c>
      <c r="B431"/>
      <c r="C431"/>
      <c r="D431"/>
      <c r="E431" t="s">
        <v>8</v>
      </c>
      <c r="H431" s="27" t="s">
        <v>7</v>
      </c>
      <c r="I431" s="27" t="s">
        <v>8</v>
      </c>
      <c r="J431" s="27" t="s">
        <v>7</v>
      </c>
      <c r="L431" s="27" t="s">
        <v>7</v>
      </c>
      <c r="M431" s="27" t="s">
        <v>8</v>
      </c>
      <c r="N431" s="27" t="s">
        <v>7</v>
      </c>
      <c r="O431" s="27" t="s">
        <v>8</v>
      </c>
      <c r="P431" s="27" t="s">
        <v>7</v>
      </c>
      <c r="Q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P431" s="27" t="s">
        <v>7</v>
      </c>
      <c r="BR431" s="27" t="s">
        <v>7</v>
      </c>
      <c r="BS431" s="27" t="s">
        <v>8</v>
      </c>
      <c r="BT431" s="27" t="s">
        <v>7</v>
      </c>
      <c r="BY431" s="27" t="s">
        <v>8</v>
      </c>
      <c r="BZ431" s="27" t="s">
        <v>7</v>
      </c>
    </row>
    <row r="432" spans="1:79" x14ac:dyDescent="0.25">
      <c r="A432" s="7">
        <v>21.52913708480818</v>
      </c>
      <c r="B432"/>
      <c r="C432"/>
      <c r="D432"/>
      <c r="E432" t="s">
        <v>8</v>
      </c>
      <c r="H432" s="27" t="s">
        <v>7</v>
      </c>
      <c r="I432" s="27" t="s">
        <v>8</v>
      </c>
      <c r="L432" s="27" t="s">
        <v>7</v>
      </c>
      <c r="M432" s="27" t="s">
        <v>8</v>
      </c>
      <c r="N432" s="27" t="s">
        <v>7</v>
      </c>
      <c r="O432" s="27" t="s">
        <v>8</v>
      </c>
      <c r="P432" s="27" t="s">
        <v>7</v>
      </c>
      <c r="AL432" s="27" t="s">
        <v>7</v>
      </c>
      <c r="AN432" s="27" t="s">
        <v>7</v>
      </c>
      <c r="BR432" s="27" t="s">
        <v>7</v>
      </c>
      <c r="BS432" s="27" t="s">
        <v>8</v>
      </c>
      <c r="BT432" s="27" t="s">
        <v>7</v>
      </c>
      <c r="BY432" s="27" t="s">
        <v>8</v>
      </c>
      <c r="BZ432" s="27" t="s">
        <v>7</v>
      </c>
      <c r="CA432" s="27" t="s">
        <v>8</v>
      </c>
    </row>
    <row r="433" spans="1:85" x14ac:dyDescent="0.25">
      <c r="A433" s="7">
        <v>21.106997141968804</v>
      </c>
      <c r="B433"/>
      <c r="C433"/>
      <c r="D433"/>
      <c r="E433" t="s">
        <v>8</v>
      </c>
      <c r="H433" s="27" t="s">
        <v>7</v>
      </c>
      <c r="I433" s="27" t="s">
        <v>8</v>
      </c>
      <c r="L433" s="27" t="s">
        <v>7</v>
      </c>
      <c r="M433" s="27" t="s">
        <v>8</v>
      </c>
      <c r="N433" s="27" t="s">
        <v>7</v>
      </c>
      <c r="O433" s="27" t="s">
        <v>8</v>
      </c>
      <c r="BR433" s="27" t="s">
        <v>7</v>
      </c>
      <c r="BS433" s="27" t="s">
        <v>8</v>
      </c>
      <c r="BT433" s="27" t="s">
        <v>7</v>
      </c>
      <c r="BY433" s="27" t="s">
        <v>8</v>
      </c>
      <c r="BZ433" s="27" t="s">
        <v>7</v>
      </c>
      <c r="CA433" s="27" t="s">
        <v>8</v>
      </c>
      <c r="CB433" s="27" t="s">
        <v>7</v>
      </c>
    </row>
    <row r="434" spans="1:85" x14ac:dyDescent="0.25">
      <c r="A434" s="7">
        <v>20.693134452910591</v>
      </c>
      <c r="B434"/>
      <c r="C434"/>
      <c r="D434"/>
      <c r="E434" t="s">
        <v>8</v>
      </c>
      <c r="H434" s="27" t="s">
        <v>7</v>
      </c>
      <c r="I434" s="27" t="s">
        <v>8</v>
      </c>
      <c r="L434" s="27" t="s">
        <v>7</v>
      </c>
      <c r="M434" s="27" t="s">
        <v>8</v>
      </c>
      <c r="N434" s="27" t="s">
        <v>7</v>
      </c>
      <c r="BR434" s="27" t="s">
        <v>7</v>
      </c>
      <c r="BS434" s="27" t="s">
        <v>8</v>
      </c>
      <c r="BT434" s="27" t="s">
        <v>7</v>
      </c>
      <c r="BY434" s="27" t="s">
        <v>8</v>
      </c>
      <c r="BZ434" s="27" t="s">
        <v>7</v>
      </c>
      <c r="CA434" s="27" t="s">
        <v>8</v>
      </c>
      <c r="CB434" s="27" t="s">
        <v>7</v>
      </c>
    </row>
    <row r="435" spans="1:85" x14ac:dyDescent="0.25">
      <c r="A435" s="7">
        <v>20.287386718539796</v>
      </c>
      <c r="B435"/>
      <c r="C435"/>
      <c r="D435"/>
      <c r="E435" t="s">
        <v>8</v>
      </c>
      <c r="H435" s="27" t="s">
        <v>7</v>
      </c>
      <c r="I435" s="27" t="s">
        <v>8</v>
      </c>
      <c r="L435" s="27" t="s">
        <v>7</v>
      </c>
      <c r="BR435" s="27" t="s">
        <v>7</v>
      </c>
      <c r="BS435" s="27" t="s">
        <v>8</v>
      </c>
      <c r="BT435" s="27" t="s">
        <v>7</v>
      </c>
      <c r="BY435" s="27" t="s">
        <v>8</v>
      </c>
      <c r="BZ435" s="27" t="s">
        <v>7</v>
      </c>
      <c r="CA435" s="27" t="s">
        <v>8</v>
      </c>
      <c r="CB435" s="27" t="s">
        <v>7</v>
      </c>
    </row>
    <row r="436" spans="1:85" x14ac:dyDescent="0.25">
      <c r="A436" s="7">
        <v>19.889594822097838</v>
      </c>
      <c r="B436"/>
      <c r="C436"/>
      <c r="D436"/>
      <c r="E436" t="s">
        <v>8</v>
      </c>
      <c r="H436" s="27" t="s">
        <v>7</v>
      </c>
      <c r="I436" s="27" t="s">
        <v>8</v>
      </c>
      <c r="BR436" s="27" t="s">
        <v>7</v>
      </c>
      <c r="BT436" s="27" t="s">
        <v>7</v>
      </c>
      <c r="BY436" s="27" t="s">
        <v>8</v>
      </c>
      <c r="BZ436" s="27" t="s">
        <v>7</v>
      </c>
      <c r="CA436" s="27" t="s">
        <v>8</v>
      </c>
      <c r="CB436" s="27" t="s">
        <v>7</v>
      </c>
    </row>
    <row r="437" spans="1:85" x14ac:dyDescent="0.25">
      <c r="A437" s="7">
        <v>19.499602766762585</v>
      </c>
      <c r="B437"/>
      <c r="C437"/>
      <c r="D437"/>
      <c r="E437" t="s">
        <v>8</v>
      </c>
      <c r="H437" s="27" t="s">
        <v>7</v>
      </c>
      <c r="I437" s="27" t="s">
        <v>8</v>
      </c>
      <c r="BT437" s="27" t="s">
        <v>7</v>
      </c>
      <c r="BY437" s="27" t="s">
        <v>8</v>
      </c>
      <c r="BZ437" s="27" t="s">
        <v>7</v>
      </c>
      <c r="CA437" s="27" t="s">
        <v>8</v>
      </c>
      <c r="CB437" s="27" t="s">
        <v>7</v>
      </c>
    </row>
    <row r="438" spans="1:85" x14ac:dyDescent="0.25">
      <c r="A438" s="7">
        <v>19.117257614473122</v>
      </c>
      <c r="B438"/>
      <c r="C438"/>
      <c r="D438"/>
      <c r="E438" t="s">
        <v>8</v>
      </c>
      <c r="H438" s="27" t="s">
        <v>7</v>
      </c>
      <c r="BT438" s="27" t="s">
        <v>7</v>
      </c>
      <c r="BY438" s="27" t="s">
        <v>8</v>
      </c>
      <c r="BZ438" s="27" t="s">
        <v>7</v>
      </c>
      <c r="CA438" s="27" t="s">
        <v>8</v>
      </c>
      <c r="CB438" s="27" t="s">
        <v>7</v>
      </c>
      <c r="CC438" s="27" t="s">
        <v>8</v>
      </c>
    </row>
    <row r="439" spans="1:85" x14ac:dyDescent="0.25">
      <c r="A439" s="7">
        <v>18.74240942595404</v>
      </c>
      <c r="B439"/>
      <c r="C439"/>
      <c r="D439"/>
      <c r="E439" t="s">
        <v>8</v>
      </c>
      <c r="BT439" s="27" t="s">
        <v>7</v>
      </c>
      <c r="BY439" s="27" t="s">
        <v>8</v>
      </c>
      <c r="BZ439" s="27" t="s">
        <v>7</v>
      </c>
      <c r="CA439" s="27" t="s">
        <v>8</v>
      </c>
      <c r="CB439" s="27" t="s">
        <v>7</v>
      </c>
      <c r="CC439" s="27" t="s">
        <v>8</v>
      </c>
      <c r="CD439" s="27" t="s">
        <v>7</v>
      </c>
    </row>
    <row r="440" spans="1:85" x14ac:dyDescent="0.25">
      <c r="A440" s="7">
        <v>18.374911201915726</v>
      </c>
      <c r="B440"/>
      <c r="C440"/>
      <c r="D440"/>
      <c r="E440" t="s">
        <v>8</v>
      </c>
      <c r="BT440" s="27" t="s">
        <v>7</v>
      </c>
      <c r="BU440" s="27" t="s">
        <v>8</v>
      </c>
      <c r="BY440" s="27" t="s">
        <v>8</v>
      </c>
      <c r="BZ440" s="27" t="s">
        <v>7</v>
      </c>
      <c r="CA440" s="27" t="s">
        <v>8</v>
      </c>
      <c r="CB440" s="27" t="s">
        <v>7</v>
      </c>
      <c r="CC440" s="27" t="s">
        <v>8</v>
      </c>
      <c r="CD440" s="27" t="s">
        <v>7</v>
      </c>
    </row>
    <row r="441" spans="1:85" x14ac:dyDescent="0.25">
      <c r="A441" s="7">
        <v>18.014618825407574</v>
      </c>
      <c r="B441"/>
      <c r="C441"/>
      <c r="D441"/>
      <c r="E441" t="s">
        <v>8</v>
      </c>
      <c r="BT441" s="27" t="s">
        <v>7</v>
      </c>
      <c r="BU441" s="27" t="s">
        <v>8</v>
      </c>
      <c r="BV441" s="27" t="s">
        <v>7</v>
      </c>
      <c r="BY441" s="27" t="s">
        <v>8</v>
      </c>
      <c r="BZ441" s="27" t="s">
        <v>7</v>
      </c>
      <c r="CA441" s="27" t="s">
        <v>8</v>
      </c>
      <c r="CB441" s="27" t="s">
        <v>7</v>
      </c>
      <c r="CD441" s="27" t="s">
        <v>7</v>
      </c>
    </row>
    <row r="442" spans="1:85" x14ac:dyDescent="0.25">
      <c r="A442" s="7">
        <v>17.661391005301542</v>
      </c>
      <c r="B442"/>
      <c r="C442"/>
      <c r="D442"/>
      <c r="E442" t="s">
        <v>8</v>
      </c>
      <c r="BT442" s="27" t="s">
        <v>7</v>
      </c>
      <c r="BU442" s="27" t="s">
        <v>8</v>
      </c>
      <c r="BV442" s="27" t="s">
        <v>7</v>
      </c>
      <c r="BW442" s="27" t="s">
        <v>8</v>
      </c>
      <c r="BY442" s="27" t="s">
        <v>8</v>
      </c>
      <c r="BZ442" s="27" t="s">
        <v>7</v>
      </c>
      <c r="CA442" s="27" t="s">
        <v>8</v>
      </c>
      <c r="CD442" s="27" t="s">
        <v>7</v>
      </c>
      <c r="CE442" s="27" t="s">
        <v>8</v>
      </c>
    </row>
    <row r="443" spans="1:85" x14ac:dyDescent="0.25">
      <c r="A443" s="7">
        <v>17.315089220883866</v>
      </c>
      <c r="B443"/>
      <c r="C443"/>
      <c r="D443"/>
      <c r="E443" t="s">
        <v>8</v>
      </c>
      <c r="BT443" s="27" t="s">
        <v>7</v>
      </c>
      <c r="BU443" s="27" t="s">
        <v>8</v>
      </c>
      <c r="BV443" s="27" t="s">
        <v>7</v>
      </c>
      <c r="BW443" s="27" t="s">
        <v>8</v>
      </c>
      <c r="BX443" s="27" t="s">
        <v>7</v>
      </c>
      <c r="BY443" s="27" t="s">
        <v>8</v>
      </c>
      <c r="BZ443" s="27" t="s">
        <v>7</v>
      </c>
      <c r="CA443" s="27" t="s">
        <v>8</v>
      </c>
      <c r="CD443" s="27" t="s">
        <v>7</v>
      </c>
      <c r="CE443" s="27" t="s">
        <v>8</v>
      </c>
      <c r="CF443" s="27" t="s">
        <v>7</v>
      </c>
    </row>
    <row r="444" spans="1:85" x14ac:dyDescent="0.25">
      <c r="A444" s="7">
        <v>16.975577667533202</v>
      </c>
      <c r="B444"/>
      <c r="C444"/>
      <c r="D444"/>
      <c r="E444" t="s">
        <v>8</v>
      </c>
      <c r="BT444" s="27" t="s">
        <v>7</v>
      </c>
      <c r="BU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BZ444" s="27" t="s">
        <v>7</v>
      </c>
      <c r="CA444" s="27" t="s">
        <v>8</v>
      </c>
      <c r="CD444" s="27" t="s">
        <v>7</v>
      </c>
      <c r="CE444" s="27" t="s">
        <v>8</v>
      </c>
      <c r="CF444" s="27" t="s">
        <v>7</v>
      </c>
    </row>
    <row r="445" spans="1:85" x14ac:dyDescent="0.25">
      <c r="A445" s="7">
        <v>16.642723203463923</v>
      </c>
      <c r="B445"/>
      <c r="C445"/>
      <c r="D445"/>
      <c r="E445" t="s">
        <v>8</v>
      </c>
      <c r="BT445" s="27" t="s">
        <v>7</v>
      </c>
      <c r="BV445" s="27" t="s">
        <v>7</v>
      </c>
      <c r="BW445" s="27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  <c r="CD445" s="27" t="s">
        <v>7</v>
      </c>
      <c r="CF445" s="27" t="s">
        <v>7</v>
      </c>
    </row>
    <row r="446" spans="1:85" x14ac:dyDescent="0.25">
      <c r="A446" s="7">
        <v>16.316395297513651</v>
      </c>
      <c r="B446"/>
      <c r="C446"/>
      <c r="D446"/>
      <c r="E446" t="s">
        <v>8</v>
      </c>
      <c r="BV446" s="27" t="s">
        <v>7</v>
      </c>
      <c r="BW446" s="27" t="s">
        <v>8</v>
      </c>
      <c r="BX446" s="27" t="s">
        <v>7</v>
      </c>
      <c r="BY446" s="27" t="s">
        <v>8</v>
      </c>
      <c r="BZ446" s="27" t="s">
        <v>7</v>
      </c>
      <c r="CF446" s="27" t="s">
        <v>7</v>
      </c>
    </row>
    <row r="447" spans="1:85" x14ac:dyDescent="0.25">
      <c r="A447" s="7">
        <v>15.996465977954561</v>
      </c>
      <c r="B447"/>
      <c r="C447"/>
      <c r="D447"/>
      <c r="E447" t="s">
        <v>8</v>
      </c>
      <c r="BV447" s="27" t="s">
        <v>7</v>
      </c>
      <c r="BW447" s="27" t="s">
        <v>8</v>
      </c>
      <c r="BX447" s="27" t="s">
        <v>7</v>
      </c>
      <c r="BY447" s="27" t="s">
        <v>8</v>
      </c>
      <c r="CF447" s="27" t="s">
        <v>7</v>
      </c>
    </row>
    <row r="448" spans="1:85" x14ac:dyDescent="0.25">
      <c r="A448" s="7">
        <v>15.682809782308393</v>
      </c>
      <c r="B448"/>
      <c r="C448"/>
      <c r="D448"/>
      <c r="E448" t="s">
        <v>8</v>
      </c>
      <c r="BV448" s="27" t="s">
        <v>7</v>
      </c>
      <c r="BW448" s="27" t="s">
        <v>8</v>
      </c>
      <c r="BX448" s="27" t="s">
        <v>7</v>
      </c>
      <c r="BY448" s="27" t="s">
        <v>8</v>
      </c>
      <c r="CF448" s="27" t="s">
        <v>7</v>
      </c>
      <c r="CG448" s="27" t="s">
        <v>8</v>
      </c>
    </row>
    <row r="449" spans="1:88" x14ac:dyDescent="0.25">
      <c r="A449" s="7">
        <v>15.375303708145482</v>
      </c>
      <c r="B449"/>
      <c r="C449"/>
      <c r="D449"/>
      <c r="E449" t="s">
        <v>8</v>
      </c>
      <c r="BV449" s="27" t="s">
        <v>7</v>
      </c>
      <c r="BW449" s="27" t="s">
        <v>8</v>
      </c>
      <c r="BX449" s="27" t="s">
        <v>7</v>
      </c>
      <c r="BY449" s="27" t="s">
        <v>8</v>
      </c>
      <c r="CF449" s="27" t="s">
        <v>7</v>
      </c>
      <c r="CG449" s="27" t="s">
        <v>8</v>
      </c>
      <c r="CH449" s="27" t="s">
        <v>7</v>
      </c>
    </row>
    <row r="450" spans="1:88" x14ac:dyDescent="0.25">
      <c r="A450" s="7">
        <v>15.073827164848511</v>
      </c>
      <c r="B450"/>
      <c r="C450"/>
      <c r="D450"/>
      <c r="E450" t="s">
        <v>8</v>
      </c>
      <c r="BV450" s="27" t="s">
        <v>7</v>
      </c>
      <c r="BW450" s="27" t="s">
        <v>8</v>
      </c>
      <c r="BX450" s="27" t="s">
        <v>7</v>
      </c>
      <c r="CF450" s="27" t="s">
        <v>7</v>
      </c>
      <c r="CG450" s="27" t="s">
        <v>8</v>
      </c>
      <c r="CH450" s="27" t="s">
        <v>7</v>
      </c>
    </row>
    <row r="451" spans="1:88" x14ac:dyDescent="0.25">
      <c r="A451" s="7">
        <v>14.77826192632207</v>
      </c>
      <c r="B451"/>
      <c r="C451"/>
      <c r="D451"/>
      <c r="E451" t="s">
        <v>8</v>
      </c>
      <c r="BV451" s="27" t="s">
        <v>7</v>
      </c>
      <c r="CF451" s="27" t="s">
        <v>7</v>
      </c>
      <c r="CG451" s="27" t="s">
        <v>8</v>
      </c>
      <c r="CH451" s="27" t="s">
        <v>7</v>
      </c>
    </row>
    <row r="452" spans="1:88" x14ac:dyDescent="0.25">
      <c r="A452" s="7">
        <v>14.488492084629481</v>
      </c>
      <c r="B452"/>
      <c r="C452"/>
      <c r="D452"/>
      <c r="E452" t="s">
        <v>8</v>
      </c>
      <c r="CF452" s="27" t="s">
        <v>7</v>
      </c>
      <c r="CH452" s="27" t="s">
        <v>7</v>
      </c>
    </row>
    <row r="453" spans="1:88" x14ac:dyDescent="0.25">
      <c r="A453" s="7">
        <v>14.204404004538707</v>
      </c>
      <c r="B453"/>
      <c r="C453"/>
      <c r="D453"/>
      <c r="E453" t="s">
        <v>8</v>
      </c>
      <c r="CH453" s="27" t="s">
        <v>7</v>
      </c>
    </row>
    <row r="454" spans="1:88" x14ac:dyDescent="0.25">
      <c r="A454" s="7">
        <v>13.925886278959517</v>
      </c>
      <c r="B454"/>
      <c r="C454"/>
      <c r="D454"/>
      <c r="E454" t="s">
        <v>8</v>
      </c>
      <c r="CH454" s="27" t="s">
        <v>7</v>
      </c>
    </row>
    <row r="455" spans="1:88" x14ac:dyDescent="0.25">
      <c r="A455" s="7">
        <v>13.652829685254428</v>
      </c>
      <c r="B455"/>
      <c r="C455"/>
      <c r="D455"/>
      <c r="E455" t="s">
        <v>8</v>
      </c>
      <c r="CH455" s="27" t="s">
        <v>7</v>
      </c>
    </row>
    <row r="456" spans="1:88" x14ac:dyDescent="0.25">
      <c r="A456" s="7">
        <v>13.385127142406303</v>
      </c>
      <c r="B456"/>
      <c r="C456"/>
      <c r="D456"/>
      <c r="E456" t="s">
        <v>8</v>
      </c>
      <c r="CH456" s="27" t="s">
        <v>7</v>
      </c>
    </row>
    <row r="457" spans="1:88" x14ac:dyDescent="0.25">
      <c r="A457" s="7">
        <v>13.122673669025787</v>
      </c>
      <c r="B457"/>
      <c r="C457"/>
      <c r="D457"/>
      <c r="E457" t="s">
        <v>8</v>
      </c>
      <c r="CH457" s="27" t="s">
        <v>7</v>
      </c>
    </row>
    <row r="458" spans="1:88" x14ac:dyDescent="0.25">
      <c r="A458" s="7">
        <v>12.865366342182144</v>
      </c>
      <c r="B458"/>
      <c r="C458"/>
      <c r="D458"/>
      <c r="E458" t="s">
        <v>8</v>
      </c>
      <c r="CH458" s="27" t="s">
        <v>7</v>
      </c>
    </row>
    <row r="459" spans="1:88" x14ac:dyDescent="0.25">
      <c r="A459" s="7">
        <v>12.613104257041318</v>
      </c>
      <c r="B459"/>
      <c r="C459"/>
      <c r="D459"/>
      <c r="E459" t="s">
        <v>8</v>
      </c>
      <c r="CH459" s="27" t="s">
        <v>7</v>
      </c>
    </row>
    <row r="460" spans="1:88" x14ac:dyDescent="0.25">
      <c r="A460" s="7">
        <v>12.36578848729541</v>
      </c>
      <c r="B460"/>
      <c r="C460"/>
      <c r="D460"/>
      <c r="E460" t="s">
        <v>8</v>
      </c>
      <c r="CH460" s="27" t="s">
        <v>7</v>
      </c>
    </row>
    <row r="461" spans="1:88" x14ac:dyDescent="0.25">
      <c r="A461" s="7">
        <v>12.123322046368049</v>
      </c>
      <c r="B461"/>
      <c r="C461"/>
      <c r="D461"/>
      <c r="E461" t="s">
        <v>8</v>
      </c>
      <c r="CH461" s="27" t="s">
        <v>7</v>
      </c>
      <c r="CI461" s="27" t="s">
        <v>8</v>
      </c>
    </row>
    <row r="462" spans="1:88" x14ac:dyDescent="0.25">
      <c r="A462" s="7">
        <v>11.88560984938044</v>
      </c>
      <c r="B462"/>
      <c r="C462"/>
      <c r="D462"/>
      <c r="E462" t="s">
        <v>8</v>
      </c>
      <c r="CH462" s="27" t="s">
        <v>7</v>
      </c>
      <c r="CI462" s="27" t="s">
        <v>8</v>
      </c>
      <c r="CJ462" s="27" t="s">
        <v>7</v>
      </c>
    </row>
    <row r="463" spans="1:88" x14ac:dyDescent="0.25">
      <c r="A463" s="7">
        <v>11.652558675863176</v>
      </c>
      <c r="B463"/>
      <c r="C463"/>
      <c r="D463"/>
      <c r="E463" t="s">
        <v>8</v>
      </c>
      <c r="CH463" s="27" t="s">
        <v>7</v>
      </c>
      <c r="CI463" s="27" t="s">
        <v>8</v>
      </c>
      <c r="CJ463" s="27" t="s">
        <v>7</v>
      </c>
    </row>
    <row r="464" spans="1:88" x14ac:dyDescent="0.25">
      <c r="A464" s="7">
        <v>11.424077133199193</v>
      </c>
      <c r="B464"/>
      <c r="C464"/>
      <c r="D464"/>
      <c r="E464" t="s">
        <v>8</v>
      </c>
      <c r="CH464" s="27" t="s">
        <v>7</v>
      </c>
      <c r="CI464" s="27" t="s">
        <v>8</v>
      </c>
      <c r="CJ464" s="27" t="s">
        <v>7</v>
      </c>
    </row>
    <row r="465" spans="1:88" x14ac:dyDescent="0.25">
      <c r="A465" s="7">
        <v>11.200075620783522</v>
      </c>
      <c r="B465"/>
      <c r="C465"/>
      <c r="D465"/>
      <c r="E465" t="s">
        <v>8</v>
      </c>
      <c r="CH465" s="27" t="s">
        <v>7</v>
      </c>
      <c r="CI465" s="27" t="s">
        <v>8</v>
      </c>
      <c r="CJ465" s="27" t="s">
        <v>7</v>
      </c>
    </row>
    <row r="466" spans="1:88" x14ac:dyDescent="0.25">
      <c r="A466" s="7">
        <v>10.980466294885806</v>
      </c>
      <c r="B466"/>
      <c r="C466"/>
      <c r="D466"/>
      <c r="E466" t="s">
        <v>8</v>
      </c>
      <c r="CH466" s="27" t="s">
        <v>7</v>
      </c>
      <c r="CI466" s="27" t="s">
        <v>8</v>
      </c>
      <c r="CJ466" s="27" t="s">
        <v>7</v>
      </c>
    </row>
    <row r="467" spans="1:88" x14ac:dyDescent="0.25">
      <c r="A467" s="7">
        <v>10.765163034201771</v>
      </c>
      <c r="B467"/>
      <c r="C467"/>
      <c r="D467"/>
      <c r="E467" t="s">
        <v>8</v>
      </c>
      <c r="CH467" s="27" t="s">
        <v>7</v>
      </c>
      <c r="CI467" s="27" t="s">
        <v>8</v>
      </c>
      <c r="CJ467" s="27" t="s">
        <v>7</v>
      </c>
    </row>
    <row r="468" spans="1:88" x14ac:dyDescent="0.25">
      <c r="A468" s="7">
        <v>10.554081406080169</v>
      </c>
      <c r="B468"/>
      <c r="C468"/>
      <c r="D468"/>
      <c r="E468" t="s">
        <v>8</v>
      </c>
      <c r="CH468" s="27" t="s">
        <v>7</v>
      </c>
      <c r="CI468" s="27" t="s">
        <v>8</v>
      </c>
      <c r="CJ468" s="27" t="s">
        <v>7</v>
      </c>
    </row>
    <row r="469" spans="1:88" x14ac:dyDescent="0.25">
      <c r="A469" s="7">
        <v>10.34713863341193</v>
      </c>
      <c r="B469"/>
      <c r="C469"/>
      <c r="D469"/>
      <c r="E469" t="s">
        <v>8</v>
      </c>
      <c r="CH469" s="27" t="s">
        <v>7</v>
      </c>
      <c r="CJ469" s="27" t="s">
        <v>7</v>
      </c>
    </row>
    <row r="470" spans="1:88" x14ac:dyDescent="0.25">
      <c r="A470" s="7">
        <v>10.14425356216856</v>
      </c>
      <c r="B470"/>
      <c r="C470"/>
      <c r="D470"/>
      <c r="E470" t="s">
        <v>8</v>
      </c>
    </row>
    <row r="471" spans="1:88" x14ac:dyDescent="0.25">
      <c r="A471" s="7">
        <v>9.9453466295770188</v>
      </c>
      <c r="B471"/>
      <c r="C471"/>
      <c r="D471"/>
      <c r="E471" t="s">
        <v>8</v>
      </c>
    </row>
    <row r="472" spans="1:88" x14ac:dyDescent="0.25">
      <c r="A472" s="7">
        <v>9.7503398329186464</v>
      </c>
      <c r="B472"/>
      <c r="C472"/>
      <c r="D472"/>
      <c r="E472" t="s">
        <v>8</v>
      </c>
    </row>
    <row r="473" spans="1:88" x14ac:dyDescent="0.25">
      <c r="A473" s="7">
        <v>9.5591566989398498</v>
      </c>
      <c r="B473"/>
      <c r="C473"/>
      <c r="D473"/>
      <c r="E473" t="s">
        <v>8</v>
      </c>
    </row>
    <row r="474" spans="1:88" x14ac:dyDescent="0.25">
      <c r="A474" s="7">
        <v>9.3717222538625968</v>
      </c>
      <c r="B474"/>
      <c r="C474"/>
      <c r="D474"/>
      <c r="E474" t="s">
        <v>8</v>
      </c>
    </row>
    <row r="475" spans="1:88" x14ac:dyDescent="0.25">
      <c r="A475" s="7">
        <v>9.1879629939829375</v>
      </c>
      <c r="B475"/>
      <c r="C475"/>
      <c r="D475"/>
      <c r="E475" t="s">
        <v>8</v>
      </c>
    </row>
    <row r="476" spans="1:88" x14ac:dyDescent="0.25">
      <c r="A476" s="7">
        <v>9.0078068568460168</v>
      </c>
      <c r="B476"/>
      <c r="C476"/>
      <c r="D476"/>
      <c r="E476" t="s">
        <v>8</v>
      </c>
    </row>
    <row r="477" spans="1:88" x14ac:dyDescent="0.25">
      <c r="A477" s="7">
        <v>8.8311831929862912</v>
      </c>
      <c r="B477"/>
      <c r="C477"/>
      <c r="D477"/>
      <c r="E477" t="s">
        <v>8</v>
      </c>
    </row>
    <row r="478" spans="1:88" x14ac:dyDescent="0.25">
      <c r="A478" s="7">
        <v>8.6580227382218542</v>
      </c>
      <c r="B478"/>
      <c r="C478"/>
      <c r="D478"/>
      <c r="E478" t="s">
        <v>8</v>
      </c>
    </row>
    <row r="479" spans="1:88" x14ac:dyDescent="0.25">
      <c r="A479" s="7">
        <v>8.4882575864920131</v>
      </c>
      <c r="B479"/>
      <c r="C479"/>
      <c r="D479"/>
      <c r="E479" t="s">
        <v>8</v>
      </c>
    </row>
    <row r="480" spans="1:88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12" operator="equal">
      <formula>$U$1</formula>
    </cfRule>
    <cfRule type="cellIs" dxfId="89" priority="613" operator="equal">
      <formula>$S$1</formula>
    </cfRule>
  </conditionalFormatting>
  <conditionalFormatting sqref="D27">
    <cfRule type="cellIs" dxfId="88" priority="610" operator="equal">
      <formula>$S$1</formula>
    </cfRule>
    <cfRule type="cellIs" dxfId="87" priority="611" operator="equal">
      <formula>$U$1</formula>
    </cfRule>
  </conditionalFormatting>
  <conditionalFormatting sqref="C164">
    <cfRule type="cellIs" dxfId="86" priority="608" operator="equal">
      <formula>$U$1</formula>
    </cfRule>
    <cfRule type="cellIs" dxfId="85" priority="609" operator="equal">
      <formula>$S$1</formula>
    </cfRule>
  </conditionalFormatting>
  <conditionalFormatting sqref="D164">
    <cfRule type="cellIs" dxfId="84" priority="606" operator="equal">
      <formula>$S$1</formula>
    </cfRule>
    <cfRule type="cellIs" dxfId="83" priority="607" operator="equal">
      <formula>$U$1</formula>
    </cfRule>
  </conditionalFormatting>
  <conditionalFormatting sqref="C55">
    <cfRule type="cellIs" dxfId="82" priority="604" operator="equal">
      <formula>$U$1</formula>
    </cfRule>
    <cfRule type="cellIs" dxfId="81" priority="605" operator="equal">
      <formula>$S$1</formula>
    </cfRule>
  </conditionalFormatting>
  <conditionalFormatting sqref="D55">
    <cfRule type="cellIs" dxfId="80" priority="602" operator="equal">
      <formula>$S$1</formula>
    </cfRule>
    <cfRule type="cellIs" dxfId="79" priority="603" operator="equal">
      <formula>$U$1</formula>
    </cfRule>
  </conditionalFormatting>
  <conditionalFormatting sqref="C89">
    <cfRule type="cellIs" dxfId="78" priority="600" operator="equal">
      <formula>$U$1</formula>
    </cfRule>
    <cfRule type="cellIs" dxfId="77" priority="601" operator="equal">
      <formula>$S$1</formula>
    </cfRule>
  </conditionalFormatting>
  <conditionalFormatting sqref="D89">
    <cfRule type="cellIs" dxfId="76" priority="598" operator="equal">
      <formula>$S$1</formula>
    </cfRule>
    <cfRule type="cellIs" dxfId="75" priority="599" operator="equal">
      <formula>$U$1</formula>
    </cfRule>
  </conditionalFormatting>
  <conditionalFormatting sqref="C136">
    <cfRule type="cellIs" dxfId="74" priority="596" operator="equal">
      <formula>$U$1</formula>
    </cfRule>
    <cfRule type="cellIs" dxfId="73" priority="597" operator="equal">
      <formula>$S$1</formula>
    </cfRule>
  </conditionalFormatting>
  <conditionalFormatting sqref="D136">
    <cfRule type="cellIs" dxfId="72" priority="594" operator="equal">
      <formula>$S$1</formula>
    </cfRule>
    <cfRule type="cellIs" dxfId="71" priority="595" operator="equal">
      <formula>$U$1</formula>
    </cfRule>
  </conditionalFormatting>
  <conditionalFormatting sqref="C1">
    <cfRule type="cellIs" dxfId="70" priority="59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H192" sqref="AH19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$A$191</v>
      </c>
      <c r="D111" s="1" t="str">
        <f>ADDRESS(C121-1,D121,1,1)</f>
        <v>$AH$191</v>
      </c>
      <c r="E111"/>
    </row>
    <row r="112" spans="1:5" x14ac:dyDescent="0.25">
      <c r="A112" s="30">
        <v>515.50191262726139</v>
      </c>
      <c r="C112" s="1" t="str">
        <f>ADDRESS(C121,1,1,1)</f>
        <v>$A$192</v>
      </c>
      <c r="D112" s="1" t="str">
        <f>ADDRESS(C121,D121-1,1,1)</f>
        <v>$AG$192</v>
      </c>
      <c r="E112"/>
    </row>
    <row r="113" spans="1:5" x14ac:dyDescent="0.25">
      <c r="A113" s="30">
        <v>490.95420250215363</v>
      </c>
      <c r="C113" s="1" t="str">
        <f>ADDRESS(C121+1,1,1,1)</f>
        <v>$A$193</v>
      </c>
      <c r="D113" s="1" t="str">
        <f>ADDRESS(C121-1,D121+1,1,1)</f>
        <v>$AI$191</v>
      </c>
    </row>
    <row r="114" spans="1:5" x14ac:dyDescent="0.25">
      <c r="A114" s="30">
        <v>467.57543095443202</v>
      </c>
      <c r="C114" s="1" t="str">
        <f>ADDRESS(C121,D121,1,1)</f>
        <v>$AH$192</v>
      </c>
      <c r="D114" s="1" t="str">
        <f>ADDRESS(C121+1,D121+1,1,1)</f>
        <v>$AI$193</v>
      </c>
    </row>
    <row r="115" spans="1:5" x14ac:dyDescent="0.25">
      <c r="A115" s="30">
        <v>445.30993424231622</v>
      </c>
      <c r="C115" s="1" t="str">
        <f>ADDRESS(C121+1,D121,1,1)</f>
        <v>$AH$193</v>
      </c>
    </row>
    <row r="116" spans="1:5" x14ac:dyDescent="0.25">
      <c r="A116" s="30">
        <v>424.10469927839637</v>
      </c>
      <c r="C116" s="1">
        <f>C117-1</f>
        <v>191</v>
      </c>
    </row>
    <row r="117" spans="1:5" x14ac:dyDescent="0.25">
      <c r="A117" s="30">
        <v>403.9092374079965</v>
      </c>
      <c r="C117" s="1">
        <f>C121</f>
        <v>192</v>
      </c>
      <c r="D117" s="1">
        <f>D121</f>
        <v>34</v>
      </c>
    </row>
    <row r="118" spans="1:5" x14ac:dyDescent="0.25">
      <c r="A118" s="30">
        <v>384.6754641980919</v>
      </c>
      <c r="C118" s="1">
        <f>C117+1</f>
        <v>193</v>
      </c>
      <c r="D118" s="1">
        <f>D117+1</f>
        <v>35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192</v>
      </c>
      <c r="D121" s="19">
        <v>34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R192</v>
      </c>
      <c r="D123" s="1" t="str">
        <f>"C"&amp;D121</f>
        <v>C34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10.401269646942135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24" x14ac:dyDescent="0.25">
      <c r="A145" s="30">
        <v>103.03467644609493</v>
      </c>
      <c r="E145"/>
    </row>
    <row r="146" spans="1:24" x14ac:dyDescent="0.25">
      <c r="A146" s="30">
        <v>98.128263281995174</v>
      </c>
      <c r="E146"/>
    </row>
    <row r="147" spans="1:24" x14ac:dyDescent="0.25">
      <c r="A147" s="30">
        <v>93.455488839995397</v>
      </c>
      <c r="E147"/>
    </row>
    <row r="148" spans="1:24" x14ac:dyDescent="0.25">
      <c r="A148" s="30">
        <v>89.005227466662276</v>
      </c>
      <c r="E148"/>
    </row>
    <row r="149" spans="1:24" x14ac:dyDescent="0.25">
      <c r="A149" s="30">
        <v>84.766883301583121</v>
      </c>
      <c r="E149"/>
    </row>
    <row r="150" spans="1:24" x14ac:dyDescent="0.25">
      <c r="A150" s="30">
        <v>80.730365049126775</v>
      </c>
      <c r="E150"/>
    </row>
    <row r="151" spans="1:24" x14ac:dyDescent="0.25">
      <c r="A151" s="30">
        <v>76.886061951549308</v>
      </c>
      <c r="E151"/>
    </row>
    <row r="152" spans="1:24" x14ac:dyDescent="0.25">
      <c r="A152" s="30">
        <v>73.22482090623744</v>
      </c>
      <c r="E152"/>
      <c r="S152" s="27" t="s">
        <v>8</v>
      </c>
    </row>
    <row r="153" spans="1:24" x14ac:dyDescent="0.25">
      <c r="A153" s="30">
        <v>69.737924672607079</v>
      </c>
      <c r="C153" s="7"/>
      <c r="D153"/>
      <c r="E153"/>
      <c r="S153" s="27" t="s">
        <v>8</v>
      </c>
      <c r="T153" s="27" t="s">
        <v>7</v>
      </c>
    </row>
    <row r="154" spans="1:24" x14ac:dyDescent="0.25">
      <c r="A154" s="30">
        <v>66.417071116768639</v>
      </c>
      <c r="E154"/>
      <c r="S154" s="27" t="s">
        <v>8</v>
      </c>
      <c r="T154" s="27" t="s">
        <v>7</v>
      </c>
    </row>
    <row r="155" spans="1:24" x14ac:dyDescent="0.25">
      <c r="A155" s="30">
        <v>63.254353444541557</v>
      </c>
      <c r="E155"/>
      <c r="S155" s="27" t="s">
        <v>8</v>
      </c>
      <c r="T155" s="27" t="s">
        <v>7</v>
      </c>
    </row>
    <row r="156" spans="1:24" x14ac:dyDescent="0.25">
      <c r="A156" s="30">
        <v>60.242241375753864</v>
      </c>
      <c r="C156"/>
      <c r="D156"/>
      <c r="E156"/>
      <c r="S156" s="27" t="s">
        <v>8</v>
      </c>
      <c r="T156" s="27" t="s">
        <v>7</v>
      </c>
    </row>
    <row r="157" spans="1:24" x14ac:dyDescent="0.25">
      <c r="A157" s="30">
        <v>57.373563215003678</v>
      </c>
      <c r="E157"/>
      <c r="S157" s="27" t="s">
        <v>8</v>
      </c>
      <c r="T157" s="27" t="s">
        <v>7</v>
      </c>
      <c r="W157" s="27" t="s">
        <v>8</v>
      </c>
    </row>
    <row r="158" spans="1:24" x14ac:dyDescent="0.25">
      <c r="A158" s="30">
        <v>54.641488776193974</v>
      </c>
      <c r="E158"/>
      <c r="S158" s="27" t="s">
        <v>8</v>
      </c>
      <c r="T158" s="27" t="s">
        <v>7</v>
      </c>
      <c r="W158" s="27" t="s">
        <v>8</v>
      </c>
      <c r="X158" s="27" t="s">
        <v>7</v>
      </c>
    </row>
    <row r="159" spans="1:24" x14ac:dyDescent="0.25">
      <c r="A159" s="30">
        <v>52.039513120184736</v>
      </c>
      <c r="E159"/>
      <c r="S159" s="27" t="s">
        <v>8</v>
      </c>
      <c r="T159" s="27" t="s">
        <v>7</v>
      </c>
      <c r="W159" s="27" t="s">
        <v>8</v>
      </c>
      <c r="X159" s="27" t="s">
        <v>7</v>
      </c>
    </row>
    <row r="160" spans="1:24" x14ac:dyDescent="0.25">
      <c r="A160" s="30">
        <v>49.561441066842605</v>
      </c>
      <c r="C160"/>
      <c r="E160"/>
      <c r="S160" s="27" t="s">
        <v>8</v>
      </c>
      <c r="T160" s="27" t="s">
        <v>7</v>
      </c>
      <c r="W160" s="27" t="s">
        <v>8</v>
      </c>
      <c r="X160" s="27" t="s">
        <v>7</v>
      </c>
    </row>
    <row r="161" spans="1:29" x14ac:dyDescent="0.25">
      <c r="A161" s="30">
        <v>47.201372444612005</v>
      </c>
      <c r="E161"/>
      <c r="S161" s="27" t="s">
        <v>8</v>
      </c>
      <c r="T161" s="27" t="s">
        <v>7</v>
      </c>
      <c r="W161" s="27" t="s">
        <v>8</v>
      </c>
      <c r="X161" s="27" t="s">
        <v>7</v>
      </c>
    </row>
    <row r="162" spans="1:29" x14ac:dyDescent="0.25">
      <c r="A162" s="30">
        <v>44.95368804248762</v>
      </c>
      <c r="E162"/>
      <c r="S162" s="27" t="s">
        <v>8</v>
      </c>
      <c r="T162" s="27" t="s">
        <v>7</v>
      </c>
      <c r="W162" s="27" t="s">
        <v>8</v>
      </c>
      <c r="X162" s="27" t="s">
        <v>7</v>
      </c>
    </row>
    <row r="163" spans="1:29" x14ac:dyDescent="0.25">
      <c r="A163" s="30">
        <v>42.81303623094059</v>
      </c>
      <c r="E163"/>
      <c r="S163" s="27" t="s">
        <v>8</v>
      </c>
      <c r="T163" s="27" t="s">
        <v>7</v>
      </c>
      <c r="W163" s="27" t="s">
        <v>8</v>
      </c>
      <c r="X163" s="27" t="s">
        <v>7</v>
      </c>
    </row>
    <row r="164" spans="1:29" x14ac:dyDescent="0.25">
      <c r="A164" s="30">
        <v>40.774320219943419</v>
      </c>
      <c r="E164"/>
      <c r="S164" s="27" t="s">
        <v>8</v>
      </c>
      <c r="T164" s="27" t="s">
        <v>7</v>
      </c>
      <c r="W164" s="27" t="s">
        <v>8</v>
      </c>
      <c r="X164" s="27" t="s">
        <v>7</v>
      </c>
    </row>
    <row r="165" spans="1:29" x14ac:dyDescent="0.25">
      <c r="A165" s="30">
        <v>38.832685923755633</v>
      </c>
      <c r="E165"/>
      <c r="S165" s="27" t="s">
        <v>8</v>
      </c>
      <c r="T165" s="27" t="s">
        <v>7</v>
      </c>
      <c r="W165" s="27" t="s">
        <v>8</v>
      </c>
      <c r="X165" s="27" t="s">
        <v>7</v>
      </c>
    </row>
    <row r="166" spans="1:29" x14ac:dyDescent="0.25">
      <c r="A166" s="30">
        <v>36.983510403576794</v>
      </c>
      <c r="E166" t="s">
        <v>8</v>
      </c>
      <c r="M166" s="27" t="s">
        <v>8</v>
      </c>
      <c r="S166" s="27" t="s">
        <v>8</v>
      </c>
      <c r="T166" s="27" t="s">
        <v>7</v>
      </c>
      <c r="W166" s="27" t="s">
        <v>8</v>
      </c>
      <c r="X166" s="27" t="s">
        <v>7</v>
      </c>
    </row>
    <row r="167" spans="1:29" x14ac:dyDescent="0.25">
      <c r="A167" s="30">
        <v>35.222390860549325</v>
      </c>
      <c r="E167" t="s">
        <v>8</v>
      </c>
      <c r="F167" s="27" t="s">
        <v>7</v>
      </c>
      <c r="M167" s="27" t="s">
        <v>8</v>
      </c>
      <c r="N167" s="27" t="s">
        <v>7</v>
      </c>
      <c r="O167" s="27" t="s">
        <v>8</v>
      </c>
      <c r="S167" s="27" t="s">
        <v>8</v>
      </c>
      <c r="T167" s="27" t="s">
        <v>7</v>
      </c>
      <c r="W167" s="27" t="s">
        <v>8</v>
      </c>
      <c r="X167" s="27" t="s">
        <v>7</v>
      </c>
    </row>
    <row r="168" spans="1:29" x14ac:dyDescent="0.25">
      <c r="A168" s="30">
        <v>33.545134152904119</v>
      </c>
      <c r="E168" t="s">
        <v>8</v>
      </c>
      <c r="F168" s="27" t="s">
        <v>7</v>
      </c>
      <c r="I168" s="27" t="s">
        <v>8</v>
      </c>
      <c r="M168" s="27" t="s">
        <v>8</v>
      </c>
      <c r="N168" s="27" t="s">
        <v>7</v>
      </c>
      <c r="O168" s="27" t="s">
        <v>8</v>
      </c>
      <c r="P168" s="27" t="s">
        <v>7</v>
      </c>
      <c r="S168" s="27" t="s">
        <v>8</v>
      </c>
      <c r="T168" s="27" t="s">
        <v>7</v>
      </c>
      <c r="U168" s="27" t="s">
        <v>8</v>
      </c>
      <c r="W168" s="27" t="s">
        <v>8</v>
      </c>
      <c r="X168" s="27" t="s">
        <v>7</v>
      </c>
    </row>
    <row r="169" spans="1:29" x14ac:dyDescent="0.25">
      <c r="A169" s="30">
        <v>31.947746812289637</v>
      </c>
      <c r="E169" t="s">
        <v>8</v>
      </c>
      <c r="F169" s="27" t="s">
        <v>7</v>
      </c>
      <c r="I169" s="27" t="s">
        <v>8</v>
      </c>
      <c r="J169" s="27" t="s">
        <v>7</v>
      </c>
      <c r="K169" s="27" t="s">
        <v>8</v>
      </c>
      <c r="M169" s="27" t="s">
        <v>8</v>
      </c>
      <c r="N169" s="27" t="s">
        <v>7</v>
      </c>
      <c r="O169" s="27" t="s">
        <v>8</v>
      </c>
      <c r="P169" s="27" t="s">
        <v>7</v>
      </c>
      <c r="S169" s="27" t="s">
        <v>8</v>
      </c>
      <c r="T169" s="27" t="s">
        <v>7</v>
      </c>
      <c r="U169" s="27" t="s">
        <v>8</v>
      </c>
      <c r="V169" s="27" t="s">
        <v>7</v>
      </c>
      <c r="W169" s="27" t="s">
        <v>8</v>
      </c>
      <c r="X169" s="27" t="s">
        <v>7</v>
      </c>
    </row>
    <row r="170" spans="1:29" x14ac:dyDescent="0.25">
      <c r="A170" s="30">
        <v>30.426425535513939</v>
      </c>
      <c r="E170" t="s">
        <v>8</v>
      </c>
      <c r="F170" s="27" t="s">
        <v>7</v>
      </c>
      <c r="I170" s="27" t="s">
        <v>8</v>
      </c>
      <c r="J170" s="27" t="s">
        <v>7</v>
      </c>
      <c r="K170" s="27" t="s">
        <v>8</v>
      </c>
      <c r="L170" s="27" t="s">
        <v>7</v>
      </c>
      <c r="M170" s="27" t="s">
        <v>8</v>
      </c>
      <c r="N170" s="27" t="s">
        <v>7</v>
      </c>
      <c r="O170" s="27" t="s">
        <v>8</v>
      </c>
      <c r="P170" s="27" t="s">
        <v>7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X170" s="27" t="s">
        <v>7</v>
      </c>
    </row>
    <row r="171" spans="1:29" x14ac:dyDescent="0.25">
      <c r="A171" s="30">
        <v>28.977548129060892</v>
      </c>
      <c r="E171" t="s">
        <v>8</v>
      </c>
      <c r="F171" s="27" t="s">
        <v>7</v>
      </c>
      <c r="I171" s="27" t="s">
        <v>8</v>
      </c>
      <c r="J171" s="27" t="s">
        <v>7</v>
      </c>
      <c r="K171" s="27" t="s">
        <v>8</v>
      </c>
      <c r="L171" s="27" t="s">
        <v>7</v>
      </c>
      <c r="M171" s="27" t="s">
        <v>8</v>
      </c>
      <c r="N171" s="27" t="s">
        <v>7</v>
      </c>
      <c r="O171" s="27" t="s">
        <v>8</v>
      </c>
      <c r="P171" s="27" t="s">
        <v>7</v>
      </c>
      <c r="Q171" s="27" t="s">
        <v>8</v>
      </c>
      <c r="S171" s="27" t="s">
        <v>8</v>
      </c>
      <c r="T171" s="27" t="s">
        <v>7</v>
      </c>
      <c r="U171" s="27" t="s">
        <v>8</v>
      </c>
      <c r="V171" s="27" t="s">
        <v>7</v>
      </c>
      <c r="W171" s="27" t="s">
        <v>8</v>
      </c>
      <c r="X171" s="27" t="s">
        <v>7</v>
      </c>
      <c r="Y171" s="27" t="s">
        <v>8</v>
      </c>
    </row>
    <row r="172" spans="1:29" x14ac:dyDescent="0.25">
      <c r="A172" s="30">
        <v>27.597664884819896</v>
      </c>
      <c r="E172" t="s">
        <v>8</v>
      </c>
      <c r="F172" s="27" t="s">
        <v>7</v>
      </c>
      <c r="I172" s="27" t="s">
        <v>8</v>
      </c>
      <c r="J172" s="27" t="s">
        <v>7</v>
      </c>
      <c r="K172" s="27" t="s">
        <v>8</v>
      </c>
      <c r="L172" s="27" t="s">
        <v>7</v>
      </c>
      <c r="N172" s="27" t="s">
        <v>7</v>
      </c>
      <c r="O172" s="27" t="s">
        <v>8</v>
      </c>
      <c r="P172" s="27" t="s">
        <v>7</v>
      </c>
      <c r="Q172" s="27" t="s">
        <v>8</v>
      </c>
      <c r="R172" s="27" t="s">
        <v>7</v>
      </c>
      <c r="S172" s="27" t="s">
        <v>8</v>
      </c>
      <c r="T172" s="27" t="s">
        <v>7</v>
      </c>
      <c r="V172" s="27" t="s">
        <v>7</v>
      </c>
      <c r="W172" s="27" t="s">
        <v>8</v>
      </c>
      <c r="X172" s="27" t="s">
        <v>7</v>
      </c>
      <c r="Y172" s="27" t="s">
        <v>8</v>
      </c>
      <c r="Z172" s="27" t="s">
        <v>7</v>
      </c>
    </row>
    <row r="173" spans="1:29" x14ac:dyDescent="0.25">
      <c r="A173" s="30">
        <v>26.283490366495137</v>
      </c>
      <c r="E173" t="s">
        <v>8</v>
      </c>
      <c r="F173" s="27" t="s">
        <v>7</v>
      </c>
      <c r="I173" s="27" t="s">
        <v>8</v>
      </c>
      <c r="J173" s="27" t="s">
        <v>7</v>
      </c>
      <c r="K173" s="27" t="s">
        <v>8</v>
      </c>
      <c r="N173" s="27" t="s">
        <v>7</v>
      </c>
      <c r="O173" s="27" t="s">
        <v>8</v>
      </c>
      <c r="P173" s="27" t="s">
        <v>7</v>
      </c>
      <c r="Q173" s="27" t="s">
        <v>8</v>
      </c>
      <c r="R173" s="27" t="s">
        <v>7</v>
      </c>
      <c r="S173" s="27" t="s">
        <v>8</v>
      </c>
      <c r="V173" s="27" t="s">
        <v>7</v>
      </c>
      <c r="X173" s="27" t="s">
        <v>7</v>
      </c>
      <c r="Y173" s="27" t="s">
        <v>8</v>
      </c>
      <c r="Z173" s="27" t="s">
        <v>7</v>
      </c>
    </row>
    <row r="174" spans="1:29" x14ac:dyDescent="0.25">
      <c r="A174" s="30">
        <v>25.031895587138223</v>
      </c>
      <c r="E174" t="s">
        <v>8</v>
      </c>
      <c r="F174" s="27" t="s">
        <v>7</v>
      </c>
      <c r="I174" s="27" t="s">
        <v>8</v>
      </c>
      <c r="J174" s="27" t="s">
        <v>7</v>
      </c>
      <c r="N174" s="27" t="s">
        <v>7</v>
      </c>
      <c r="P174" s="27" t="s">
        <v>7</v>
      </c>
      <c r="Q174" s="27" t="s">
        <v>8</v>
      </c>
      <c r="R174" s="27" t="s">
        <v>7</v>
      </c>
      <c r="S174" s="27" t="s">
        <v>8</v>
      </c>
      <c r="X174" s="27" t="s">
        <v>7</v>
      </c>
      <c r="Z174" s="27" t="s">
        <v>7</v>
      </c>
    </row>
    <row r="175" spans="1:29" x14ac:dyDescent="0.25">
      <c r="A175" s="30">
        <v>23.839900559179259</v>
      </c>
      <c r="E175" t="s">
        <v>8</v>
      </c>
      <c r="F175" s="27" t="s">
        <v>7</v>
      </c>
      <c r="G175" s="27" t="s">
        <v>8</v>
      </c>
      <c r="I175" s="27" t="s">
        <v>8</v>
      </c>
      <c r="P175" s="27" t="s">
        <v>7</v>
      </c>
      <c r="Q175" s="27" t="s">
        <v>8</v>
      </c>
      <c r="R175" s="27" t="s">
        <v>7</v>
      </c>
      <c r="S175" s="27" t="s">
        <v>8</v>
      </c>
      <c r="Z175" s="27" t="s">
        <v>7</v>
      </c>
    </row>
    <row r="176" spans="1:29" x14ac:dyDescent="0.25">
      <c r="A176" s="30">
        <v>22.704667199218342</v>
      </c>
      <c r="E176" t="s">
        <v>8</v>
      </c>
      <c r="F176" s="27" t="s">
        <v>7</v>
      </c>
      <c r="G176" s="27" t="s">
        <v>8</v>
      </c>
      <c r="H176" s="27" t="s">
        <v>7</v>
      </c>
      <c r="I176" s="27" t="s">
        <v>8</v>
      </c>
      <c r="P176" s="27" t="s">
        <v>7</v>
      </c>
      <c r="Q176" s="27" t="s">
        <v>8</v>
      </c>
      <c r="R176" s="27" t="s">
        <v>7</v>
      </c>
      <c r="Z176" s="27" t="s">
        <v>7</v>
      </c>
      <c r="AC176" s="27" t="s">
        <v>8</v>
      </c>
    </row>
    <row r="177" spans="1:34" x14ac:dyDescent="0.25">
      <c r="A177" s="30">
        <v>21.623492570684135</v>
      </c>
      <c r="E177" t="s">
        <v>8</v>
      </c>
      <c r="F177" s="27" t="s">
        <v>7</v>
      </c>
      <c r="G177" s="27" t="s">
        <v>8</v>
      </c>
      <c r="H177" s="27" t="s">
        <v>7</v>
      </c>
      <c r="I177" s="27" t="s">
        <v>8</v>
      </c>
      <c r="P177" s="27" t="s">
        <v>7</v>
      </c>
      <c r="Z177" s="27" t="s">
        <v>7</v>
      </c>
      <c r="AC177" s="27" t="s">
        <v>8</v>
      </c>
      <c r="AD177" s="27" t="s">
        <v>7</v>
      </c>
    </row>
    <row r="178" spans="1:34" x14ac:dyDescent="0.25">
      <c r="A178" s="30">
        <v>20.593802448270605</v>
      </c>
      <c r="C178" s="7"/>
      <c r="D178"/>
      <c r="E178" t="s">
        <v>8</v>
      </c>
      <c r="F178" s="18" t="s">
        <v>7</v>
      </c>
      <c r="G178" s="27" t="s">
        <v>8</v>
      </c>
      <c r="H178" s="27" t="s">
        <v>7</v>
      </c>
      <c r="Z178" s="27" t="s">
        <v>7</v>
      </c>
      <c r="AC178" s="27" t="s">
        <v>8</v>
      </c>
      <c r="AD178" s="27" t="s">
        <v>7</v>
      </c>
      <c r="AE178" s="27" t="s">
        <v>8</v>
      </c>
    </row>
    <row r="179" spans="1:34" x14ac:dyDescent="0.25">
      <c r="A179" s="30">
        <v>19.613145188829147</v>
      </c>
      <c r="E179" t="s">
        <v>8</v>
      </c>
      <c r="F179" s="27" t="s">
        <v>7</v>
      </c>
      <c r="Z179" s="27" t="s">
        <v>7</v>
      </c>
      <c r="AC179" s="27" t="s">
        <v>8</v>
      </c>
      <c r="AD179" s="27" t="s">
        <v>7</v>
      </c>
      <c r="AE179" s="27" t="s">
        <v>8</v>
      </c>
      <c r="AF179" s="27" t="s">
        <v>7</v>
      </c>
    </row>
    <row r="180" spans="1:34" x14ac:dyDescent="0.25">
      <c r="A180" s="30">
        <v>18.679185894122998</v>
      </c>
      <c r="E180" t="s">
        <v>8</v>
      </c>
      <c r="Z180" s="27" t="s">
        <v>7</v>
      </c>
      <c r="AC180" s="27" t="s">
        <v>8</v>
      </c>
      <c r="AD180" s="27" t="s">
        <v>7</v>
      </c>
      <c r="AE180" s="27" t="s">
        <v>8</v>
      </c>
      <c r="AF180" s="27" t="s">
        <v>7</v>
      </c>
    </row>
    <row r="181" spans="1:34" x14ac:dyDescent="0.25">
      <c r="A181" s="30">
        <v>17.78970085154571</v>
      </c>
      <c r="C181"/>
      <c r="D181"/>
      <c r="E181" t="s">
        <v>8</v>
      </c>
      <c r="Z181" s="27" t="s">
        <v>7</v>
      </c>
      <c r="AA181" s="27" t="s">
        <v>8</v>
      </c>
      <c r="AC181" s="27" t="s">
        <v>8</v>
      </c>
      <c r="AD181" s="27" t="s">
        <v>7</v>
      </c>
      <c r="AE181" s="27" t="s">
        <v>8</v>
      </c>
      <c r="AF181" s="27" t="s">
        <v>7</v>
      </c>
    </row>
    <row r="182" spans="1:34" x14ac:dyDescent="0.25">
      <c r="A182" s="30">
        <v>16.942572239567344</v>
      </c>
      <c r="E182" t="s">
        <v>8</v>
      </c>
      <c r="Z182" s="27" t="s">
        <v>7</v>
      </c>
      <c r="AA182" s="27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  <c r="AF182" s="27" t="s">
        <v>7</v>
      </c>
    </row>
    <row r="183" spans="1:34" x14ac:dyDescent="0.25">
      <c r="A183" s="30">
        <v>16.135783085302233</v>
      </c>
      <c r="E183" t="s">
        <v>8</v>
      </c>
      <c r="Z183" s="27" t="s">
        <v>7</v>
      </c>
      <c r="AA183" s="27" t="s">
        <v>8</v>
      </c>
      <c r="AB183" s="27" t="s">
        <v>7</v>
      </c>
      <c r="AC183" s="27" t="s">
        <v>8</v>
      </c>
      <c r="AD183" s="27" t="s">
        <v>7</v>
      </c>
      <c r="AF183" s="27" t="s">
        <v>7</v>
      </c>
    </row>
    <row r="184" spans="1:34" x14ac:dyDescent="0.25">
      <c r="A184" s="30">
        <v>15.367412462192602</v>
      </c>
      <c r="E184" t="s">
        <v>8</v>
      </c>
      <c r="Z184" s="27" t="s">
        <v>7</v>
      </c>
      <c r="AA184" s="27" t="s">
        <v>8</v>
      </c>
      <c r="AB184" s="27" t="s">
        <v>7</v>
      </c>
      <c r="AF184" s="27" t="s">
        <v>7</v>
      </c>
    </row>
    <row r="185" spans="1:34" x14ac:dyDescent="0.25">
      <c r="A185" s="30">
        <v>14.635630916373906</v>
      </c>
      <c r="C185"/>
      <c r="E185" t="s">
        <v>8</v>
      </c>
      <c r="Z185" s="27" t="s">
        <v>7</v>
      </c>
      <c r="AF185" s="27" t="s">
        <v>7</v>
      </c>
    </row>
    <row r="186" spans="1:34" x14ac:dyDescent="0.25">
      <c r="A186" s="30">
        <v>13.938696110832291</v>
      </c>
      <c r="E186" t="s">
        <v>8</v>
      </c>
      <c r="AF186" s="27" t="s">
        <v>7</v>
      </c>
    </row>
    <row r="187" spans="1:34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AF187" s="27" t="s">
        <v>7</v>
      </c>
    </row>
    <row r="188" spans="1:34" x14ac:dyDescent="0.25">
      <c r="A188" s="30">
        <v>12.64280826379346</v>
      </c>
      <c r="E188" t="s">
        <v>8</v>
      </c>
      <c r="AF188" s="27" t="s">
        <v>7</v>
      </c>
    </row>
    <row r="189" spans="1:34" x14ac:dyDescent="0.25">
      <c r="A189" s="30">
        <v>12.04076977504139</v>
      </c>
      <c r="E189" t="s">
        <v>8</v>
      </c>
      <c r="AF189" s="27" t="s">
        <v>7</v>
      </c>
      <c r="AG189" s="27" t="s">
        <v>8</v>
      </c>
    </row>
    <row r="190" spans="1:34" x14ac:dyDescent="0.25">
      <c r="A190" s="30">
        <v>11.467399785753704</v>
      </c>
      <c r="E190" t="s">
        <v>8</v>
      </c>
      <c r="AF190" s="27" t="s">
        <v>7</v>
      </c>
      <c r="AG190" s="27" t="s">
        <v>8</v>
      </c>
      <c r="AH190" s="27" t="s">
        <v>7</v>
      </c>
    </row>
    <row r="191" spans="1:34" x14ac:dyDescent="0.25">
      <c r="A191" s="30">
        <v>10.921333129289241</v>
      </c>
      <c r="E191" t="s">
        <v>8</v>
      </c>
      <c r="AF191" s="27" t="s">
        <v>7</v>
      </c>
      <c r="AG191" s="27" t="s">
        <v>8</v>
      </c>
      <c r="AH191" s="27" t="s">
        <v>7</v>
      </c>
    </row>
    <row r="192" spans="1:34" x14ac:dyDescent="0.25">
      <c r="A192" s="30">
        <v>10.401269646942135</v>
      </c>
      <c r="E192" t="s">
        <v>8</v>
      </c>
      <c r="AF192" s="27" t="s">
        <v>7</v>
      </c>
      <c r="AH192" s="27" t="s">
        <v>7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27" operator="equal">
      <formula>$U$1</formula>
    </cfRule>
    <cfRule type="cellIs" dxfId="67" priority="628" operator="equal">
      <formula>$S$1</formula>
    </cfRule>
  </conditionalFormatting>
  <conditionalFormatting sqref="D136">
    <cfRule type="cellIs" dxfId="66" priority="625" operator="equal">
      <formula>$S$1</formula>
    </cfRule>
    <cfRule type="cellIs" dxfId="65" priority="626" operator="equal">
      <formula>$U$1</formula>
    </cfRule>
  </conditionalFormatting>
  <conditionalFormatting sqref="C162">
    <cfRule type="cellIs" dxfId="64" priority="623" operator="equal">
      <formula>$U$1</formula>
    </cfRule>
    <cfRule type="cellIs" dxfId="63" priority="624" operator="equal">
      <formula>$S$1</formula>
    </cfRule>
  </conditionalFormatting>
  <conditionalFormatting sqref="D162">
    <cfRule type="cellIs" dxfId="62" priority="621" operator="equal">
      <formula>$S$1</formula>
    </cfRule>
    <cfRule type="cellIs" dxfId="61" priority="622" operator="equal">
      <formula>$U$1</formula>
    </cfRule>
  </conditionalFormatting>
  <conditionalFormatting sqref="C187">
    <cfRule type="cellIs" dxfId="60" priority="619" operator="equal">
      <formula>$U$1</formula>
    </cfRule>
    <cfRule type="cellIs" dxfId="59" priority="620" operator="equal">
      <formula>$S$1</formula>
    </cfRule>
  </conditionalFormatting>
  <conditionalFormatting sqref="D187">
    <cfRule type="cellIs" dxfId="58" priority="617" operator="equal">
      <formula>$S$1</formula>
    </cfRule>
    <cfRule type="cellIs" dxfId="57" priority="618" operator="equal">
      <formula>$U$1</formula>
    </cfRule>
  </conditionalFormatting>
  <conditionalFormatting sqref="C212">
    <cfRule type="cellIs" dxfId="56" priority="615" operator="equal">
      <formula>$U$1</formula>
    </cfRule>
    <cfRule type="cellIs" dxfId="55" priority="616" operator="equal">
      <formula>$S$1</formula>
    </cfRule>
  </conditionalFormatting>
  <conditionalFormatting sqref="D212">
    <cfRule type="cellIs" dxfId="54" priority="613" operator="equal">
      <formula>$S$1</formula>
    </cfRule>
    <cfRule type="cellIs" dxfId="53" priority="614" operator="equal">
      <formula>$U$1</formula>
    </cfRule>
  </conditionalFormatting>
  <conditionalFormatting sqref="C237">
    <cfRule type="cellIs" dxfId="52" priority="611" operator="equal">
      <formula>$U$1</formula>
    </cfRule>
    <cfRule type="cellIs" dxfId="51" priority="612" operator="equal">
      <formula>$S$1</formula>
    </cfRule>
  </conditionalFormatting>
  <conditionalFormatting sqref="D237">
    <cfRule type="cellIs" dxfId="50" priority="609" operator="equal">
      <formula>$S$1</formula>
    </cfRule>
    <cfRule type="cellIs" dxfId="49" priority="610" operator="equal">
      <formula>$U$1</formula>
    </cfRule>
  </conditionalFormatting>
  <conditionalFormatting sqref="C106">
    <cfRule type="cellIs" dxfId="48" priority="607" operator="equal">
      <formula>$U$1</formula>
    </cfRule>
    <cfRule type="cellIs" dxfId="47" priority="608" operator="equal">
      <formula>$S$1</formula>
    </cfRule>
  </conditionalFormatting>
  <conditionalFormatting sqref="D106">
    <cfRule type="cellIs" dxfId="46" priority="605" operator="equal">
      <formula>$S$1</formula>
    </cfRule>
    <cfRule type="cellIs" dxfId="45" priority="606" operator="equal">
      <formula>$U$1</formula>
    </cfRule>
  </conditionalFormatting>
  <conditionalFormatting sqref="C81">
    <cfRule type="cellIs" dxfId="44" priority="603" operator="equal">
      <formula>$U$1</formula>
    </cfRule>
    <cfRule type="cellIs" dxfId="43" priority="604" operator="equal">
      <formula>$S$1</formula>
    </cfRule>
  </conditionalFormatting>
  <conditionalFormatting sqref="D81">
    <cfRule type="cellIs" dxfId="42" priority="601" operator="equal">
      <formula>$S$1</formula>
    </cfRule>
    <cfRule type="cellIs" dxfId="41" priority="602" operator="equal">
      <formula>$U$1</formula>
    </cfRule>
  </conditionalFormatting>
  <conditionalFormatting sqref="C56">
    <cfRule type="cellIs" dxfId="40" priority="599" operator="equal">
      <formula>$U$1</formula>
    </cfRule>
    <cfRule type="cellIs" dxfId="39" priority="600" operator="equal">
      <formula>$S$1</formula>
    </cfRule>
  </conditionalFormatting>
  <conditionalFormatting sqref="D56">
    <cfRule type="cellIs" dxfId="38" priority="597" operator="equal">
      <formula>$S$1</formula>
    </cfRule>
    <cfRule type="cellIs" dxfId="37" priority="598" operator="equal">
      <formula>$U$1</formula>
    </cfRule>
  </conditionalFormatting>
  <conditionalFormatting sqref="C31">
    <cfRule type="cellIs" dxfId="36" priority="595" operator="equal">
      <formula>$U$1</formula>
    </cfRule>
    <cfRule type="cellIs" dxfId="35" priority="596" operator="equal">
      <formula>$S$1</formula>
    </cfRule>
  </conditionalFormatting>
  <conditionalFormatting sqref="D31">
    <cfRule type="cellIs" dxfId="34" priority="593" operator="equal">
      <formula>$S$1</formula>
    </cfRule>
    <cfRule type="cellIs" dxfId="33" priority="59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P96" sqref="P9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14" x14ac:dyDescent="0.25">
      <c r="A65" s="30">
        <v>207.96505671840671</v>
      </c>
      <c r="E65"/>
    </row>
    <row r="66" spans="1:14" x14ac:dyDescent="0.25">
      <c r="A66" s="30">
        <v>189.05914247127882</v>
      </c>
      <c r="E66"/>
    </row>
    <row r="67" spans="1:14" x14ac:dyDescent="0.25">
      <c r="A67" s="30">
        <v>171.87194770116255</v>
      </c>
      <c r="C67" s="1" t="s">
        <v>15</v>
      </c>
      <c r="E67"/>
    </row>
    <row r="68" spans="1:14" x14ac:dyDescent="0.25">
      <c r="A68" s="30">
        <v>156.24722518287504</v>
      </c>
      <c r="C68" s="7">
        <v>0.11167815779424731</v>
      </c>
      <c r="D68"/>
      <c r="E68"/>
    </row>
    <row r="69" spans="1:14" x14ac:dyDescent="0.25">
      <c r="A69" s="30">
        <v>142.04293198443185</v>
      </c>
      <c r="E69"/>
    </row>
    <row r="70" spans="1:14" x14ac:dyDescent="0.25">
      <c r="A70" s="30">
        <v>129.1299381676653</v>
      </c>
      <c r="C70" s="1" t="s">
        <v>11</v>
      </c>
      <c r="D70" s="1" t="s">
        <v>12</v>
      </c>
      <c r="E70"/>
    </row>
    <row r="71" spans="1:14" x14ac:dyDescent="0.25">
      <c r="A71" s="30">
        <v>117.39085287969573</v>
      </c>
      <c r="C71"/>
      <c r="D71"/>
      <c r="E71"/>
    </row>
    <row r="72" spans="1:14" x14ac:dyDescent="0.25">
      <c r="A72" s="30">
        <v>106.71895716335975</v>
      </c>
      <c r="E72"/>
    </row>
    <row r="73" spans="1:14" x14ac:dyDescent="0.25">
      <c r="A73" s="30">
        <v>97.017233784872488</v>
      </c>
      <c r="C73" s="1" t="s">
        <v>13</v>
      </c>
      <c r="E73"/>
    </row>
    <row r="74" spans="1:14" x14ac:dyDescent="0.25">
      <c r="A74" s="30">
        <v>88.197485258974979</v>
      </c>
      <c r="C74" s="1">
        <f>C63</f>
        <v>0</v>
      </c>
      <c r="E74"/>
    </row>
    <row r="75" spans="1:14" x14ac:dyDescent="0.25">
      <c r="A75" s="30">
        <v>80.179532053613613</v>
      </c>
      <c r="C75"/>
      <c r="D75"/>
      <c r="E75"/>
    </row>
    <row r="76" spans="1:14" x14ac:dyDescent="0.25">
      <c r="A76" s="30">
        <v>72.890483685103277</v>
      </c>
      <c r="C76" s="1" t="s">
        <v>14</v>
      </c>
      <c r="E76"/>
      <c r="K76" s="27" t="s">
        <v>8</v>
      </c>
    </row>
    <row r="77" spans="1:1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K77" s="27" t="s">
        <v>8</v>
      </c>
      <c r="L77" s="27" t="s">
        <v>7</v>
      </c>
    </row>
    <row r="78" spans="1:14" x14ac:dyDescent="0.25">
      <c r="A78" s="30">
        <v>60.240069161242367</v>
      </c>
      <c r="E78"/>
      <c r="K78" s="27" t="s">
        <v>8</v>
      </c>
      <c r="L78" s="27" t="s">
        <v>7</v>
      </c>
    </row>
    <row r="79" spans="1:14" x14ac:dyDescent="0.25">
      <c r="A79" s="30">
        <v>54.763699237493057</v>
      </c>
      <c r="E79"/>
      <c r="K79" s="27" t="s">
        <v>8</v>
      </c>
      <c r="L79" s="27" t="s">
        <v>7</v>
      </c>
      <c r="M79" s="27" t="s">
        <v>8</v>
      </c>
    </row>
    <row r="80" spans="1:14" x14ac:dyDescent="0.25">
      <c r="A80" s="30">
        <v>49.785181124993684</v>
      </c>
      <c r="E80"/>
      <c r="K80" s="27" t="s">
        <v>8</v>
      </c>
      <c r="L80" s="27" t="s">
        <v>7</v>
      </c>
      <c r="M80" s="27" t="s">
        <v>8</v>
      </c>
      <c r="N80" s="27" t="s">
        <v>7</v>
      </c>
    </row>
    <row r="81" spans="1:16" x14ac:dyDescent="0.25">
      <c r="A81" s="30">
        <v>45.259255568176073</v>
      </c>
      <c r="E81"/>
      <c r="K81" s="27" t="s">
        <v>8</v>
      </c>
      <c r="L81" s="27" t="s">
        <v>7</v>
      </c>
      <c r="M81" s="27" t="s">
        <v>8</v>
      </c>
      <c r="N81" s="27" t="s">
        <v>7</v>
      </c>
    </row>
    <row r="82" spans="1:16" x14ac:dyDescent="0.25">
      <c r="A82" s="30">
        <v>41.144777789250973</v>
      </c>
      <c r="E82"/>
      <c r="K82" s="27" t="s">
        <v>8</v>
      </c>
      <c r="L82" s="27" t="s">
        <v>7</v>
      </c>
      <c r="M82" s="27" t="s">
        <v>8</v>
      </c>
      <c r="N82" s="27" t="s">
        <v>7</v>
      </c>
    </row>
    <row r="83" spans="1:16" x14ac:dyDescent="0.25">
      <c r="A83" s="30">
        <v>37.404343444773609</v>
      </c>
      <c r="E83"/>
      <c r="G83" s="27" t="s">
        <v>8</v>
      </c>
      <c r="K83" s="27" t="s">
        <v>8</v>
      </c>
      <c r="L83" s="27" t="s">
        <v>7</v>
      </c>
      <c r="M83" s="27" t="s">
        <v>8</v>
      </c>
      <c r="N83" s="27" t="s">
        <v>7</v>
      </c>
    </row>
    <row r="84" spans="1:16" x14ac:dyDescent="0.25">
      <c r="A84" s="30">
        <v>34.003948586157826</v>
      </c>
      <c r="E84" t="s">
        <v>8</v>
      </c>
      <c r="G84" s="27" t="s">
        <v>8</v>
      </c>
      <c r="H84" s="27" t="s">
        <v>7</v>
      </c>
      <c r="I84" s="27" t="s">
        <v>8</v>
      </c>
      <c r="K84" s="27" t="s">
        <v>8</v>
      </c>
      <c r="L84" s="27" t="s">
        <v>7</v>
      </c>
      <c r="M84" s="27" t="s">
        <v>8</v>
      </c>
      <c r="N84" s="27" t="s">
        <v>7</v>
      </c>
    </row>
    <row r="85" spans="1:16" x14ac:dyDescent="0.25">
      <c r="A85" s="30">
        <v>30.912680532870748</v>
      </c>
      <c r="E85" t="s">
        <v>8</v>
      </c>
      <c r="F85" s="27" t="s">
        <v>7</v>
      </c>
      <c r="G85" s="27" t="s">
        <v>8</v>
      </c>
      <c r="H85" s="27" t="s">
        <v>7</v>
      </c>
      <c r="I85" s="27" t="s">
        <v>8</v>
      </c>
      <c r="J85" s="27" t="s">
        <v>7</v>
      </c>
      <c r="K85" s="27" t="s">
        <v>8</v>
      </c>
      <c r="L85" s="27" t="s">
        <v>7</v>
      </c>
      <c r="M85" s="27" t="s">
        <v>8</v>
      </c>
      <c r="N85" s="27" t="s">
        <v>7</v>
      </c>
    </row>
    <row r="86" spans="1:16" x14ac:dyDescent="0.25">
      <c r="A86" s="30">
        <v>28.102436848064315</v>
      </c>
      <c r="E86" t="s">
        <v>8</v>
      </c>
      <c r="F86" s="27" t="s">
        <v>7</v>
      </c>
      <c r="G86" s="27" t="s">
        <v>8</v>
      </c>
      <c r="H86" s="27" t="s">
        <v>7</v>
      </c>
      <c r="I86" s="27" t="s">
        <v>8</v>
      </c>
      <c r="J86" s="27" t="s">
        <v>7</v>
      </c>
      <c r="K86" s="27" t="s">
        <v>8</v>
      </c>
      <c r="L86" s="27" t="s">
        <v>7</v>
      </c>
      <c r="M86" s="27" t="s">
        <v>8</v>
      </c>
      <c r="N86" s="27" t="s">
        <v>7</v>
      </c>
    </row>
    <row r="87" spans="1:16" x14ac:dyDescent="0.25">
      <c r="A87" s="30">
        <v>25.547669861876649</v>
      </c>
      <c r="E87" t="s">
        <v>8</v>
      </c>
      <c r="F87" s="27" t="s">
        <v>7</v>
      </c>
      <c r="G87" s="27" t="s">
        <v>8</v>
      </c>
      <c r="H87" s="27" t="s">
        <v>7</v>
      </c>
      <c r="J87" s="27" t="s">
        <v>7</v>
      </c>
      <c r="K87" s="27" t="s">
        <v>8</v>
      </c>
      <c r="L87" s="27" t="s">
        <v>7</v>
      </c>
      <c r="N87" s="27" t="s">
        <v>7</v>
      </c>
    </row>
    <row r="88" spans="1:16" x14ac:dyDescent="0.25">
      <c r="A88" s="30">
        <v>23.225154419887861</v>
      </c>
      <c r="E88" t="s">
        <v>8</v>
      </c>
      <c r="F88" s="27" t="s">
        <v>7</v>
      </c>
      <c r="G88" s="27" t="s">
        <v>8</v>
      </c>
      <c r="J88" s="27" t="s">
        <v>7</v>
      </c>
      <c r="N88" s="27" t="s">
        <v>7</v>
      </c>
      <c r="O88" s="27" t="s">
        <v>8</v>
      </c>
    </row>
    <row r="89" spans="1:16" x14ac:dyDescent="0.25">
      <c r="A89" s="30">
        <v>21.113776745352599</v>
      </c>
      <c r="E89" t="s">
        <v>8</v>
      </c>
      <c r="F89" s="18" t="s">
        <v>7</v>
      </c>
      <c r="G89" s="27" t="s">
        <v>8</v>
      </c>
      <c r="N89" s="27" t="s">
        <v>7</v>
      </c>
      <c r="O89" s="27" t="s">
        <v>8</v>
      </c>
      <c r="P89" s="27" t="s">
        <v>7</v>
      </c>
    </row>
    <row r="90" spans="1:16" x14ac:dyDescent="0.25">
      <c r="A90" s="30">
        <v>19.194342495775089</v>
      </c>
      <c r="E90" t="s">
        <v>8</v>
      </c>
      <c r="F90" s="27" t="s">
        <v>7</v>
      </c>
      <c r="N90" s="27" t="s">
        <v>7</v>
      </c>
      <c r="O90" s="27" t="s">
        <v>8</v>
      </c>
      <c r="P90" s="27" t="s">
        <v>7</v>
      </c>
    </row>
    <row r="91" spans="1:16" x14ac:dyDescent="0.25">
      <c r="A91" s="30">
        <v>17.449402268886445</v>
      </c>
      <c r="E91" t="s">
        <v>8</v>
      </c>
      <c r="N91" s="27" t="s">
        <v>7</v>
      </c>
      <c r="O91" s="27" t="s">
        <v>8</v>
      </c>
      <c r="P91" s="27" t="s">
        <v>7</v>
      </c>
    </row>
    <row r="92" spans="1:16" x14ac:dyDescent="0.25">
      <c r="A92" s="30">
        <v>15.863092971714948</v>
      </c>
      <c r="C92" s="1" t="s">
        <v>15</v>
      </c>
      <c r="E92" t="s">
        <v>8</v>
      </c>
      <c r="N92" s="27" t="s">
        <v>7</v>
      </c>
      <c r="P92" s="27" t="s">
        <v>7</v>
      </c>
    </row>
    <row r="93" spans="1:16" x14ac:dyDescent="0.25">
      <c r="A93" s="30">
        <v>14.420993610649951</v>
      </c>
      <c r="C93" s="7">
        <v>0.11167815779424731</v>
      </c>
      <c r="D93"/>
      <c r="E93" t="s">
        <v>8</v>
      </c>
      <c r="P93" s="27" t="s">
        <v>7</v>
      </c>
    </row>
    <row r="94" spans="1:16" x14ac:dyDescent="0.25">
      <c r="A94" s="30">
        <v>13.109994191499954</v>
      </c>
      <c r="E94" t="s">
        <v>8</v>
      </c>
      <c r="P94" s="27" t="s">
        <v>7</v>
      </c>
    </row>
    <row r="95" spans="1:16" x14ac:dyDescent="0.25">
      <c r="A95" s="30">
        <v>11.918176537727231</v>
      </c>
      <c r="C95" s="1" t="s">
        <v>11</v>
      </c>
      <c r="D95" s="1" t="s">
        <v>12</v>
      </c>
      <c r="E95" t="s">
        <v>8</v>
      </c>
      <c r="P95" s="27" t="s">
        <v>7</v>
      </c>
    </row>
    <row r="96" spans="1:16" x14ac:dyDescent="0.25">
      <c r="A96" s="30">
        <v>10.834705943388391</v>
      </c>
      <c r="C96"/>
      <c r="D96"/>
      <c r="E96" t="s">
        <v>8</v>
      </c>
      <c r="P96" s="27" t="s">
        <v>7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$A$95</v>
      </c>
      <c r="D111" s="1" t="str">
        <f>ADDRESS(C121-1,D121,1,1)</f>
        <v>$P$95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$A$96</v>
      </c>
      <c r="D112" s="1" t="str">
        <f>ADDRESS(C121,D121-1,1,1)</f>
        <v>$O$96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$A$97</v>
      </c>
      <c r="D113" s="1" t="str">
        <f>ADDRESS(C121-1,D121+1,1,1)</f>
        <v>$Q$95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$P$96</v>
      </c>
      <c r="D114" s="1" t="str">
        <f>ADDRESS(C121+1,D121+1,1,1)</f>
        <v>$Q$97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$P$97</v>
      </c>
      <c r="E115" s="1" t="s">
        <v>8</v>
      </c>
    </row>
    <row r="116" spans="1:5" x14ac:dyDescent="0.25">
      <c r="A116" s="30">
        <v>1.6105100000000008</v>
      </c>
      <c r="C116" s="1">
        <f>C117-1</f>
        <v>95</v>
      </c>
      <c r="E116" s="1" t="s">
        <v>8</v>
      </c>
    </row>
    <row r="117" spans="1:5" x14ac:dyDescent="0.25">
      <c r="A117" s="30">
        <v>1.4641000000000006</v>
      </c>
      <c r="C117" s="1">
        <f>C121</f>
        <v>96</v>
      </c>
      <c r="D117" s="1">
        <f>D121</f>
        <v>16</v>
      </c>
      <c r="E117" s="1" t="s">
        <v>8</v>
      </c>
    </row>
    <row r="118" spans="1:5" x14ac:dyDescent="0.25">
      <c r="A118" s="30">
        <v>1.3310000000000004</v>
      </c>
      <c r="C118" s="1">
        <f>C117+1</f>
        <v>97</v>
      </c>
      <c r="D118" s="1">
        <f>D117+1</f>
        <v>17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96</v>
      </c>
      <c r="D121" s="19">
        <v>16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R96</v>
      </c>
      <c r="D123" s="1" t="str">
        <f>"C"&amp;D121</f>
        <v>C16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10.834705943388391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11" operator="equal">
      <formula>$U$1</formula>
    </cfRule>
    <cfRule type="cellIs" dxfId="30" priority="612" operator="equal">
      <formula>$S$1</formula>
    </cfRule>
  </conditionalFormatting>
  <conditionalFormatting sqref="D136">
    <cfRule type="cellIs" dxfId="29" priority="609" operator="equal">
      <formula>$S$1</formula>
    </cfRule>
    <cfRule type="cellIs" dxfId="28" priority="610" operator="equal">
      <formula>$U$1</formula>
    </cfRule>
  </conditionalFormatting>
  <conditionalFormatting sqref="C102">
    <cfRule type="cellIs" dxfId="27" priority="607" operator="equal">
      <formula>$U$1</formula>
    </cfRule>
    <cfRule type="cellIs" dxfId="26" priority="608" operator="equal">
      <formula>$S$1</formula>
    </cfRule>
  </conditionalFormatting>
  <conditionalFormatting sqref="D102">
    <cfRule type="cellIs" dxfId="25" priority="605" operator="equal">
      <formula>$S$1</formula>
    </cfRule>
    <cfRule type="cellIs" dxfId="24" priority="606" operator="equal">
      <formula>$U$1</formula>
    </cfRule>
  </conditionalFormatting>
  <conditionalFormatting sqref="C77">
    <cfRule type="cellIs" dxfId="23" priority="603" operator="equal">
      <formula>$U$1</formula>
    </cfRule>
    <cfRule type="cellIs" dxfId="22" priority="604" operator="equal">
      <formula>$S$1</formula>
    </cfRule>
  </conditionalFormatting>
  <conditionalFormatting sqref="D77">
    <cfRule type="cellIs" dxfId="21" priority="601" operator="equal">
      <formula>$S$1</formula>
    </cfRule>
    <cfRule type="cellIs" dxfId="20" priority="602" operator="equal">
      <formula>$U$1</formula>
    </cfRule>
  </conditionalFormatting>
  <conditionalFormatting sqref="C52">
    <cfRule type="cellIs" dxfId="19" priority="599" operator="equal">
      <formula>$U$1</formula>
    </cfRule>
    <cfRule type="cellIs" dxfId="18" priority="600" operator="equal">
      <formula>$S$1</formula>
    </cfRule>
  </conditionalFormatting>
  <conditionalFormatting sqref="D52">
    <cfRule type="cellIs" dxfId="17" priority="597" operator="equal">
      <formula>$S$1</formula>
    </cfRule>
    <cfRule type="cellIs" dxfId="16" priority="598" operator="equal">
      <formula>$U$1</formula>
    </cfRule>
  </conditionalFormatting>
  <conditionalFormatting sqref="C26">
    <cfRule type="cellIs" dxfId="15" priority="595" operator="equal">
      <formula>$U$1</formula>
    </cfRule>
    <cfRule type="cellIs" dxfId="14" priority="596" operator="equal">
      <formula>$S$1</formula>
    </cfRule>
  </conditionalFormatting>
  <conditionalFormatting sqref="D26">
    <cfRule type="cellIs" dxfId="13" priority="593" operator="equal">
      <formula>$S$1</formula>
    </cfRule>
    <cfRule type="cellIs" dxfId="12" priority="59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2022-01-28T01:14:35Z</dcterms:modified>
</cp:coreProperties>
</file>