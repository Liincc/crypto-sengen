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F186E73-3ECD-4CFF-9D31-ACFEDCACCC8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18" i="4"/>
  <c r="C116" i="3"/>
  <c r="C122" i="3"/>
  <c r="C133" i="3" s="1"/>
  <c r="D136" i="3" s="1"/>
  <c r="R765" i="1"/>
  <c r="S765" i="1" s="1"/>
  <c r="T765" i="1" s="1"/>
  <c r="C136" i="4"/>
  <c r="D136" i="4"/>
  <c r="C136" i="5" l="1"/>
  <c r="C138" i="5" s="1"/>
  <c r="R764" i="1"/>
  <c r="C136" i="3"/>
  <c r="C138" i="3" s="1"/>
  <c r="C138" i="4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<sst xmlns="http://schemas.openxmlformats.org/spreadsheetml/2006/main" count="4331" uniqueCount="34">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</sst>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0.74480000000000002</c:v>
                </c:pt>
                <c:pt idx="1">
                  <c:v>0.76719999999999999</c:v>
                </c:pt>
                <c:pt idx="2">
                  <c:v>0.76659999999999995</c:v>
                </c:pt>
                <c:pt idx="3">
                  <c:v>0.72509999999999997</c:v>
                </c:pt>
                <c:pt idx="4">
                  <c:v>0.74780000000000002</c:v>
                </c:pt>
                <c:pt idx="5">
                  <c:v>0.72660000000000002</c:v>
                </c:pt>
                <c:pt idx="6">
                  <c:v>0.80910000000000004</c:v>
                </c:pt>
                <c:pt idx="7">
                  <c:v>0.94130000000000003</c:v>
                </c:pt>
                <c:pt idx="8">
                  <c:v>1.0056</c:v>
                </c:pt>
                <c:pt idx="9">
                  <c:v>1.0328999999999999</c:v>
                </c:pt>
                <c:pt idx="10">
                  <c:v>1.0484</c:v>
                </c:pt>
                <c:pt idx="11">
                  <c:v>1.1214999999999999</c:v>
                </c:pt>
                <c:pt idx="12">
                  <c:v>1.1467000000000001</c:v>
                </c:pt>
                <c:pt idx="13">
                  <c:v>1.1022000000000001</c:v>
                </c:pt>
                <c:pt idx="14">
                  <c:v>1.1105</c:v>
                </c:pt>
                <c:pt idx="15">
                  <c:v>1.1928000000000001</c:v>
                </c:pt>
                <c:pt idx="16">
                  <c:v>1.1082000000000001</c:v>
                </c:pt>
                <c:pt idx="17">
                  <c:v>1.0296000000000001</c:v>
                </c:pt>
                <c:pt idx="18">
                  <c:v>1.0948</c:v>
                </c:pt>
                <c:pt idx="19">
                  <c:v>1.0521</c:v>
                </c:pt>
                <c:pt idx="20">
                  <c:v>1.1359999999999999</c:v>
                </c:pt>
                <c:pt idx="21">
                  <c:v>1.2054</c:v>
                </c:pt>
                <c:pt idx="22">
                  <c:v>1.2391000000000001</c:v>
                </c:pt>
                <c:pt idx="23">
                  <c:v>1.415</c:v>
                </c:pt>
                <c:pt idx="24">
                  <c:v>1.4474</c:v>
                </c:pt>
                <c:pt idx="25">
                  <c:v>1.5491999999999999</c:v>
                </c:pt>
                <c:pt idx="26">
                  <c:v>1.5383</c:v>
                </c:pt>
                <c:pt idx="27">
                  <c:v>1.5145999999999999</c:v>
                </c:pt>
                <c:pt idx="28">
                  <c:v>1.6338999999999999</c:v>
                </c:pt>
                <c:pt idx="29">
                  <c:v>1.5903</c:v>
                </c:pt>
                <c:pt idx="30">
                  <c:v>1.5166999999999999</c:v>
                </c:pt>
                <c:pt idx="31">
                  <c:v>1.706</c:v>
                </c:pt>
                <c:pt idx="32">
                  <c:v>1.7626999999999999</c:v>
                </c:pt>
                <c:pt idx="33">
                  <c:v>1.5911</c:v>
                </c:pt>
                <c:pt idx="34">
                  <c:v>1.5681</c:v>
                </c:pt>
                <c:pt idx="35">
                  <c:v>1.6560999999999999</c:v>
                </c:pt>
                <c:pt idx="36">
                  <c:v>1.5669999999999999</c:v>
                </c:pt>
                <c:pt idx="37">
                  <c:v>1.5064</c:v>
                </c:pt>
                <c:pt idx="38">
                  <c:v>1.4664999999999999</c:v>
                </c:pt>
                <c:pt idx="39">
                  <c:v>1.5183</c:v>
                </c:pt>
                <c:pt idx="40">
                  <c:v>1.5721000000000001</c:v>
                </c:pt>
                <c:pt idx="41">
                  <c:v>1.5362</c:v>
                </c:pt>
                <c:pt idx="42">
                  <c:v>1.6413</c:v>
                </c:pt>
                <c:pt idx="43">
                  <c:v>1.7899</c:v>
                </c:pt>
                <c:pt idx="44">
                  <c:v>1.7917000000000001</c:v>
                </c:pt>
                <c:pt idx="45">
                  <c:v>1.7569999999999999</c:v>
                </c:pt>
                <c:pt idx="46">
                  <c:v>2.0445000000000002</c:v>
                </c:pt>
                <c:pt idx="47">
                  <c:v>2.2402000000000002</c:v>
                </c:pt>
                <c:pt idx="48">
                  <c:v>2.2250999999999999</c:v>
                </c:pt>
                <c:pt idx="49">
                  <c:v>1.8306</c:v>
                </c:pt>
                <c:pt idx="50">
                  <c:v>1.8366</c:v>
                </c:pt>
                <c:pt idx="51">
                  <c:v>1.8262</c:v>
                </c:pt>
                <c:pt idx="52">
                  <c:v>1.8348</c:v>
                </c:pt>
                <c:pt idx="53">
                  <c:v>1.7435</c:v>
                </c:pt>
                <c:pt idx="54">
                  <c:v>1.9258999999999999</c:v>
                </c:pt>
                <c:pt idx="55">
                  <c:v>2.0729000000000002</c:v>
                </c:pt>
                <c:pt idx="56">
                  <c:v>2.3828999999999998</c:v>
                </c:pt>
                <c:pt idx="57">
                  <c:v>2.4436</c:v>
                </c:pt>
                <c:pt idx="58">
                  <c:v>1.9683999999999999</c:v>
                </c:pt>
                <c:pt idx="59">
                  <c:v>2.1652999999999998</c:v>
                </c:pt>
                <c:pt idx="60">
                  <c:v>2.0204</c:v>
                </c:pt>
                <c:pt idx="61">
                  <c:v>2.1385999999999998</c:v>
                </c:pt>
                <c:pt idx="62">
                  <c:v>2.4344000000000001</c:v>
                </c:pt>
                <c:pt idx="63">
                  <c:v>2.3025000000000002</c:v>
                </c:pt>
                <c:pt idx="64">
                  <c:v>1.7242999999999999</c:v>
                </c:pt>
                <c:pt idx="65">
                  <c:v>1.9079999999999999</c:v>
                </c:pt>
                <c:pt idx="66">
                  <c:v>1.3439000000000001</c:v>
                </c:pt>
                <c:pt idx="67">
                  <c:v>1.3976999999999999</c:v>
                </c:pt>
                <c:pt idx="68">
                  <c:v>1.4690000000000001</c:v>
                </c:pt>
                <c:pt idx="69">
                  <c:v>1.3793</c:v>
                </c:pt>
                <c:pt idx="70">
                  <c:v>1.2655000000000001</c:v>
                </c:pt>
                <c:pt idx="71">
                  <c:v>1.3931</c:v>
                </c:pt>
                <c:pt idx="72">
                  <c:v>1.3998999999999999</c:v>
                </c:pt>
                <c:pt idx="73">
                  <c:v>1.5678000000000001</c:v>
                </c:pt>
                <c:pt idx="74">
                  <c:v>1.5785</c:v>
                </c:pt>
                <c:pt idx="75">
                  <c:v>1.6116999999999999</c:v>
                </c:pt>
                <c:pt idx="76">
                  <c:v>1.5625</c:v>
                </c:pt>
                <c:pt idx="77">
                  <c:v>1.5529999999999999</c:v>
                </c:pt>
                <c:pt idx="78">
                  <c:v>1.5194000000000001</c:v>
                </c:pt>
                <c:pt idx="79">
                  <c:v>1.6973</c:v>
                </c:pt>
                <c:pt idx="80">
                  <c:v>1.6665000000000001</c:v>
                </c:pt>
                <c:pt idx="81">
                  <c:v>1.6568000000000001</c:v>
                </c:pt>
                <c:pt idx="82">
                  <c:v>1.6372</c:v>
                </c:pt>
                <c:pt idx="83">
                  <c:v>1.6137999999999999</c:v>
                </c:pt>
                <c:pt idx="84">
                  <c:v>1.6689000000000001</c:v>
                </c:pt>
                <c:pt idx="85">
                  <c:v>1.7755000000000001</c:v>
                </c:pt>
                <c:pt idx="86">
                  <c:v>1.8366</c:v>
                </c:pt>
                <c:pt idx="87">
                  <c:v>1.8</c:v>
                </c:pt>
                <c:pt idx="88">
                  <c:v>1.6961999999999999</c:v>
                </c:pt>
                <c:pt idx="89">
                  <c:v>1.6539999999999999</c:v>
                </c:pt>
                <c:pt idx="90">
                  <c:v>1.6415999999999999</c:v>
                </c:pt>
                <c:pt idx="91">
                  <c:v>1.5406</c:v>
                </c:pt>
                <c:pt idx="92">
                  <c:v>1.4749000000000001</c:v>
                </c:pt>
                <c:pt idx="93">
                  <c:v>1.7479</c:v>
                </c:pt>
                <c:pt idx="94">
                  <c:v>1.778</c:v>
                </c:pt>
                <c:pt idx="95">
                  <c:v>1.6944999999999999</c:v>
                </c:pt>
                <c:pt idx="96">
                  <c:v>1.7963</c:v>
                </c:pt>
                <c:pt idx="97">
                  <c:v>1.7404999999999999</c:v>
                </c:pt>
                <c:pt idx="98">
                  <c:v>1.7306999999999999</c:v>
                </c:pt>
                <c:pt idx="99">
                  <c:v>1.869</c:v>
                </c:pt>
                <c:pt idx="100">
                  <c:v>1.8257000000000001</c:v>
                </c:pt>
                <c:pt idx="101">
                  <c:v>1.927</c:v>
                </c:pt>
                <c:pt idx="102">
                  <c:v>1.8624000000000001</c:v>
                </c:pt>
                <c:pt idx="103">
                  <c:v>1.8982000000000001</c:v>
                </c:pt>
                <c:pt idx="104">
                  <c:v>2.0299999999999998</c:v>
                </c:pt>
                <c:pt idx="105">
                  <c:v>2.3664000000000001</c:v>
                </c:pt>
                <c:pt idx="106">
                  <c:v>2.8222</c:v>
                </c:pt>
                <c:pt idx="107">
                  <c:v>1.0206</c:v>
                </c:pt>
                <c:pt idx="108">
                  <c:v>1.0251999999999999</c:v>
                </c:pt>
                <c:pt idx="109">
                  <c:v>1.0471999999999999</c:v>
                </c:pt>
                <c:pt idx="110">
                  <c:v>1.0951</c:v>
                </c:pt>
                <c:pt idx="111">
                  <c:v>1.0645</c:v>
                </c:pt>
                <c:pt idx="112">
                  <c:v>1.0820000000000001</c:v>
                </c:pt>
                <c:pt idx="113">
                  <c:v>1.0531999999999999</c:v>
                </c:pt>
                <c:pt idx="114">
                  <c:v>1.0658000000000001</c:v>
                </c:pt>
                <c:pt idx="115">
                  <c:v>0.98409999999999997</c:v>
                </c:pt>
                <c:pt idx="116">
                  <c:v>1.0206</c:v>
                </c:pt>
                <c:pt idx="117">
                  <c:v>1.0157</c:v>
                </c:pt>
                <c:pt idx="118">
                  <c:v>1.0053000000000001</c:v>
                </c:pt>
                <c:pt idx="119">
                  <c:v>0.89410000000000001</c:v>
                </c:pt>
                <c:pt idx="120">
                  <c:v>0.85589999999999999</c:v>
                </c:pt>
                <c:pt idx="121">
                  <c:v>0.82140000000000002</c:v>
                </c:pt>
                <c:pt idx="122">
                  <c:v>0.84260000000000002</c:v>
                </c:pt>
                <c:pt idx="123">
                  <c:v>0.89459999999999995</c:v>
                </c:pt>
                <c:pt idx="124">
                  <c:v>0.91</c:v>
                </c:pt>
                <c:pt idx="125">
                  <c:v>0.90410000000000001</c:v>
                </c:pt>
                <c:pt idx="126">
                  <c:v>1.0078</c:v>
                </c:pt>
                <c:pt idx="127">
                  <c:v>1.0084</c:v>
                </c:pt>
                <c:pt idx="128">
                  <c:v>0.89549999999999996</c:v>
                </c:pt>
                <c:pt idx="129">
                  <c:v>1.0474000000000001</c:v>
                </c:pt>
                <c:pt idx="130">
                  <c:v>1.1541999999999999</c:v>
                </c:pt>
                <c:pt idx="131">
                  <c:v>1.1863999999999999</c:v>
                </c:pt>
                <c:pt idx="132">
                  <c:v>1.1474</c:v>
                </c:pt>
                <c:pt idx="133">
                  <c:v>1.2251000000000001</c:v>
                </c:pt>
                <c:pt idx="134">
                  <c:v>1.1983999999999999</c:v>
                </c:pt>
                <c:pt idx="135">
                  <c:v>1.2001999999999999</c:v>
                </c:pt>
                <c:pt idx="136">
                  <c:v>1.0895999999999999</c:v>
                </c:pt>
                <c:pt idx="137">
                  <c:v>1.1938</c:v>
                </c:pt>
                <c:pt idx="138">
                  <c:v>1.0991</c:v>
                </c:pt>
                <c:pt idx="139">
                  <c:v>1.1142000000000001</c:v>
                </c:pt>
                <c:pt idx="140">
                  <c:v>1.147</c:v>
                </c:pt>
                <c:pt idx="141">
                  <c:v>1.1489</c:v>
                </c:pt>
                <c:pt idx="142">
                  <c:v>1.1687000000000001</c:v>
                </c:pt>
                <c:pt idx="143">
                  <c:v>1.5266</c:v>
                </c:pt>
                <c:pt idx="144">
                  <c:v>1.6071</c:v>
                </c:pt>
                <c:pt idx="145">
                  <c:v>1.5590999999999999</c:v>
                </c:pt>
                <c:pt idx="146">
                  <c:v>1.5592999999999999</c:v>
                </c:pt>
                <c:pt idx="147">
                  <c:v>1.5663</c:v>
                </c:pt>
                <c:pt idx="148">
                  <c:v>1.5812999999999999</c:v>
                </c:pt>
                <c:pt idx="149">
                  <c:v>1.5327</c:v>
                </c:pt>
                <c:pt idx="150">
                  <c:v>1.5267999999999999</c:v>
                </c:pt>
                <c:pt idx="151">
                  <c:v>1.6577</c:v>
                </c:pt>
                <c:pt idx="152">
                  <c:v>1.6597999999999999</c:v>
                </c:pt>
                <c:pt idx="153">
                  <c:v>1.7094</c:v>
                </c:pt>
                <c:pt idx="154">
                  <c:v>1.6634</c:v>
                </c:pt>
                <c:pt idx="155">
                  <c:v>1.6131</c:v>
                </c:pt>
                <c:pt idx="156">
                  <c:v>1.405</c:v>
                </c:pt>
                <c:pt idx="157">
                  <c:v>1.5495000000000001</c:v>
                </c:pt>
                <c:pt idx="158">
                  <c:v>1.4138999999999999</c:v>
                </c:pt>
                <c:pt idx="159">
                  <c:v>1.4014</c:v>
                </c:pt>
                <c:pt idx="160">
                  <c:v>1.4408000000000001</c:v>
                </c:pt>
                <c:pt idx="161">
                  <c:v>1.3601000000000001</c:v>
                </c:pt>
                <c:pt idx="162">
                  <c:v>1.2450000000000001</c:v>
                </c:pt>
                <c:pt idx="163">
                  <c:v>1.2423999999999999</c:v>
                </c:pt>
                <c:pt idx="164">
                  <c:v>1.3299000000000001</c:v>
                </c:pt>
                <c:pt idx="165">
                  <c:v>1.2736000000000001</c:v>
                </c:pt>
                <c:pt idx="166">
                  <c:v>1.2455000000000001</c:v>
                </c:pt>
                <c:pt idx="167">
                  <c:v>1.2415</c:v>
                </c:pt>
                <c:pt idx="168">
                  <c:v>1.1207</c:v>
                </c:pt>
                <c:pt idx="169">
                  <c:v>1.1639999999999999</c:v>
                </c:pt>
                <c:pt idx="170">
                  <c:v>1.1947000000000001</c:v>
                </c:pt>
                <c:pt idx="171">
                  <c:v>1.0528</c:v>
                </c:pt>
                <c:pt idx="172">
                  <c:v>0.99209999999999998</c:v>
                </c:pt>
                <c:pt idx="173">
                  <c:v>1.0727</c:v>
                </c:pt>
                <c:pt idx="174">
                  <c:v>1.0530999999999999</c:v>
                </c:pt>
                <c:pt idx="175">
                  <c:v>1.0173000000000001</c:v>
                </c:pt>
                <c:pt idx="176">
                  <c:v>0.98329999999999995</c:v>
                </c:pt>
                <c:pt idx="177">
                  <c:v>0.91810000000000003</c:v>
                </c:pt>
                <c:pt idx="178">
                  <c:v>0.94820000000000004</c:v>
                </c:pt>
                <c:pt idx="179">
                  <c:v>0.95299999999999996</c:v>
                </c:pt>
                <c:pt idx="180">
                  <c:v>0.9718</c:v>
                </c:pt>
                <c:pt idx="181">
                  <c:v>0.97060000000000002</c:v>
                </c:pt>
                <c:pt idx="182">
                  <c:v>0.98680000000000001</c:v>
                </c:pt>
                <c:pt idx="183">
                  <c:v>0.92220000000000002</c:v>
                </c:pt>
                <c:pt idx="184">
                  <c:v>0.9052</c:v>
                </c:pt>
                <c:pt idx="185">
                  <c:v>0.87009999999999998</c:v>
                </c:pt>
                <c:pt idx="186">
                  <c:v>0.89949999999999997</c:v>
                </c:pt>
                <c:pt idx="187">
                  <c:v>0.78949999999999998</c:v>
                </c:pt>
                <c:pt idx="188">
                  <c:v>0.74360000000000004</c:v>
                </c:pt>
                <c:pt idx="189">
                  <c:v>0.74119999999999997</c:v>
                </c:pt>
                <c:pt idx="190">
                  <c:v>0.74480000000000002</c:v>
                </c:pt>
                <c:pt idx="191">
                  <c:v>0.65739999999999998</c:v>
                </c:pt>
                <c:pt idx="192">
                  <c:v>0.70079999999999998</c:v>
                </c:pt>
                <c:pt idx="193">
                  <c:v>0.73609999999999998</c:v>
                </c:pt>
                <c:pt idx="194">
                  <c:v>0.70860000000000001</c:v>
                </c:pt>
                <c:pt idx="195">
                  <c:v>0.71040000000000003</c:v>
                </c:pt>
                <c:pt idx="196">
                  <c:v>0.77969999999999995</c:v>
                </c:pt>
                <c:pt idx="197">
                  <c:v>0.77580000000000005</c:v>
                </c:pt>
                <c:pt idx="198">
                  <c:v>0.69799999999999995</c:v>
                </c:pt>
                <c:pt idx="199">
                  <c:v>0.72289999999999999</c:v>
                </c:pt>
                <c:pt idx="200">
                  <c:v>0.74239999999999995</c:v>
                </c:pt>
                <c:pt idx="201">
                  <c:v>0.7238</c:v>
                </c:pt>
                <c:pt idx="202">
                  <c:v>0.72799999999999998</c:v>
                </c:pt>
                <c:pt idx="203">
                  <c:v>0.73029999999999995</c:v>
                </c:pt>
                <c:pt idx="204">
                  <c:v>0.76690000000000003</c:v>
                </c:pt>
                <c:pt idx="205">
                  <c:v>0.78800000000000003</c:v>
                </c:pt>
                <c:pt idx="206">
                  <c:v>0.70420000000000005</c:v>
                </c:pt>
                <c:pt idx="207">
                  <c:v>0.72719999999999996</c:v>
                </c:pt>
                <c:pt idx="208">
                  <c:v>0.70989999999999998</c:v>
                </c:pt>
                <c:pt idx="209">
                  <c:v>0.68710000000000004</c:v>
                </c:pt>
                <c:pt idx="210">
                  <c:v>0.68589999999999995</c:v>
                </c:pt>
                <c:pt idx="211">
                  <c:v>0.72160000000000002</c:v>
                </c:pt>
                <c:pt idx="212">
                  <c:v>0.73560000000000003</c:v>
                </c:pt>
                <c:pt idx="213">
                  <c:v>0.68010000000000004</c:v>
                </c:pt>
                <c:pt idx="214">
                  <c:v>0.67149999999999999</c:v>
                </c:pt>
                <c:pt idx="215">
                  <c:v>0.6411</c:v>
                </c:pt>
                <c:pt idx="216">
                  <c:v>0.65410000000000001</c:v>
                </c:pt>
                <c:pt idx="217">
                  <c:v>0.73409999999999997</c:v>
                </c:pt>
                <c:pt idx="218">
                  <c:v>0.74380000000000002</c:v>
                </c:pt>
                <c:pt idx="219">
                  <c:v>0.69469999999999998</c:v>
                </c:pt>
                <c:pt idx="220">
                  <c:v>0.72470000000000001</c:v>
                </c:pt>
                <c:pt idx="221">
                  <c:v>0.95630000000000004</c:v>
                </c:pt>
                <c:pt idx="222">
                  <c:v>0.96740000000000004</c:v>
                </c:pt>
                <c:pt idx="223">
                  <c:v>0.9839</c:v>
                </c:pt>
                <c:pt idx="224">
                  <c:v>1.0773999999999999</c:v>
                </c:pt>
                <c:pt idx="225">
                  <c:v>1.0848</c:v>
                </c:pt>
                <c:pt idx="226">
                  <c:v>1.0934999999999999</c:v>
                </c:pt>
                <c:pt idx="227">
                  <c:v>1.0448999999999999</c:v>
                </c:pt>
                <c:pt idx="228">
                  <c:v>1.024</c:v>
                </c:pt>
                <c:pt idx="229">
                  <c:v>0.95369999999999999</c:v>
                </c:pt>
                <c:pt idx="230">
                  <c:v>0.99629999999999996</c:v>
                </c:pt>
                <c:pt idx="231">
                  <c:v>0.99660000000000004</c:v>
                </c:pt>
                <c:pt idx="232">
                  <c:v>1.0580000000000001</c:v>
                </c:pt>
                <c:pt idx="233">
                  <c:v>1.026</c:v>
                </c:pt>
                <c:pt idx="234">
                  <c:v>1.0876999999999999</c:v>
                </c:pt>
                <c:pt idx="235">
                  <c:v>1.1572</c:v>
                </c:pt>
                <c:pt idx="236">
                  <c:v>1.1612</c:v>
                </c:pt>
                <c:pt idx="237">
                  <c:v>1.1829000000000001</c:v>
                </c:pt>
                <c:pt idx="238">
                  <c:v>1.369</c:v>
                </c:pt>
                <c:pt idx="239">
                  <c:v>1.2317</c:v>
                </c:pt>
                <c:pt idx="240">
                  <c:v>1.1435999999999999</c:v>
                </c:pt>
                <c:pt idx="241">
                  <c:v>1.0999000000000001</c:v>
                </c:pt>
                <c:pt idx="242">
                  <c:v>1.0053000000000001</c:v>
                </c:pt>
                <c:pt idx="243">
                  <c:v>0.95420000000000005</c:v>
                </c:pt>
                <c:pt idx="244">
                  <c:v>0.99950000000000006</c:v>
                </c:pt>
                <c:pt idx="245">
                  <c:v>1.1163000000000001</c:v>
                </c:pt>
                <c:pt idx="246">
                  <c:v>1.2476</c:v>
                </c:pt>
                <c:pt idx="247">
                  <c:v>1.0263</c:v>
                </c:pt>
                <c:pt idx="248">
                  <c:v>1.0603</c:v>
                </c:pt>
                <c:pt idx="249">
                  <c:v>0.81240000000000001</c:v>
                </c:pt>
                <c:pt idx="250">
                  <c:v>0.95940000000000003</c:v>
                </c:pt>
                <c:pt idx="251">
                  <c:v>1.0597000000000001</c:v>
                </c:pt>
                <c:pt idx="252">
                  <c:v>1.2685999999999999</c:v>
                </c:pt>
                <c:pt idx="253">
                  <c:v>1.1299999999999999</c:v>
                </c:pt>
                <c:pt idx="254">
                  <c:v>1.8716999999999999</c:v>
                </c:pt>
                <c:pt idx="255">
                  <c:v>1.8918999999999999</c:v>
                </c:pt>
                <c:pt idx="256">
                  <c:v>1.9657</c:v>
                </c:pt>
                <c:pt idx="257">
                  <c:v>1.863</c:v>
                </c:pt>
                <c:pt idx="258">
                  <c:v>2.0527000000000002</c:v>
                </c:pt>
                <c:pt idx="259">
                  <c:v>1.9702</c:v>
                </c:pt>
                <c:pt idx="260">
                  <c:v>1.8885000000000001</c:v>
                </c:pt>
                <c:pt idx="261">
                  <c:v>2.2433000000000001</c:v>
                </c:pt>
                <c:pt idx="262">
                  <c:v>2.1570999999999998</c:v>
                </c:pt>
                <c:pt idx="263">
                  <c:v>2.4110999999999998</c:v>
                </c:pt>
                <c:pt idx="264">
                  <c:v>2.5051999999999999</c:v>
                </c:pt>
                <c:pt idx="265">
                  <c:v>2.5270000000000001</c:v>
                </c:pt>
                <c:pt idx="266">
                  <c:v>2.6027999999999998</c:v>
                </c:pt>
                <c:pt idx="267">
                  <c:v>2.6650999999999998</c:v>
                </c:pt>
                <c:pt idx="268">
                  <c:v>2.4495</c:v>
                </c:pt>
                <c:pt idx="269">
                  <c:v>2.8466999999999998</c:v>
                </c:pt>
                <c:pt idx="270">
                  <c:v>2.8940999999999999</c:v>
                </c:pt>
                <c:pt idx="271">
                  <c:v>2.6440000000000001</c:v>
                </c:pt>
                <c:pt idx="272">
                  <c:v>2.6711</c:v>
                </c:pt>
                <c:pt idx="273">
                  <c:v>2.6318000000000001</c:v>
                </c:pt>
                <c:pt idx="274">
                  <c:v>2.2705000000000002</c:v>
                </c:pt>
                <c:pt idx="275">
                  <c:v>2.3626999999999998</c:v>
                </c:pt>
                <c:pt idx="276">
                  <c:v>2.3386999999999998</c:v>
                </c:pt>
                <c:pt idx="277">
                  <c:v>2.2616000000000001</c:v>
                </c:pt>
                <c:pt idx="278">
                  <c:v>1.849</c:v>
                </c:pt>
                <c:pt idx="279">
                  <c:v>2.0653999999999999</c:v>
                </c:pt>
                <c:pt idx="280">
                  <c:v>1.9861</c:v>
                </c:pt>
                <c:pt idx="281">
                  <c:v>2.23</c:v>
                </c:pt>
                <c:pt idx="282">
                  <c:v>2.4527999999999999</c:v>
                </c:pt>
                <c:pt idx="283">
                  <c:v>2.2966000000000002</c:v>
                </c:pt>
                <c:pt idx="284">
                  <c:v>2.5293000000000001</c:v>
                </c:pt>
                <c:pt idx="285">
                  <c:v>3.0001000000000002</c:v>
                </c:pt>
                <c:pt idx="286">
                  <c:v>3.0596000000000001</c:v>
                </c:pt>
                <c:pt idx="287">
                  <c:v>3.2391999999999999</c:v>
                </c:pt>
                <c:pt idx="288">
                  <c:v>3.1922000000000001</c:v>
                </c:pt>
                <c:pt idx="289">
                  <c:v>3.3715000000000002</c:v>
                </c:pt>
                <c:pt idx="290">
                  <c:v>3.2155999999999998</c:v>
                </c:pt>
                <c:pt idx="291">
                  <c:v>2.9180999999999999</c:v>
                </c:pt>
                <c:pt idx="292">
                  <c:v>2.9895999999999998</c:v>
                </c:pt>
                <c:pt idx="293">
                  <c:v>2.8395999999999999</c:v>
                </c:pt>
                <c:pt idx="294">
                  <c:v>2.8776999999999999</c:v>
                </c:pt>
                <c:pt idx="295">
                  <c:v>2.6364999999999998</c:v>
                </c:pt>
                <c:pt idx="296">
                  <c:v>2.9378000000000002</c:v>
                </c:pt>
                <c:pt idx="297">
                  <c:v>3.0737999999999999</c:v>
                </c:pt>
                <c:pt idx="298">
                  <c:v>2.9367999999999999</c:v>
                </c:pt>
                <c:pt idx="299">
                  <c:v>2.7214</c:v>
                </c:pt>
                <c:pt idx="300">
                  <c:v>3.0169999999999999</c:v>
                </c:pt>
                <c:pt idx="301">
                  <c:v>2.9655</c:v>
                </c:pt>
                <c:pt idx="302">
                  <c:v>3.2343999999999999</c:v>
                </c:pt>
                <c:pt idx="303">
                  <c:v>3.3469000000000002</c:v>
                </c:pt>
                <c:pt idx="304">
                  <c:v>3.2290000000000001</c:v>
                </c:pt>
                <c:pt idx="305">
                  <c:v>3.1669999999999998</c:v>
                </c:pt>
                <c:pt idx="306">
                  <c:v>3.0905999999999998</c:v>
                </c:pt>
                <c:pt idx="307">
                  <c:v>2.8593000000000002</c:v>
                </c:pt>
                <c:pt idx="308">
                  <c:v>2.6869000000000001</c:v>
                </c:pt>
                <c:pt idx="309">
                  <c:v>2.798</c:v>
                </c:pt>
                <c:pt idx="310">
                  <c:v>3.3166000000000002</c:v>
                </c:pt>
                <c:pt idx="311">
                  <c:v>3.5345</c:v>
                </c:pt>
                <c:pt idx="312">
                  <c:v>3.4815999999999998</c:v>
                </c:pt>
                <c:pt idx="313">
                  <c:v>2.9718</c:v>
                </c:pt>
                <c:pt idx="314">
                  <c:v>3.1204999999999998</c:v>
                </c:pt>
                <c:pt idx="315">
                  <c:v>2.6739000000000002</c:v>
                </c:pt>
                <c:pt idx="316">
                  <c:v>2.714</c:v>
                </c:pt>
                <c:pt idx="317">
                  <c:v>2.8643999999999998</c:v>
                </c:pt>
                <c:pt idx="318">
                  <c:v>2.2875000000000001</c:v>
                </c:pt>
                <c:pt idx="319">
                  <c:v>2.68</c:v>
                </c:pt>
                <c:pt idx="320">
                  <c:v>1.9315</c:v>
                </c:pt>
                <c:pt idx="321">
                  <c:v>1.8242</c:v>
                </c:pt>
                <c:pt idx="322">
                  <c:v>1.9209000000000001</c:v>
                </c:pt>
                <c:pt idx="323">
                  <c:v>1.8691</c:v>
                </c:pt>
                <c:pt idx="324">
                  <c:v>2.1549</c:v>
                </c:pt>
                <c:pt idx="325">
                  <c:v>2.1284999999999998</c:v>
                </c:pt>
                <c:pt idx="326">
                  <c:v>2.0169000000000001</c:v>
                </c:pt>
                <c:pt idx="327">
                  <c:v>1.8877999999999999</c:v>
                </c:pt>
                <c:pt idx="328">
                  <c:v>1.78</c:v>
                </c:pt>
                <c:pt idx="329">
                  <c:v>1.8252999999999999</c:v>
                </c:pt>
                <c:pt idx="330">
                  <c:v>1.9339999999999999</c:v>
                </c:pt>
                <c:pt idx="331">
                  <c:v>2.1648999999999998</c:v>
                </c:pt>
                <c:pt idx="332">
                  <c:v>1.7718</c:v>
                </c:pt>
                <c:pt idx="333">
                  <c:v>1.47</c:v>
                </c:pt>
                <c:pt idx="334">
                  <c:v>1.7452000000000001</c:v>
                </c:pt>
                <c:pt idx="335">
                  <c:v>1.6995</c:v>
                </c:pt>
                <c:pt idx="336">
                  <c:v>1.8304</c:v>
                </c:pt>
                <c:pt idx="337">
                  <c:v>1.9652000000000001</c:v>
                </c:pt>
                <c:pt idx="338">
                  <c:v>1.8938999999999999</c:v>
                </c:pt>
                <c:pt idx="339">
                  <c:v>2.4550000000000001</c:v>
                </c:pt>
                <c:pt idx="340">
                  <c:v>2.7715000000000001</c:v>
                </c:pt>
                <c:pt idx="341">
                  <c:v>2.6364000000000001</c:v>
                </c:pt>
                <c:pt idx="342">
                  <c:v>2.7930999999999999</c:v>
                </c:pt>
                <c:pt idx="343">
                  <c:v>3.0920000000000001</c:v>
                </c:pt>
                <c:pt idx="344">
                  <c:v>3.2423999999999999</c:v>
                </c:pt>
                <c:pt idx="345">
                  <c:v>2.8759999999999999</c:v>
                </c:pt>
                <c:pt idx="346">
                  <c:v>2.74</c:v>
                </c:pt>
                <c:pt idx="347">
                  <c:v>2.9043999999999999</c:v>
                </c:pt>
                <c:pt idx="348">
                  <c:v>2.62</c:v>
                </c:pt>
                <c:pt idx="349">
                  <c:v>2.7320000000000002</c:v>
                </c:pt>
                <c:pt idx="350">
                  <c:v>2.6770999999999998</c:v>
                </c:pt>
                <c:pt idx="351">
                  <c:v>2.4788000000000001</c:v>
                </c:pt>
                <c:pt idx="352">
                  <c:v>3.4636999999999998</c:v>
                </c:pt>
                <c:pt idx="353">
                  <c:v>1.29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4-4507-8078-062A230195C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1.0320925287392453</c:v>
                </c:pt>
                <c:pt idx="1">
                  <c:v>1.0374065698780353</c:v>
                </c:pt>
                <c:pt idx="2">
                  <c:v>1.0707153486249641</c:v>
                </c:pt>
                <c:pt idx="3">
                  <c:v>1.0281511561459022</c:v>
                </c:pt>
                <c:pt idx="4">
                  <c:v>0.983918145116776</c:v>
                </c:pt>
                <c:pt idx="5">
                  <c:v>0.96676357061677609</c:v>
                </c:pt>
                <c:pt idx="6">
                  <c:v>0.97264441575912031</c:v>
                </c:pt>
                <c:pt idx="7">
                  <c:v>1.0456506909150995</c:v>
                </c:pt>
                <c:pt idx="8">
                  <c:v>1.0913695893753506</c:v>
                </c:pt>
                <c:pt idx="9">
                  <c:v>1.1080978581925549</c:v>
                </c:pt>
                <c:pt idx="10">
                  <c:v>1.1024160159410932</c:v>
                </c:pt>
                <c:pt idx="11">
                  <c:v>1.1315121066146681</c:v>
                </c:pt>
                <c:pt idx="12">
                  <c:v>1.1381065510781874</c:v>
                </c:pt>
                <c:pt idx="13">
                  <c:v>1.1191235040193637</c:v>
                </c:pt>
                <c:pt idx="14">
                  <c:v>1.114692144019364</c:v>
                </c:pt>
                <c:pt idx="15">
                  <c:v>1.1686613653623161</c:v>
                </c:pt>
                <c:pt idx="16">
                  <c:v>1.1238798190724346</c:v>
                </c:pt>
                <c:pt idx="17">
                  <c:v>1.0772466467148707</c:v>
                </c:pt>
                <c:pt idx="18">
                  <c:v>1.0958620153200367</c:v>
                </c:pt>
                <c:pt idx="19">
                  <c:v>1.0804679199212637</c:v>
                </c:pt>
                <c:pt idx="20">
                  <c:v>1.1071566862335112</c:v>
                </c:pt>
                <c:pt idx="21">
                  <c:v>1.1211758500223312</c:v>
                </c:pt>
                <c:pt idx="22">
                  <c:v>1.113315381111041</c:v>
                </c:pt>
                <c:pt idx="23">
                  <c:v>1.1612643952694568</c:v>
                </c:pt>
                <c:pt idx="24">
                  <c:v>1.1663851119361235</c:v>
                </c:pt>
                <c:pt idx="25">
                  <c:v>1.2142388314070229</c:v>
                </c:pt>
                <c:pt idx="26">
                  <c:v>1.1920561912810388</c:v>
                </c:pt>
                <c:pt idx="27">
                  <c:v>1.16981109552067</c:v>
                </c:pt>
                <c:pt idx="28">
                  <c:v>1.2150481609757862</c:v>
                </c:pt>
                <c:pt idx="29">
                  <c:v>1.1874648878074696</c:v>
                </c:pt>
                <c:pt idx="30">
                  <c:v>1.1292902948011183</c:v>
                </c:pt>
                <c:pt idx="31">
                  <c:v>1.2044584645526417</c:v>
                </c:pt>
                <c:pt idx="32">
                  <c:v>1.3035534737607453</c:v>
                </c:pt>
                <c:pt idx="33">
                  <c:v>1.1502282271301796</c:v>
                </c:pt>
                <c:pt idx="34">
                  <c:v>1.1381530907074158</c:v>
                </c:pt>
                <c:pt idx="35">
                  <c:v>1.200016912078173</c:v>
                </c:pt>
                <c:pt idx="36">
                  <c:v>1.1279842571561871</c:v>
                </c:pt>
                <c:pt idx="37">
                  <c:v>1.1725376475010147</c:v>
                </c:pt>
                <c:pt idx="38">
                  <c:v>1.1465439667447124</c:v>
                </c:pt>
                <c:pt idx="39">
                  <c:v>1.1675602346196121</c:v>
                </c:pt>
                <c:pt idx="40">
                  <c:v>1.2115501309923242</c:v>
                </c:pt>
                <c:pt idx="41">
                  <c:v>1.1913333010991618</c:v>
                </c:pt>
                <c:pt idx="42">
                  <c:v>1.2338288682811358</c:v>
                </c:pt>
                <c:pt idx="43">
                  <c:v>1.3355696142555766</c:v>
                </c:pt>
                <c:pt idx="44">
                  <c:v>1.2683102804705719</c:v>
                </c:pt>
                <c:pt idx="45">
                  <c:v>1.2782353815237215</c:v>
                </c:pt>
                <c:pt idx="46">
                  <c:v>1.3933638095328882</c:v>
                </c:pt>
                <c:pt idx="47">
                  <c:v>1.5094188114747968</c:v>
                </c:pt>
                <c:pt idx="48">
                  <c:v>1.5028456184035663</c:v>
                </c:pt>
                <c:pt idx="49">
                  <c:v>1.1055075263843572</c:v>
                </c:pt>
                <c:pt idx="50">
                  <c:v>1.4154236933486433</c:v>
                </c:pt>
                <c:pt idx="51">
                  <c:v>1.3274412449328015</c:v>
                </c:pt>
                <c:pt idx="52">
                  <c:v>1.4218277472719825</c:v>
                </c:pt>
                <c:pt idx="53">
                  <c:v>1.3240681852341889</c:v>
                </c:pt>
                <c:pt idx="54">
                  <c:v>1.4098656390148956</c:v>
                </c:pt>
                <c:pt idx="55">
                  <c:v>1.2762592067222331</c:v>
                </c:pt>
                <c:pt idx="56">
                  <c:v>1.5887336385017163</c:v>
                </c:pt>
                <c:pt idx="57">
                  <c:v>2.5343267247971482</c:v>
                </c:pt>
                <c:pt idx="58">
                  <c:v>2.2745231616402584</c:v>
                </c:pt>
                <c:pt idx="59">
                  <c:v>2.3989414144789678</c:v>
                </c:pt>
                <c:pt idx="60">
                  <c:v>2.3050156914461812</c:v>
                </c:pt>
                <c:pt idx="61">
                  <c:v>2.2753317619007265</c:v>
                </c:pt>
                <c:pt idx="62">
                  <c:v>2.4507216811561614</c:v>
                </c:pt>
                <c:pt idx="63">
                  <c:v>2.0436271333955438</c:v>
                </c:pt>
                <c:pt idx="64">
                  <c:v>1.4826323845334317</c:v>
                </c:pt>
                <c:pt idx="65">
                  <c:v>1.6205418718988709</c:v>
                </c:pt>
                <c:pt idx="66">
                  <c:v>1.1946689038413174</c:v>
                </c:pt>
                <c:pt idx="67">
                  <c:v>1.2087020191648825</c:v>
                </c:pt>
                <c:pt idx="68">
                  <c:v>1.2662642552541494</c:v>
                </c:pt>
                <c:pt idx="69">
                  <c:v>1.2236857163146051</c:v>
                </c:pt>
                <c:pt idx="70">
                  <c:v>1.1932798871357195</c:v>
                </c:pt>
                <c:pt idx="71">
                  <c:v>1.224087996940622</c:v>
                </c:pt>
                <c:pt idx="72">
                  <c:v>1.211680440953161</c:v>
                </c:pt>
                <c:pt idx="73">
                  <c:v>1.2361215534830892</c:v>
                </c:pt>
                <c:pt idx="74">
                  <c:v>1.2511034874918514</c:v>
                </c:pt>
                <c:pt idx="75">
                  <c:v>1.265616617316413</c:v>
                </c:pt>
                <c:pt idx="76">
                  <c:v>1.2453504440234837</c:v>
                </c:pt>
                <c:pt idx="77">
                  <c:v>1.2331283464035401</c:v>
                </c:pt>
                <c:pt idx="78">
                  <c:v>1.226573097533975</c:v>
                </c:pt>
                <c:pt idx="79">
                  <c:v>1.2571796292237418</c:v>
                </c:pt>
                <c:pt idx="80">
                  <c:v>1.2546064683989997</c:v>
                </c:pt>
                <c:pt idx="81">
                  <c:v>1.2237451926107643</c:v>
                </c:pt>
                <c:pt idx="82">
                  <c:v>1.2035121253436833</c:v>
                </c:pt>
                <c:pt idx="83">
                  <c:v>1.1769966596293973</c:v>
                </c:pt>
                <c:pt idx="84">
                  <c:v>1.2048096249940452</c:v>
                </c:pt>
                <c:pt idx="85">
                  <c:v>1.2214210442440452</c:v>
                </c:pt>
                <c:pt idx="86">
                  <c:v>1.2611917592719262</c:v>
                </c:pt>
                <c:pt idx="87">
                  <c:v>1.2718235289066293</c:v>
                </c:pt>
                <c:pt idx="88">
                  <c:v>1.2310149918133935</c:v>
                </c:pt>
                <c:pt idx="89">
                  <c:v>1.2200443060780992</c:v>
                </c:pt>
                <c:pt idx="90">
                  <c:v>1.1824537082520123</c:v>
                </c:pt>
                <c:pt idx="91">
                  <c:v>1.1319308952701344</c:v>
                </c:pt>
                <c:pt idx="92">
                  <c:v>1.1283519224129916</c:v>
                </c:pt>
                <c:pt idx="93">
                  <c:v>1.3044641718732255</c:v>
                </c:pt>
                <c:pt idx="94">
                  <c:v>1.3317532065033169</c:v>
                </c:pt>
                <c:pt idx="95">
                  <c:v>1.2871248760099248</c:v>
                </c:pt>
                <c:pt idx="96">
                  <c:v>1.3075057578866447</c:v>
                </c:pt>
                <c:pt idx="97">
                  <c:v>1.31586338450866</c:v>
                </c:pt>
                <c:pt idx="98">
                  <c:v>1.3277093701541587</c:v>
                </c:pt>
                <c:pt idx="99">
                  <c:v>1.5015927926786503</c:v>
                </c:pt>
                <c:pt idx="100">
                  <c:v>1.4136140470014171</c:v>
                </c:pt>
                <c:pt idx="101">
                  <c:v>1.5324005088852088</c:v>
                </c:pt>
                <c:pt idx="102">
                  <c:v>1.8037119905226695</c:v>
                </c:pt>
                <c:pt idx="103">
                  <c:v>1.9418419036196488</c:v>
                </c:pt>
                <c:pt idx="104">
                  <c:v>2.2204939498283878</c:v>
                </c:pt>
                <c:pt idx="105">
                  <c:v>2.7086488755479228</c:v>
                </c:pt>
                <c:pt idx="106">
                  <c:v>4.2337137437597159</c:v>
                </c:pt>
                <c:pt idx="107">
                  <c:v>0.4322565077267933</c:v>
                </c:pt>
                <c:pt idx="108">
                  <c:v>0.39588483488398396</c:v>
                </c:pt>
                <c:pt idx="109">
                  <c:v>0.41741005915459717</c:v>
                </c:pt>
                <c:pt idx="110">
                  <c:v>0.45953376182525602</c:v>
                </c:pt>
                <c:pt idx="111">
                  <c:v>0.52873103658553011</c:v>
                </c:pt>
                <c:pt idx="112">
                  <c:v>0.56224961315041555</c:v>
                </c:pt>
                <c:pt idx="113">
                  <c:v>0.55761596367827482</c:v>
                </c:pt>
                <c:pt idx="114">
                  <c:v>0.5195448710162609</c:v>
                </c:pt>
                <c:pt idx="115">
                  <c:v>0.47642217347831806</c:v>
                </c:pt>
                <c:pt idx="116">
                  <c:v>0.48136978096785776</c:v>
                </c:pt>
                <c:pt idx="117">
                  <c:v>0.47696573992785785</c:v>
                </c:pt>
                <c:pt idx="118">
                  <c:v>0.4757128339253357</c:v>
                </c:pt>
                <c:pt idx="119">
                  <c:v>0.42273860394138696</c:v>
                </c:pt>
                <c:pt idx="120">
                  <c:v>0.39456525300680756</c:v>
                </c:pt>
                <c:pt idx="121">
                  <c:v>0.39073946739641791</c:v>
                </c:pt>
                <c:pt idx="122">
                  <c:v>0.41638708859641799</c:v>
                </c:pt>
                <c:pt idx="123">
                  <c:v>0.49593817048047589</c:v>
                </c:pt>
                <c:pt idx="124">
                  <c:v>0.46961147995026148</c:v>
                </c:pt>
                <c:pt idx="125">
                  <c:v>0.44061606540480691</c:v>
                </c:pt>
                <c:pt idx="126">
                  <c:v>0.47804733106505909</c:v>
                </c:pt>
                <c:pt idx="127">
                  <c:v>0.46125540823099148</c:v>
                </c:pt>
                <c:pt idx="128">
                  <c:v>0.42417732481408177</c:v>
                </c:pt>
                <c:pt idx="129">
                  <c:v>0.46791619331791373</c:v>
                </c:pt>
                <c:pt idx="130">
                  <c:v>0.49714696580394707</c:v>
                </c:pt>
                <c:pt idx="131">
                  <c:v>0.51855473494100301</c:v>
                </c:pt>
                <c:pt idx="132">
                  <c:v>0.51868399770696061</c:v>
                </c:pt>
                <c:pt idx="133">
                  <c:v>0.55397751278388363</c:v>
                </c:pt>
                <c:pt idx="134">
                  <c:v>0.54319890042424168</c:v>
                </c:pt>
                <c:pt idx="135">
                  <c:v>0.54258398241172212</c:v>
                </c:pt>
                <c:pt idx="136">
                  <c:v>0.50338893258647943</c:v>
                </c:pt>
                <c:pt idx="137">
                  <c:v>0.53793739005812735</c:v>
                </c:pt>
                <c:pt idx="138">
                  <c:v>0.48976064934082786</c:v>
                </c:pt>
                <c:pt idx="139">
                  <c:v>0.51036268799797069</c:v>
                </c:pt>
                <c:pt idx="140">
                  <c:v>0.5408040455628409</c:v>
                </c:pt>
                <c:pt idx="141">
                  <c:v>0.5628297693644938</c:v>
                </c:pt>
                <c:pt idx="142">
                  <c:v>0.52973518126345898</c:v>
                </c:pt>
                <c:pt idx="143">
                  <c:v>0.57861447485948847</c:v>
                </c:pt>
                <c:pt idx="144">
                  <c:v>0.58940037243805232</c:v>
                </c:pt>
                <c:pt idx="145">
                  <c:v>0.54974353350816307</c:v>
                </c:pt>
                <c:pt idx="146">
                  <c:v>0.58483577615716986</c:v>
                </c:pt>
                <c:pt idx="147">
                  <c:v>0.58054539123315796</c:v>
                </c:pt>
                <c:pt idx="148">
                  <c:v>0.57815525446500782</c:v>
                </c:pt>
                <c:pt idx="149">
                  <c:v>0.51300553046500807</c:v>
                </c:pt>
                <c:pt idx="150">
                  <c:v>0.53038324125930536</c:v>
                </c:pt>
                <c:pt idx="151">
                  <c:v>0.60116695515040763</c:v>
                </c:pt>
                <c:pt idx="152">
                  <c:v>0.60158913264344394</c:v>
                </c:pt>
                <c:pt idx="153">
                  <c:v>0.64329379891077776</c:v>
                </c:pt>
                <c:pt idx="154">
                  <c:v>0.58739023563186621</c:v>
                </c:pt>
                <c:pt idx="155">
                  <c:v>0.49228159609416128</c:v>
                </c:pt>
                <c:pt idx="156">
                  <c:v>0.38336290786257488</c:v>
                </c:pt>
                <c:pt idx="157">
                  <c:v>0.43801295907800397</c:v>
                </c:pt>
                <c:pt idx="158">
                  <c:v>0.34335752266002162</c:v>
                </c:pt>
                <c:pt idx="159">
                  <c:v>0.33576001771022257</c:v>
                </c:pt>
                <c:pt idx="160">
                  <c:v>0.40408778479796276</c:v>
                </c:pt>
                <c:pt idx="161">
                  <c:v>0.3297399492790099</c:v>
                </c:pt>
                <c:pt idx="162">
                  <c:v>0.26791211578260571</c:v>
                </c:pt>
                <c:pt idx="163">
                  <c:v>0.2451325464509248</c:v>
                </c:pt>
                <c:pt idx="164">
                  <c:v>0.30917452128925815</c:v>
                </c:pt>
                <c:pt idx="165">
                  <c:v>0.33289555634087092</c:v>
                </c:pt>
                <c:pt idx="166">
                  <c:v>0.29598605714087073</c:v>
                </c:pt>
                <c:pt idx="167">
                  <c:v>0.2589297321997468</c:v>
                </c:pt>
                <c:pt idx="168">
                  <c:v>0.19746718467966282</c:v>
                </c:pt>
                <c:pt idx="169">
                  <c:v>0.22675157570722285</c:v>
                </c:pt>
                <c:pt idx="170">
                  <c:v>0.30961701997341545</c:v>
                </c:pt>
                <c:pt idx="171">
                  <c:v>0.19282283837351991</c:v>
                </c:pt>
                <c:pt idx="172">
                  <c:v>0.16600549635766099</c:v>
                </c:pt>
                <c:pt idx="173">
                  <c:v>0.23976243235201922</c:v>
                </c:pt>
                <c:pt idx="174">
                  <c:v>0.27011341694627761</c:v>
                </c:pt>
                <c:pt idx="175">
                  <c:v>0.23188274115121044</c:v>
                </c:pt>
                <c:pt idx="176">
                  <c:v>0.14237335676721005</c:v>
                </c:pt>
                <c:pt idx="177">
                  <c:v>6.6426793887124469E-2</c:v>
                </c:pt>
                <c:pt idx="178">
                  <c:v>7.3662082050948707E-2</c:v>
                </c:pt>
                <c:pt idx="179">
                  <c:v>9.433098400747035E-2</c:v>
                </c:pt>
                <c:pt idx="180">
                  <c:v>0.15173018455535531</c:v>
                </c:pt>
                <c:pt idx="181">
                  <c:v>0.153621612852958</c:v>
                </c:pt>
                <c:pt idx="182">
                  <c:v>0.13420135620843085</c:v>
                </c:pt>
                <c:pt idx="183">
                  <c:v>0.14724282920877771</c:v>
                </c:pt>
                <c:pt idx="184">
                  <c:v>9.6995184773483623E-2</c:v>
                </c:pt>
                <c:pt idx="185">
                  <c:v>6.2385010865945181E-2</c:v>
                </c:pt>
                <c:pt idx="186">
                  <c:v>0.28382002336594514</c:v>
                </c:pt>
                <c:pt idx="187">
                  <c:v>7.7648349818079693E-2</c:v>
                </c:pt>
                <c:pt idx="188">
                  <c:v>2.8504066010663586E-2</c:v>
                </c:pt>
                <c:pt idx="189">
                  <c:v>-1.451367980012786E-2</c:v>
                </c:pt>
                <c:pt idx="190">
                  <c:v>-1.511293014693086E-2</c:v>
                </c:pt>
                <c:pt idx="191">
                  <c:v>-6.4832529339383688E-2</c:v>
                </c:pt>
                <c:pt idx="192">
                  <c:v>-6.0234919584983698E-2</c:v>
                </c:pt>
                <c:pt idx="193">
                  <c:v>0.10338103639032491</c:v>
                </c:pt>
                <c:pt idx="194">
                  <c:v>8.1706020545539645E-2</c:v>
                </c:pt>
                <c:pt idx="195">
                  <c:v>7.7291996261818721E-2</c:v>
                </c:pt>
                <c:pt idx="196">
                  <c:v>0.154779688275307</c:v>
                </c:pt>
                <c:pt idx="197">
                  <c:v>0.22900305495666542</c:v>
                </c:pt>
                <c:pt idx="198">
                  <c:v>0.15259325960365694</c:v>
                </c:pt>
                <c:pt idx="199">
                  <c:v>0.16505247014911151</c:v>
                </c:pt>
                <c:pt idx="200">
                  <c:v>0.20599371706257005</c:v>
                </c:pt>
                <c:pt idx="201">
                  <c:v>0.18627701131257016</c:v>
                </c:pt>
                <c:pt idx="202">
                  <c:v>0.18584198038982136</c:v>
                </c:pt>
                <c:pt idx="203">
                  <c:v>0.16143291816413335</c:v>
                </c:pt>
                <c:pt idx="204">
                  <c:v>0.18115079342991852</c:v>
                </c:pt>
                <c:pt idx="205">
                  <c:v>0.25166844058029442</c:v>
                </c:pt>
                <c:pt idx="206">
                  <c:v>0.15492385580059662</c:v>
                </c:pt>
                <c:pt idx="207">
                  <c:v>0.14084846377898477</c:v>
                </c:pt>
                <c:pt idx="208">
                  <c:v>0.1292376728661277</c:v>
                </c:pt>
                <c:pt idx="209">
                  <c:v>0.11103675700647855</c:v>
                </c:pt>
                <c:pt idx="210">
                  <c:v>7.9783765481810515E-2</c:v>
                </c:pt>
                <c:pt idx="211">
                  <c:v>0.10005033646428484</c:v>
                </c:pt>
                <c:pt idx="212">
                  <c:v>7.0902940108488674E-2</c:v>
                </c:pt>
                <c:pt idx="213">
                  <c:v>5.0177282410968846E-2</c:v>
                </c:pt>
                <c:pt idx="214">
                  <c:v>5.32467839265717E-2</c:v>
                </c:pt>
                <c:pt idx="215">
                  <c:v>5.0129327100579841E-3</c:v>
                </c:pt>
                <c:pt idx="216">
                  <c:v>2.1827490613921174E-3</c:v>
                </c:pt>
                <c:pt idx="217">
                  <c:v>4.9004695443925994E-2</c:v>
                </c:pt>
                <c:pt idx="218">
                  <c:v>3.9586490265317395E-2</c:v>
                </c:pt>
                <c:pt idx="219">
                  <c:v>2.842127277842969E-2</c:v>
                </c:pt>
                <c:pt idx="220">
                  <c:v>3.0717392576494629E-2</c:v>
                </c:pt>
                <c:pt idx="221">
                  <c:v>9.7168901757977613E-2</c:v>
                </c:pt>
                <c:pt idx="222">
                  <c:v>7.9140828245189296E-2</c:v>
                </c:pt>
                <c:pt idx="223">
                  <c:v>9.9181508874095506E-2</c:v>
                </c:pt>
                <c:pt idx="224">
                  <c:v>0.12083654234732631</c:v>
                </c:pt>
                <c:pt idx="225">
                  <c:v>0.15998415344132103</c:v>
                </c:pt>
                <c:pt idx="226">
                  <c:v>0.15476860364766107</c:v>
                </c:pt>
                <c:pt idx="227">
                  <c:v>0.15029662429079688</c:v>
                </c:pt>
                <c:pt idx="228">
                  <c:v>0.13626678586662627</c:v>
                </c:pt>
                <c:pt idx="229">
                  <c:v>0.10223036174516228</c:v>
                </c:pt>
                <c:pt idx="230">
                  <c:v>0.10165121466921292</c:v>
                </c:pt>
                <c:pt idx="231">
                  <c:v>0.14124133214040324</c:v>
                </c:pt>
                <c:pt idx="232">
                  <c:v>0.21185264571625056</c:v>
                </c:pt>
                <c:pt idx="233">
                  <c:v>0.13037560971251469</c:v>
                </c:pt>
                <c:pt idx="234">
                  <c:v>0.11591626159841532</c:v>
                </c:pt>
                <c:pt idx="235">
                  <c:v>0.24600082510447918</c:v>
                </c:pt>
                <c:pt idx="236">
                  <c:v>0.26302481551609747</c:v>
                </c:pt>
                <c:pt idx="237">
                  <c:v>0.3571665215190008</c:v>
                </c:pt>
                <c:pt idx="238">
                  <c:v>0.40904401494823889</c:v>
                </c:pt>
                <c:pt idx="239">
                  <c:v>0.29379251909235643</c:v>
                </c:pt>
                <c:pt idx="240">
                  <c:v>0.28195912905993153</c:v>
                </c:pt>
                <c:pt idx="241">
                  <c:v>0.23214325082535203</c:v>
                </c:pt>
                <c:pt idx="242">
                  <c:v>0.1494170067279865</c:v>
                </c:pt>
                <c:pt idx="243">
                  <c:v>0.12784673165532914</c:v>
                </c:pt>
                <c:pt idx="244">
                  <c:v>0.18060619910939693</c:v>
                </c:pt>
                <c:pt idx="245">
                  <c:v>0.26076094347498657</c:v>
                </c:pt>
                <c:pt idx="246">
                  <c:v>0.30472202342060045</c:v>
                </c:pt>
                <c:pt idx="247">
                  <c:v>0.1633826213762872</c:v>
                </c:pt>
                <c:pt idx="248">
                  <c:v>0.16322999304060148</c:v>
                </c:pt>
                <c:pt idx="249">
                  <c:v>5.7815165605875754E-2</c:v>
                </c:pt>
                <c:pt idx="250">
                  <c:v>6.9096307994111011E-2</c:v>
                </c:pt>
                <c:pt idx="251">
                  <c:v>0.12777554884513606</c:v>
                </c:pt>
                <c:pt idx="252">
                  <c:v>0.15893262826529331</c:v>
                </c:pt>
                <c:pt idx="253">
                  <c:v>0.10658155402228842</c:v>
                </c:pt>
                <c:pt idx="254">
                  <c:v>0.21144820428868211</c:v>
                </c:pt>
                <c:pt idx="255">
                  <c:v>0.23725652932733426</c:v>
                </c:pt>
                <c:pt idx="256">
                  <c:v>0.19122312753605425</c:v>
                </c:pt>
                <c:pt idx="257">
                  <c:v>0.18728295719636723</c:v>
                </c:pt>
                <c:pt idx="258">
                  <c:v>0.24078843961585239</c:v>
                </c:pt>
                <c:pt idx="259">
                  <c:v>0.23066461679191319</c:v>
                </c:pt>
                <c:pt idx="260">
                  <c:v>0.2236527894500383</c:v>
                </c:pt>
                <c:pt idx="261">
                  <c:v>0.30060294327564924</c:v>
                </c:pt>
                <c:pt idx="262">
                  <c:v>0.25114544338590278</c:v>
                </c:pt>
                <c:pt idx="263">
                  <c:v>0.29084558031485813</c:v>
                </c:pt>
                <c:pt idx="264">
                  <c:v>0.30003666527896383</c:v>
                </c:pt>
                <c:pt idx="265">
                  <c:v>0.35287597479964589</c:v>
                </c:pt>
                <c:pt idx="266">
                  <c:v>0.36543297012397002</c:v>
                </c:pt>
                <c:pt idx="267">
                  <c:v>0.41364608712771095</c:v>
                </c:pt>
                <c:pt idx="268">
                  <c:v>0.34830435762048401</c:v>
                </c:pt>
                <c:pt idx="269">
                  <c:v>0.45747580820663569</c:v>
                </c:pt>
                <c:pt idx="270">
                  <c:v>0.54850706095614599</c:v>
                </c:pt>
                <c:pt idx="271">
                  <c:v>0.45428553978166364</c:v>
                </c:pt>
                <c:pt idx="272">
                  <c:v>0.48286378496066712</c:v>
                </c:pt>
                <c:pt idx="273">
                  <c:v>0.41808455357649982</c:v>
                </c:pt>
                <c:pt idx="274">
                  <c:v>0.29093548948436193</c:v>
                </c:pt>
                <c:pt idx="275">
                  <c:v>0.30145059478157371</c:v>
                </c:pt>
                <c:pt idx="276">
                  <c:v>0.32118478788135973</c:v>
                </c:pt>
                <c:pt idx="277">
                  <c:v>0.25696130836182191</c:v>
                </c:pt>
                <c:pt idx="278">
                  <c:v>0.13153798037382178</c:v>
                </c:pt>
                <c:pt idx="279">
                  <c:v>0.18645297851656245</c:v>
                </c:pt>
                <c:pt idx="280">
                  <c:v>7.3505641864763391E-3</c:v>
                </c:pt>
                <c:pt idx="281">
                  <c:v>0.12276045780872809</c:v>
                </c:pt>
                <c:pt idx="282">
                  <c:v>0.21604800549461356</c:v>
                </c:pt>
                <c:pt idx="283">
                  <c:v>0.15142864040736295</c:v>
                </c:pt>
                <c:pt idx="284">
                  <c:v>0.26439666529487926</c:v>
                </c:pt>
                <c:pt idx="285">
                  <c:v>0.27517713579850051</c:v>
                </c:pt>
                <c:pt idx="286">
                  <c:v>0.33536264828162465</c:v>
                </c:pt>
                <c:pt idx="287">
                  <c:v>0.35436513460180347</c:v>
                </c:pt>
                <c:pt idx="288">
                  <c:v>0.35698654181563017</c:v>
                </c:pt>
                <c:pt idx="289">
                  <c:v>0.39779605825181319</c:v>
                </c:pt>
                <c:pt idx="290">
                  <c:v>0.3620532424113469</c:v>
                </c:pt>
                <c:pt idx="291">
                  <c:v>0.29517049919755395</c:v>
                </c:pt>
                <c:pt idx="292">
                  <c:v>0.30292117128241824</c:v>
                </c:pt>
                <c:pt idx="293">
                  <c:v>0.28968160314730068</c:v>
                </c:pt>
                <c:pt idx="294">
                  <c:v>0.32224272096163353</c:v>
                </c:pt>
                <c:pt idx="295">
                  <c:v>0.23176431351881371</c:v>
                </c:pt>
                <c:pt idx="296">
                  <c:v>0.29947483437489375</c:v>
                </c:pt>
                <c:pt idx="297">
                  <c:v>0.32360971425129803</c:v>
                </c:pt>
                <c:pt idx="298">
                  <c:v>0.27320813241716491</c:v>
                </c:pt>
                <c:pt idx="299">
                  <c:v>0.21428955874045275</c:v>
                </c:pt>
                <c:pt idx="300">
                  <c:v>0.31157847424372453</c:v>
                </c:pt>
                <c:pt idx="301">
                  <c:v>0.29635168913228904</c:v>
                </c:pt>
                <c:pt idx="302">
                  <c:v>0.34090022608317511</c:v>
                </c:pt>
                <c:pt idx="303">
                  <c:v>0.2714987470708124</c:v>
                </c:pt>
                <c:pt idx="304">
                  <c:v>0.21253842554118579</c:v>
                </c:pt>
                <c:pt idx="305">
                  <c:v>0.15224020778247321</c:v>
                </c:pt>
                <c:pt idx="306">
                  <c:v>0.18986528250602894</c:v>
                </c:pt>
                <c:pt idx="307">
                  <c:v>0.15405401312944764</c:v>
                </c:pt>
                <c:pt idx="308">
                  <c:v>0.12814425680016581</c:v>
                </c:pt>
                <c:pt idx="309">
                  <c:v>0.16731972801135825</c:v>
                </c:pt>
                <c:pt idx="310">
                  <c:v>0.29954143474284806</c:v>
                </c:pt>
                <c:pt idx="311">
                  <c:v>0.43922902552177601</c:v>
                </c:pt>
                <c:pt idx="312">
                  <c:v>0.50483812461104494</c:v>
                </c:pt>
                <c:pt idx="313">
                  <c:v>0.27858405201278685</c:v>
                </c:pt>
                <c:pt idx="314">
                  <c:v>0.55686317528083462</c:v>
                </c:pt>
                <c:pt idx="315">
                  <c:v>0.38904708513191077</c:v>
                </c:pt>
                <c:pt idx="316">
                  <c:v>0.47570896102654475</c:v>
                </c:pt>
                <c:pt idx="317">
                  <c:v>0.5264180772680439</c:v>
                </c:pt>
                <c:pt idx="318">
                  <c:v>0.19900591994903064</c:v>
                </c:pt>
                <c:pt idx="319">
                  <c:v>0.70443435942595356</c:v>
                </c:pt>
                <c:pt idx="320">
                  <c:v>0.26800672331878</c:v>
                </c:pt>
                <c:pt idx="321">
                  <c:v>0.22006420862199019</c:v>
                </c:pt>
                <c:pt idx="322">
                  <c:v>0.24557089698964271</c:v>
                </c:pt>
                <c:pt idx="323">
                  <c:v>0.28651549817401772</c:v>
                </c:pt>
                <c:pt idx="324">
                  <c:v>0.37985810842672951</c:v>
                </c:pt>
                <c:pt idx="325">
                  <c:v>0.31439068012271038</c:v>
                </c:pt>
                <c:pt idx="326">
                  <c:v>0.21091828991841738</c:v>
                </c:pt>
                <c:pt idx="327">
                  <c:v>0.14649285357095376</c:v>
                </c:pt>
                <c:pt idx="328">
                  <c:v>0.14399056033782034</c:v>
                </c:pt>
                <c:pt idx="329">
                  <c:v>0.10233475725880714</c:v>
                </c:pt>
                <c:pt idx="330">
                  <c:v>0.19959850662338377</c:v>
                </c:pt>
                <c:pt idx="331">
                  <c:v>0.40377115830152499</c:v>
                </c:pt>
                <c:pt idx="332">
                  <c:v>0.1941463153755314</c:v>
                </c:pt>
                <c:pt idx="333">
                  <c:v>5.8765687271183482E-2</c:v>
                </c:pt>
                <c:pt idx="334">
                  <c:v>0.12634566210062756</c:v>
                </c:pt>
                <c:pt idx="335">
                  <c:v>0.13034051732077928</c:v>
                </c:pt>
                <c:pt idx="336">
                  <c:v>0.15291945798069861</c:v>
                </c:pt>
                <c:pt idx="337">
                  <c:v>0.30672862242145188</c:v>
                </c:pt>
                <c:pt idx="338">
                  <c:v>0.34020177873162272</c:v>
                </c:pt>
                <c:pt idx="339">
                  <c:v>0.41494624929317558</c:v>
                </c:pt>
                <c:pt idx="340">
                  <c:v>0.41466456940804919</c:v>
                </c:pt>
                <c:pt idx="341">
                  <c:v>0.36878011655919185</c:v>
                </c:pt>
                <c:pt idx="342">
                  <c:v>0.43448182027723636</c:v>
                </c:pt>
                <c:pt idx="343">
                  <c:v>0.55015349927293011</c:v>
                </c:pt>
                <c:pt idx="344">
                  <c:v>0.64268309314605476</c:v>
                </c:pt>
                <c:pt idx="345">
                  <c:v>0.46141602038707075</c:v>
                </c:pt>
                <c:pt idx="346">
                  <c:v>0.49879681977046714</c:v>
                </c:pt>
                <c:pt idx="347">
                  <c:v>0.54651836382240915</c:v>
                </c:pt>
                <c:pt idx="348">
                  <c:v>0.64857891136440937</c:v>
                </c:pt>
                <c:pt idx="349">
                  <c:v>0.71915212181146781</c:v>
                </c:pt>
                <c:pt idx="350">
                  <c:v>0.77786273914866666</c:v>
                </c:pt>
                <c:pt idx="351">
                  <c:v>0.86209924626570988</c:v>
                </c:pt>
                <c:pt idx="352">
                  <c:v>2.0649564374585561</c:v>
                </c:pt>
                <c:pt idx="353">
                  <c:v>0.63166590049111115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4-4507-8078-062A23019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0100208"/>
        <c:axId val="630100624"/>
      </c:lineChart>
      <c:dateAx>
        <c:axId val="630100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00624"/>
        <c:crosses val="autoZero"/>
        <c:auto val="1"/>
        <c:lblOffset val="100"/>
        <c:baseTimeUnit val="days"/>
      </c:dateAx>
      <c:valAx>
        <c:axId val="63010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10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AA93EF7-1D12-42E7-A194-DD0DBF1E1623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0E7932-C758-4C85-B77D-2E725F1D452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4.45</v>
      </c>
      <c r="D2" s="4">
        <f>MIN(D3:D1912)</f>
        <v>0.1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0.76739999999999997</v>
      </c>
      <c r="C5">
        <v>0.7722</v>
      </c>
      <c r="D5">
        <v>0.74409999999999998</v>
      </c>
      <c r="E5">
        <v>0.74480000000000002</v>
      </c>
      <c r="F5">
        <v>559268</v>
      </c>
      <c r="G5">
        <v>0.74480000000000002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-0.95017793594305811</v>
      </c>
      <c r="Q5">
        <f t="shared" ref="Q5" si="1">F5*P5</f>
        <v>-531404.11387900217</v>
      </c>
      <c r="R5">
        <f t="shared" ref="R5" si="2">R6+Q5</f>
        <v>103209252.87392454</v>
      </c>
      <c r="S5">
        <f t="shared" ref="S5" si="3">R5/100000</f>
        <v>1032.0925287392454</v>
      </c>
      <c r="T5">
        <f t="shared" ref="T5" si="4">S5/1000</f>
        <v>1.0320925287392453</v>
      </c>
    </row>
    <row r="6" spans="1:20" x14ac:dyDescent="0.25">
      <c r="A6" s="5">
        <v>44587</v>
      </c>
      <c r="B6">
        <v>0.76819999999999999</v>
      </c>
      <c r="C6">
        <v>0.83140000000000003</v>
      </c>
      <c r="D6">
        <v>0.75</v>
      </c>
      <c r="E6">
        <v>0.76719999999999999</v>
      </c>
      <c r="F6">
        <v>5768797</v>
      </c>
      <c r="G6">
        <v>0.76719999999999999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-0.57739557739557767</v>
      </c>
      <c r="Q6">
        <f t="shared" ref="Q6" si="6">F6*P6</f>
        <v>-3330877.8746928764</v>
      </c>
      <c r="R6">
        <f t="shared" ref="R6" si="7">R7+Q6</f>
        <v>103740656.98780353</v>
      </c>
      <c r="S6">
        <f t="shared" ref="S6" si="8">R6/100000</f>
        <v>1037.4065698780353</v>
      </c>
      <c r="T6">
        <f t="shared" ref="T6" si="9">S6/1000</f>
        <v>1.0374065698780353</v>
      </c>
    </row>
    <row r="7" spans="1:20" x14ac:dyDescent="0.25">
      <c r="A7" s="5">
        <v>44586</v>
      </c>
      <c r="B7">
        <v>0.7278</v>
      </c>
      <c r="C7">
        <v>0.77280000000000004</v>
      </c>
      <c r="D7">
        <v>0.71309999999999996</v>
      </c>
      <c r="E7">
        <v>0.76659999999999995</v>
      </c>
      <c r="F7">
        <v>5372267</v>
      </c>
      <c r="G7">
        <v>0.76659999999999995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0.79229480737018143</v>
      </c>
      <c r="Q7">
        <f t="shared" ref="Q7" si="11">F7*P7</f>
        <v>4256419.2479061829</v>
      </c>
      <c r="R7">
        <f t="shared" ref="R7" si="12">R8+Q7</f>
        <v>107071534.86249641</v>
      </c>
      <c r="S7">
        <f t="shared" ref="S7" si="13">R7/100000</f>
        <v>1070.715348624964</v>
      </c>
      <c r="T7">
        <f t="shared" ref="T7" si="14">S7/1000</f>
        <v>1.0707153486249641</v>
      </c>
    </row>
    <row r="8" spans="1:20" x14ac:dyDescent="0.25">
      <c r="A8" s="5">
        <v>44585</v>
      </c>
      <c r="B8">
        <v>0.747</v>
      </c>
      <c r="C8">
        <v>0.74819999999999998</v>
      </c>
      <c r="D8">
        <v>0.6452</v>
      </c>
      <c r="E8">
        <v>0.72509999999999997</v>
      </c>
      <c r="F8">
        <v>8021127</v>
      </c>
      <c r="G8">
        <v>0.72509999999999997</v>
      </c>
      <c r="L8" t="s">
        <v>7</v>
      </c>
      <c r="M8" t="s">
        <v>8</v>
      </c>
      <c r="N8" t="s">
        <v>7</v>
      </c>
      <c r="P8">
        <f t="shared" ref="P8" si="15">IF(C8=D8,0,((E8-D8)-(C8-E8))/(C8-D8))</f>
        <v>0.55145631067961143</v>
      </c>
      <c r="Q8">
        <f t="shared" ref="Q8" si="16">F8*P8</f>
        <v>4423301.1029126197</v>
      </c>
      <c r="R8">
        <f t="shared" ref="R8" si="17">R9+Q8</f>
        <v>102815115.61459023</v>
      </c>
      <c r="S8">
        <f t="shared" ref="S8" si="18">R8/100000</f>
        <v>1028.1511561459022</v>
      </c>
      <c r="T8">
        <f t="shared" ref="T8" si="19">S8/1000</f>
        <v>1.0281511561459022</v>
      </c>
    </row>
    <row r="9" spans="1:20" x14ac:dyDescent="0.25">
      <c r="A9" s="5">
        <v>44584</v>
      </c>
      <c r="B9">
        <v>0.72570000000000001</v>
      </c>
      <c r="C9">
        <v>0.77749999999999997</v>
      </c>
      <c r="D9">
        <v>0.70550000000000002</v>
      </c>
      <c r="E9">
        <v>0.74780000000000002</v>
      </c>
      <c r="F9">
        <v>9802614</v>
      </c>
      <c r="G9">
        <v>0.74780000000000002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0.17500000000000088</v>
      </c>
      <c r="Q9">
        <f t="shared" ref="Q9" si="21">F9*P9</f>
        <v>1715457.4500000086</v>
      </c>
      <c r="R9">
        <f t="shared" ref="R9" si="22">R10+Q9</f>
        <v>98391814.511677608</v>
      </c>
      <c r="S9">
        <f t="shared" ref="S9" si="23">R9/100000</f>
        <v>983.91814511677603</v>
      </c>
      <c r="T9">
        <f t="shared" ref="T9" si="24">S9/1000</f>
        <v>0.983918145116776</v>
      </c>
    </row>
    <row r="10" spans="1:20" x14ac:dyDescent="0.25">
      <c r="A10" s="5">
        <v>44583</v>
      </c>
      <c r="B10">
        <v>0.8095</v>
      </c>
      <c r="C10">
        <v>0.82599999999999996</v>
      </c>
      <c r="D10">
        <v>0.63660000000000005</v>
      </c>
      <c r="E10">
        <v>0.72660000000000002</v>
      </c>
      <c r="F10">
        <v>11849277.34</v>
      </c>
      <c r="G10">
        <v>0.72660000000000002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-4.9630411826821375E-2</v>
      </c>
      <c r="Q10">
        <f t="shared" ref="Q10" si="26">F10*P10</f>
        <v>-588084.51423442247</v>
      </c>
      <c r="R10">
        <f t="shared" ref="R10" si="27">R11+Q10</f>
        <v>96676357.061677605</v>
      </c>
      <c r="S10">
        <f t="shared" ref="S10" si="28">R10/100000</f>
        <v>966.76357061677606</v>
      </c>
      <c r="T10">
        <f t="shared" ref="T10" si="29">S10/1000</f>
        <v>0.96676357061677609</v>
      </c>
    </row>
    <row r="11" spans="1:20" x14ac:dyDescent="0.25">
      <c r="A11" s="5">
        <v>44582</v>
      </c>
      <c r="B11">
        <v>0.94059999999999999</v>
      </c>
      <c r="C11">
        <v>0.95309999999999995</v>
      </c>
      <c r="D11">
        <v>0.78</v>
      </c>
      <c r="E11">
        <v>0.80910000000000004</v>
      </c>
      <c r="F11">
        <v>10998595.5</v>
      </c>
      <c r="G11">
        <v>0.80910000000000004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-0.66377816291161151</v>
      </c>
      <c r="Q11">
        <f t="shared" ref="Q11" si="31">F11*P11</f>
        <v>-7300627.5155979171</v>
      </c>
      <c r="R11">
        <f t="shared" ref="R11" si="32">R12+Q11</f>
        <v>97264441.575912029</v>
      </c>
      <c r="S11">
        <f t="shared" ref="S11" si="33">R11/100000</f>
        <v>972.64441575912031</v>
      </c>
      <c r="T11">
        <f t="shared" ref="T11" si="34">S11/1000</f>
        <v>0.97264441575912031</v>
      </c>
    </row>
    <row r="12" spans="1:20" x14ac:dyDescent="0.25">
      <c r="A12" s="5">
        <v>44581</v>
      </c>
      <c r="B12">
        <v>1.0058</v>
      </c>
      <c r="C12">
        <v>1.0537000000000001</v>
      </c>
      <c r="D12">
        <v>0.93420000000000003</v>
      </c>
      <c r="E12">
        <v>0.94130000000000003</v>
      </c>
      <c r="F12">
        <v>5188422</v>
      </c>
      <c r="G12">
        <v>0.94130000000000003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-0.88117154811715492</v>
      </c>
      <c r="Q12">
        <f t="shared" ref="Q12" si="36">F12*P12</f>
        <v>-4571889.8460251056</v>
      </c>
      <c r="R12">
        <f t="shared" ref="R12" si="37">R13+Q12</f>
        <v>104565069.09150995</v>
      </c>
      <c r="S12">
        <f t="shared" ref="S12" si="38">R12/100000</f>
        <v>1045.6506909150996</v>
      </c>
      <c r="T12">
        <f t="shared" ref="T12" si="39">S12/1000</f>
        <v>1.0456506909150995</v>
      </c>
    </row>
    <row r="13" spans="1:20" x14ac:dyDescent="0.25">
      <c r="A13" s="5">
        <v>44580</v>
      </c>
      <c r="B13">
        <v>1.0329999999999999</v>
      </c>
      <c r="C13">
        <v>1.0419</v>
      </c>
      <c r="D13">
        <v>0.98609999999999998</v>
      </c>
      <c r="E13">
        <v>1.0056</v>
      </c>
      <c r="F13">
        <v>5556175</v>
      </c>
      <c r="G13">
        <v>1.0056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-0.30107526881720259</v>
      </c>
      <c r="Q13">
        <f t="shared" ref="Q13" si="41">F13*P13</f>
        <v>-1672826.8817204207</v>
      </c>
      <c r="R13">
        <f t="shared" ref="R13" si="42">R14+Q13</f>
        <v>109136958.93753506</v>
      </c>
      <c r="S13">
        <f t="shared" ref="S13" si="43">R13/100000</f>
        <v>1091.3695893753506</v>
      </c>
      <c r="T13">
        <f t="shared" ref="T13" si="44">S13/1000</f>
        <v>1.0913695893753506</v>
      </c>
    </row>
    <row r="14" spans="1:20" x14ac:dyDescent="0.25">
      <c r="A14" s="5">
        <v>44579</v>
      </c>
      <c r="B14">
        <v>1.0481</v>
      </c>
      <c r="C14">
        <v>1.0633999999999999</v>
      </c>
      <c r="D14">
        <v>0.995</v>
      </c>
      <c r="E14">
        <v>1.0328999999999999</v>
      </c>
      <c r="F14">
        <v>5251865</v>
      </c>
      <c r="G14">
        <v>1.0328999999999999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0.10818713450292357</v>
      </c>
      <c r="Q14">
        <f t="shared" ref="Q14" si="46">F14*P14</f>
        <v>568184.22514619667</v>
      </c>
      <c r="R14">
        <f t="shared" ref="R14" si="47">R15+Q14</f>
        <v>110809785.81925549</v>
      </c>
      <c r="S14">
        <f t="shared" ref="S14" si="48">R14/100000</f>
        <v>1108.0978581925549</v>
      </c>
      <c r="T14">
        <f t="shared" ref="T14" si="49">S14/1000</f>
        <v>1.1080978581925549</v>
      </c>
    </row>
    <row r="15" spans="1:20" x14ac:dyDescent="0.25">
      <c r="A15" s="5">
        <v>44578</v>
      </c>
      <c r="B15">
        <v>1.1214999999999999</v>
      </c>
      <c r="C15">
        <v>1.1244000000000001</v>
      </c>
      <c r="D15">
        <v>1.0279</v>
      </c>
      <c r="E15">
        <v>1.0484</v>
      </c>
      <c r="F15">
        <v>5059050</v>
      </c>
      <c r="G15">
        <v>1.0484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-0.57512953367875741</v>
      </c>
      <c r="Q15">
        <f t="shared" ref="Q15" si="51">F15*P15</f>
        <v>-2909609.0673575178</v>
      </c>
      <c r="R15">
        <f t="shared" ref="R15" si="52">R16+Q15</f>
        <v>110241601.5941093</v>
      </c>
      <c r="S15">
        <f t="shared" ref="S15" si="53">R15/100000</f>
        <v>1102.4160159410931</v>
      </c>
      <c r="T15">
        <f t="shared" ref="T15" si="54">S15/1000</f>
        <v>1.1024160159410932</v>
      </c>
    </row>
    <row r="16" spans="1:20" x14ac:dyDescent="0.25">
      <c r="A16" s="5">
        <v>44577</v>
      </c>
      <c r="B16">
        <v>1.147</v>
      </c>
      <c r="C16">
        <v>1.1498999999999999</v>
      </c>
      <c r="D16">
        <v>1.1032999999999999</v>
      </c>
      <c r="E16">
        <v>1.1214999999999999</v>
      </c>
      <c r="F16">
        <v>3012756</v>
      </c>
      <c r="G16">
        <v>1.1214999999999999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-0.21888412017167366</v>
      </c>
      <c r="Q16">
        <f t="shared" ref="Q16" si="56">F16*P16</f>
        <v>-659444.44635193085</v>
      </c>
      <c r="R16">
        <f t="shared" ref="R16" si="57">R17+Q16</f>
        <v>113151210.66146681</v>
      </c>
      <c r="S16">
        <f t="shared" ref="S16" si="58">R16/100000</f>
        <v>1131.512106614668</v>
      </c>
      <c r="T16">
        <f t="shared" ref="T16" si="59">S16/1000</f>
        <v>1.1315121066146681</v>
      </c>
    </row>
    <row r="17" spans="1:20" x14ac:dyDescent="0.25">
      <c r="A17" s="5">
        <v>44576</v>
      </c>
      <c r="B17">
        <v>1.1028</v>
      </c>
      <c r="C17">
        <v>1.1684000000000001</v>
      </c>
      <c r="D17">
        <v>1.097</v>
      </c>
      <c r="E17">
        <v>1.1467000000000001</v>
      </c>
      <c r="F17">
        <v>4840677</v>
      </c>
      <c r="G17">
        <v>1.1467000000000001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0.3921568627450977</v>
      </c>
      <c r="Q17">
        <f t="shared" ref="Q17" si="61">F17*P17</f>
        <v>1898304.7058823514</v>
      </c>
      <c r="R17">
        <f t="shared" ref="R17" si="62">R18+Q17</f>
        <v>113810655.10781874</v>
      </c>
      <c r="S17">
        <f t="shared" ref="S17" si="63">R17/100000</f>
        <v>1138.1065510781873</v>
      </c>
      <c r="T17">
        <f t="shared" ref="T17" si="64">S17/1000</f>
        <v>1.1381065510781874</v>
      </c>
    </row>
    <row r="18" spans="1:20" x14ac:dyDescent="0.25">
      <c r="A18" s="5">
        <v>44575</v>
      </c>
      <c r="B18">
        <v>1.1120000000000001</v>
      </c>
      <c r="C18">
        <v>1.1314</v>
      </c>
      <c r="D18">
        <v>1.0657000000000001</v>
      </c>
      <c r="E18">
        <v>1.1022000000000001</v>
      </c>
      <c r="F18">
        <v>3988224</v>
      </c>
      <c r="G18">
        <v>1.1022000000000001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0.11111111111111262</v>
      </c>
      <c r="Q18">
        <f t="shared" ref="Q18" si="66">F18*P18</f>
        <v>443136.000000006</v>
      </c>
      <c r="R18">
        <f t="shared" ref="R18" si="67">R19+Q18</f>
        <v>111912350.40193638</v>
      </c>
      <c r="S18">
        <f t="shared" ref="S18" si="68">R18/100000</f>
        <v>1119.1235040193637</v>
      </c>
      <c r="T18">
        <f t="shared" ref="T18" si="69">S18/1000</f>
        <v>1.1191235040193637</v>
      </c>
    </row>
    <row r="19" spans="1:20" x14ac:dyDescent="0.25">
      <c r="A19" s="5">
        <v>44574</v>
      </c>
      <c r="B19">
        <v>1.1927000000000001</v>
      </c>
      <c r="C19">
        <v>1.1941999999999999</v>
      </c>
      <c r="D19">
        <v>1.1041000000000001</v>
      </c>
      <c r="E19">
        <v>1.1105</v>
      </c>
      <c r="F19">
        <v>6290591</v>
      </c>
      <c r="G19">
        <v>1.1105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-0.85793562708102167</v>
      </c>
      <c r="Q19">
        <f t="shared" ref="Q19" si="71">F19*P19</f>
        <v>-5396922.1342952307</v>
      </c>
      <c r="R19">
        <f t="shared" ref="R19" si="72">R20+Q19</f>
        <v>111469214.40193638</v>
      </c>
      <c r="S19">
        <f t="shared" ref="S19" si="73">R19/100000</f>
        <v>1114.6921440193639</v>
      </c>
      <c r="T19">
        <f t="shared" ref="T19" si="74">S19/1000</f>
        <v>1.114692144019364</v>
      </c>
    </row>
    <row r="20" spans="1:20" x14ac:dyDescent="0.25">
      <c r="A20" s="5">
        <v>44573</v>
      </c>
      <c r="B20">
        <v>1.1082000000000001</v>
      </c>
      <c r="C20">
        <v>1.2067000000000001</v>
      </c>
      <c r="D20">
        <v>1.097</v>
      </c>
      <c r="E20">
        <v>1.1928000000000001</v>
      </c>
      <c r="F20">
        <v>5998212</v>
      </c>
      <c r="G20">
        <v>1.1928000000000001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0.74658158614402903</v>
      </c>
      <c r="Q20">
        <f t="shared" ref="Q20" si="76">F20*P20</f>
        <v>4478154.6289881486</v>
      </c>
      <c r="R20">
        <f t="shared" ref="R20" si="77">R21+Q20</f>
        <v>116866136.53623161</v>
      </c>
      <c r="S20">
        <f t="shared" ref="S20" si="78">R20/100000</f>
        <v>1168.661365362316</v>
      </c>
      <c r="T20">
        <f t="shared" ref="T20" si="79">S20/1000</f>
        <v>1.1686613653623161</v>
      </c>
    </row>
    <row r="21" spans="1:20" x14ac:dyDescent="0.25">
      <c r="A21" s="5">
        <v>44572</v>
      </c>
      <c r="B21">
        <v>1.03</v>
      </c>
      <c r="C21">
        <v>1.119</v>
      </c>
      <c r="D21">
        <v>1.0172000000000001</v>
      </c>
      <c r="E21">
        <v>1.1082000000000001</v>
      </c>
      <c r="F21">
        <v>5919273</v>
      </c>
      <c r="G21">
        <v>1.1082000000000001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0.78781925343811532</v>
      </c>
      <c r="Q21">
        <f t="shared" ref="Q21" si="81">F21*P21</f>
        <v>4663317.2357563935</v>
      </c>
      <c r="R21">
        <f t="shared" ref="R21" si="82">R22+Q21</f>
        <v>112387981.90724346</v>
      </c>
      <c r="S21">
        <f t="shared" ref="S21" si="83">R21/100000</f>
        <v>1123.8798190724347</v>
      </c>
      <c r="T21">
        <f t="shared" ref="T21" si="84">S21/1000</f>
        <v>1.1238798190724346</v>
      </c>
    </row>
    <row r="22" spans="1:20" x14ac:dyDescent="0.25">
      <c r="A22" s="5">
        <v>44571</v>
      </c>
      <c r="B22">
        <v>1.095</v>
      </c>
      <c r="C22">
        <v>1.1169</v>
      </c>
      <c r="D22">
        <v>0.98140000000000005</v>
      </c>
      <c r="E22">
        <v>1.0296000000000001</v>
      </c>
      <c r="F22">
        <v>6451106</v>
      </c>
      <c r="G22">
        <v>1.0296000000000001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-0.28856088560885557</v>
      </c>
      <c r="Q22">
        <f t="shared" ref="Q22" si="86">F22*P22</f>
        <v>-1861536.8605166017</v>
      </c>
      <c r="R22">
        <f t="shared" ref="R22" si="87">R23+Q22</f>
        <v>107724664.67148706</v>
      </c>
      <c r="S22">
        <f t="shared" ref="S22" si="88">R22/100000</f>
        <v>1077.2466467148706</v>
      </c>
      <c r="T22">
        <f t="shared" ref="T22" si="89">S22/1000</f>
        <v>1.0772466467148707</v>
      </c>
    </row>
    <row r="23" spans="1:20" x14ac:dyDescent="0.25">
      <c r="A23" s="5">
        <v>44570</v>
      </c>
      <c r="B23">
        <v>1.0521</v>
      </c>
      <c r="C23">
        <v>1.1208</v>
      </c>
      <c r="D23">
        <v>1.0392999999999999</v>
      </c>
      <c r="E23">
        <v>1.0948</v>
      </c>
      <c r="F23">
        <v>4252945</v>
      </c>
      <c r="G23">
        <v>1.0948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0.36196319018404949</v>
      </c>
      <c r="Q23">
        <f t="shared" ref="Q23" si="91">F23*P23</f>
        <v>1539409.5398773022</v>
      </c>
      <c r="R23">
        <f t="shared" ref="R23" si="92">R24+Q23</f>
        <v>109586201.53200367</v>
      </c>
      <c r="S23">
        <f t="shared" ref="S23" si="93">R23/100000</f>
        <v>1095.8620153200368</v>
      </c>
      <c r="T23">
        <f t="shared" ref="T23" si="94">S23/1000</f>
        <v>1.0958620153200367</v>
      </c>
    </row>
    <row r="24" spans="1:20" x14ac:dyDescent="0.25">
      <c r="A24" s="5">
        <v>44569</v>
      </c>
      <c r="B24">
        <v>1.1368</v>
      </c>
      <c r="C24">
        <v>1.1635</v>
      </c>
      <c r="D24">
        <v>1.0148999999999999</v>
      </c>
      <c r="E24">
        <v>1.0521</v>
      </c>
      <c r="F24">
        <v>5344947</v>
      </c>
      <c r="G24">
        <v>1.0521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-0.49932705248990439</v>
      </c>
      <c r="Q24">
        <f t="shared" ref="Q24" si="96">F24*P24</f>
        <v>-2668876.6312247571</v>
      </c>
      <c r="R24">
        <f t="shared" ref="R24" si="97">R25+Q24</f>
        <v>108046791.99212638</v>
      </c>
      <c r="S24">
        <f t="shared" ref="S24" si="98">R24/100000</f>
        <v>1080.4679199212637</v>
      </c>
      <c r="T24">
        <f t="shared" ref="T24" si="99">S24/1000</f>
        <v>1.0804679199212637</v>
      </c>
    </row>
    <row r="25" spans="1:20" x14ac:dyDescent="0.25">
      <c r="A25" s="5">
        <v>44568</v>
      </c>
      <c r="B25">
        <v>1.2040999999999999</v>
      </c>
      <c r="C25">
        <v>1.212</v>
      </c>
      <c r="D25">
        <v>1.0831999999999999</v>
      </c>
      <c r="E25">
        <v>1.1359999999999999</v>
      </c>
      <c r="F25">
        <v>7783053</v>
      </c>
      <c r="G25">
        <v>1.1359999999999999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-0.18012422360248528</v>
      </c>
      <c r="Q25">
        <f t="shared" ref="Q25" si="101">F25*P25</f>
        <v>-1401916.3788819939</v>
      </c>
      <c r="R25">
        <f t="shared" ref="R25" si="102">R26+Q25</f>
        <v>110715668.62335113</v>
      </c>
      <c r="S25">
        <f t="shared" ref="S25" si="103">R25/100000</f>
        <v>1107.1566862335112</v>
      </c>
      <c r="T25">
        <f t="shared" ref="T25" si="104">S25/1000</f>
        <v>1.1071566862335112</v>
      </c>
    </row>
    <row r="26" spans="1:20" x14ac:dyDescent="0.25">
      <c r="A26" s="5">
        <v>44567</v>
      </c>
      <c r="B26">
        <v>1.24</v>
      </c>
      <c r="C26">
        <v>1.2516</v>
      </c>
      <c r="D26">
        <v>1.1524000000000001</v>
      </c>
      <c r="E26">
        <v>1.2054</v>
      </c>
      <c r="F26">
        <v>11467037</v>
      </c>
      <c r="G26">
        <v>1.2054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6.8548387096773397E-2</v>
      </c>
      <c r="Q26">
        <f t="shared" ref="Q26" si="106">F26*P26</f>
        <v>786046.89112902316</v>
      </c>
      <c r="R26">
        <f t="shared" ref="R26" si="107">R27+Q26</f>
        <v>112117585.00223312</v>
      </c>
      <c r="S26">
        <f t="shared" ref="S26" si="108">R26/100000</f>
        <v>1121.1758500223311</v>
      </c>
      <c r="T26">
        <f t="shared" ref="T26" si="109">S26/1000</f>
        <v>1.1211758500223312</v>
      </c>
    </row>
    <row r="27" spans="1:20" x14ac:dyDescent="0.25">
      <c r="A27" s="5">
        <v>44566</v>
      </c>
      <c r="B27">
        <v>1.4148000000000001</v>
      </c>
      <c r="C27">
        <v>1.4458</v>
      </c>
      <c r="D27">
        <v>1.163</v>
      </c>
      <c r="E27">
        <v>1.2391000000000001</v>
      </c>
      <c r="F27">
        <v>10382834</v>
      </c>
      <c r="G27">
        <v>1.2391000000000001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-0.46181046676096132</v>
      </c>
      <c r="Q27">
        <f t="shared" ref="Q27" si="111">F27*P27</f>
        <v>-4794901.4158415794</v>
      </c>
      <c r="R27">
        <f t="shared" ref="R27" si="112">R28+Q27</f>
        <v>111331538.1111041</v>
      </c>
      <c r="S27">
        <f t="shared" ref="S27" si="113">R27/100000</f>
        <v>1113.315381111041</v>
      </c>
      <c r="T27">
        <f t="shared" ref="T27" si="114">S27/1000</f>
        <v>1.113315381111041</v>
      </c>
    </row>
    <row r="28" spans="1:20" x14ac:dyDescent="0.25">
      <c r="A28" s="5">
        <v>44565</v>
      </c>
      <c r="B28">
        <v>1.4488000000000001</v>
      </c>
      <c r="C28">
        <v>1.4518</v>
      </c>
      <c r="D28">
        <v>1.3828</v>
      </c>
      <c r="E28">
        <v>1.415</v>
      </c>
      <c r="F28">
        <v>7681075</v>
      </c>
      <c r="G28">
        <v>1.415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-6.6666666666665805E-2</v>
      </c>
      <c r="Q28">
        <f t="shared" ref="Q28" si="116">F28*P28</f>
        <v>-512071.66666666005</v>
      </c>
      <c r="R28">
        <f t="shared" ref="R28" si="117">R29+Q28</f>
        <v>116126439.52694568</v>
      </c>
      <c r="S28">
        <f t="shared" ref="S28" si="118">R28/100000</f>
        <v>1161.2643952694568</v>
      </c>
      <c r="T28">
        <f t="shared" ref="T28" si="119">S28/1000</f>
        <v>1.1612643952694568</v>
      </c>
    </row>
    <row r="29" spans="1:20" x14ac:dyDescent="0.25">
      <c r="A29" s="5">
        <v>44564</v>
      </c>
      <c r="B29">
        <v>1.5470999999999999</v>
      </c>
      <c r="C29">
        <v>1.5823</v>
      </c>
      <c r="D29">
        <v>1.4311</v>
      </c>
      <c r="E29">
        <v>1.4474</v>
      </c>
      <c r="F29">
        <v>6100744</v>
      </c>
      <c r="G29">
        <v>1.4474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-0.78439153439153464</v>
      </c>
      <c r="Q29">
        <f t="shared" ref="Q29" si="121">F29*P29</f>
        <v>-4785371.9470899487</v>
      </c>
      <c r="R29">
        <f t="shared" ref="R29" si="122">R30+Q29</f>
        <v>116638511.19361234</v>
      </c>
      <c r="S29">
        <f t="shared" ref="S29" si="123">R29/100000</f>
        <v>1166.3851119361234</v>
      </c>
      <c r="T29">
        <f t="shared" ref="T29" si="124">S29/1000</f>
        <v>1.1663851119361235</v>
      </c>
    </row>
    <row r="30" spans="1:20" x14ac:dyDescent="0.25">
      <c r="A30" s="5">
        <v>44563</v>
      </c>
      <c r="B30">
        <v>1.5395000000000001</v>
      </c>
      <c r="C30">
        <v>1.5593999999999999</v>
      </c>
      <c r="D30">
        <v>1.4959</v>
      </c>
      <c r="E30">
        <v>1.5491999999999999</v>
      </c>
      <c r="F30">
        <v>3268208</v>
      </c>
      <c r="G30">
        <v>1.5491999999999999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0.6787401574803148</v>
      </c>
      <c r="Q30">
        <f t="shared" ref="Q30" si="126">F30*P30</f>
        <v>2218264.0125984247</v>
      </c>
      <c r="R30">
        <f t="shared" ref="R30" si="127">R31+Q30</f>
        <v>121423883.14070229</v>
      </c>
      <c r="S30">
        <f t="shared" ref="S30" si="128">R30/100000</f>
        <v>1214.2388314070229</v>
      </c>
      <c r="T30">
        <f t="shared" ref="T30" si="129">S30/1000</f>
        <v>1.2142388314070229</v>
      </c>
    </row>
    <row r="31" spans="1:20" x14ac:dyDescent="0.25">
      <c r="A31" s="5">
        <v>44562</v>
      </c>
      <c r="B31">
        <v>1.5163</v>
      </c>
      <c r="C31">
        <v>1.5450999999999999</v>
      </c>
      <c r="D31">
        <v>1.5017</v>
      </c>
      <c r="E31">
        <v>1.5383</v>
      </c>
      <c r="F31">
        <v>3239722</v>
      </c>
      <c r="G31">
        <v>1.5383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0.68663594470046385</v>
      </c>
      <c r="Q31">
        <f t="shared" ref="Q31" si="131">F31*P31</f>
        <v>2224509.5760368761</v>
      </c>
      <c r="R31">
        <f t="shared" ref="R31" si="132">R32+Q31</f>
        <v>119205619.12810387</v>
      </c>
      <c r="S31">
        <f t="shared" ref="S31" si="133">R31/100000</f>
        <v>1192.0561912810388</v>
      </c>
      <c r="T31">
        <f t="shared" ref="T31" si="134">S31/1000</f>
        <v>1.1920561912810388</v>
      </c>
    </row>
    <row r="32" spans="1:20" x14ac:dyDescent="0.25">
      <c r="A32" s="5">
        <v>44561</v>
      </c>
      <c r="B32">
        <v>1.6329</v>
      </c>
      <c r="C32">
        <v>1.6422000000000001</v>
      </c>
      <c r="D32">
        <v>1.4829000000000001</v>
      </c>
      <c r="E32">
        <v>1.5145999999999999</v>
      </c>
      <c r="F32">
        <v>7514353</v>
      </c>
      <c r="G32">
        <v>1.5145999999999999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-0.60200878844946848</v>
      </c>
      <c r="Q32">
        <f t="shared" ref="Q32" si="136">F32*P32</f>
        <v>-4523706.5455116285</v>
      </c>
      <c r="R32">
        <f t="shared" ref="R32" si="137">R33+Q32</f>
        <v>116981109.552067</v>
      </c>
      <c r="S32">
        <f t="shared" ref="S32" si="138">R32/100000</f>
        <v>1169.8110955206701</v>
      </c>
      <c r="T32">
        <f t="shared" ref="T32" si="139">S32/1000</f>
        <v>1.16981109552067</v>
      </c>
    </row>
    <row r="33" spans="1:20" x14ac:dyDescent="0.25">
      <c r="A33" s="5">
        <v>44560</v>
      </c>
      <c r="B33">
        <v>1.5893999999999999</v>
      </c>
      <c r="C33">
        <v>1.7068000000000001</v>
      </c>
      <c r="D33">
        <v>1.5148999999999999</v>
      </c>
      <c r="E33">
        <v>1.6338999999999999</v>
      </c>
      <c r="F33">
        <v>11482061</v>
      </c>
      <c r="G33">
        <v>1.6338999999999999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0.24022928608650215</v>
      </c>
      <c r="Q33">
        <f t="shared" ref="Q33" si="141">F33*P33</f>
        <v>2758327.3168316688</v>
      </c>
      <c r="R33">
        <f t="shared" ref="R33" si="142">R34+Q33</f>
        <v>121504816.09757863</v>
      </c>
      <c r="S33">
        <f t="shared" ref="S33" si="143">R33/100000</f>
        <v>1215.0481609757862</v>
      </c>
      <c r="T33">
        <f t="shared" ref="T33" si="144">S33/1000</f>
        <v>1.2150481609757862</v>
      </c>
    </row>
    <row r="34" spans="1:20" x14ac:dyDescent="0.25">
      <c r="A34" s="5">
        <v>44559</v>
      </c>
      <c r="B34">
        <v>1.5185</v>
      </c>
      <c r="C34">
        <v>1.6222000000000001</v>
      </c>
      <c r="D34">
        <v>1.4804999999999999</v>
      </c>
      <c r="E34">
        <v>1.5903</v>
      </c>
      <c r="F34">
        <v>10581951</v>
      </c>
      <c r="G34">
        <v>1.5903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0.54975299929428367</v>
      </c>
      <c r="Q34">
        <f t="shared" ref="Q34" si="146">F34*P34</f>
        <v>5817459.3006351441</v>
      </c>
      <c r="R34">
        <f t="shared" ref="R34" si="147">R35+Q34</f>
        <v>118746488.78074697</v>
      </c>
      <c r="S34">
        <f t="shared" ref="S34" si="148">R34/100000</f>
        <v>1187.4648878074697</v>
      </c>
      <c r="T34">
        <f t="shared" ref="T34" si="149">S34/1000</f>
        <v>1.1874648878074696</v>
      </c>
    </row>
    <row r="35" spans="1:20" x14ac:dyDescent="0.25">
      <c r="A35" s="5">
        <v>44558</v>
      </c>
      <c r="B35">
        <v>1.7061999999999999</v>
      </c>
      <c r="C35">
        <v>1.7061999999999999</v>
      </c>
      <c r="D35">
        <v>1.4928999999999999</v>
      </c>
      <c r="E35">
        <v>1.5166999999999999</v>
      </c>
      <c r="F35">
        <v>9676144</v>
      </c>
      <c r="G35">
        <v>1.5166999999999999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-0.77684013127051066</v>
      </c>
      <c r="Q35">
        <f t="shared" ref="Q35" si="151">F35*P35</f>
        <v>-7516816.975152364</v>
      </c>
      <c r="R35">
        <f t="shared" ref="R35" si="152">R36+Q35</f>
        <v>112929029.48011182</v>
      </c>
      <c r="S35">
        <f t="shared" ref="S35" si="153">R35/100000</f>
        <v>1129.2902948011183</v>
      </c>
      <c r="T35">
        <f t="shared" ref="T35" si="154">S35/1000</f>
        <v>1.1292902948011183</v>
      </c>
    </row>
    <row r="36" spans="1:20" x14ac:dyDescent="0.25">
      <c r="A36" s="5">
        <v>44557</v>
      </c>
      <c r="B36">
        <v>1.7637</v>
      </c>
      <c r="C36">
        <v>1.8103</v>
      </c>
      <c r="D36">
        <v>1.7017</v>
      </c>
      <c r="E36">
        <v>1.706</v>
      </c>
      <c r="F36">
        <v>10761718</v>
      </c>
      <c r="G36">
        <v>1.706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-0.92081031307550698</v>
      </c>
      <c r="Q36">
        <f t="shared" ref="Q36" si="156">F36*P36</f>
        <v>-9909500.9208103195</v>
      </c>
      <c r="R36">
        <f t="shared" ref="R36" si="157">R37+Q36</f>
        <v>120445846.45526418</v>
      </c>
      <c r="S36">
        <f t="shared" ref="S36" si="158">R36/100000</f>
        <v>1204.4584645526418</v>
      </c>
      <c r="T36">
        <f t="shared" ref="T36" si="159">S36/1000</f>
        <v>1.2044584645526417</v>
      </c>
    </row>
    <row r="37" spans="1:20" x14ac:dyDescent="0.25">
      <c r="A37" s="5">
        <v>44556</v>
      </c>
      <c r="B37">
        <v>1.5904</v>
      </c>
      <c r="C37">
        <v>1.7999000000000001</v>
      </c>
      <c r="D37">
        <v>1.5506</v>
      </c>
      <c r="E37">
        <v>1.7626999999999999</v>
      </c>
      <c r="F37">
        <v>21854765</v>
      </c>
      <c r="G37">
        <v>1.7626999999999999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0.70156438026474044</v>
      </c>
      <c r="Q37">
        <f t="shared" ref="Q37" si="161">F37*P37</f>
        <v>15332524.663056539</v>
      </c>
      <c r="R37">
        <f t="shared" ref="R37" si="162">R38+Q37</f>
        <v>130355347.37607451</v>
      </c>
      <c r="S37">
        <f t="shared" ref="S37" si="163">R37/100000</f>
        <v>1303.5534737607452</v>
      </c>
      <c r="T37">
        <f t="shared" ref="T37" si="164">S37/1000</f>
        <v>1.3035534737607453</v>
      </c>
    </row>
    <row r="38" spans="1:20" x14ac:dyDescent="0.25">
      <c r="A38" s="5">
        <v>44555</v>
      </c>
      <c r="B38">
        <v>1.5681</v>
      </c>
      <c r="C38">
        <v>1.6214</v>
      </c>
      <c r="D38">
        <v>1.5476000000000001</v>
      </c>
      <c r="E38">
        <v>1.5911</v>
      </c>
      <c r="F38">
        <v>6751099</v>
      </c>
      <c r="G38">
        <v>1.5911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0.17886178861788485</v>
      </c>
      <c r="Q38">
        <f t="shared" ref="Q38" si="166">F38*P38</f>
        <v>1207513.6422764137</v>
      </c>
      <c r="R38">
        <f t="shared" ref="R38" si="167">R39+Q38</f>
        <v>115022822.71301797</v>
      </c>
      <c r="S38">
        <f t="shared" ref="S38" si="168">R38/100000</f>
        <v>1150.2282271301797</v>
      </c>
      <c r="T38">
        <f t="shared" ref="T38" si="169">S38/1000</f>
        <v>1.1502282271301796</v>
      </c>
    </row>
    <row r="39" spans="1:20" x14ac:dyDescent="0.25">
      <c r="A39" s="5">
        <v>44554</v>
      </c>
      <c r="B39">
        <v>1.6561999999999999</v>
      </c>
      <c r="C39">
        <v>1.6974</v>
      </c>
      <c r="D39">
        <v>1.5442</v>
      </c>
      <c r="E39">
        <v>1.5681</v>
      </c>
      <c r="F39">
        <v>8991971</v>
      </c>
      <c r="G39">
        <v>1.5681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-0.68798955613576984</v>
      </c>
      <c r="Q39">
        <f t="shared" ref="Q39" si="171">F39*P39</f>
        <v>-6186382.1370757148</v>
      </c>
      <c r="R39">
        <f t="shared" ref="R39" si="172">R40+Q39</f>
        <v>113815309.07074156</v>
      </c>
      <c r="S39">
        <f t="shared" ref="S39" si="173">R39/100000</f>
        <v>1138.1530907074157</v>
      </c>
      <c r="T39">
        <f t="shared" ref="T39" si="174">S39/1000</f>
        <v>1.1381530907074158</v>
      </c>
    </row>
    <row r="40" spans="1:20" x14ac:dyDescent="0.25">
      <c r="A40" s="5">
        <v>44553</v>
      </c>
      <c r="B40">
        <v>1.5670999999999999</v>
      </c>
      <c r="C40">
        <v>1.671</v>
      </c>
      <c r="D40">
        <v>1.53</v>
      </c>
      <c r="E40">
        <v>1.6560999999999999</v>
      </c>
      <c r="F40">
        <v>9133637</v>
      </c>
      <c r="G40">
        <v>1.6560999999999999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0.78865248226950169</v>
      </c>
      <c r="Q40">
        <f t="shared" ref="Q40" si="176">F40*P40</f>
        <v>7203265.4921985641</v>
      </c>
      <c r="R40">
        <f t="shared" ref="R40" si="177">R41+Q40</f>
        <v>120001691.20781729</v>
      </c>
      <c r="S40">
        <f t="shared" ref="S40" si="178">R40/100000</f>
        <v>1200.0169120781729</v>
      </c>
      <c r="T40">
        <f t="shared" ref="T40" si="179">S40/1000</f>
        <v>1.200016912078173</v>
      </c>
    </row>
    <row r="41" spans="1:20" x14ac:dyDescent="0.25">
      <c r="A41" s="5">
        <v>44552</v>
      </c>
      <c r="B41">
        <v>1.5057</v>
      </c>
      <c r="C41">
        <v>1.6990000000000001</v>
      </c>
      <c r="D41">
        <v>1.496</v>
      </c>
      <c r="E41">
        <v>1.5669999999999999</v>
      </c>
      <c r="F41">
        <v>14826784</v>
      </c>
      <c r="G41">
        <v>1.5669999999999999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-0.30049261083743911</v>
      </c>
      <c r="Q41">
        <f t="shared" ref="Q41" si="181">F41*P41</f>
        <v>-4455339.0344827687</v>
      </c>
      <c r="R41">
        <f t="shared" ref="R41" si="182">R42+Q41</f>
        <v>112798425.71561871</v>
      </c>
      <c r="S41">
        <f t="shared" ref="S41" si="183">R41/100000</f>
        <v>1127.9842571561871</v>
      </c>
      <c r="T41">
        <f t="shared" ref="T41" si="184">S41/1000</f>
        <v>1.1279842571561871</v>
      </c>
    </row>
    <row r="42" spans="1:20" x14ac:dyDescent="0.25">
      <c r="A42" s="5">
        <v>44551</v>
      </c>
      <c r="B42">
        <v>1.4668000000000001</v>
      </c>
      <c r="C42">
        <v>1.5295000000000001</v>
      </c>
      <c r="D42">
        <v>1.4461999999999999</v>
      </c>
      <c r="E42">
        <v>1.5064</v>
      </c>
      <c r="F42">
        <v>5836317</v>
      </c>
      <c r="G42">
        <v>1.5064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0.44537815126050234</v>
      </c>
      <c r="Q42">
        <f t="shared" ref="Q42" si="186">F42*P42</f>
        <v>2599368.0756302411</v>
      </c>
      <c r="R42">
        <f t="shared" ref="R42" si="187">R43+Q42</f>
        <v>117253764.75010148</v>
      </c>
      <c r="S42">
        <f t="shared" ref="S42" si="188">R42/100000</f>
        <v>1172.5376475010148</v>
      </c>
      <c r="T42">
        <f t="shared" ref="T42" si="189">S42/1000</f>
        <v>1.1725376475010147</v>
      </c>
    </row>
    <row r="43" spans="1:20" x14ac:dyDescent="0.25">
      <c r="A43" s="5">
        <v>44550</v>
      </c>
      <c r="B43">
        <v>1.5174000000000001</v>
      </c>
      <c r="C43">
        <v>1.5462</v>
      </c>
      <c r="D43">
        <v>1.4215</v>
      </c>
      <c r="E43">
        <v>1.4664999999999999</v>
      </c>
      <c r="F43">
        <v>7552532</v>
      </c>
      <c r="G43">
        <v>1.4664999999999999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-0.278267842822776</v>
      </c>
      <c r="Q43">
        <f t="shared" ref="Q43" si="191">F43*P43</f>
        <v>-2101626.787489986</v>
      </c>
      <c r="R43">
        <f t="shared" ref="R43" si="192">R44+Q43</f>
        <v>114654396.67447123</v>
      </c>
      <c r="S43">
        <f t="shared" ref="S43" si="193">R43/100000</f>
        <v>1146.5439667447124</v>
      </c>
      <c r="T43">
        <f t="shared" ref="T43" si="194">S43/1000</f>
        <v>1.1465439667447124</v>
      </c>
    </row>
    <row r="44" spans="1:20" x14ac:dyDescent="0.25">
      <c r="A44" s="5">
        <v>44549</v>
      </c>
      <c r="B44">
        <v>1.5718000000000001</v>
      </c>
      <c r="C44">
        <v>1.6335</v>
      </c>
      <c r="D44">
        <v>1.5133000000000001</v>
      </c>
      <c r="E44">
        <v>1.5183</v>
      </c>
      <c r="F44">
        <v>4798172</v>
      </c>
      <c r="G44">
        <v>1.5183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-0.91680532445923624</v>
      </c>
      <c r="Q44">
        <f t="shared" ref="Q44" si="196">F44*P44</f>
        <v>-4398989.6372712227</v>
      </c>
      <c r="R44">
        <f t="shared" ref="R44" si="197">R45+Q44</f>
        <v>116756023.46196121</v>
      </c>
      <c r="S44">
        <f t="shared" ref="S44" si="198">R44/100000</f>
        <v>1167.5602346196122</v>
      </c>
      <c r="T44">
        <f t="shared" ref="T44" si="199">S44/1000</f>
        <v>1.1675602346196121</v>
      </c>
    </row>
    <row r="45" spans="1:20" x14ac:dyDescent="0.25">
      <c r="A45" s="5">
        <v>44548</v>
      </c>
      <c r="B45">
        <v>1.5357000000000001</v>
      </c>
      <c r="C45">
        <v>1.601</v>
      </c>
      <c r="D45">
        <v>1.5074000000000001</v>
      </c>
      <c r="E45">
        <v>1.5721000000000001</v>
      </c>
      <c r="F45">
        <v>5285741</v>
      </c>
      <c r="G45">
        <v>1.5721000000000001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0.38247863247863345</v>
      </c>
      <c r="Q45">
        <f t="shared" ref="Q45" si="201">F45*P45</f>
        <v>2021682.9893162444</v>
      </c>
      <c r="R45">
        <f t="shared" ref="R45" si="202">R46+Q45</f>
        <v>121155013.09923244</v>
      </c>
      <c r="S45">
        <f t="shared" ref="S45" si="203">R45/100000</f>
        <v>1211.5501309923243</v>
      </c>
      <c r="T45">
        <f t="shared" ref="T45" si="204">S45/1000</f>
        <v>1.2115501309923242</v>
      </c>
    </row>
    <row r="46" spans="1:20" x14ac:dyDescent="0.25">
      <c r="A46" s="5">
        <v>44547</v>
      </c>
      <c r="B46">
        <v>1.6387</v>
      </c>
      <c r="C46">
        <v>1.6621999999999999</v>
      </c>
      <c r="D46">
        <v>1.4869000000000001</v>
      </c>
      <c r="E46">
        <v>1.5362</v>
      </c>
      <c r="F46">
        <v>9712481</v>
      </c>
      <c r="G46">
        <v>1.5362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-0.43753565316600163</v>
      </c>
      <c r="Q46">
        <f t="shared" ref="Q46" si="206">F46*P46</f>
        <v>-4249556.7181973802</v>
      </c>
      <c r="R46">
        <f t="shared" ref="R46" si="207">R47+Q46</f>
        <v>119133330.1099162</v>
      </c>
      <c r="S46">
        <f t="shared" ref="S46" si="208">R46/100000</f>
        <v>1191.3333010991619</v>
      </c>
      <c r="T46">
        <f t="shared" ref="T46" si="209">S46/1000</f>
        <v>1.1913333010991618</v>
      </c>
    </row>
    <row r="47" spans="1:20" x14ac:dyDescent="0.25">
      <c r="A47" s="5">
        <v>44546</v>
      </c>
      <c r="B47">
        <v>1.7901</v>
      </c>
      <c r="C47">
        <v>1.8183</v>
      </c>
      <c r="D47">
        <v>1.6305000000000001</v>
      </c>
      <c r="E47">
        <v>1.6413</v>
      </c>
      <c r="F47">
        <v>11496337</v>
      </c>
      <c r="G47">
        <v>1.6413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-0.88498402555910627</v>
      </c>
      <c r="Q47">
        <f t="shared" ref="Q47" si="211">F47*P47</f>
        <v>-10174074.597444098</v>
      </c>
      <c r="R47">
        <f t="shared" ref="R47" si="212">R48+Q47</f>
        <v>123382886.82811357</v>
      </c>
      <c r="S47">
        <f t="shared" ref="S47" si="213">R47/100000</f>
        <v>1233.8288682811358</v>
      </c>
      <c r="T47">
        <f t="shared" ref="T47" si="214">S47/1000</f>
        <v>1.2338288682811358</v>
      </c>
    </row>
    <row r="48" spans="1:20" x14ac:dyDescent="0.25">
      <c r="A48" s="5">
        <v>44545</v>
      </c>
      <c r="B48">
        <v>1.7907</v>
      </c>
      <c r="C48">
        <v>1.8415999999999999</v>
      </c>
      <c r="D48">
        <v>1.6202000000000001</v>
      </c>
      <c r="E48">
        <v>1.7899</v>
      </c>
      <c r="F48">
        <v>12619675</v>
      </c>
      <c r="G48">
        <v>1.7899</v>
      </c>
      <c r="L48" t="s">
        <v>7</v>
      </c>
      <c r="M48" t="s">
        <v>7</v>
      </c>
      <c r="N48" t="s">
        <v>8</v>
      </c>
      <c r="P48">
        <f t="shared" ref="P48" si="215">IF(C48=D48,0,((E48-D48)-(C48-E48))/(C48-D48))</f>
        <v>0.5329719963866314</v>
      </c>
      <c r="Q48">
        <f t="shared" ref="Q48" si="216">F48*P48</f>
        <v>6725933.3785004625</v>
      </c>
      <c r="R48">
        <f t="shared" ref="R48" si="217">R49+Q48</f>
        <v>133556961.42555767</v>
      </c>
      <c r="S48">
        <f t="shared" ref="S48" si="218">R48/100000</f>
        <v>1335.5696142555767</v>
      </c>
      <c r="T48">
        <f t="shared" ref="T48" si="219">S48/1000</f>
        <v>1.3355696142555766</v>
      </c>
    </row>
    <row r="49" spans="1:20" x14ac:dyDescent="0.25">
      <c r="A49" s="5">
        <v>44544</v>
      </c>
      <c r="B49">
        <v>1.7573000000000001</v>
      </c>
      <c r="C49">
        <v>1.9</v>
      </c>
      <c r="D49">
        <v>1.6968000000000001</v>
      </c>
      <c r="E49">
        <v>1.7917000000000001</v>
      </c>
      <c r="F49">
        <v>15050601</v>
      </c>
      <c r="G49">
        <v>1.7917000000000001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-6.5944881889763135E-2</v>
      </c>
      <c r="Q49">
        <f t="shared" ref="Q49" si="221">F49*P49</f>
        <v>-992510.10531495092</v>
      </c>
      <c r="R49">
        <f t="shared" ref="R49" si="222">R50+Q49</f>
        <v>126831028.04705721</v>
      </c>
      <c r="S49">
        <f t="shared" ref="S49" si="223">R49/100000</f>
        <v>1268.310280470572</v>
      </c>
      <c r="T49">
        <f t="shared" ref="T49" si="224">S49/1000</f>
        <v>1.2683102804705719</v>
      </c>
    </row>
    <row r="50" spans="1:20" x14ac:dyDescent="0.25">
      <c r="A50" s="5">
        <v>44543</v>
      </c>
      <c r="B50">
        <v>2.0436000000000001</v>
      </c>
      <c r="C50">
        <v>2.0691000000000002</v>
      </c>
      <c r="D50">
        <v>1.72</v>
      </c>
      <c r="E50">
        <v>1.7569999999999999</v>
      </c>
      <c r="F50">
        <v>14609718</v>
      </c>
      <c r="G50">
        <v>1.7569999999999999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-0.78802635348037864</v>
      </c>
      <c r="Q50">
        <f t="shared" ref="Q50" si="226">F50*P50</f>
        <v>-11512842.800916651</v>
      </c>
      <c r="R50">
        <f t="shared" ref="R50" si="227">R51+Q50</f>
        <v>127823538.15237217</v>
      </c>
      <c r="S50">
        <f t="shared" ref="S50" si="228">R50/100000</f>
        <v>1278.2353815237216</v>
      </c>
      <c r="T50">
        <f t="shared" ref="T50" si="229">S50/1000</f>
        <v>1.2782353815237215</v>
      </c>
    </row>
    <row r="51" spans="1:20" x14ac:dyDescent="0.25">
      <c r="A51" s="5">
        <v>44542</v>
      </c>
      <c r="B51">
        <v>2.2366000000000001</v>
      </c>
      <c r="C51">
        <v>2.2728000000000002</v>
      </c>
      <c r="D51">
        <v>2.0318000000000001</v>
      </c>
      <c r="E51">
        <v>2.0445000000000002</v>
      </c>
      <c r="F51">
        <v>12972753</v>
      </c>
      <c r="G51">
        <v>2.0445000000000002</v>
      </c>
      <c r="L51" t="s">
        <v>7</v>
      </c>
      <c r="M51" t="s">
        <v>8</v>
      </c>
      <c r="N51" t="s">
        <v>8</v>
      </c>
      <c r="P51">
        <f t="shared" ref="P51" si="230">IF(C51=D51,0,((E51-D51)-(C51-E51))/(C51-D51))</f>
        <v>-0.89460580912862941</v>
      </c>
      <c r="Q51">
        <f t="shared" ref="Q51" si="231">F51*P51</f>
        <v>-11605500.194190854</v>
      </c>
      <c r="R51">
        <f t="shared" ref="R51" si="232">R52+Q51</f>
        <v>139336380.95328882</v>
      </c>
      <c r="S51">
        <f t="shared" ref="S51" si="233">R51/100000</f>
        <v>1393.3638095328881</v>
      </c>
      <c r="T51">
        <f t="shared" ref="T51" si="234">S51/1000</f>
        <v>1.3933638095328882</v>
      </c>
    </row>
    <row r="52" spans="1:20" x14ac:dyDescent="0.25">
      <c r="A52" s="5">
        <v>44541</v>
      </c>
      <c r="B52">
        <v>2.2229000000000001</v>
      </c>
      <c r="C52">
        <v>2.2837999999999998</v>
      </c>
      <c r="D52">
        <v>2.1757</v>
      </c>
      <c r="E52">
        <v>2.2402000000000002</v>
      </c>
      <c r="F52">
        <v>3399819</v>
      </c>
      <c r="G52">
        <v>2.2402000000000002</v>
      </c>
      <c r="L52" t="s">
        <v>8</v>
      </c>
      <c r="M52" t="s">
        <v>8</v>
      </c>
      <c r="N52" t="s">
        <v>8</v>
      </c>
      <c r="P52">
        <f t="shared" ref="P52" si="235">IF(C52=D52,0,((E52-D52)-(C52-E52))/(C52-D52))</f>
        <v>0.19333950046254034</v>
      </c>
      <c r="Q52">
        <f t="shared" ref="Q52" si="236">F52*P52</f>
        <v>657319.30712305347</v>
      </c>
      <c r="R52">
        <f t="shared" ref="R52" si="237">R53+Q52</f>
        <v>150941881.14747968</v>
      </c>
      <c r="S52">
        <f t="shared" ref="S52" si="238">R52/100000</f>
        <v>1509.4188114747969</v>
      </c>
      <c r="T52">
        <f t="shared" ref="T52" si="239">S52/1000</f>
        <v>1.5094188114747968</v>
      </c>
    </row>
    <row r="53" spans="1:20" x14ac:dyDescent="0.25">
      <c r="A53" s="5">
        <v>44540</v>
      </c>
      <c r="B53">
        <v>1.8303</v>
      </c>
      <c r="C53">
        <v>2.2616999999999998</v>
      </c>
      <c r="D53">
        <v>1.8244</v>
      </c>
      <c r="E53">
        <v>2.2250999999999999</v>
      </c>
      <c r="F53">
        <v>47722040</v>
      </c>
      <c r="G53">
        <v>2.2250999999999999</v>
      </c>
      <c r="L53" t="s">
        <v>8</v>
      </c>
      <c r="M53" t="s">
        <v>8</v>
      </c>
      <c r="N53" t="s">
        <v>8</v>
      </c>
      <c r="P53">
        <f t="shared" ref="P53" si="240">IF(C53=D53,0,((E53-D53)-(C53-E53))/(C53-D53))</f>
        <v>0.8326091927738396</v>
      </c>
      <c r="Q53">
        <f t="shared" ref="Q53" si="241">F53*P53</f>
        <v>39733809.201920882</v>
      </c>
      <c r="R53">
        <f t="shared" ref="R53" si="242">R54+Q53</f>
        <v>150284561.84035662</v>
      </c>
      <c r="S53">
        <f t="shared" ref="S53" si="243">R53/100000</f>
        <v>1502.8456184035663</v>
      </c>
      <c r="T53">
        <f t="shared" ref="T53" si="244">S53/1000</f>
        <v>1.5028456184035663</v>
      </c>
    </row>
    <row r="54" spans="1:20" x14ac:dyDescent="0.25">
      <c r="A54" s="5">
        <v>44539</v>
      </c>
      <c r="B54">
        <v>1.8395999999999999</v>
      </c>
      <c r="C54">
        <v>2.0888</v>
      </c>
      <c r="D54">
        <v>1.82</v>
      </c>
      <c r="E54">
        <v>1.8306</v>
      </c>
      <c r="F54">
        <v>33645180</v>
      </c>
      <c r="G54">
        <v>1.8306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-0.92113095238095277</v>
      </c>
      <c r="Q54">
        <f t="shared" ref="Q54" si="246">F54*P54</f>
        <v>-30991616.696428586</v>
      </c>
      <c r="R54">
        <f t="shared" ref="R54" si="247">R55+Q54</f>
        <v>110550752.63843574</v>
      </c>
      <c r="S54">
        <f t="shared" ref="S54" si="248">R54/100000</f>
        <v>1105.5075263843573</v>
      </c>
      <c r="T54">
        <f t="shared" ref="T54" si="249">S54/1000</f>
        <v>1.1055075263843572</v>
      </c>
    </row>
    <row r="55" spans="1:20" x14ac:dyDescent="0.25">
      <c r="A55" s="5">
        <v>44538</v>
      </c>
      <c r="B55">
        <v>1.8270999999999999</v>
      </c>
      <c r="C55">
        <v>1.8415999999999999</v>
      </c>
      <c r="D55">
        <v>1.68</v>
      </c>
      <c r="E55">
        <v>1.8366</v>
      </c>
      <c r="F55">
        <v>9378604</v>
      </c>
      <c r="G55">
        <v>1.8366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0.9381188118811894</v>
      </c>
      <c r="Q55">
        <f t="shared" ref="Q55" si="251">F55*P55</f>
        <v>8798244.8415841702</v>
      </c>
      <c r="R55">
        <f t="shared" ref="R55" si="252">R56+Q55</f>
        <v>141542369.33486432</v>
      </c>
      <c r="S55">
        <f t="shared" ref="S55" si="253">R55/100000</f>
        <v>1415.4236933486432</v>
      </c>
      <c r="T55">
        <f t="shared" ref="T55" si="254">S55/1000</f>
        <v>1.4154236933486433</v>
      </c>
    </row>
    <row r="56" spans="1:20" x14ac:dyDescent="0.25">
      <c r="A56" s="5">
        <v>44537</v>
      </c>
      <c r="B56">
        <v>1.8347</v>
      </c>
      <c r="C56">
        <v>1.9601999999999999</v>
      </c>
      <c r="D56">
        <v>1.7891999999999999</v>
      </c>
      <c r="E56">
        <v>1.8262</v>
      </c>
      <c r="F56">
        <v>16639270</v>
      </c>
      <c r="G56">
        <v>1.8262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-0.56725146198830256</v>
      </c>
      <c r="Q56">
        <f t="shared" ref="Q56" si="256">F56*P56</f>
        <v>-9438650.2339181025</v>
      </c>
      <c r="R56">
        <f t="shared" ref="R56" si="257">R57+Q56</f>
        <v>132744124.49328014</v>
      </c>
      <c r="S56">
        <f t="shared" ref="S56" si="258">R56/100000</f>
        <v>1327.4412449328015</v>
      </c>
      <c r="T56">
        <f t="shared" ref="T56" si="259">S56/1000</f>
        <v>1.3274412449328015</v>
      </c>
    </row>
    <row r="57" spans="1:20" x14ac:dyDescent="0.25">
      <c r="A57" s="5">
        <v>44536</v>
      </c>
      <c r="B57">
        <v>1.7446999999999999</v>
      </c>
      <c r="C57">
        <v>1.9489000000000001</v>
      </c>
      <c r="D57">
        <v>1.5572999999999999</v>
      </c>
      <c r="E57">
        <v>1.8348</v>
      </c>
      <c r="F57">
        <v>23428791</v>
      </c>
      <c r="G57">
        <v>1.8348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0.41726251276813053</v>
      </c>
      <c r="Q57">
        <f t="shared" ref="Q57" si="261">F57*P57</f>
        <v>9775956.2037793621</v>
      </c>
      <c r="R57">
        <f t="shared" ref="R57" si="262">R58+Q57</f>
        <v>142182774.72719824</v>
      </c>
      <c r="S57">
        <f t="shared" ref="S57" si="263">R57/100000</f>
        <v>1421.8277472719824</v>
      </c>
      <c r="T57">
        <f t="shared" ref="T57" si="264">S57/1000</f>
        <v>1.4218277472719825</v>
      </c>
    </row>
    <row r="58" spans="1:20" x14ac:dyDescent="0.25">
      <c r="A58" s="5">
        <v>44535</v>
      </c>
      <c r="B58">
        <v>1.925</v>
      </c>
      <c r="C58">
        <v>1.99</v>
      </c>
      <c r="D58">
        <v>1.6561999999999999</v>
      </c>
      <c r="E58">
        <v>1.7435</v>
      </c>
      <c r="F58">
        <v>17989441</v>
      </c>
      <c r="G58">
        <v>1.7435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-0.47693229478729698</v>
      </c>
      <c r="Q58">
        <f t="shared" ref="Q58" si="266">F58*P58</f>
        <v>-8579745.378070686</v>
      </c>
      <c r="R58">
        <f t="shared" ref="R58" si="267">R59+Q58</f>
        <v>132406818.52341887</v>
      </c>
      <c r="S58">
        <f t="shared" ref="S58" si="268">R58/100000</f>
        <v>1324.0681852341888</v>
      </c>
      <c r="T58">
        <f t="shared" ref="T58" si="269">S58/1000</f>
        <v>1.3240681852341889</v>
      </c>
    </row>
    <row r="59" spans="1:20" x14ac:dyDescent="0.25">
      <c r="A59" s="5">
        <v>44534</v>
      </c>
      <c r="B59">
        <v>2.0728</v>
      </c>
      <c r="C59">
        <v>2.0811000000000002</v>
      </c>
      <c r="D59">
        <v>1.6</v>
      </c>
      <c r="E59">
        <v>1.9258999999999999</v>
      </c>
      <c r="F59">
        <v>37655568</v>
      </c>
      <c r="G59">
        <v>1.9258999999999999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0.35481188942007813</v>
      </c>
      <c r="Q59">
        <f t="shared" ref="Q59" si="271">F59*P59</f>
        <v>13360643.229266232</v>
      </c>
      <c r="R59">
        <f t="shared" ref="R59" si="272">R60+Q59</f>
        <v>140986563.90148956</v>
      </c>
      <c r="S59">
        <f t="shared" ref="S59" si="273">R59/100000</f>
        <v>1409.8656390148956</v>
      </c>
      <c r="T59">
        <f t="shared" ref="T59" si="274">S59/1000</f>
        <v>1.4098656390148956</v>
      </c>
    </row>
    <row r="60" spans="1:20" x14ac:dyDescent="0.25">
      <c r="A60" s="5">
        <v>44533</v>
      </c>
      <c r="B60">
        <v>2.3837000000000002</v>
      </c>
      <c r="C60">
        <v>2.5832000000000002</v>
      </c>
      <c r="D60">
        <v>2.0099999999999998</v>
      </c>
      <c r="E60">
        <v>2.0729000000000002</v>
      </c>
      <c r="F60">
        <v>40033604</v>
      </c>
      <c r="G60">
        <v>2.0729000000000002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-0.78053035589671893</v>
      </c>
      <c r="Q60">
        <f t="shared" ref="Q60" si="276">F60*P60</f>
        <v>-31247443.177948311</v>
      </c>
      <c r="R60">
        <f t="shared" ref="R60" si="277">R61+Q60</f>
        <v>127625920.67222331</v>
      </c>
      <c r="S60">
        <f t="shared" ref="S60" si="278">R60/100000</f>
        <v>1276.2592067222331</v>
      </c>
      <c r="T60">
        <f t="shared" ref="T60" si="279">S60/1000</f>
        <v>1.2762592067222331</v>
      </c>
    </row>
    <row r="61" spans="1:20" x14ac:dyDescent="0.25">
      <c r="A61" s="5">
        <v>44532</v>
      </c>
      <c r="B61">
        <v>2.4432</v>
      </c>
      <c r="C61">
        <v>3.1</v>
      </c>
      <c r="D61">
        <v>2.3296000000000001</v>
      </c>
      <c r="E61">
        <v>2.3828999999999998</v>
      </c>
      <c r="F61">
        <v>109744639</v>
      </c>
      <c r="G61">
        <v>2.3828999999999998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-0.86163032191069655</v>
      </c>
      <c r="Q61">
        <f t="shared" ref="Q61" si="281">F61*P61</f>
        <v>-94559308.629543185</v>
      </c>
      <c r="R61">
        <f t="shared" ref="R61" si="282">R62+Q61</f>
        <v>158873363.85017163</v>
      </c>
      <c r="S61">
        <f t="shared" ref="S61" si="283">R61/100000</f>
        <v>1588.7336385017163</v>
      </c>
      <c r="T61">
        <f t="shared" ref="T61" si="284">S61/1000</f>
        <v>1.5887336385017163</v>
      </c>
    </row>
    <row r="62" spans="1:20" x14ac:dyDescent="0.25">
      <c r="A62" s="5">
        <v>44531</v>
      </c>
      <c r="B62">
        <v>1.9679</v>
      </c>
      <c r="C62">
        <v>2.6669999999999998</v>
      </c>
      <c r="D62">
        <v>1.9339999999999999</v>
      </c>
      <c r="E62">
        <v>2.4436</v>
      </c>
      <c r="F62">
        <v>66539487</v>
      </c>
      <c r="G62">
        <v>2.4436</v>
      </c>
      <c r="L62" t="s">
        <v>8</v>
      </c>
      <c r="M62" t="s">
        <v>8</v>
      </c>
      <c r="N62" t="s">
        <v>8</v>
      </c>
      <c r="P62">
        <f t="shared" ref="P62" si="285">IF(C62=D62,0,((E62-D62)-(C62-E62))/(C62-D62))</f>
        <v>0.39045020463847241</v>
      </c>
      <c r="Q62">
        <f t="shared" ref="Q62" si="286">F62*P62</f>
        <v>25980356.315688975</v>
      </c>
      <c r="R62">
        <f t="shared" ref="R62" si="287">R63+Q62</f>
        <v>253432672.47971481</v>
      </c>
      <c r="S62">
        <f t="shared" ref="S62" si="288">R62/100000</f>
        <v>2534.326724797148</v>
      </c>
      <c r="T62">
        <f t="shared" ref="T62" si="289">S62/1000</f>
        <v>2.5343267247971482</v>
      </c>
    </row>
    <row r="63" spans="1:20" x14ac:dyDescent="0.25">
      <c r="A63" s="5">
        <v>44530</v>
      </c>
      <c r="B63">
        <v>2.1640000000000001</v>
      </c>
      <c r="C63">
        <v>2.282</v>
      </c>
      <c r="D63">
        <v>1.91</v>
      </c>
      <c r="E63">
        <v>1.9683999999999999</v>
      </c>
      <c r="F63">
        <v>18136203</v>
      </c>
      <c r="G63">
        <v>1.9683999999999999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-0.6860215053763441</v>
      </c>
      <c r="Q63">
        <f t="shared" ref="Q63" si="291">F63*P63</f>
        <v>-12441825.283870967</v>
      </c>
      <c r="R63">
        <f t="shared" ref="R63" si="292">R64+Q63</f>
        <v>227452316.16402584</v>
      </c>
      <c r="S63">
        <f t="shared" ref="S63" si="293">R63/100000</f>
        <v>2274.5231616402584</v>
      </c>
      <c r="T63">
        <f t="shared" ref="T63" si="294">S63/1000</f>
        <v>2.2745231616402584</v>
      </c>
    </row>
    <row r="64" spans="1:20" x14ac:dyDescent="0.25">
      <c r="A64" s="5">
        <v>44529</v>
      </c>
      <c r="B64">
        <v>2.0215000000000001</v>
      </c>
      <c r="C64">
        <v>2.2713999999999999</v>
      </c>
      <c r="D64">
        <v>1.9054</v>
      </c>
      <c r="E64">
        <v>2.1652999999999998</v>
      </c>
      <c r="F64">
        <v>22351635</v>
      </c>
      <c r="G64">
        <v>2.1652999999999998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0.42021857923497202</v>
      </c>
      <c r="Q64">
        <f t="shared" ref="Q64" si="296">F64*P64</f>
        <v>9392572.3032786734</v>
      </c>
      <c r="R64">
        <f t="shared" ref="R64" si="297">R65+Q64</f>
        <v>239894141.44789681</v>
      </c>
      <c r="S64">
        <f t="shared" ref="S64" si="298">R64/100000</f>
        <v>2398.941414478968</v>
      </c>
      <c r="T64">
        <f t="shared" ref="T64" si="299">S64/1000</f>
        <v>2.3989414144789678</v>
      </c>
    </row>
    <row r="65" spans="1:20" x14ac:dyDescent="0.25">
      <c r="A65" s="5">
        <v>44528</v>
      </c>
      <c r="B65">
        <v>2.1358999999999999</v>
      </c>
      <c r="C65">
        <v>2.1360999999999999</v>
      </c>
      <c r="D65">
        <v>1.8501000000000001</v>
      </c>
      <c r="E65">
        <v>2.0204</v>
      </c>
      <c r="F65">
        <v>15548725</v>
      </c>
      <c r="G65">
        <v>2.0204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0.19090909090909097</v>
      </c>
      <c r="Q65">
        <f t="shared" ref="Q65" si="301">F65*P65</f>
        <v>2968392.9545454555</v>
      </c>
      <c r="R65">
        <f t="shared" ref="R65" si="302">R66+Q65</f>
        <v>230501569.14461812</v>
      </c>
      <c r="S65">
        <f t="shared" ref="S65" si="303">R65/100000</f>
        <v>2305.0156914461813</v>
      </c>
      <c r="T65">
        <f t="shared" ref="T65" si="304">S65/1000</f>
        <v>2.3050156914461812</v>
      </c>
    </row>
    <row r="66" spans="1:20" x14ac:dyDescent="0.25">
      <c r="A66" s="5">
        <v>44527</v>
      </c>
      <c r="B66">
        <v>2.4342999999999999</v>
      </c>
      <c r="C66">
        <v>2.4645000000000001</v>
      </c>
      <c r="D66">
        <v>2.0964999999999998</v>
      </c>
      <c r="E66">
        <v>2.1385999999999998</v>
      </c>
      <c r="F66">
        <v>22742597</v>
      </c>
      <c r="G66">
        <v>2.1385999999999998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-0.77119565217391306</v>
      </c>
      <c r="Q66">
        <f t="shared" ref="Q66" si="306">F66*P66</f>
        <v>-17538991.92554348</v>
      </c>
      <c r="R66">
        <f t="shared" ref="R66" si="307">R67+Q66</f>
        <v>227533176.19007266</v>
      </c>
      <c r="S66">
        <f t="shared" ref="S66" si="308">R66/100000</f>
        <v>2275.3317619007266</v>
      </c>
      <c r="T66">
        <f t="shared" ref="T66" si="309">S66/1000</f>
        <v>2.2753317619007265</v>
      </c>
    </row>
    <row r="67" spans="1:20" x14ac:dyDescent="0.25">
      <c r="A67" s="5">
        <v>44526</v>
      </c>
      <c r="B67">
        <v>2.3041999999999998</v>
      </c>
      <c r="C67">
        <v>2.5990000000000002</v>
      </c>
      <c r="D67">
        <v>1.8220000000000001</v>
      </c>
      <c r="E67">
        <v>2.4344000000000001</v>
      </c>
      <c r="F67">
        <v>70636995</v>
      </c>
      <c r="G67">
        <v>2.4344000000000001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0.57631917631917617</v>
      </c>
      <c r="Q67">
        <f t="shared" ref="Q67" si="311">F67*P67</f>
        <v>40709454.776061766</v>
      </c>
      <c r="R67">
        <f t="shared" ref="R67" si="312">R68+Q67</f>
        <v>245072168.11561614</v>
      </c>
      <c r="S67">
        <f t="shared" ref="S67" si="313">R67/100000</f>
        <v>2450.7216811561616</v>
      </c>
      <c r="T67">
        <f t="shared" ref="T67" si="314">S67/1000</f>
        <v>2.4507216811561614</v>
      </c>
    </row>
    <row r="68" spans="1:20" x14ac:dyDescent="0.25">
      <c r="A68" s="5">
        <v>44525</v>
      </c>
      <c r="B68">
        <v>1.736</v>
      </c>
      <c r="C68">
        <v>2.4417</v>
      </c>
      <c r="D68">
        <v>1.7114</v>
      </c>
      <c r="E68">
        <v>2.3025000000000002</v>
      </c>
      <c r="F68">
        <v>90660426</v>
      </c>
      <c r="G68">
        <v>2.3025000000000002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0.61878679994522856</v>
      </c>
      <c r="Q68">
        <f t="shared" ref="Q68" si="316">F68*P68</f>
        <v>56099474.886211202</v>
      </c>
      <c r="R68">
        <f t="shared" ref="R68" si="317">R69+Q68</f>
        <v>204362713.33955437</v>
      </c>
      <c r="S68">
        <f t="shared" ref="S68" si="318">R68/100000</f>
        <v>2043.6271333955438</v>
      </c>
      <c r="T68">
        <f t="shared" ref="T68" si="319">S68/1000</f>
        <v>2.0436271333955438</v>
      </c>
    </row>
    <row r="69" spans="1:20" x14ac:dyDescent="0.25">
      <c r="A69" s="5">
        <v>44524</v>
      </c>
      <c r="B69">
        <v>1.9075</v>
      </c>
      <c r="C69">
        <v>1.9461999999999999</v>
      </c>
      <c r="D69">
        <v>1.6637999999999999</v>
      </c>
      <c r="E69">
        <v>1.7242999999999999</v>
      </c>
      <c r="F69">
        <v>24129888</v>
      </c>
      <c r="G69">
        <v>1.7242999999999999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-0.57152974504249288</v>
      </c>
      <c r="Q69">
        <f t="shared" ref="Q69" si="321">F69*P69</f>
        <v>-13790948.736543909</v>
      </c>
      <c r="R69">
        <f t="shared" ref="R69" si="322">R70+Q69</f>
        <v>148263238.45334315</v>
      </c>
      <c r="S69">
        <f t="shared" ref="S69" si="323">R69/100000</f>
        <v>1482.6323845334316</v>
      </c>
      <c r="T69">
        <f t="shared" ref="T69" si="324">S69/1000</f>
        <v>1.4826323845334317</v>
      </c>
    </row>
    <row r="70" spans="1:20" x14ac:dyDescent="0.25">
      <c r="A70" s="5">
        <v>44523</v>
      </c>
      <c r="B70">
        <v>1.3442000000000001</v>
      </c>
      <c r="C70">
        <v>2.14</v>
      </c>
      <c r="D70">
        <v>1.3338000000000001</v>
      </c>
      <c r="E70">
        <v>1.9079999999999999</v>
      </c>
      <c r="F70">
        <v>100332784</v>
      </c>
      <c r="G70">
        <v>1.9079999999999999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0.42446043165467578</v>
      </c>
      <c r="Q70">
        <f t="shared" ref="Q70" si="326">F70*P70</f>
        <v>42587296.805755347</v>
      </c>
      <c r="R70">
        <f t="shared" ref="R70" si="327">R71+Q70</f>
        <v>162054187.18988708</v>
      </c>
      <c r="S70">
        <f t="shared" ref="S70" si="328">R70/100000</f>
        <v>1620.5418718988708</v>
      </c>
      <c r="T70">
        <f t="shared" ref="T70" si="329">S70/1000</f>
        <v>1.6205418718988709</v>
      </c>
    </row>
    <row r="71" spans="1:20" x14ac:dyDescent="0.25">
      <c r="A71" s="5">
        <v>44522</v>
      </c>
      <c r="B71">
        <v>1.3957999999999999</v>
      </c>
      <c r="C71">
        <v>1.4046000000000001</v>
      </c>
      <c r="D71">
        <v>1.3227</v>
      </c>
      <c r="E71">
        <v>1.3439000000000001</v>
      </c>
      <c r="F71">
        <v>2909651</v>
      </c>
      <c r="G71">
        <v>1.3439000000000001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-0.48229548229548019</v>
      </c>
      <c r="Q71">
        <f t="shared" ref="Q71" si="331">F71*P71</f>
        <v>-1403311.5323565262</v>
      </c>
      <c r="R71">
        <f t="shared" ref="R71" si="332">R72+Q71</f>
        <v>119466890.38413173</v>
      </c>
      <c r="S71">
        <f t="shared" ref="S71" si="333">R71/100000</f>
        <v>1194.6689038413174</v>
      </c>
      <c r="T71">
        <f t="shared" ref="T71" si="334">S71/1000</f>
        <v>1.1946689038413174</v>
      </c>
    </row>
    <row r="72" spans="1:20" x14ac:dyDescent="0.25">
      <c r="A72" s="5">
        <v>44521</v>
      </c>
      <c r="B72">
        <v>1.4691000000000001</v>
      </c>
      <c r="C72">
        <v>1.4872000000000001</v>
      </c>
      <c r="D72">
        <v>1.3931</v>
      </c>
      <c r="E72">
        <v>1.3976999999999999</v>
      </c>
      <c r="F72">
        <v>6379984</v>
      </c>
      <c r="G72">
        <v>1.3976999999999999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-0.90223166843783353</v>
      </c>
      <c r="Q72">
        <f t="shared" ref="Q72" si="336">F72*P72</f>
        <v>-5756223.6089266827</v>
      </c>
      <c r="R72">
        <f t="shared" ref="R72" si="337">R73+Q72</f>
        <v>120870201.91648826</v>
      </c>
      <c r="S72">
        <f t="shared" ref="S72" si="338">R72/100000</f>
        <v>1208.7020191648826</v>
      </c>
      <c r="T72">
        <f t="shared" ref="T72" si="339">S72/1000</f>
        <v>1.2087020191648825</v>
      </c>
    </row>
    <row r="73" spans="1:20" x14ac:dyDescent="0.25">
      <c r="A73" s="5">
        <v>44520</v>
      </c>
      <c r="B73">
        <v>1.3806</v>
      </c>
      <c r="C73">
        <v>1.4802999999999999</v>
      </c>
      <c r="D73">
        <v>1.3794</v>
      </c>
      <c r="E73">
        <v>1.4690000000000001</v>
      </c>
      <c r="F73">
        <v>5486813</v>
      </c>
      <c r="G73">
        <v>1.4690000000000001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0.77601585728444267</v>
      </c>
      <c r="Q73">
        <f t="shared" ref="Q73" si="341">F73*P73</f>
        <v>4257853.8939544251</v>
      </c>
      <c r="R73">
        <f t="shared" ref="R73" si="342">R74+Q73</f>
        <v>126626425.52541494</v>
      </c>
      <c r="S73">
        <f t="shared" ref="S73" si="343">R73/100000</f>
        <v>1266.2642552541495</v>
      </c>
      <c r="T73">
        <f t="shared" ref="T73" si="344">S73/1000</f>
        <v>1.2662642552541494</v>
      </c>
    </row>
    <row r="74" spans="1:20" x14ac:dyDescent="0.25">
      <c r="A74" s="5">
        <v>44519</v>
      </c>
      <c r="B74">
        <v>1.2663</v>
      </c>
      <c r="C74">
        <v>1.4033</v>
      </c>
      <c r="D74">
        <v>1.2327999999999999</v>
      </c>
      <c r="E74">
        <v>1.3793</v>
      </c>
      <c r="F74">
        <v>4231995</v>
      </c>
      <c r="G74">
        <v>1.3793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0.71847507331378291</v>
      </c>
      <c r="Q74">
        <f t="shared" ref="Q74" si="346">F74*P74</f>
        <v>3040582.9178885627</v>
      </c>
      <c r="R74">
        <f t="shared" ref="R74" si="347">R75+Q74</f>
        <v>122368571.63146052</v>
      </c>
      <c r="S74">
        <f t="shared" ref="S74" si="348">R74/100000</f>
        <v>1223.6857163146051</v>
      </c>
      <c r="T74">
        <f t="shared" ref="T74" si="349">S74/1000</f>
        <v>1.2236857163146051</v>
      </c>
    </row>
    <row r="75" spans="1:20" x14ac:dyDescent="0.25">
      <c r="A75" s="5">
        <v>44518</v>
      </c>
      <c r="B75">
        <v>1.3911</v>
      </c>
      <c r="C75">
        <v>1.4226000000000001</v>
      </c>
      <c r="D75">
        <v>1.2226999999999999</v>
      </c>
      <c r="E75">
        <v>1.2655000000000001</v>
      </c>
      <c r="F75">
        <v>5388050</v>
      </c>
      <c r="G75">
        <v>1.2655000000000001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-0.57178589294647197</v>
      </c>
      <c r="Q75">
        <f t="shared" ref="Q75" si="351">F75*P75</f>
        <v>-3080810.9804902384</v>
      </c>
      <c r="R75">
        <f t="shared" ref="R75" si="352">R76+Q75</f>
        <v>119327988.71357195</v>
      </c>
      <c r="S75">
        <f t="shared" ref="S75" si="353">R75/100000</f>
        <v>1193.2798871357195</v>
      </c>
      <c r="T75">
        <f t="shared" ref="T75" si="354">S75/1000</f>
        <v>1.1932798871357195</v>
      </c>
    </row>
    <row r="76" spans="1:20" x14ac:dyDescent="0.25">
      <c r="A76" s="5">
        <v>44517</v>
      </c>
      <c r="B76">
        <v>1.3994</v>
      </c>
      <c r="C76">
        <v>1.43</v>
      </c>
      <c r="D76">
        <v>1.3343</v>
      </c>
      <c r="E76">
        <v>1.3931</v>
      </c>
      <c r="F76">
        <v>5421932</v>
      </c>
      <c r="G76">
        <v>1.3931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0.22884012539185009</v>
      </c>
      <c r="Q76">
        <f t="shared" ref="Q76" si="356">F76*P76</f>
        <v>1240755.5987460846</v>
      </c>
      <c r="R76">
        <f t="shared" ref="R76" si="357">R77+Q76</f>
        <v>122408799.69406219</v>
      </c>
      <c r="S76">
        <f t="shared" ref="S76" si="358">R76/100000</f>
        <v>1224.0879969406219</v>
      </c>
      <c r="T76">
        <f t="shared" ref="T76" si="359">S76/1000</f>
        <v>1.224087996940622</v>
      </c>
    </row>
    <row r="77" spans="1:20" x14ac:dyDescent="0.25">
      <c r="A77" s="5">
        <v>44516</v>
      </c>
      <c r="B77">
        <v>1.5678000000000001</v>
      </c>
      <c r="C77">
        <v>1.5678000000000001</v>
      </c>
      <c r="D77">
        <v>1.3171999999999999</v>
      </c>
      <c r="E77">
        <v>1.3998999999999999</v>
      </c>
      <c r="F77">
        <v>7188900</v>
      </c>
      <c r="G77">
        <v>1.3998999999999999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-0.33998403830806112</v>
      </c>
      <c r="Q77">
        <f t="shared" ref="Q77" si="361">F77*P77</f>
        <v>-2444111.2529928205</v>
      </c>
      <c r="R77">
        <f t="shared" ref="R77" si="362">R78+Q77</f>
        <v>121168044.0953161</v>
      </c>
      <c r="S77">
        <f t="shared" ref="S77" si="363">R77/100000</f>
        <v>1211.680440953161</v>
      </c>
      <c r="T77">
        <f t="shared" ref="T77" si="364">S77/1000</f>
        <v>1.211680440953161</v>
      </c>
    </row>
    <row r="78" spans="1:20" x14ac:dyDescent="0.25">
      <c r="A78" s="5">
        <v>44515</v>
      </c>
      <c r="B78">
        <v>1.5785</v>
      </c>
      <c r="C78">
        <v>1.6296999999999999</v>
      </c>
      <c r="D78">
        <v>1.5384</v>
      </c>
      <c r="E78">
        <v>1.5678000000000001</v>
      </c>
      <c r="F78">
        <v>4208771</v>
      </c>
      <c r="G78">
        <v>1.5678000000000001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-0.35596933187294383</v>
      </c>
      <c r="Q78">
        <f t="shared" ref="Q78" si="366">F78*P78</f>
        <v>-1498193.4008762217</v>
      </c>
      <c r="R78">
        <f t="shared" ref="R78" si="367">R79+Q78</f>
        <v>123612155.34830892</v>
      </c>
      <c r="S78">
        <f t="shared" ref="S78" si="368">R78/100000</f>
        <v>1236.1215534830892</v>
      </c>
      <c r="T78">
        <f t="shared" ref="T78" si="369">S78/1000</f>
        <v>1.2361215534830892</v>
      </c>
    </row>
    <row r="79" spans="1:20" x14ac:dyDescent="0.25">
      <c r="A79" s="5">
        <v>44514</v>
      </c>
      <c r="B79">
        <v>1.6117999999999999</v>
      </c>
      <c r="C79">
        <v>1.6689000000000001</v>
      </c>
      <c r="D79">
        <v>1.5321</v>
      </c>
      <c r="E79">
        <v>1.5785</v>
      </c>
      <c r="F79">
        <v>4512264</v>
      </c>
      <c r="G79">
        <v>1.5785</v>
      </c>
      <c r="L79" t="s">
        <v>7</v>
      </c>
      <c r="M79" t="s">
        <v>8</v>
      </c>
      <c r="N79" t="s">
        <v>7</v>
      </c>
      <c r="P79">
        <f t="shared" ref="P79" si="370">IF(C79=D79,0,((E79-D79)-(C79-E79))/(C79-D79))</f>
        <v>-0.321637426900585</v>
      </c>
      <c r="Q79">
        <f t="shared" ref="Q79" si="371">F79*P79</f>
        <v>-1451312.9824561414</v>
      </c>
      <c r="R79">
        <f t="shared" ref="R79" si="372">R80+Q79</f>
        <v>125110348.74918514</v>
      </c>
      <c r="S79">
        <f t="shared" ref="S79" si="373">R79/100000</f>
        <v>1251.1034874918514</v>
      </c>
      <c r="T79">
        <f t="shared" ref="T79" si="374">S79/1000</f>
        <v>1.2511034874918514</v>
      </c>
    </row>
    <row r="80" spans="1:20" x14ac:dyDescent="0.25">
      <c r="A80" s="5">
        <v>44513</v>
      </c>
      <c r="B80">
        <v>1.5629999999999999</v>
      </c>
      <c r="C80">
        <v>1.6636</v>
      </c>
      <c r="D80">
        <v>1.5150999999999999</v>
      </c>
      <c r="E80">
        <v>1.6116999999999999</v>
      </c>
      <c r="F80">
        <v>6732722</v>
      </c>
      <c r="G80">
        <v>1.6116999999999999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0.30101010101010062</v>
      </c>
      <c r="Q80">
        <f t="shared" ref="Q80" si="376">F80*P80</f>
        <v>2026617.3292929267</v>
      </c>
      <c r="R80">
        <f t="shared" ref="R80" si="377">R81+Q80</f>
        <v>126561661.73164129</v>
      </c>
      <c r="S80">
        <f t="shared" ref="S80" si="378">R80/100000</f>
        <v>1265.6166173164129</v>
      </c>
      <c r="T80">
        <f t="shared" ref="T80" si="379">S80/1000</f>
        <v>1.265616617316413</v>
      </c>
    </row>
    <row r="81" spans="1:20" x14ac:dyDescent="0.25">
      <c r="A81" s="5">
        <v>44512</v>
      </c>
      <c r="B81">
        <v>1.5523</v>
      </c>
      <c r="C81">
        <v>1.6016999999999999</v>
      </c>
      <c r="D81">
        <v>1.4954000000000001</v>
      </c>
      <c r="E81">
        <v>1.5625</v>
      </c>
      <c r="F81">
        <v>4656663</v>
      </c>
      <c r="G81">
        <v>1.5625</v>
      </c>
      <c r="L81" t="s">
        <v>8</v>
      </c>
      <c r="M81" t="s">
        <v>7</v>
      </c>
      <c r="N81" t="s">
        <v>7</v>
      </c>
      <c r="P81">
        <f t="shared" ref="P81" si="380">IF(C81=D81,0,((E81-D81)-(C81-E81))/(C81-D81))</f>
        <v>0.26246472248353792</v>
      </c>
      <c r="Q81">
        <f t="shared" ref="Q81" si="381">F81*P81</f>
        <v>1222209.7619943591</v>
      </c>
      <c r="R81">
        <f t="shared" ref="R81" si="382">R82+Q81</f>
        <v>124535044.40234837</v>
      </c>
      <c r="S81">
        <f t="shared" ref="S81" si="383">R81/100000</f>
        <v>1245.3504440234838</v>
      </c>
      <c r="T81">
        <f t="shared" ref="T81" si="384">S81/1000</f>
        <v>1.2453504440234837</v>
      </c>
    </row>
    <row r="82" spans="1:20" x14ac:dyDescent="0.25">
      <c r="A82" s="5">
        <v>44511</v>
      </c>
      <c r="B82">
        <v>1.5169999999999999</v>
      </c>
      <c r="C82">
        <v>1.5989</v>
      </c>
      <c r="D82">
        <v>1.4954000000000001</v>
      </c>
      <c r="E82">
        <v>1.5529999999999999</v>
      </c>
      <c r="F82">
        <v>5798874</v>
      </c>
      <c r="G82">
        <v>1.5529999999999999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0.11304347826086793</v>
      </c>
      <c r="Q82">
        <f t="shared" ref="Q82" si="386">F82*P82</f>
        <v>655524.88695651223</v>
      </c>
      <c r="R82">
        <f t="shared" ref="R82" si="387">R83+Q82</f>
        <v>123312834.64035401</v>
      </c>
      <c r="S82">
        <f t="shared" ref="S82" si="388">R82/100000</f>
        <v>1233.12834640354</v>
      </c>
      <c r="T82">
        <f t="shared" ref="T82" si="389">S82/1000</f>
        <v>1.2331283464035401</v>
      </c>
    </row>
    <row r="83" spans="1:20" x14ac:dyDescent="0.25">
      <c r="A83" s="5">
        <v>44510</v>
      </c>
      <c r="B83">
        <v>1.6982999999999999</v>
      </c>
      <c r="C83">
        <v>1.7391000000000001</v>
      </c>
      <c r="D83">
        <v>1.4</v>
      </c>
      <c r="E83">
        <v>1.5194000000000001</v>
      </c>
      <c r="F83">
        <v>10347632</v>
      </c>
      <c r="G83">
        <v>1.5194000000000001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-0.29578295488056555</v>
      </c>
      <c r="Q83">
        <f t="shared" ref="Q83" si="391">F83*P83</f>
        <v>-3060653.1689766962</v>
      </c>
      <c r="R83">
        <f t="shared" ref="R83" si="392">R84+Q83</f>
        <v>122657309.75339749</v>
      </c>
      <c r="S83">
        <f t="shared" ref="S83" si="393">R83/100000</f>
        <v>1226.573097533975</v>
      </c>
      <c r="T83">
        <f t="shared" ref="T83" si="394">S83/1000</f>
        <v>1.226573097533975</v>
      </c>
    </row>
    <row r="84" spans="1:20" x14ac:dyDescent="0.25">
      <c r="A84" s="5">
        <v>44509</v>
      </c>
      <c r="B84">
        <v>1.6668000000000001</v>
      </c>
      <c r="C84">
        <v>1.7393000000000001</v>
      </c>
      <c r="D84">
        <v>1.6519999999999999</v>
      </c>
      <c r="E84">
        <v>1.6973</v>
      </c>
      <c r="F84">
        <v>6807180</v>
      </c>
      <c r="G84">
        <v>1.6973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3.7800687285224226E-2</v>
      </c>
      <c r="Q84">
        <f t="shared" ref="Q84" si="396">F84*P84</f>
        <v>257316.08247423265</v>
      </c>
      <c r="R84">
        <f t="shared" ref="R84" si="397">R85+Q84</f>
        <v>125717962.92237419</v>
      </c>
      <c r="S84">
        <f t="shared" ref="S84" si="398">R84/100000</f>
        <v>1257.1796292237418</v>
      </c>
      <c r="T84">
        <f t="shared" ref="T84" si="399">S84/1000</f>
        <v>1.2571796292237418</v>
      </c>
    </row>
    <row r="85" spans="1:20" x14ac:dyDescent="0.25">
      <c r="A85" s="5">
        <v>44508</v>
      </c>
      <c r="B85">
        <v>1.6577</v>
      </c>
      <c r="C85">
        <v>1.6708000000000001</v>
      </c>
      <c r="D85">
        <v>1.6283000000000001</v>
      </c>
      <c r="E85">
        <v>1.6665000000000001</v>
      </c>
      <c r="F85">
        <v>3869039</v>
      </c>
      <c r="G85">
        <v>1.6665000000000001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0.79764705882353071</v>
      </c>
      <c r="Q85">
        <f t="shared" ref="Q85" si="401">F85*P85</f>
        <v>3086127.5788235343</v>
      </c>
      <c r="R85">
        <f t="shared" ref="R85" si="402">R86+Q85</f>
        <v>125460646.83989996</v>
      </c>
      <c r="S85">
        <f t="shared" ref="S85" si="403">R85/100000</f>
        <v>1254.6064683989996</v>
      </c>
      <c r="T85">
        <f t="shared" ref="T85" si="404">S85/1000</f>
        <v>1.2546064683989997</v>
      </c>
    </row>
    <row r="86" spans="1:20" x14ac:dyDescent="0.25">
      <c r="A86" s="5">
        <v>44507</v>
      </c>
      <c r="B86">
        <v>1.6372</v>
      </c>
      <c r="C86">
        <v>1.6680999999999999</v>
      </c>
      <c r="D86">
        <v>1.6197999999999999</v>
      </c>
      <c r="E86">
        <v>1.6568000000000001</v>
      </c>
      <c r="F86">
        <v>3802557</v>
      </c>
      <c r="G86">
        <v>1.6568000000000001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0.53209109730849424</v>
      </c>
      <c r="Q86">
        <f t="shared" ref="Q86" si="406">F86*P86</f>
        <v>2023306.726708096</v>
      </c>
      <c r="R86">
        <f t="shared" ref="R86" si="407">R87+Q86</f>
        <v>122374519.26107642</v>
      </c>
      <c r="S86">
        <f t="shared" ref="S86" si="408">R86/100000</f>
        <v>1223.7451926107642</v>
      </c>
      <c r="T86">
        <f t="shared" ref="T86" si="409">S86/1000</f>
        <v>1.2237451926107643</v>
      </c>
    </row>
    <row r="87" spans="1:20" x14ac:dyDescent="0.25">
      <c r="A87" s="5">
        <v>44506</v>
      </c>
      <c r="B87">
        <v>1.6115999999999999</v>
      </c>
      <c r="C87">
        <v>1.65</v>
      </c>
      <c r="D87">
        <v>1.552</v>
      </c>
      <c r="E87">
        <v>1.6372</v>
      </c>
      <c r="F87">
        <v>3589110</v>
      </c>
      <c r="G87">
        <v>1.6372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0.73877551020408283</v>
      </c>
      <c r="Q87">
        <f t="shared" ref="Q87" si="411">F87*P87</f>
        <v>2651546.5714285756</v>
      </c>
      <c r="R87">
        <f t="shared" ref="R87" si="412">R88+Q87</f>
        <v>120351212.53436832</v>
      </c>
      <c r="S87">
        <f t="shared" ref="S87" si="413">R87/100000</f>
        <v>1203.5121253436832</v>
      </c>
      <c r="T87">
        <f t="shared" ref="T87" si="414">S87/1000</f>
        <v>1.2035121253436833</v>
      </c>
    </row>
    <row r="88" spans="1:20" x14ac:dyDescent="0.25">
      <c r="A88" s="5">
        <v>44505</v>
      </c>
      <c r="B88">
        <v>1.6678999999999999</v>
      </c>
      <c r="C88">
        <v>1.6720999999999999</v>
      </c>
      <c r="D88">
        <v>1.5911999999999999</v>
      </c>
      <c r="E88">
        <v>1.6137999999999999</v>
      </c>
      <c r="F88">
        <v>6302714</v>
      </c>
      <c r="G88">
        <v>1.6137999999999999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-0.4412855377008662</v>
      </c>
      <c r="Q88">
        <f t="shared" ref="Q88" si="416">F88*P88</f>
        <v>-2781296.5364647773</v>
      </c>
      <c r="R88">
        <f t="shared" ref="R88" si="417">R89+Q88</f>
        <v>117699665.96293974</v>
      </c>
      <c r="S88">
        <f t="shared" ref="S88" si="418">R88/100000</f>
        <v>1176.9966596293973</v>
      </c>
      <c r="T88">
        <f t="shared" ref="T88" si="419">S88/1000</f>
        <v>1.1769966596293973</v>
      </c>
    </row>
    <row r="89" spans="1:20" x14ac:dyDescent="0.25">
      <c r="A89" s="5">
        <v>44504</v>
      </c>
      <c r="B89">
        <v>1.7757000000000001</v>
      </c>
      <c r="C89">
        <v>1.7766999999999999</v>
      </c>
      <c r="D89">
        <v>1.6007</v>
      </c>
      <c r="E89">
        <v>1.6689000000000001</v>
      </c>
      <c r="F89">
        <v>7382853</v>
      </c>
      <c r="G89">
        <v>1.6689000000000001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-0.22499999999999928</v>
      </c>
      <c r="Q89">
        <f t="shared" ref="Q89" si="421">F89*P89</f>
        <v>-1661141.9249999947</v>
      </c>
      <c r="R89">
        <f t="shared" ref="R89" si="422">R90+Q89</f>
        <v>120480962.49940452</v>
      </c>
      <c r="S89">
        <f t="shared" ref="S89" si="423">R89/100000</f>
        <v>1204.8096249940452</v>
      </c>
      <c r="T89">
        <f t="shared" ref="T89" si="424">S89/1000</f>
        <v>1.2048096249940452</v>
      </c>
    </row>
    <row r="90" spans="1:20" x14ac:dyDescent="0.25">
      <c r="A90" s="5">
        <v>44503</v>
      </c>
      <c r="B90">
        <v>1.8372999999999999</v>
      </c>
      <c r="C90">
        <v>1.9338</v>
      </c>
      <c r="D90">
        <v>1.7185999999999999</v>
      </c>
      <c r="E90">
        <v>1.7755000000000001</v>
      </c>
      <c r="F90">
        <v>8440491</v>
      </c>
      <c r="G90">
        <v>1.7755000000000001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-0.47118959107806546</v>
      </c>
      <c r="Q90">
        <f t="shared" ref="Q90" si="426">F90*P90</f>
        <v>-3977071.502788092</v>
      </c>
      <c r="R90">
        <f t="shared" ref="R90" si="427">R91+Q90</f>
        <v>122142104.42440452</v>
      </c>
      <c r="S90">
        <f t="shared" ref="S90" si="428">R90/100000</f>
        <v>1221.4210442440451</v>
      </c>
      <c r="T90">
        <f t="shared" ref="T90" si="429">S90/1000</f>
        <v>1.2214210442440452</v>
      </c>
    </row>
    <row r="91" spans="1:20" x14ac:dyDescent="0.25">
      <c r="A91" s="5">
        <v>44502</v>
      </c>
      <c r="B91">
        <v>1.7998000000000001</v>
      </c>
      <c r="C91">
        <v>1.9239999999999999</v>
      </c>
      <c r="D91">
        <v>1.7706999999999999</v>
      </c>
      <c r="E91">
        <v>1.8366</v>
      </c>
      <c r="F91">
        <v>7580699</v>
      </c>
      <c r="G91">
        <v>1.8366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-0.14024787997390642</v>
      </c>
      <c r="Q91">
        <f t="shared" ref="Q91" si="431">F91*P91</f>
        <v>-1063176.9634703125</v>
      </c>
      <c r="R91">
        <f t="shared" ref="R91" si="432">R92+Q91</f>
        <v>126119175.92719261</v>
      </c>
      <c r="S91">
        <f t="shared" ref="S91" si="433">R91/100000</f>
        <v>1261.1917592719262</v>
      </c>
      <c r="T91">
        <f t="shared" ref="T91" si="434">S91/1000</f>
        <v>1.2611917592719262</v>
      </c>
    </row>
    <row r="92" spans="1:20" x14ac:dyDescent="0.25">
      <c r="A92" s="5">
        <v>44501</v>
      </c>
      <c r="B92">
        <v>1.6990000000000001</v>
      </c>
      <c r="C92">
        <v>1.8522000000000001</v>
      </c>
      <c r="D92">
        <v>1.6880999999999999</v>
      </c>
      <c r="E92">
        <v>1.8</v>
      </c>
      <c r="F92">
        <v>11217221</v>
      </c>
      <c r="G92">
        <v>1.8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0.36380255941499107</v>
      </c>
      <c r="Q92">
        <f t="shared" ref="Q92" si="436">F92*P92</f>
        <v>4080853.7093235855</v>
      </c>
      <c r="R92">
        <f t="shared" ref="R92" si="437">R93+Q92</f>
        <v>127182352.89066292</v>
      </c>
      <c r="S92">
        <f t="shared" ref="S92" si="438">R92/100000</f>
        <v>1271.8235289066292</v>
      </c>
      <c r="T92">
        <f t="shared" ref="T92" si="439">S92/1000</f>
        <v>1.2718235289066293</v>
      </c>
    </row>
    <row r="93" spans="1:20" x14ac:dyDescent="0.25">
      <c r="A93" s="5">
        <v>44500</v>
      </c>
      <c r="B93">
        <v>1.6556</v>
      </c>
      <c r="C93">
        <v>1.7748999999999999</v>
      </c>
      <c r="D93">
        <v>1.5981000000000001</v>
      </c>
      <c r="E93">
        <v>1.6961999999999999</v>
      </c>
      <c r="F93">
        <v>9998027</v>
      </c>
      <c r="G93">
        <v>1.6961999999999999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0.10972850678732964</v>
      </c>
      <c r="Q93">
        <f t="shared" ref="Q93" si="441">F93*P93</f>
        <v>1097068.5735294051</v>
      </c>
      <c r="R93">
        <f t="shared" ref="R93" si="442">R94+Q93</f>
        <v>123101499.18133934</v>
      </c>
      <c r="S93">
        <f t="shared" ref="S93" si="443">R93/100000</f>
        <v>1231.0149918133934</v>
      </c>
      <c r="T93">
        <f t="shared" ref="T93" si="444">S93/1000</f>
        <v>1.2310149918133935</v>
      </c>
    </row>
    <row r="94" spans="1:20" x14ac:dyDescent="0.25">
      <c r="A94" s="5">
        <v>44499</v>
      </c>
      <c r="B94">
        <v>1.6428</v>
      </c>
      <c r="C94">
        <v>1.6792</v>
      </c>
      <c r="D94">
        <v>1.5688</v>
      </c>
      <c r="E94">
        <v>1.6539999999999999</v>
      </c>
      <c r="F94">
        <v>6916670</v>
      </c>
      <c r="G94">
        <v>1.6539999999999999</v>
      </c>
      <c r="L94" t="s">
        <v>7</v>
      </c>
      <c r="M94" t="s">
        <v>7</v>
      </c>
      <c r="N94" t="s">
        <v>7</v>
      </c>
      <c r="P94">
        <f t="shared" ref="P94" si="445">IF(C94=D94,0,((E94-D94)-(C94-E94))/(C94-D94))</f>
        <v>0.54347826086956341</v>
      </c>
      <c r="Q94">
        <f t="shared" ref="Q94" si="446">F94*P94</f>
        <v>3759059.7826086832</v>
      </c>
      <c r="R94">
        <f t="shared" ref="R94" si="447">R95+Q94</f>
        <v>122004430.60780993</v>
      </c>
      <c r="S94">
        <f t="shared" ref="S94" si="448">R94/100000</f>
        <v>1220.0443060780992</v>
      </c>
      <c r="T94">
        <f t="shared" ref="T94" si="449">S94/1000</f>
        <v>1.2200443060780992</v>
      </c>
    </row>
    <row r="95" spans="1:20" x14ac:dyDescent="0.25">
      <c r="A95" s="5">
        <v>44498</v>
      </c>
      <c r="B95">
        <v>1.5422</v>
      </c>
      <c r="C95">
        <v>1.698</v>
      </c>
      <c r="D95">
        <v>1.5159</v>
      </c>
      <c r="E95">
        <v>1.6415999999999999</v>
      </c>
      <c r="F95">
        <v>13275908</v>
      </c>
      <c r="G95">
        <v>1.6415999999999999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0.38056013179571635</v>
      </c>
      <c r="Q95">
        <f t="shared" ref="Q95" si="451">F95*P95</f>
        <v>5052281.2981878053</v>
      </c>
      <c r="R95">
        <f t="shared" ref="R95" si="452">R96+Q95</f>
        <v>118245370.82520124</v>
      </c>
      <c r="S95">
        <f t="shared" ref="S95" si="453">R95/100000</f>
        <v>1182.4537082520123</v>
      </c>
      <c r="T95">
        <f t="shared" ref="T95" si="454">S95/1000</f>
        <v>1.1824537082520123</v>
      </c>
    </row>
    <row r="96" spans="1:20" x14ac:dyDescent="0.25">
      <c r="A96" s="5">
        <v>44497</v>
      </c>
      <c r="B96">
        <v>1.4753000000000001</v>
      </c>
      <c r="C96">
        <v>1.6112</v>
      </c>
      <c r="D96">
        <v>1.4641999999999999</v>
      </c>
      <c r="E96">
        <v>1.5406</v>
      </c>
      <c r="F96">
        <v>9070845</v>
      </c>
      <c r="G96">
        <v>1.5406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3.9455782312925354E-2</v>
      </c>
      <c r="Q96">
        <f t="shared" ref="Q96" si="456">F96*P96</f>
        <v>357897.28571428737</v>
      </c>
      <c r="R96">
        <f t="shared" ref="R96" si="457">R97+Q96</f>
        <v>113193089.52701344</v>
      </c>
      <c r="S96">
        <f t="shared" ref="S96" si="458">R96/100000</f>
        <v>1131.9308952701344</v>
      </c>
      <c r="T96">
        <f t="shared" ref="T96" si="459">S96/1000</f>
        <v>1.1319308952701344</v>
      </c>
    </row>
    <row r="97" spans="1:20" x14ac:dyDescent="0.25">
      <c r="A97" s="5">
        <v>44496</v>
      </c>
      <c r="B97">
        <v>1.7487999999999999</v>
      </c>
      <c r="C97">
        <v>1.8631</v>
      </c>
      <c r="D97">
        <v>1.4443999999999999</v>
      </c>
      <c r="E97">
        <v>1.4749000000000001</v>
      </c>
      <c r="F97">
        <v>20614537</v>
      </c>
      <c r="G97">
        <v>1.4749000000000001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-0.85431096250298455</v>
      </c>
      <c r="Q97">
        <f t="shared" ref="Q97" si="461">F97*P97</f>
        <v>-17611224.946023386</v>
      </c>
      <c r="R97">
        <f t="shared" ref="R97" si="462">R98+Q97</f>
        <v>112835192.24129915</v>
      </c>
      <c r="S97">
        <f t="shared" ref="S97" si="463">R97/100000</f>
        <v>1128.3519224129916</v>
      </c>
      <c r="T97">
        <f t="shared" ref="T97" si="464">S97/1000</f>
        <v>1.1283519224129916</v>
      </c>
    </row>
    <row r="98" spans="1:20" x14ac:dyDescent="0.25">
      <c r="A98" s="5">
        <v>44495</v>
      </c>
      <c r="B98">
        <v>1.7784</v>
      </c>
      <c r="C98">
        <v>1.829</v>
      </c>
      <c r="D98">
        <v>1.7087000000000001</v>
      </c>
      <c r="E98">
        <v>1.7479</v>
      </c>
      <c r="F98">
        <v>7835014</v>
      </c>
      <c r="G98">
        <v>1.7479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-0.34829592684954364</v>
      </c>
      <c r="Q98">
        <f t="shared" ref="Q98" si="466">F98*P98</f>
        <v>-2728903.4630091502</v>
      </c>
      <c r="R98">
        <f t="shared" ref="R98" si="467">R99+Q98</f>
        <v>130446417.18732254</v>
      </c>
      <c r="S98">
        <f t="shared" ref="S98" si="468">R98/100000</f>
        <v>1304.4641718732255</v>
      </c>
      <c r="T98">
        <f t="shared" ref="T98" si="469">S98/1000</f>
        <v>1.3044641718732255</v>
      </c>
    </row>
    <row r="99" spans="1:20" x14ac:dyDescent="0.25">
      <c r="A99" s="5">
        <v>44494</v>
      </c>
      <c r="B99">
        <v>1.6941999999999999</v>
      </c>
      <c r="C99">
        <v>1.7971999999999999</v>
      </c>
      <c r="D99">
        <v>1.6837</v>
      </c>
      <c r="E99">
        <v>1.778</v>
      </c>
      <c r="F99">
        <v>6744761</v>
      </c>
      <c r="G99">
        <v>1.778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0.66167400881057459</v>
      </c>
      <c r="Q99">
        <f t="shared" ref="Q99" si="471">F99*P99</f>
        <v>4462833.0493392199</v>
      </c>
      <c r="R99">
        <f t="shared" ref="R99" si="472">R100+Q99</f>
        <v>133175320.65033169</v>
      </c>
      <c r="S99">
        <f t="shared" ref="S99" si="473">R99/100000</f>
        <v>1331.753206503317</v>
      </c>
      <c r="T99">
        <f t="shared" ref="T99" si="474">S99/1000</f>
        <v>1.3317532065033169</v>
      </c>
    </row>
    <row r="100" spans="1:20" x14ac:dyDescent="0.25">
      <c r="A100" s="5">
        <v>44493</v>
      </c>
      <c r="B100">
        <v>1.7968</v>
      </c>
      <c r="C100">
        <v>1.8122</v>
      </c>
      <c r="D100">
        <v>1.6305000000000001</v>
      </c>
      <c r="E100">
        <v>1.6944999999999999</v>
      </c>
      <c r="F100">
        <v>6896101</v>
      </c>
      <c r="G100">
        <v>1.6944999999999999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-0.29554210236653994</v>
      </c>
      <c r="Q100">
        <f t="shared" ref="Q100" si="476">F100*P100</f>
        <v>-2038088.1876719985</v>
      </c>
      <c r="R100">
        <f t="shared" ref="R100" si="477">R101+Q100</f>
        <v>128712487.60099247</v>
      </c>
      <c r="S100">
        <f t="shared" ref="S100" si="478">R100/100000</f>
        <v>1287.1248760099247</v>
      </c>
      <c r="T100">
        <f t="shared" ref="T100" si="479">S100/1000</f>
        <v>1.2871248760099248</v>
      </c>
    </row>
    <row r="101" spans="1:20" x14ac:dyDescent="0.25">
      <c r="A101" s="5">
        <v>44492</v>
      </c>
      <c r="B101">
        <v>1.7405999999999999</v>
      </c>
      <c r="C101">
        <v>1.8896999999999999</v>
      </c>
      <c r="D101">
        <v>1.718</v>
      </c>
      <c r="E101">
        <v>1.7963</v>
      </c>
      <c r="F101">
        <v>9503341</v>
      </c>
      <c r="G101">
        <v>1.7963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-8.7944088526499098E-2</v>
      </c>
      <c r="Q101">
        <f t="shared" ref="Q101" si="481">F101*P101</f>
        <v>-835762.66220150841</v>
      </c>
      <c r="R101">
        <f t="shared" ref="R101" si="482">R102+Q101</f>
        <v>130750575.78866448</v>
      </c>
      <c r="S101">
        <f t="shared" ref="S101" si="483">R101/100000</f>
        <v>1307.5057578866447</v>
      </c>
      <c r="T101">
        <f t="shared" ref="T101" si="484">S101/1000</f>
        <v>1.3075057578866447</v>
      </c>
    </row>
    <row r="102" spans="1:20" x14ac:dyDescent="0.25">
      <c r="A102" s="5">
        <v>44491</v>
      </c>
      <c r="B102">
        <v>1.73</v>
      </c>
      <c r="C102">
        <v>1.8232999999999999</v>
      </c>
      <c r="D102">
        <v>1.68</v>
      </c>
      <c r="E102">
        <v>1.7404999999999999</v>
      </c>
      <c r="F102">
        <v>7612241</v>
      </c>
      <c r="G102">
        <v>1.7404999999999999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-0.15561758548499643</v>
      </c>
      <c r="Q102">
        <f t="shared" ref="Q102" si="486">F102*P102</f>
        <v>-1184598.5645498948</v>
      </c>
      <c r="R102">
        <f t="shared" ref="R102" si="487">R103+Q102</f>
        <v>131586338.45086598</v>
      </c>
      <c r="S102">
        <f t="shared" ref="S102" si="488">R102/100000</f>
        <v>1315.8633845086599</v>
      </c>
      <c r="T102">
        <f t="shared" ref="T102" si="489">S102/1000</f>
        <v>1.31586338450866</v>
      </c>
    </row>
    <row r="103" spans="1:20" x14ac:dyDescent="0.25">
      <c r="A103" s="5">
        <v>44490</v>
      </c>
      <c r="B103">
        <v>1.8685</v>
      </c>
      <c r="C103">
        <v>1.9766999999999999</v>
      </c>
      <c r="D103">
        <v>1.7113</v>
      </c>
      <c r="E103">
        <v>1.7306999999999999</v>
      </c>
      <c r="F103">
        <v>20365693</v>
      </c>
      <c r="G103">
        <v>1.7306999999999999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-0.85380557648832045</v>
      </c>
      <c r="Q103">
        <f t="shared" ref="Q103" si="491">F103*P103</f>
        <v>-17388342.252449151</v>
      </c>
      <c r="R103">
        <f t="shared" ref="R103" si="492">R104+Q103</f>
        <v>132770937.01541588</v>
      </c>
      <c r="S103">
        <f t="shared" ref="S103" si="493">R103/100000</f>
        <v>1327.7093701541587</v>
      </c>
      <c r="T103">
        <f t="shared" ref="T103" si="494">S103/1000</f>
        <v>1.3277093701541587</v>
      </c>
    </row>
    <row r="104" spans="1:20" x14ac:dyDescent="0.25">
      <c r="A104" s="5">
        <v>44489</v>
      </c>
      <c r="B104">
        <v>1.8244</v>
      </c>
      <c r="C104">
        <v>1.8994</v>
      </c>
      <c r="D104">
        <v>1.7605999999999999</v>
      </c>
      <c r="E104">
        <v>1.869</v>
      </c>
      <c r="F104">
        <v>15655705</v>
      </c>
      <c r="G104">
        <v>1.869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0.56195965417867466</v>
      </c>
      <c r="Q104">
        <f t="shared" ref="Q104" si="496">F104*P104</f>
        <v>8797874.5677233469</v>
      </c>
      <c r="R104">
        <f t="shared" ref="R104" si="497">R105+Q104</f>
        <v>150159279.26786503</v>
      </c>
      <c r="S104">
        <f t="shared" ref="S104" si="498">R104/100000</f>
        <v>1501.5927926786503</v>
      </c>
      <c r="T104">
        <f t="shared" ref="T104" si="499">S104/1000</f>
        <v>1.5015927926786503</v>
      </c>
    </row>
    <row r="105" spans="1:20" x14ac:dyDescent="0.25">
      <c r="A105" s="5">
        <v>44488</v>
      </c>
      <c r="B105">
        <v>1.927</v>
      </c>
      <c r="C105">
        <v>1.9629000000000001</v>
      </c>
      <c r="D105">
        <v>1.7994000000000001</v>
      </c>
      <c r="E105">
        <v>1.8257000000000001</v>
      </c>
      <c r="F105">
        <v>17512702</v>
      </c>
      <c r="G105">
        <v>1.8257000000000001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-0.67828746177370036</v>
      </c>
      <c r="Q105">
        <f t="shared" ref="Q105" si="501">F105*P105</f>
        <v>-11878646.188379206</v>
      </c>
      <c r="R105">
        <f t="shared" ref="R105" si="502">R106+Q105</f>
        <v>141361404.7001417</v>
      </c>
      <c r="S105">
        <f t="shared" ref="S105" si="503">R105/100000</f>
        <v>1413.614047001417</v>
      </c>
      <c r="T105">
        <f t="shared" ref="T105" si="504">S105/1000</f>
        <v>1.4136140470014171</v>
      </c>
    </row>
    <row r="106" spans="1:20" x14ac:dyDescent="0.25">
      <c r="A106" s="5">
        <v>44487</v>
      </c>
      <c r="B106">
        <v>1.8607</v>
      </c>
      <c r="C106">
        <v>2.1945000000000001</v>
      </c>
      <c r="D106">
        <v>1.8464</v>
      </c>
      <c r="E106">
        <v>1.927</v>
      </c>
      <c r="F106">
        <v>50531582</v>
      </c>
      <c r="G106">
        <v>1.927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-0.53691467968974438</v>
      </c>
      <c r="Q106">
        <f t="shared" ref="Q106" si="506">F106*P106</f>
        <v>-27131148.163746051</v>
      </c>
      <c r="R106">
        <f t="shared" ref="R106" si="507">R107+Q106</f>
        <v>153240050.8885209</v>
      </c>
      <c r="S106">
        <f t="shared" ref="S106" si="508">R106/100000</f>
        <v>1532.4005088852089</v>
      </c>
      <c r="T106">
        <f t="shared" ref="T106" si="509">S106/1000</f>
        <v>1.5324005088852088</v>
      </c>
    </row>
    <row r="107" spans="1:20" x14ac:dyDescent="0.25">
      <c r="A107" s="5">
        <v>44486</v>
      </c>
      <c r="B107">
        <v>1.8982000000000001</v>
      </c>
      <c r="C107">
        <v>2.0945</v>
      </c>
      <c r="D107">
        <v>1.78</v>
      </c>
      <c r="E107">
        <v>1.8624000000000001</v>
      </c>
      <c r="F107">
        <v>29019277</v>
      </c>
      <c r="G107">
        <v>1.8624000000000001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-0.47599364069952288</v>
      </c>
      <c r="Q107">
        <f t="shared" ref="Q107" si="511">F107*P107</f>
        <v>-13812991.309697928</v>
      </c>
      <c r="R107">
        <f t="shared" ref="R107" si="512">R108+Q107</f>
        <v>180371199.05226696</v>
      </c>
      <c r="S107">
        <f t="shared" ref="S107" si="513">R107/100000</f>
        <v>1803.7119905226696</v>
      </c>
      <c r="T107">
        <f t="shared" ref="T107" si="514">S107/1000</f>
        <v>1.8037119905226695</v>
      </c>
    </row>
    <row r="108" spans="1:20" x14ac:dyDescent="0.25">
      <c r="A108" s="5">
        <v>44485</v>
      </c>
      <c r="B108">
        <v>2.0299999999999998</v>
      </c>
      <c r="C108">
        <v>2.1768999999999998</v>
      </c>
      <c r="D108">
        <v>1.8588</v>
      </c>
      <c r="E108">
        <v>1.8982000000000001</v>
      </c>
      <c r="F108">
        <v>37041043</v>
      </c>
      <c r="G108">
        <v>1.8982000000000001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-0.75227915749764152</v>
      </c>
      <c r="Q108">
        <f t="shared" ref="Q108" si="516">F108*P108</f>
        <v>-27865204.620873913</v>
      </c>
      <c r="R108">
        <f t="shared" ref="R108" si="517">R109+Q108</f>
        <v>194184190.36196488</v>
      </c>
      <c r="S108">
        <f t="shared" ref="S108" si="518">R108/100000</f>
        <v>1941.8419036196487</v>
      </c>
      <c r="T108">
        <f t="shared" ref="T108" si="519">S108/1000</f>
        <v>1.9418419036196488</v>
      </c>
    </row>
    <row r="109" spans="1:20" x14ac:dyDescent="0.25">
      <c r="A109" s="5">
        <v>44484</v>
      </c>
      <c r="B109">
        <v>2.3681999999999999</v>
      </c>
      <c r="C109">
        <v>2.4380000000000002</v>
      </c>
      <c r="D109">
        <v>1.9480999999999999</v>
      </c>
      <c r="E109">
        <v>2.0299999999999998</v>
      </c>
      <c r="F109">
        <v>73335510</v>
      </c>
      <c r="G109">
        <v>2.0299999999999998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-0.66564605021433021</v>
      </c>
      <c r="Q109">
        <f t="shared" ref="Q109" si="521">F109*P109</f>
        <v>-48815492.571953513</v>
      </c>
      <c r="R109">
        <f t="shared" ref="R109" si="522">R110+Q109</f>
        <v>222049394.98283878</v>
      </c>
      <c r="S109">
        <f t="shared" ref="S109" si="523">R109/100000</f>
        <v>2220.4939498283879</v>
      </c>
      <c r="T109">
        <f t="shared" ref="T109" si="524">S109/1000</f>
        <v>2.2204939498283878</v>
      </c>
    </row>
    <row r="110" spans="1:20" x14ac:dyDescent="0.25">
      <c r="A110" s="5">
        <v>44483</v>
      </c>
      <c r="B110">
        <v>2.8201999999999998</v>
      </c>
      <c r="C110">
        <v>3.165</v>
      </c>
      <c r="D110">
        <v>2.2322000000000002</v>
      </c>
      <c r="E110">
        <v>2.3664000000000001</v>
      </c>
      <c r="F110">
        <v>214115067.59</v>
      </c>
      <c r="G110">
        <v>2.3664000000000001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-0.71226415094339646</v>
      </c>
      <c r="Q110">
        <f t="shared" ref="Q110" si="526">F110*P110</f>
        <v>-152506486.8211793</v>
      </c>
      <c r="R110">
        <f t="shared" ref="R110" si="527">R111+Q110</f>
        <v>270864887.55479228</v>
      </c>
      <c r="S110">
        <f t="shared" ref="S110" si="528">R110/100000</f>
        <v>2708.6488755479227</v>
      </c>
      <c r="T110">
        <f t="shared" ref="T110" si="529">S110/1000</f>
        <v>2.7086488755479228</v>
      </c>
    </row>
    <row r="111" spans="1:20" x14ac:dyDescent="0.25">
      <c r="A111" s="5">
        <v>44482</v>
      </c>
      <c r="B111">
        <v>1.0199</v>
      </c>
      <c r="C111">
        <v>2.8490000000000002</v>
      </c>
      <c r="D111">
        <v>1.0117</v>
      </c>
      <c r="E111">
        <v>2.8222</v>
      </c>
      <c r="F111">
        <v>391569063.17000002</v>
      </c>
      <c r="G111">
        <v>2.8222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0.97082675665378526</v>
      </c>
      <c r="Q111">
        <f t="shared" ref="Q111" si="531">F111*P111</f>
        <v>380145723.60329229</v>
      </c>
      <c r="R111">
        <f t="shared" ref="R111" si="532">R112+Q111</f>
        <v>423371374.37597162</v>
      </c>
      <c r="S111">
        <f t="shared" ref="S111" si="533">R111/100000</f>
        <v>4233.7137437597157</v>
      </c>
      <c r="T111">
        <f t="shared" ref="T111" si="534">S111/1000</f>
        <v>4.2337137437597159</v>
      </c>
    </row>
    <row r="112" spans="1:20" x14ac:dyDescent="0.25">
      <c r="A112" s="5">
        <v>44481</v>
      </c>
      <c r="B112">
        <v>1.0249999999999999</v>
      </c>
      <c r="C112">
        <v>1.0404</v>
      </c>
      <c r="D112">
        <v>0.95069999999999999</v>
      </c>
      <c r="E112">
        <v>1.0206</v>
      </c>
      <c r="F112">
        <v>6512054</v>
      </c>
      <c r="G112">
        <v>1.0206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0.55852842809364456</v>
      </c>
      <c r="Q112">
        <f t="shared" ref="Q112" si="536">F112*P112</f>
        <v>3637167.2842809306</v>
      </c>
      <c r="R112">
        <f t="shared" ref="R112" si="537">R113+Q112</f>
        <v>43225650.772679329</v>
      </c>
      <c r="S112">
        <f t="shared" ref="S112" si="538">R112/100000</f>
        <v>432.2565077267933</v>
      </c>
      <c r="T112">
        <f t="shared" ref="T112" si="539">S112/1000</f>
        <v>0.4322565077267933</v>
      </c>
    </row>
    <row r="113" spans="1:20" x14ac:dyDescent="0.25">
      <c r="A113" s="5">
        <v>44480</v>
      </c>
      <c r="B113">
        <v>1.0458000000000001</v>
      </c>
      <c r="C113">
        <v>1.0951</v>
      </c>
      <c r="D113">
        <v>1.0004999999999999</v>
      </c>
      <c r="E113">
        <v>1.0251999999999999</v>
      </c>
      <c r="F113">
        <v>4505058</v>
      </c>
      <c r="G113">
        <v>1.0251999999999999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-0.47780126849894422</v>
      </c>
      <c r="Q113">
        <f t="shared" ref="Q113" si="541">F113*P113</f>
        <v>-2152522.4270613166</v>
      </c>
      <c r="R113">
        <f t="shared" ref="R113" si="542">R114+Q113</f>
        <v>39588483.488398395</v>
      </c>
      <c r="S113">
        <f t="shared" ref="S113" si="543">R113/100000</f>
        <v>395.88483488398396</v>
      </c>
      <c r="T113">
        <f t="shared" ref="T113" si="544">S113/1000</f>
        <v>0.39588483488398396</v>
      </c>
    </row>
    <row r="114" spans="1:20" x14ac:dyDescent="0.25">
      <c r="A114" s="5">
        <v>44479</v>
      </c>
      <c r="B114">
        <v>1.0953999999999999</v>
      </c>
      <c r="C114">
        <v>1.121</v>
      </c>
      <c r="D114">
        <v>1.0375000000000001</v>
      </c>
      <c r="E114">
        <v>1.0471999999999999</v>
      </c>
      <c r="F114">
        <v>5487253</v>
      </c>
      <c r="G114">
        <v>1.0471999999999999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-0.76766467065868671</v>
      </c>
      <c r="Q114">
        <f t="shared" ref="Q114" si="546">F114*P114</f>
        <v>-4212370.2670658911</v>
      </c>
      <c r="R114">
        <f t="shared" ref="R114" si="547">R115+Q114</f>
        <v>41741005.915459715</v>
      </c>
      <c r="S114">
        <f t="shared" ref="S114" si="548">R114/100000</f>
        <v>417.41005915459715</v>
      </c>
      <c r="T114">
        <f t="shared" ref="T114" si="549">S114/1000</f>
        <v>0.41741005915459717</v>
      </c>
    </row>
    <row r="115" spans="1:20" x14ac:dyDescent="0.25">
      <c r="A115" s="5">
        <v>44478</v>
      </c>
      <c r="B115">
        <v>1.0670999999999999</v>
      </c>
      <c r="C115">
        <v>1.2267999999999999</v>
      </c>
      <c r="D115">
        <v>1.0516000000000001</v>
      </c>
      <c r="E115">
        <v>1.0951</v>
      </c>
      <c r="F115">
        <v>13745309</v>
      </c>
      <c r="G115">
        <v>1.0951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-0.50342465753424748</v>
      </c>
      <c r="Q115">
        <f t="shared" ref="Q115" si="551">F115*P115</f>
        <v>-6919727.4760274095</v>
      </c>
      <c r="R115">
        <f t="shared" ref="R115" si="552">R116+Q115</f>
        <v>45953376.182525605</v>
      </c>
      <c r="S115">
        <f t="shared" ref="S115" si="553">R115/100000</f>
        <v>459.53376182525602</v>
      </c>
      <c r="T115">
        <f t="shared" ref="T115" si="554">S115/1000</f>
        <v>0.45953376182525602</v>
      </c>
    </row>
    <row r="116" spans="1:20" x14ac:dyDescent="0.25">
      <c r="A116" s="5">
        <v>44477</v>
      </c>
      <c r="B116">
        <v>1.0820000000000001</v>
      </c>
      <c r="C116">
        <v>1.1198999999999999</v>
      </c>
      <c r="D116">
        <v>1.0544</v>
      </c>
      <c r="E116">
        <v>1.0645</v>
      </c>
      <c r="F116">
        <v>4846505</v>
      </c>
      <c r="G116">
        <v>1.0645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-0.69160305343511408</v>
      </c>
      <c r="Q116">
        <f t="shared" ref="Q116" si="556">F116*P116</f>
        <v>-3351857.6564885476</v>
      </c>
      <c r="R116">
        <f t="shared" ref="R116" si="557">R117+Q116</f>
        <v>52873103.658553012</v>
      </c>
      <c r="S116">
        <f t="shared" ref="S116" si="558">R116/100000</f>
        <v>528.73103658553009</v>
      </c>
      <c r="T116">
        <f t="shared" ref="T116" si="559">S116/1000</f>
        <v>0.52873103658553011</v>
      </c>
    </row>
    <row r="117" spans="1:20" x14ac:dyDescent="0.25">
      <c r="A117" s="5">
        <v>44476</v>
      </c>
      <c r="B117">
        <v>1.0537000000000001</v>
      </c>
      <c r="C117">
        <v>1.1463000000000001</v>
      </c>
      <c r="D117">
        <v>1.0099</v>
      </c>
      <c r="E117">
        <v>1.0820000000000001</v>
      </c>
      <c r="F117">
        <v>8102946</v>
      </c>
      <c r="G117">
        <v>1.0820000000000001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5.7184750733138008E-2</v>
      </c>
      <c r="Q117">
        <f t="shared" ref="Q117" si="561">F117*P117</f>
        <v>463364.94721407769</v>
      </c>
      <c r="R117">
        <f t="shared" ref="R117" si="562">R118+Q117</f>
        <v>56224961.315041557</v>
      </c>
      <c r="S117">
        <f t="shared" ref="S117" si="563">R117/100000</f>
        <v>562.2496131504156</v>
      </c>
      <c r="T117">
        <f t="shared" ref="T117" si="564">S117/1000</f>
        <v>0.56224961315041555</v>
      </c>
    </row>
    <row r="118" spans="1:20" x14ac:dyDescent="0.25">
      <c r="A118" s="5">
        <v>44475</v>
      </c>
      <c r="B118">
        <v>1.0668</v>
      </c>
      <c r="C118">
        <v>1.071</v>
      </c>
      <c r="D118">
        <v>0.97070000000000001</v>
      </c>
      <c r="E118">
        <v>1.0531999999999999</v>
      </c>
      <c r="F118">
        <v>5901902</v>
      </c>
      <c r="G118">
        <v>1.0531999999999999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0.6450648055832493</v>
      </c>
      <c r="Q118">
        <f t="shared" ref="Q118" si="566">F118*P118</f>
        <v>3807109.2662013904</v>
      </c>
      <c r="R118">
        <f t="shared" ref="R118" si="567">R119+Q118</f>
        <v>55761596.367827483</v>
      </c>
      <c r="S118">
        <f t="shared" ref="S118" si="568">R118/100000</f>
        <v>557.61596367827485</v>
      </c>
      <c r="T118">
        <f t="shared" ref="T118" si="569">S118/1000</f>
        <v>0.55761596367827482</v>
      </c>
    </row>
    <row r="119" spans="1:20" x14ac:dyDescent="0.25">
      <c r="A119" s="5">
        <v>44474</v>
      </c>
      <c r="B119">
        <v>0.98140000000000005</v>
      </c>
      <c r="C119">
        <v>1.0934999999999999</v>
      </c>
      <c r="D119">
        <v>0.97489999999999999</v>
      </c>
      <c r="E119">
        <v>1.0658000000000001</v>
      </c>
      <c r="F119">
        <v>8092329</v>
      </c>
      <c r="G119">
        <v>1.0658000000000001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0.53288364249578668</v>
      </c>
      <c r="Q119">
        <f t="shared" ref="Q119" si="571">F119*P119</f>
        <v>4312269.7537942873</v>
      </c>
      <c r="R119">
        <f t="shared" ref="R119" si="572">R120+Q119</f>
        <v>51954487.101626091</v>
      </c>
      <c r="S119">
        <f t="shared" ref="S119" si="573">R119/100000</f>
        <v>519.54487101626091</v>
      </c>
      <c r="T119">
        <f t="shared" ref="T119" si="574">S119/1000</f>
        <v>0.5195448710162609</v>
      </c>
    </row>
    <row r="120" spans="1:20" x14ac:dyDescent="0.25">
      <c r="A120" s="5">
        <v>44473</v>
      </c>
      <c r="B120">
        <v>1.0243</v>
      </c>
      <c r="C120">
        <v>1.0243</v>
      </c>
      <c r="D120">
        <v>0.9526</v>
      </c>
      <c r="E120">
        <v>0.98409999999999997</v>
      </c>
      <c r="F120">
        <v>4077511</v>
      </c>
      <c r="G120">
        <v>0.98409999999999997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-0.12133891213389181</v>
      </c>
      <c r="Q120">
        <f t="shared" ref="Q120" si="576">F120*P120</f>
        <v>-494760.74895397731</v>
      </c>
      <c r="R120">
        <f t="shared" ref="R120" si="577">R121+Q120</f>
        <v>47642217.347831801</v>
      </c>
      <c r="S120">
        <f t="shared" ref="S120" si="578">R120/100000</f>
        <v>476.42217347831803</v>
      </c>
      <c r="T120">
        <f t="shared" ref="T120" si="579">S120/1000</f>
        <v>0.47642217347831806</v>
      </c>
    </row>
    <row r="121" spans="1:20" x14ac:dyDescent="0.25">
      <c r="A121" s="5">
        <v>44472</v>
      </c>
      <c r="B121">
        <v>1.0159</v>
      </c>
      <c r="C121">
        <v>1.0425</v>
      </c>
      <c r="D121">
        <v>0.99250000000000005</v>
      </c>
      <c r="E121">
        <v>1.0206</v>
      </c>
      <c r="F121">
        <v>3551646</v>
      </c>
      <c r="G121">
        <v>1.0206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0.12399999999999761</v>
      </c>
      <c r="Q121">
        <f t="shared" ref="Q121" si="581">F121*P121</f>
        <v>440404.10399999149</v>
      </c>
      <c r="R121">
        <f t="shared" ref="R121" si="582">R122+Q121</f>
        <v>48136978.096785776</v>
      </c>
      <c r="S121">
        <f t="shared" ref="S121" si="583">R121/100000</f>
        <v>481.36978096785776</v>
      </c>
      <c r="T121">
        <f t="shared" ref="T121" si="584">S121/1000</f>
        <v>0.48136978096785776</v>
      </c>
    </row>
    <row r="122" spans="1:20" x14ac:dyDescent="0.25">
      <c r="A122" s="5">
        <v>44471</v>
      </c>
      <c r="B122">
        <v>1.0054000000000001</v>
      </c>
      <c r="C122">
        <v>1.0542</v>
      </c>
      <c r="D122">
        <v>0.97489999999999999</v>
      </c>
      <c r="E122">
        <v>1.0157</v>
      </c>
      <c r="F122">
        <v>4319802</v>
      </c>
      <c r="G122">
        <v>1.0157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2.9003783102144749E-2</v>
      </c>
      <c r="Q122">
        <f t="shared" ref="Q122" si="586">F122*P122</f>
        <v>125290.60025221109</v>
      </c>
      <c r="R122">
        <f t="shared" ref="R122" si="587">R123+Q122</f>
        <v>47696573.992785782</v>
      </c>
      <c r="S122">
        <f t="shared" ref="S122" si="588">R122/100000</f>
        <v>476.96573992785784</v>
      </c>
      <c r="T122">
        <f t="shared" ref="T122" si="589">S122/1000</f>
        <v>0.47696573992785785</v>
      </c>
    </row>
    <row r="123" spans="1:20" x14ac:dyDescent="0.25">
      <c r="A123" s="5">
        <v>44470</v>
      </c>
      <c r="B123">
        <v>0.89400000000000002</v>
      </c>
      <c r="C123">
        <v>1.0067999999999999</v>
      </c>
      <c r="D123">
        <v>0.88219999999999998</v>
      </c>
      <c r="E123">
        <v>1.0053000000000001</v>
      </c>
      <c r="F123">
        <v>5428116</v>
      </c>
      <c r="G123">
        <v>1.0053000000000001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0.97592295345104596</v>
      </c>
      <c r="Q123">
        <f t="shared" ref="Q123" si="591">F123*P123</f>
        <v>5297422.9983948776</v>
      </c>
      <c r="R123">
        <f t="shared" ref="R123" si="592">R124+Q123</f>
        <v>47571283.392533571</v>
      </c>
      <c r="S123">
        <f t="shared" ref="S123" si="593">R123/100000</f>
        <v>475.7128339253357</v>
      </c>
      <c r="T123">
        <f t="shared" ref="T123" si="594">S123/1000</f>
        <v>0.4757128339253357</v>
      </c>
    </row>
    <row r="124" spans="1:20" x14ac:dyDescent="0.25">
      <c r="A124" s="5">
        <v>44469</v>
      </c>
      <c r="B124">
        <v>0.85650000000000004</v>
      </c>
      <c r="C124">
        <v>0.90200000000000002</v>
      </c>
      <c r="D124">
        <v>0.84850000000000003</v>
      </c>
      <c r="E124">
        <v>0.89410000000000001</v>
      </c>
      <c r="F124">
        <v>3998075</v>
      </c>
      <c r="G124">
        <v>0.89410000000000001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0.70467289719626092</v>
      </c>
      <c r="Q124">
        <f t="shared" ref="Q124" si="596">F124*P124</f>
        <v>2817335.093457941</v>
      </c>
      <c r="R124">
        <f t="shared" ref="R124" si="597">R125+Q124</f>
        <v>42273860.394138694</v>
      </c>
      <c r="S124">
        <f t="shared" ref="S124" si="598">R124/100000</f>
        <v>422.73860394138694</v>
      </c>
      <c r="T124">
        <f t="shared" ref="T124" si="599">S124/1000</f>
        <v>0.42273860394138696</v>
      </c>
    </row>
    <row r="125" spans="1:20" x14ac:dyDescent="0.25">
      <c r="A125" s="5">
        <v>44468</v>
      </c>
      <c r="B125">
        <v>0.8216</v>
      </c>
      <c r="C125">
        <v>0.89029999999999998</v>
      </c>
      <c r="D125">
        <v>0.81330000000000002</v>
      </c>
      <c r="E125">
        <v>0.85589999999999999</v>
      </c>
      <c r="F125">
        <v>3592506</v>
      </c>
      <c r="G125">
        <v>0.85589999999999999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0.10649350649350636</v>
      </c>
      <c r="Q125">
        <f t="shared" ref="Q125" si="601">F125*P125</f>
        <v>382578.56103896059</v>
      </c>
      <c r="R125">
        <f t="shared" ref="R125" si="602">R126+Q125</f>
        <v>39456525.300680757</v>
      </c>
      <c r="S125">
        <f t="shared" ref="S125" si="603">R125/100000</f>
        <v>394.56525300680755</v>
      </c>
      <c r="T125">
        <f t="shared" ref="T125" si="604">S125/1000</f>
        <v>0.39456525300680756</v>
      </c>
    </row>
    <row r="126" spans="1:20" x14ac:dyDescent="0.25">
      <c r="A126" s="5">
        <v>44467</v>
      </c>
      <c r="B126">
        <v>0.84279999999999999</v>
      </c>
      <c r="C126">
        <v>0.86760000000000004</v>
      </c>
      <c r="D126">
        <v>0.81510000000000005</v>
      </c>
      <c r="E126">
        <v>0.82140000000000002</v>
      </c>
      <c r="F126">
        <v>3374687</v>
      </c>
      <c r="G126">
        <v>0.82140000000000002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-0.76000000000000101</v>
      </c>
      <c r="Q126">
        <f t="shared" ref="Q126" si="606">F126*P126</f>
        <v>-2564762.1200000034</v>
      </c>
      <c r="R126">
        <f t="shared" ref="R126" si="607">R127+Q126</f>
        <v>39073946.739641793</v>
      </c>
      <c r="S126">
        <f t="shared" ref="S126" si="608">R126/100000</f>
        <v>390.73946739641792</v>
      </c>
      <c r="T126">
        <f t="shared" ref="T126" si="609">S126/1000</f>
        <v>0.39073946739641791</v>
      </c>
    </row>
    <row r="127" spans="1:20" x14ac:dyDescent="0.25">
      <c r="A127" s="5">
        <v>44466</v>
      </c>
      <c r="B127">
        <v>0.89570000000000005</v>
      </c>
      <c r="C127">
        <v>0.9456</v>
      </c>
      <c r="D127">
        <v>0.84209999999999996</v>
      </c>
      <c r="E127">
        <v>0.84260000000000002</v>
      </c>
      <c r="F127">
        <v>8032719</v>
      </c>
      <c r="G127">
        <v>0.84260000000000002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-0.99033816425120669</v>
      </c>
      <c r="Q127">
        <f t="shared" ref="Q127" si="611">F127*P127</f>
        <v>-7955108.1884057885</v>
      </c>
      <c r="R127">
        <f t="shared" ref="R127" si="612">R128+Q127</f>
        <v>41638708.859641798</v>
      </c>
      <c r="S127">
        <f t="shared" ref="S127" si="613">R127/100000</f>
        <v>416.38708859641798</v>
      </c>
      <c r="T127">
        <f t="shared" ref="T127" si="614">S127/1000</f>
        <v>0.41638708859641799</v>
      </c>
    </row>
    <row r="128" spans="1:20" x14ac:dyDescent="0.25">
      <c r="A128" s="5">
        <v>44465</v>
      </c>
      <c r="B128">
        <v>0.91069999999999995</v>
      </c>
      <c r="C128">
        <v>0.92049999999999998</v>
      </c>
      <c r="D128">
        <v>0.81789999999999996</v>
      </c>
      <c r="E128">
        <v>0.89459999999999995</v>
      </c>
      <c r="F128">
        <v>5317162.3</v>
      </c>
      <c r="G128">
        <v>0.89459999999999995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0.49512670565302092</v>
      </c>
      <c r="Q128">
        <f t="shared" ref="Q128" si="616">F128*P128</f>
        <v>2632669.0530214398</v>
      </c>
      <c r="R128">
        <f t="shared" ref="R128" si="617">R129+Q128</f>
        <v>49593817.048047587</v>
      </c>
      <c r="S128">
        <f t="shared" ref="S128" si="618">R128/100000</f>
        <v>495.93817048047589</v>
      </c>
      <c r="T128">
        <f t="shared" ref="T128" si="619">S128/1000</f>
        <v>0.49593817048047589</v>
      </c>
    </row>
    <row r="129" spans="1:20" x14ac:dyDescent="0.25">
      <c r="A129" s="5">
        <v>44464</v>
      </c>
      <c r="B129">
        <v>0.90329999999999999</v>
      </c>
      <c r="C129">
        <v>0.92300000000000004</v>
      </c>
      <c r="D129">
        <v>0.86580000000000001</v>
      </c>
      <c r="E129">
        <v>0.91</v>
      </c>
      <c r="F129">
        <v>5315826</v>
      </c>
      <c r="G129">
        <v>0.91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0.5454545454545453</v>
      </c>
      <c r="Q129">
        <f t="shared" ref="Q129" si="621">F129*P129</f>
        <v>2899541.4545454537</v>
      </c>
      <c r="R129">
        <f t="shared" ref="R129" si="622">R130+Q129</f>
        <v>46961147.995026149</v>
      </c>
      <c r="S129">
        <f t="shared" ref="S129" si="623">R129/100000</f>
        <v>469.61147995026147</v>
      </c>
      <c r="T129">
        <f t="shared" ref="T129" si="624">S129/1000</f>
        <v>0.46961147995026148</v>
      </c>
    </row>
    <row r="130" spans="1:20" x14ac:dyDescent="0.25">
      <c r="A130" s="5">
        <v>44463</v>
      </c>
      <c r="B130">
        <v>1.0077</v>
      </c>
      <c r="C130">
        <v>1.0138</v>
      </c>
      <c r="D130">
        <v>0.86309999999999998</v>
      </c>
      <c r="E130">
        <v>0.90410000000000001</v>
      </c>
      <c r="F130">
        <v>8210905</v>
      </c>
      <c r="G130">
        <v>0.90410000000000001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-0.45587259455872564</v>
      </c>
      <c r="Q130">
        <f t="shared" ref="Q130" si="626">F130*P130</f>
        <v>-3743126.5660252133</v>
      </c>
      <c r="R130">
        <f t="shared" ref="R130" si="627">R131+Q130</f>
        <v>44061606.540480696</v>
      </c>
      <c r="S130">
        <f t="shared" ref="S130" si="628">R130/100000</f>
        <v>440.61606540480693</v>
      </c>
      <c r="T130">
        <f t="shared" ref="T130" si="629">S130/1000</f>
        <v>0.44061606540480691</v>
      </c>
    </row>
    <row r="131" spans="1:20" x14ac:dyDescent="0.25">
      <c r="A131" s="5">
        <v>44462</v>
      </c>
      <c r="B131">
        <v>1.0086999999999999</v>
      </c>
      <c r="C131">
        <v>1.0327999999999999</v>
      </c>
      <c r="D131">
        <v>0.9647</v>
      </c>
      <c r="E131">
        <v>1.0078</v>
      </c>
      <c r="F131">
        <v>6317845</v>
      </c>
      <c r="G131">
        <v>1.0078</v>
      </c>
      <c r="L131" t="s">
        <v>7</v>
      </c>
      <c r="M131" t="s">
        <v>7</v>
      </c>
      <c r="N131" t="s">
        <v>7</v>
      </c>
      <c r="P131">
        <f t="shared" ref="P131" si="630">IF(C131=D131,0,((E131-D131)-(C131-E131))/(C131-D131))</f>
        <v>0.26578560939794615</v>
      </c>
      <c r="Q131">
        <f t="shared" ref="Q131" si="631">F131*P131</f>
        <v>1679192.2834067671</v>
      </c>
      <c r="R131">
        <f t="shared" ref="R131" si="632">R132+Q131</f>
        <v>47804733.106505908</v>
      </c>
      <c r="S131">
        <f t="shared" ref="S131" si="633">R131/100000</f>
        <v>478.0473310650591</v>
      </c>
      <c r="T131">
        <f t="shared" ref="T131" si="634">S131/1000</f>
        <v>0.47804733106505909</v>
      </c>
    </row>
    <row r="132" spans="1:20" x14ac:dyDescent="0.25">
      <c r="A132" s="5">
        <v>44461</v>
      </c>
      <c r="B132">
        <v>0.89380000000000004</v>
      </c>
      <c r="C132">
        <v>1.0491999999999999</v>
      </c>
      <c r="D132">
        <v>0.87770000000000004</v>
      </c>
      <c r="E132">
        <v>1.0084</v>
      </c>
      <c r="F132">
        <v>7073294</v>
      </c>
      <c r="G132">
        <v>1.0084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0.52419825072886328</v>
      </c>
      <c r="Q132">
        <f t="shared" ref="Q132" si="636">F132*P132</f>
        <v>3707808.3416909641</v>
      </c>
      <c r="R132">
        <f t="shared" ref="R132" si="637">R133+Q132</f>
        <v>46125540.823099144</v>
      </c>
      <c r="S132">
        <f t="shared" ref="S132" si="638">R132/100000</f>
        <v>461.25540823099146</v>
      </c>
      <c r="T132">
        <f t="shared" ref="T132" si="639">S132/1000</f>
        <v>0.46125540823099148</v>
      </c>
    </row>
    <row r="133" spans="1:20" x14ac:dyDescent="0.25">
      <c r="A133" s="5">
        <v>44460</v>
      </c>
      <c r="B133">
        <v>0.97289999999999999</v>
      </c>
      <c r="C133">
        <v>1.0327999999999999</v>
      </c>
      <c r="D133">
        <v>0.871</v>
      </c>
      <c r="E133">
        <v>0.89549999999999996</v>
      </c>
      <c r="F133">
        <v>6273890.8899999997</v>
      </c>
      <c r="G133">
        <v>0.89549999999999996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-0.69715698393077907</v>
      </c>
      <c r="Q133">
        <f t="shared" ref="Q133" si="641">F133*P133</f>
        <v>-4373886.8503831914</v>
      </c>
      <c r="R133">
        <f t="shared" ref="R133" si="642">R134+Q133</f>
        <v>42417732.481408179</v>
      </c>
      <c r="S133">
        <f t="shared" ref="S133" si="643">R133/100000</f>
        <v>424.17732481408177</v>
      </c>
      <c r="T133">
        <f t="shared" ref="T133" si="644">S133/1000</f>
        <v>0.42417732481408177</v>
      </c>
    </row>
    <row r="134" spans="1:20" x14ac:dyDescent="0.25">
      <c r="A134" s="5">
        <v>44459</v>
      </c>
      <c r="B134">
        <v>1.1535</v>
      </c>
      <c r="C134">
        <v>1.1599999999999999</v>
      </c>
      <c r="D134">
        <v>1.0167999999999999</v>
      </c>
      <c r="E134">
        <v>1.0474000000000001</v>
      </c>
      <c r="F134">
        <v>5104691</v>
      </c>
      <c r="G134">
        <v>1.0474000000000001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-0.57262569832401977</v>
      </c>
      <c r="Q134">
        <f t="shared" ref="Q134" si="646">F134*P134</f>
        <v>-2923077.2486033388</v>
      </c>
      <c r="R134">
        <f t="shared" ref="R134" si="647">R135+Q134</f>
        <v>46791619.331791371</v>
      </c>
      <c r="S134">
        <f t="shared" ref="S134" si="648">R134/100000</f>
        <v>467.91619331791372</v>
      </c>
      <c r="T134">
        <f t="shared" ref="T134" si="649">S134/1000</f>
        <v>0.46791619331791373</v>
      </c>
    </row>
    <row r="135" spans="1:20" x14ac:dyDescent="0.25">
      <c r="A135" s="5">
        <v>44458</v>
      </c>
      <c r="B135">
        <v>1.1867000000000001</v>
      </c>
      <c r="C135">
        <v>1.21</v>
      </c>
      <c r="D135">
        <v>1.1312</v>
      </c>
      <c r="E135">
        <v>1.1541999999999999</v>
      </c>
      <c r="F135">
        <v>5143086</v>
      </c>
      <c r="G135">
        <v>1.1541999999999999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-0.41624365482233716</v>
      </c>
      <c r="Q135">
        <f t="shared" ref="Q135" si="651">F135*P135</f>
        <v>-2140776.9137055948</v>
      </c>
      <c r="R135">
        <f t="shared" ref="R135" si="652">R136+Q135</f>
        <v>49714696.580394708</v>
      </c>
      <c r="S135">
        <f t="shared" ref="S135" si="653">R135/100000</f>
        <v>497.14696580394707</v>
      </c>
      <c r="T135">
        <f t="shared" ref="T135" si="654">S135/1000</f>
        <v>0.49714696580394707</v>
      </c>
    </row>
    <row r="136" spans="1:20" x14ac:dyDescent="0.25">
      <c r="A136" s="5">
        <v>44457</v>
      </c>
      <c r="B136">
        <v>1.1512</v>
      </c>
      <c r="C136">
        <v>1.25</v>
      </c>
      <c r="D136">
        <v>1.1231</v>
      </c>
      <c r="E136">
        <v>1.1863999999999999</v>
      </c>
      <c r="F136">
        <v>5467815</v>
      </c>
      <c r="G136">
        <v>1.1863999999999999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-2.3640661938549171E-3</v>
      </c>
      <c r="Q136">
        <f t="shared" ref="Q136" si="656">F136*P136</f>
        <v>-12926.276595752823</v>
      </c>
      <c r="R136">
        <f t="shared" ref="R136" si="657">R137+Q136</f>
        <v>51855473.494100302</v>
      </c>
      <c r="S136">
        <f t="shared" ref="S136" si="658">R136/100000</f>
        <v>518.55473494100306</v>
      </c>
      <c r="T136">
        <f t="shared" ref="T136" si="659">S136/1000</f>
        <v>0.51855473494100301</v>
      </c>
    </row>
    <row r="137" spans="1:20" x14ac:dyDescent="0.25">
      <c r="A137" s="5">
        <v>44456</v>
      </c>
      <c r="B137">
        <v>1.2239</v>
      </c>
      <c r="C137">
        <v>1.2347999999999999</v>
      </c>
      <c r="D137">
        <v>1.1373</v>
      </c>
      <c r="E137">
        <v>1.1474</v>
      </c>
      <c r="F137">
        <v>4451640</v>
      </c>
      <c r="G137">
        <v>1.1474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-0.79282051282051269</v>
      </c>
      <c r="Q137">
        <f t="shared" ref="Q137" si="661">F137*P137</f>
        <v>-3529351.5076923072</v>
      </c>
      <c r="R137">
        <f t="shared" ref="R137" si="662">R138+Q137</f>
        <v>51868399.770696059</v>
      </c>
      <c r="S137">
        <f t="shared" ref="S137" si="663">R137/100000</f>
        <v>518.68399770696055</v>
      </c>
      <c r="T137">
        <f t="shared" ref="T137" si="664">S137/1000</f>
        <v>0.51868399770696061</v>
      </c>
    </row>
    <row r="138" spans="1:20" x14ac:dyDescent="0.25">
      <c r="A138" s="5">
        <v>44455</v>
      </c>
      <c r="B138">
        <v>1.2</v>
      </c>
      <c r="C138">
        <v>1.2781</v>
      </c>
      <c r="D138">
        <v>1.1552</v>
      </c>
      <c r="E138">
        <v>1.2251000000000001</v>
      </c>
      <c r="F138">
        <v>7838411</v>
      </c>
      <c r="G138">
        <v>1.2251000000000001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0.13751017087062764</v>
      </c>
      <c r="Q138">
        <f t="shared" ref="Q138" si="666">F138*P138</f>
        <v>1077861.2359642072</v>
      </c>
      <c r="R138">
        <f t="shared" ref="R138" si="667">R139+Q138</f>
        <v>55397751.278388366</v>
      </c>
      <c r="S138">
        <f t="shared" ref="S138" si="668">R138/100000</f>
        <v>553.97751278388364</v>
      </c>
      <c r="T138">
        <f t="shared" ref="T138" si="669">S138/1000</f>
        <v>0.55397751278388363</v>
      </c>
    </row>
    <row r="139" spans="1:20" x14ac:dyDescent="0.25">
      <c r="A139" s="5">
        <v>44454</v>
      </c>
      <c r="B139">
        <v>1.2024999999999999</v>
      </c>
      <c r="C139">
        <v>1.23</v>
      </c>
      <c r="D139">
        <v>1.1660999999999999</v>
      </c>
      <c r="E139">
        <v>1.1983999999999999</v>
      </c>
      <c r="F139">
        <v>5613323</v>
      </c>
      <c r="G139">
        <v>1.1983999999999999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1.0954616588418188E-2</v>
      </c>
      <c r="Q139">
        <f t="shared" ref="Q139" si="671">F139*P139</f>
        <v>61491.80125194935</v>
      </c>
      <c r="R139">
        <f t="shared" ref="R139" si="672">R140+Q139</f>
        <v>54319890.042424157</v>
      </c>
      <c r="S139">
        <f t="shared" ref="S139" si="673">R139/100000</f>
        <v>543.19890042424163</v>
      </c>
      <c r="T139">
        <f t="shared" ref="T139" si="674">S139/1000</f>
        <v>0.54319890042424168</v>
      </c>
    </row>
    <row r="140" spans="1:20" x14ac:dyDescent="0.25">
      <c r="A140" s="5">
        <v>44453</v>
      </c>
      <c r="B140">
        <v>1.0896999999999999</v>
      </c>
      <c r="C140">
        <v>1.2355</v>
      </c>
      <c r="D140">
        <v>1.081</v>
      </c>
      <c r="E140">
        <v>1.2001999999999999</v>
      </c>
      <c r="F140">
        <v>7217682</v>
      </c>
      <c r="G140">
        <v>1.2001999999999999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0.54304207119740988</v>
      </c>
      <c r="Q140">
        <f t="shared" ref="Q140" si="676">F140*P140</f>
        <v>3919504.9825242637</v>
      </c>
      <c r="R140">
        <f t="shared" ref="R140" si="677">R141+Q140</f>
        <v>54258398.241172209</v>
      </c>
      <c r="S140">
        <f t="shared" ref="S140" si="678">R140/100000</f>
        <v>542.5839824117221</v>
      </c>
      <c r="T140">
        <f t="shared" ref="T140" si="679">S140/1000</f>
        <v>0.54258398241172212</v>
      </c>
    </row>
    <row r="141" spans="1:20" x14ac:dyDescent="0.25">
      <c r="A141" s="5">
        <v>44452</v>
      </c>
      <c r="B141">
        <v>1.1935</v>
      </c>
      <c r="C141">
        <v>1.2038</v>
      </c>
      <c r="D141">
        <v>1.0539000000000001</v>
      </c>
      <c r="E141">
        <v>1.0895999999999999</v>
      </c>
      <c r="F141">
        <v>6597215</v>
      </c>
      <c r="G141">
        <v>1.0895999999999999</v>
      </c>
      <c r="L141" t="s">
        <v>7</v>
      </c>
      <c r="M141" t="s">
        <v>8</v>
      </c>
      <c r="N141" t="s">
        <v>8</v>
      </c>
      <c r="P141">
        <f t="shared" ref="P141" si="680">IF(C141=D141,0,((E141-D141)-(C141-E141))/(C141-D141))</f>
        <v>-0.52368245496998178</v>
      </c>
      <c r="Q141">
        <f t="shared" ref="Q141" si="681">F141*P141</f>
        <v>-3454845.7471647882</v>
      </c>
      <c r="R141">
        <f t="shared" ref="R141" si="682">R142+Q141</f>
        <v>50338893.258647949</v>
      </c>
      <c r="S141">
        <f t="shared" ref="S141" si="683">R141/100000</f>
        <v>503.38893258647948</v>
      </c>
      <c r="T141">
        <f t="shared" ref="T141" si="684">S141/1000</f>
        <v>0.50338893258647943</v>
      </c>
    </row>
    <row r="142" spans="1:20" x14ac:dyDescent="0.25">
      <c r="A142" s="5">
        <v>44451</v>
      </c>
      <c r="B142">
        <v>1.0992999999999999</v>
      </c>
      <c r="C142">
        <v>1.2335</v>
      </c>
      <c r="D142">
        <v>1.0676000000000001</v>
      </c>
      <c r="E142">
        <v>1.1938</v>
      </c>
      <c r="F142">
        <v>9239909</v>
      </c>
      <c r="G142">
        <v>1.1938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0.52139843279083686</v>
      </c>
      <c r="Q142">
        <f t="shared" ref="Q142" si="686">F142*P142</f>
        <v>4817674.0717299487</v>
      </c>
      <c r="R142">
        <f t="shared" ref="R142" si="687">R143+Q142</f>
        <v>53793739.005812734</v>
      </c>
      <c r="S142">
        <f t="shared" ref="S142" si="688">R142/100000</f>
        <v>537.93739005812733</v>
      </c>
      <c r="T142">
        <f t="shared" ref="T142" si="689">S142/1000</f>
        <v>0.53793739005812735</v>
      </c>
    </row>
    <row r="143" spans="1:20" x14ac:dyDescent="0.25">
      <c r="A143" s="5">
        <v>44450</v>
      </c>
      <c r="B143">
        <v>1.1146</v>
      </c>
      <c r="C143">
        <v>1.1534</v>
      </c>
      <c r="D143">
        <v>1.0833999999999999</v>
      </c>
      <c r="E143">
        <v>1.0991</v>
      </c>
      <c r="F143">
        <v>3736121</v>
      </c>
      <c r="G143">
        <v>1.0991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-0.55142857142857049</v>
      </c>
      <c r="Q143">
        <f t="shared" ref="Q143" si="691">F143*P143</f>
        <v>-2060203.8657142823</v>
      </c>
      <c r="R143">
        <f t="shared" ref="R143" si="692">R144+Q143</f>
        <v>48976064.934082784</v>
      </c>
      <c r="S143">
        <f t="shared" ref="S143" si="693">R143/100000</f>
        <v>489.76064934082785</v>
      </c>
      <c r="T143">
        <f t="shared" ref="T143" si="694">S143/1000</f>
        <v>0.48976064934082786</v>
      </c>
    </row>
    <row r="144" spans="1:20" x14ac:dyDescent="0.25">
      <c r="A144" s="5">
        <v>44449</v>
      </c>
      <c r="B144">
        <v>1.1476999999999999</v>
      </c>
      <c r="C144">
        <v>1.2118</v>
      </c>
      <c r="D144">
        <v>1.0615000000000001</v>
      </c>
      <c r="E144">
        <v>1.1142000000000001</v>
      </c>
      <c r="F144">
        <v>10190058</v>
      </c>
      <c r="G144">
        <v>1.1142000000000001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-0.29873586161011295</v>
      </c>
      <c r="Q144">
        <f t="shared" ref="Q144" si="696">F144*P144</f>
        <v>-3044135.7564870245</v>
      </c>
      <c r="R144">
        <f t="shared" ref="R144" si="697">R145+Q144</f>
        <v>51036268.799797066</v>
      </c>
      <c r="S144">
        <f t="shared" ref="S144" si="698">R144/100000</f>
        <v>510.36268799797068</v>
      </c>
      <c r="T144">
        <f t="shared" ref="T144" si="699">S144/1000</f>
        <v>0.51036268799797069</v>
      </c>
    </row>
    <row r="145" spans="1:20" x14ac:dyDescent="0.25">
      <c r="A145" s="5">
        <v>44448</v>
      </c>
      <c r="B145">
        <v>1.1499999999999999</v>
      </c>
      <c r="C145">
        <v>1.2118</v>
      </c>
      <c r="D145">
        <v>1.1029</v>
      </c>
      <c r="E145">
        <v>1.147</v>
      </c>
      <c r="F145">
        <v>11587446</v>
      </c>
      <c r="G145">
        <v>1.147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-0.19008264462809862</v>
      </c>
      <c r="Q145">
        <f t="shared" ref="Q145" si="701">F145*P145</f>
        <v>-2202572.3801652831</v>
      </c>
      <c r="R145">
        <f t="shared" ref="R145" si="702">R146+Q145</f>
        <v>54080404.556284092</v>
      </c>
      <c r="S145">
        <f t="shared" ref="S145" si="703">R145/100000</f>
        <v>540.80404556284088</v>
      </c>
      <c r="T145">
        <f t="shared" ref="T145" si="704">S145/1000</f>
        <v>0.5408040455628409</v>
      </c>
    </row>
    <row r="146" spans="1:20" x14ac:dyDescent="0.25">
      <c r="A146" s="5">
        <v>44447</v>
      </c>
      <c r="B146">
        <v>1.1698</v>
      </c>
      <c r="C146">
        <v>1.2060999999999999</v>
      </c>
      <c r="D146">
        <v>1.0418000000000001</v>
      </c>
      <c r="E146">
        <v>1.1489</v>
      </c>
      <c r="F146">
        <v>10896675</v>
      </c>
      <c r="G146">
        <v>1.1489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0.30371272063298899</v>
      </c>
      <c r="Q146">
        <f t="shared" ref="Q146" si="706">F146*P146</f>
        <v>3309458.8101034751</v>
      </c>
      <c r="R146">
        <f t="shared" ref="R146" si="707">R147+Q146</f>
        <v>56282976.936449379</v>
      </c>
      <c r="S146">
        <f t="shared" ref="S146" si="708">R146/100000</f>
        <v>562.82976936449381</v>
      </c>
      <c r="T146">
        <f t="shared" ref="T146" si="709">S146/1000</f>
        <v>0.5628297693644938</v>
      </c>
    </row>
    <row r="147" spans="1:20" x14ac:dyDescent="0.25">
      <c r="A147" s="5">
        <v>44446</v>
      </c>
      <c r="B147">
        <v>1.5265</v>
      </c>
      <c r="C147">
        <v>1.58</v>
      </c>
      <c r="D147">
        <v>0.9</v>
      </c>
      <c r="E147">
        <v>1.1687000000000001</v>
      </c>
      <c r="F147">
        <v>23308499.050000001</v>
      </c>
      <c r="G147">
        <v>1.1687000000000001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-0.20970588235294108</v>
      </c>
      <c r="Q147">
        <f t="shared" ref="Q147" si="711">F147*P147</f>
        <v>-4887929.3596029393</v>
      </c>
      <c r="R147">
        <f t="shared" ref="R147" si="712">R148+Q147</f>
        <v>52973518.126345903</v>
      </c>
      <c r="S147">
        <f t="shared" ref="S147" si="713">R147/100000</f>
        <v>529.73518126345903</v>
      </c>
      <c r="T147">
        <f t="shared" ref="T147" si="714">S147/1000</f>
        <v>0.52973518126345898</v>
      </c>
    </row>
    <row r="148" spans="1:20" x14ac:dyDescent="0.25">
      <c r="A148" s="5">
        <v>44445</v>
      </c>
      <c r="B148">
        <v>1.6073</v>
      </c>
      <c r="C148">
        <v>1.68</v>
      </c>
      <c r="D148">
        <v>1.4000999999999999</v>
      </c>
      <c r="E148">
        <v>1.5266</v>
      </c>
      <c r="F148">
        <v>11222946.960000001</v>
      </c>
      <c r="G148">
        <v>1.5266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-9.6105752054304827E-2</v>
      </c>
      <c r="Q148">
        <f t="shared" ref="Q148" si="716">F148*P148</f>
        <v>-1078589.7578563741</v>
      </c>
      <c r="R148">
        <f t="shared" ref="R148" si="717">R149+Q148</f>
        <v>57861447.485948846</v>
      </c>
      <c r="S148">
        <f t="shared" ref="S148" si="718">R148/100000</f>
        <v>578.6144748594885</v>
      </c>
      <c r="T148">
        <f t="shared" ref="T148" si="719">S148/1000</f>
        <v>0.57861447485948847</v>
      </c>
    </row>
    <row r="149" spans="1:20" x14ac:dyDescent="0.25">
      <c r="A149" s="5">
        <v>44444</v>
      </c>
      <c r="B149">
        <v>1.5599000000000001</v>
      </c>
      <c r="C149">
        <v>1.62</v>
      </c>
      <c r="D149">
        <v>1.5387</v>
      </c>
      <c r="E149">
        <v>1.6071</v>
      </c>
      <c r="F149">
        <v>5809191</v>
      </c>
      <c r="G149">
        <v>1.6071</v>
      </c>
      <c r="L149" t="s">
        <v>8</v>
      </c>
      <c r="M149" t="s">
        <v>7</v>
      </c>
      <c r="N149" t="s">
        <v>8</v>
      </c>
      <c r="P149">
        <f t="shared" ref="P149" si="720">IF(C149=D149,0,((E149-D149)-(C149-E149))/(C149-D149))</f>
        <v>0.68265682656826299</v>
      </c>
      <c r="Q149">
        <f t="shared" ref="Q149" si="721">F149*P149</f>
        <v>3965683.8929889142</v>
      </c>
      <c r="R149">
        <f t="shared" ref="R149" si="722">R150+Q149</f>
        <v>58940037.243805222</v>
      </c>
      <c r="S149">
        <f t="shared" ref="S149" si="723">R149/100000</f>
        <v>589.40037243805227</v>
      </c>
      <c r="T149">
        <f t="shared" ref="T149" si="724">S149/1000</f>
        <v>0.58940037243805232</v>
      </c>
    </row>
    <row r="150" spans="1:20" x14ac:dyDescent="0.25">
      <c r="A150" s="5">
        <v>44443</v>
      </c>
      <c r="B150">
        <v>1.56</v>
      </c>
      <c r="C150">
        <v>1.63</v>
      </c>
      <c r="D150">
        <v>1.5394000000000001</v>
      </c>
      <c r="E150">
        <v>1.5590999999999999</v>
      </c>
      <c r="F150">
        <v>6209682</v>
      </c>
      <c r="G150">
        <v>1.5590999999999999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-0.56512141280353478</v>
      </c>
      <c r="Q150">
        <f t="shared" ref="Q150" si="726">F150*P150</f>
        <v>-3509224.2649006797</v>
      </c>
      <c r="R150">
        <f t="shared" ref="R150" si="727">R151+Q150</f>
        <v>54974353.350816309</v>
      </c>
      <c r="S150">
        <f t="shared" ref="S150" si="728">R150/100000</f>
        <v>549.74353350816307</v>
      </c>
      <c r="T150">
        <f t="shared" ref="T150" si="729">S150/1000</f>
        <v>0.54974353350816307</v>
      </c>
    </row>
    <row r="151" spans="1:20" x14ac:dyDescent="0.25">
      <c r="A151" s="5">
        <v>44442</v>
      </c>
      <c r="B151">
        <v>1.5664</v>
      </c>
      <c r="C151">
        <v>1.589</v>
      </c>
      <c r="D151">
        <v>1.5232000000000001</v>
      </c>
      <c r="E151">
        <v>1.5592999999999999</v>
      </c>
      <c r="F151">
        <v>4411052</v>
      </c>
      <c r="G151">
        <v>1.5592999999999999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9.7264437689965857E-2</v>
      </c>
      <c r="Q151">
        <f t="shared" ref="Q151" si="731">F151*P151</f>
        <v>429038.4924011993</v>
      </c>
      <c r="R151">
        <f t="shared" ref="R151" si="732">R152+Q151</f>
        <v>58483577.615716986</v>
      </c>
      <c r="S151">
        <f t="shared" ref="S151" si="733">R151/100000</f>
        <v>584.8357761571699</v>
      </c>
      <c r="T151">
        <f t="shared" ref="T151" si="734">S151/1000</f>
        <v>0.58483577615716986</v>
      </c>
    </row>
    <row r="152" spans="1:20" x14ac:dyDescent="0.25">
      <c r="A152" s="5">
        <v>44441</v>
      </c>
      <c r="B152">
        <v>1.5799000000000001</v>
      </c>
      <c r="C152">
        <v>1.6076999999999999</v>
      </c>
      <c r="D152">
        <v>1.5223</v>
      </c>
      <c r="E152">
        <v>1.5663</v>
      </c>
      <c r="F152">
        <v>7850680</v>
      </c>
      <c r="G152">
        <v>1.5663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3.0444964871196255E-2</v>
      </c>
      <c r="Q152">
        <f t="shared" ref="Q152" si="736">F152*P152</f>
        <v>239013.67681500301</v>
      </c>
      <c r="R152">
        <f t="shared" ref="R152" si="737">R153+Q152</f>
        <v>58054539.123315789</v>
      </c>
      <c r="S152">
        <f t="shared" ref="S152" si="738">R152/100000</f>
        <v>580.54539123315794</v>
      </c>
      <c r="T152">
        <f t="shared" ref="T152" si="739">S152/1000</f>
        <v>0.58054539123315796</v>
      </c>
    </row>
    <row r="153" spans="1:20" x14ac:dyDescent="0.25">
      <c r="A153" s="5">
        <v>44440</v>
      </c>
      <c r="B153">
        <v>1.5297000000000001</v>
      </c>
      <c r="C153">
        <v>1.5879000000000001</v>
      </c>
      <c r="D153">
        <v>1.4723999999999999</v>
      </c>
      <c r="E153">
        <v>1.5812999999999999</v>
      </c>
      <c r="F153">
        <v>7355614</v>
      </c>
      <c r="G153">
        <v>1.5812999999999999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0.88571428571428312</v>
      </c>
      <c r="Q153">
        <f t="shared" ref="Q153" si="741">F153*P153</f>
        <v>6514972.3999999808</v>
      </c>
      <c r="R153">
        <f t="shared" ref="R153" si="742">R154+Q153</f>
        <v>57815525.446500786</v>
      </c>
      <c r="S153">
        <f t="shared" ref="S153" si="743">R153/100000</f>
        <v>578.15525446500783</v>
      </c>
      <c r="T153">
        <f t="shared" ref="T153" si="744">S153/1000</f>
        <v>0.57815525446500782</v>
      </c>
    </row>
    <row r="154" spans="1:20" x14ac:dyDescent="0.25">
      <c r="A154" s="5">
        <v>44439</v>
      </c>
      <c r="B154">
        <v>1.5264</v>
      </c>
      <c r="C154">
        <v>1.5968</v>
      </c>
      <c r="D154">
        <v>1.4985999999999999</v>
      </c>
      <c r="E154">
        <v>1.5327</v>
      </c>
      <c r="F154">
        <v>5688304</v>
      </c>
      <c r="G154">
        <v>1.5327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-0.30549898167006118</v>
      </c>
      <c r="Q154">
        <f t="shared" ref="Q154" si="746">F154*P154</f>
        <v>-1737771.0794297357</v>
      </c>
      <c r="R154">
        <f t="shared" ref="R154" si="747">R155+Q154</f>
        <v>51300553.046500802</v>
      </c>
      <c r="S154">
        <f t="shared" ref="S154" si="748">R154/100000</f>
        <v>513.00553046500806</v>
      </c>
      <c r="T154">
        <f t="shared" ref="T154" si="749">S154/1000</f>
        <v>0.51300553046500807</v>
      </c>
    </row>
    <row r="155" spans="1:20" x14ac:dyDescent="0.25">
      <c r="A155" s="5">
        <v>44438</v>
      </c>
      <c r="B155">
        <v>1.6577</v>
      </c>
      <c r="C155">
        <v>1.6635</v>
      </c>
      <c r="D155">
        <v>1.5128999999999999</v>
      </c>
      <c r="E155">
        <v>1.5267999999999999</v>
      </c>
      <c r="F155">
        <v>8680804</v>
      </c>
      <c r="G155">
        <v>1.5267999999999999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-0.81540504648074341</v>
      </c>
      <c r="Q155">
        <f t="shared" ref="Q155" si="751">F155*P155</f>
        <v>-7078371.3891102234</v>
      </c>
      <c r="R155">
        <f t="shared" ref="R155" si="752">R156+Q155</f>
        <v>53038324.12593054</v>
      </c>
      <c r="S155">
        <f t="shared" ref="S155" si="753">R155/100000</f>
        <v>530.38324125930535</v>
      </c>
      <c r="T155">
        <f t="shared" ref="T155" si="754">S155/1000</f>
        <v>0.53038324125930536</v>
      </c>
    </row>
    <row r="156" spans="1:20" x14ac:dyDescent="0.25">
      <c r="A156" s="5">
        <v>44437</v>
      </c>
      <c r="B156">
        <v>1.6600999999999999</v>
      </c>
      <c r="C156">
        <v>1.694</v>
      </c>
      <c r="D156">
        <v>1.6222000000000001</v>
      </c>
      <c r="E156">
        <v>1.6577</v>
      </c>
      <c r="F156">
        <v>3789043</v>
      </c>
      <c r="G156">
        <v>1.6577</v>
      </c>
      <c r="L156" t="s">
        <v>7</v>
      </c>
      <c r="M156" t="s">
        <v>8</v>
      </c>
      <c r="N156" t="s">
        <v>8</v>
      </c>
      <c r="P156">
        <f t="shared" ref="P156" si="755">IF(C156=D156,0,((E156-D156)-(C156-E156))/(C156-D156))</f>
        <v>-1.1142061281338933E-2</v>
      </c>
      <c r="Q156">
        <f t="shared" ref="Q156" si="756">F156*P156</f>
        <v>-42217.749303628312</v>
      </c>
      <c r="R156">
        <f t="shared" ref="R156" si="757">R157+Q156</f>
        <v>60116695.515040763</v>
      </c>
      <c r="S156">
        <f t="shared" ref="S156" si="758">R156/100000</f>
        <v>601.1669551504076</v>
      </c>
      <c r="T156">
        <f t="shared" ref="T156" si="759">S156/1000</f>
        <v>0.60116695515040763</v>
      </c>
    </row>
    <row r="157" spans="1:20" x14ac:dyDescent="0.25">
      <c r="A157" s="5">
        <v>44436</v>
      </c>
      <c r="B157">
        <v>1.7101</v>
      </c>
      <c r="C157">
        <v>1.7727999999999999</v>
      </c>
      <c r="D157">
        <v>1.6329</v>
      </c>
      <c r="E157">
        <v>1.6597999999999999</v>
      </c>
      <c r="F157">
        <v>6776402.7999999998</v>
      </c>
      <c r="G157">
        <v>1.6597999999999999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-0.61543959971408235</v>
      </c>
      <c r="Q157">
        <f t="shared" ref="Q157" si="761">F157*P157</f>
        <v>-4170466.6267333869</v>
      </c>
      <c r="R157">
        <f t="shared" ref="R157" si="762">R158+Q157</f>
        <v>60158913.264344394</v>
      </c>
      <c r="S157">
        <f t="shared" ref="S157" si="763">R157/100000</f>
        <v>601.58913264344392</v>
      </c>
      <c r="T157">
        <f t="shared" ref="T157" si="764">S157/1000</f>
        <v>0.60158913264344394</v>
      </c>
    </row>
    <row r="158" spans="1:20" x14ac:dyDescent="0.25">
      <c r="A158" s="5">
        <v>44435</v>
      </c>
      <c r="B158">
        <v>1.6647000000000001</v>
      </c>
      <c r="C158">
        <v>1.768</v>
      </c>
      <c r="D158">
        <v>1.5915999999999999</v>
      </c>
      <c r="E158">
        <v>1.7094</v>
      </c>
      <c r="F158">
        <v>16657750.949999999</v>
      </c>
      <c r="G158">
        <v>1.7094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0.33560090702947903</v>
      </c>
      <c r="Q158">
        <f t="shared" ref="Q158" si="766">F158*P158</f>
        <v>5590356.3278911654</v>
      </c>
      <c r="R158">
        <f t="shared" ref="R158" si="767">R159+Q158</f>
        <v>64329379.891077779</v>
      </c>
      <c r="S158">
        <f t="shared" ref="S158" si="768">R158/100000</f>
        <v>643.29379891077781</v>
      </c>
      <c r="T158">
        <f t="shared" ref="T158" si="769">S158/1000</f>
        <v>0.64329379891077776</v>
      </c>
    </row>
    <row r="159" spans="1:20" x14ac:dyDescent="0.25">
      <c r="A159" s="5">
        <v>44434</v>
      </c>
      <c r="B159">
        <v>1.6137999999999999</v>
      </c>
      <c r="C159">
        <v>1.7291000000000001</v>
      </c>
      <c r="D159">
        <v>1.4545999999999999</v>
      </c>
      <c r="E159">
        <v>1.6634</v>
      </c>
      <c r="F159">
        <v>18244110.100000001</v>
      </c>
      <c r="G159">
        <v>1.6634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0.52131147540983569</v>
      </c>
      <c r="Q159">
        <f t="shared" ref="Q159" si="771">F159*P159</f>
        <v>9510863.9537704866</v>
      </c>
      <c r="R159">
        <f t="shared" ref="R159" si="772">R160+Q159</f>
        <v>58739023.563186616</v>
      </c>
      <c r="S159">
        <f t="shared" ref="S159" si="773">R159/100000</f>
        <v>587.39023563186618</v>
      </c>
      <c r="T159">
        <f t="shared" ref="T159" si="774">S159/1000</f>
        <v>0.58739023563186621</v>
      </c>
    </row>
    <row r="160" spans="1:20" x14ac:dyDescent="0.25">
      <c r="A160" s="5">
        <v>44433</v>
      </c>
      <c r="B160">
        <v>1.4052</v>
      </c>
      <c r="C160">
        <v>1.69</v>
      </c>
      <c r="D160">
        <v>1.4037999999999999</v>
      </c>
      <c r="E160">
        <v>1.6131</v>
      </c>
      <c r="F160">
        <v>23544205.870000001</v>
      </c>
      <c r="G160">
        <v>1.6131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0.46261355695317985</v>
      </c>
      <c r="Q160">
        <f t="shared" ref="Q160" si="776">F160*P160</f>
        <v>10891868.823158637</v>
      </c>
      <c r="R160">
        <f t="shared" ref="R160" si="777">R161+Q160</f>
        <v>49228159.609416127</v>
      </c>
      <c r="S160">
        <f t="shared" ref="S160" si="778">R160/100000</f>
        <v>492.28159609416127</v>
      </c>
      <c r="T160">
        <f t="shared" ref="T160" si="779">S160/1000</f>
        <v>0.49228159609416128</v>
      </c>
    </row>
    <row r="161" spans="1:20" x14ac:dyDescent="0.25">
      <c r="A161" s="5">
        <v>44432</v>
      </c>
      <c r="B161">
        <v>1.5485</v>
      </c>
      <c r="C161">
        <v>1.5785</v>
      </c>
      <c r="D161">
        <v>1.3711</v>
      </c>
      <c r="E161">
        <v>1.405</v>
      </c>
      <c r="F161">
        <v>8119212.4800000004</v>
      </c>
      <c r="G161">
        <v>1.405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-0.67309546769527451</v>
      </c>
      <c r="Q161">
        <f t="shared" ref="Q161" si="781">F161*P161</f>
        <v>-5465005.1215429101</v>
      </c>
      <c r="R161">
        <f t="shared" ref="R161" si="782">R162+Q161</f>
        <v>38336290.786257491</v>
      </c>
      <c r="S161">
        <f t="shared" ref="S161" si="783">R161/100000</f>
        <v>383.3629078625749</v>
      </c>
      <c r="T161">
        <f t="shared" ref="T161" si="784">S161/1000</f>
        <v>0.38336290786257488</v>
      </c>
    </row>
    <row r="162" spans="1:20" x14ac:dyDescent="0.25">
      <c r="A162" s="5">
        <v>44431</v>
      </c>
      <c r="B162">
        <v>1.3973</v>
      </c>
      <c r="C162">
        <v>1.6</v>
      </c>
      <c r="D162">
        <v>1.3858999999999999</v>
      </c>
      <c r="E162">
        <v>1.5495000000000001</v>
      </c>
      <c r="F162">
        <v>17918416.390000001</v>
      </c>
      <c r="G162">
        <v>1.5495000000000001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0.52825782344698791</v>
      </c>
      <c r="Q162">
        <f t="shared" ref="Q162" si="786">F162*P162</f>
        <v>9465543.6417982355</v>
      </c>
      <c r="R162">
        <f t="shared" ref="R162" si="787">R163+Q162</f>
        <v>43801295.907800399</v>
      </c>
      <c r="S162">
        <f t="shared" ref="S162" si="788">R162/100000</f>
        <v>438.01295907800397</v>
      </c>
      <c r="T162">
        <f t="shared" ref="T162" si="789">S162/1000</f>
        <v>0.43801295907800397</v>
      </c>
    </row>
    <row r="163" spans="1:20" x14ac:dyDescent="0.25">
      <c r="A163" s="5">
        <v>44430</v>
      </c>
      <c r="B163">
        <v>1.4016</v>
      </c>
      <c r="C163">
        <v>1.4287000000000001</v>
      </c>
      <c r="D163">
        <v>1.3789</v>
      </c>
      <c r="E163">
        <v>1.4138999999999999</v>
      </c>
      <c r="F163">
        <v>1873048.25</v>
      </c>
      <c r="G163">
        <v>1.4138999999999999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0.4056224899598343</v>
      </c>
      <c r="Q163">
        <f t="shared" ref="Q163" si="791">F163*P163</f>
        <v>759750.4949799102</v>
      </c>
      <c r="R163">
        <f t="shared" ref="R163" si="792">R164+Q163</f>
        <v>34335752.266002163</v>
      </c>
      <c r="S163">
        <f t="shared" ref="S163" si="793">R163/100000</f>
        <v>343.35752266002163</v>
      </c>
      <c r="T163">
        <f t="shared" ref="T163" si="794">S163/1000</f>
        <v>0.34335752266002162</v>
      </c>
    </row>
    <row r="164" spans="1:20" x14ac:dyDescent="0.25">
      <c r="A164" s="5">
        <v>44429</v>
      </c>
      <c r="B164">
        <v>1.4408000000000001</v>
      </c>
      <c r="C164">
        <v>1.5</v>
      </c>
      <c r="D164">
        <v>1.3907</v>
      </c>
      <c r="E164">
        <v>1.4014</v>
      </c>
      <c r="F164">
        <v>8496274.1099999994</v>
      </c>
      <c r="G164">
        <v>1.4014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-0.80420860018298379</v>
      </c>
      <c r="Q164">
        <f t="shared" ref="Q164" si="796">F164*P164</f>
        <v>-6832776.7087740256</v>
      </c>
      <c r="R164">
        <f t="shared" ref="R164" si="797">R165+Q164</f>
        <v>33576001.771022253</v>
      </c>
      <c r="S164">
        <f t="shared" ref="S164" si="798">R164/100000</f>
        <v>335.76001771022254</v>
      </c>
      <c r="T164">
        <f t="shared" ref="T164" si="799">S164/1000</f>
        <v>0.33576001771022257</v>
      </c>
    </row>
    <row r="165" spans="1:20" x14ac:dyDescent="0.25">
      <c r="A165" s="5">
        <v>44428</v>
      </c>
      <c r="B165">
        <v>1.361</v>
      </c>
      <c r="C165">
        <v>1.4558</v>
      </c>
      <c r="D165">
        <v>1.3354999999999999</v>
      </c>
      <c r="E165">
        <v>1.4408000000000001</v>
      </c>
      <c r="F165">
        <v>9904811.3100000005</v>
      </c>
      <c r="G165">
        <v>1.4408000000000001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0.75062344139651049</v>
      </c>
      <c r="Q165">
        <f t="shared" ref="Q165" si="801">F165*P165</f>
        <v>7434783.5518952794</v>
      </c>
      <c r="R165">
        <f t="shared" ref="R165" si="802">R166+Q165</f>
        <v>40408778.479796275</v>
      </c>
      <c r="S165">
        <f t="shared" ref="S165" si="803">R165/100000</f>
        <v>404.08778479796274</v>
      </c>
      <c r="T165">
        <f t="shared" ref="T165" si="804">S165/1000</f>
        <v>0.40408778479796276</v>
      </c>
    </row>
    <row r="166" spans="1:20" x14ac:dyDescent="0.25">
      <c r="A166" s="5">
        <v>44427</v>
      </c>
      <c r="B166">
        <v>1.2479</v>
      </c>
      <c r="C166">
        <v>1.4036</v>
      </c>
      <c r="D166">
        <v>1.2144999999999999</v>
      </c>
      <c r="E166">
        <v>1.3601000000000001</v>
      </c>
      <c r="F166">
        <v>11451168.77</v>
      </c>
      <c r="G166">
        <v>1.3601000000000001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0.5399259650978333</v>
      </c>
      <c r="Q166">
        <f t="shared" ref="Q166" si="806">F166*P166</f>
        <v>6182783.3496404188</v>
      </c>
      <c r="R166">
        <f t="shared" ref="R166" si="807">R167+Q166</f>
        <v>32973994.927900992</v>
      </c>
      <c r="S166">
        <f t="shared" ref="S166" si="808">R166/100000</f>
        <v>329.73994927900992</v>
      </c>
      <c r="T166">
        <f t="shared" ref="T166" si="809">S166/1000</f>
        <v>0.3297399492790099</v>
      </c>
    </row>
    <row r="167" spans="1:20" x14ac:dyDescent="0.25">
      <c r="A167" s="5">
        <v>44426</v>
      </c>
      <c r="B167">
        <v>1.2416</v>
      </c>
      <c r="C167">
        <v>1.2861</v>
      </c>
      <c r="D167">
        <v>1.157</v>
      </c>
      <c r="E167">
        <v>1.2450000000000001</v>
      </c>
      <c r="F167">
        <v>6270452.8799999999</v>
      </c>
      <c r="G167">
        <v>1.2450000000000001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0.36328427575522981</v>
      </c>
      <c r="Q167">
        <f t="shared" ref="Q167" si="811">F167*P167</f>
        <v>2277956.9331680951</v>
      </c>
      <c r="R167">
        <f t="shared" ref="R167" si="812">R168+Q167</f>
        <v>26791211.578260574</v>
      </c>
      <c r="S167">
        <f t="shared" ref="S167" si="813">R167/100000</f>
        <v>267.91211578260572</v>
      </c>
      <c r="T167">
        <f t="shared" ref="T167" si="814">S167/1000</f>
        <v>0.26791211578260571</v>
      </c>
    </row>
    <row r="168" spans="1:20" x14ac:dyDescent="0.25">
      <c r="A168" s="5">
        <v>44425</v>
      </c>
      <c r="B168">
        <v>1.3318000000000001</v>
      </c>
      <c r="C168">
        <v>1.3979999999999999</v>
      </c>
      <c r="D168">
        <v>1.206</v>
      </c>
      <c r="E168">
        <v>1.2423999999999999</v>
      </c>
      <c r="F168">
        <v>10315485.880000001</v>
      </c>
      <c r="G168">
        <v>1.2423999999999999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-0.62083333333333335</v>
      </c>
      <c r="Q168">
        <f t="shared" ref="Q168" si="816">F168*P168</f>
        <v>-6404197.4838333344</v>
      </c>
      <c r="R168">
        <f t="shared" ref="R168" si="817">R169+Q168</f>
        <v>24513254.64509248</v>
      </c>
      <c r="S168">
        <f t="shared" ref="S168" si="818">R168/100000</f>
        <v>245.13254645092479</v>
      </c>
      <c r="T168">
        <f t="shared" ref="T168" si="819">S168/1000</f>
        <v>0.2451325464509248</v>
      </c>
    </row>
    <row r="169" spans="1:20" x14ac:dyDescent="0.25">
      <c r="A169" s="5">
        <v>44424</v>
      </c>
      <c r="B169">
        <v>1.272</v>
      </c>
      <c r="C169">
        <v>1.44</v>
      </c>
      <c r="D169">
        <v>1.254</v>
      </c>
      <c r="E169">
        <v>1.3299000000000001</v>
      </c>
      <c r="F169">
        <v>12900913.800000001</v>
      </c>
      <c r="G169">
        <v>1.3299000000000001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-0.1838709677419344</v>
      </c>
      <c r="Q169">
        <f t="shared" ref="Q169" si="821">F169*P169</f>
        <v>-2372103.5051612766</v>
      </c>
      <c r="R169">
        <f t="shared" ref="R169" si="822">R170+Q169</f>
        <v>30917452.128925815</v>
      </c>
      <c r="S169">
        <f t="shared" ref="S169" si="823">R169/100000</f>
        <v>309.17452128925817</v>
      </c>
      <c r="T169">
        <f t="shared" ref="T169" si="824">S169/1000</f>
        <v>0.30917452128925815</v>
      </c>
    </row>
    <row r="170" spans="1:20" x14ac:dyDescent="0.25">
      <c r="A170" s="5">
        <v>44423</v>
      </c>
      <c r="B170">
        <v>1.2455000000000001</v>
      </c>
      <c r="C170">
        <v>1.2988999999999999</v>
      </c>
      <c r="D170">
        <v>1.2</v>
      </c>
      <c r="E170">
        <v>1.2736000000000001</v>
      </c>
      <c r="F170">
        <v>7557659.3600000003</v>
      </c>
      <c r="G170">
        <v>1.2736000000000001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0.48837209302325824</v>
      </c>
      <c r="Q170">
        <f t="shared" ref="Q170" si="826">F170*P170</f>
        <v>3690949.9200000186</v>
      </c>
      <c r="R170">
        <f t="shared" ref="R170" si="827">R171+Q170</f>
        <v>33289555.634087093</v>
      </c>
      <c r="S170">
        <f t="shared" ref="S170" si="828">R170/100000</f>
        <v>332.89555634087094</v>
      </c>
      <c r="T170">
        <f t="shared" ref="T170" si="829">S170/1000</f>
        <v>0.33289555634087092</v>
      </c>
    </row>
    <row r="171" spans="1:20" x14ac:dyDescent="0.25">
      <c r="A171" s="5">
        <v>44422</v>
      </c>
      <c r="B171">
        <v>1.2416</v>
      </c>
      <c r="C171">
        <v>1.264</v>
      </c>
      <c r="D171">
        <v>1.1857</v>
      </c>
      <c r="E171">
        <v>1.2455000000000001</v>
      </c>
      <c r="F171">
        <v>7025448.5300000003</v>
      </c>
      <c r="G171">
        <v>1.2455000000000001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0.52745849297573555</v>
      </c>
      <c r="Q171">
        <f t="shared" ref="Q171" si="831">F171*P171</f>
        <v>3705632.4941123966</v>
      </c>
      <c r="R171">
        <f t="shared" ref="R171" si="832">R172+Q171</f>
        <v>29598605.714087076</v>
      </c>
      <c r="S171">
        <f t="shared" ref="S171" si="833">R171/100000</f>
        <v>295.98605714087074</v>
      </c>
      <c r="T171">
        <f t="shared" ref="T171" si="834">S171/1000</f>
        <v>0.29598605714087073</v>
      </c>
    </row>
    <row r="172" spans="1:20" x14ac:dyDescent="0.25">
      <c r="A172" s="5">
        <v>44421</v>
      </c>
      <c r="B172">
        <v>1.1209</v>
      </c>
      <c r="C172">
        <v>1.248</v>
      </c>
      <c r="D172">
        <v>1.1051</v>
      </c>
      <c r="E172">
        <v>1.2415</v>
      </c>
      <c r="F172">
        <v>6761353.3799999999</v>
      </c>
      <c r="G172">
        <v>1.2415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0.90902729181245701</v>
      </c>
      <c r="Q172">
        <f t="shared" ref="Q172" si="836">F172*P172</f>
        <v>6146254.7520084027</v>
      </c>
      <c r="R172">
        <f t="shared" ref="R172" si="837">R173+Q172</f>
        <v>25892973.219974682</v>
      </c>
      <c r="S172">
        <f t="shared" ref="S172" si="838">R172/100000</f>
        <v>258.92973219974681</v>
      </c>
      <c r="T172">
        <f t="shared" ref="T172" si="839">S172/1000</f>
        <v>0.2589297321997468</v>
      </c>
    </row>
    <row r="173" spans="1:20" x14ac:dyDescent="0.25">
      <c r="A173" s="5">
        <v>44420</v>
      </c>
      <c r="B173">
        <v>1.1646000000000001</v>
      </c>
      <c r="C173">
        <v>1.2303999999999999</v>
      </c>
      <c r="D173">
        <v>1.0722</v>
      </c>
      <c r="E173">
        <v>1.1207</v>
      </c>
      <c r="F173">
        <v>7569919.3799999999</v>
      </c>
      <c r="G173">
        <v>1.1207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-0.38685208596712994</v>
      </c>
      <c r="Q173">
        <f t="shared" ref="Q173" si="841">F173*P173</f>
        <v>-2928439.1027560029</v>
      </c>
      <c r="R173">
        <f t="shared" ref="R173" si="842">R174+Q173</f>
        <v>19746718.467966281</v>
      </c>
      <c r="S173">
        <f t="shared" ref="S173" si="843">R173/100000</f>
        <v>197.46718467966281</v>
      </c>
      <c r="T173">
        <f t="shared" ref="T173" si="844">S173/1000</f>
        <v>0.19746718467966282</v>
      </c>
    </row>
    <row r="174" spans="1:20" x14ac:dyDescent="0.25">
      <c r="A174" s="5">
        <v>44419</v>
      </c>
      <c r="B174">
        <v>1.1957</v>
      </c>
      <c r="C174">
        <v>1.2667999999999999</v>
      </c>
      <c r="D174">
        <v>1.1473</v>
      </c>
      <c r="E174">
        <v>1.1639999999999999</v>
      </c>
      <c r="F174">
        <v>11501069.210000001</v>
      </c>
      <c r="G174">
        <v>1.1639999999999999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-0.7205020920502101</v>
      </c>
      <c r="Q174">
        <f t="shared" ref="Q174" si="846">F174*P174</f>
        <v>-8286544.4266192578</v>
      </c>
      <c r="R174">
        <f t="shared" ref="R174" si="847">R175+Q174</f>
        <v>22675157.570722286</v>
      </c>
      <c r="S174">
        <f t="shared" ref="S174" si="848">R174/100000</f>
        <v>226.75157570722286</v>
      </c>
      <c r="T174">
        <f t="shared" ref="T174" si="849">S174/1000</f>
        <v>0.22675157570722285</v>
      </c>
    </row>
    <row r="175" spans="1:20" x14ac:dyDescent="0.25">
      <c r="A175" s="5">
        <v>44418</v>
      </c>
      <c r="B175">
        <v>1.0516000000000001</v>
      </c>
      <c r="C175">
        <v>1.2344999999999999</v>
      </c>
      <c r="D175">
        <v>1.0436000000000001</v>
      </c>
      <c r="E175">
        <v>1.1947000000000001</v>
      </c>
      <c r="F175">
        <v>20032353.34</v>
      </c>
      <c r="G175">
        <v>1.1947000000000001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0.5830277632268217</v>
      </c>
      <c r="Q175">
        <f t="shared" ref="Q175" si="851">F175*P175</f>
        <v>11679418.159989551</v>
      </c>
      <c r="R175">
        <f t="shared" ref="R175" si="852">R176+Q175</f>
        <v>30961701.997341543</v>
      </c>
      <c r="S175">
        <f t="shared" ref="S175" si="853">R175/100000</f>
        <v>309.61701997341544</v>
      </c>
      <c r="T175">
        <f t="shared" ref="T175" si="854">S175/1000</f>
        <v>0.30961701997341545</v>
      </c>
    </row>
    <row r="176" spans="1:20" x14ac:dyDescent="0.25">
      <c r="A176" s="5">
        <v>44417</v>
      </c>
      <c r="B176">
        <v>0.99229999999999996</v>
      </c>
      <c r="C176">
        <v>1.0961000000000001</v>
      </c>
      <c r="D176">
        <v>0.95989999999999998</v>
      </c>
      <c r="E176">
        <v>1.0528</v>
      </c>
      <c r="F176">
        <v>7363955.6100000003</v>
      </c>
      <c r="G176">
        <v>1.0528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0.36417033773861845</v>
      </c>
      <c r="Q176">
        <f t="shared" ref="Q176" si="856">F176*P176</f>
        <v>2681734.201585894</v>
      </c>
      <c r="R176">
        <f t="shared" ref="R176" si="857">R177+Q176</f>
        <v>19282283.837351993</v>
      </c>
      <c r="S176">
        <f t="shared" ref="S176" si="858">R176/100000</f>
        <v>192.82283837351991</v>
      </c>
      <c r="T176">
        <f t="shared" ref="T176" si="859">S176/1000</f>
        <v>0.19282283837351991</v>
      </c>
    </row>
    <row r="177" spans="1:20" x14ac:dyDescent="0.25">
      <c r="A177" s="5">
        <v>44416</v>
      </c>
      <c r="B177">
        <v>1.0727</v>
      </c>
      <c r="C177">
        <v>1.123</v>
      </c>
      <c r="D177">
        <v>0.98119999999999996</v>
      </c>
      <c r="E177">
        <v>0.99209999999999998</v>
      </c>
      <c r="F177">
        <v>8715611.2699999996</v>
      </c>
      <c r="G177">
        <v>0.99209999999999998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-0.8462623413258108</v>
      </c>
      <c r="Q177">
        <f t="shared" ref="Q177" si="861">F177*P177</f>
        <v>-7375693.599435823</v>
      </c>
      <c r="R177">
        <f t="shared" ref="R177" si="862">R178+Q177</f>
        <v>16600549.635766098</v>
      </c>
      <c r="S177">
        <f t="shared" ref="S177" si="863">R177/100000</f>
        <v>166.00549635766097</v>
      </c>
      <c r="T177">
        <f t="shared" ref="T177" si="864">S177/1000</f>
        <v>0.16600549635766099</v>
      </c>
    </row>
    <row r="178" spans="1:20" x14ac:dyDescent="0.25">
      <c r="A178" s="5">
        <v>44415</v>
      </c>
      <c r="B178">
        <v>1.0536000000000001</v>
      </c>
      <c r="C178">
        <v>1.1236999999999999</v>
      </c>
      <c r="D178">
        <v>1.0401</v>
      </c>
      <c r="E178">
        <v>1.0727</v>
      </c>
      <c r="F178">
        <v>13789903.869999999</v>
      </c>
      <c r="G178">
        <v>1.0727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-0.22009569377990423</v>
      </c>
      <c r="Q178">
        <f t="shared" ref="Q178" si="866">F178*P178</f>
        <v>-3035098.4594258363</v>
      </c>
      <c r="R178">
        <f t="shared" ref="R178" si="867">R179+Q178</f>
        <v>23976243.235201921</v>
      </c>
      <c r="S178">
        <f t="shared" ref="S178" si="868">R178/100000</f>
        <v>239.7624323520192</v>
      </c>
      <c r="T178">
        <f t="shared" ref="T178" si="869">S178/1000</f>
        <v>0.23976243235201922</v>
      </c>
    </row>
    <row r="179" spans="1:20" x14ac:dyDescent="0.25">
      <c r="A179" s="5">
        <v>44414</v>
      </c>
      <c r="B179">
        <v>1.0189999999999999</v>
      </c>
      <c r="C179">
        <v>1.0748</v>
      </c>
      <c r="D179">
        <v>0.98560000000000003</v>
      </c>
      <c r="E179">
        <v>1.0530999999999999</v>
      </c>
      <c r="F179">
        <v>7445799.7400000002</v>
      </c>
      <c r="G179">
        <v>1.0530999999999999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0.51345291479820476</v>
      </c>
      <c r="Q179">
        <f t="shared" ref="Q179" si="871">F179*P179</f>
        <v>3823067.5795067153</v>
      </c>
      <c r="R179">
        <f t="shared" ref="R179" si="872">R180+Q179</f>
        <v>27011341.694627758</v>
      </c>
      <c r="S179">
        <f t="shared" ref="S179" si="873">R179/100000</f>
        <v>270.1134169462776</v>
      </c>
      <c r="T179">
        <f t="shared" ref="T179" si="874">S179/1000</f>
        <v>0.27011341694627761</v>
      </c>
    </row>
    <row r="180" spans="1:20" x14ac:dyDescent="0.25">
      <c r="A180" s="5">
        <v>44413</v>
      </c>
      <c r="B180">
        <v>0.9849</v>
      </c>
      <c r="C180">
        <v>1.0349999999999999</v>
      </c>
      <c r="D180">
        <v>0.93</v>
      </c>
      <c r="E180">
        <v>1.0173000000000001</v>
      </c>
      <c r="F180">
        <v>13503570.92</v>
      </c>
      <c r="G180">
        <v>1.0173000000000001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0.6628571428571457</v>
      </c>
      <c r="Q180">
        <f t="shared" ref="Q180" si="876">F180*P180</f>
        <v>8950938.4384000376</v>
      </c>
      <c r="R180">
        <f t="shared" ref="R180" si="877">R181+Q180</f>
        <v>23188274.115121044</v>
      </c>
      <c r="S180">
        <f t="shared" ref="S180" si="878">R180/100000</f>
        <v>231.88274115121044</v>
      </c>
      <c r="T180">
        <f t="shared" ref="T180" si="879">S180/1000</f>
        <v>0.23188274115121044</v>
      </c>
    </row>
    <row r="181" spans="1:20" x14ac:dyDescent="0.25">
      <c r="A181" s="5">
        <v>44412</v>
      </c>
      <c r="B181">
        <v>0.92159999999999997</v>
      </c>
      <c r="C181">
        <v>0.995</v>
      </c>
      <c r="D181">
        <v>0.90159999999999996</v>
      </c>
      <c r="E181">
        <v>0.98329999999999995</v>
      </c>
      <c r="F181">
        <v>10133441.390000001</v>
      </c>
      <c r="G181">
        <v>0.98329999999999995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0.74946466809421763</v>
      </c>
      <c r="Q181">
        <f t="shared" ref="Q181" si="881">F181*P181</f>
        <v>7594656.2880085576</v>
      </c>
      <c r="R181">
        <f t="shared" ref="R181" si="882">R182+Q181</f>
        <v>14237335.676721007</v>
      </c>
      <c r="S181">
        <f t="shared" ref="S181" si="883">R181/100000</f>
        <v>142.37335676721005</v>
      </c>
      <c r="T181">
        <f t="shared" ref="T181" si="884">S181/1000</f>
        <v>0.14237335676721005</v>
      </c>
    </row>
    <row r="182" spans="1:20" x14ac:dyDescent="0.25">
      <c r="A182" s="5">
        <v>44411</v>
      </c>
      <c r="B182">
        <v>0.94820000000000004</v>
      </c>
      <c r="C182">
        <v>0.9617</v>
      </c>
      <c r="D182">
        <v>0.88429999999999997</v>
      </c>
      <c r="E182">
        <v>0.91810000000000003</v>
      </c>
      <c r="F182">
        <v>5714401.0599999996</v>
      </c>
      <c r="G182">
        <v>0.91810000000000003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-0.1266149870801023</v>
      </c>
      <c r="Q182">
        <f t="shared" ref="Q182" si="886">F182*P182</f>
        <v>-723528.81638242281</v>
      </c>
      <c r="R182">
        <f t="shared" ref="R182" si="887">R183+Q182</f>
        <v>6642679.3887124481</v>
      </c>
      <c r="S182">
        <f t="shared" ref="S182" si="888">R182/100000</f>
        <v>66.426793887124475</v>
      </c>
      <c r="T182">
        <f t="shared" ref="T182" si="889">S182/1000</f>
        <v>6.6426793887124469E-2</v>
      </c>
    </row>
    <row r="183" spans="1:20" x14ac:dyDescent="0.25">
      <c r="A183" s="5">
        <v>44410</v>
      </c>
      <c r="B183">
        <v>0.95109999999999995</v>
      </c>
      <c r="C183">
        <v>0.99529999999999996</v>
      </c>
      <c r="D183">
        <v>0.92859999999999998</v>
      </c>
      <c r="E183">
        <v>0.94820000000000004</v>
      </c>
      <c r="F183">
        <v>5013148.22</v>
      </c>
      <c r="G183">
        <v>0.94820000000000004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-0.41229385307346123</v>
      </c>
      <c r="Q183">
        <f t="shared" ref="Q183" si="891">F183*P183</f>
        <v>-2066890.1956521636</v>
      </c>
      <c r="R183">
        <f t="shared" ref="R183" si="892">R184+Q183</f>
        <v>7366208.2050948711</v>
      </c>
      <c r="S183">
        <f t="shared" ref="S183" si="893">R183/100000</f>
        <v>73.662082050948712</v>
      </c>
      <c r="T183">
        <f t="shared" ref="T183" si="894">S183/1000</f>
        <v>7.3662082050948707E-2</v>
      </c>
    </row>
    <row r="184" spans="1:20" x14ac:dyDescent="0.25">
      <c r="A184" s="5">
        <v>44409</v>
      </c>
      <c r="B184">
        <v>0.9718</v>
      </c>
      <c r="C184">
        <v>1.0449999999999999</v>
      </c>
      <c r="D184">
        <v>0.92679999999999996</v>
      </c>
      <c r="E184">
        <v>0.95299999999999996</v>
      </c>
      <c r="F184">
        <v>10310920.220000001</v>
      </c>
      <c r="G184">
        <v>0.95299999999999996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-0.55668358714043986</v>
      </c>
      <c r="Q184">
        <f t="shared" ref="Q184" si="896">F184*P184</f>
        <v>-5739920.0547884936</v>
      </c>
      <c r="R184">
        <f t="shared" ref="R184" si="897">R185+Q184</f>
        <v>9433098.4007470347</v>
      </c>
      <c r="S184">
        <f t="shared" ref="S184" si="898">R184/100000</f>
        <v>94.330984007470349</v>
      </c>
      <c r="T184">
        <f t="shared" ref="T184" si="899">S184/1000</f>
        <v>9.433098400747035E-2</v>
      </c>
    </row>
    <row r="185" spans="1:20" x14ac:dyDescent="0.25">
      <c r="A185" s="5">
        <v>44408</v>
      </c>
      <c r="B185">
        <v>0.97050000000000003</v>
      </c>
      <c r="C185">
        <v>1.0021</v>
      </c>
      <c r="D185">
        <v>0.94369999999999998</v>
      </c>
      <c r="E185">
        <v>0.9718</v>
      </c>
      <c r="F185">
        <v>5020882.3899999997</v>
      </c>
      <c r="G185">
        <v>0.9718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-3.767123287671198E-2</v>
      </c>
      <c r="Q185">
        <f t="shared" ref="Q185" si="901">F185*P185</f>
        <v>-189142.8297602722</v>
      </c>
      <c r="R185">
        <f t="shared" ref="R185" si="902">R186+Q185</f>
        <v>15173018.455535529</v>
      </c>
      <c r="S185">
        <f t="shared" ref="S185" si="903">R185/100000</f>
        <v>151.73018455535529</v>
      </c>
      <c r="T185">
        <f t="shared" ref="T185" si="904">S185/1000</f>
        <v>0.15173018455535531</v>
      </c>
    </row>
    <row r="186" spans="1:20" x14ac:dyDescent="0.25">
      <c r="A186" s="5">
        <v>44407</v>
      </c>
      <c r="B186">
        <v>0.98650000000000004</v>
      </c>
      <c r="C186">
        <v>1.0064</v>
      </c>
      <c r="D186">
        <v>0.9123</v>
      </c>
      <c r="E186">
        <v>0.97060000000000002</v>
      </c>
      <c r="F186">
        <v>8121982.8899999997</v>
      </c>
      <c r="G186">
        <v>0.97060000000000002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0.23910733262486805</v>
      </c>
      <c r="Q186">
        <f t="shared" ref="Q186" si="906">F186*P186</f>
        <v>1942025.6644527169</v>
      </c>
      <c r="R186">
        <f t="shared" ref="R186" si="907">R187+Q186</f>
        <v>15362161.285295801</v>
      </c>
      <c r="S186">
        <f t="shared" ref="S186" si="908">R186/100000</f>
        <v>153.62161285295801</v>
      </c>
      <c r="T186">
        <f t="shared" ref="T186" si="909">S186/1000</f>
        <v>0.153621612852958</v>
      </c>
    </row>
    <row r="187" spans="1:20" x14ac:dyDescent="0.25">
      <c r="A187" s="5">
        <v>44406</v>
      </c>
      <c r="B187">
        <v>0.91990000000000005</v>
      </c>
      <c r="C187">
        <v>1.08</v>
      </c>
      <c r="D187">
        <v>0.90700000000000003</v>
      </c>
      <c r="E187">
        <v>0.98680000000000001</v>
      </c>
      <c r="F187">
        <v>16837125.59</v>
      </c>
      <c r="G187">
        <v>0.98680000000000001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-7.7456647398844364E-2</v>
      </c>
      <c r="Q187">
        <f t="shared" ref="Q187" si="911">F187*P187</f>
        <v>-1304147.3000346893</v>
      </c>
      <c r="R187">
        <f t="shared" ref="R187" si="912">R188+Q187</f>
        <v>13420135.620843085</v>
      </c>
      <c r="S187">
        <f t="shared" ref="S187" si="913">R187/100000</f>
        <v>134.20135620843084</v>
      </c>
      <c r="T187">
        <f t="shared" ref="T187" si="914">S187/1000</f>
        <v>0.13420135620843085</v>
      </c>
    </row>
    <row r="188" spans="1:20" x14ac:dyDescent="0.25">
      <c r="A188" s="5">
        <v>44405</v>
      </c>
      <c r="B188">
        <v>0.90529999999999999</v>
      </c>
      <c r="C188">
        <v>0.93620000000000003</v>
      </c>
      <c r="D188">
        <v>0.85629999999999995</v>
      </c>
      <c r="E188">
        <v>0.92220000000000002</v>
      </c>
      <c r="F188">
        <v>7735620.0199999996</v>
      </c>
      <c r="G188">
        <v>0.92220000000000002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0.64956195244055071</v>
      </c>
      <c r="Q188">
        <f t="shared" ref="Q188" si="916">F188*P188</f>
        <v>5024764.4435294112</v>
      </c>
      <c r="R188">
        <f t="shared" ref="R188" si="917">R189+Q188</f>
        <v>14724282.920877773</v>
      </c>
      <c r="S188">
        <f t="shared" ref="S188" si="918">R188/100000</f>
        <v>147.24282920877772</v>
      </c>
      <c r="T188">
        <f t="shared" ref="T188" si="919">S188/1000</f>
        <v>0.14724282920877771</v>
      </c>
    </row>
    <row r="189" spans="1:20" x14ac:dyDescent="0.25">
      <c r="A189" s="5">
        <v>44404</v>
      </c>
      <c r="B189">
        <v>0.86850000000000005</v>
      </c>
      <c r="C189">
        <v>0.95250000000000001</v>
      </c>
      <c r="D189">
        <v>0.82250000000000001</v>
      </c>
      <c r="E189">
        <v>0.9052</v>
      </c>
      <c r="F189">
        <v>12709950.869999999</v>
      </c>
      <c r="G189">
        <v>0.9052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0.2723076923076922</v>
      </c>
      <c r="Q189">
        <f t="shared" ref="Q189" si="921">F189*P189</f>
        <v>3461017.3907538443</v>
      </c>
      <c r="R189">
        <f t="shared" ref="R189" si="922">R190+Q189</f>
        <v>9699518.477348363</v>
      </c>
      <c r="S189">
        <f t="shared" ref="S189" si="923">R189/100000</f>
        <v>96.995184773483629</v>
      </c>
      <c r="T189">
        <f t="shared" ref="T189" si="924">S189/1000</f>
        <v>9.6995184773483623E-2</v>
      </c>
    </row>
    <row r="190" spans="1:20" x14ac:dyDescent="0.25">
      <c r="A190" s="5">
        <v>44403</v>
      </c>
      <c r="B190">
        <v>0.9</v>
      </c>
      <c r="C190">
        <v>1.05</v>
      </c>
      <c r="D190">
        <v>0.86519999999999997</v>
      </c>
      <c r="E190">
        <v>0.87009999999999998</v>
      </c>
      <c r="F190">
        <v>23383537.32</v>
      </c>
      <c r="G190">
        <v>0.87009999999999998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-0.94696969696969679</v>
      </c>
      <c r="Q190">
        <f t="shared" ref="Q190" si="926">F190*P190</f>
        <v>-22143501.249999996</v>
      </c>
      <c r="R190">
        <f t="shared" ref="R190" si="927">R191+Q190</f>
        <v>6238501.0865945183</v>
      </c>
      <c r="S190">
        <f t="shared" ref="S190" si="928">R190/100000</f>
        <v>62.385010865945183</v>
      </c>
      <c r="T190">
        <f t="shared" ref="T190" si="929">S190/1000</f>
        <v>6.2385010865945181E-2</v>
      </c>
    </row>
    <row r="191" spans="1:20" x14ac:dyDescent="0.25">
      <c r="A191" s="5">
        <v>44402</v>
      </c>
      <c r="B191">
        <v>0.78710000000000002</v>
      </c>
      <c r="C191">
        <v>0.90500000000000003</v>
      </c>
      <c r="D191">
        <v>0.7621</v>
      </c>
      <c r="E191">
        <v>0.89949999999999997</v>
      </c>
      <c r="F191">
        <v>22336567.210000001</v>
      </c>
      <c r="G191">
        <v>0.89949999999999997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0.92302309307207753</v>
      </c>
      <c r="Q191">
        <f t="shared" ref="Q191" si="931">F191*P191</f>
        <v>20617167.354786545</v>
      </c>
      <c r="R191">
        <f t="shared" ref="R191" si="932">R192+Q191</f>
        <v>28382002.336594515</v>
      </c>
      <c r="S191">
        <f t="shared" ref="S191" si="933">R191/100000</f>
        <v>283.82002336594513</v>
      </c>
      <c r="T191">
        <f t="shared" ref="T191:T197" si="934">S191/1000</f>
        <v>0.28382002336594514</v>
      </c>
    </row>
    <row r="192" spans="1:20" x14ac:dyDescent="0.25">
      <c r="A192" s="5">
        <v>44401</v>
      </c>
      <c r="B192">
        <v>0.74280000000000002</v>
      </c>
      <c r="C192">
        <v>0.81520000000000004</v>
      </c>
      <c r="D192">
        <v>0.73160000000000003</v>
      </c>
      <c r="E192">
        <v>0.78949999999999998</v>
      </c>
      <c r="F192">
        <v>12759199.15</v>
      </c>
      <c r="G192">
        <v>0.78949999999999998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0.38516746411483127</v>
      </c>
      <c r="Q192">
        <f t="shared" ref="Q192" si="936">F192*P192</f>
        <v>4914428.3807416111</v>
      </c>
      <c r="R192">
        <f t="shared" ref="R192" si="937">R193+Q192</f>
        <v>7764834.9818079695</v>
      </c>
      <c r="S192">
        <f t="shared" ref="S192" si="938">R192/100000</f>
        <v>77.648349818079694</v>
      </c>
      <c r="T192">
        <f t="shared" si="934"/>
        <v>7.7648349818079693E-2</v>
      </c>
    </row>
    <row r="193" spans="1:20" x14ac:dyDescent="0.25">
      <c r="A193" s="5">
        <v>44400</v>
      </c>
      <c r="B193">
        <v>0.74109999999999998</v>
      </c>
      <c r="C193">
        <v>0.75770000000000004</v>
      </c>
      <c r="D193">
        <v>0.70209999999999995</v>
      </c>
      <c r="E193">
        <v>0.74360000000000004</v>
      </c>
      <c r="F193">
        <v>8729148.4199999999</v>
      </c>
      <c r="G193">
        <v>0.74360000000000004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0.49280575539568428</v>
      </c>
      <c r="Q193">
        <f t="shared" ref="Q193" si="940">F193*P193</f>
        <v>4301774.581079144</v>
      </c>
      <c r="R193">
        <f t="shared" ref="R193" si="941">R194+Q193</f>
        <v>2850406.6010663584</v>
      </c>
      <c r="S193">
        <f t="shared" ref="S193" si="942">R193/100000</f>
        <v>28.504066010663585</v>
      </c>
      <c r="T193">
        <f t="shared" si="934"/>
        <v>2.8504066010663586E-2</v>
      </c>
    </row>
    <row r="194" spans="1:20" x14ac:dyDescent="0.25">
      <c r="A194" s="5">
        <v>44399</v>
      </c>
      <c r="B194">
        <v>0.74360000000000004</v>
      </c>
      <c r="C194">
        <v>0.78</v>
      </c>
      <c r="D194">
        <v>0.70179999999999998</v>
      </c>
      <c r="E194">
        <v>0.74119999999999997</v>
      </c>
      <c r="F194">
        <v>7810229.5199999996</v>
      </c>
      <c r="G194">
        <v>0.74119999999999997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7.6726342710988944E-3</v>
      </c>
      <c r="Q194">
        <f t="shared" ref="Q194" si="944">F194*P194</f>
        <v>59925.034680300261</v>
      </c>
      <c r="R194">
        <f t="shared" ref="R194" si="945">R195+Q194</f>
        <v>-1451367.9800127859</v>
      </c>
      <c r="S194">
        <f t="shared" ref="S194" si="946">R194/100000</f>
        <v>-14.513679800127859</v>
      </c>
      <c r="T194">
        <f t="shared" si="934"/>
        <v>-1.451367980012786E-2</v>
      </c>
    </row>
    <row r="195" spans="1:20" x14ac:dyDescent="0.25">
      <c r="A195" s="5">
        <v>44398</v>
      </c>
      <c r="B195">
        <v>0.6573</v>
      </c>
      <c r="C195">
        <v>0.75680000000000003</v>
      </c>
      <c r="D195">
        <v>0.64019999999999999</v>
      </c>
      <c r="E195">
        <v>0.74480000000000002</v>
      </c>
      <c r="F195">
        <v>6260588.8399999999</v>
      </c>
      <c r="G195">
        <v>0.74480000000000002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0.79416809605488836</v>
      </c>
      <c r="Q195">
        <f t="shared" ref="Q195" si="948">F195*P195</f>
        <v>4971959.9192452822</v>
      </c>
      <c r="R195">
        <f t="shared" ref="R195" si="949">R196+Q195</f>
        <v>-1511293.014693086</v>
      </c>
      <c r="S195">
        <f t="shared" ref="S195" si="950">R195/100000</f>
        <v>-15.112930146930861</v>
      </c>
      <c r="T195">
        <f t="shared" si="934"/>
        <v>-1.511293014693086E-2</v>
      </c>
    </row>
    <row r="196" spans="1:20" x14ac:dyDescent="0.25">
      <c r="A196" s="5">
        <v>44397</v>
      </c>
      <c r="B196">
        <v>0.70179999999999998</v>
      </c>
      <c r="C196">
        <v>0.71</v>
      </c>
      <c r="D196">
        <v>0.61</v>
      </c>
      <c r="E196">
        <v>0.65739999999999998</v>
      </c>
      <c r="F196">
        <v>8841557.2200000007</v>
      </c>
      <c r="G196">
        <v>0.65739999999999998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-5.1999999999999838E-2</v>
      </c>
      <c r="Q196">
        <f t="shared" ref="Q196" si="952">F196*P196</f>
        <v>-459760.97543999861</v>
      </c>
      <c r="R196">
        <f t="shared" ref="R196" si="953">R197+Q196</f>
        <v>-6483252.9339383682</v>
      </c>
      <c r="S196">
        <f t="shared" ref="S196" si="954">R196/100000</f>
        <v>-64.832529339383683</v>
      </c>
      <c r="T196">
        <f t="shared" si="934"/>
        <v>-6.4832529339383688E-2</v>
      </c>
    </row>
    <row r="197" spans="1:20" x14ac:dyDescent="0.25">
      <c r="A197" s="5">
        <v>44396</v>
      </c>
      <c r="B197">
        <v>0.73629999999999995</v>
      </c>
      <c r="C197">
        <v>0.80930000000000002</v>
      </c>
      <c r="D197">
        <v>0.69589999999999996</v>
      </c>
      <c r="E197">
        <v>0.70079999999999998</v>
      </c>
      <c r="F197">
        <v>17909314.100000001</v>
      </c>
      <c r="G197">
        <v>0</v>
      </c>
      <c r="L197" t="s">
        <v>8</v>
      </c>
      <c r="M197" t="s">
        <v>7</v>
      </c>
      <c r="N197" t="s">
        <v>8</v>
      </c>
      <c r="P197">
        <f t="shared" ref="P197" si="955">IF(C197=D197,0,((E197-D197)-(C197-E197))/(C197-D197))</f>
        <v>-0.91358024691357997</v>
      </c>
      <c r="Q197">
        <f t="shared" ref="Q197" si="956">F197*P197</f>
        <v>-16361595.59753086</v>
      </c>
      <c r="R197">
        <f t="shared" ref="R197" si="957">R198+Q197</f>
        <v>-6023491.9584983699</v>
      </c>
      <c r="S197">
        <f t="shared" ref="S197" si="958">R197/100000</f>
        <v>-60.2349195849837</v>
      </c>
      <c r="T197">
        <f t="shared" si="934"/>
        <v>-6.0234919584983698E-2</v>
      </c>
    </row>
    <row r="198" spans="1:20" x14ac:dyDescent="0.25">
      <c r="A198" s="5">
        <v>44395</v>
      </c>
      <c r="B198">
        <v>0.70660000000000001</v>
      </c>
      <c r="C198">
        <v>0.749</v>
      </c>
      <c r="D198">
        <v>0.70009999999999994</v>
      </c>
      <c r="E198">
        <v>0.73609999999999998</v>
      </c>
      <c r="F198">
        <v>4588347.51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0.47239263803680948</v>
      </c>
      <c r="Q198">
        <f t="shared" ref="Q198:Q261" si="960">F198*P198</f>
        <v>2167501.5844785259</v>
      </c>
      <c r="R198">
        <f t="shared" ref="R198:R261" si="961">R199+Q198</f>
        <v>10338103.639032491</v>
      </c>
      <c r="S198">
        <f t="shared" ref="S198:S261" si="962">R198/100000</f>
        <v>103.38103639032491</v>
      </c>
      <c r="T198">
        <f t="shared" ref="T198:T261" si="963">S198/1000</f>
        <v>0.10338103639032491</v>
      </c>
    </row>
    <row r="199" spans="1:20" x14ac:dyDescent="0.25">
      <c r="A199" s="5">
        <v>44394</v>
      </c>
      <c r="B199">
        <v>0.71050000000000002</v>
      </c>
      <c r="C199">
        <v>0.72799999999999998</v>
      </c>
      <c r="D199">
        <v>0.68500000000000005</v>
      </c>
      <c r="E199">
        <v>0.70860000000000001</v>
      </c>
      <c r="F199">
        <v>4519120.0999999996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9.7674418604650898E-2</v>
      </c>
      <c r="Q199">
        <f t="shared" si="960"/>
        <v>441402.42837209179</v>
      </c>
      <c r="R199">
        <f t="shared" si="961"/>
        <v>8170602.0545539642</v>
      </c>
      <c r="S199">
        <f t="shared" si="962"/>
        <v>81.706020545539644</v>
      </c>
      <c r="T199">
        <f t="shared" si="963"/>
        <v>8.1706020545539645E-2</v>
      </c>
    </row>
    <row r="200" spans="1:20" x14ac:dyDescent="0.25">
      <c r="A200" s="5">
        <v>44393</v>
      </c>
      <c r="B200">
        <v>0.77980000000000005</v>
      </c>
      <c r="C200">
        <v>0.82799999999999996</v>
      </c>
      <c r="D200">
        <v>0.69899999999999995</v>
      </c>
      <c r="E200">
        <v>0.71040000000000003</v>
      </c>
      <c r="F200">
        <v>9412346.7699999996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-0.82325581395348724</v>
      </c>
      <c r="Q200">
        <f t="shared" si="960"/>
        <v>-7748769.2013488263</v>
      </c>
      <c r="R200">
        <f t="shared" si="961"/>
        <v>7729199.6261818726</v>
      </c>
      <c r="S200">
        <f t="shared" si="962"/>
        <v>77.291996261818724</v>
      </c>
      <c r="T200">
        <f t="shared" si="963"/>
        <v>7.7291996261818721E-2</v>
      </c>
    </row>
    <row r="201" spans="1:20" x14ac:dyDescent="0.25">
      <c r="A201" s="5">
        <v>44392</v>
      </c>
      <c r="B201">
        <v>0.77580000000000005</v>
      </c>
      <c r="C201">
        <v>0.87539999999999996</v>
      </c>
      <c r="D201">
        <v>0.73699999999999999</v>
      </c>
      <c r="E201">
        <v>0.77969999999999995</v>
      </c>
      <c r="F201">
        <v>19382101.789999999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-0.38294797687861315</v>
      </c>
      <c r="Q201">
        <f t="shared" si="960"/>
        <v>-7422336.668135846</v>
      </c>
      <c r="R201">
        <f t="shared" si="961"/>
        <v>15477968.827530699</v>
      </c>
      <c r="S201">
        <f t="shared" si="962"/>
        <v>154.779688275307</v>
      </c>
      <c r="T201">
        <f t="shared" si="963"/>
        <v>0.154779688275307</v>
      </c>
    </row>
    <row r="202" spans="1:20" x14ac:dyDescent="0.25">
      <c r="A202" s="5">
        <v>44391</v>
      </c>
      <c r="B202">
        <v>0.69840000000000002</v>
      </c>
      <c r="C202">
        <v>0.77869999999999995</v>
      </c>
      <c r="D202">
        <v>0.64739999999999998</v>
      </c>
      <c r="E202">
        <v>0.77580000000000005</v>
      </c>
      <c r="F202">
        <v>7994108.4699999997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0.95582635186595732</v>
      </c>
      <c r="Q202">
        <f t="shared" si="960"/>
        <v>7640979.5353008499</v>
      </c>
      <c r="R202">
        <f t="shared" si="961"/>
        <v>22900305.495666545</v>
      </c>
      <c r="S202">
        <f t="shared" si="962"/>
        <v>229.00305495666544</v>
      </c>
      <c r="T202">
        <f t="shared" si="963"/>
        <v>0.22900305495666542</v>
      </c>
    </row>
    <row r="203" spans="1:20" x14ac:dyDescent="0.25">
      <c r="A203" s="5">
        <v>44390</v>
      </c>
      <c r="B203">
        <v>0.7228</v>
      </c>
      <c r="C203">
        <v>0.73099999999999998</v>
      </c>
      <c r="D203">
        <v>0.68259999999999998</v>
      </c>
      <c r="E203">
        <v>0.69799999999999995</v>
      </c>
      <c r="F203">
        <v>3426282.9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-0.36363636363636487</v>
      </c>
      <c r="Q203">
        <f t="shared" si="960"/>
        <v>-1245921.0545454586</v>
      </c>
      <c r="R203">
        <f t="shared" si="961"/>
        <v>15259325.960365694</v>
      </c>
      <c r="S203">
        <f t="shared" si="962"/>
        <v>152.59325960365695</v>
      </c>
      <c r="T203">
        <f t="shared" si="963"/>
        <v>0.15259325960365694</v>
      </c>
    </row>
    <row r="204" spans="1:20" x14ac:dyDescent="0.25">
      <c r="A204" s="5">
        <v>44389</v>
      </c>
      <c r="B204">
        <v>0.74219999999999997</v>
      </c>
      <c r="C204">
        <v>0.77769999999999995</v>
      </c>
      <c r="D204">
        <v>0.71379999999999999</v>
      </c>
      <c r="E204">
        <v>0.72289999999999999</v>
      </c>
      <c r="F204">
        <v>5724607.6100000003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-0.71517996870109535</v>
      </c>
      <c r="Q204">
        <f t="shared" si="960"/>
        <v>-4094124.6913458523</v>
      </c>
      <c r="R204">
        <f t="shared" si="961"/>
        <v>16505247.014911152</v>
      </c>
      <c r="S204">
        <f t="shared" si="962"/>
        <v>165.05247014911151</v>
      </c>
      <c r="T204">
        <f t="shared" si="963"/>
        <v>0.16505247014911151</v>
      </c>
    </row>
    <row r="205" spans="1:20" x14ac:dyDescent="0.25">
      <c r="A205" s="5">
        <v>44388</v>
      </c>
      <c r="B205">
        <v>0.72519999999999996</v>
      </c>
      <c r="C205">
        <v>0.75480000000000003</v>
      </c>
      <c r="D205">
        <v>0.70520000000000005</v>
      </c>
      <c r="E205">
        <v>0.74239999999999995</v>
      </c>
      <c r="F205">
        <v>3943341.15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0.49999999999999667</v>
      </c>
      <c r="Q205">
        <f t="shared" si="960"/>
        <v>1971670.5749999869</v>
      </c>
      <c r="R205">
        <f t="shared" si="961"/>
        <v>20599371.706257004</v>
      </c>
      <c r="S205">
        <f t="shared" si="962"/>
        <v>205.99371706257006</v>
      </c>
      <c r="T205">
        <f t="shared" si="963"/>
        <v>0.20599371706257005</v>
      </c>
    </row>
    <row r="206" spans="1:20" x14ac:dyDescent="0.25">
      <c r="A206" s="5">
        <v>44387</v>
      </c>
      <c r="B206">
        <v>0.72909999999999997</v>
      </c>
      <c r="C206">
        <v>0.74460000000000004</v>
      </c>
      <c r="D206">
        <v>0.70240000000000002</v>
      </c>
      <c r="E206">
        <v>0.7238</v>
      </c>
      <c r="F206">
        <v>3059717.49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1.4218009478671415E-2</v>
      </c>
      <c r="Q206">
        <f t="shared" si="960"/>
        <v>43503.092274876712</v>
      </c>
      <c r="R206">
        <f t="shared" si="961"/>
        <v>18627701.131257016</v>
      </c>
      <c r="S206">
        <f t="shared" si="962"/>
        <v>186.27701131257015</v>
      </c>
      <c r="T206">
        <f t="shared" si="963"/>
        <v>0.18627701131257016</v>
      </c>
    </row>
    <row r="207" spans="1:20" x14ac:dyDescent="0.25">
      <c r="A207" s="5">
        <v>44386</v>
      </c>
      <c r="B207">
        <v>0.73129999999999995</v>
      </c>
      <c r="C207">
        <v>0.73660000000000003</v>
      </c>
      <c r="D207">
        <v>0.69299999999999995</v>
      </c>
      <c r="E207">
        <v>0.72799999999999998</v>
      </c>
      <c r="F207">
        <v>4031193.61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0.60550458715596167</v>
      </c>
      <c r="Q207">
        <f t="shared" si="960"/>
        <v>2440906.2225688007</v>
      </c>
      <c r="R207">
        <f t="shared" si="961"/>
        <v>18584198.038982138</v>
      </c>
      <c r="S207">
        <f t="shared" si="962"/>
        <v>185.84198038982137</v>
      </c>
      <c r="T207">
        <f t="shared" si="963"/>
        <v>0.18584198038982136</v>
      </c>
    </row>
    <row r="208" spans="1:20" x14ac:dyDescent="0.25">
      <c r="A208" s="5">
        <v>44385</v>
      </c>
      <c r="B208">
        <v>0.76519999999999999</v>
      </c>
      <c r="C208">
        <v>0.77049999999999996</v>
      </c>
      <c r="D208">
        <v>0.71</v>
      </c>
      <c r="E208">
        <v>0.73029999999999995</v>
      </c>
      <c r="F208">
        <v>5994630.4199999999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-0.32892561983471125</v>
      </c>
      <c r="Q208">
        <f t="shared" si="960"/>
        <v>-1971787.5265785153</v>
      </c>
      <c r="R208">
        <f t="shared" si="961"/>
        <v>16143291.816413336</v>
      </c>
      <c r="S208">
        <f t="shared" si="962"/>
        <v>161.43291816413335</v>
      </c>
      <c r="T208">
        <f t="shared" si="963"/>
        <v>0.16143291816413335</v>
      </c>
    </row>
    <row r="209" spans="1:20" x14ac:dyDescent="0.25">
      <c r="A209" s="5">
        <v>44384</v>
      </c>
      <c r="B209">
        <v>0.7863</v>
      </c>
      <c r="C209">
        <v>0.83979999999999999</v>
      </c>
      <c r="D209">
        <v>0.76</v>
      </c>
      <c r="E209">
        <v>0.76690000000000003</v>
      </c>
      <c r="F209">
        <v>8526224.6099999994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-0.82706766917293184</v>
      </c>
      <c r="Q209">
        <f t="shared" si="960"/>
        <v>-7051764.715037589</v>
      </c>
      <c r="R209">
        <f t="shared" si="961"/>
        <v>18115079.342991851</v>
      </c>
      <c r="S209">
        <f t="shared" si="962"/>
        <v>181.15079342991851</v>
      </c>
      <c r="T209">
        <f t="shared" si="963"/>
        <v>0.18115079342991852</v>
      </c>
    </row>
    <row r="210" spans="1:20" x14ac:dyDescent="0.25">
      <c r="A210" s="5">
        <v>44383</v>
      </c>
      <c r="B210">
        <v>0.70340000000000003</v>
      </c>
      <c r="C210">
        <v>0.79359999999999997</v>
      </c>
      <c r="D210">
        <v>0.70099999999999996</v>
      </c>
      <c r="E210">
        <v>0.78800000000000003</v>
      </c>
      <c r="F210">
        <v>11005587.9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0.87904967602591932</v>
      </c>
      <c r="Q210">
        <f t="shared" si="960"/>
        <v>9674458.4779697787</v>
      </c>
      <c r="R210">
        <f t="shared" si="961"/>
        <v>25166844.058029439</v>
      </c>
      <c r="S210">
        <f t="shared" si="962"/>
        <v>251.6684405802944</v>
      </c>
      <c r="T210">
        <f t="shared" si="963"/>
        <v>0.25166844058029442</v>
      </c>
    </row>
    <row r="211" spans="1:20" x14ac:dyDescent="0.25">
      <c r="A211" s="5">
        <v>44382</v>
      </c>
      <c r="B211">
        <v>0.72540000000000004</v>
      </c>
      <c r="C211">
        <v>0.72540000000000004</v>
      </c>
      <c r="D211">
        <v>0.67079999999999995</v>
      </c>
      <c r="E211">
        <v>0.70420000000000005</v>
      </c>
      <c r="F211">
        <v>6299314.79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0.2234432234432249</v>
      </c>
      <c r="Q211">
        <f t="shared" si="960"/>
        <v>1407539.2021611813</v>
      </c>
      <c r="R211">
        <f t="shared" si="961"/>
        <v>15492385.580059661</v>
      </c>
      <c r="S211">
        <f t="shared" si="962"/>
        <v>154.92385580059661</v>
      </c>
      <c r="T211">
        <f t="shared" si="963"/>
        <v>0.15492385580059662</v>
      </c>
    </row>
    <row r="212" spans="1:20" x14ac:dyDescent="0.25">
      <c r="A212" s="5">
        <v>44381</v>
      </c>
      <c r="B212">
        <v>0.70989999999999998</v>
      </c>
      <c r="C212">
        <v>0.74690000000000001</v>
      </c>
      <c r="D212">
        <v>0.69089999999999996</v>
      </c>
      <c r="E212">
        <v>0.72719999999999996</v>
      </c>
      <c r="F212">
        <v>3916893.32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0.29642857142857026</v>
      </c>
      <c r="Q212">
        <f t="shared" si="960"/>
        <v>1161079.0912857098</v>
      </c>
      <c r="R212">
        <f t="shared" si="961"/>
        <v>14084846.377898479</v>
      </c>
      <c r="S212">
        <f t="shared" si="962"/>
        <v>140.84846377898478</v>
      </c>
      <c r="T212">
        <f t="shared" si="963"/>
        <v>0.14084846377898477</v>
      </c>
    </row>
    <row r="213" spans="1:20" x14ac:dyDescent="0.25">
      <c r="A213" s="5">
        <v>44380</v>
      </c>
      <c r="B213">
        <v>0.68679999999999997</v>
      </c>
      <c r="C213">
        <v>0.72829999999999995</v>
      </c>
      <c r="D213">
        <v>0.67130000000000001</v>
      </c>
      <c r="E213">
        <v>0.70989999999999998</v>
      </c>
      <c r="F213">
        <v>5135902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0.35438596491228103</v>
      </c>
      <c r="Q213">
        <f t="shared" si="960"/>
        <v>1820091.5859649139</v>
      </c>
      <c r="R213">
        <f t="shared" si="961"/>
        <v>12923767.28661277</v>
      </c>
      <c r="S213">
        <f t="shared" si="962"/>
        <v>129.2376728661277</v>
      </c>
      <c r="T213">
        <f t="shared" si="963"/>
        <v>0.1292376728661277</v>
      </c>
    </row>
    <row r="214" spans="1:20" x14ac:dyDescent="0.25">
      <c r="A214" s="5">
        <v>44379</v>
      </c>
      <c r="B214">
        <v>0.68600000000000005</v>
      </c>
      <c r="C214">
        <v>0.69769999999999999</v>
      </c>
      <c r="D214">
        <v>0.64500000000000002</v>
      </c>
      <c r="E214">
        <v>0.68710000000000004</v>
      </c>
      <c r="F214">
        <v>5228675.09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0.59772296015180459</v>
      </c>
      <c r="Q214">
        <f t="shared" si="960"/>
        <v>3125299.1524668033</v>
      </c>
      <c r="R214">
        <f t="shared" si="961"/>
        <v>11103675.700647855</v>
      </c>
      <c r="S214">
        <f t="shared" si="962"/>
        <v>111.03675700647855</v>
      </c>
      <c r="T214">
        <f t="shared" si="963"/>
        <v>0.11103675700647855</v>
      </c>
    </row>
    <row r="215" spans="1:20" x14ac:dyDescent="0.25">
      <c r="A215" s="5">
        <v>44378</v>
      </c>
      <c r="B215">
        <v>0.72089999999999999</v>
      </c>
      <c r="C215">
        <v>0.73</v>
      </c>
      <c r="D215">
        <v>0.66210000000000002</v>
      </c>
      <c r="E215">
        <v>0.68589999999999995</v>
      </c>
      <c r="F215">
        <v>6778818.5700000003</v>
      </c>
      <c r="G215">
        <v>0</v>
      </c>
      <c r="L215" t="s">
        <v>8</v>
      </c>
      <c r="M215" t="s">
        <v>8</v>
      </c>
      <c r="N215" t="s">
        <v>7</v>
      </c>
      <c r="P215">
        <f t="shared" si="959"/>
        <v>-0.29896907216495006</v>
      </c>
      <c r="Q215">
        <f t="shared" si="960"/>
        <v>-2026657.0982474335</v>
      </c>
      <c r="R215">
        <f t="shared" si="961"/>
        <v>7978376.5481810514</v>
      </c>
      <c r="S215">
        <f t="shared" si="962"/>
        <v>79.783765481810519</v>
      </c>
      <c r="T215">
        <f t="shared" si="963"/>
        <v>7.9783765481810515E-2</v>
      </c>
    </row>
    <row r="216" spans="1:20" x14ac:dyDescent="0.25">
      <c r="A216" s="5">
        <v>44377</v>
      </c>
      <c r="B216">
        <v>0.73499999999999999</v>
      </c>
      <c r="C216">
        <v>0.74170000000000003</v>
      </c>
      <c r="D216">
        <v>0.66320000000000001</v>
      </c>
      <c r="E216">
        <v>0.72160000000000002</v>
      </c>
      <c r="F216">
        <v>5974074.71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0.48789808917197447</v>
      </c>
      <c r="Q216">
        <f t="shared" si="960"/>
        <v>2914739.6355796177</v>
      </c>
      <c r="R216">
        <f t="shared" si="961"/>
        <v>10005033.646428484</v>
      </c>
      <c r="S216">
        <f t="shared" si="962"/>
        <v>100.05033646428484</v>
      </c>
      <c r="T216">
        <f t="shared" si="963"/>
        <v>0.10005033646428484</v>
      </c>
    </row>
    <row r="217" spans="1:20" x14ac:dyDescent="0.25">
      <c r="A217" s="5">
        <v>44376</v>
      </c>
      <c r="B217">
        <v>0.68259999999999998</v>
      </c>
      <c r="C217">
        <v>0.76839999999999997</v>
      </c>
      <c r="D217">
        <v>0.67969999999999997</v>
      </c>
      <c r="E217">
        <v>0.73560000000000003</v>
      </c>
      <c r="F217">
        <v>7958293.6699999999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0.26042841037204195</v>
      </c>
      <c r="Q217">
        <f t="shared" si="960"/>
        <v>2072565.7697519837</v>
      </c>
      <c r="R217">
        <f t="shared" si="961"/>
        <v>7090294.0108488677</v>
      </c>
      <c r="S217">
        <f t="shared" si="962"/>
        <v>70.902940108488679</v>
      </c>
      <c r="T217">
        <f t="shared" si="963"/>
        <v>7.0902940108488674E-2</v>
      </c>
    </row>
    <row r="218" spans="1:20" x14ac:dyDescent="0.25">
      <c r="A218" s="5">
        <v>44375</v>
      </c>
      <c r="B218">
        <v>0.67279999999999995</v>
      </c>
      <c r="C218">
        <v>0.71020000000000005</v>
      </c>
      <c r="D218">
        <v>0.65380000000000005</v>
      </c>
      <c r="E218">
        <v>0.68010000000000004</v>
      </c>
      <c r="F218">
        <v>4555786.46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-6.7375886524823139E-2</v>
      </c>
      <c r="Q218">
        <f t="shared" si="960"/>
        <v>-306950.15156028571</v>
      </c>
      <c r="R218">
        <f t="shared" si="961"/>
        <v>5017728.241096884</v>
      </c>
      <c r="S218">
        <f t="shared" si="962"/>
        <v>50.177282410968843</v>
      </c>
      <c r="T218">
        <f t="shared" si="963"/>
        <v>5.0177282410968846E-2</v>
      </c>
    </row>
    <row r="219" spans="1:20" x14ac:dyDescent="0.25">
      <c r="A219" s="5">
        <v>44374</v>
      </c>
      <c r="B219">
        <v>0.64149999999999996</v>
      </c>
      <c r="C219">
        <v>0.67630000000000001</v>
      </c>
      <c r="D219">
        <v>0.6109</v>
      </c>
      <c r="E219">
        <v>0.67149999999999999</v>
      </c>
      <c r="F219">
        <v>5653214.8200000003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0.85321100917431114</v>
      </c>
      <c r="Q219">
        <f t="shared" si="960"/>
        <v>4823385.1216513719</v>
      </c>
      <c r="R219">
        <f t="shared" si="961"/>
        <v>5324678.3926571701</v>
      </c>
      <c r="S219">
        <f t="shared" si="962"/>
        <v>53.246783926571702</v>
      </c>
      <c r="T219">
        <f t="shared" si="963"/>
        <v>5.32467839265717E-2</v>
      </c>
    </row>
    <row r="220" spans="1:20" x14ac:dyDescent="0.25">
      <c r="A220" s="5">
        <v>44373</v>
      </c>
      <c r="B220">
        <v>0.65369999999999995</v>
      </c>
      <c r="C220">
        <v>0.67869999999999997</v>
      </c>
      <c r="D220">
        <v>0.6</v>
      </c>
      <c r="E220">
        <v>0.6411</v>
      </c>
      <c r="F220">
        <v>6363870.0899999999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4.4472681067345095E-2</v>
      </c>
      <c r="Q220">
        <f t="shared" si="960"/>
        <v>283018.36486658669</v>
      </c>
      <c r="R220">
        <f t="shared" si="961"/>
        <v>501293.27100579842</v>
      </c>
      <c r="S220">
        <f t="shared" si="962"/>
        <v>5.0129327100579841</v>
      </c>
      <c r="T220">
        <f t="shared" si="963"/>
        <v>5.0129327100579841E-3</v>
      </c>
    </row>
    <row r="221" spans="1:20" x14ac:dyDescent="0.25">
      <c r="A221" s="5">
        <v>44372</v>
      </c>
      <c r="B221">
        <v>0.73499999999999999</v>
      </c>
      <c r="C221">
        <v>0.74690000000000001</v>
      </c>
      <c r="D221">
        <v>0.63639999999999997</v>
      </c>
      <c r="E221">
        <v>0.65410000000000001</v>
      </c>
      <c r="F221">
        <v>6889247.7699999996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-0.67963800904977301</v>
      </c>
      <c r="Q221">
        <f t="shared" si="960"/>
        <v>-4682194.638253388</v>
      </c>
      <c r="R221">
        <f t="shared" si="961"/>
        <v>218274.90613921173</v>
      </c>
      <c r="S221">
        <f t="shared" si="962"/>
        <v>2.1827490613921174</v>
      </c>
      <c r="T221">
        <f t="shared" si="963"/>
        <v>2.1827490613921174E-3</v>
      </c>
    </row>
    <row r="222" spans="1:20" x14ac:dyDescent="0.25">
      <c r="A222" s="5">
        <v>44371</v>
      </c>
      <c r="B222">
        <v>0.74399999999999999</v>
      </c>
      <c r="C222">
        <v>0.75680000000000003</v>
      </c>
      <c r="D222">
        <v>0.69930000000000003</v>
      </c>
      <c r="E222">
        <v>0.73409999999999997</v>
      </c>
      <c r="F222">
        <v>4475593.37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0.21043478260869372</v>
      </c>
      <c r="Q222">
        <f t="shared" si="960"/>
        <v>941820.51786086091</v>
      </c>
      <c r="R222">
        <f t="shared" si="961"/>
        <v>4900469.5443925997</v>
      </c>
      <c r="S222">
        <f t="shared" si="962"/>
        <v>49.004695443925996</v>
      </c>
      <c r="T222">
        <f t="shared" si="963"/>
        <v>4.9004695443925994E-2</v>
      </c>
    </row>
    <row r="223" spans="1:20" x14ac:dyDescent="0.25">
      <c r="A223" s="5">
        <v>44370</v>
      </c>
      <c r="B223">
        <v>0.69469999999999998</v>
      </c>
      <c r="C223">
        <v>0.8</v>
      </c>
      <c r="D223">
        <v>0.6673</v>
      </c>
      <c r="E223">
        <v>0.74380000000000002</v>
      </c>
      <c r="F223">
        <v>7298642.1699999999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0.15297663903541808</v>
      </c>
      <c r="Q223">
        <f t="shared" si="960"/>
        <v>1116521.7486887705</v>
      </c>
      <c r="R223">
        <f t="shared" si="961"/>
        <v>3958649.0265317392</v>
      </c>
      <c r="S223">
        <f t="shared" si="962"/>
        <v>39.586490265317394</v>
      </c>
      <c r="T223">
        <f t="shared" si="963"/>
        <v>3.9586490265317395E-2</v>
      </c>
    </row>
    <row r="224" spans="1:20" x14ac:dyDescent="0.25">
      <c r="A224" s="5">
        <v>44369</v>
      </c>
      <c r="B224">
        <v>0.72419999999999995</v>
      </c>
      <c r="C224">
        <v>0.78420000000000001</v>
      </c>
      <c r="D224">
        <v>0.60850000000000004</v>
      </c>
      <c r="E224">
        <v>0.69469999999999998</v>
      </c>
      <c r="F224">
        <v>12225098.439999999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-1.8782014797951517E-2</v>
      </c>
      <c r="Q224">
        <f t="shared" si="960"/>
        <v>-229611.979806494</v>
      </c>
      <c r="R224">
        <f t="shared" si="961"/>
        <v>2842127.2778429687</v>
      </c>
      <c r="S224">
        <f t="shared" si="962"/>
        <v>28.421272778429689</v>
      </c>
      <c r="T224">
        <f t="shared" si="963"/>
        <v>2.842127277842969E-2</v>
      </c>
    </row>
    <row r="225" spans="1:20" x14ac:dyDescent="0.25">
      <c r="A225" s="5">
        <v>44368</v>
      </c>
      <c r="B225">
        <v>0.95799999999999996</v>
      </c>
      <c r="C225">
        <v>0.96499999999999997</v>
      </c>
      <c r="D225">
        <v>0.72089999999999999</v>
      </c>
      <c r="E225">
        <v>0.72470000000000001</v>
      </c>
      <c r="F225">
        <v>6858694.8799999999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-0.96886521917247004</v>
      </c>
      <c r="Q225">
        <f t="shared" si="960"/>
        <v>-6645150.9181482978</v>
      </c>
      <c r="R225">
        <f t="shared" si="961"/>
        <v>3071739.2576494627</v>
      </c>
      <c r="S225">
        <f t="shared" si="962"/>
        <v>30.717392576494628</v>
      </c>
      <c r="T225">
        <f t="shared" si="963"/>
        <v>3.0717392576494629E-2</v>
      </c>
    </row>
    <row r="226" spans="1:20" x14ac:dyDescent="0.25">
      <c r="A226" s="5">
        <v>44367</v>
      </c>
      <c r="B226">
        <v>0.96719999999999995</v>
      </c>
      <c r="C226">
        <v>0.98080000000000001</v>
      </c>
      <c r="D226">
        <v>0.88539999999999996</v>
      </c>
      <c r="E226">
        <v>0.95630000000000004</v>
      </c>
      <c r="F226">
        <v>3706634.08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0.48637316561844957</v>
      </c>
      <c r="Q226">
        <f t="shared" si="960"/>
        <v>1802807.3512788294</v>
      </c>
      <c r="R226">
        <f t="shared" si="961"/>
        <v>9716890.1757977605</v>
      </c>
      <c r="S226">
        <f t="shared" si="962"/>
        <v>97.168901757977608</v>
      </c>
      <c r="T226">
        <f t="shared" si="963"/>
        <v>9.7168901757977613E-2</v>
      </c>
    </row>
    <row r="227" spans="1:20" x14ac:dyDescent="0.25">
      <c r="A227" s="5">
        <v>44366</v>
      </c>
      <c r="B227">
        <v>0.98719999999999997</v>
      </c>
      <c r="C227">
        <v>1.01</v>
      </c>
      <c r="D227">
        <v>0.95879999999999999</v>
      </c>
      <c r="E227">
        <v>0.96740000000000004</v>
      </c>
      <c r="F227">
        <v>3017890.73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-0.66406249999999811</v>
      </c>
      <c r="Q227">
        <f t="shared" si="960"/>
        <v>-2004068.0628906193</v>
      </c>
      <c r="R227">
        <f t="shared" si="961"/>
        <v>7914082.8245189302</v>
      </c>
      <c r="S227">
        <f t="shared" si="962"/>
        <v>79.140828245189297</v>
      </c>
      <c r="T227">
        <f t="shared" si="963"/>
        <v>7.9140828245189296E-2</v>
      </c>
    </row>
    <row r="228" spans="1:20" x14ac:dyDescent="0.25">
      <c r="A228" s="5">
        <v>44365</v>
      </c>
      <c r="B228">
        <v>1.0775999999999999</v>
      </c>
      <c r="C228">
        <v>1.0781000000000001</v>
      </c>
      <c r="D228">
        <v>0.94810000000000005</v>
      </c>
      <c r="E228">
        <v>0.9839</v>
      </c>
      <c r="F228">
        <v>4820469.78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-0.4492307692307701</v>
      </c>
      <c r="Q228">
        <f t="shared" si="960"/>
        <v>-2165503.3473230815</v>
      </c>
      <c r="R228">
        <f t="shared" si="961"/>
        <v>9918150.8874095492</v>
      </c>
      <c r="S228">
        <f t="shared" si="962"/>
        <v>99.181508874095499</v>
      </c>
      <c r="T228">
        <f t="shared" si="963"/>
        <v>9.9181508874095506E-2</v>
      </c>
    </row>
    <row r="229" spans="1:20" x14ac:dyDescent="0.25">
      <c r="A229" s="5">
        <v>44364</v>
      </c>
      <c r="B229">
        <v>1.0847</v>
      </c>
      <c r="C229">
        <v>1.1598999999999999</v>
      </c>
      <c r="D229">
        <v>1.05</v>
      </c>
      <c r="E229">
        <v>1.0773999999999999</v>
      </c>
      <c r="F229">
        <v>7808207.7300000004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-0.50136487716105738</v>
      </c>
      <c r="Q229">
        <f t="shared" si="960"/>
        <v>-3914761.1093994691</v>
      </c>
      <c r="R229">
        <f t="shared" si="961"/>
        <v>12083654.234732632</v>
      </c>
      <c r="S229">
        <f t="shared" si="962"/>
        <v>120.83654234732631</v>
      </c>
      <c r="T229">
        <f t="shared" si="963"/>
        <v>0.12083654234732631</v>
      </c>
    </row>
    <row r="230" spans="1:20" x14ac:dyDescent="0.25">
      <c r="A230" s="5">
        <v>44363</v>
      </c>
      <c r="B230">
        <v>1.0928</v>
      </c>
      <c r="C230">
        <v>1.1316999999999999</v>
      </c>
      <c r="D230">
        <v>1.0276000000000001</v>
      </c>
      <c r="E230">
        <v>1.0848</v>
      </c>
      <c r="F230">
        <v>5271249.84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9.8943323727185298E-2</v>
      </c>
      <c r="Q230">
        <f t="shared" si="960"/>
        <v>521554.9793659937</v>
      </c>
      <c r="R230">
        <f t="shared" si="961"/>
        <v>15998415.344132101</v>
      </c>
      <c r="S230">
        <f t="shared" si="962"/>
        <v>159.98415344132101</v>
      </c>
      <c r="T230">
        <f t="shared" si="963"/>
        <v>0.15998415344132103</v>
      </c>
    </row>
    <row r="231" spans="1:20" x14ac:dyDescent="0.25">
      <c r="A231" s="5">
        <v>44362</v>
      </c>
      <c r="B231">
        <v>1.0446</v>
      </c>
      <c r="C231">
        <v>1.151</v>
      </c>
      <c r="D231">
        <v>1.0279</v>
      </c>
      <c r="E231">
        <v>1.0934999999999999</v>
      </c>
      <c r="F231">
        <v>6796304.4299999997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6.5800162469535128E-2</v>
      </c>
      <c r="Q231">
        <f t="shared" si="960"/>
        <v>447197.93568642129</v>
      </c>
      <c r="R231">
        <f t="shared" si="961"/>
        <v>15476860.364766108</v>
      </c>
      <c r="S231">
        <f t="shared" si="962"/>
        <v>154.76860364766108</v>
      </c>
      <c r="T231">
        <f t="shared" si="963"/>
        <v>0.15476860364766107</v>
      </c>
    </row>
    <row r="232" spans="1:20" x14ac:dyDescent="0.25">
      <c r="A232" s="5">
        <v>44361</v>
      </c>
      <c r="B232">
        <v>1.0233000000000001</v>
      </c>
      <c r="C232">
        <v>1.0672999999999999</v>
      </c>
      <c r="D232">
        <v>1.004</v>
      </c>
      <c r="E232">
        <v>1.0448999999999999</v>
      </c>
      <c r="F232">
        <v>4800479.8499999996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0.29225908372827786</v>
      </c>
      <c r="Q232">
        <f t="shared" si="960"/>
        <v>1402983.8424170606</v>
      </c>
      <c r="R232">
        <f t="shared" si="961"/>
        <v>15029662.429079687</v>
      </c>
      <c r="S232">
        <f t="shared" si="962"/>
        <v>150.29662429079687</v>
      </c>
      <c r="T232">
        <f t="shared" si="963"/>
        <v>0.15029662429079688</v>
      </c>
    </row>
    <row r="233" spans="1:20" x14ac:dyDescent="0.25">
      <c r="A233" s="5">
        <v>44360</v>
      </c>
      <c r="B233">
        <v>0.95399999999999996</v>
      </c>
      <c r="C233">
        <v>1.0249999999999999</v>
      </c>
      <c r="D233">
        <v>0.92390000000000005</v>
      </c>
      <c r="E233">
        <v>1.024</v>
      </c>
      <c r="F233">
        <v>3472333.48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0.98021760633036814</v>
      </c>
      <c r="Q233">
        <f t="shared" si="960"/>
        <v>3403642.4121463974</v>
      </c>
      <c r="R233">
        <f t="shared" si="961"/>
        <v>13626678.586662626</v>
      </c>
      <c r="S233">
        <f t="shared" si="962"/>
        <v>136.26678586662626</v>
      </c>
      <c r="T233">
        <f t="shared" si="963"/>
        <v>0.13626678586662627</v>
      </c>
    </row>
    <row r="234" spans="1:20" x14ac:dyDescent="0.25">
      <c r="A234" s="5">
        <v>44359</v>
      </c>
      <c r="B234">
        <v>0.99409999999999998</v>
      </c>
      <c r="C234">
        <v>1.0005999999999999</v>
      </c>
      <c r="D234">
        <v>0.90580000000000005</v>
      </c>
      <c r="E234">
        <v>0.95369999999999999</v>
      </c>
      <c r="F234">
        <v>5490314.2800000003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1.0548523206751077E-2</v>
      </c>
      <c r="Q234">
        <f t="shared" si="960"/>
        <v>57914.70759493683</v>
      </c>
      <c r="R234">
        <f t="shared" si="961"/>
        <v>10223036.174516229</v>
      </c>
      <c r="S234">
        <f t="shared" si="962"/>
        <v>102.23036174516228</v>
      </c>
      <c r="T234">
        <f t="shared" si="963"/>
        <v>0.10223036174516228</v>
      </c>
    </row>
    <row r="235" spans="1:20" x14ac:dyDescent="0.25">
      <c r="A235" s="5">
        <v>44358</v>
      </c>
      <c r="B235">
        <v>0.99970000000000003</v>
      </c>
      <c r="C235">
        <v>1.0961000000000001</v>
      </c>
      <c r="D235">
        <v>0.96419999999999995</v>
      </c>
      <c r="E235">
        <v>0.99629999999999996</v>
      </c>
      <c r="F235">
        <v>7713347.8499999996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-0.51326762699014428</v>
      </c>
      <c r="Q235">
        <f t="shared" si="960"/>
        <v>-3959011.7471190309</v>
      </c>
      <c r="R235">
        <f t="shared" si="961"/>
        <v>10165121.466921292</v>
      </c>
      <c r="S235">
        <f t="shared" si="962"/>
        <v>101.65121466921292</v>
      </c>
      <c r="T235">
        <f t="shared" si="963"/>
        <v>0.10165121466921292</v>
      </c>
    </row>
    <row r="236" spans="1:20" x14ac:dyDescent="0.25">
      <c r="A236" s="5">
        <v>44357</v>
      </c>
      <c r="B236">
        <v>1.0567</v>
      </c>
      <c r="C236">
        <v>1.0764</v>
      </c>
      <c r="D236">
        <v>0.98199999999999998</v>
      </c>
      <c r="E236">
        <v>0.99660000000000004</v>
      </c>
      <c r="F236">
        <v>10223478.529999999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-0.69067796610169385</v>
      </c>
      <c r="Q236">
        <f t="shared" si="960"/>
        <v>-7061131.3575847344</v>
      </c>
      <c r="R236">
        <f t="shared" si="961"/>
        <v>14124133.214040324</v>
      </c>
      <c r="S236">
        <f t="shared" si="962"/>
        <v>141.24133214040324</v>
      </c>
      <c r="T236">
        <f t="shared" si="963"/>
        <v>0.14124133214040324</v>
      </c>
    </row>
    <row r="237" spans="1:20" x14ac:dyDescent="0.25">
      <c r="A237" s="5">
        <v>44356</v>
      </c>
      <c r="B237">
        <v>1.0253000000000001</v>
      </c>
      <c r="C237">
        <v>1.07</v>
      </c>
      <c r="D237">
        <v>0.95489999999999997</v>
      </c>
      <c r="E237">
        <v>1.0580000000000001</v>
      </c>
      <c r="F237">
        <v>10294189.73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0.79148566463944392</v>
      </c>
      <c r="Q237">
        <f t="shared" si="960"/>
        <v>8147703.6003735885</v>
      </c>
      <c r="R237">
        <f t="shared" si="961"/>
        <v>21185264.571625058</v>
      </c>
      <c r="S237">
        <f t="shared" si="962"/>
        <v>211.85264571625058</v>
      </c>
      <c r="T237">
        <f t="shared" si="963"/>
        <v>0.21185264571625056</v>
      </c>
    </row>
    <row r="238" spans="1:20" x14ac:dyDescent="0.25">
      <c r="A238" s="5">
        <v>44355</v>
      </c>
      <c r="B238">
        <v>1.0880000000000001</v>
      </c>
      <c r="C238">
        <v>1.1127</v>
      </c>
      <c r="D238">
        <v>0.91339999999999999</v>
      </c>
      <c r="E238">
        <v>1.026</v>
      </c>
      <c r="F238">
        <v>11126440.460000001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0.129954841946814</v>
      </c>
      <c r="Q238">
        <f t="shared" si="960"/>
        <v>1445934.8114099365</v>
      </c>
      <c r="R238">
        <f t="shared" si="961"/>
        <v>13037560.971251469</v>
      </c>
      <c r="S238">
        <f t="shared" si="962"/>
        <v>130.37560971251469</v>
      </c>
      <c r="T238">
        <f t="shared" si="963"/>
        <v>0.13037560971251469</v>
      </c>
    </row>
    <row r="239" spans="1:20" x14ac:dyDescent="0.25">
      <c r="A239" s="5">
        <v>44354</v>
      </c>
      <c r="B239">
        <v>1.1573</v>
      </c>
      <c r="C239">
        <v>1.2663</v>
      </c>
      <c r="D239">
        <v>1.075</v>
      </c>
      <c r="E239">
        <v>1.0876999999999999</v>
      </c>
      <c r="F239">
        <v>15000106.689999999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-0.86722425509670742</v>
      </c>
      <c r="Q239">
        <f t="shared" si="960"/>
        <v>-13008456.350606387</v>
      </c>
      <c r="R239">
        <f t="shared" si="961"/>
        <v>11591626.159841532</v>
      </c>
      <c r="S239">
        <f t="shared" si="962"/>
        <v>115.91626159841532</v>
      </c>
      <c r="T239">
        <f t="shared" si="963"/>
        <v>0.11591626159841532</v>
      </c>
    </row>
    <row r="240" spans="1:20" x14ac:dyDescent="0.25">
      <c r="A240" s="5">
        <v>44353</v>
      </c>
      <c r="B240">
        <v>1.1614</v>
      </c>
      <c r="C240">
        <v>1.2164999999999999</v>
      </c>
      <c r="D240">
        <v>1.1201000000000001</v>
      </c>
      <c r="E240">
        <v>1.1572</v>
      </c>
      <c r="F240">
        <v>7392399.4400000004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-0.23029045643153567</v>
      </c>
      <c r="Q240">
        <f t="shared" si="960"/>
        <v>-1702399.0411618289</v>
      </c>
      <c r="R240">
        <f t="shared" si="961"/>
        <v>24600082.510447919</v>
      </c>
      <c r="S240">
        <f t="shared" si="962"/>
        <v>246.00082510447919</v>
      </c>
      <c r="T240">
        <f t="shared" si="963"/>
        <v>0.24600082510447918</v>
      </c>
    </row>
    <row r="241" spans="1:20" x14ac:dyDescent="0.25">
      <c r="A241" s="5">
        <v>44352</v>
      </c>
      <c r="B241">
        <v>1.1793</v>
      </c>
      <c r="C241">
        <v>1.36</v>
      </c>
      <c r="D241">
        <v>1.1120000000000001</v>
      </c>
      <c r="E241">
        <v>1.1612</v>
      </c>
      <c r="F241">
        <v>15606379.07</v>
      </c>
      <c r="G241">
        <v>0</v>
      </c>
      <c r="L241" t="s">
        <v>8</v>
      </c>
      <c r="M241" t="s">
        <v>8</v>
      </c>
      <c r="N241" t="s">
        <v>8</v>
      </c>
      <c r="P241">
        <f t="shared" si="959"/>
        <v>-0.60322580645161361</v>
      </c>
      <c r="Q241">
        <f t="shared" si="960"/>
        <v>-9414170.6002903339</v>
      </c>
      <c r="R241">
        <f t="shared" si="961"/>
        <v>26302481.551609747</v>
      </c>
      <c r="S241">
        <f t="shared" si="962"/>
        <v>263.02481551609748</v>
      </c>
      <c r="T241">
        <f t="shared" si="963"/>
        <v>0.26302481551609747</v>
      </c>
    </row>
    <row r="242" spans="1:20" x14ac:dyDescent="0.25">
      <c r="A242" s="5">
        <v>44351</v>
      </c>
      <c r="B242">
        <v>1.369</v>
      </c>
      <c r="C242">
        <v>1.3724000000000001</v>
      </c>
      <c r="D242">
        <v>1.081</v>
      </c>
      <c r="E242">
        <v>1.1829000000000001</v>
      </c>
      <c r="F242">
        <v>17256965.280000001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-0.30061770761839351</v>
      </c>
      <c r="Q242">
        <f t="shared" si="960"/>
        <v>-5187749.3429238088</v>
      </c>
      <c r="R242">
        <f t="shared" si="961"/>
        <v>35716652.151900083</v>
      </c>
      <c r="S242">
        <f t="shared" si="962"/>
        <v>357.16652151900081</v>
      </c>
      <c r="T242">
        <f t="shared" si="963"/>
        <v>0.3571665215190008</v>
      </c>
    </row>
    <row r="243" spans="1:20" x14ac:dyDescent="0.25">
      <c r="A243" s="5">
        <v>44350</v>
      </c>
      <c r="B243">
        <v>1.2317</v>
      </c>
      <c r="C243">
        <v>1.42</v>
      </c>
      <c r="D243">
        <v>1.1888000000000001</v>
      </c>
      <c r="E243">
        <v>1.369</v>
      </c>
      <c r="F243">
        <v>20623951.890000001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0.55882352941176494</v>
      </c>
      <c r="Q243">
        <f t="shared" si="960"/>
        <v>11525149.585588241</v>
      </c>
      <c r="R243">
        <f t="shared" si="961"/>
        <v>40904401.494823888</v>
      </c>
      <c r="S243">
        <f t="shared" si="962"/>
        <v>409.0440149482389</v>
      </c>
      <c r="T243">
        <f t="shared" si="963"/>
        <v>0.40904401494823889</v>
      </c>
    </row>
    <row r="244" spans="1:20" x14ac:dyDescent="0.25">
      <c r="A244" s="5">
        <v>44349</v>
      </c>
      <c r="B244">
        <v>1.1415999999999999</v>
      </c>
      <c r="C244">
        <v>1.3471</v>
      </c>
      <c r="D244">
        <v>1.0975999999999999</v>
      </c>
      <c r="E244">
        <v>1.2317</v>
      </c>
      <c r="F244">
        <v>15788400.07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7.4949899799599831E-2</v>
      </c>
      <c r="Q244">
        <f t="shared" si="960"/>
        <v>1183339.003242495</v>
      </c>
      <c r="R244">
        <f t="shared" si="961"/>
        <v>29379251.909235645</v>
      </c>
      <c r="S244">
        <f t="shared" si="962"/>
        <v>293.79251909235643</v>
      </c>
      <c r="T244">
        <f t="shared" si="963"/>
        <v>0.29379251909235643</v>
      </c>
    </row>
    <row r="245" spans="1:20" x14ac:dyDescent="0.25">
      <c r="A245" s="5">
        <v>44348</v>
      </c>
      <c r="B245">
        <v>1.0999000000000001</v>
      </c>
      <c r="C245">
        <v>1.18</v>
      </c>
      <c r="D245">
        <v>1.0408999999999999</v>
      </c>
      <c r="E245">
        <v>1.1435999999999999</v>
      </c>
      <c r="F245">
        <v>10451566.609999999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0.47663551401869175</v>
      </c>
      <c r="Q245">
        <f t="shared" si="960"/>
        <v>4981587.8234579451</v>
      </c>
      <c r="R245">
        <f t="shared" si="961"/>
        <v>28195912.905993149</v>
      </c>
      <c r="S245">
        <f t="shared" si="962"/>
        <v>281.95912905993151</v>
      </c>
      <c r="T245">
        <f t="shared" si="963"/>
        <v>0.28195912905993153</v>
      </c>
    </row>
    <row r="246" spans="1:20" x14ac:dyDescent="0.25">
      <c r="A246" s="5">
        <v>44347</v>
      </c>
      <c r="B246">
        <v>1.0024</v>
      </c>
      <c r="C246">
        <v>1.1243000000000001</v>
      </c>
      <c r="D246">
        <v>0.94210000000000005</v>
      </c>
      <c r="E246">
        <v>1.0999000000000001</v>
      </c>
      <c r="F246">
        <v>11298891.810000001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0.73216245883644371</v>
      </c>
      <c r="Q246">
        <f t="shared" si="960"/>
        <v>8272624.409736556</v>
      </c>
      <c r="R246">
        <f t="shared" si="961"/>
        <v>23214325.082535204</v>
      </c>
      <c r="S246">
        <f t="shared" si="962"/>
        <v>232.14325082535203</v>
      </c>
      <c r="T246">
        <f t="shared" si="963"/>
        <v>0.23214325082535203</v>
      </c>
    </row>
    <row r="247" spans="1:20" x14ac:dyDescent="0.25">
      <c r="A247" s="5">
        <v>44346</v>
      </c>
      <c r="B247">
        <v>0.95420000000000005</v>
      </c>
      <c r="C247">
        <v>1.0544</v>
      </c>
      <c r="D247">
        <v>0.89859999999999995</v>
      </c>
      <c r="E247">
        <v>1.0053000000000001</v>
      </c>
      <c r="F247">
        <v>5834459.8200000003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0.36970474967907696</v>
      </c>
      <c r="Q247">
        <f t="shared" si="960"/>
        <v>2157027.5072657326</v>
      </c>
      <c r="R247">
        <f t="shared" si="961"/>
        <v>14941700.672798648</v>
      </c>
      <c r="S247">
        <f t="shared" si="962"/>
        <v>149.41700672798649</v>
      </c>
      <c r="T247">
        <f t="shared" si="963"/>
        <v>0.1494170067279865</v>
      </c>
    </row>
    <row r="248" spans="1:20" x14ac:dyDescent="0.25">
      <c r="A248" s="5">
        <v>44345</v>
      </c>
      <c r="B248">
        <v>1.0042</v>
      </c>
      <c r="C248">
        <v>1.1268</v>
      </c>
      <c r="D248">
        <v>0.89080000000000004</v>
      </c>
      <c r="E248">
        <v>0.95420000000000005</v>
      </c>
      <c r="F248">
        <v>11402229.23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-0.46271186440677953</v>
      </c>
      <c r="Q248">
        <f t="shared" si="960"/>
        <v>-5275946.7454067785</v>
      </c>
      <c r="R248">
        <f t="shared" si="961"/>
        <v>12784673.165532915</v>
      </c>
      <c r="S248">
        <f t="shared" si="962"/>
        <v>127.84673165532915</v>
      </c>
      <c r="T248">
        <f t="shared" si="963"/>
        <v>0.12784673165532914</v>
      </c>
    </row>
    <row r="249" spans="1:20" x14ac:dyDescent="0.25">
      <c r="A249" s="5">
        <v>44344</v>
      </c>
      <c r="B249">
        <v>1.1163000000000001</v>
      </c>
      <c r="C249">
        <v>1.19</v>
      </c>
      <c r="D249">
        <v>0.94240000000000002</v>
      </c>
      <c r="E249">
        <v>0.99950000000000006</v>
      </c>
      <c r="F249">
        <v>14877297.380000001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-0.53877221324717239</v>
      </c>
      <c r="Q249">
        <f t="shared" si="960"/>
        <v>-8015474.43655896</v>
      </c>
      <c r="R249">
        <f t="shared" si="961"/>
        <v>18060619.910939693</v>
      </c>
      <c r="S249">
        <f t="shared" si="962"/>
        <v>180.60619910939693</v>
      </c>
      <c r="T249">
        <f t="shared" si="963"/>
        <v>0.18060619910939693</v>
      </c>
    </row>
    <row r="250" spans="1:20" x14ac:dyDescent="0.25">
      <c r="A250" s="5">
        <v>44343</v>
      </c>
      <c r="B250">
        <v>1.2492000000000001</v>
      </c>
      <c r="C250">
        <v>1.2499</v>
      </c>
      <c r="D250">
        <v>1.0674999999999999</v>
      </c>
      <c r="E250">
        <v>1.1163000000000001</v>
      </c>
      <c r="F250">
        <v>9455779.4600000009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-0.46491228070175278</v>
      </c>
      <c r="Q250">
        <f t="shared" si="960"/>
        <v>-4396107.9945613891</v>
      </c>
      <c r="R250">
        <f t="shared" si="961"/>
        <v>26076094.347498655</v>
      </c>
      <c r="S250">
        <f t="shared" si="962"/>
        <v>260.76094347498656</v>
      </c>
      <c r="T250">
        <f t="shared" si="963"/>
        <v>0.26076094347498657</v>
      </c>
    </row>
    <row r="251" spans="1:20" x14ac:dyDescent="0.25">
      <c r="A251" s="5">
        <v>44342</v>
      </c>
      <c r="B251">
        <v>1.0266999999999999</v>
      </c>
      <c r="C251">
        <v>1.2685999999999999</v>
      </c>
      <c r="D251">
        <v>0.99780000000000002</v>
      </c>
      <c r="E251">
        <v>1.2476</v>
      </c>
      <c r="F251">
        <v>16728457.199999999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0.84490398818316159</v>
      </c>
      <c r="Q251">
        <f t="shared" si="960"/>
        <v>14133940.204431323</v>
      </c>
      <c r="R251">
        <f t="shared" si="961"/>
        <v>30472202.342060044</v>
      </c>
      <c r="S251">
        <f t="shared" si="962"/>
        <v>304.72202342060046</v>
      </c>
      <c r="T251">
        <f t="shared" si="963"/>
        <v>0.30472202342060045</v>
      </c>
    </row>
    <row r="252" spans="1:20" x14ac:dyDescent="0.25">
      <c r="A252" s="5">
        <v>44341</v>
      </c>
      <c r="B252">
        <v>1.0605</v>
      </c>
      <c r="C252">
        <v>1.1388</v>
      </c>
      <c r="D252">
        <v>0.91349999999999998</v>
      </c>
      <c r="E252">
        <v>1.0263</v>
      </c>
      <c r="F252">
        <v>11462388.01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1.3315579227694936E-3</v>
      </c>
      <c r="Q252">
        <f t="shared" si="960"/>
        <v>15262.833568573549</v>
      </c>
      <c r="R252">
        <f t="shared" si="961"/>
        <v>16338262.137628721</v>
      </c>
      <c r="S252">
        <f t="shared" si="962"/>
        <v>163.3826213762872</v>
      </c>
      <c r="T252">
        <f t="shared" si="963"/>
        <v>0.1633826213762872</v>
      </c>
    </row>
    <row r="253" spans="1:20" x14ac:dyDescent="0.25">
      <c r="A253" s="5">
        <v>44340</v>
      </c>
      <c r="B253">
        <v>0.81259999999999999</v>
      </c>
      <c r="C253">
        <v>1.079</v>
      </c>
      <c r="D253">
        <v>0.79649999999999999</v>
      </c>
      <c r="E253">
        <v>1.0603</v>
      </c>
      <c r="F253">
        <v>12150015.810000001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0.86761061946902696</v>
      </c>
      <c r="Q253">
        <f t="shared" si="960"/>
        <v>10541482.743472572</v>
      </c>
      <c r="R253">
        <f t="shared" si="961"/>
        <v>16322999.304060148</v>
      </c>
      <c r="S253">
        <f t="shared" si="962"/>
        <v>163.22999304060147</v>
      </c>
      <c r="T253">
        <f t="shared" si="963"/>
        <v>0.16322999304060148</v>
      </c>
    </row>
    <row r="254" spans="1:20" x14ac:dyDescent="0.25">
      <c r="A254" s="5">
        <v>44339</v>
      </c>
      <c r="B254">
        <v>0.96150000000000002</v>
      </c>
      <c r="C254">
        <v>1.0185</v>
      </c>
      <c r="D254">
        <v>0.62919999999999998</v>
      </c>
      <c r="E254">
        <v>0.81240000000000001</v>
      </c>
      <c r="F254">
        <v>19177942.059999999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-5.8823529411764504E-2</v>
      </c>
      <c r="Q254">
        <f t="shared" si="960"/>
        <v>-1128114.2388235254</v>
      </c>
      <c r="R254">
        <f t="shared" si="961"/>
        <v>5781516.5605875757</v>
      </c>
      <c r="S254">
        <f t="shared" si="962"/>
        <v>57.815165605875755</v>
      </c>
      <c r="T254">
        <f t="shared" si="963"/>
        <v>5.7815165605875754E-2</v>
      </c>
    </row>
    <row r="255" spans="1:20" x14ac:dyDescent="0.25">
      <c r="A255" s="5">
        <v>44338</v>
      </c>
      <c r="B255">
        <v>1.0603</v>
      </c>
      <c r="C255">
        <v>1.1000000000000001</v>
      </c>
      <c r="D255">
        <v>0.9244</v>
      </c>
      <c r="E255">
        <v>0.95940000000000003</v>
      </c>
      <c r="F255">
        <v>9757646.4900000002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-0.60136674259681078</v>
      </c>
      <c r="Q255">
        <f t="shared" si="960"/>
        <v>-5867924.0851025041</v>
      </c>
      <c r="R255">
        <f t="shared" si="961"/>
        <v>6909630.7994111013</v>
      </c>
      <c r="S255">
        <f t="shared" si="962"/>
        <v>69.096307994111015</v>
      </c>
      <c r="T255">
        <f t="shared" si="963"/>
        <v>6.9096307994111011E-2</v>
      </c>
    </row>
    <row r="256" spans="1:20" x14ac:dyDescent="0.25">
      <c r="A256" s="5">
        <v>44337</v>
      </c>
      <c r="B256">
        <v>1.2683</v>
      </c>
      <c r="C256">
        <v>1.3371999999999999</v>
      </c>
      <c r="D256">
        <v>0.8669</v>
      </c>
      <c r="E256">
        <v>1.0597000000000001</v>
      </c>
      <c r="F256">
        <v>17300087.899999999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-0.18009780990856855</v>
      </c>
      <c r="Q256">
        <f t="shared" si="960"/>
        <v>-3115707.9420157266</v>
      </c>
      <c r="R256">
        <f t="shared" si="961"/>
        <v>12777554.884513605</v>
      </c>
      <c r="S256">
        <f t="shared" si="962"/>
        <v>127.77554884513606</v>
      </c>
      <c r="T256">
        <f t="shared" si="963"/>
        <v>0.12777554884513606</v>
      </c>
    </row>
    <row r="257" spans="1:20" x14ac:dyDescent="0.25">
      <c r="A257" s="5">
        <v>44336</v>
      </c>
      <c r="B257">
        <v>1.1361000000000001</v>
      </c>
      <c r="C257">
        <v>1.3877999999999999</v>
      </c>
      <c r="D257">
        <v>1.0011000000000001</v>
      </c>
      <c r="E257">
        <v>1.2685999999999999</v>
      </c>
      <c r="F257">
        <v>13650816.189999999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0.38350142229118167</v>
      </c>
      <c r="Q257">
        <f t="shared" si="960"/>
        <v>5235107.424300489</v>
      </c>
      <c r="R257">
        <f t="shared" si="961"/>
        <v>15893262.826529332</v>
      </c>
      <c r="S257">
        <f t="shared" si="962"/>
        <v>158.93262826529332</v>
      </c>
      <c r="T257">
        <f t="shared" si="963"/>
        <v>0.15893262826529331</v>
      </c>
    </row>
    <row r="258" spans="1:20" x14ac:dyDescent="0.25">
      <c r="A258" s="5">
        <v>44335</v>
      </c>
      <c r="B258">
        <v>1.8687</v>
      </c>
      <c r="C258">
        <v>1.9067000000000001</v>
      </c>
      <c r="D258">
        <v>0.82</v>
      </c>
      <c r="E258">
        <v>1.1299999999999999</v>
      </c>
      <c r="F258">
        <v>24417953.469999999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-0.42946535382350254</v>
      </c>
      <c r="Q258">
        <f t="shared" si="960"/>
        <v>-10486665.02663937</v>
      </c>
      <c r="R258">
        <f t="shared" si="961"/>
        <v>10658155.402228842</v>
      </c>
      <c r="S258">
        <f t="shared" si="962"/>
        <v>106.58155402228842</v>
      </c>
      <c r="T258">
        <f t="shared" si="963"/>
        <v>0.10658155402228842</v>
      </c>
    </row>
    <row r="259" spans="1:20" x14ac:dyDescent="0.25">
      <c r="A259" s="5">
        <v>44334</v>
      </c>
      <c r="B259">
        <v>1.8917999999999999</v>
      </c>
      <c r="C259">
        <v>2.0085999999999999</v>
      </c>
      <c r="D259">
        <v>1.8068</v>
      </c>
      <c r="E259">
        <v>1.8716999999999999</v>
      </c>
      <c r="F259">
        <v>7233499.9900000002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-0.3567888999008923</v>
      </c>
      <c r="Q259">
        <f t="shared" si="960"/>
        <v>-2580832.5038652155</v>
      </c>
      <c r="R259">
        <f t="shared" si="961"/>
        <v>21144820.428868212</v>
      </c>
      <c r="S259">
        <f t="shared" si="962"/>
        <v>211.44820428868212</v>
      </c>
      <c r="T259">
        <f t="shared" si="963"/>
        <v>0.21144820428868211</v>
      </c>
    </row>
    <row r="260" spans="1:20" x14ac:dyDescent="0.25">
      <c r="A260" s="5">
        <v>44333</v>
      </c>
      <c r="B260">
        <v>1.9668000000000001</v>
      </c>
      <c r="C260">
        <v>1.9669000000000001</v>
      </c>
      <c r="D260">
        <v>1.6974</v>
      </c>
      <c r="E260">
        <v>1.8918999999999999</v>
      </c>
      <c r="F260">
        <v>10381591.449999999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0.44341372912801369</v>
      </c>
      <c r="Q260">
        <f t="shared" si="960"/>
        <v>4603340.1791280024</v>
      </c>
      <c r="R260">
        <f t="shared" si="961"/>
        <v>23725652.932733428</v>
      </c>
      <c r="S260">
        <f t="shared" si="962"/>
        <v>237.25652932733428</v>
      </c>
      <c r="T260">
        <f t="shared" si="963"/>
        <v>0.23725652932733426</v>
      </c>
    </row>
    <row r="261" spans="1:20" x14ac:dyDescent="0.25">
      <c r="A261" s="5">
        <v>44332</v>
      </c>
      <c r="B261">
        <v>1.8647</v>
      </c>
      <c r="C261">
        <v>2.1</v>
      </c>
      <c r="D261">
        <v>1.8188</v>
      </c>
      <c r="E261">
        <v>1.9657</v>
      </c>
      <c r="F261">
        <v>8793459.5199999996</v>
      </c>
      <c r="G261">
        <v>0</v>
      </c>
      <c r="L261" t="s">
        <v>8</v>
      </c>
      <c r="M261" t="s">
        <v>7</v>
      </c>
      <c r="N261" t="s">
        <v>7</v>
      </c>
      <c r="P261">
        <f t="shared" si="959"/>
        <v>4.4807965860597224E-2</v>
      </c>
      <c r="Q261">
        <f t="shared" si="960"/>
        <v>394017.03396870365</v>
      </c>
      <c r="R261">
        <f t="shared" si="961"/>
        <v>19122312.753605425</v>
      </c>
      <c r="S261">
        <f t="shared" si="962"/>
        <v>191.22312753605425</v>
      </c>
      <c r="T261">
        <f t="shared" si="963"/>
        <v>0.19122312753605425</v>
      </c>
    </row>
    <row r="262" spans="1:20" x14ac:dyDescent="0.25">
      <c r="A262" s="5">
        <v>44331</v>
      </c>
      <c r="B262">
        <v>2.0528</v>
      </c>
      <c r="C262">
        <v>2.0935999999999999</v>
      </c>
      <c r="D262">
        <v>1.8411</v>
      </c>
      <c r="E262">
        <v>1.863</v>
      </c>
      <c r="F262">
        <v>6473471.1600000001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-0.82653465346534627</v>
      </c>
      <c r="Q262">
        <f t="shared" ref="Q262:Q325" si="965">F262*P262</f>
        <v>-5350548.2419485133</v>
      </c>
      <c r="R262">
        <f t="shared" ref="R262:R325" si="966">R263+Q262</f>
        <v>18728295.719636723</v>
      </c>
      <c r="S262">
        <f t="shared" ref="S262:S325" si="967">R262/100000</f>
        <v>187.28295719636722</v>
      </c>
      <c r="T262">
        <f t="shared" ref="T262:T325" si="968">S262/1000</f>
        <v>0.18728295719636723</v>
      </c>
    </row>
    <row r="263" spans="1:20" x14ac:dyDescent="0.25">
      <c r="A263" s="5">
        <v>44330</v>
      </c>
      <c r="B263">
        <v>1.9695</v>
      </c>
      <c r="C263">
        <v>2.1560999999999999</v>
      </c>
      <c r="D263">
        <v>1.9134</v>
      </c>
      <c r="E263">
        <v>2.0527000000000002</v>
      </c>
      <c r="F263">
        <v>6844155.4299999997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0.14791924186238359</v>
      </c>
      <c r="Q263">
        <f t="shared" si="965"/>
        <v>1012382.2823939159</v>
      </c>
      <c r="R263">
        <f t="shared" si="966"/>
        <v>24078843.961585239</v>
      </c>
      <c r="S263">
        <f t="shared" si="967"/>
        <v>240.78843961585238</v>
      </c>
      <c r="T263">
        <f t="shared" si="968"/>
        <v>0.24078843961585239</v>
      </c>
    </row>
    <row r="264" spans="1:20" x14ac:dyDescent="0.25">
      <c r="A264" s="5">
        <v>44329</v>
      </c>
      <c r="B264">
        <v>1.9044000000000001</v>
      </c>
      <c r="C264">
        <v>2.12</v>
      </c>
      <c r="D264">
        <v>1.8</v>
      </c>
      <c r="E264">
        <v>1.9702</v>
      </c>
      <c r="F264">
        <v>10998944.85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6.374999999999921E-2</v>
      </c>
      <c r="Q264">
        <f t="shared" si="965"/>
        <v>701182.73418749124</v>
      </c>
      <c r="R264">
        <f t="shared" si="966"/>
        <v>23066461.679191321</v>
      </c>
      <c r="S264">
        <f t="shared" si="967"/>
        <v>230.6646167919132</v>
      </c>
      <c r="T264">
        <f t="shared" si="968"/>
        <v>0.23066461679191319</v>
      </c>
    </row>
    <row r="265" spans="1:20" x14ac:dyDescent="0.25">
      <c r="A265" s="5">
        <v>44328</v>
      </c>
      <c r="B265">
        <v>2.2437999999999998</v>
      </c>
      <c r="C265">
        <v>2.3363</v>
      </c>
      <c r="D265">
        <v>1.8575999999999999</v>
      </c>
      <c r="E265">
        <v>1.8885000000000001</v>
      </c>
      <c r="F265">
        <v>8835701.2799999993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-0.8709003551284723</v>
      </c>
      <c r="Q265">
        <f t="shared" si="965"/>
        <v>-7695015.3825610969</v>
      </c>
      <c r="R265">
        <f t="shared" si="966"/>
        <v>22365278.94500383</v>
      </c>
      <c r="S265">
        <f t="shared" si="967"/>
        <v>223.65278945003831</v>
      </c>
      <c r="T265">
        <f t="shared" si="968"/>
        <v>0.2236527894500383</v>
      </c>
    </row>
    <row r="266" spans="1:20" x14ac:dyDescent="0.25">
      <c r="A266" s="5">
        <v>44327</v>
      </c>
      <c r="B266">
        <v>2.1587999999999998</v>
      </c>
      <c r="C266">
        <v>2.274</v>
      </c>
      <c r="D266">
        <v>2.0926</v>
      </c>
      <c r="E266">
        <v>2.2433000000000001</v>
      </c>
      <c r="F266">
        <v>7476325.4000000004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0.66152149944873262</v>
      </c>
      <c r="Q266">
        <f t="shared" si="965"/>
        <v>4945749.9889746457</v>
      </c>
      <c r="R266">
        <f t="shared" si="966"/>
        <v>30060294.327564925</v>
      </c>
      <c r="S266">
        <f t="shared" si="967"/>
        <v>300.60294327564924</v>
      </c>
      <c r="T266">
        <f t="shared" si="968"/>
        <v>0.30060294327564924</v>
      </c>
    </row>
    <row r="267" spans="1:20" x14ac:dyDescent="0.25">
      <c r="A267" s="5">
        <v>44326</v>
      </c>
      <c r="B267">
        <v>2.4110999999999998</v>
      </c>
      <c r="C267">
        <v>2.536</v>
      </c>
      <c r="D267">
        <v>2</v>
      </c>
      <c r="E267">
        <v>2.1570999999999998</v>
      </c>
      <c r="F267">
        <v>9593901.4399999995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-0.41380597014925452</v>
      </c>
      <c r="Q267">
        <f t="shared" si="965"/>
        <v>-3970013.6928955298</v>
      </c>
      <c r="R267">
        <f t="shared" si="966"/>
        <v>25114544.338590279</v>
      </c>
      <c r="S267">
        <f t="shared" si="967"/>
        <v>251.14544338590278</v>
      </c>
      <c r="T267">
        <f t="shared" si="968"/>
        <v>0.25114544338590278</v>
      </c>
    </row>
    <row r="268" spans="1:20" x14ac:dyDescent="0.25">
      <c r="A268" s="5">
        <v>44325</v>
      </c>
      <c r="B268">
        <v>2.5059999999999998</v>
      </c>
      <c r="C268">
        <v>2.5547</v>
      </c>
      <c r="D268">
        <v>2.2970000000000002</v>
      </c>
      <c r="E268">
        <v>2.4110999999999998</v>
      </c>
      <c r="F268">
        <v>8028957.9500000002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-0.11447419480015734</v>
      </c>
      <c r="Q268">
        <f t="shared" si="965"/>
        <v>-919108.49641057197</v>
      </c>
      <c r="R268">
        <f t="shared" si="966"/>
        <v>29084558.031485811</v>
      </c>
      <c r="S268">
        <f t="shared" si="967"/>
        <v>290.84558031485813</v>
      </c>
      <c r="T268">
        <f t="shared" si="968"/>
        <v>0.29084558031485813</v>
      </c>
    </row>
    <row r="269" spans="1:20" x14ac:dyDescent="0.25">
      <c r="A269" s="5">
        <v>44324</v>
      </c>
      <c r="B269">
        <v>2.5259</v>
      </c>
      <c r="C269">
        <v>2.6551</v>
      </c>
      <c r="D269">
        <v>2.4762</v>
      </c>
      <c r="E269">
        <v>2.5051999999999999</v>
      </c>
      <c r="F269">
        <v>7818819.25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-0.6757965343767478</v>
      </c>
      <c r="Q269">
        <f t="shared" si="965"/>
        <v>-5283930.9520682022</v>
      </c>
      <c r="R269">
        <f t="shared" si="966"/>
        <v>30003666.527896382</v>
      </c>
      <c r="S269">
        <f t="shared" si="967"/>
        <v>300.03666527896382</v>
      </c>
      <c r="T269">
        <f t="shared" si="968"/>
        <v>0.30003666527896383</v>
      </c>
    </row>
    <row r="270" spans="1:20" x14ac:dyDescent="0.25">
      <c r="A270" s="5">
        <v>44323</v>
      </c>
      <c r="B270">
        <v>2.6057999999999999</v>
      </c>
      <c r="C270">
        <v>2.6496</v>
      </c>
      <c r="D270">
        <v>2.4350000000000001</v>
      </c>
      <c r="E270">
        <v>2.5270000000000001</v>
      </c>
      <c r="F270">
        <v>8806311.0999999996</v>
      </c>
      <c r="G270">
        <v>0</v>
      </c>
      <c r="L270" t="s">
        <v>7</v>
      </c>
      <c r="M270" t="s">
        <v>8</v>
      </c>
      <c r="N270" t="s">
        <v>8</v>
      </c>
      <c r="P270">
        <f t="shared" si="964"/>
        <v>-0.14259086672879662</v>
      </c>
      <c r="Q270">
        <f t="shared" si="965"/>
        <v>-1255699.5324324223</v>
      </c>
      <c r="R270">
        <f t="shared" si="966"/>
        <v>35287597.479964584</v>
      </c>
      <c r="S270">
        <f t="shared" si="967"/>
        <v>352.87597479964586</v>
      </c>
      <c r="T270">
        <f t="shared" si="968"/>
        <v>0.35287597479964589</v>
      </c>
    </row>
    <row r="271" spans="1:20" x14ac:dyDescent="0.25">
      <c r="A271" s="5">
        <v>44322</v>
      </c>
      <c r="B271">
        <v>2.6650999999999998</v>
      </c>
      <c r="C271">
        <v>2.8475000000000001</v>
      </c>
      <c r="D271">
        <v>2.4866000000000001</v>
      </c>
      <c r="E271">
        <v>2.6027999999999998</v>
      </c>
      <c r="F271">
        <v>13540944.689999999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-0.35605430867276455</v>
      </c>
      <c r="Q271">
        <f t="shared" si="965"/>
        <v>-4821311.700374092</v>
      </c>
      <c r="R271">
        <f t="shared" si="966"/>
        <v>36543297.012397006</v>
      </c>
      <c r="S271">
        <f t="shared" si="967"/>
        <v>365.43297012397005</v>
      </c>
      <c r="T271">
        <f t="shared" si="968"/>
        <v>0.36543297012397002</v>
      </c>
    </row>
    <row r="272" spans="1:20" x14ac:dyDescent="0.25">
      <c r="A272" s="5">
        <v>44321</v>
      </c>
      <c r="B272">
        <v>2.4531000000000001</v>
      </c>
      <c r="C272">
        <v>2.6888000000000001</v>
      </c>
      <c r="D272">
        <v>2.4258999999999999</v>
      </c>
      <c r="E272">
        <v>2.6650999999999998</v>
      </c>
      <c r="F272">
        <v>7971387.79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0.81970330924305623</v>
      </c>
      <c r="Q272">
        <f t="shared" si="965"/>
        <v>6534172.9507226925</v>
      </c>
      <c r="R272">
        <f t="shared" si="966"/>
        <v>41364608.712771095</v>
      </c>
      <c r="S272">
        <f t="shared" si="967"/>
        <v>413.64608712771093</v>
      </c>
      <c r="T272">
        <f t="shared" si="968"/>
        <v>0.41364608712771095</v>
      </c>
    </row>
    <row r="273" spans="1:20" x14ac:dyDescent="0.25">
      <c r="A273" s="5">
        <v>44320</v>
      </c>
      <c r="B273">
        <v>2.8477000000000001</v>
      </c>
      <c r="C273">
        <v>2.85</v>
      </c>
      <c r="D273">
        <v>2.4058999999999999</v>
      </c>
      <c r="E273">
        <v>2.4495</v>
      </c>
      <c r="F273">
        <v>13584488.99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-0.80364782706597582</v>
      </c>
      <c r="Q273">
        <f t="shared" si="965"/>
        <v>-10917145.058615172</v>
      </c>
      <c r="R273">
        <f t="shared" si="966"/>
        <v>34830435.762048401</v>
      </c>
      <c r="S273">
        <f t="shared" si="967"/>
        <v>348.30435762048398</v>
      </c>
      <c r="T273">
        <f t="shared" si="968"/>
        <v>0.34830435762048401</v>
      </c>
    </row>
    <row r="274" spans="1:20" x14ac:dyDescent="0.25">
      <c r="A274" s="5">
        <v>44319</v>
      </c>
      <c r="B274">
        <v>2.8935</v>
      </c>
      <c r="C274">
        <v>3.1</v>
      </c>
      <c r="D274">
        <v>2.7837000000000001</v>
      </c>
      <c r="E274">
        <v>2.8466999999999998</v>
      </c>
      <c r="F274">
        <v>15130417.890000001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-0.60164400885235714</v>
      </c>
      <c r="Q274">
        <f t="shared" si="965"/>
        <v>-9103125.274951024</v>
      </c>
      <c r="R274">
        <f t="shared" si="966"/>
        <v>45747580.820663571</v>
      </c>
      <c r="S274">
        <f t="shared" si="967"/>
        <v>457.47580820663569</v>
      </c>
      <c r="T274">
        <f t="shared" si="968"/>
        <v>0.45747580820663569</v>
      </c>
    </row>
    <row r="275" spans="1:20" x14ac:dyDescent="0.25">
      <c r="A275" s="5">
        <v>44318</v>
      </c>
      <c r="B275">
        <v>2.6427</v>
      </c>
      <c r="C275">
        <v>2.9980000000000002</v>
      </c>
      <c r="D275">
        <v>2.4666000000000001</v>
      </c>
      <c r="E275">
        <v>2.8940999999999999</v>
      </c>
      <c r="F275">
        <v>15472594.67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0.60895747083176399</v>
      </c>
      <c r="Q275">
        <f t="shared" si="965"/>
        <v>9422152.1174482312</v>
      </c>
      <c r="R275">
        <f t="shared" si="966"/>
        <v>54850706.095614597</v>
      </c>
      <c r="S275">
        <f t="shared" si="967"/>
        <v>548.50706095614601</v>
      </c>
      <c r="T275">
        <f t="shared" si="968"/>
        <v>0.54850706095614599</v>
      </c>
    </row>
    <row r="276" spans="1:20" x14ac:dyDescent="0.25">
      <c r="A276" s="5">
        <v>44317</v>
      </c>
      <c r="B276">
        <v>2.6688999999999998</v>
      </c>
      <c r="C276">
        <v>2.8</v>
      </c>
      <c r="D276">
        <v>2.5752000000000002</v>
      </c>
      <c r="E276">
        <v>2.6440000000000001</v>
      </c>
      <c r="F276">
        <v>7367419.1699999999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-0.38790035587188548</v>
      </c>
      <c r="Q276">
        <f t="shared" si="965"/>
        <v>-2857824.517900351</v>
      </c>
      <c r="R276">
        <f t="shared" si="966"/>
        <v>45428553.978166364</v>
      </c>
      <c r="S276">
        <f t="shared" si="967"/>
        <v>454.28553978166366</v>
      </c>
      <c r="T276">
        <f t="shared" si="968"/>
        <v>0.45428553978166364</v>
      </c>
    </row>
    <row r="277" spans="1:20" x14ac:dyDescent="0.25">
      <c r="A277" s="5">
        <v>44316</v>
      </c>
      <c r="B277">
        <v>2.6295999999999999</v>
      </c>
      <c r="C277">
        <v>2.7107000000000001</v>
      </c>
      <c r="D277">
        <v>2.4668999999999999</v>
      </c>
      <c r="E277">
        <v>2.6711</v>
      </c>
      <c r="F277">
        <v>9594882.5099999998</v>
      </c>
      <c r="G277">
        <v>0</v>
      </c>
      <c r="L277" t="s">
        <v>7</v>
      </c>
      <c r="M277" t="s">
        <v>8</v>
      </c>
      <c r="N277" t="s">
        <v>8</v>
      </c>
      <c r="P277">
        <f t="shared" si="964"/>
        <v>0.67514356029532374</v>
      </c>
      <c r="Q277">
        <f t="shared" si="965"/>
        <v>6477923.1384167317</v>
      </c>
      <c r="R277">
        <f t="shared" si="966"/>
        <v>48286378.496066712</v>
      </c>
      <c r="S277">
        <f t="shared" si="967"/>
        <v>482.86378496066715</v>
      </c>
      <c r="T277">
        <f t="shared" si="968"/>
        <v>0.48286378496066712</v>
      </c>
    </row>
    <row r="278" spans="1:20" x14ac:dyDescent="0.25">
      <c r="A278" s="5">
        <v>44315</v>
      </c>
      <c r="B278">
        <v>2.2717999999999998</v>
      </c>
      <c r="C278">
        <v>2.7418999999999998</v>
      </c>
      <c r="D278">
        <v>2.181</v>
      </c>
      <c r="E278">
        <v>2.6318000000000001</v>
      </c>
      <c r="F278">
        <v>20932759.039999999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0.60741665180959281</v>
      </c>
      <c r="Q278">
        <f t="shared" si="965"/>
        <v>12714906.409213785</v>
      </c>
      <c r="R278">
        <f t="shared" si="966"/>
        <v>41808455.357649982</v>
      </c>
      <c r="S278">
        <f t="shared" si="967"/>
        <v>418.08455357649984</v>
      </c>
      <c r="T278">
        <f t="shared" si="968"/>
        <v>0.41808455357649982</v>
      </c>
    </row>
    <row r="279" spans="1:20" x14ac:dyDescent="0.25">
      <c r="A279" s="5">
        <v>44314</v>
      </c>
      <c r="B279">
        <v>2.3624999999999998</v>
      </c>
      <c r="C279">
        <v>2.4470000000000001</v>
      </c>
      <c r="D279">
        <v>2.1242000000000001</v>
      </c>
      <c r="E279">
        <v>2.2705000000000002</v>
      </c>
      <c r="F279">
        <v>11239324.470000001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-9.3556381660470214E-2</v>
      </c>
      <c r="Q279">
        <f t="shared" si="965"/>
        <v>-1051510.5297211821</v>
      </c>
      <c r="R279">
        <f t="shared" si="966"/>
        <v>29093548.948436193</v>
      </c>
      <c r="S279">
        <f t="shared" si="967"/>
        <v>290.93548948436194</v>
      </c>
      <c r="T279">
        <f t="shared" si="968"/>
        <v>0.29093548948436193</v>
      </c>
    </row>
    <row r="280" spans="1:20" x14ac:dyDescent="0.25">
      <c r="A280" s="5">
        <v>44313</v>
      </c>
      <c r="B280">
        <v>2.3401000000000001</v>
      </c>
      <c r="C280">
        <v>2.5299999999999998</v>
      </c>
      <c r="D280">
        <v>2.2498</v>
      </c>
      <c r="E280">
        <v>2.3626999999999998</v>
      </c>
      <c r="F280">
        <v>10164560.49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-0.1941470378301223</v>
      </c>
      <c r="Q280">
        <f t="shared" si="965"/>
        <v>-1973419.3099785964</v>
      </c>
      <c r="R280">
        <f t="shared" si="966"/>
        <v>30145059.478157375</v>
      </c>
      <c r="S280">
        <f t="shared" si="967"/>
        <v>301.45059478157373</v>
      </c>
      <c r="T280">
        <f t="shared" si="968"/>
        <v>0.30145059478157371</v>
      </c>
    </row>
    <row r="281" spans="1:20" x14ac:dyDescent="0.25">
      <c r="A281" s="5">
        <v>44312</v>
      </c>
      <c r="B281">
        <v>2.2616999999999998</v>
      </c>
      <c r="C281">
        <v>2.3877999999999999</v>
      </c>
      <c r="D281">
        <v>2.1800000000000002</v>
      </c>
      <c r="E281">
        <v>2.3386999999999998</v>
      </c>
      <c r="F281">
        <v>12176677.960000001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0.52743022136669682</v>
      </c>
      <c r="Q281">
        <f t="shared" si="965"/>
        <v>6422347.951953779</v>
      </c>
      <c r="R281">
        <f t="shared" si="966"/>
        <v>32118478.788135972</v>
      </c>
      <c r="S281">
        <f t="shared" si="967"/>
        <v>321.18478788135974</v>
      </c>
      <c r="T281">
        <f t="shared" si="968"/>
        <v>0.32118478788135973</v>
      </c>
    </row>
    <row r="282" spans="1:20" x14ac:dyDescent="0.25">
      <c r="A282" s="5">
        <v>44311</v>
      </c>
      <c r="B282">
        <v>1.849</v>
      </c>
      <c r="C282">
        <v>2.2999999999999998</v>
      </c>
      <c r="D282">
        <v>1.82</v>
      </c>
      <c r="E282">
        <v>2.2616000000000001</v>
      </c>
      <c r="F282">
        <v>14931348.57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0.84000000000000086</v>
      </c>
      <c r="Q282">
        <f t="shared" si="965"/>
        <v>12542332.798800014</v>
      </c>
      <c r="R282">
        <f t="shared" si="966"/>
        <v>25696130.836182192</v>
      </c>
      <c r="S282">
        <f t="shared" si="967"/>
        <v>256.96130836182192</v>
      </c>
      <c r="T282">
        <f t="shared" si="968"/>
        <v>0.25696130836182191</v>
      </c>
    </row>
    <row r="283" spans="1:20" x14ac:dyDescent="0.25">
      <c r="A283" s="5">
        <v>44310</v>
      </c>
      <c r="B283">
        <v>2.0615999999999999</v>
      </c>
      <c r="C283">
        <v>2.0649999999999999</v>
      </c>
      <c r="D283">
        <v>1.8198000000000001</v>
      </c>
      <c r="E283">
        <v>1.849</v>
      </c>
      <c r="F283">
        <v>7208328.4500000002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-0.76182707993474785</v>
      </c>
      <c r="Q283">
        <f t="shared" si="965"/>
        <v>-5491499.8142740671</v>
      </c>
      <c r="R283">
        <f t="shared" si="966"/>
        <v>13153798.037382176</v>
      </c>
      <c r="S283">
        <f t="shared" si="967"/>
        <v>131.53798037382177</v>
      </c>
      <c r="T283">
        <f t="shared" si="968"/>
        <v>0.13153798037382178</v>
      </c>
    </row>
    <row r="284" spans="1:20" x14ac:dyDescent="0.25">
      <c r="A284" s="5">
        <v>44309</v>
      </c>
      <c r="B284">
        <v>1.9804999999999999</v>
      </c>
      <c r="C284">
        <v>2.0655000000000001</v>
      </c>
      <c r="D284">
        <v>1.66</v>
      </c>
      <c r="E284">
        <v>2.0653999999999999</v>
      </c>
      <c r="F284">
        <v>17919079.449999999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0.99950678175092378</v>
      </c>
      <c r="Q284">
        <f t="shared" si="965"/>
        <v>17910241.433008611</v>
      </c>
      <c r="R284">
        <f t="shared" si="966"/>
        <v>18645297.851656243</v>
      </c>
      <c r="S284">
        <f t="shared" si="967"/>
        <v>186.45297851656244</v>
      </c>
      <c r="T284">
        <f t="shared" si="968"/>
        <v>0.18645297851656245</v>
      </c>
    </row>
    <row r="285" spans="1:20" x14ac:dyDescent="0.25">
      <c r="A285" s="5">
        <v>44308</v>
      </c>
      <c r="B285">
        <v>2.2338</v>
      </c>
      <c r="C285">
        <v>2.3717999999999999</v>
      </c>
      <c r="D285">
        <v>1.9579</v>
      </c>
      <c r="E285">
        <v>1.9861</v>
      </c>
      <c r="F285">
        <v>13361721.67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-0.86373520173955054</v>
      </c>
      <c r="Q285">
        <f t="shared" si="965"/>
        <v>-11540989.362225175</v>
      </c>
      <c r="R285">
        <f t="shared" si="966"/>
        <v>735056.41864763387</v>
      </c>
      <c r="S285">
        <f t="shared" si="967"/>
        <v>7.3505641864763387</v>
      </c>
      <c r="T285">
        <f t="shared" si="968"/>
        <v>7.3505641864763391E-3</v>
      </c>
    </row>
    <row r="286" spans="1:20" x14ac:dyDescent="0.25">
      <c r="A286" s="5">
        <v>44307</v>
      </c>
      <c r="B286">
        <v>2.4470999999999998</v>
      </c>
      <c r="C286">
        <v>2.5099999999999998</v>
      </c>
      <c r="D286">
        <v>2.2096</v>
      </c>
      <c r="E286">
        <v>2.23</v>
      </c>
      <c r="F286">
        <v>10794907.289999999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-0.8641810918774967</v>
      </c>
      <c r="Q286">
        <f t="shared" si="965"/>
        <v>-9328754.7685885485</v>
      </c>
      <c r="R286">
        <f t="shared" si="966"/>
        <v>12276045.780872809</v>
      </c>
      <c r="S286">
        <f t="shared" si="967"/>
        <v>122.76045780872809</v>
      </c>
      <c r="T286">
        <f t="shared" si="968"/>
        <v>0.12276045780872809</v>
      </c>
    </row>
    <row r="287" spans="1:20" x14ac:dyDescent="0.25">
      <c r="A287" s="5">
        <v>44306</v>
      </c>
      <c r="B287">
        <v>2.2942</v>
      </c>
      <c r="C287">
        <v>2.5611999999999999</v>
      </c>
      <c r="D287">
        <v>2.1</v>
      </c>
      <c r="E287">
        <v>2.4527999999999999</v>
      </c>
      <c r="F287">
        <v>12194128.960000001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0.52992194275802218</v>
      </c>
      <c r="Q287">
        <f t="shared" si="965"/>
        <v>6461936.5087250611</v>
      </c>
      <c r="R287">
        <f t="shared" si="966"/>
        <v>21604800.549461357</v>
      </c>
      <c r="S287">
        <f t="shared" si="967"/>
        <v>216.04800549461356</v>
      </c>
      <c r="T287">
        <f t="shared" si="968"/>
        <v>0.21604800549461356</v>
      </c>
    </row>
    <row r="288" spans="1:20" x14ac:dyDescent="0.25">
      <c r="A288" s="5">
        <v>44305</v>
      </c>
      <c r="B288">
        <v>2.5295999999999998</v>
      </c>
      <c r="C288">
        <v>2.7843</v>
      </c>
      <c r="D288">
        <v>2.25</v>
      </c>
      <c r="E288">
        <v>2.2966000000000002</v>
      </c>
      <c r="F288">
        <v>13683703.4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-0.82556616133258398</v>
      </c>
      <c r="Q288">
        <f t="shared" si="965"/>
        <v>-11296802.488751628</v>
      </c>
      <c r="R288">
        <f t="shared" si="966"/>
        <v>15142864.040736295</v>
      </c>
      <c r="S288">
        <f t="shared" si="967"/>
        <v>151.42864040736296</v>
      </c>
      <c r="T288">
        <f t="shared" si="968"/>
        <v>0.15142864040736295</v>
      </c>
    </row>
    <row r="289" spans="1:20" x14ac:dyDescent="0.25">
      <c r="A289" s="5">
        <v>44304</v>
      </c>
      <c r="B289">
        <v>3.0002</v>
      </c>
      <c r="C289">
        <v>3.0287999999999999</v>
      </c>
      <c r="D289">
        <v>2.0844</v>
      </c>
      <c r="E289">
        <v>2.5293000000000001</v>
      </c>
      <c r="F289">
        <v>18646659.969999999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-5.7814485387547403E-2</v>
      </c>
      <c r="Q289">
        <f t="shared" si="965"/>
        <v>-1078047.0503621299</v>
      </c>
      <c r="R289">
        <f t="shared" si="966"/>
        <v>26439666.529487923</v>
      </c>
      <c r="S289">
        <f t="shared" si="967"/>
        <v>264.39666529487926</v>
      </c>
      <c r="T289">
        <f t="shared" si="968"/>
        <v>0.26439666529487926</v>
      </c>
    </row>
    <row r="290" spans="1:20" x14ac:dyDescent="0.25">
      <c r="A290" s="5">
        <v>44303</v>
      </c>
      <c r="B290">
        <v>3.0632999999999999</v>
      </c>
      <c r="C290">
        <v>3.25</v>
      </c>
      <c r="D290">
        <v>2.9708999999999999</v>
      </c>
      <c r="E290">
        <v>3.0001000000000002</v>
      </c>
      <c r="F290">
        <v>7611135.7199999997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-0.7907560014331757</v>
      </c>
      <c r="Q290">
        <f t="shared" si="965"/>
        <v>-6018551.2483124146</v>
      </c>
      <c r="R290">
        <f t="shared" si="966"/>
        <v>27517713.579850052</v>
      </c>
      <c r="S290">
        <f t="shared" si="967"/>
        <v>275.1771357985005</v>
      </c>
      <c r="T290">
        <f t="shared" si="968"/>
        <v>0.27517713579850051</v>
      </c>
    </row>
    <row r="291" spans="1:20" x14ac:dyDescent="0.25">
      <c r="A291" s="5">
        <v>44302</v>
      </c>
      <c r="B291">
        <v>3.2378999999999998</v>
      </c>
      <c r="C291">
        <v>3.2723</v>
      </c>
      <c r="D291">
        <v>2.9144999999999999</v>
      </c>
      <c r="E291">
        <v>3.0596000000000001</v>
      </c>
      <c r="F291">
        <v>10057824.859999999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-0.18893236444941205</v>
      </c>
      <c r="Q291">
        <f t="shared" si="965"/>
        <v>-1900248.6320178767</v>
      </c>
      <c r="R291">
        <f t="shared" si="966"/>
        <v>33536264.828162465</v>
      </c>
      <c r="S291">
        <f t="shared" si="967"/>
        <v>335.36264828162467</v>
      </c>
      <c r="T291">
        <f t="shared" si="968"/>
        <v>0.33536264828162465</v>
      </c>
    </row>
    <row r="292" spans="1:20" x14ac:dyDescent="0.25">
      <c r="A292" s="5">
        <v>44301</v>
      </c>
      <c r="B292">
        <v>3.1863000000000001</v>
      </c>
      <c r="C292">
        <v>3.3864999999999998</v>
      </c>
      <c r="D292">
        <v>3.1000999999999999</v>
      </c>
      <c r="E292">
        <v>3.2391999999999999</v>
      </c>
      <c r="F292">
        <v>9155744.2200000007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-2.8631284916201066E-2</v>
      </c>
      <c r="Q292">
        <f t="shared" si="965"/>
        <v>-262140.72138268111</v>
      </c>
      <c r="R292">
        <f t="shared" si="966"/>
        <v>35436513.460180342</v>
      </c>
      <c r="S292">
        <f t="shared" si="967"/>
        <v>354.36513460180345</v>
      </c>
      <c r="T292">
        <f t="shared" si="968"/>
        <v>0.35436513460180347</v>
      </c>
    </row>
    <row r="293" spans="1:20" x14ac:dyDescent="0.25">
      <c r="A293" s="5">
        <v>44300</v>
      </c>
      <c r="B293">
        <v>3.3681000000000001</v>
      </c>
      <c r="C293">
        <v>3.5335000000000001</v>
      </c>
      <c r="D293">
        <v>3.02</v>
      </c>
      <c r="E293">
        <v>3.1922000000000001</v>
      </c>
      <c r="F293">
        <v>12392481.779999999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-0.32930866601752634</v>
      </c>
      <c r="Q293">
        <f t="shared" si="965"/>
        <v>-4080951.6436183001</v>
      </c>
      <c r="R293">
        <f t="shared" si="966"/>
        <v>35698654.18156302</v>
      </c>
      <c r="S293">
        <f t="shared" si="967"/>
        <v>356.98654181563018</v>
      </c>
      <c r="T293">
        <f t="shared" si="968"/>
        <v>0.35698654181563017</v>
      </c>
    </row>
    <row r="294" spans="1:20" x14ac:dyDescent="0.25">
      <c r="A294" s="5">
        <v>44299</v>
      </c>
      <c r="B294">
        <v>3.2162999999999999</v>
      </c>
      <c r="C294">
        <v>3.625</v>
      </c>
      <c r="D294">
        <v>3.0245000000000002</v>
      </c>
      <c r="E294">
        <v>3.3715000000000002</v>
      </c>
      <c r="F294">
        <v>22955680.120000001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0.15570358034970885</v>
      </c>
      <c r="Q294">
        <f t="shared" si="965"/>
        <v>3574281.5840466344</v>
      </c>
      <c r="R294">
        <f t="shared" si="966"/>
        <v>39779605.82518132</v>
      </c>
      <c r="S294">
        <f t="shared" si="967"/>
        <v>397.79605825181318</v>
      </c>
      <c r="T294">
        <f t="shared" si="968"/>
        <v>0.39779605825181319</v>
      </c>
    </row>
    <row r="295" spans="1:20" x14ac:dyDescent="0.25">
      <c r="A295" s="5">
        <v>44298</v>
      </c>
      <c r="B295">
        <v>2.9180999999999999</v>
      </c>
      <c r="C295">
        <v>3.3956</v>
      </c>
      <c r="D295">
        <v>2.8852000000000002</v>
      </c>
      <c r="E295">
        <v>3.2155999999999998</v>
      </c>
      <c r="F295">
        <v>22697441.579999998</v>
      </c>
      <c r="G295">
        <v>0</v>
      </c>
      <c r="L295" t="s">
        <v>8</v>
      </c>
      <c r="M295" t="s">
        <v>8</v>
      </c>
      <c r="N295" t="s">
        <v>7</v>
      </c>
      <c r="P295">
        <f t="shared" si="964"/>
        <v>0.29467084639498337</v>
      </c>
      <c r="Q295">
        <f t="shared" si="965"/>
        <v>6688274.3213792881</v>
      </c>
      <c r="R295">
        <f t="shared" si="966"/>
        <v>36205324.241134688</v>
      </c>
      <c r="S295">
        <f t="shared" si="967"/>
        <v>362.0532424113469</v>
      </c>
      <c r="T295">
        <f t="shared" si="968"/>
        <v>0.3620532424113469</v>
      </c>
    </row>
    <row r="296" spans="1:20" x14ac:dyDescent="0.25">
      <c r="A296" s="5">
        <v>44297</v>
      </c>
      <c r="B296">
        <v>2.9929999999999999</v>
      </c>
      <c r="C296">
        <v>3.0045999999999999</v>
      </c>
      <c r="D296">
        <v>2.85</v>
      </c>
      <c r="E296">
        <v>2.9180999999999999</v>
      </c>
      <c r="F296">
        <v>6512249.4800000004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-0.1190168175937918</v>
      </c>
      <c r="Q296">
        <f t="shared" si="965"/>
        <v>-775067.20848642557</v>
      </c>
      <c r="R296">
        <f t="shared" si="966"/>
        <v>29517049.919755399</v>
      </c>
      <c r="S296">
        <f t="shared" si="967"/>
        <v>295.17049919755397</v>
      </c>
      <c r="T296">
        <f t="shared" si="968"/>
        <v>0.29517049919755395</v>
      </c>
    </row>
    <row r="297" spans="1:20" x14ac:dyDescent="0.25">
      <c r="A297" s="5">
        <v>44296</v>
      </c>
      <c r="B297">
        <v>2.8397000000000001</v>
      </c>
      <c r="C297">
        <v>3.1575000000000002</v>
      </c>
      <c r="D297">
        <v>2.7839</v>
      </c>
      <c r="E297">
        <v>2.9895999999999998</v>
      </c>
      <c r="F297">
        <v>13085456.76</v>
      </c>
      <c r="G297">
        <v>0</v>
      </c>
      <c r="L297" t="s">
        <v>8</v>
      </c>
      <c r="M297" t="s">
        <v>8</v>
      </c>
      <c r="N297" t="s">
        <v>7</v>
      </c>
      <c r="P297">
        <f t="shared" si="964"/>
        <v>0.10117773019271781</v>
      </c>
      <c r="Q297">
        <f t="shared" si="965"/>
        <v>1323956.8135117553</v>
      </c>
      <c r="R297">
        <f t="shared" si="966"/>
        <v>30292117.128241826</v>
      </c>
      <c r="S297">
        <f t="shared" si="967"/>
        <v>302.92117128241824</v>
      </c>
      <c r="T297">
        <f t="shared" si="968"/>
        <v>0.30292117128241824</v>
      </c>
    </row>
    <row r="298" spans="1:20" x14ac:dyDescent="0.25">
      <c r="A298" s="5">
        <v>44295</v>
      </c>
      <c r="B298">
        <v>2.8776000000000002</v>
      </c>
      <c r="C298">
        <v>2.9670000000000001</v>
      </c>
      <c r="D298">
        <v>2.7848999999999999</v>
      </c>
      <c r="E298">
        <v>2.8395999999999999</v>
      </c>
      <c r="F298">
        <v>8155955.3700000001</v>
      </c>
      <c r="G298">
        <v>0</v>
      </c>
      <c r="L298" t="s">
        <v>8</v>
      </c>
      <c r="M298" t="s">
        <v>7</v>
      </c>
      <c r="N298" t="s">
        <v>7</v>
      </c>
      <c r="P298">
        <f t="shared" si="964"/>
        <v>-0.39923119165293874</v>
      </c>
      <c r="Q298">
        <f t="shared" si="965"/>
        <v>-3256111.7814332847</v>
      </c>
      <c r="R298">
        <f t="shared" si="966"/>
        <v>28968160.314730071</v>
      </c>
      <c r="S298">
        <f t="shared" si="967"/>
        <v>289.68160314730068</v>
      </c>
      <c r="T298">
        <f t="shared" si="968"/>
        <v>0.28968160314730068</v>
      </c>
    </row>
    <row r="299" spans="1:20" x14ac:dyDescent="0.25">
      <c r="A299" s="5">
        <v>44294</v>
      </c>
      <c r="B299">
        <v>2.6364999999999998</v>
      </c>
      <c r="C299">
        <v>2.9062999999999999</v>
      </c>
      <c r="D299">
        <v>2.5998999999999999</v>
      </c>
      <c r="E299">
        <v>2.8776999999999999</v>
      </c>
      <c r="F299">
        <v>11124632.439999999</v>
      </c>
      <c r="G299">
        <v>0</v>
      </c>
      <c r="L299" t="s">
        <v>8</v>
      </c>
      <c r="M299" t="s">
        <v>7</v>
      </c>
      <c r="N299" t="s">
        <v>7</v>
      </c>
      <c r="P299">
        <f t="shared" si="964"/>
        <v>0.81331592689295062</v>
      </c>
      <c r="Q299">
        <f t="shared" si="965"/>
        <v>9047840.7442819867</v>
      </c>
      <c r="R299">
        <f t="shared" si="966"/>
        <v>32224272.096163355</v>
      </c>
      <c r="S299">
        <f t="shared" si="967"/>
        <v>322.24272096163355</v>
      </c>
      <c r="T299">
        <f t="shared" si="968"/>
        <v>0.32224272096163353</v>
      </c>
    </row>
    <row r="300" spans="1:20" x14ac:dyDescent="0.25">
      <c r="A300" s="5">
        <v>44293</v>
      </c>
      <c r="B300">
        <v>2.9403999999999999</v>
      </c>
      <c r="C300">
        <v>2.9691000000000001</v>
      </c>
      <c r="D300">
        <v>2.5283000000000002</v>
      </c>
      <c r="E300">
        <v>2.6364999999999998</v>
      </c>
      <c r="F300">
        <v>13300711.939999999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-0.50907441016334087</v>
      </c>
      <c r="Q300">
        <f t="shared" si="965"/>
        <v>-6771052.0856080046</v>
      </c>
      <c r="R300">
        <f t="shared" si="966"/>
        <v>23176431.35188137</v>
      </c>
      <c r="S300">
        <f t="shared" si="967"/>
        <v>231.76431351881371</v>
      </c>
      <c r="T300">
        <f t="shared" si="968"/>
        <v>0.23176431351881371</v>
      </c>
    </row>
    <row r="301" spans="1:20" x14ac:dyDescent="0.25">
      <c r="A301" s="5">
        <v>44292</v>
      </c>
      <c r="B301">
        <v>3.0741000000000001</v>
      </c>
      <c r="C301">
        <v>3.1471</v>
      </c>
      <c r="D301">
        <v>2.8</v>
      </c>
      <c r="E301">
        <v>2.9378000000000002</v>
      </c>
      <c r="F301">
        <v>11716387.140000001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-0.20599250936329419</v>
      </c>
      <c r="Q301">
        <f t="shared" si="965"/>
        <v>-2413487.9876404298</v>
      </c>
      <c r="R301">
        <f t="shared" si="966"/>
        <v>29947483.437489375</v>
      </c>
      <c r="S301">
        <f t="shared" si="967"/>
        <v>299.47483437489376</v>
      </c>
      <c r="T301">
        <f t="shared" si="968"/>
        <v>0.29947483437489375</v>
      </c>
    </row>
    <row r="302" spans="1:20" x14ac:dyDescent="0.25">
      <c r="A302" s="5">
        <v>44291</v>
      </c>
      <c r="B302">
        <v>2.9367000000000001</v>
      </c>
      <c r="C302">
        <v>3.22</v>
      </c>
      <c r="D302">
        <v>2.77</v>
      </c>
      <c r="E302">
        <v>3.0737999999999999</v>
      </c>
      <c r="F302">
        <v>14391314.609999999</v>
      </c>
      <c r="G302">
        <v>0</v>
      </c>
      <c r="L302" t="s">
        <v>8</v>
      </c>
      <c r="M302" t="s">
        <v>7</v>
      </c>
      <c r="N302" t="s">
        <v>7</v>
      </c>
      <c r="P302">
        <f t="shared" si="964"/>
        <v>0.35022222222222099</v>
      </c>
      <c r="Q302">
        <f t="shared" si="965"/>
        <v>5040158.1834133156</v>
      </c>
      <c r="R302">
        <f t="shared" si="966"/>
        <v>32360971.425129805</v>
      </c>
      <c r="S302">
        <f t="shared" si="967"/>
        <v>323.60971425129804</v>
      </c>
      <c r="T302">
        <f t="shared" si="968"/>
        <v>0.32360971425129803</v>
      </c>
    </row>
    <row r="303" spans="1:20" x14ac:dyDescent="0.25">
      <c r="A303" s="5">
        <v>44290</v>
      </c>
      <c r="B303">
        <v>2.7199</v>
      </c>
      <c r="C303">
        <v>2.97</v>
      </c>
      <c r="D303">
        <v>2.6779999999999999</v>
      </c>
      <c r="E303">
        <v>2.9367999999999999</v>
      </c>
      <c r="F303">
        <v>7625985.5999999996</v>
      </c>
      <c r="G303">
        <v>0</v>
      </c>
      <c r="L303" t="s">
        <v>8</v>
      </c>
      <c r="M303" t="s">
        <v>7</v>
      </c>
      <c r="N303" t="s">
        <v>7</v>
      </c>
      <c r="P303">
        <f t="shared" si="964"/>
        <v>0.77260273972602522</v>
      </c>
      <c r="Q303">
        <f t="shared" si="965"/>
        <v>5891857.3676712159</v>
      </c>
      <c r="R303">
        <f t="shared" si="966"/>
        <v>27320813.241716489</v>
      </c>
      <c r="S303">
        <f t="shared" si="967"/>
        <v>273.2081324171649</v>
      </c>
      <c r="T303">
        <f t="shared" si="968"/>
        <v>0.27320813241716491</v>
      </c>
    </row>
    <row r="304" spans="1:20" x14ac:dyDescent="0.25">
      <c r="A304" s="5">
        <v>44289</v>
      </c>
      <c r="B304">
        <v>3.0137</v>
      </c>
      <c r="C304">
        <v>3.15</v>
      </c>
      <c r="D304">
        <v>2.6732</v>
      </c>
      <c r="E304">
        <v>2.7214</v>
      </c>
      <c r="F304">
        <v>12194362.49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-0.79781879194630856</v>
      </c>
      <c r="Q304">
        <f t="shared" si="965"/>
        <v>-9728891.55032718</v>
      </c>
      <c r="R304">
        <f t="shared" si="966"/>
        <v>21428955.874045275</v>
      </c>
      <c r="S304">
        <f t="shared" si="967"/>
        <v>214.28955874045275</v>
      </c>
      <c r="T304">
        <f t="shared" si="968"/>
        <v>0.21428955874045275</v>
      </c>
    </row>
    <row r="305" spans="1:20" x14ac:dyDescent="0.25">
      <c r="A305" s="5">
        <v>44288</v>
      </c>
      <c r="B305">
        <v>2.9655</v>
      </c>
      <c r="C305">
        <v>3.12</v>
      </c>
      <c r="D305">
        <v>2.8769</v>
      </c>
      <c r="E305">
        <v>3.0169999999999999</v>
      </c>
      <c r="F305">
        <v>9977443.2899999991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0.15261209378856302</v>
      </c>
      <c r="Q305">
        <f t="shared" si="965"/>
        <v>1522678.5111435486</v>
      </c>
      <c r="R305">
        <f t="shared" si="966"/>
        <v>31157847.424372453</v>
      </c>
      <c r="S305">
        <f t="shared" si="967"/>
        <v>311.57847424372454</v>
      </c>
      <c r="T305">
        <f t="shared" si="968"/>
        <v>0.31157847424372453</v>
      </c>
    </row>
    <row r="306" spans="1:20" x14ac:dyDescent="0.25">
      <c r="A306" s="5">
        <v>44287</v>
      </c>
      <c r="B306">
        <v>3.2345000000000002</v>
      </c>
      <c r="C306">
        <v>3.25</v>
      </c>
      <c r="D306">
        <v>2.855</v>
      </c>
      <c r="E306">
        <v>2.9655</v>
      </c>
      <c r="F306">
        <v>10113029.939999999</v>
      </c>
      <c r="G306">
        <v>0</v>
      </c>
      <c r="L306" t="s">
        <v>8</v>
      </c>
      <c r="M306" t="s">
        <v>7</v>
      </c>
      <c r="N306" t="s">
        <v>7</v>
      </c>
      <c r="P306">
        <f t="shared" si="964"/>
        <v>-0.44050632911392384</v>
      </c>
      <c r="Q306">
        <f t="shared" si="965"/>
        <v>-4454853.6950886054</v>
      </c>
      <c r="R306">
        <f t="shared" si="966"/>
        <v>29635168.913228903</v>
      </c>
      <c r="S306">
        <f t="shared" si="967"/>
        <v>296.35168913228904</v>
      </c>
      <c r="T306">
        <f t="shared" si="968"/>
        <v>0.29635168913228904</v>
      </c>
    </row>
    <row r="307" spans="1:20" x14ac:dyDescent="0.25">
      <c r="A307" s="5">
        <v>44286</v>
      </c>
      <c r="B307">
        <v>3.3498000000000001</v>
      </c>
      <c r="C307">
        <v>3.3512</v>
      </c>
      <c r="D307">
        <v>2.8504999999999998</v>
      </c>
      <c r="E307">
        <v>3.2343999999999999</v>
      </c>
      <c r="F307">
        <v>13009854.189999999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0.53345316556820455</v>
      </c>
      <c r="Q307">
        <f t="shared" si="965"/>
        <v>6940147.9012362696</v>
      </c>
      <c r="R307">
        <f t="shared" si="966"/>
        <v>34090022.608317509</v>
      </c>
      <c r="S307">
        <f t="shared" si="967"/>
        <v>340.90022608317508</v>
      </c>
      <c r="T307">
        <f t="shared" si="968"/>
        <v>0.34090022608317511</v>
      </c>
    </row>
    <row r="308" spans="1:20" x14ac:dyDescent="0.25">
      <c r="A308" s="5">
        <v>44285</v>
      </c>
      <c r="B308">
        <v>3.2324000000000002</v>
      </c>
      <c r="C308">
        <v>3.4457</v>
      </c>
      <c r="D308">
        <v>3.0950000000000002</v>
      </c>
      <c r="E308">
        <v>3.3469000000000002</v>
      </c>
      <c r="F308">
        <v>13505803.24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0.43655546050755722</v>
      </c>
      <c r="Q308">
        <f t="shared" si="965"/>
        <v>5896032.1529626586</v>
      </c>
      <c r="R308">
        <f t="shared" si="966"/>
        <v>27149874.70708124</v>
      </c>
      <c r="S308">
        <f t="shared" si="967"/>
        <v>271.49874707081239</v>
      </c>
      <c r="T308">
        <f t="shared" si="968"/>
        <v>0.2714987470708124</v>
      </c>
    </row>
    <row r="309" spans="1:20" x14ac:dyDescent="0.25">
      <c r="A309" s="5">
        <v>44284</v>
      </c>
      <c r="B309">
        <v>3.1617999999999999</v>
      </c>
      <c r="C309">
        <v>3.2665999999999999</v>
      </c>
      <c r="D309">
        <v>3.0335999999999999</v>
      </c>
      <c r="E309">
        <v>3.2290000000000001</v>
      </c>
      <c r="F309">
        <v>8903349.0099999998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0.67725321888412149</v>
      </c>
      <c r="Q309">
        <f t="shared" si="965"/>
        <v>6029821.7758712564</v>
      </c>
      <c r="R309">
        <f t="shared" si="966"/>
        <v>21253842.554118581</v>
      </c>
      <c r="S309">
        <f t="shared" si="967"/>
        <v>212.5384255411858</v>
      </c>
      <c r="T309">
        <f t="shared" si="968"/>
        <v>0.21253842554118579</v>
      </c>
    </row>
    <row r="310" spans="1:20" x14ac:dyDescent="0.25">
      <c r="A310" s="5">
        <v>44283</v>
      </c>
      <c r="B310">
        <v>3.0926</v>
      </c>
      <c r="C310">
        <v>3.45</v>
      </c>
      <c r="D310">
        <v>3</v>
      </c>
      <c r="E310">
        <v>3.1669999999999998</v>
      </c>
      <c r="F310">
        <v>14595934.16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-0.25777777777777888</v>
      </c>
      <c r="Q310">
        <f t="shared" si="965"/>
        <v>-3762507.4723555716</v>
      </c>
      <c r="R310">
        <f t="shared" si="966"/>
        <v>15224020.778247323</v>
      </c>
      <c r="S310">
        <f t="shared" si="967"/>
        <v>152.24020778247322</v>
      </c>
      <c r="T310">
        <f t="shared" si="968"/>
        <v>0.15224020778247321</v>
      </c>
    </row>
    <row r="311" spans="1:20" x14ac:dyDescent="0.25">
      <c r="A311" s="5">
        <v>44282</v>
      </c>
      <c r="B311">
        <v>2.8616999999999999</v>
      </c>
      <c r="C311">
        <v>3.2949999999999999</v>
      </c>
      <c r="D311">
        <v>2.7749000000000001</v>
      </c>
      <c r="E311">
        <v>3.0905999999999998</v>
      </c>
      <c r="F311">
        <v>16734448.52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0.21399730820995877</v>
      </c>
      <c r="Q311">
        <f t="shared" si="965"/>
        <v>3581126.9376581283</v>
      </c>
      <c r="R311">
        <f t="shared" si="966"/>
        <v>18986528.250602894</v>
      </c>
      <c r="S311">
        <f t="shared" si="967"/>
        <v>189.86528250602893</v>
      </c>
      <c r="T311">
        <f t="shared" si="968"/>
        <v>0.18986528250602894</v>
      </c>
    </row>
    <row r="312" spans="1:20" x14ac:dyDescent="0.25">
      <c r="A312" s="5">
        <v>44281</v>
      </c>
      <c r="B312">
        <v>2.6877</v>
      </c>
      <c r="C312">
        <v>2.9765000000000001</v>
      </c>
      <c r="D312">
        <v>2.6869000000000001</v>
      </c>
      <c r="E312">
        <v>2.8593000000000002</v>
      </c>
      <c r="F312">
        <v>13593234.48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0.19060773480663026</v>
      </c>
      <c r="Q312">
        <f t="shared" si="965"/>
        <v>2590975.6329281828</v>
      </c>
      <c r="R312">
        <f t="shared" si="966"/>
        <v>15405401.312944764</v>
      </c>
      <c r="S312">
        <f t="shared" si="967"/>
        <v>154.05401312944764</v>
      </c>
      <c r="T312">
        <f t="shared" si="968"/>
        <v>0.15405401312944764</v>
      </c>
    </row>
    <row r="313" spans="1:20" x14ac:dyDescent="0.25">
      <c r="A313" s="5">
        <v>44280</v>
      </c>
      <c r="B313">
        <v>2.7932000000000001</v>
      </c>
      <c r="C313">
        <v>2.9502999999999999</v>
      </c>
      <c r="D313">
        <v>2.5</v>
      </c>
      <c r="E313">
        <v>2.6869000000000001</v>
      </c>
      <c r="F313">
        <v>23059757.760000002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-0.16988674217188499</v>
      </c>
      <c r="Q313">
        <f t="shared" si="965"/>
        <v>-3917547.1211192445</v>
      </c>
      <c r="R313">
        <f t="shared" si="966"/>
        <v>12814425.680016581</v>
      </c>
      <c r="S313">
        <f t="shared" si="967"/>
        <v>128.14425680016581</v>
      </c>
      <c r="T313">
        <f t="shared" si="968"/>
        <v>0.12814425680016581</v>
      </c>
    </row>
    <row r="314" spans="1:20" x14ac:dyDescent="0.25">
      <c r="A314" s="5">
        <v>44279</v>
      </c>
      <c r="B314">
        <v>3.3166000000000002</v>
      </c>
      <c r="C314">
        <v>3.4575</v>
      </c>
      <c r="D314">
        <v>2.6366000000000001</v>
      </c>
      <c r="E314">
        <v>2.798</v>
      </c>
      <c r="F314">
        <v>21790965.48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-0.60677305396516024</v>
      </c>
      <c r="Q314">
        <f t="shared" si="965"/>
        <v>-13222170.673148984</v>
      </c>
      <c r="R314">
        <f t="shared" si="966"/>
        <v>16731972.801135825</v>
      </c>
      <c r="S314">
        <f t="shared" si="967"/>
        <v>167.31972801135825</v>
      </c>
      <c r="T314">
        <f t="shared" si="968"/>
        <v>0.16731972801135825</v>
      </c>
    </row>
    <row r="315" spans="1:20" x14ac:dyDescent="0.25">
      <c r="A315" s="5">
        <v>44278</v>
      </c>
      <c r="B315">
        <v>3.5232999999999999</v>
      </c>
      <c r="C315">
        <v>3.8130000000000002</v>
      </c>
      <c r="D315">
        <v>3.2179000000000002</v>
      </c>
      <c r="E315">
        <v>3.3166000000000002</v>
      </c>
      <c r="F315">
        <v>20902209.02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-0.66829104352209712</v>
      </c>
      <c r="Q315">
        <f t="shared" si="965"/>
        <v>-13968759.077892791</v>
      </c>
      <c r="R315">
        <f t="shared" si="966"/>
        <v>29954143.474284809</v>
      </c>
      <c r="S315">
        <f t="shared" si="967"/>
        <v>299.54143474284808</v>
      </c>
      <c r="T315">
        <f t="shared" si="968"/>
        <v>0.29954143474284806</v>
      </c>
    </row>
    <row r="316" spans="1:20" x14ac:dyDescent="0.25">
      <c r="A316" s="5">
        <v>44277</v>
      </c>
      <c r="B316">
        <v>3.4802</v>
      </c>
      <c r="C316">
        <v>3.9712000000000001</v>
      </c>
      <c r="D316">
        <v>3.2462</v>
      </c>
      <c r="E316">
        <v>3.5345</v>
      </c>
      <c r="F316">
        <v>32052962.829999998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-0.20468965517241389</v>
      </c>
      <c r="Q316">
        <f t="shared" si="965"/>
        <v>-6560909.9089268995</v>
      </c>
      <c r="R316">
        <f t="shared" si="966"/>
        <v>43922902.552177601</v>
      </c>
      <c r="S316">
        <f t="shared" si="967"/>
        <v>439.22902552177601</v>
      </c>
      <c r="T316">
        <f t="shared" si="968"/>
        <v>0.43922902552177601</v>
      </c>
    </row>
    <row r="317" spans="1:20" x14ac:dyDescent="0.25">
      <c r="A317" s="5">
        <v>44276</v>
      </c>
      <c r="B317">
        <v>2.9744000000000002</v>
      </c>
      <c r="C317">
        <v>3.5790000000000002</v>
      </c>
      <c r="D317">
        <v>2.8555000000000001</v>
      </c>
      <c r="E317">
        <v>3.4815999999999998</v>
      </c>
      <c r="F317">
        <v>30961759.32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0.73075328265376538</v>
      </c>
      <c r="Q317">
        <f t="shared" si="965"/>
        <v>22625407.259825815</v>
      </c>
      <c r="R317">
        <f t="shared" si="966"/>
        <v>50483812.461104497</v>
      </c>
      <c r="S317">
        <f t="shared" si="967"/>
        <v>504.83812461104498</v>
      </c>
      <c r="T317">
        <f t="shared" si="968"/>
        <v>0.50483812461104494</v>
      </c>
    </row>
    <row r="318" spans="1:20" x14ac:dyDescent="0.25">
      <c r="A318" s="5">
        <v>44275</v>
      </c>
      <c r="B318">
        <v>3.1202999999999999</v>
      </c>
      <c r="C318">
        <v>3.5</v>
      </c>
      <c r="D318">
        <v>2.9279000000000002</v>
      </c>
      <c r="E318">
        <v>2.9718</v>
      </c>
      <c r="F318">
        <v>32872906.550000001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-0.8465303268659331</v>
      </c>
      <c r="Q318">
        <f t="shared" si="965"/>
        <v>-27827912.326804776</v>
      </c>
      <c r="R318">
        <f t="shared" si="966"/>
        <v>27858405.201278683</v>
      </c>
      <c r="S318">
        <f t="shared" si="967"/>
        <v>278.58405201278686</v>
      </c>
      <c r="T318">
        <f t="shared" si="968"/>
        <v>0.27858405201278685</v>
      </c>
    </row>
    <row r="319" spans="1:20" x14ac:dyDescent="0.25">
      <c r="A319" s="5">
        <v>44274</v>
      </c>
      <c r="B319">
        <v>2.6737000000000002</v>
      </c>
      <c r="C319">
        <v>3.15</v>
      </c>
      <c r="D319">
        <v>2.5413000000000001</v>
      </c>
      <c r="E319">
        <v>3.1204999999999998</v>
      </c>
      <c r="F319">
        <v>18582800.449999999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0.90307212091342171</v>
      </c>
      <c r="Q319">
        <f t="shared" si="965"/>
        <v>16781609.014892388</v>
      </c>
      <c r="R319">
        <f t="shared" si="966"/>
        <v>55686317.528083459</v>
      </c>
      <c r="S319">
        <f t="shared" si="967"/>
        <v>556.86317528083464</v>
      </c>
      <c r="T319">
        <f t="shared" si="968"/>
        <v>0.55686317528083462</v>
      </c>
    </row>
    <row r="320" spans="1:20" x14ac:dyDescent="0.25">
      <c r="A320" s="5">
        <v>44273</v>
      </c>
      <c r="B320">
        <v>2.7132999999999998</v>
      </c>
      <c r="C320">
        <v>2.9</v>
      </c>
      <c r="D320">
        <v>2.613</v>
      </c>
      <c r="E320">
        <v>2.6739000000000002</v>
      </c>
      <c r="F320">
        <v>15055664.880000001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-0.5756097560975596</v>
      </c>
      <c r="Q320">
        <f t="shared" si="965"/>
        <v>-8666187.5894633941</v>
      </c>
      <c r="R320">
        <f t="shared" si="966"/>
        <v>38904708.513191074</v>
      </c>
      <c r="S320">
        <f t="shared" si="967"/>
        <v>389.04708513191076</v>
      </c>
      <c r="T320">
        <f t="shared" si="968"/>
        <v>0.38904708513191077</v>
      </c>
    </row>
    <row r="321" spans="1:20" x14ac:dyDescent="0.25">
      <c r="A321" s="5">
        <v>44272</v>
      </c>
      <c r="B321">
        <v>2.8681999999999999</v>
      </c>
      <c r="C321">
        <v>3.0470000000000002</v>
      </c>
      <c r="D321">
        <v>2.5</v>
      </c>
      <c r="E321">
        <v>2.714</v>
      </c>
      <c r="F321">
        <v>23309148.390000001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-0.21755027422303508</v>
      </c>
      <c r="Q321">
        <f t="shared" si="965"/>
        <v>-5070911.6241499167</v>
      </c>
      <c r="R321">
        <f t="shared" si="966"/>
        <v>47570896.102654472</v>
      </c>
      <c r="S321">
        <f t="shared" si="967"/>
        <v>475.70896102654473</v>
      </c>
      <c r="T321">
        <f t="shared" si="968"/>
        <v>0.47570896102654475</v>
      </c>
    </row>
    <row r="322" spans="1:20" x14ac:dyDescent="0.25">
      <c r="A322" s="5">
        <v>44271</v>
      </c>
      <c r="B322">
        <v>2.2875000000000001</v>
      </c>
      <c r="C322">
        <v>2.8862999999999999</v>
      </c>
      <c r="D322">
        <v>2.11</v>
      </c>
      <c r="E322">
        <v>2.8643999999999998</v>
      </c>
      <c r="F322">
        <v>34698983.990000002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0.94357851346129062</v>
      </c>
      <c r="Q322">
        <f t="shared" si="965"/>
        <v>32741215.731901325</v>
      </c>
      <c r="R322">
        <f t="shared" si="966"/>
        <v>52641807.726804391</v>
      </c>
      <c r="S322">
        <f t="shared" si="967"/>
        <v>526.41807726804393</v>
      </c>
      <c r="T322">
        <f t="shared" si="968"/>
        <v>0.5264180772680439</v>
      </c>
    </row>
    <row r="323" spans="1:20" x14ac:dyDescent="0.25">
      <c r="A323" s="5">
        <v>44270</v>
      </c>
      <c r="B323">
        <v>2.6781999999999999</v>
      </c>
      <c r="C323">
        <v>3.2</v>
      </c>
      <c r="D323">
        <v>2.2509999999999999</v>
      </c>
      <c r="E323">
        <v>2.2875000000000001</v>
      </c>
      <c r="F323">
        <v>54754747.609999999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-0.92307692307692268</v>
      </c>
      <c r="Q323">
        <f t="shared" si="965"/>
        <v>-50542843.947692282</v>
      </c>
      <c r="R323">
        <f t="shared" si="966"/>
        <v>19900591.994903065</v>
      </c>
      <c r="S323">
        <f t="shared" si="967"/>
        <v>199.00591994903064</v>
      </c>
      <c r="T323">
        <f t="shared" si="968"/>
        <v>0.19900591994903064</v>
      </c>
    </row>
    <row r="324" spans="1:20" x14ac:dyDescent="0.25">
      <c r="A324" s="5">
        <v>44269</v>
      </c>
      <c r="B324">
        <v>1.931</v>
      </c>
      <c r="C324">
        <v>2.9449999999999998</v>
      </c>
      <c r="D324">
        <v>1.76</v>
      </c>
      <c r="E324">
        <v>2.68</v>
      </c>
      <c r="F324">
        <v>78956755.540000007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0.55274261603375574</v>
      </c>
      <c r="Q324">
        <f t="shared" si="965"/>
        <v>43642763.610717341</v>
      </c>
      <c r="R324">
        <f t="shared" si="966"/>
        <v>70443435.942595348</v>
      </c>
      <c r="S324">
        <f t="shared" si="967"/>
        <v>704.43435942595352</v>
      </c>
      <c r="T324">
        <f t="shared" si="968"/>
        <v>0.70443435942595356</v>
      </c>
    </row>
    <row r="325" spans="1:20" x14ac:dyDescent="0.25">
      <c r="A325" s="5">
        <v>44268</v>
      </c>
      <c r="B325">
        <v>1.8228</v>
      </c>
      <c r="C325">
        <v>2.0007000000000001</v>
      </c>
      <c r="D325">
        <v>1.7545999999999999</v>
      </c>
      <c r="E325">
        <v>1.9315</v>
      </c>
      <c r="F325">
        <v>10955109.439999999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0.43762698090207158</v>
      </c>
      <c r="Q325">
        <f t="shared" si="965"/>
        <v>4794251.469678984</v>
      </c>
      <c r="R325">
        <f t="shared" si="966"/>
        <v>26800672.331878003</v>
      </c>
      <c r="S325">
        <f t="shared" si="967"/>
        <v>268.00672331878002</v>
      </c>
      <c r="T325">
        <f t="shared" si="968"/>
        <v>0.26800672331878</v>
      </c>
    </row>
    <row r="326" spans="1:20" x14ac:dyDescent="0.25">
      <c r="A326" s="5">
        <v>44267</v>
      </c>
      <c r="B326">
        <v>1.9204000000000001</v>
      </c>
      <c r="C326">
        <v>1.9864999999999999</v>
      </c>
      <c r="D326">
        <v>1.7194</v>
      </c>
      <c r="E326">
        <v>1.8242</v>
      </c>
      <c r="F326">
        <v>11848411.24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-0.21527517783601613</v>
      </c>
      <c r="Q326">
        <f t="shared" ref="Q326:Q389" si="970">F326*P326</f>
        <v>-2550668.8367652525</v>
      </c>
      <c r="R326">
        <f t="shared" ref="R326:R389" si="971">R327+Q326</f>
        <v>22006420.86219902</v>
      </c>
      <c r="S326">
        <f t="shared" ref="S326:S389" si="972">R326/100000</f>
        <v>220.06420862199019</v>
      </c>
      <c r="T326">
        <f t="shared" ref="T326:T389" si="973">S326/1000</f>
        <v>0.22006420862199019</v>
      </c>
    </row>
    <row r="327" spans="1:20" x14ac:dyDescent="0.25">
      <c r="A327" s="5">
        <v>44266</v>
      </c>
      <c r="B327">
        <v>1.8673999999999999</v>
      </c>
      <c r="C327">
        <v>2.0899000000000001</v>
      </c>
      <c r="D327">
        <v>1.8339000000000001</v>
      </c>
      <c r="E327">
        <v>1.9209000000000001</v>
      </c>
      <c r="F327">
        <v>12782704.76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-0.32031250000000028</v>
      </c>
      <c r="Q327">
        <f t="shared" si="970"/>
        <v>-4094460.1184375035</v>
      </c>
      <c r="R327">
        <f t="shared" si="971"/>
        <v>24557089.698964272</v>
      </c>
      <c r="S327">
        <f t="shared" si="972"/>
        <v>245.5708969896427</v>
      </c>
      <c r="T327">
        <f t="shared" si="973"/>
        <v>0.24557089698964271</v>
      </c>
    </row>
    <row r="328" spans="1:20" x14ac:dyDescent="0.25">
      <c r="A328" s="5">
        <v>44265</v>
      </c>
      <c r="B328">
        <v>2.1558999999999999</v>
      </c>
      <c r="C328">
        <v>2.1747000000000001</v>
      </c>
      <c r="D328">
        <v>1.8335999999999999</v>
      </c>
      <c r="E328">
        <v>1.8691</v>
      </c>
      <c r="F328">
        <v>11787917.199999999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-0.79184989739079403</v>
      </c>
      <c r="Q328">
        <f t="shared" si="970"/>
        <v>-9334261.0252711754</v>
      </c>
      <c r="R328">
        <f t="shared" si="971"/>
        <v>28651549.817401774</v>
      </c>
      <c r="S328">
        <f t="shared" si="972"/>
        <v>286.51549817401775</v>
      </c>
      <c r="T328">
        <f t="shared" si="973"/>
        <v>0.28651549817401772</v>
      </c>
    </row>
    <row r="329" spans="1:20" x14ac:dyDescent="0.25">
      <c r="A329" s="5">
        <v>44264</v>
      </c>
      <c r="B329">
        <v>2.1284000000000001</v>
      </c>
      <c r="C329">
        <v>2.1800000000000002</v>
      </c>
      <c r="D329">
        <v>2.0556000000000001</v>
      </c>
      <c r="E329">
        <v>2.1549</v>
      </c>
      <c r="F329">
        <v>10975940.810000001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0.59646302250803684</v>
      </c>
      <c r="Q329">
        <f t="shared" si="970"/>
        <v>6546742.8304019105</v>
      </c>
      <c r="R329">
        <f t="shared" si="971"/>
        <v>37985810.842672952</v>
      </c>
      <c r="S329">
        <f t="shared" si="972"/>
        <v>379.85810842672953</v>
      </c>
      <c r="T329">
        <f t="shared" si="973"/>
        <v>0.37985810842672951</v>
      </c>
    </row>
    <row r="330" spans="1:20" x14ac:dyDescent="0.25">
      <c r="A330" s="5">
        <v>44263</v>
      </c>
      <c r="B330">
        <v>2.0158</v>
      </c>
      <c r="C330">
        <v>2.1800000000000002</v>
      </c>
      <c r="D330">
        <v>1.9005000000000001</v>
      </c>
      <c r="E330">
        <v>2.1284999999999998</v>
      </c>
      <c r="F330">
        <v>16385571.140000001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0.63148479427548976</v>
      </c>
      <c r="Q330">
        <f t="shared" si="970"/>
        <v>10347239.020429302</v>
      </c>
      <c r="R330">
        <f t="shared" si="971"/>
        <v>31439068.012271039</v>
      </c>
      <c r="S330">
        <f t="shared" si="972"/>
        <v>314.39068012271036</v>
      </c>
      <c r="T330">
        <f t="shared" si="973"/>
        <v>0.31439068012271038</v>
      </c>
    </row>
    <row r="331" spans="1:20" x14ac:dyDescent="0.25">
      <c r="A331" s="5">
        <v>44262</v>
      </c>
      <c r="B331">
        <v>1.8867</v>
      </c>
      <c r="C331">
        <v>2.0529999999999999</v>
      </c>
      <c r="D331">
        <v>1.8755999999999999</v>
      </c>
      <c r="E331">
        <v>2.0169000000000001</v>
      </c>
      <c r="F331">
        <v>10864137.27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0.59301014656144535</v>
      </c>
      <c r="Q331">
        <f t="shared" si="970"/>
        <v>6442543.6347463606</v>
      </c>
      <c r="R331">
        <f t="shared" si="971"/>
        <v>21091828.991841737</v>
      </c>
      <c r="S331">
        <f t="shared" si="972"/>
        <v>210.91828991841737</v>
      </c>
      <c r="T331">
        <f t="shared" si="973"/>
        <v>0.21091828991841738</v>
      </c>
    </row>
    <row r="332" spans="1:20" x14ac:dyDescent="0.25">
      <c r="A332" s="5">
        <v>44261</v>
      </c>
      <c r="B332">
        <v>1.7799</v>
      </c>
      <c r="C332">
        <v>2.0268000000000002</v>
      </c>
      <c r="D332">
        <v>1.7431000000000001</v>
      </c>
      <c r="E332">
        <v>1.8877999999999999</v>
      </c>
      <c r="F332">
        <v>12454396.32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2.00916461050391E-2</v>
      </c>
      <c r="Q332">
        <f t="shared" si="970"/>
        <v>250229.3233133413</v>
      </c>
      <c r="R332">
        <f t="shared" si="971"/>
        <v>14649285.357095376</v>
      </c>
      <c r="S332">
        <f t="shared" si="972"/>
        <v>146.49285357095377</v>
      </c>
      <c r="T332">
        <f t="shared" si="973"/>
        <v>0.14649285357095376</v>
      </c>
    </row>
    <row r="333" spans="1:20" x14ac:dyDescent="0.25">
      <c r="A333" s="5">
        <v>44260</v>
      </c>
      <c r="B333">
        <v>1.8252999999999999</v>
      </c>
      <c r="C333">
        <v>1.8252999999999999</v>
      </c>
      <c r="D333">
        <v>1.6652</v>
      </c>
      <c r="E333">
        <v>1.78</v>
      </c>
      <c r="F333">
        <v>9595818.8100000005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0.43410368519675302</v>
      </c>
      <c r="Q333">
        <f t="shared" si="970"/>
        <v>4165580.3079013214</v>
      </c>
      <c r="R333">
        <f t="shared" si="971"/>
        <v>14399056.033782035</v>
      </c>
      <c r="S333">
        <f t="shared" si="972"/>
        <v>143.99056033782034</v>
      </c>
      <c r="T333">
        <f t="shared" si="973"/>
        <v>0.14399056033782034</v>
      </c>
    </row>
    <row r="334" spans="1:20" x14ac:dyDescent="0.25">
      <c r="A334" s="5">
        <v>44259</v>
      </c>
      <c r="B334">
        <v>1.9330000000000001</v>
      </c>
      <c r="C334">
        <v>2.0217999999999998</v>
      </c>
      <c r="D334">
        <v>1.7762</v>
      </c>
      <c r="E334">
        <v>1.8252999999999999</v>
      </c>
      <c r="F334">
        <v>16206225.810000001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-0.60016286644951178</v>
      </c>
      <c r="Q334">
        <f t="shared" si="970"/>
        <v>-9726374.9364576619</v>
      </c>
      <c r="R334">
        <f t="shared" si="971"/>
        <v>10233475.725880714</v>
      </c>
      <c r="S334">
        <f t="shared" si="972"/>
        <v>102.33475725880714</v>
      </c>
      <c r="T334">
        <f t="shared" si="973"/>
        <v>0.10233475725880714</v>
      </c>
    </row>
    <row r="335" spans="1:20" x14ac:dyDescent="0.25">
      <c r="A335" s="5">
        <v>44258</v>
      </c>
      <c r="B335">
        <v>2.1646999999999998</v>
      </c>
      <c r="C335">
        <v>2.2799999999999998</v>
      </c>
      <c r="D335">
        <v>1.9314</v>
      </c>
      <c r="E335">
        <v>1.9339999999999999</v>
      </c>
      <c r="F335">
        <v>20726437.5</v>
      </c>
      <c r="G335">
        <v>0</v>
      </c>
      <c r="L335" t="s">
        <v>7</v>
      </c>
      <c r="M335" t="s">
        <v>8</v>
      </c>
      <c r="N335" t="s">
        <v>8</v>
      </c>
      <c r="P335">
        <f t="shared" si="969"/>
        <v>-0.98508318990246735</v>
      </c>
      <c r="Q335">
        <f t="shared" si="970"/>
        <v>-20417265.167814121</v>
      </c>
      <c r="R335">
        <f t="shared" si="971"/>
        <v>19959850.662338376</v>
      </c>
      <c r="S335">
        <f t="shared" si="972"/>
        <v>199.59850662338377</v>
      </c>
      <c r="T335">
        <f t="shared" si="973"/>
        <v>0.19959850662338377</v>
      </c>
    </row>
    <row r="336" spans="1:20" x14ac:dyDescent="0.25">
      <c r="A336" s="5">
        <v>44257</v>
      </c>
      <c r="B336">
        <v>1.776</v>
      </c>
      <c r="C336">
        <v>2.29</v>
      </c>
      <c r="D336">
        <v>1.7014</v>
      </c>
      <c r="E336">
        <v>2.1648999999999998</v>
      </c>
      <c r="F336">
        <v>36461342.359999999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0.57492354740061091</v>
      </c>
      <c r="Q336">
        <f t="shared" si="970"/>
        <v>20962484.292599361</v>
      </c>
      <c r="R336">
        <f t="shared" si="971"/>
        <v>40377115.830152497</v>
      </c>
      <c r="S336">
        <f t="shared" si="972"/>
        <v>403.77115830152496</v>
      </c>
      <c r="T336">
        <f t="shared" si="973"/>
        <v>0.40377115830152499</v>
      </c>
    </row>
    <row r="337" spans="1:20" x14ac:dyDescent="0.25">
      <c r="A337" s="5">
        <v>44256</v>
      </c>
      <c r="B337">
        <v>1.47</v>
      </c>
      <c r="C337">
        <v>1.7828999999999999</v>
      </c>
      <c r="D337">
        <v>1.4655</v>
      </c>
      <c r="E337">
        <v>1.7718</v>
      </c>
      <c r="F337">
        <v>14556169.16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0.93005671077504792</v>
      </c>
      <c r="Q337">
        <f t="shared" si="970"/>
        <v>13538062.810434792</v>
      </c>
      <c r="R337">
        <f t="shared" si="971"/>
        <v>19414631.537553139</v>
      </c>
      <c r="S337">
        <f t="shared" si="972"/>
        <v>194.1463153755314</v>
      </c>
      <c r="T337">
        <f t="shared" si="973"/>
        <v>0.1941463153755314</v>
      </c>
    </row>
    <row r="338" spans="1:20" x14ac:dyDescent="0.25">
      <c r="A338" s="5">
        <v>44255</v>
      </c>
      <c r="B338">
        <v>1.7452000000000001</v>
      </c>
      <c r="C338">
        <v>1.7677</v>
      </c>
      <c r="D338">
        <v>1.3666</v>
      </c>
      <c r="E338">
        <v>1.47</v>
      </c>
      <c r="F338">
        <v>13950760.630000001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-0.48441785090999784</v>
      </c>
      <c r="Q338">
        <f t="shared" si="970"/>
        <v>-6757997.4829444075</v>
      </c>
      <c r="R338">
        <f t="shared" si="971"/>
        <v>5876568.7271183478</v>
      </c>
      <c r="S338">
        <f t="shared" si="972"/>
        <v>58.765687271183481</v>
      </c>
      <c r="T338">
        <f t="shared" si="973"/>
        <v>5.8765687271183482E-2</v>
      </c>
    </row>
    <row r="339" spans="1:20" x14ac:dyDescent="0.25">
      <c r="A339" s="5">
        <v>44254</v>
      </c>
      <c r="B339">
        <v>1.6943999999999999</v>
      </c>
      <c r="C339">
        <v>1.8474999999999999</v>
      </c>
      <c r="D339">
        <v>1.65</v>
      </c>
      <c r="E339">
        <v>1.7452000000000001</v>
      </c>
      <c r="F339">
        <v>11112449.380000001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-3.5949367088605882E-2</v>
      </c>
      <c r="Q339">
        <f t="shared" si="970"/>
        <v>-399485.52201517089</v>
      </c>
      <c r="R339">
        <f t="shared" si="971"/>
        <v>12634566.210062755</v>
      </c>
      <c r="S339">
        <f t="shared" si="972"/>
        <v>126.34566210062755</v>
      </c>
      <c r="T339">
        <f t="shared" si="973"/>
        <v>0.12634566210062756</v>
      </c>
    </row>
    <row r="340" spans="1:20" x14ac:dyDescent="0.25">
      <c r="A340" s="5">
        <v>44253</v>
      </c>
      <c r="B340">
        <v>1.8305</v>
      </c>
      <c r="C340">
        <v>1.8841000000000001</v>
      </c>
      <c r="D340">
        <v>1.5620000000000001</v>
      </c>
      <c r="E340">
        <v>1.6995</v>
      </c>
      <c r="F340">
        <v>15440927.359999999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-0.14622787954051578</v>
      </c>
      <c r="Q340">
        <f t="shared" si="970"/>
        <v>-2257894.0659919344</v>
      </c>
      <c r="R340">
        <f t="shared" si="971"/>
        <v>13034051.732077926</v>
      </c>
      <c r="S340">
        <f t="shared" si="972"/>
        <v>130.34051732077927</v>
      </c>
      <c r="T340">
        <f t="shared" si="973"/>
        <v>0.13034051732077928</v>
      </c>
    </row>
    <row r="341" spans="1:20" x14ac:dyDescent="0.25">
      <c r="A341" s="5">
        <v>44252</v>
      </c>
      <c r="B341">
        <v>1.9744999999999999</v>
      </c>
      <c r="C341">
        <v>2.1711</v>
      </c>
      <c r="D341">
        <v>1.7887999999999999</v>
      </c>
      <c r="E341">
        <v>1.8304</v>
      </c>
      <c r="F341">
        <v>19659392.699999999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-0.78236986659691299</v>
      </c>
      <c r="Q341">
        <f t="shared" si="970"/>
        <v>-15380916.444075324</v>
      </c>
      <c r="R341">
        <f t="shared" si="971"/>
        <v>15291945.798069861</v>
      </c>
      <c r="S341">
        <f t="shared" si="972"/>
        <v>152.91945798069861</v>
      </c>
      <c r="T341">
        <f t="shared" si="973"/>
        <v>0.15291945798069861</v>
      </c>
    </row>
    <row r="342" spans="1:20" x14ac:dyDescent="0.25">
      <c r="A342" s="5">
        <v>44251</v>
      </c>
      <c r="B342">
        <v>1.8864000000000001</v>
      </c>
      <c r="C342">
        <v>2.2536</v>
      </c>
      <c r="D342">
        <v>1.762</v>
      </c>
      <c r="E342">
        <v>1.9652000000000001</v>
      </c>
      <c r="F342">
        <v>19313854.039999999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-0.17331163547599662</v>
      </c>
      <c r="Q342">
        <f t="shared" si="970"/>
        <v>-3347315.6310170847</v>
      </c>
      <c r="R342">
        <f t="shared" si="971"/>
        <v>30672862.242145184</v>
      </c>
      <c r="S342">
        <f t="shared" si="972"/>
        <v>306.72862242145186</v>
      </c>
      <c r="T342">
        <f t="shared" si="973"/>
        <v>0.30672862242145188</v>
      </c>
    </row>
    <row r="343" spans="1:20" x14ac:dyDescent="0.25">
      <c r="A343" s="5">
        <v>44250</v>
      </c>
      <c r="B343">
        <v>2.4540000000000002</v>
      </c>
      <c r="C343">
        <v>2.4771999999999998</v>
      </c>
      <c r="D343">
        <v>1.5705</v>
      </c>
      <c r="E343">
        <v>1.8938999999999999</v>
      </c>
      <c r="F343">
        <v>26075725.84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-0.28664387338700792</v>
      </c>
      <c r="Q343">
        <f t="shared" si="970"/>
        <v>-7474447.0561552905</v>
      </c>
      <c r="R343">
        <f t="shared" si="971"/>
        <v>34020177.87316227</v>
      </c>
      <c r="S343">
        <f t="shared" si="972"/>
        <v>340.20177873162271</v>
      </c>
      <c r="T343">
        <f t="shared" si="973"/>
        <v>0.34020177873162272</v>
      </c>
    </row>
    <row r="344" spans="1:20" x14ac:dyDescent="0.25">
      <c r="A344" s="5">
        <v>44249</v>
      </c>
      <c r="B344">
        <v>2.7715999999999998</v>
      </c>
      <c r="C344">
        <v>2.9889999999999999</v>
      </c>
      <c r="D344">
        <v>1.92</v>
      </c>
      <c r="E344">
        <v>2.4550000000000001</v>
      </c>
      <c r="F344">
        <v>30111579.719999999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9.3545369504240789E-4</v>
      </c>
      <c r="Q344">
        <f t="shared" si="970"/>
        <v>28167.988512638032</v>
      </c>
      <c r="R344">
        <f t="shared" si="971"/>
        <v>41494624.929317556</v>
      </c>
      <c r="S344">
        <f t="shared" si="972"/>
        <v>414.94624929317558</v>
      </c>
      <c r="T344">
        <f t="shared" si="973"/>
        <v>0.41494624929317558</v>
      </c>
    </row>
    <row r="345" spans="1:20" x14ac:dyDescent="0.25">
      <c r="A345" s="5">
        <v>44248</v>
      </c>
      <c r="B345">
        <v>2.6371000000000002</v>
      </c>
      <c r="C345">
        <v>2.9</v>
      </c>
      <c r="D345">
        <v>2.5499999999999998</v>
      </c>
      <c r="E345">
        <v>2.7715000000000001</v>
      </c>
      <c r="F345">
        <v>17268342.469999999</v>
      </c>
      <c r="G345">
        <v>0</v>
      </c>
      <c r="L345" t="s">
        <v>8</v>
      </c>
      <c r="M345" t="s">
        <v>7</v>
      </c>
      <c r="N345" t="s">
        <v>7</v>
      </c>
      <c r="P345">
        <f t="shared" si="969"/>
        <v>0.26571428571428685</v>
      </c>
      <c r="Q345">
        <f t="shared" si="970"/>
        <v>4588445.2848857334</v>
      </c>
      <c r="R345">
        <f t="shared" si="971"/>
        <v>41466456.940804921</v>
      </c>
      <c r="S345">
        <f t="shared" si="972"/>
        <v>414.6645694080492</v>
      </c>
      <c r="T345">
        <f t="shared" si="973"/>
        <v>0.41466456940804919</v>
      </c>
    </row>
    <row r="346" spans="1:20" x14ac:dyDescent="0.25">
      <c r="A346" s="5">
        <v>44247</v>
      </c>
      <c r="B346">
        <v>2.7968999999999999</v>
      </c>
      <c r="C346">
        <v>2.8721000000000001</v>
      </c>
      <c r="D346">
        <v>2.508</v>
      </c>
      <c r="E346">
        <v>2.6364000000000001</v>
      </c>
      <c r="F346">
        <v>22294492.379999999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-0.29469925844548178</v>
      </c>
      <c r="Q346">
        <f t="shared" si="970"/>
        <v>-6570170.3718044441</v>
      </c>
      <c r="R346">
        <f t="shared" si="971"/>
        <v>36878011.655919187</v>
      </c>
      <c r="S346">
        <f t="shared" si="972"/>
        <v>368.78011655919187</v>
      </c>
      <c r="T346">
        <f t="shared" si="973"/>
        <v>0.36878011655919185</v>
      </c>
    </row>
    <row r="347" spans="1:20" x14ac:dyDescent="0.25">
      <c r="A347" s="5">
        <v>44246</v>
      </c>
      <c r="B347">
        <v>3.0920999999999998</v>
      </c>
      <c r="C347">
        <v>3.1516000000000002</v>
      </c>
      <c r="D347">
        <v>2.65</v>
      </c>
      <c r="E347">
        <v>2.7930999999999999</v>
      </c>
      <c r="F347">
        <v>26936357.559999999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-0.42942583732057443</v>
      </c>
      <c r="Q347">
        <f t="shared" si="970"/>
        <v>-11567167.899569385</v>
      </c>
      <c r="R347">
        <f t="shared" si="971"/>
        <v>43448182.027723633</v>
      </c>
      <c r="S347">
        <f t="shared" si="972"/>
        <v>434.48182027723635</v>
      </c>
      <c r="T347">
        <f t="shared" si="973"/>
        <v>0.43448182027723636</v>
      </c>
    </row>
    <row r="348" spans="1:20" x14ac:dyDescent="0.25">
      <c r="A348" s="5">
        <v>44245</v>
      </c>
      <c r="B348">
        <v>3.2423999999999999</v>
      </c>
      <c r="C348">
        <v>3.34</v>
      </c>
      <c r="D348">
        <v>2.9946999999999999</v>
      </c>
      <c r="E348">
        <v>3.0920000000000001</v>
      </c>
      <c r="F348">
        <v>21201372.77</v>
      </c>
      <c r="G348">
        <v>0</v>
      </c>
      <c r="L348" t="s">
        <v>7</v>
      </c>
      <c r="M348" t="s">
        <v>8</v>
      </c>
      <c r="N348" t="s">
        <v>7</v>
      </c>
      <c r="P348">
        <f t="shared" si="969"/>
        <v>-0.43643208803938499</v>
      </c>
      <c r="Q348">
        <f t="shared" si="970"/>
        <v>-9252959.3873124588</v>
      </c>
      <c r="R348">
        <f t="shared" si="971"/>
        <v>55015349.927293018</v>
      </c>
      <c r="S348">
        <f t="shared" si="972"/>
        <v>550.15349927293016</v>
      </c>
      <c r="T348">
        <f t="shared" si="973"/>
        <v>0.55015349927293011</v>
      </c>
    </row>
    <row r="349" spans="1:20" x14ac:dyDescent="0.25">
      <c r="A349" s="5">
        <v>44244</v>
      </c>
      <c r="B349">
        <v>2.8759000000000001</v>
      </c>
      <c r="C349">
        <v>3.37</v>
      </c>
      <c r="D349">
        <v>2.74</v>
      </c>
      <c r="E349">
        <v>3.2423999999999999</v>
      </c>
      <c r="F349">
        <v>30469118.420000002</v>
      </c>
      <c r="G349">
        <v>0</v>
      </c>
      <c r="L349" t="s">
        <v>8</v>
      </c>
      <c r="M349" t="s">
        <v>8</v>
      </c>
      <c r="N349" t="s">
        <v>7</v>
      </c>
      <c r="P349">
        <f t="shared" si="969"/>
        <v>0.59492063492063441</v>
      </c>
      <c r="Q349">
        <f t="shared" si="970"/>
        <v>18126707.275898397</v>
      </c>
      <c r="R349">
        <f t="shared" si="971"/>
        <v>64268309.314605474</v>
      </c>
      <c r="S349">
        <f t="shared" si="972"/>
        <v>642.68309314605472</v>
      </c>
      <c r="T349">
        <f t="shared" si="973"/>
        <v>0.64268309314605476</v>
      </c>
    </row>
    <row r="350" spans="1:20" x14ac:dyDescent="0.25">
      <c r="A350" s="5">
        <v>44243</v>
      </c>
      <c r="B350">
        <v>2.7389999999999999</v>
      </c>
      <c r="C350">
        <v>3.18</v>
      </c>
      <c r="D350">
        <v>2.65</v>
      </c>
      <c r="E350">
        <v>2.8759999999999999</v>
      </c>
      <c r="F350">
        <v>25399773.940000001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-0.14716981132075518</v>
      </c>
      <c r="Q350">
        <f t="shared" si="970"/>
        <v>-3738079.9383396348</v>
      </c>
      <c r="R350">
        <f t="shared" si="971"/>
        <v>46141602.038707078</v>
      </c>
      <c r="S350">
        <f t="shared" si="972"/>
        <v>461.41602038707077</v>
      </c>
      <c r="T350">
        <f t="shared" si="973"/>
        <v>0.46141602038707075</v>
      </c>
    </row>
    <row r="351" spans="1:20" x14ac:dyDescent="0.25">
      <c r="A351" s="5">
        <v>44242</v>
      </c>
      <c r="B351">
        <v>2.9</v>
      </c>
      <c r="C351">
        <v>3.0506000000000002</v>
      </c>
      <c r="D351">
        <v>2.5099999999999998</v>
      </c>
      <c r="E351">
        <v>2.74</v>
      </c>
      <c r="F351">
        <v>32007775.079999998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-0.14909359970403163</v>
      </c>
      <c r="Q351">
        <f t="shared" si="970"/>
        <v>-4772154.4051941987</v>
      </c>
      <c r="R351">
        <f t="shared" si="971"/>
        <v>49879681.977046713</v>
      </c>
      <c r="S351">
        <f t="shared" si="972"/>
        <v>498.79681977046715</v>
      </c>
      <c r="T351">
        <f t="shared" si="973"/>
        <v>0.49879681977046714</v>
      </c>
    </row>
    <row r="352" spans="1:20" x14ac:dyDescent="0.25">
      <c r="A352" s="5">
        <v>44241</v>
      </c>
      <c r="B352">
        <v>2.62</v>
      </c>
      <c r="C352">
        <v>3.4</v>
      </c>
      <c r="D352">
        <v>2.56</v>
      </c>
      <c r="E352">
        <v>2.9043999999999999</v>
      </c>
      <c r="F352">
        <v>56700304.189999998</v>
      </c>
      <c r="G352">
        <v>0</v>
      </c>
      <c r="L352" t="s">
        <v>8</v>
      </c>
      <c r="M352" t="s">
        <v>8</v>
      </c>
      <c r="N352" t="s">
        <v>7</v>
      </c>
      <c r="P352">
        <f t="shared" si="969"/>
        <v>-0.1800000000000003</v>
      </c>
      <c r="Q352">
        <f t="shared" si="970"/>
        <v>-10206054.754200017</v>
      </c>
      <c r="R352">
        <f t="shared" si="971"/>
        <v>54651836.382240914</v>
      </c>
      <c r="S352">
        <f t="shared" si="972"/>
        <v>546.51836382240913</v>
      </c>
      <c r="T352">
        <f t="shared" si="973"/>
        <v>0.54651836382240915</v>
      </c>
    </row>
    <row r="353" spans="1:20" x14ac:dyDescent="0.25">
      <c r="A353" s="5">
        <v>44240</v>
      </c>
      <c r="B353">
        <v>2.7324999999999999</v>
      </c>
      <c r="C353">
        <v>2.85</v>
      </c>
      <c r="D353">
        <v>2.5099999999999998</v>
      </c>
      <c r="E353">
        <v>2.62</v>
      </c>
      <c r="F353">
        <v>19995742.960000001</v>
      </c>
      <c r="G353">
        <v>0</v>
      </c>
      <c r="L353" t="s">
        <v>7</v>
      </c>
      <c r="M353" t="s">
        <v>7</v>
      </c>
      <c r="N353" t="s">
        <v>7</v>
      </c>
      <c r="P353">
        <f t="shared" si="969"/>
        <v>-0.35294117647058693</v>
      </c>
      <c r="Q353">
        <f t="shared" si="970"/>
        <v>-7057321.0447058566</v>
      </c>
      <c r="R353">
        <f t="shared" si="971"/>
        <v>64857891.136440933</v>
      </c>
      <c r="S353">
        <f t="shared" si="972"/>
        <v>648.57891136440935</v>
      </c>
      <c r="T353">
        <f t="shared" si="973"/>
        <v>0.64857891136440937</v>
      </c>
    </row>
    <row r="354" spans="1:20" x14ac:dyDescent="0.25">
      <c r="A354" s="5">
        <v>44239</v>
      </c>
      <c r="B354">
        <v>2.6798999999999999</v>
      </c>
      <c r="C354">
        <v>2.9363000000000001</v>
      </c>
      <c r="D354">
        <v>2.6</v>
      </c>
      <c r="E354">
        <v>2.7320000000000002</v>
      </c>
      <c r="F354">
        <v>27308963.5</v>
      </c>
      <c r="G354">
        <v>0</v>
      </c>
      <c r="L354" t="s">
        <v>7</v>
      </c>
      <c r="M354" t="s">
        <v>8</v>
      </c>
      <c r="N354" t="s">
        <v>7</v>
      </c>
      <c r="P354">
        <f t="shared" si="969"/>
        <v>-0.21498661909009753</v>
      </c>
      <c r="Q354">
        <f t="shared" si="970"/>
        <v>-5871061.733719877</v>
      </c>
      <c r="R354">
        <f t="shared" si="971"/>
        <v>71915212.181146786</v>
      </c>
      <c r="S354">
        <f t="shared" si="972"/>
        <v>719.15212181146785</v>
      </c>
      <c r="T354">
        <f t="shared" si="973"/>
        <v>0.71915212181146781</v>
      </c>
    </row>
    <row r="355" spans="1:20" x14ac:dyDescent="0.25">
      <c r="A355" s="5">
        <v>44238</v>
      </c>
      <c r="B355">
        <v>2.4775</v>
      </c>
      <c r="C355">
        <v>2.9839000000000002</v>
      </c>
      <c r="D355">
        <v>2.4699</v>
      </c>
      <c r="E355">
        <v>2.6770999999999998</v>
      </c>
      <c r="F355">
        <v>43471450.460000001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-0.19377431906614889</v>
      </c>
      <c r="Q355">
        <f t="shared" si="970"/>
        <v>-8423650.7117043249</v>
      </c>
      <c r="R355">
        <f t="shared" si="971"/>
        <v>77786273.914866656</v>
      </c>
      <c r="S355">
        <f t="shared" si="972"/>
        <v>777.86273914866661</v>
      </c>
      <c r="T355">
        <f t="shared" si="973"/>
        <v>0.77786273914866666</v>
      </c>
    </row>
    <row r="356" spans="1:20" x14ac:dyDescent="0.25">
      <c r="A356" s="5">
        <v>44237</v>
      </c>
      <c r="B356">
        <v>3.4634</v>
      </c>
      <c r="C356">
        <v>3.77</v>
      </c>
      <c r="D356">
        <v>2.4</v>
      </c>
      <c r="E356">
        <v>2.4788000000000001</v>
      </c>
      <c r="F356">
        <v>135921672.05000001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-0.88496350364963472</v>
      </c>
      <c r="Q356">
        <f t="shared" si="970"/>
        <v>-120285719.11928464</v>
      </c>
      <c r="R356">
        <f t="shared" si="971"/>
        <v>86209924.626570985</v>
      </c>
      <c r="S356">
        <f t="shared" si="972"/>
        <v>862.09924626570989</v>
      </c>
      <c r="T356">
        <f t="shared" si="973"/>
        <v>0.86209924626570988</v>
      </c>
    </row>
    <row r="357" spans="1:20" x14ac:dyDescent="0.25">
      <c r="A357" s="5">
        <v>44236</v>
      </c>
      <c r="B357">
        <v>1.2901</v>
      </c>
      <c r="C357">
        <v>4.45</v>
      </c>
      <c r="D357">
        <v>1.2897000000000001</v>
      </c>
      <c r="E357">
        <v>3.4636999999999998</v>
      </c>
      <c r="F357">
        <v>381378132.86000001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0.37581875138436194</v>
      </c>
      <c r="Q357">
        <f t="shared" si="970"/>
        <v>143329053.6967445</v>
      </c>
      <c r="R357">
        <f t="shared" si="971"/>
        <v>206495643.74585563</v>
      </c>
      <c r="S357">
        <f t="shared" si="972"/>
        <v>2064.9564374585561</v>
      </c>
      <c r="T357">
        <f t="shared" si="973"/>
        <v>2.0649564374585561</v>
      </c>
    </row>
    <row r="358" spans="1:20" x14ac:dyDescent="0.25">
      <c r="A358" s="5">
        <v>44235</v>
      </c>
      <c r="B358">
        <v>0.1</v>
      </c>
      <c r="C358">
        <v>1.9</v>
      </c>
      <c r="D358">
        <v>0.1</v>
      </c>
      <c r="E358">
        <v>1.29</v>
      </c>
      <c r="F358">
        <v>196034244.97999999</v>
      </c>
      <c r="G358">
        <v>0</v>
      </c>
      <c r="P358">
        <f t="shared" si="969"/>
        <v>0.3222222222222223</v>
      </c>
      <c r="Q358">
        <f t="shared" si="970"/>
        <v>63166590.04911112</v>
      </c>
      <c r="R358">
        <f t="shared" si="971"/>
        <v>63166590.04911112</v>
      </c>
      <c r="S358">
        <f t="shared" si="972"/>
        <v>631.66590049111119</v>
      </c>
      <c r="T358">
        <f t="shared" si="973"/>
        <v>0.63166590049111115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R601" sqref="GR60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$A$600</v>
      </c>
      <c r="D111" s="1" t="str">
        <f>ADDRESS(C121-1,D121,1,1)</f>
        <v>$GR$600</v>
      </c>
      <c r="E111"/>
    </row>
    <row r="112" spans="1:5" x14ac:dyDescent="0.25">
      <c r="A112" s="7">
        <v>12164.144957890772</v>
      </c>
      <c r="C112" s="1" t="str">
        <f>ADDRESS(C121,1,1,1)</f>
        <v>$A$601</v>
      </c>
      <c r="D112" s="1" t="str">
        <f>ADDRESS(C121,D121-1,1,1)</f>
        <v>$GQ$601</v>
      </c>
      <c r="E112"/>
    </row>
    <row r="113" spans="1:5" x14ac:dyDescent="0.25">
      <c r="A113" s="7">
        <v>11925.63231165762</v>
      </c>
      <c r="C113" s="1" t="str">
        <f>ADDRESS(C121+1,1,1,1)</f>
        <v>$A$602</v>
      </c>
      <c r="D113" s="1" t="str">
        <f>ADDRESS(C121-1,D121+1,1,1)</f>
        <v>$GS$600</v>
      </c>
    </row>
    <row r="114" spans="1:5" x14ac:dyDescent="0.25">
      <c r="A114" s="7">
        <v>11691.796383978059</v>
      </c>
      <c r="C114" s="1" t="str">
        <f>ADDRESS(C121,D121,1,1)</f>
        <v>$GR$601</v>
      </c>
      <c r="D114" s="1" t="str">
        <f>ADDRESS(C121+1,D121+1,1,1)</f>
        <v>$GS$602</v>
      </c>
    </row>
    <row r="115" spans="1:5" x14ac:dyDescent="0.25">
      <c r="A115" s="7">
        <v>11462.545474488292</v>
      </c>
      <c r="C115" s="1" t="str">
        <f>ADDRESS(C121+1,D121,1,1)</f>
        <v>$GR$602</v>
      </c>
    </row>
    <row r="116" spans="1:5" x14ac:dyDescent="0.25">
      <c r="A116" s="7">
        <v>11237.789680870874</v>
      </c>
      <c r="C116" s="1">
        <f>C117-1</f>
        <v>600</v>
      </c>
    </row>
    <row r="117" spans="1:5" x14ac:dyDescent="0.25">
      <c r="A117" s="7">
        <v>11017.440863598895</v>
      </c>
      <c r="C117" s="1">
        <f>C121</f>
        <v>601</v>
      </c>
      <c r="D117" s="1">
        <f>D121</f>
        <v>200</v>
      </c>
    </row>
    <row r="118" spans="1:5" x14ac:dyDescent="0.25">
      <c r="A118" s="7">
        <v>10801.412611371465</v>
      </c>
      <c r="C118" s="1">
        <f>C117+1</f>
        <v>602</v>
      </c>
      <c r="D118" s="1">
        <f>D117+1</f>
        <v>201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601</v>
      </c>
      <c r="D121" s="19">
        <v>200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R601</v>
      </c>
      <c r="D123" s="1" t="str">
        <f>"C"&amp;D121</f>
        <v>C200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0.75787502458828959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45" x14ac:dyDescent="0.25">
      <c r="A513" s="7">
        <v>4.3292504462035977</v>
      </c>
      <c r="B513"/>
      <c r="C513"/>
      <c r="D513"/>
      <c r="E513" t="s">
        <v>8</v>
      </c>
      <c r="F513" s="27" t="s">
        <v>7</v>
      </c>
    </row>
    <row r="514" spans="1:45" x14ac:dyDescent="0.25">
      <c r="A514" s="7">
        <v>4.2443631825525463</v>
      </c>
      <c r="B514"/>
      <c r="C514"/>
      <c r="D514"/>
      <c r="E514" t="s">
        <v>8</v>
      </c>
      <c r="F514" s="27" t="s">
        <v>7</v>
      </c>
    </row>
    <row r="515" spans="1:45" x14ac:dyDescent="0.25">
      <c r="A515" s="7">
        <v>4.1611403750515157</v>
      </c>
      <c r="B515"/>
      <c r="C515"/>
      <c r="D515"/>
      <c r="E515" t="s">
        <v>8</v>
      </c>
      <c r="F515" s="27" t="s">
        <v>7</v>
      </c>
    </row>
    <row r="516" spans="1:45" x14ac:dyDescent="0.25">
      <c r="A516" s="7">
        <v>4.0795493873054074</v>
      </c>
      <c r="B516"/>
      <c r="C516"/>
      <c r="D516"/>
      <c r="E516" t="s">
        <v>8</v>
      </c>
      <c r="F516" s="27" t="s">
        <v>7</v>
      </c>
    </row>
    <row r="517" spans="1:45" x14ac:dyDescent="0.25">
      <c r="A517" s="7">
        <v>3.9995582228484383</v>
      </c>
      <c r="B517"/>
      <c r="C517"/>
      <c r="D517"/>
      <c r="E517" t="s">
        <v>8</v>
      </c>
      <c r="F517" s="27" t="s">
        <v>7</v>
      </c>
    </row>
    <row r="518" spans="1:45" x14ac:dyDescent="0.25">
      <c r="A518" s="7">
        <v>3.9211355125965079</v>
      </c>
      <c r="B518"/>
      <c r="C518"/>
      <c r="D518"/>
      <c r="E518" t="s">
        <v>8</v>
      </c>
      <c r="F518" s="27" t="s">
        <v>7</v>
      </c>
      <c r="AC518" s="27" t="s">
        <v>8</v>
      </c>
    </row>
    <row r="519" spans="1:45" x14ac:dyDescent="0.25">
      <c r="A519" s="7">
        <v>3.844250502545596</v>
      </c>
      <c r="B519"/>
      <c r="C519"/>
      <c r="D519"/>
      <c r="E519" t="s">
        <v>8</v>
      </c>
      <c r="F519" s="27" t="s">
        <v>7</v>
      </c>
      <c r="AC519" s="27" t="s">
        <v>8</v>
      </c>
      <c r="AD519" s="27" t="s">
        <v>7</v>
      </c>
    </row>
    <row r="520" spans="1:45" x14ac:dyDescent="0.25">
      <c r="A520" s="7">
        <v>3.7688730417113687</v>
      </c>
      <c r="B520"/>
      <c r="C520"/>
      <c r="D520"/>
      <c r="E520" t="s">
        <v>8</v>
      </c>
      <c r="F520" s="27" t="s">
        <v>7</v>
      </c>
      <c r="AC520" s="27" t="s">
        <v>8</v>
      </c>
      <c r="AD520" s="27" t="s">
        <v>7</v>
      </c>
    </row>
    <row r="521" spans="1:45" x14ac:dyDescent="0.25">
      <c r="A521" s="7">
        <v>3.6949735703052635</v>
      </c>
      <c r="B521"/>
      <c r="C521"/>
      <c r="D521"/>
      <c r="E521" t="s">
        <v>8</v>
      </c>
      <c r="F521" s="27" t="s">
        <v>7</v>
      </c>
      <c r="AC521" s="27" t="s">
        <v>8</v>
      </c>
      <c r="AD521" s="27" t="s">
        <v>7</v>
      </c>
    </row>
    <row r="522" spans="1:45" x14ac:dyDescent="0.25">
      <c r="A522" s="7">
        <v>3.6225231081424152</v>
      </c>
      <c r="B522"/>
      <c r="C522"/>
      <c r="D522"/>
      <c r="E522" t="s">
        <v>8</v>
      </c>
      <c r="F522" s="27" t="s">
        <v>7</v>
      </c>
      <c r="AC522" s="27" t="s">
        <v>8</v>
      </c>
      <c r="AD522" s="27" t="s">
        <v>7</v>
      </c>
      <c r="AO522" s="27" t="s">
        <v>8</v>
      </c>
    </row>
    <row r="523" spans="1:45" x14ac:dyDescent="0.25">
      <c r="A523" s="7">
        <v>3.5514932432768775</v>
      </c>
      <c r="B523"/>
      <c r="C523"/>
      <c r="D523"/>
      <c r="E523" t="s">
        <v>8</v>
      </c>
      <c r="F523" s="27" t="s">
        <v>7</v>
      </c>
      <c r="AC523" s="27" t="s">
        <v>8</v>
      </c>
      <c r="AD523" s="27" t="s">
        <v>7</v>
      </c>
      <c r="AO523" s="27" t="s">
        <v>8</v>
      </c>
      <c r="AP523" s="27" t="s">
        <v>7</v>
      </c>
    </row>
    <row r="524" spans="1:45" x14ac:dyDescent="0.25">
      <c r="A524" s="7">
        <v>3.4818561208596837</v>
      </c>
      <c r="B524"/>
      <c r="C524"/>
      <c r="D524"/>
      <c r="E524" t="s">
        <v>8</v>
      </c>
      <c r="F524" s="27" t="s">
        <v>7</v>
      </c>
      <c r="AC524" s="27" t="s">
        <v>8</v>
      </c>
      <c r="AD524" s="27" t="s">
        <v>7</v>
      </c>
      <c r="AO524" s="27" t="s">
        <v>8</v>
      </c>
      <c r="AP524" s="27" t="s">
        <v>7</v>
      </c>
    </row>
    <row r="525" spans="1:45" x14ac:dyDescent="0.25">
      <c r="A525" s="7">
        <v>3.4135844322153761</v>
      </c>
      <c r="B525"/>
      <c r="C525"/>
      <c r="D525"/>
      <c r="E525" t="s">
        <v>8</v>
      </c>
      <c r="F525" s="27" t="s">
        <v>7</v>
      </c>
      <c r="AC525" s="27" t="s">
        <v>8</v>
      </c>
      <c r="AD525" s="27" t="s">
        <v>7</v>
      </c>
      <c r="AE525" s="27" t="s">
        <v>8</v>
      </c>
      <c r="AG525" s="27" t="s">
        <v>8</v>
      </c>
      <c r="AO525" s="27" t="s">
        <v>8</v>
      </c>
      <c r="AP525" s="27" t="s">
        <v>7</v>
      </c>
    </row>
    <row r="526" spans="1:45" x14ac:dyDescent="0.25">
      <c r="A526" s="7">
        <v>3.3466514041327216</v>
      </c>
      <c r="B526"/>
      <c r="C526"/>
      <c r="D526"/>
      <c r="E526" t="s">
        <v>8</v>
      </c>
      <c r="F526" s="27" t="s">
        <v>7</v>
      </c>
      <c r="I526" s="27" t="s">
        <v>8</v>
      </c>
      <c r="K526" s="27" t="s">
        <v>8</v>
      </c>
      <c r="AC526" s="27" t="s">
        <v>8</v>
      </c>
      <c r="AD526" s="27" t="s">
        <v>7</v>
      </c>
      <c r="AE526" s="27" t="s">
        <v>8</v>
      </c>
      <c r="AF526" s="27" t="s">
        <v>7</v>
      </c>
      <c r="AG526" s="27" t="s">
        <v>8</v>
      </c>
      <c r="AH526" s="27" t="s">
        <v>7</v>
      </c>
      <c r="AO526" s="27" t="s">
        <v>8</v>
      </c>
      <c r="AP526" s="27" t="s">
        <v>7</v>
      </c>
      <c r="AQ526" s="27" t="s">
        <v>8</v>
      </c>
    </row>
    <row r="527" spans="1:45" x14ac:dyDescent="0.25">
      <c r="A527" s="7">
        <v>3.2810307883654133</v>
      </c>
      <c r="B527"/>
      <c r="C527"/>
      <c r="D527"/>
      <c r="E527" t="s">
        <v>8</v>
      </c>
      <c r="F527" s="27" t="s">
        <v>7</v>
      </c>
      <c r="I527" s="27" t="s">
        <v>8</v>
      </c>
      <c r="J527" s="27" t="s">
        <v>7</v>
      </c>
      <c r="K527" s="27" t="s">
        <v>8</v>
      </c>
      <c r="L527" s="27" t="s">
        <v>7</v>
      </c>
      <c r="AC527" s="27" t="s">
        <v>8</v>
      </c>
      <c r="AD527" s="27" t="s">
        <v>7</v>
      </c>
      <c r="AE527" s="27" t="s">
        <v>8</v>
      </c>
      <c r="AF527" s="27" t="s">
        <v>7</v>
      </c>
      <c r="AG527" s="27" t="s">
        <v>8</v>
      </c>
      <c r="AH527" s="27" t="s">
        <v>7</v>
      </c>
      <c r="AO527" s="27" t="s">
        <v>8</v>
      </c>
      <c r="AP527" s="27" t="s">
        <v>7</v>
      </c>
      <c r="AQ527" s="27" t="s">
        <v>8</v>
      </c>
      <c r="AR527" s="27" t="s">
        <v>7</v>
      </c>
    </row>
    <row r="528" spans="1:45" x14ac:dyDescent="0.25">
      <c r="A528" s="7">
        <v>3.2166968513386403</v>
      </c>
      <c r="B528"/>
      <c r="C528"/>
      <c r="D528"/>
      <c r="E528" t="s">
        <v>8</v>
      </c>
      <c r="F528" s="27" t="s">
        <v>7</v>
      </c>
      <c r="I528" s="27" t="s">
        <v>8</v>
      </c>
      <c r="J528" s="27" t="s">
        <v>7</v>
      </c>
      <c r="K528" s="27" t="s">
        <v>8</v>
      </c>
      <c r="L528" s="27" t="s">
        <v>7</v>
      </c>
      <c r="AC528" s="27" t="s">
        <v>8</v>
      </c>
      <c r="AD528" s="27" t="s">
        <v>7</v>
      </c>
      <c r="AE528" s="27" t="s">
        <v>8</v>
      </c>
      <c r="AF528" s="27" t="s">
        <v>7</v>
      </c>
      <c r="AG528" s="27" t="s">
        <v>8</v>
      </c>
      <c r="AH528" s="27" t="s">
        <v>7</v>
      </c>
      <c r="AI528" s="27" t="s">
        <v>8</v>
      </c>
      <c r="AK528" s="27" t="s">
        <v>8</v>
      </c>
      <c r="AO528" s="27" t="s">
        <v>8</v>
      </c>
      <c r="AP528" s="27" t="s">
        <v>7</v>
      </c>
      <c r="AQ528" s="27" t="s">
        <v>8</v>
      </c>
      <c r="AR528" s="27" t="s">
        <v>7</v>
      </c>
      <c r="AS528" s="27" t="s">
        <v>8</v>
      </c>
    </row>
    <row r="529" spans="1:170" x14ac:dyDescent="0.25">
      <c r="A529" s="7">
        <v>3.1536243640574906</v>
      </c>
      <c r="B529"/>
      <c r="C529"/>
      <c r="D529"/>
      <c r="E529" t="s">
        <v>8</v>
      </c>
      <c r="F529" s="27" t="s">
        <v>7</v>
      </c>
      <c r="I529" s="27" t="s">
        <v>8</v>
      </c>
      <c r="J529" s="27" t="s">
        <v>7</v>
      </c>
      <c r="K529" s="27" t="s">
        <v>8</v>
      </c>
      <c r="L529" s="27" t="s">
        <v>7</v>
      </c>
      <c r="Y529" s="27" t="s">
        <v>8</v>
      </c>
      <c r="AC529" s="27" t="s">
        <v>8</v>
      </c>
      <c r="AD529" s="27" t="s">
        <v>7</v>
      </c>
      <c r="AE529" s="27" t="s">
        <v>8</v>
      </c>
      <c r="AF529" s="27" t="s">
        <v>7</v>
      </c>
      <c r="AG529" s="27" t="s">
        <v>8</v>
      </c>
      <c r="AH529" s="27" t="s">
        <v>7</v>
      </c>
      <c r="AI529" s="27" t="s">
        <v>8</v>
      </c>
      <c r="AJ529" s="27" t="s">
        <v>7</v>
      </c>
      <c r="AK529" s="27" t="s">
        <v>8</v>
      </c>
      <c r="AL529" s="27" t="s">
        <v>7</v>
      </c>
      <c r="AM529" s="27" t="s">
        <v>8</v>
      </c>
      <c r="AO529" s="27" t="s">
        <v>8</v>
      </c>
      <c r="AP529" s="27" t="s">
        <v>7</v>
      </c>
      <c r="AQ529" s="27" t="s">
        <v>8</v>
      </c>
      <c r="AR529" s="27" t="s">
        <v>7</v>
      </c>
      <c r="AS529" s="27" t="s">
        <v>8</v>
      </c>
      <c r="AT529" s="27" t="s">
        <v>7</v>
      </c>
      <c r="EM529" s="27" t="s">
        <v>8</v>
      </c>
    </row>
    <row r="530" spans="1:170" x14ac:dyDescent="0.25">
      <c r="A530" s="7">
        <v>3.0917885922132262</v>
      </c>
      <c r="B530"/>
      <c r="C530"/>
      <c r="D530"/>
      <c r="E530" t="s">
        <v>8</v>
      </c>
      <c r="F530" s="27" t="s">
        <v>7</v>
      </c>
      <c r="I530" s="27" t="s">
        <v>8</v>
      </c>
      <c r="J530" s="27" t="s">
        <v>7</v>
      </c>
      <c r="K530" s="27" t="s">
        <v>8</v>
      </c>
      <c r="L530" s="27" t="s">
        <v>7</v>
      </c>
      <c r="Y530" s="27" t="s">
        <v>8</v>
      </c>
      <c r="Z530" s="27" t="s">
        <v>7</v>
      </c>
      <c r="AC530" s="27" t="s">
        <v>8</v>
      </c>
      <c r="AD530" s="27" t="s">
        <v>7</v>
      </c>
      <c r="AE530" s="27" t="s">
        <v>8</v>
      </c>
      <c r="AF530" s="27" t="s">
        <v>7</v>
      </c>
      <c r="AH530" s="27" t="s">
        <v>7</v>
      </c>
      <c r="AI530" s="27" t="s">
        <v>8</v>
      </c>
      <c r="AJ530" s="27" t="s">
        <v>7</v>
      </c>
      <c r="AK530" s="27" t="s">
        <v>8</v>
      </c>
      <c r="AL530" s="27" t="s">
        <v>7</v>
      </c>
      <c r="AM530" s="27" t="s">
        <v>8</v>
      </c>
      <c r="AN530" s="27" t="s">
        <v>7</v>
      </c>
      <c r="AO530" s="27" t="s">
        <v>8</v>
      </c>
      <c r="AP530" s="27" t="s">
        <v>7</v>
      </c>
      <c r="AQ530" s="27" t="s">
        <v>8</v>
      </c>
      <c r="AR530" s="27" t="s">
        <v>7</v>
      </c>
      <c r="AS530" s="27" t="s">
        <v>8</v>
      </c>
      <c r="AT530" s="27" t="s">
        <v>7</v>
      </c>
      <c r="BC530" s="27" t="s">
        <v>8</v>
      </c>
      <c r="EM530" s="27" t="s">
        <v>8</v>
      </c>
      <c r="EN530" s="27" t="s">
        <v>7</v>
      </c>
      <c r="FM530" s="27" t="s">
        <v>8</v>
      </c>
    </row>
    <row r="531" spans="1:170" x14ac:dyDescent="0.25">
      <c r="A531" s="7">
        <v>3.0311652864835552</v>
      </c>
      <c r="B531"/>
      <c r="C531"/>
      <c r="D531"/>
      <c r="E531" t="s">
        <v>8</v>
      </c>
      <c r="F531" s="27" t="s">
        <v>7</v>
      </c>
      <c r="I531" s="27" t="s">
        <v>8</v>
      </c>
      <c r="J531" s="27" t="s">
        <v>7</v>
      </c>
      <c r="K531" s="27" t="s">
        <v>8</v>
      </c>
      <c r="L531" s="27" t="s">
        <v>7</v>
      </c>
      <c r="Y531" s="27" t="s">
        <v>8</v>
      </c>
      <c r="Z531" s="27" t="s">
        <v>7</v>
      </c>
      <c r="AA531" s="27" t="s">
        <v>8</v>
      </c>
      <c r="AC531" s="27" t="s">
        <v>8</v>
      </c>
      <c r="AD531" s="27" t="s">
        <v>7</v>
      </c>
      <c r="AE531" s="27" t="s">
        <v>8</v>
      </c>
      <c r="AH531" s="27" t="s">
        <v>7</v>
      </c>
      <c r="AI531" s="27" t="s">
        <v>8</v>
      </c>
      <c r="AJ531" s="27" t="s">
        <v>7</v>
      </c>
      <c r="AK531" s="27" t="s">
        <v>8</v>
      </c>
      <c r="AL531" s="27" t="s">
        <v>7</v>
      </c>
      <c r="AM531" s="27" t="s">
        <v>8</v>
      </c>
      <c r="AN531" s="27" t="s">
        <v>7</v>
      </c>
      <c r="AO531" s="27" t="s">
        <v>8</v>
      </c>
      <c r="AP531" s="27" t="s">
        <v>7</v>
      </c>
      <c r="AR531" s="27" t="s">
        <v>7</v>
      </c>
      <c r="AS531" s="27" t="s">
        <v>8</v>
      </c>
      <c r="AT531" s="27" t="s">
        <v>7</v>
      </c>
      <c r="BC531" s="27" t="s">
        <v>8</v>
      </c>
      <c r="BD531" s="27" t="s">
        <v>7</v>
      </c>
      <c r="EM531" s="27" t="s">
        <v>8</v>
      </c>
      <c r="EN531" s="27" t="s">
        <v>7</v>
      </c>
      <c r="FM531" s="27" t="s">
        <v>8</v>
      </c>
      <c r="FN531" s="27" t="s">
        <v>7</v>
      </c>
    </row>
    <row r="532" spans="1:170" x14ac:dyDescent="0.25">
      <c r="A532" s="7">
        <v>2.9717306730230932</v>
      </c>
      <c r="B532"/>
      <c r="C532"/>
      <c r="D532"/>
      <c r="E532" t="s">
        <v>8</v>
      </c>
      <c r="F532" s="27" t="s">
        <v>7</v>
      </c>
      <c r="G532" s="27" t="s">
        <v>8</v>
      </c>
      <c r="I532" s="27" t="s">
        <v>8</v>
      </c>
      <c r="J532" s="27" t="s">
        <v>7</v>
      </c>
      <c r="K532" s="27" t="s">
        <v>8</v>
      </c>
      <c r="L532" s="27" t="s">
        <v>7</v>
      </c>
      <c r="M532" s="27" t="s">
        <v>8</v>
      </c>
      <c r="Y532" s="27" t="s">
        <v>8</v>
      </c>
      <c r="Z532" s="27" t="s">
        <v>7</v>
      </c>
      <c r="AA532" s="27" t="s">
        <v>8</v>
      </c>
      <c r="AB532" s="27" t="s">
        <v>7</v>
      </c>
      <c r="AC532" s="27" t="s">
        <v>8</v>
      </c>
      <c r="AD532" s="27" t="s">
        <v>7</v>
      </c>
      <c r="AE532" s="27" t="s">
        <v>8</v>
      </c>
      <c r="AH532" s="27" t="s">
        <v>7</v>
      </c>
      <c r="AI532" s="27" t="s">
        <v>8</v>
      </c>
      <c r="AJ532" s="27" t="s">
        <v>7</v>
      </c>
      <c r="AK532" s="27" t="s">
        <v>8</v>
      </c>
      <c r="AL532" s="27" t="s">
        <v>7</v>
      </c>
      <c r="AM532" s="27" t="s">
        <v>8</v>
      </c>
      <c r="AN532" s="27" t="s">
        <v>7</v>
      </c>
      <c r="AO532" s="27" t="s">
        <v>8</v>
      </c>
      <c r="AR532" s="27" t="s">
        <v>7</v>
      </c>
      <c r="AT532" s="27" t="s">
        <v>7</v>
      </c>
      <c r="BC532" s="27" t="s">
        <v>8</v>
      </c>
      <c r="BD532" s="27" t="s">
        <v>7</v>
      </c>
      <c r="EM532" s="27" t="s">
        <v>8</v>
      </c>
      <c r="EN532" s="27" t="s">
        <v>7</v>
      </c>
      <c r="FM532" s="27" t="s">
        <v>8</v>
      </c>
      <c r="FN532" s="27" t="s">
        <v>7</v>
      </c>
    </row>
    <row r="533" spans="1:170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H533" s="27" t="s">
        <v>7</v>
      </c>
      <c r="I533" s="27" t="s">
        <v>8</v>
      </c>
      <c r="J533" s="27" t="s">
        <v>7</v>
      </c>
      <c r="K533" s="27" t="s">
        <v>8</v>
      </c>
      <c r="L533" s="27" t="s">
        <v>7</v>
      </c>
      <c r="M533" s="27" t="s">
        <v>8</v>
      </c>
      <c r="N533" s="27" t="s">
        <v>7</v>
      </c>
      <c r="Y533" s="27" t="s">
        <v>8</v>
      </c>
      <c r="Z533" s="27" t="s">
        <v>7</v>
      </c>
      <c r="AA533" s="27" t="s">
        <v>8</v>
      </c>
      <c r="AB533" s="27" t="s">
        <v>7</v>
      </c>
      <c r="AC533" s="27" t="s">
        <v>8</v>
      </c>
      <c r="AD533" s="27" t="s">
        <v>7</v>
      </c>
      <c r="AE533" s="27" t="s">
        <v>8</v>
      </c>
      <c r="AH533" s="27" t="s">
        <v>7</v>
      </c>
      <c r="AI533" s="27" t="s">
        <v>8</v>
      </c>
      <c r="AJ533" s="27" t="s">
        <v>7</v>
      </c>
      <c r="AK533" s="27" t="s">
        <v>8</v>
      </c>
      <c r="AL533" s="27" t="s">
        <v>7</v>
      </c>
      <c r="AM533" s="27" t="s">
        <v>8</v>
      </c>
      <c r="AN533" s="27" t="s">
        <v>7</v>
      </c>
      <c r="AO533" s="27" t="s">
        <v>8</v>
      </c>
      <c r="AT533" s="27" t="s">
        <v>7</v>
      </c>
      <c r="BC533" s="27" t="s">
        <v>8</v>
      </c>
      <c r="BD533" s="27" t="s">
        <v>7</v>
      </c>
      <c r="EM533" s="27" t="s">
        <v>8</v>
      </c>
      <c r="EN533" s="27" t="s">
        <v>7</v>
      </c>
      <c r="FM533" s="27" t="s">
        <v>8</v>
      </c>
      <c r="FN533" s="27" t="s">
        <v>7</v>
      </c>
    </row>
    <row r="534" spans="1:170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H534" s="27" t="s">
        <v>7</v>
      </c>
      <c r="I534" s="27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N534" s="27" t="s">
        <v>7</v>
      </c>
      <c r="Y534" s="27" t="s">
        <v>8</v>
      </c>
      <c r="Z534" s="27" t="s">
        <v>7</v>
      </c>
      <c r="AA534" s="27" t="s">
        <v>8</v>
      </c>
      <c r="AB534" s="27" t="s">
        <v>7</v>
      </c>
      <c r="AC534" s="27" t="s">
        <v>8</v>
      </c>
      <c r="AD534" s="27" t="s">
        <v>7</v>
      </c>
      <c r="AE534" s="27" t="s">
        <v>8</v>
      </c>
      <c r="AH534" s="27" t="s">
        <v>7</v>
      </c>
      <c r="AJ534" s="27" t="s">
        <v>7</v>
      </c>
      <c r="AK534" s="27" t="s">
        <v>8</v>
      </c>
      <c r="AL534" s="27" t="s">
        <v>7</v>
      </c>
      <c r="AM534" s="27" t="s">
        <v>8</v>
      </c>
      <c r="AN534" s="27" t="s">
        <v>7</v>
      </c>
      <c r="AT534" s="27" t="s">
        <v>7</v>
      </c>
      <c r="BC534" s="27" t="s">
        <v>8</v>
      </c>
      <c r="BD534" s="27" t="s">
        <v>7</v>
      </c>
      <c r="EM534" s="27" t="s">
        <v>8</v>
      </c>
      <c r="EN534" s="27" t="s">
        <v>7</v>
      </c>
      <c r="FM534" s="27" t="s">
        <v>8</v>
      </c>
      <c r="FN534" s="27" t="s">
        <v>7</v>
      </c>
    </row>
    <row r="535" spans="1:170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H535" s="27" t="s">
        <v>7</v>
      </c>
      <c r="I535" s="27" t="s">
        <v>8</v>
      </c>
      <c r="J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Y535" s="27" t="s">
        <v>8</v>
      </c>
      <c r="Z535" s="27" t="s">
        <v>7</v>
      </c>
      <c r="AA535" s="27" t="s">
        <v>8</v>
      </c>
      <c r="AB535" s="27" t="s">
        <v>7</v>
      </c>
      <c r="AC535" s="27" t="s">
        <v>8</v>
      </c>
      <c r="AD535" s="27" t="s">
        <v>7</v>
      </c>
      <c r="AE535" s="27" t="s">
        <v>8</v>
      </c>
      <c r="AJ535" s="27" t="s">
        <v>7</v>
      </c>
      <c r="AK535" s="27" t="s">
        <v>8</v>
      </c>
      <c r="AL535" s="27" t="s">
        <v>7</v>
      </c>
      <c r="AM535" s="27" t="s">
        <v>8</v>
      </c>
      <c r="AT535" s="27" t="s">
        <v>7</v>
      </c>
      <c r="BC535" s="27" t="s">
        <v>8</v>
      </c>
      <c r="BD535" s="27" t="s">
        <v>7</v>
      </c>
      <c r="BE535" s="27" t="s">
        <v>8</v>
      </c>
      <c r="EM535" s="27" t="s">
        <v>8</v>
      </c>
      <c r="EN535" s="27" t="s">
        <v>7</v>
      </c>
      <c r="FM535" s="27" t="s">
        <v>8</v>
      </c>
      <c r="FN535" s="27" t="s">
        <v>7</v>
      </c>
    </row>
    <row r="536" spans="1:170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H536" s="27" t="s">
        <v>7</v>
      </c>
      <c r="I536" s="27" t="s">
        <v>8</v>
      </c>
      <c r="J536" s="27" t="s">
        <v>7</v>
      </c>
      <c r="K536" s="27" t="s">
        <v>8</v>
      </c>
      <c r="L536" s="27" t="s">
        <v>7</v>
      </c>
      <c r="M536" s="27" t="s">
        <v>8</v>
      </c>
      <c r="N536" s="27" t="s">
        <v>7</v>
      </c>
      <c r="Y536" s="27" t="s">
        <v>8</v>
      </c>
      <c r="Z536" s="27" t="s">
        <v>7</v>
      </c>
      <c r="AA536" s="27" t="s">
        <v>8</v>
      </c>
      <c r="AB536" s="27" t="s">
        <v>7</v>
      </c>
      <c r="AC536" s="27" t="s">
        <v>8</v>
      </c>
      <c r="AD536" s="27" t="s">
        <v>7</v>
      </c>
      <c r="AE536" s="27" t="s">
        <v>8</v>
      </c>
      <c r="AJ536" s="27" t="s">
        <v>7</v>
      </c>
      <c r="AK536" s="27" t="s">
        <v>8</v>
      </c>
      <c r="AL536" s="27" t="s">
        <v>7</v>
      </c>
      <c r="AM536" s="27" t="s">
        <v>8</v>
      </c>
      <c r="AT536" s="27" t="s">
        <v>7</v>
      </c>
      <c r="AU536" s="27" t="s">
        <v>8</v>
      </c>
      <c r="BC536" s="27" t="s">
        <v>8</v>
      </c>
      <c r="BD536" s="27" t="s">
        <v>7</v>
      </c>
      <c r="BE536" s="27" t="s">
        <v>8</v>
      </c>
      <c r="BF536" s="27" t="s">
        <v>7</v>
      </c>
      <c r="EM536" s="27" t="s">
        <v>8</v>
      </c>
      <c r="EN536" s="27" t="s">
        <v>7</v>
      </c>
      <c r="FM536" s="27" t="s">
        <v>8</v>
      </c>
      <c r="FN536" s="27" t="s">
        <v>7</v>
      </c>
    </row>
    <row r="537" spans="1:170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  <c r="H537" s="27" t="s">
        <v>7</v>
      </c>
      <c r="I537" s="27" t="s">
        <v>8</v>
      </c>
      <c r="J537" s="27" t="s">
        <v>7</v>
      </c>
      <c r="K537" s="27" t="s">
        <v>8</v>
      </c>
      <c r="L537" s="27" t="s">
        <v>7</v>
      </c>
      <c r="M537" s="27" t="s">
        <v>8</v>
      </c>
      <c r="N537" s="27" t="s">
        <v>7</v>
      </c>
      <c r="Y537" s="27" t="s">
        <v>8</v>
      </c>
      <c r="Z537" s="27" t="s">
        <v>7</v>
      </c>
      <c r="AA537" s="27" t="s">
        <v>8</v>
      </c>
      <c r="AB537" s="27" t="s">
        <v>7</v>
      </c>
      <c r="AC537" s="27" t="s">
        <v>8</v>
      </c>
      <c r="AD537" s="27" t="s">
        <v>7</v>
      </c>
      <c r="AE537" s="27" t="s">
        <v>8</v>
      </c>
      <c r="AJ537" s="27" t="s">
        <v>7</v>
      </c>
      <c r="AL537" s="27" t="s">
        <v>7</v>
      </c>
      <c r="AM537" s="27" t="s">
        <v>8</v>
      </c>
      <c r="AT537" s="27" t="s">
        <v>7</v>
      </c>
      <c r="AU537" s="27" t="s">
        <v>8</v>
      </c>
      <c r="AV537" s="27" t="s">
        <v>7</v>
      </c>
      <c r="BA537" s="27" t="s">
        <v>8</v>
      </c>
      <c r="BC537" s="27" t="s">
        <v>8</v>
      </c>
      <c r="BD537" s="27" t="s">
        <v>7</v>
      </c>
      <c r="BE537" s="27" t="s">
        <v>8</v>
      </c>
      <c r="BF537" s="27" t="s">
        <v>7</v>
      </c>
      <c r="EM537" s="27" t="s">
        <v>8</v>
      </c>
      <c r="EN537" s="27" t="s">
        <v>7</v>
      </c>
      <c r="FM537" s="27" t="s">
        <v>8</v>
      </c>
      <c r="FN537" s="27" t="s">
        <v>7</v>
      </c>
    </row>
    <row r="538" spans="1:170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G538" s="27" t="s">
        <v>8</v>
      </c>
      <c r="H538" s="27" t="s">
        <v>7</v>
      </c>
      <c r="I538" s="27" t="s">
        <v>8</v>
      </c>
      <c r="J538" s="27" t="s">
        <v>7</v>
      </c>
      <c r="K538" s="27" t="s">
        <v>8</v>
      </c>
      <c r="L538" s="27" t="s">
        <v>7</v>
      </c>
      <c r="M538" s="27" t="s">
        <v>8</v>
      </c>
      <c r="N538" s="27" t="s">
        <v>7</v>
      </c>
      <c r="Y538" s="27" t="s">
        <v>8</v>
      </c>
      <c r="Z538" s="27" t="s">
        <v>7</v>
      </c>
      <c r="AA538" s="27" t="s">
        <v>8</v>
      </c>
      <c r="AB538" s="27" t="s">
        <v>7</v>
      </c>
      <c r="AC538" s="27" t="s">
        <v>8</v>
      </c>
      <c r="AD538" s="27" t="s">
        <v>7</v>
      </c>
      <c r="AE538" s="27" t="s">
        <v>8</v>
      </c>
      <c r="AL538" s="27" t="s">
        <v>7</v>
      </c>
      <c r="AM538" s="27" t="s">
        <v>8</v>
      </c>
      <c r="AT538" s="27" t="s">
        <v>7</v>
      </c>
      <c r="AU538" s="27" t="s">
        <v>8</v>
      </c>
      <c r="AV538" s="27" t="s">
        <v>7</v>
      </c>
      <c r="BA538" s="27" t="s">
        <v>8</v>
      </c>
      <c r="BB538" s="27" t="s">
        <v>7</v>
      </c>
      <c r="BC538" s="27" t="s">
        <v>8</v>
      </c>
      <c r="BD538" s="27" t="s">
        <v>7</v>
      </c>
      <c r="BE538" s="27" t="s">
        <v>8</v>
      </c>
      <c r="BF538" s="27" t="s">
        <v>7</v>
      </c>
      <c r="BG538" s="27" t="s">
        <v>8</v>
      </c>
      <c r="EM538" s="27" t="s">
        <v>8</v>
      </c>
      <c r="EN538" s="27" t="s">
        <v>7</v>
      </c>
      <c r="FM538" s="27" t="s">
        <v>8</v>
      </c>
      <c r="FN538" s="27" t="s">
        <v>7</v>
      </c>
    </row>
    <row r="539" spans="1:170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G539" s="27" t="s">
        <v>8</v>
      </c>
      <c r="H539" s="27" t="s">
        <v>7</v>
      </c>
      <c r="I539" s="27" t="s">
        <v>8</v>
      </c>
      <c r="J539" s="27" t="s">
        <v>7</v>
      </c>
      <c r="K539" s="27" t="s">
        <v>8</v>
      </c>
      <c r="L539" s="27" t="s">
        <v>7</v>
      </c>
      <c r="M539" s="27" t="s">
        <v>8</v>
      </c>
      <c r="N539" s="27" t="s">
        <v>7</v>
      </c>
      <c r="Y539" s="27" t="s">
        <v>8</v>
      </c>
      <c r="Z539" s="27" t="s">
        <v>7</v>
      </c>
      <c r="AA539" s="27" t="s">
        <v>8</v>
      </c>
      <c r="AB539" s="27" t="s">
        <v>7</v>
      </c>
      <c r="AD539" s="27" t="s">
        <v>7</v>
      </c>
      <c r="AE539" s="27" t="s">
        <v>8</v>
      </c>
      <c r="AL539" s="27" t="s">
        <v>7</v>
      </c>
      <c r="AM539" s="27" t="s">
        <v>8</v>
      </c>
      <c r="AT539" s="27" t="s">
        <v>7</v>
      </c>
      <c r="AU539" s="27" t="s">
        <v>8</v>
      </c>
      <c r="AV539" s="27" t="s">
        <v>7</v>
      </c>
      <c r="BA539" s="27" t="s">
        <v>8</v>
      </c>
      <c r="BB539" s="27" t="s">
        <v>7</v>
      </c>
      <c r="BC539" s="27" t="s">
        <v>8</v>
      </c>
      <c r="BD539" s="27" t="s">
        <v>7</v>
      </c>
      <c r="BE539" s="27" t="s">
        <v>8</v>
      </c>
      <c r="BF539" s="27" t="s">
        <v>7</v>
      </c>
      <c r="BG539" s="27" t="s">
        <v>8</v>
      </c>
      <c r="BH539" s="27" t="s">
        <v>7</v>
      </c>
      <c r="EM539" s="27" t="s">
        <v>8</v>
      </c>
      <c r="EN539" s="27" t="s">
        <v>7</v>
      </c>
      <c r="FI539" s="27" t="s">
        <v>8</v>
      </c>
      <c r="FM539" s="27" t="s">
        <v>8</v>
      </c>
      <c r="FN539" s="27" t="s">
        <v>7</v>
      </c>
    </row>
    <row r="540" spans="1:170" x14ac:dyDescent="0.25">
      <c r="A540" s="7">
        <v>2.53634351519552</v>
      </c>
      <c r="B540"/>
      <c r="C540"/>
      <c r="D540"/>
      <c r="E540" t="s">
        <v>8</v>
      </c>
      <c r="F540" s="27" t="s">
        <v>7</v>
      </c>
      <c r="G540" s="27" t="s">
        <v>8</v>
      </c>
      <c r="H540" s="27" t="s">
        <v>7</v>
      </c>
      <c r="J540" s="27" t="s">
        <v>7</v>
      </c>
      <c r="L540" s="27" t="s">
        <v>7</v>
      </c>
      <c r="N540" s="27" t="s">
        <v>7</v>
      </c>
      <c r="Y540" s="27" t="s">
        <v>8</v>
      </c>
      <c r="Z540" s="27" t="s">
        <v>7</v>
      </c>
      <c r="AA540" s="27" t="s">
        <v>8</v>
      </c>
      <c r="AD540" s="27" t="s">
        <v>7</v>
      </c>
      <c r="AL540" s="27" t="s">
        <v>7</v>
      </c>
      <c r="AT540" s="27" t="s">
        <v>7</v>
      </c>
      <c r="AU540" s="27" t="s">
        <v>8</v>
      </c>
      <c r="AV540" s="27" t="s">
        <v>7</v>
      </c>
      <c r="BA540" s="27" t="s">
        <v>8</v>
      </c>
      <c r="BB540" s="27" t="s">
        <v>7</v>
      </c>
      <c r="BC540" s="27" t="s">
        <v>8</v>
      </c>
      <c r="BD540" s="27" t="s">
        <v>7</v>
      </c>
      <c r="BE540" s="27" t="s">
        <v>8</v>
      </c>
      <c r="BF540" s="27" t="s">
        <v>7</v>
      </c>
      <c r="BG540" s="27" t="s">
        <v>8</v>
      </c>
      <c r="BH540" s="27" t="s">
        <v>7</v>
      </c>
      <c r="EM540" s="27" t="s">
        <v>8</v>
      </c>
      <c r="EN540" s="27" t="s">
        <v>7</v>
      </c>
      <c r="FI540" s="27" t="s">
        <v>8</v>
      </c>
      <c r="FJ540" s="27" t="s">
        <v>7</v>
      </c>
      <c r="FM540" s="27" t="s">
        <v>8</v>
      </c>
      <c r="FN540" s="27" t="s">
        <v>7</v>
      </c>
    </row>
    <row r="541" spans="1:170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G541" s="27" t="s">
        <v>8</v>
      </c>
      <c r="N541" s="27" t="s">
        <v>7</v>
      </c>
      <c r="Y541" s="27" t="s">
        <v>8</v>
      </c>
      <c r="Z541" s="27" t="s">
        <v>7</v>
      </c>
      <c r="AA541" s="27" t="s">
        <v>8</v>
      </c>
      <c r="AT541" s="27" t="s">
        <v>7</v>
      </c>
      <c r="AU541" s="27" t="s">
        <v>8</v>
      </c>
      <c r="AV541" s="27" t="s">
        <v>7</v>
      </c>
      <c r="AW541" s="27" t="s">
        <v>8</v>
      </c>
      <c r="AY541" s="27" t="s">
        <v>8</v>
      </c>
      <c r="BA541" s="27" t="s">
        <v>8</v>
      </c>
      <c r="BB541" s="27" t="s">
        <v>7</v>
      </c>
      <c r="BD541" s="27" t="s">
        <v>7</v>
      </c>
      <c r="BE541" s="27" t="s">
        <v>8</v>
      </c>
      <c r="BF541" s="27" t="s">
        <v>7</v>
      </c>
      <c r="BG541" s="27" t="s">
        <v>8</v>
      </c>
      <c r="BH541" s="27" t="s">
        <v>7</v>
      </c>
      <c r="EM541" s="27" t="s">
        <v>8</v>
      </c>
      <c r="EN541" s="27" t="s">
        <v>7</v>
      </c>
      <c r="FI541" s="27" t="s">
        <v>8</v>
      </c>
      <c r="FJ541" s="27" t="s">
        <v>7</v>
      </c>
      <c r="FM541" s="27" t="s">
        <v>8</v>
      </c>
      <c r="FN541" s="27" t="s">
        <v>7</v>
      </c>
    </row>
    <row r="542" spans="1:170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N542" s="27" t="s">
        <v>7</v>
      </c>
      <c r="Y542" s="27" t="s">
        <v>8</v>
      </c>
      <c r="Z542" s="27" t="s">
        <v>7</v>
      </c>
      <c r="AA542" s="27" t="s">
        <v>8</v>
      </c>
      <c r="AT542" s="27" t="s">
        <v>7</v>
      </c>
      <c r="AU542" s="27" t="s">
        <v>8</v>
      </c>
      <c r="AV542" s="27" t="s">
        <v>7</v>
      </c>
      <c r="AW542" s="27" t="s">
        <v>8</v>
      </c>
      <c r="AX542" s="27" t="s">
        <v>7</v>
      </c>
      <c r="AY542" s="27" t="s">
        <v>8</v>
      </c>
      <c r="AZ542" s="27" t="s">
        <v>7</v>
      </c>
      <c r="BA542" s="27" t="s">
        <v>8</v>
      </c>
      <c r="BD542" s="27" t="s">
        <v>7</v>
      </c>
      <c r="BF542" s="27" t="s">
        <v>7</v>
      </c>
      <c r="BH542" s="27" t="s">
        <v>7</v>
      </c>
      <c r="EM542" s="27" t="s">
        <v>8</v>
      </c>
      <c r="EN542" s="27" t="s">
        <v>7</v>
      </c>
      <c r="FI542" s="27" t="s">
        <v>8</v>
      </c>
      <c r="FJ542" s="27" t="s">
        <v>7</v>
      </c>
      <c r="FM542" s="27" t="s">
        <v>8</v>
      </c>
      <c r="FN542" s="27" t="s">
        <v>7</v>
      </c>
    </row>
    <row r="543" spans="1:170" x14ac:dyDescent="0.25">
      <c r="A543" s="7">
        <v>2.3900531424522997</v>
      </c>
      <c r="B543"/>
      <c r="C543"/>
      <c r="D543"/>
      <c r="E543" t="s">
        <v>8</v>
      </c>
      <c r="N543" s="27" t="s">
        <v>7</v>
      </c>
      <c r="Y543" s="27" t="s">
        <v>8</v>
      </c>
      <c r="Z543" s="27" t="s">
        <v>7</v>
      </c>
      <c r="AA543" s="27" t="s">
        <v>8</v>
      </c>
      <c r="AT543" s="27" t="s">
        <v>7</v>
      </c>
      <c r="AU543" s="27" t="s">
        <v>8</v>
      </c>
      <c r="AV543" s="27" t="s">
        <v>7</v>
      </c>
      <c r="AW543" s="27" t="s">
        <v>8</v>
      </c>
      <c r="AX543" s="27" t="s">
        <v>7</v>
      </c>
      <c r="AY543" s="27" t="s">
        <v>8</v>
      </c>
      <c r="AZ543" s="27" t="s">
        <v>7</v>
      </c>
      <c r="BA543" s="27" t="s">
        <v>8</v>
      </c>
      <c r="BH543" s="27" t="s">
        <v>7</v>
      </c>
      <c r="EM543" s="27" t="s">
        <v>8</v>
      </c>
      <c r="EN543" s="27" t="s">
        <v>7</v>
      </c>
      <c r="FI543" s="27" t="s">
        <v>8</v>
      </c>
      <c r="FJ543" s="27" t="s">
        <v>7</v>
      </c>
      <c r="FM543" s="27" t="s">
        <v>8</v>
      </c>
      <c r="FN543" s="27" t="s">
        <v>7</v>
      </c>
    </row>
    <row r="544" spans="1:170" x14ac:dyDescent="0.25">
      <c r="A544" s="7">
        <v>2.343189355345392</v>
      </c>
      <c r="B544"/>
      <c r="C544"/>
      <c r="D544"/>
      <c r="E544" t="s">
        <v>8</v>
      </c>
      <c r="N544" s="27" t="s">
        <v>7</v>
      </c>
      <c r="Y544" s="27" t="s">
        <v>8</v>
      </c>
      <c r="Z544" s="27" t="s">
        <v>7</v>
      </c>
      <c r="AA544" s="27" t="s">
        <v>8</v>
      </c>
      <c r="AT544" s="27" t="s">
        <v>7</v>
      </c>
      <c r="AU544" s="27" t="s">
        <v>8</v>
      </c>
      <c r="AV544" s="27" t="s">
        <v>7</v>
      </c>
      <c r="AW544" s="27" t="s">
        <v>8</v>
      </c>
      <c r="AX544" s="27" t="s">
        <v>7</v>
      </c>
      <c r="AY544" s="27" t="s">
        <v>8</v>
      </c>
      <c r="AZ544" s="27" t="s">
        <v>7</v>
      </c>
      <c r="BA544" s="27" t="s">
        <v>8</v>
      </c>
      <c r="BH544" s="27" t="s">
        <v>7</v>
      </c>
      <c r="EM544" s="27" t="s">
        <v>8</v>
      </c>
      <c r="EN544" s="27" t="s">
        <v>7</v>
      </c>
      <c r="FI544" s="27" t="s">
        <v>8</v>
      </c>
      <c r="FJ544" s="27" t="s">
        <v>7</v>
      </c>
      <c r="FM544" s="27" t="s">
        <v>8</v>
      </c>
      <c r="FN544" s="27" t="s">
        <v>7</v>
      </c>
    </row>
    <row r="545" spans="1:186" x14ac:dyDescent="0.25">
      <c r="A545" s="7">
        <v>2.2972444660248938</v>
      </c>
      <c r="B545"/>
      <c r="C545"/>
      <c r="D545"/>
      <c r="E545" t="s">
        <v>8</v>
      </c>
      <c r="N545" s="27" t="s">
        <v>7</v>
      </c>
      <c r="Y545" s="27" t="s">
        <v>8</v>
      </c>
      <c r="Z545" s="27" t="s">
        <v>7</v>
      </c>
      <c r="AA545" s="27" t="s">
        <v>8</v>
      </c>
      <c r="AT545" s="27" t="s">
        <v>7</v>
      </c>
      <c r="AU545" s="27" t="s">
        <v>8</v>
      </c>
      <c r="AV545" s="27" t="s">
        <v>7</v>
      </c>
      <c r="AW545" s="27" t="s">
        <v>8</v>
      </c>
      <c r="AX545" s="27" t="s">
        <v>7</v>
      </c>
      <c r="AY545" s="27" t="s">
        <v>8</v>
      </c>
      <c r="AZ545" s="27" t="s">
        <v>7</v>
      </c>
      <c r="BA545" s="27" t="s">
        <v>8</v>
      </c>
      <c r="BH545" s="27" t="s">
        <v>7</v>
      </c>
      <c r="BI545" s="27" t="s">
        <v>8</v>
      </c>
      <c r="EM545" s="27" t="s">
        <v>8</v>
      </c>
      <c r="EN545" s="27" t="s">
        <v>7</v>
      </c>
      <c r="FI545" s="27" t="s">
        <v>8</v>
      </c>
      <c r="FJ545" s="27" t="s">
        <v>7</v>
      </c>
      <c r="FM545" s="27" t="s">
        <v>8</v>
      </c>
      <c r="FN545" s="27" t="s">
        <v>7</v>
      </c>
    </row>
    <row r="546" spans="1:186" x14ac:dyDescent="0.25">
      <c r="A546" s="7">
        <v>2.252200456887151</v>
      </c>
      <c r="B546"/>
      <c r="C546"/>
      <c r="D546"/>
      <c r="E546" t="s">
        <v>8</v>
      </c>
      <c r="N546" s="27" t="s">
        <v>7</v>
      </c>
      <c r="O546" s="27" t="s">
        <v>8</v>
      </c>
      <c r="S546" s="27" t="s">
        <v>8</v>
      </c>
      <c r="Y546" s="27" t="s">
        <v>8</v>
      </c>
      <c r="Z546" s="27" t="s">
        <v>7</v>
      </c>
      <c r="AA546" s="27" t="s">
        <v>8</v>
      </c>
      <c r="AT546" s="27" t="s">
        <v>7</v>
      </c>
      <c r="AU546" s="27" t="s">
        <v>8</v>
      </c>
      <c r="AV546" s="27" t="s">
        <v>7</v>
      </c>
      <c r="AW546" s="27" t="s">
        <v>8</v>
      </c>
      <c r="AX546" s="27" t="s">
        <v>7</v>
      </c>
      <c r="AY546" s="27" t="s">
        <v>8</v>
      </c>
      <c r="AZ546" s="27" t="s">
        <v>7</v>
      </c>
      <c r="BA546" s="27" t="s">
        <v>8</v>
      </c>
      <c r="BH546" s="27" t="s">
        <v>7</v>
      </c>
      <c r="BI546" s="27" t="s">
        <v>8</v>
      </c>
      <c r="BJ546" s="27" t="s">
        <v>7</v>
      </c>
      <c r="EM546" s="27" t="s">
        <v>8</v>
      </c>
      <c r="EN546" s="27" t="s">
        <v>7</v>
      </c>
      <c r="FI546" s="27" t="s">
        <v>8</v>
      </c>
      <c r="FJ546" s="27" t="s">
        <v>7</v>
      </c>
      <c r="FK546" s="27" t="s">
        <v>8</v>
      </c>
      <c r="FM546" s="27" t="s">
        <v>8</v>
      </c>
      <c r="FN546" s="27" t="s">
        <v>7</v>
      </c>
      <c r="FS546" s="27" t="s">
        <v>8</v>
      </c>
    </row>
    <row r="547" spans="1:186" x14ac:dyDescent="0.25">
      <c r="A547" s="7">
        <v>2.208039663614854</v>
      </c>
      <c r="B547"/>
      <c r="C547"/>
      <c r="D547"/>
      <c r="E547" t="s">
        <v>8</v>
      </c>
      <c r="N547" s="27" t="s">
        <v>7</v>
      </c>
      <c r="O547" s="27" t="s">
        <v>8</v>
      </c>
      <c r="P547" s="27" t="s">
        <v>7</v>
      </c>
      <c r="S547" s="27" t="s">
        <v>8</v>
      </c>
      <c r="T547" s="27" t="s">
        <v>7</v>
      </c>
      <c r="Y547" s="27" t="s">
        <v>8</v>
      </c>
      <c r="Z547" s="27" t="s">
        <v>7</v>
      </c>
      <c r="AA547" s="27" t="s">
        <v>8</v>
      </c>
      <c r="AT547" s="27" t="s">
        <v>7</v>
      </c>
      <c r="AU547" s="27" t="s">
        <v>8</v>
      </c>
      <c r="AV547" s="27" t="s">
        <v>7</v>
      </c>
      <c r="AW547" s="27" t="s">
        <v>8</v>
      </c>
      <c r="AX547" s="27" t="s">
        <v>7</v>
      </c>
      <c r="AY547" s="27" t="s">
        <v>8</v>
      </c>
      <c r="AZ547" s="27" t="s">
        <v>7</v>
      </c>
      <c r="BA547" s="27" t="s">
        <v>8</v>
      </c>
      <c r="BH547" s="27" t="s">
        <v>7</v>
      </c>
      <c r="BI547" s="27" t="s">
        <v>8</v>
      </c>
      <c r="BJ547" s="27" t="s">
        <v>7</v>
      </c>
      <c r="EM547" s="27" t="s">
        <v>8</v>
      </c>
      <c r="EN547" s="27" t="s">
        <v>7</v>
      </c>
      <c r="FI547" s="27" t="s">
        <v>8</v>
      </c>
      <c r="FJ547" s="27" t="s">
        <v>7</v>
      </c>
      <c r="FK547" s="27" t="s">
        <v>8</v>
      </c>
      <c r="FL547" s="27" t="s">
        <v>7</v>
      </c>
      <c r="FM547" s="27" t="s">
        <v>8</v>
      </c>
      <c r="FN547" s="27" t="s">
        <v>7</v>
      </c>
      <c r="FS547" s="27" t="s">
        <v>8</v>
      </c>
      <c r="FT547" s="27" t="s">
        <v>7</v>
      </c>
    </row>
    <row r="548" spans="1:186" x14ac:dyDescent="0.25">
      <c r="A548" s="7">
        <v>2.1647447682498568</v>
      </c>
      <c r="B548"/>
      <c r="C548"/>
      <c r="D548"/>
      <c r="E548" t="s">
        <v>8</v>
      </c>
      <c r="N548" s="27" t="s">
        <v>7</v>
      </c>
      <c r="O548" s="27" t="s">
        <v>8</v>
      </c>
      <c r="P548" s="27" t="s">
        <v>7</v>
      </c>
      <c r="S548" s="27" t="s">
        <v>8</v>
      </c>
      <c r="T548" s="27" t="s">
        <v>7</v>
      </c>
      <c r="U548" s="27" t="s">
        <v>8</v>
      </c>
      <c r="Y548" s="27" t="s">
        <v>8</v>
      </c>
      <c r="Z548" s="27" t="s">
        <v>7</v>
      </c>
      <c r="AA548" s="27" t="s">
        <v>8</v>
      </c>
      <c r="AT548" s="27" t="s">
        <v>7</v>
      </c>
      <c r="AU548" s="27" t="s">
        <v>8</v>
      </c>
      <c r="AV548" s="27" t="s">
        <v>7</v>
      </c>
      <c r="AW548" s="27" t="s">
        <v>8</v>
      </c>
      <c r="AX548" s="27" t="s">
        <v>7</v>
      </c>
      <c r="AY548" s="27" t="s">
        <v>8</v>
      </c>
      <c r="AZ548" s="27" t="s">
        <v>7</v>
      </c>
      <c r="BH548" s="27" t="s">
        <v>7</v>
      </c>
      <c r="BI548" s="27" t="s">
        <v>8</v>
      </c>
      <c r="BJ548" s="27" t="s">
        <v>7</v>
      </c>
      <c r="EM548" s="27" t="s">
        <v>8</v>
      </c>
      <c r="EN548" s="27" t="s">
        <v>7</v>
      </c>
      <c r="EO548" s="27" t="s">
        <v>8</v>
      </c>
      <c r="FI548" s="27" t="s">
        <v>8</v>
      </c>
      <c r="FJ548" s="27" t="s">
        <v>7</v>
      </c>
      <c r="FK548" s="27" t="s">
        <v>8</v>
      </c>
      <c r="FL548" s="27" t="s">
        <v>7</v>
      </c>
      <c r="FM548" s="27" t="s">
        <v>8</v>
      </c>
      <c r="FN548" s="27" t="s">
        <v>7</v>
      </c>
      <c r="FS548" s="27" t="s">
        <v>8</v>
      </c>
      <c r="FT548" s="27" t="s">
        <v>7</v>
      </c>
    </row>
    <row r="549" spans="1:186" x14ac:dyDescent="0.25">
      <c r="A549" s="7">
        <v>2.1222987924018204</v>
      </c>
      <c r="B549"/>
      <c r="C549"/>
      <c r="D549"/>
      <c r="E549" t="s">
        <v>8</v>
      </c>
      <c r="N549" s="27" t="s">
        <v>7</v>
      </c>
      <c r="O549" s="27" t="s">
        <v>8</v>
      </c>
      <c r="P549" s="27" t="s">
        <v>7</v>
      </c>
      <c r="S549" s="27" t="s">
        <v>8</v>
      </c>
      <c r="T549" s="27" t="s">
        <v>7</v>
      </c>
      <c r="U549" s="27" t="s">
        <v>8</v>
      </c>
      <c r="V549" s="27" t="s">
        <v>7</v>
      </c>
      <c r="Y549" s="27" t="s">
        <v>8</v>
      </c>
      <c r="Z549" s="27" t="s">
        <v>7</v>
      </c>
      <c r="AT549" s="27" t="s">
        <v>7</v>
      </c>
      <c r="AV549" s="27" t="s">
        <v>7</v>
      </c>
      <c r="AX549" s="27" t="s">
        <v>7</v>
      </c>
      <c r="AY549" s="27" t="s">
        <v>8</v>
      </c>
      <c r="BH549" s="27" t="s">
        <v>7</v>
      </c>
      <c r="BI549" s="27" t="s">
        <v>8</v>
      </c>
      <c r="BJ549" s="27" t="s">
        <v>7</v>
      </c>
      <c r="BK549" s="27" t="s">
        <v>8</v>
      </c>
      <c r="EM549" s="27" t="s">
        <v>8</v>
      </c>
      <c r="EN549" s="27" t="s">
        <v>7</v>
      </c>
      <c r="EO549" s="27" t="s">
        <v>8</v>
      </c>
      <c r="EP549" s="27" t="s">
        <v>7</v>
      </c>
      <c r="FG549" s="27" t="s">
        <v>8</v>
      </c>
      <c r="FI549" s="27" t="s">
        <v>8</v>
      </c>
      <c r="FJ549" s="27" t="s">
        <v>7</v>
      </c>
      <c r="FK549" s="27" t="s">
        <v>8</v>
      </c>
      <c r="FL549" s="27" t="s">
        <v>7</v>
      </c>
      <c r="FM549" s="27" t="s">
        <v>8</v>
      </c>
      <c r="FN549" s="27" t="s">
        <v>7</v>
      </c>
      <c r="FS549" s="27" t="s">
        <v>8</v>
      </c>
      <c r="FT549" s="27" t="s">
        <v>7</v>
      </c>
    </row>
    <row r="550" spans="1:186" x14ac:dyDescent="0.25">
      <c r="A550" s="7">
        <v>2.0806850905900198</v>
      </c>
      <c r="B550"/>
      <c r="C550"/>
      <c r="D550"/>
      <c r="E550" t="s">
        <v>8</v>
      </c>
      <c r="N550" s="27" t="s">
        <v>7</v>
      </c>
      <c r="O550" s="27" t="s">
        <v>8</v>
      </c>
      <c r="P550" s="27" t="s">
        <v>7</v>
      </c>
      <c r="S550" s="27" t="s">
        <v>8</v>
      </c>
      <c r="T550" s="27" t="s">
        <v>7</v>
      </c>
      <c r="U550" s="27" t="s">
        <v>8</v>
      </c>
      <c r="V550" s="27" t="s">
        <v>7</v>
      </c>
      <c r="W550" s="27" t="s">
        <v>8</v>
      </c>
      <c r="Y550" s="27" t="s">
        <v>8</v>
      </c>
      <c r="AX550" s="27" t="s">
        <v>7</v>
      </c>
      <c r="AY550" s="27" t="s">
        <v>8</v>
      </c>
      <c r="BH550" s="27" t="s">
        <v>7</v>
      </c>
      <c r="BI550" s="27" t="s">
        <v>8</v>
      </c>
      <c r="BJ550" s="27" t="s">
        <v>7</v>
      </c>
      <c r="BK550" s="27" t="s">
        <v>8</v>
      </c>
      <c r="BL550" s="27" t="s">
        <v>7</v>
      </c>
      <c r="BM550" s="27" t="s">
        <v>8</v>
      </c>
      <c r="EM550" s="27" t="s">
        <v>8</v>
      </c>
      <c r="EN550" s="27" t="s">
        <v>7</v>
      </c>
      <c r="EO550" s="27" t="s">
        <v>8</v>
      </c>
      <c r="EP550" s="27" t="s">
        <v>7</v>
      </c>
      <c r="FG550" s="27" t="s">
        <v>8</v>
      </c>
      <c r="FH550" s="27" t="s">
        <v>7</v>
      </c>
      <c r="FI550" s="27" t="s">
        <v>8</v>
      </c>
      <c r="FJ550" s="27" t="s">
        <v>7</v>
      </c>
      <c r="FK550" s="27" t="s">
        <v>8</v>
      </c>
      <c r="FL550" s="27" t="s">
        <v>7</v>
      </c>
      <c r="FM550" s="27" t="s">
        <v>8</v>
      </c>
      <c r="FN550" s="27" t="s">
        <v>7</v>
      </c>
      <c r="FS550" s="27" t="s">
        <v>8</v>
      </c>
      <c r="FT550" s="27" t="s">
        <v>7</v>
      </c>
    </row>
    <row r="551" spans="1:186" x14ac:dyDescent="0.25">
      <c r="A551" s="7">
        <v>2.0398873437157055</v>
      </c>
      <c r="B551"/>
      <c r="C551"/>
      <c r="D551"/>
      <c r="E551" t="s">
        <v>8</v>
      </c>
      <c r="N551" s="27" t="s">
        <v>7</v>
      </c>
      <c r="O551" s="27" t="s">
        <v>8</v>
      </c>
      <c r="P551" s="27" t="s">
        <v>7</v>
      </c>
      <c r="S551" s="27" t="s">
        <v>8</v>
      </c>
      <c r="T551" s="27" t="s">
        <v>7</v>
      </c>
      <c r="U551" s="27" t="s">
        <v>8</v>
      </c>
      <c r="V551" s="27" t="s">
        <v>7</v>
      </c>
      <c r="W551" s="27" t="s">
        <v>8</v>
      </c>
      <c r="X551" s="27" t="s">
        <v>7</v>
      </c>
      <c r="Y551" s="27" t="s">
        <v>8</v>
      </c>
      <c r="AX551" s="27" t="s">
        <v>7</v>
      </c>
      <c r="AY551" s="27" t="s">
        <v>8</v>
      </c>
      <c r="BH551" s="27" t="s">
        <v>7</v>
      </c>
      <c r="BJ551" s="27" t="s">
        <v>7</v>
      </c>
      <c r="BK551" s="27" t="s">
        <v>8</v>
      </c>
      <c r="BL551" s="27" t="s">
        <v>7</v>
      </c>
      <c r="BM551" s="27" t="s">
        <v>8</v>
      </c>
      <c r="BN551" s="27" t="s">
        <v>7</v>
      </c>
      <c r="EM551" s="27" t="s">
        <v>8</v>
      </c>
      <c r="EN551" s="27" t="s">
        <v>7</v>
      </c>
      <c r="EO551" s="27" t="s">
        <v>8</v>
      </c>
      <c r="EP551" s="27" t="s">
        <v>7</v>
      </c>
      <c r="FG551" s="27" t="s">
        <v>8</v>
      </c>
      <c r="FH551" s="27" t="s">
        <v>7</v>
      </c>
      <c r="FI551" s="27" t="s">
        <v>8</v>
      </c>
      <c r="FJ551" s="27" t="s">
        <v>7</v>
      </c>
      <c r="FK551" s="27" t="s">
        <v>8</v>
      </c>
      <c r="FL551" s="27" t="s">
        <v>7</v>
      </c>
      <c r="FM551" s="27" t="s">
        <v>8</v>
      </c>
      <c r="FN551" s="27" t="s">
        <v>7</v>
      </c>
      <c r="FS551" s="27" t="s">
        <v>8</v>
      </c>
      <c r="FT551" s="27" t="s">
        <v>7</v>
      </c>
    </row>
    <row r="552" spans="1:186" x14ac:dyDescent="0.25">
      <c r="A552" s="7">
        <v>1.9998895526624565</v>
      </c>
      <c r="B552"/>
      <c r="C552"/>
      <c r="D552"/>
      <c r="E552" t="s">
        <v>8</v>
      </c>
      <c r="N552" s="27" t="s">
        <v>7</v>
      </c>
      <c r="O552" s="27" t="s">
        <v>8</v>
      </c>
      <c r="P552" s="27" t="s">
        <v>7</v>
      </c>
      <c r="S552" s="27" t="s">
        <v>8</v>
      </c>
      <c r="T552" s="27" t="s">
        <v>7</v>
      </c>
      <c r="U552" s="27" t="s">
        <v>8</v>
      </c>
      <c r="V552" s="27" t="s">
        <v>7</v>
      </c>
      <c r="W552" s="27" t="s">
        <v>8</v>
      </c>
      <c r="X552" s="27" t="s">
        <v>7</v>
      </c>
      <c r="Y552" s="27" t="s">
        <v>8</v>
      </c>
      <c r="AX552" s="27" t="s">
        <v>7</v>
      </c>
      <c r="AY552" s="27" t="s">
        <v>8</v>
      </c>
      <c r="BJ552" s="27" t="s">
        <v>7</v>
      </c>
      <c r="BK552" s="27" t="s">
        <v>8</v>
      </c>
      <c r="BL552" s="27" t="s">
        <v>7</v>
      </c>
      <c r="BM552" s="27" t="s">
        <v>8</v>
      </c>
      <c r="BN552" s="27" t="s">
        <v>7</v>
      </c>
      <c r="BO552" s="27" t="s">
        <v>8</v>
      </c>
      <c r="EM552" s="27" t="s">
        <v>8</v>
      </c>
      <c r="EN552" s="27" t="s">
        <v>7</v>
      </c>
      <c r="EO552" s="27" t="s">
        <v>8</v>
      </c>
      <c r="EP552" s="27" t="s">
        <v>7</v>
      </c>
      <c r="FG552" s="27" t="s">
        <v>8</v>
      </c>
      <c r="FH552" s="27" t="s">
        <v>7</v>
      </c>
      <c r="FI552" s="27" t="s">
        <v>8</v>
      </c>
      <c r="FJ552" s="27" t="s">
        <v>7</v>
      </c>
      <c r="FK552" s="27" t="s">
        <v>8</v>
      </c>
      <c r="FL552" s="27" t="s">
        <v>7</v>
      </c>
      <c r="FM552" s="27" t="s">
        <v>8</v>
      </c>
      <c r="FN552" s="27" t="s">
        <v>7</v>
      </c>
      <c r="FS552" s="27" t="s">
        <v>8</v>
      </c>
      <c r="FT552" s="27" t="s">
        <v>7</v>
      </c>
    </row>
    <row r="553" spans="1:186" x14ac:dyDescent="0.25">
      <c r="A553" s="7">
        <v>1.9606760320220162</v>
      </c>
      <c r="B553"/>
      <c r="C553"/>
      <c r="D553"/>
      <c r="E553" t="s">
        <v>8</v>
      </c>
      <c r="N553" s="27" t="s">
        <v>7</v>
      </c>
      <c r="O553" s="27" t="s">
        <v>8</v>
      </c>
      <c r="P553" s="27" t="s">
        <v>7</v>
      </c>
      <c r="S553" s="27" t="s">
        <v>8</v>
      </c>
      <c r="T553" s="27" t="s">
        <v>7</v>
      </c>
      <c r="U553" s="27" t="s">
        <v>8</v>
      </c>
      <c r="V553" s="27" t="s">
        <v>7</v>
      </c>
      <c r="W553" s="27" t="s">
        <v>8</v>
      </c>
      <c r="X553" s="27" t="s">
        <v>7</v>
      </c>
      <c r="Y553" s="27" t="s">
        <v>8</v>
      </c>
      <c r="AX553" s="27" t="s">
        <v>7</v>
      </c>
      <c r="AY553" s="27" t="s">
        <v>8</v>
      </c>
      <c r="BJ553" s="27" t="s">
        <v>7</v>
      </c>
      <c r="BK553" s="27" t="s">
        <v>8</v>
      </c>
      <c r="BL553" s="27" t="s">
        <v>7</v>
      </c>
      <c r="BM553" s="27" t="s">
        <v>8</v>
      </c>
      <c r="BN553" s="27" t="s">
        <v>7</v>
      </c>
      <c r="BO553" s="27" t="s">
        <v>8</v>
      </c>
      <c r="BP553" s="27" t="s">
        <v>7</v>
      </c>
      <c r="EM553" s="27" t="s">
        <v>8</v>
      </c>
      <c r="EN553" s="27" t="s">
        <v>7</v>
      </c>
      <c r="EO553" s="27" t="s">
        <v>8</v>
      </c>
      <c r="EP553" s="27" t="s">
        <v>7</v>
      </c>
      <c r="FG553" s="27" t="s">
        <v>8</v>
      </c>
      <c r="FH553" s="27" t="s">
        <v>7</v>
      </c>
      <c r="FI553" s="27" t="s">
        <v>8</v>
      </c>
      <c r="FJ553" s="27" t="s">
        <v>7</v>
      </c>
      <c r="FK553" s="27" t="s">
        <v>8</v>
      </c>
      <c r="FL553" s="27" t="s">
        <v>7</v>
      </c>
      <c r="FM553" s="27" t="s">
        <v>8</v>
      </c>
      <c r="FN553" s="27" t="s">
        <v>7</v>
      </c>
      <c r="FO553" s="27" t="s">
        <v>8</v>
      </c>
      <c r="FS553" s="27" t="s">
        <v>8</v>
      </c>
      <c r="FT553" s="27" t="s">
        <v>7</v>
      </c>
    </row>
    <row r="554" spans="1:186" x14ac:dyDescent="0.25">
      <c r="A554" s="7">
        <v>1.9222314039431532</v>
      </c>
      <c r="B554"/>
      <c r="C554"/>
      <c r="D554"/>
      <c r="E554" t="s">
        <v>8</v>
      </c>
      <c r="N554" s="27" t="s">
        <v>7</v>
      </c>
      <c r="O554" s="27" t="s">
        <v>8</v>
      </c>
      <c r="P554" s="27" t="s">
        <v>7</v>
      </c>
      <c r="S554" s="27" t="s">
        <v>8</v>
      </c>
      <c r="T554" s="27" t="s">
        <v>7</v>
      </c>
      <c r="U554" s="27" t="s">
        <v>8</v>
      </c>
      <c r="V554" s="27" t="s">
        <v>7</v>
      </c>
      <c r="W554" s="27" t="s">
        <v>8</v>
      </c>
      <c r="X554" s="27" t="s">
        <v>7</v>
      </c>
      <c r="Y554" s="27" t="s">
        <v>8</v>
      </c>
      <c r="AX554" s="27" t="s">
        <v>7</v>
      </c>
      <c r="AY554" s="27" t="s">
        <v>8</v>
      </c>
      <c r="BJ554" s="27" t="s">
        <v>7</v>
      </c>
      <c r="BK554" s="27" t="s">
        <v>8</v>
      </c>
      <c r="BL554" s="27" t="s">
        <v>7</v>
      </c>
      <c r="BM554" s="27" t="s">
        <v>8</v>
      </c>
      <c r="BN554" s="27" t="s">
        <v>7</v>
      </c>
      <c r="BO554" s="27" t="s">
        <v>8</v>
      </c>
      <c r="BP554" s="27" t="s">
        <v>7</v>
      </c>
      <c r="EM554" s="27" t="s">
        <v>8</v>
      </c>
      <c r="EN554" s="27" t="s">
        <v>7</v>
      </c>
      <c r="EO554" s="27" t="s">
        <v>8</v>
      </c>
      <c r="EP554" s="27" t="s">
        <v>7</v>
      </c>
      <c r="EW554" s="27" t="s">
        <v>8</v>
      </c>
      <c r="FG554" s="27" t="s">
        <v>8</v>
      </c>
      <c r="FH554" s="27" t="s">
        <v>7</v>
      </c>
      <c r="FI554" s="27" t="s">
        <v>8</v>
      </c>
      <c r="FJ554" s="27" t="s">
        <v>7</v>
      </c>
      <c r="FK554" s="27" t="s">
        <v>8</v>
      </c>
      <c r="FL554" s="27" t="s">
        <v>7</v>
      </c>
      <c r="FN554" s="27" t="s">
        <v>7</v>
      </c>
      <c r="FO554" s="27" t="s">
        <v>8</v>
      </c>
      <c r="FP554" s="27" t="s">
        <v>7</v>
      </c>
      <c r="FQ554" s="27" t="s">
        <v>8</v>
      </c>
      <c r="FS554" s="27" t="s">
        <v>8</v>
      </c>
      <c r="FT554" s="27" t="s">
        <v>7</v>
      </c>
    </row>
    <row r="555" spans="1:186" x14ac:dyDescent="0.25">
      <c r="A555" s="7">
        <v>1.8845405921011305</v>
      </c>
      <c r="B555"/>
      <c r="C555"/>
      <c r="D555"/>
      <c r="E555" t="s">
        <v>8</v>
      </c>
      <c r="N555" s="27" t="s">
        <v>7</v>
      </c>
      <c r="O555" s="27" t="s">
        <v>8</v>
      </c>
      <c r="P555" s="27" t="s">
        <v>7</v>
      </c>
      <c r="S555" s="27" t="s">
        <v>8</v>
      </c>
      <c r="T555" s="27" t="s">
        <v>7</v>
      </c>
      <c r="U555" s="27" t="s">
        <v>8</v>
      </c>
      <c r="V555" s="27" t="s">
        <v>7</v>
      </c>
      <c r="W555" s="27" t="s">
        <v>8</v>
      </c>
      <c r="X555" s="27" t="s">
        <v>7</v>
      </c>
      <c r="Y555" s="27" t="s">
        <v>8</v>
      </c>
      <c r="AX555" s="27" t="s">
        <v>7</v>
      </c>
      <c r="AY555" s="27" t="s">
        <v>8</v>
      </c>
      <c r="BJ555" s="27" t="s">
        <v>7</v>
      </c>
      <c r="BK555" s="27" t="s">
        <v>8</v>
      </c>
      <c r="BL555" s="27" t="s">
        <v>7</v>
      </c>
      <c r="BM555" s="27" t="s">
        <v>8</v>
      </c>
      <c r="BN555" s="27" t="s">
        <v>7</v>
      </c>
      <c r="BO555" s="27" t="s">
        <v>8</v>
      </c>
      <c r="BP555" s="27" t="s">
        <v>7</v>
      </c>
      <c r="EM555" s="27" t="s">
        <v>8</v>
      </c>
      <c r="EN555" s="27" t="s">
        <v>7</v>
      </c>
      <c r="EO555" s="27" t="s">
        <v>8</v>
      </c>
      <c r="EP555" s="27" t="s">
        <v>7</v>
      </c>
      <c r="EQ555" s="27" t="s">
        <v>8</v>
      </c>
      <c r="EW555" s="27" t="s">
        <v>8</v>
      </c>
      <c r="EX555" s="27" t="s">
        <v>7</v>
      </c>
      <c r="FG555" s="27" t="s">
        <v>8</v>
      </c>
      <c r="FH555" s="27" t="s">
        <v>7</v>
      </c>
      <c r="FI555" s="27" t="s">
        <v>8</v>
      </c>
      <c r="FJ555" s="27" t="s">
        <v>7</v>
      </c>
      <c r="FN555" s="27" t="s">
        <v>7</v>
      </c>
      <c r="FO555" s="27" t="s">
        <v>8</v>
      </c>
      <c r="FP555" s="27" t="s">
        <v>7</v>
      </c>
      <c r="FQ555" s="27" t="s">
        <v>8</v>
      </c>
      <c r="FR555" s="27" t="s">
        <v>7</v>
      </c>
      <c r="FS555" s="27" t="s">
        <v>8</v>
      </c>
      <c r="FT555" s="27" t="s">
        <v>7</v>
      </c>
    </row>
    <row r="556" spans="1:186" x14ac:dyDescent="0.25">
      <c r="A556" s="7">
        <v>1.8475888157854219</v>
      </c>
      <c r="B556"/>
      <c r="C556"/>
      <c r="D556"/>
      <c r="E556" t="s">
        <v>8</v>
      </c>
      <c r="N556" s="27" t="s">
        <v>7</v>
      </c>
      <c r="O556" s="27" t="s">
        <v>8</v>
      </c>
      <c r="P556" s="27" t="s">
        <v>7</v>
      </c>
      <c r="S556" s="27" t="s">
        <v>8</v>
      </c>
      <c r="T556" s="27" t="s">
        <v>7</v>
      </c>
      <c r="U556" s="27" t="s">
        <v>8</v>
      </c>
      <c r="V556" s="27" t="s">
        <v>7</v>
      </c>
      <c r="X556" s="27" t="s">
        <v>7</v>
      </c>
      <c r="Y556" s="27" t="s">
        <v>8</v>
      </c>
      <c r="AX556" s="27" t="s">
        <v>7</v>
      </c>
      <c r="AY556" s="27" t="s">
        <v>8</v>
      </c>
      <c r="BJ556" s="27" t="s">
        <v>7</v>
      </c>
      <c r="BK556" s="27" t="s">
        <v>8</v>
      </c>
      <c r="BL556" s="27" t="s">
        <v>7</v>
      </c>
      <c r="BN556" s="27" t="s">
        <v>7</v>
      </c>
      <c r="BO556" s="27" t="s">
        <v>8</v>
      </c>
      <c r="BP556" s="27" t="s">
        <v>7</v>
      </c>
      <c r="EM556" s="27" t="s">
        <v>8</v>
      </c>
      <c r="EN556" s="27" t="s">
        <v>7</v>
      </c>
      <c r="EO556" s="27" t="s">
        <v>8</v>
      </c>
      <c r="EP556" s="27" t="s">
        <v>7</v>
      </c>
      <c r="EQ556" s="27" t="s">
        <v>8</v>
      </c>
      <c r="ER556" s="27" t="s">
        <v>7</v>
      </c>
      <c r="ES556" s="27" t="s">
        <v>8</v>
      </c>
      <c r="EW556" s="27" t="s">
        <v>8</v>
      </c>
      <c r="EX556" s="27" t="s">
        <v>7</v>
      </c>
      <c r="FG556" s="27" t="s">
        <v>8</v>
      </c>
      <c r="FH556" s="27" t="s">
        <v>7</v>
      </c>
      <c r="FI556" s="27" t="s">
        <v>8</v>
      </c>
      <c r="FN556" s="27" t="s">
        <v>7</v>
      </c>
      <c r="FO556" s="27" t="s">
        <v>8</v>
      </c>
      <c r="FP556" s="27" t="s">
        <v>7</v>
      </c>
      <c r="FQ556" s="27" t="s">
        <v>8</v>
      </c>
      <c r="FR556" s="27" t="s">
        <v>7</v>
      </c>
      <c r="FS556" s="27" t="s">
        <v>8</v>
      </c>
      <c r="FT556" s="27" t="s">
        <v>7</v>
      </c>
    </row>
    <row r="557" spans="1:186" x14ac:dyDescent="0.25">
      <c r="A557" s="7">
        <v>1.8113615841033548</v>
      </c>
      <c r="B557"/>
      <c r="C557"/>
      <c r="D557"/>
      <c r="E557" t="s">
        <v>8</v>
      </c>
      <c r="N557" s="27" t="s">
        <v>7</v>
      </c>
      <c r="O557" s="27" t="s">
        <v>8</v>
      </c>
      <c r="P557" s="27" t="s">
        <v>7</v>
      </c>
      <c r="Q557" s="27" t="s">
        <v>8</v>
      </c>
      <c r="S557" s="27" t="s">
        <v>8</v>
      </c>
      <c r="T557" s="27" t="s">
        <v>7</v>
      </c>
      <c r="U557" s="27" t="s">
        <v>8</v>
      </c>
      <c r="X557" s="27" t="s">
        <v>7</v>
      </c>
      <c r="Y557" s="27" t="s">
        <v>8</v>
      </c>
      <c r="AX557" s="27" t="s">
        <v>7</v>
      </c>
      <c r="AY557" s="27" t="s">
        <v>8</v>
      </c>
      <c r="BJ557" s="27" t="s">
        <v>7</v>
      </c>
      <c r="BN557" s="27" t="s">
        <v>7</v>
      </c>
      <c r="BO557" s="27" t="s">
        <v>8</v>
      </c>
      <c r="BP557" s="27" t="s">
        <v>7</v>
      </c>
      <c r="EM557" s="27" t="s">
        <v>8</v>
      </c>
      <c r="EN557" s="27" t="s">
        <v>7</v>
      </c>
      <c r="EP557" s="27" t="s">
        <v>7</v>
      </c>
      <c r="EQ557" s="27" t="s">
        <v>8</v>
      </c>
      <c r="ER557" s="27" t="s">
        <v>7</v>
      </c>
      <c r="ES557" s="27" t="s">
        <v>8</v>
      </c>
      <c r="ET557" s="27" t="s">
        <v>7</v>
      </c>
      <c r="EW557" s="27" t="s">
        <v>8</v>
      </c>
      <c r="EX557" s="27" t="s">
        <v>7</v>
      </c>
      <c r="FG557" s="27" t="s">
        <v>8</v>
      </c>
      <c r="FH557" s="27" t="s">
        <v>7</v>
      </c>
      <c r="FI557" s="27" t="s">
        <v>8</v>
      </c>
      <c r="FN557" s="27" t="s">
        <v>7</v>
      </c>
      <c r="FO557" s="27" t="s">
        <v>8</v>
      </c>
      <c r="FP557" s="27" t="s">
        <v>7</v>
      </c>
      <c r="FQ557" s="27" t="s">
        <v>8</v>
      </c>
      <c r="FR557" s="27" t="s">
        <v>7</v>
      </c>
      <c r="FS557" s="27" t="s">
        <v>8</v>
      </c>
      <c r="FT557" s="27" t="s">
        <v>7</v>
      </c>
      <c r="FU557" s="27" t="s">
        <v>8</v>
      </c>
    </row>
    <row r="558" spans="1:186" x14ac:dyDescent="0.25">
      <c r="A558" s="7">
        <v>1.7758446902974065</v>
      </c>
      <c r="B558"/>
      <c r="C558"/>
      <c r="D558"/>
      <c r="E558" t="s">
        <v>8</v>
      </c>
      <c r="N558" s="27" t="s">
        <v>7</v>
      </c>
      <c r="O558" s="27" t="s">
        <v>8</v>
      </c>
      <c r="P558" s="27" t="s">
        <v>7</v>
      </c>
      <c r="Q558" s="27" t="s">
        <v>8</v>
      </c>
      <c r="R558" s="27" t="s">
        <v>7</v>
      </c>
      <c r="S558" s="27" t="s">
        <v>8</v>
      </c>
      <c r="T558" s="27" t="s">
        <v>7</v>
      </c>
      <c r="U558" s="27" t="s">
        <v>8</v>
      </c>
      <c r="X558" s="27" t="s">
        <v>7</v>
      </c>
      <c r="Y558" s="27" t="s">
        <v>8</v>
      </c>
      <c r="AX558" s="27" t="s">
        <v>7</v>
      </c>
      <c r="AY558" s="27" t="s">
        <v>8</v>
      </c>
      <c r="BN558" s="27" t="s">
        <v>7</v>
      </c>
      <c r="BO558" s="27" t="s">
        <v>8</v>
      </c>
      <c r="BP558" s="27" t="s">
        <v>7</v>
      </c>
      <c r="EM558" s="27" t="s">
        <v>8</v>
      </c>
      <c r="EP558" s="27" t="s">
        <v>7</v>
      </c>
      <c r="EQ558" s="27" t="s">
        <v>8</v>
      </c>
      <c r="ER558" s="27" t="s">
        <v>7</v>
      </c>
      <c r="ES558" s="27" t="s">
        <v>8</v>
      </c>
      <c r="ET558" s="27" t="s">
        <v>7</v>
      </c>
      <c r="EW558" s="27" t="s">
        <v>8</v>
      </c>
      <c r="EX558" s="27" t="s">
        <v>7</v>
      </c>
      <c r="FG558" s="27" t="s">
        <v>8</v>
      </c>
      <c r="FH558" s="27" t="s">
        <v>7</v>
      </c>
      <c r="FI558" s="27" t="s">
        <v>8</v>
      </c>
      <c r="FN558" s="27" t="s">
        <v>7</v>
      </c>
      <c r="FO558" s="27" t="s">
        <v>8</v>
      </c>
      <c r="FP558" s="27" t="s">
        <v>7</v>
      </c>
      <c r="FQ558" s="27" t="s">
        <v>8</v>
      </c>
      <c r="FR558" s="27" t="s">
        <v>7</v>
      </c>
      <c r="FS558" s="27" t="s">
        <v>8</v>
      </c>
      <c r="FT558" s="27" t="s">
        <v>7</v>
      </c>
      <c r="FU558" s="27" t="s">
        <v>8</v>
      </c>
      <c r="FV558" s="27" t="s">
        <v>7</v>
      </c>
      <c r="GC558" s="27" t="s">
        <v>8</v>
      </c>
    </row>
    <row r="559" spans="1:186" x14ac:dyDescent="0.25">
      <c r="A559" s="7">
        <v>1.7410242061739281</v>
      </c>
      <c r="B559"/>
      <c r="C559"/>
      <c r="D559"/>
      <c r="E559" t="s">
        <v>8</v>
      </c>
      <c r="N559" s="27" t="s">
        <v>7</v>
      </c>
      <c r="O559" s="27" t="s">
        <v>8</v>
      </c>
      <c r="P559" s="27" t="s">
        <v>7</v>
      </c>
      <c r="Q559" s="27" t="s">
        <v>8</v>
      </c>
      <c r="R559" s="27" t="s">
        <v>7</v>
      </c>
      <c r="S559" s="27" t="s">
        <v>8</v>
      </c>
      <c r="T559" s="27" t="s">
        <v>7</v>
      </c>
      <c r="U559" s="27" t="s">
        <v>8</v>
      </c>
      <c r="X559" s="27" t="s">
        <v>7</v>
      </c>
      <c r="AX559" s="27" t="s">
        <v>7</v>
      </c>
      <c r="AY559" s="27" t="s">
        <v>8</v>
      </c>
      <c r="BN559" s="27" t="s">
        <v>7</v>
      </c>
      <c r="BO559" s="27" t="s">
        <v>8</v>
      </c>
      <c r="BP559" s="27" t="s">
        <v>7</v>
      </c>
      <c r="DO559" s="27" t="s">
        <v>8</v>
      </c>
      <c r="EM559" s="27" t="s">
        <v>8</v>
      </c>
      <c r="EP559" s="27" t="s">
        <v>7</v>
      </c>
      <c r="EQ559" s="27" t="s">
        <v>8</v>
      </c>
      <c r="ER559" s="27" t="s">
        <v>7</v>
      </c>
      <c r="ES559" s="27" t="s">
        <v>8</v>
      </c>
      <c r="ET559" s="27" t="s">
        <v>7</v>
      </c>
      <c r="EW559" s="27" t="s">
        <v>8</v>
      </c>
      <c r="EX559" s="27" t="s">
        <v>7</v>
      </c>
      <c r="FG559" s="27" t="s">
        <v>8</v>
      </c>
      <c r="FH559" s="27" t="s">
        <v>7</v>
      </c>
      <c r="FI559" s="27" t="s">
        <v>8</v>
      </c>
      <c r="FN559" s="27" t="s">
        <v>7</v>
      </c>
      <c r="FO559" s="27" t="s">
        <v>8</v>
      </c>
      <c r="FP559" s="27" t="s">
        <v>7</v>
      </c>
      <c r="FQ559" s="27" t="s">
        <v>8</v>
      </c>
      <c r="FR559" s="27" t="s">
        <v>7</v>
      </c>
      <c r="FS559" s="27" t="s">
        <v>8</v>
      </c>
      <c r="FT559" s="27" t="s">
        <v>7</v>
      </c>
      <c r="FU559" s="27" t="s">
        <v>8</v>
      </c>
      <c r="FV559" s="27" t="s">
        <v>7</v>
      </c>
      <c r="GC559" s="27" t="s">
        <v>8</v>
      </c>
      <c r="GD559" s="27" t="s">
        <v>7</v>
      </c>
    </row>
    <row r="560" spans="1:186" x14ac:dyDescent="0.25">
      <c r="A560" s="7">
        <v>1.7068864766411058</v>
      </c>
      <c r="B560"/>
      <c r="C560"/>
      <c r="D560"/>
      <c r="E560" t="s">
        <v>8</v>
      </c>
      <c r="N560" s="27" t="s">
        <v>7</v>
      </c>
      <c r="O560" s="27" t="s">
        <v>8</v>
      </c>
      <c r="P560" s="27" t="s">
        <v>7</v>
      </c>
      <c r="Q560" s="27" t="s">
        <v>8</v>
      </c>
      <c r="R560" s="27" t="s">
        <v>7</v>
      </c>
      <c r="S560" s="27" t="s">
        <v>8</v>
      </c>
      <c r="T560" s="27" t="s">
        <v>7</v>
      </c>
      <c r="U560" s="27" t="s">
        <v>8</v>
      </c>
      <c r="AX560" s="27" t="s">
        <v>7</v>
      </c>
      <c r="AY560" s="27" t="s">
        <v>8</v>
      </c>
      <c r="BN560" s="27" t="s">
        <v>7</v>
      </c>
      <c r="BP560" s="27" t="s">
        <v>7</v>
      </c>
      <c r="DO560" s="27" t="s">
        <v>8</v>
      </c>
      <c r="DP560" s="27" t="s">
        <v>7</v>
      </c>
      <c r="EM560" s="27" t="s">
        <v>8</v>
      </c>
      <c r="EP560" s="27" t="s">
        <v>7</v>
      </c>
      <c r="ER560" s="27" t="s">
        <v>7</v>
      </c>
      <c r="ES560" s="27" t="s">
        <v>8</v>
      </c>
      <c r="ET560" s="27" t="s">
        <v>7</v>
      </c>
      <c r="EW560" s="27" t="s">
        <v>8</v>
      </c>
      <c r="EX560" s="27" t="s">
        <v>7</v>
      </c>
      <c r="EY560" s="27" t="s">
        <v>8</v>
      </c>
      <c r="FG560" s="27" t="s">
        <v>8</v>
      </c>
      <c r="FH560" s="27" t="s">
        <v>7</v>
      </c>
      <c r="FI560" s="27" t="s">
        <v>8</v>
      </c>
      <c r="FN560" s="27" t="s">
        <v>7</v>
      </c>
      <c r="FO560" s="27" t="s">
        <v>8</v>
      </c>
      <c r="FP560" s="27" t="s">
        <v>7</v>
      </c>
      <c r="FQ560" s="27" t="s">
        <v>8</v>
      </c>
      <c r="FR560" s="27" t="s">
        <v>7</v>
      </c>
      <c r="FT560" s="27" t="s">
        <v>7</v>
      </c>
      <c r="FU560" s="27" t="s">
        <v>8</v>
      </c>
      <c r="FV560" s="27" t="s">
        <v>7</v>
      </c>
      <c r="GC560" s="27" t="s">
        <v>8</v>
      </c>
      <c r="GD560" s="27" t="s">
        <v>7</v>
      </c>
    </row>
    <row r="561" spans="1:189" x14ac:dyDescent="0.25">
      <c r="A561" s="7">
        <v>1.6734181143540252</v>
      </c>
      <c r="B561"/>
      <c r="C561"/>
      <c r="D561"/>
      <c r="E561" t="s">
        <v>8</v>
      </c>
      <c r="N561" s="27" t="s">
        <v>7</v>
      </c>
      <c r="O561" s="27" t="s">
        <v>8</v>
      </c>
      <c r="P561" s="27" t="s">
        <v>7</v>
      </c>
      <c r="Q561" s="27" t="s">
        <v>8</v>
      </c>
      <c r="R561" s="27" t="s">
        <v>7</v>
      </c>
      <c r="S561" s="27" t="s">
        <v>8</v>
      </c>
      <c r="T561" s="27" t="s">
        <v>7</v>
      </c>
      <c r="AX561" s="27" t="s">
        <v>7</v>
      </c>
      <c r="BP561" s="27" t="s">
        <v>7</v>
      </c>
      <c r="DO561" s="27" t="s">
        <v>8</v>
      </c>
      <c r="DP561" s="27" t="s">
        <v>7</v>
      </c>
      <c r="DQ561" s="27" t="s">
        <v>8</v>
      </c>
      <c r="EM561" s="27" t="s">
        <v>8</v>
      </c>
      <c r="ER561" s="27" t="s">
        <v>7</v>
      </c>
      <c r="ES561" s="27" t="s">
        <v>8</v>
      </c>
      <c r="ET561" s="27" t="s">
        <v>7</v>
      </c>
      <c r="EU561" s="27" t="s">
        <v>8</v>
      </c>
      <c r="EW561" s="27" t="s">
        <v>8</v>
      </c>
      <c r="EX561" s="27" t="s">
        <v>7</v>
      </c>
      <c r="EY561" s="27" t="s">
        <v>8</v>
      </c>
      <c r="EZ561" s="27" t="s">
        <v>7</v>
      </c>
      <c r="FG561" s="27" t="s">
        <v>8</v>
      </c>
      <c r="FH561" s="27" t="s">
        <v>7</v>
      </c>
      <c r="FN561" s="27" t="s">
        <v>7</v>
      </c>
      <c r="FO561" s="27" t="s">
        <v>8</v>
      </c>
      <c r="FP561" s="27" t="s">
        <v>7</v>
      </c>
      <c r="FQ561" s="27" t="s">
        <v>8</v>
      </c>
      <c r="FT561" s="27" t="s">
        <v>7</v>
      </c>
      <c r="FU561" s="27" t="s">
        <v>8</v>
      </c>
      <c r="FV561" s="27" t="s">
        <v>7</v>
      </c>
      <c r="FY561" s="27" t="s">
        <v>8</v>
      </c>
      <c r="GA561" s="27" t="s">
        <v>8</v>
      </c>
      <c r="GC561" s="27" t="s">
        <v>8</v>
      </c>
      <c r="GD561" s="27" t="s">
        <v>7</v>
      </c>
      <c r="GE561" s="27" t="s">
        <v>8</v>
      </c>
    </row>
    <row r="562" spans="1:189" x14ac:dyDescent="0.25">
      <c r="A562" s="7">
        <v>1.6406059944647307</v>
      </c>
      <c r="B562"/>
      <c r="C562"/>
      <c r="D562"/>
      <c r="E562" t="s">
        <v>8</v>
      </c>
      <c r="N562" s="27" t="s">
        <v>7</v>
      </c>
      <c r="O562" s="27" t="s">
        <v>8</v>
      </c>
      <c r="P562" s="27" t="s">
        <v>7</v>
      </c>
      <c r="Q562" s="27" t="s">
        <v>8</v>
      </c>
      <c r="R562" s="27" t="s">
        <v>7</v>
      </c>
      <c r="S562" s="27" t="s">
        <v>8</v>
      </c>
      <c r="BP562" s="27" t="s">
        <v>7</v>
      </c>
      <c r="DO562" s="27" t="s">
        <v>8</v>
      </c>
      <c r="DP562" s="27" t="s">
        <v>7</v>
      </c>
      <c r="DQ562" s="27" t="s">
        <v>8</v>
      </c>
      <c r="DR562" s="27" t="s">
        <v>7</v>
      </c>
      <c r="EM562" s="27" t="s">
        <v>8</v>
      </c>
      <c r="ER562" s="27" t="s">
        <v>7</v>
      </c>
      <c r="ET562" s="27" t="s">
        <v>7</v>
      </c>
      <c r="EU562" s="27" t="s">
        <v>8</v>
      </c>
      <c r="EV562" s="27" t="s">
        <v>7</v>
      </c>
      <c r="EW562" s="27" t="s">
        <v>8</v>
      </c>
      <c r="EX562" s="27" t="s">
        <v>7</v>
      </c>
      <c r="EY562" s="27" t="s">
        <v>8</v>
      </c>
      <c r="EZ562" s="27" t="s">
        <v>7</v>
      </c>
      <c r="FA562" s="27" t="s">
        <v>8</v>
      </c>
      <c r="FG562" s="27" t="s">
        <v>8</v>
      </c>
      <c r="FN562" s="27" t="s">
        <v>7</v>
      </c>
      <c r="FO562" s="27" t="s">
        <v>8</v>
      </c>
      <c r="FP562" s="27" t="s">
        <v>7</v>
      </c>
      <c r="FQ562" s="27" t="s">
        <v>8</v>
      </c>
      <c r="FT562" s="27" t="s">
        <v>7</v>
      </c>
      <c r="FV562" s="27" t="s">
        <v>7</v>
      </c>
      <c r="FY562" s="27" t="s">
        <v>8</v>
      </c>
      <c r="FZ562" s="27" t="s">
        <v>7</v>
      </c>
      <c r="GA562" s="27" t="s">
        <v>8</v>
      </c>
      <c r="GB562" s="27" t="s">
        <v>7</v>
      </c>
      <c r="GC562" s="27" t="s">
        <v>8</v>
      </c>
      <c r="GD562" s="27" t="s">
        <v>7</v>
      </c>
      <c r="GE562" s="27" t="s">
        <v>8</v>
      </c>
      <c r="GF562" s="27" t="s">
        <v>7</v>
      </c>
    </row>
    <row r="563" spans="1:189" x14ac:dyDescent="0.25">
      <c r="A563" s="7">
        <v>1.6084372494752261</v>
      </c>
      <c r="B563"/>
      <c r="C563"/>
      <c r="D563"/>
      <c r="E563" t="s">
        <v>8</v>
      </c>
      <c r="N563" s="27" t="s">
        <v>7</v>
      </c>
      <c r="O563" s="27" t="s">
        <v>8</v>
      </c>
      <c r="P563" s="27" t="s">
        <v>7</v>
      </c>
      <c r="Q563" s="27" t="s">
        <v>8</v>
      </c>
      <c r="R563" s="27" t="s">
        <v>7</v>
      </c>
      <c r="S563" s="27" t="s">
        <v>8</v>
      </c>
      <c r="BP563" s="27" t="s">
        <v>7</v>
      </c>
      <c r="DO563" s="27" t="s">
        <v>8</v>
      </c>
      <c r="DP563" s="27" t="s">
        <v>7</v>
      </c>
      <c r="DQ563" s="27" t="s">
        <v>8</v>
      </c>
      <c r="DR563" s="27" t="s">
        <v>7</v>
      </c>
      <c r="EM563" s="27" t="s">
        <v>8</v>
      </c>
      <c r="ET563" s="27" t="s">
        <v>7</v>
      </c>
      <c r="EU563" s="27" t="s">
        <v>8</v>
      </c>
      <c r="EV563" s="27" t="s">
        <v>7</v>
      </c>
      <c r="EW563" s="27" t="s">
        <v>8</v>
      </c>
      <c r="EX563" s="27" t="s">
        <v>7</v>
      </c>
      <c r="EY563" s="27" t="s">
        <v>8</v>
      </c>
      <c r="EZ563" s="27" t="s">
        <v>7</v>
      </c>
      <c r="FA563" s="27" t="s">
        <v>8</v>
      </c>
      <c r="FB563" s="27" t="s">
        <v>7</v>
      </c>
      <c r="FG563" s="27" t="s">
        <v>8</v>
      </c>
      <c r="FN563" s="27" t="s">
        <v>7</v>
      </c>
      <c r="FP563" s="27" t="s">
        <v>7</v>
      </c>
      <c r="FQ563" s="27" t="s">
        <v>8</v>
      </c>
      <c r="FV563" s="27" t="s">
        <v>7</v>
      </c>
      <c r="FW563" s="27" t="s">
        <v>8</v>
      </c>
      <c r="FY563" s="27" t="s">
        <v>8</v>
      </c>
      <c r="FZ563" s="27" t="s">
        <v>7</v>
      </c>
      <c r="GA563" s="27" t="s">
        <v>8</v>
      </c>
      <c r="GB563" s="27" t="s">
        <v>7</v>
      </c>
      <c r="GC563" s="27" t="s">
        <v>8</v>
      </c>
      <c r="GD563" s="27" t="s">
        <v>7</v>
      </c>
      <c r="GE563" s="27" t="s">
        <v>8</v>
      </c>
      <c r="GF563" s="27" t="s">
        <v>7</v>
      </c>
    </row>
    <row r="564" spans="1:189" x14ac:dyDescent="0.25">
      <c r="A564" s="7">
        <v>1.5768992641913981</v>
      </c>
      <c r="B564"/>
      <c r="C564"/>
      <c r="D564"/>
      <c r="E564" t="s">
        <v>8</v>
      </c>
      <c r="N564" s="27" t="s">
        <v>7</v>
      </c>
      <c r="P564" s="27" t="s">
        <v>7</v>
      </c>
      <c r="R564" s="27" t="s">
        <v>7</v>
      </c>
      <c r="S564" s="27" t="s">
        <v>8</v>
      </c>
      <c r="BP564" s="27" t="s">
        <v>7</v>
      </c>
      <c r="DM564" s="27" t="s">
        <v>8</v>
      </c>
      <c r="DO564" s="27" t="s">
        <v>8</v>
      </c>
      <c r="DP564" s="27" t="s">
        <v>7</v>
      </c>
      <c r="DQ564" s="27" t="s">
        <v>8</v>
      </c>
      <c r="DR564" s="27" t="s">
        <v>7</v>
      </c>
      <c r="EM564" s="27" t="s">
        <v>8</v>
      </c>
      <c r="ET564" s="27" t="s">
        <v>7</v>
      </c>
      <c r="EU564" s="27" t="s">
        <v>8</v>
      </c>
      <c r="EV564" s="27" t="s">
        <v>7</v>
      </c>
      <c r="EX564" s="27" t="s">
        <v>7</v>
      </c>
      <c r="EZ564" s="27" t="s">
        <v>7</v>
      </c>
      <c r="FA564" s="27" t="s">
        <v>8</v>
      </c>
      <c r="FB564" s="27" t="s">
        <v>7</v>
      </c>
      <c r="FG564" s="27" t="s">
        <v>8</v>
      </c>
      <c r="FP564" s="27" t="s">
        <v>7</v>
      </c>
      <c r="FV564" s="27" t="s">
        <v>7</v>
      </c>
      <c r="FW564" s="27" t="s">
        <v>8</v>
      </c>
      <c r="FX564" s="27" t="s">
        <v>7</v>
      </c>
      <c r="FY564" s="27" t="s">
        <v>8</v>
      </c>
      <c r="FZ564" s="27" t="s">
        <v>7</v>
      </c>
      <c r="GA564" s="27" t="s">
        <v>8</v>
      </c>
      <c r="GB564" s="27" t="s">
        <v>7</v>
      </c>
      <c r="GD564" s="27" t="s">
        <v>7</v>
      </c>
      <c r="GE564" s="27" t="s">
        <v>8</v>
      </c>
      <c r="GF564" s="27" t="s">
        <v>7</v>
      </c>
    </row>
    <row r="565" spans="1:189" x14ac:dyDescent="0.25">
      <c r="A565" s="7">
        <v>1.5459796707758806</v>
      </c>
      <c r="B565"/>
      <c r="C565"/>
      <c r="D565"/>
      <c r="E565" t="s">
        <v>8</v>
      </c>
      <c r="R565" s="27" t="s">
        <v>7</v>
      </c>
      <c r="S565" s="27" t="s">
        <v>8</v>
      </c>
      <c r="BP565" s="27" t="s">
        <v>7</v>
      </c>
      <c r="DM565" s="27" t="s">
        <v>8</v>
      </c>
      <c r="DN565" s="27" t="s">
        <v>7</v>
      </c>
      <c r="DO565" s="27" t="s">
        <v>8</v>
      </c>
      <c r="DP565" s="27" t="s">
        <v>7</v>
      </c>
      <c r="DQ565" s="27" t="s">
        <v>8</v>
      </c>
      <c r="DR565" s="27" t="s">
        <v>7</v>
      </c>
      <c r="EM565" s="27" t="s">
        <v>8</v>
      </c>
      <c r="ET565" s="27" t="s">
        <v>7</v>
      </c>
      <c r="EU565" s="27" t="s">
        <v>8</v>
      </c>
      <c r="EZ565" s="27" t="s">
        <v>7</v>
      </c>
      <c r="FA565" s="27" t="s">
        <v>8</v>
      </c>
      <c r="FB565" s="27" t="s">
        <v>7</v>
      </c>
      <c r="FG565" s="27" t="s">
        <v>8</v>
      </c>
      <c r="FV565" s="27" t="s">
        <v>7</v>
      </c>
      <c r="FW565" s="27" t="s">
        <v>8</v>
      </c>
      <c r="FX565" s="27" t="s">
        <v>7</v>
      </c>
      <c r="FY565" s="27" t="s">
        <v>8</v>
      </c>
      <c r="FZ565" s="27" t="s">
        <v>7</v>
      </c>
      <c r="GD565" s="27" t="s">
        <v>7</v>
      </c>
      <c r="GE565" s="27" t="s">
        <v>8</v>
      </c>
      <c r="GF565" s="27" t="s">
        <v>7</v>
      </c>
    </row>
    <row r="566" spans="1:189" x14ac:dyDescent="0.25">
      <c r="A566" s="7">
        <v>1.5156663438979221</v>
      </c>
      <c r="B566"/>
      <c r="C566"/>
      <c r="D566"/>
      <c r="E566" t="s">
        <v>8</v>
      </c>
      <c r="R566" s="27" t="s">
        <v>7</v>
      </c>
      <c r="S566" s="27" t="s">
        <v>8</v>
      </c>
      <c r="BP566" s="27" t="s">
        <v>7</v>
      </c>
      <c r="DM566" s="27" t="s">
        <v>8</v>
      </c>
      <c r="DN566" s="27" t="s">
        <v>7</v>
      </c>
      <c r="DO566" s="27" t="s">
        <v>8</v>
      </c>
      <c r="DP566" s="27" t="s">
        <v>7</v>
      </c>
      <c r="DQ566" s="27" t="s">
        <v>8</v>
      </c>
      <c r="DR566" s="27" t="s">
        <v>7</v>
      </c>
      <c r="EM566" s="27" t="s">
        <v>8</v>
      </c>
      <c r="ET566" s="27" t="s">
        <v>7</v>
      </c>
      <c r="EU566" s="27" t="s">
        <v>8</v>
      </c>
      <c r="EZ566" s="27" t="s">
        <v>7</v>
      </c>
      <c r="FA566" s="27" t="s">
        <v>8</v>
      </c>
      <c r="FB566" s="27" t="s">
        <v>7</v>
      </c>
      <c r="FG566" s="27" t="s">
        <v>8</v>
      </c>
      <c r="FV566" s="27" t="s">
        <v>7</v>
      </c>
      <c r="FX566" s="27" t="s">
        <v>7</v>
      </c>
      <c r="FY566" s="27" t="s">
        <v>8</v>
      </c>
      <c r="GD566" s="27" t="s">
        <v>7</v>
      </c>
      <c r="GE566" s="27" t="s">
        <v>8</v>
      </c>
      <c r="GF566" s="27" t="s">
        <v>7</v>
      </c>
    </row>
    <row r="567" spans="1:189" x14ac:dyDescent="0.25">
      <c r="A567" s="7">
        <v>1.4859473959783549</v>
      </c>
      <c r="B567"/>
      <c r="C567"/>
      <c r="D567"/>
      <c r="E567" t="s">
        <v>8</v>
      </c>
      <c r="R567" s="27" t="s">
        <v>7</v>
      </c>
      <c r="S567" s="27" t="s">
        <v>8</v>
      </c>
      <c r="BP567" s="27" t="s">
        <v>7</v>
      </c>
      <c r="DK567" s="27" t="s">
        <v>8</v>
      </c>
      <c r="DM567" s="27" t="s">
        <v>8</v>
      </c>
      <c r="DN567" s="27" t="s">
        <v>7</v>
      </c>
      <c r="DO567" s="27" t="s">
        <v>8</v>
      </c>
      <c r="DP567" s="27" t="s">
        <v>7</v>
      </c>
      <c r="DR567" s="27" t="s">
        <v>7</v>
      </c>
      <c r="EM567" s="27" t="s">
        <v>8</v>
      </c>
      <c r="ET567" s="27" t="s">
        <v>7</v>
      </c>
      <c r="EZ567" s="27" t="s">
        <v>7</v>
      </c>
      <c r="FA567" s="27" t="s">
        <v>8</v>
      </c>
      <c r="FB567" s="27" t="s">
        <v>7</v>
      </c>
      <c r="FE567" s="27" t="s">
        <v>8</v>
      </c>
      <c r="FG567" s="27" t="s">
        <v>8</v>
      </c>
      <c r="FX567" s="27" t="s">
        <v>7</v>
      </c>
      <c r="FY567" s="27" t="s">
        <v>8</v>
      </c>
      <c r="GD567" s="27" t="s">
        <v>7</v>
      </c>
      <c r="GF567" s="27" t="s">
        <v>7</v>
      </c>
    </row>
    <row r="568" spans="1:189" x14ac:dyDescent="0.25">
      <c r="A568" s="7">
        <v>1.4568111725277988</v>
      </c>
      <c r="B568"/>
      <c r="C568"/>
      <c r="D568"/>
      <c r="E568" t="s">
        <v>8</v>
      </c>
      <c r="R568" s="27" t="s">
        <v>7</v>
      </c>
      <c r="S568" s="27" t="s">
        <v>8</v>
      </c>
      <c r="BP568" s="27" t="s">
        <v>7</v>
      </c>
      <c r="DK568" s="27" t="s">
        <v>8</v>
      </c>
      <c r="DL568" s="27" t="s">
        <v>7</v>
      </c>
      <c r="DM568" s="27" t="s">
        <v>8</v>
      </c>
      <c r="DN568" s="27" t="s">
        <v>7</v>
      </c>
      <c r="DO568" s="27" t="s">
        <v>8</v>
      </c>
      <c r="DR568" s="27" t="s">
        <v>7</v>
      </c>
      <c r="EM568" s="27" t="s">
        <v>8</v>
      </c>
      <c r="EZ568" s="27" t="s">
        <v>7</v>
      </c>
      <c r="FA568" s="27" t="s">
        <v>8</v>
      </c>
      <c r="FB568" s="27" t="s">
        <v>7</v>
      </c>
      <c r="FE568" s="27" t="s">
        <v>8</v>
      </c>
      <c r="FF568" s="27" t="s">
        <v>7</v>
      </c>
      <c r="FG568" s="27" t="s">
        <v>8</v>
      </c>
      <c r="FX568" s="27" t="s">
        <v>7</v>
      </c>
      <c r="FY568" s="27" t="s">
        <v>8</v>
      </c>
      <c r="GF568" s="27" t="s">
        <v>7</v>
      </c>
    </row>
    <row r="569" spans="1:189" x14ac:dyDescent="0.25">
      <c r="A569" s="7">
        <v>1.4282462475762734</v>
      </c>
      <c r="B569"/>
      <c r="C569"/>
      <c r="D569"/>
      <c r="E569" t="s">
        <v>8</v>
      </c>
      <c r="R569" s="27" t="s">
        <v>7</v>
      </c>
      <c r="S569" s="27" t="s">
        <v>8</v>
      </c>
      <c r="BP569" s="27" t="s">
        <v>7</v>
      </c>
      <c r="DI569" s="27" t="s">
        <v>8</v>
      </c>
      <c r="DK569" s="27" t="s">
        <v>8</v>
      </c>
      <c r="DL569" s="27" t="s">
        <v>7</v>
      </c>
      <c r="DM569" s="27" t="s">
        <v>8</v>
      </c>
      <c r="DN569" s="27" t="s">
        <v>7</v>
      </c>
      <c r="DO569" s="27" t="s">
        <v>8</v>
      </c>
      <c r="DR569" s="27" t="s">
        <v>7</v>
      </c>
      <c r="EM569" s="27" t="s">
        <v>8</v>
      </c>
      <c r="EZ569" s="27" t="s">
        <v>7</v>
      </c>
      <c r="FA569" s="27" t="s">
        <v>8</v>
      </c>
      <c r="FB569" s="27" t="s">
        <v>7</v>
      </c>
      <c r="FC569" s="27" t="s">
        <v>8</v>
      </c>
      <c r="FE569" s="27" t="s">
        <v>8</v>
      </c>
      <c r="FF569" s="27" t="s">
        <v>7</v>
      </c>
      <c r="FG569" s="27" t="s">
        <v>8</v>
      </c>
      <c r="FX569" s="27" t="s">
        <v>7</v>
      </c>
      <c r="GF569" s="27" t="s">
        <v>7</v>
      </c>
    </row>
    <row r="570" spans="1:189" x14ac:dyDescent="0.25">
      <c r="A570" s="7">
        <v>1.4002414191924248</v>
      </c>
      <c r="B570"/>
      <c r="C570"/>
      <c r="D570"/>
      <c r="E570" t="s">
        <v>8</v>
      </c>
      <c r="R570" s="27" t="s">
        <v>7</v>
      </c>
      <c r="S570" s="27" t="s">
        <v>8</v>
      </c>
      <c r="BP570" s="27" t="s">
        <v>7</v>
      </c>
      <c r="BW570" s="27" t="s">
        <v>8</v>
      </c>
      <c r="DI570" s="27" t="s">
        <v>8</v>
      </c>
      <c r="DJ570" s="27" t="s">
        <v>7</v>
      </c>
      <c r="DK570" s="27" t="s">
        <v>8</v>
      </c>
      <c r="DL570" s="27" t="s">
        <v>7</v>
      </c>
      <c r="DN570" s="27" t="s">
        <v>7</v>
      </c>
      <c r="DO570" s="27" t="s">
        <v>8</v>
      </c>
      <c r="DR570" s="27" t="s">
        <v>7</v>
      </c>
      <c r="EM570" s="27" t="s">
        <v>8</v>
      </c>
      <c r="EZ570" s="27" t="s">
        <v>7</v>
      </c>
      <c r="FB570" s="27" t="s">
        <v>7</v>
      </c>
      <c r="FC570" s="27" t="s">
        <v>8</v>
      </c>
      <c r="FD570" s="27" t="s">
        <v>7</v>
      </c>
      <c r="FE570" s="27" t="s">
        <v>8</v>
      </c>
      <c r="FF570" s="27" t="s">
        <v>7</v>
      </c>
      <c r="FG570" s="27" t="s">
        <v>8</v>
      </c>
      <c r="GF570" s="27" t="s">
        <v>7</v>
      </c>
    </row>
    <row r="571" spans="1:189" x14ac:dyDescent="0.25">
      <c r="A571" s="7">
        <v>1.3727857050906125</v>
      </c>
      <c r="B571"/>
      <c r="C571"/>
      <c r="D571"/>
      <c r="E571" t="s">
        <v>8</v>
      </c>
      <c r="R571" s="27" t="s">
        <v>7</v>
      </c>
      <c r="BP571" s="27" t="s">
        <v>7</v>
      </c>
      <c r="BQ571" s="27" t="s">
        <v>8</v>
      </c>
      <c r="BW571" s="27" t="s">
        <v>8</v>
      </c>
      <c r="BX571" s="27" t="s">
        <v>7</v>
      </c>
      <c r="DI571" s="27" t="s">
        <v>8</v>
      </c>
      <c r="DJ571" s="27" t="s">
        <v>7</v>
      </c>
      <c r="DK571" s="27" t="s">
        <v>8</v>
      </c>
      <c r="DN571" s="27" t="s">
        <v>7</v>
      </c>
      <c r="DR571" s="27" t="s">
        <v>7</v>
      </c>
      <c r="EM571" s="27" t="s">
        <v>8</v>
      </c>
      <c r="FB571" s="27" t="s">
        <v>7</v>
      </c>
      <c r="FC571" s="27" t="s">
        <v>8</v>
      </c>
      <c r="FD571" s="27" t="s">
        <v>7</v>
      </c>
      <c r="FE571" s="27" t="s">
        <v>8</v>
      </c>
      <c r="FF571" s="27" t="s">
        <v>7</v>
      </c>
      <c r="FG571" s="27" t="s">
        <v>8</v>
      </c>
      <c r="GF571" s="27" t="s">
        <v>7</v>
      </c>
    </row>
    <row r="572" spans="1:189" x14ac:dyDescent="0.25">
      <c r="A572" s="7">
        <v>1.3458683383241299</v>
      </c>
      <c r="B572"/>
      <c r="C572"/>
      <c r="D572"/>
      <c r="E572" t="s">
        <v>8</v>
      </c>
      <c r="BP572" s="27" t="s">
        <v>7</v>
      </c>
      <c r="BQ572" s="27" t="s">
        <v>8</v>
      </c>
      <c r="BR572" s="27" t="s">
        <v>7</v>
      </c>
      <c r="BW572" s="27" t="s">
        <v>8</v>
      </c>
      <c r="BX572" s="27" t="s">
        <v>7</v>
      </c>
      <c r="BY572" s="27" t="s">
        <v>8</v>
      </c>
      <c r="DI572" s="27" t="s">
        <v>8</v>
      </c>
      <c r="DJ572" s="27" t="s">
        <v>7</v>
      </c>
      <c r="DK572" s="27" t="s">
        <v>8</v>
      </c>
      <c r="DR572" s="27" t="s">
        <v>7</v>
      </c>
      <c r="EM572" s="27" t="s">
        <v>8</v>
      </c>
      <c r="FB572" s="27" t="s">
        <v>7</v>
      </c>
      <c r="FC572" s="27" t="s">
        <v>8</v>
      </c>
      <c r="FD572" s="27" t="s">
        <v>7</v>
      </c>
      <c r="FE572" s="27" t="s">
        <v>8</v>
      </c>
      <c r="FF572" s="27" t="s">
        <v>7</v>
      </c>
      <c r="GF572" s="27" t="s">
        <v>7</v>
      </c>
    </row>
    <row r="573" spans="1:189" x14ac:dyDescent="0.25">
      <c r="A573" s="7">
        <v>1.3194787630628724</v>
      </c>
      <c r="B573"/>
      <c r="C573"/>
      <c r="D573"/>
      <c r="E573" t="s">
        <v>8</v>
      </c>
      <c r="BP573" s="27" t="s">
        <v>7</v>
      </c>
      <c r="BQ573" s="27" t="s">
        <v>8</v>
      </c>
      <c r="BR573" s="27" t="s">
        <v>7</v>
      </c>
      <c r="BW573" s="27" t="s">
        <v>8</v>
      </c>
      <c r="BX573" s="27" t="s">
        <v>7</v>
      </c>
      <c r="BY573" s="27" t="s">
        <v>8</v>
      </c>
      <c r="BZ573" s="27" t="s">
        <v>7</v>
      </c>
      <c r="DI573" s="27" t="s">
        <v>8</v>
      </c>
      <c r="DJ573" s="27" t="s">
        <v>7</v>
      </c>
      <c r="DK573" s="27" t="s">
        <v>8</v>
      </c>
      <c r="DR573" s="27" t="s">
        <v>7</v>
      </c>
      <c r="EM573" s="27" t="s">
        <v>8</v>
      </c>
      <c r="FB573" s="27" t="s">
        <v>7</v>
      </c>
      <c r="FD573" s="27" t="s">
        <v>7</v>
      </c>
      <c r="FE573" s="27" t="s">
        <v>8</v>
      </c>
      <c r="GF573" s="27" t="s">
        <v>7</v>
      </c>
    </row>
    <row r="574" spans="1:189" x14ac:dyDescent="0.25">
      <c r="A574" s="7">
        <v>1.2936066304537963</v>
      </c>
      <c r="B574"/>
      <c r="C574"/>
      <c r="D574"/>
      <c r="E574" t="s">
        <v>8</v>
      </c>
      <c r="BP574" s="27" t="s">
        <v>7</v>
      </c>
      <c r="BQ574" s="27" t="s">
        <v>8</v>
      </c>
      <c r="BR574" s="27" t="s">
        <v>7</v>
      </c>
      <c r="BW574" s="27" t="s">
        <v>8</v>
      </c>
      <c r="BX574" s="27" t="s">
        <v>7</v>
      </c>
      <c r="BY574" s="27" t="s">
        <v>8</v>
      </c>
      <c r="BZ574" s="27" t="s">
        <v>7</v>
      </c>
      <c r="DI574" s="27" t="s">
        <v>8</v>
      </c>
      <c r="DJ574" s="27" t="s">
        <v>7</v>
      </c>
      <c r="DK574" s="27" t="s">
        <v>8</v>
      </c>
      <c r="DR574" s="27" t="s">
        <v>7</v>
      </c>
      <c r="EM574" s="27" t="s">
        <v>8</v>
      </c>
      <c r="FD574" s="27" t="s">
        <v>7</v>
      </c>
      <c r="FE574" s="27" t="s">
        <v>8</v>
      </c>
      <c r="GF574" s="27" t="s">
        <v>7</v>
      </c>
    </row>
    <row r="575" spans="1:189" x14ac:dyDescent="0.25">
      <c r="A575" s="7">
        <v>1.2682417945625455</v>
      </c>
      <c r="B575"/>
      <c r="C575"/>
      <c r="D575"/>
      <c r="E575" t="s">
        <v>8</v>
      </c>
      <c r="BP575" s="27" t="s">
        <v>7</v>
      </c>
      <c r="BQ575" s="27" t="s">
        <v>8</v>
      </c>
      <c r="BR575" s="27" t="s">
        <v>7</v>
      </c>
      <c r="BU575" s="27" t="s">
        <v>8</v>
      </c>
      <c r="BW575" s="27" t="s">
        <v>8</v>
      </c>
      <c r="BX575" s="27" t="s">
        <v>7</v>
      </c>
      <c r="BY575" s="27" t="s">
        <v>8</v>
      </c>
      <c r="BZ575" s="27" t="s">
        <v>7</v>
      </c>
      <c r="DI575" s="27" t="s">
        <v>8</v>
      </c>
      <c r="DJ575" s="27" t="s">
        <v>7</v>
      </c>
      <c r="DK575" s="27" t="s">
        <v>8</v>
      </c>
      <c r="DR575" s="27" t="s">
        <v>7</v>
      </c>
      <c r="DW575" s="27" t="s">
        <v>8</v>
      </c>
      <c r="EM575" s="27" t="s">
        <v>8</v>
      </c>
      <c r="FD575" s="27" t="s">
        <v>7</v>
      </c>
      <c r="FE575" s="27" t="s">
        <v>8</v>
      </c>
      <c r="GF575" s="27" t="s">
        <v>7</v>
      </c>
    </row>
    <row r="576" spans="1:189" x14ac:dyDescent="0.25">
      <c r="A576" s="7">
        <v>1.2433743083946525</v>
      </c>
      <c r="B576"/>
      <c r="C576"/>
      <c r="D576"/>
      <c r="E576" t="s">
        <v>8</v>
      </c>
      <c r="BP576" s="27" t="s">
        <v>7</v>
      </c>
      <c r="BQ576" s="27" t="s">
        <v>8</v>
      </c>
      <c r="BR576" s="27" t="s">
        <v>7</v>
      </c>
      <c r="BU576" s="27" t="s">
        <v>8</v>
      </c>
      <c r="BV576" s="27" t="s">
        <v>7</v>
      </c>
      <c r="BW576" s="27" t="s">
        <v>8</v>
      </c>
      <c r="BX576" s="27" t="s">
        <v>7</v>
      </c>
      <c r="BY576" s="27" t="s">
        <v>8</v>
      </c>
      <c r="BZ576" s="27" t="s">
        <v>7</v>
      </c>
      <c r="DG576" s="27" t="s">
        <v>8</v>
      </c>
      <c r="DI576" s="27" t="s">
        <v>8</v>
      </c>
      <c r="DJ576" s="27" t="s">
        <v>7</v>
      </c>
      <c r="DK576" s="27" t="s">
        <v>8</v>
      </c>
      <c r="DR576" s="27" t="s">
        <v>7</v>
      </c>
      <c r="DW576" s="27" t="s">
        <v>8</v>
      </c>
      <c r="DX576" s="27" t="s">
        <v>7</v>
      </c>
      <c r="EM576" s="27" t="s">
        <v>8</v>
      </c>
      <c r="FD576" s="27" t="s">
        <v>7</v>
      </c>
      <c r="GF576" s="27" t="s">
        <v>7</v>
      </c>
      <c r="GG576" s="27" t="s">
        <v>8</v>
      </c>
    </row>
    <row r="577" spans="1:196" x14ac:dyDescent="0.25">
      <c r="A577" s="7">
        <v>1.2189944199947573</v>
      </c>
      <c r="B577"/>
      <c r="C577"/>
      <c r="D577"/>
      <c r="E577" t="s">
        <v>8</v>
      </c>
      <c r="BP577" s="27" t="s">
        <v>7</v>
      </c>
      <c r="BQ577" s="27" t="s">
        <v>8</v>
      </c>
      <c r="BR577" s="27" t="s">
        <v>7</v>
      </c>
      <c r="BU577" s="27" t="s">
        <v>8</v>
      </c>
      <c r="BV577" s="27" t="s">
        <v>7</v>
      </c>
      <c r="BW577" s="27" t="s">
        <v>8</v>
      </c>
      <c r="BX577" s="27" t="s">
        <v>7</v>
      </c>
      <c r="BY577" s="27" t="s">
        <v>8</v>
      </c>
      <c r="BZ577" s="27" t="s">
        <v>7</v>
      </c>
      <c r="DG577" s="27" t="s">
        <v>8</v>
      </c>
      <c r="DH577" s="27" t="s">
        <v>7</v>
      </c>
      <c r="DI577" s="27" t="s">
        <v>8</v>
      </c>
      <c r="DJ577" s="27" t="s">
        <v>7</v>
      </c>
      <c r="DK577" s="27" t="s">
        <v>8</v>
      </c>
      <c r="DR577" s="27" t="s">
        <v>7</v>
      </c>
      <c r="DU577" s="27" t="s">
        <v>8</v>
      </c>
      <c r="DW577" s="27" t="s">
        <v>8</v>
      </c>
      <c r="DX577" s="27" t="s">
        <v>7</v>
      </c>
      <c r="EK577" s="27" t="s">
        <v>8</v>
      </c>
      <c r="EM577" s="27" t="s">
        <v>8</v>
      </c>
      <c r="GF577" s="27" t="s">
        <v>7</v>
      </c>
      <c r="GG577" s="27" t="s">
        <v>8</v>
      </c>
      <c r="GH577" s="27" t="s">
        <v>7</v>
      </c>
    </row>
    <row r="578" spans="1:196" x14ac:dyDescent="0.25">
      <c r="A578" s="7">
        <v>1.1950925686223111</v>
      </c>
      <c r="B578"/>
      <c r="C578"/>
      <c r="D578"/>
      <c r="E578" t="s">
        <v>8</v>
      </c>
      <c r="BP578" s="27" t="s">
        <v>7</v>
      </c>
      <c r="BQ578" s="27" t="s">
        <v>8</v>
      </c>
      <c r="BR578" s="27" t="s">
        <v>7</v>
      </c>
      <c r="BU578" s="27" t="s">
        <v>8</v>
      </c>
      <c r="BV578" s="27" t="s">
        <v>7</v>
      </c>
      <c r="BW578" s="27" t="s">
        <v>8</v>
      </c>
      <c r="BX578" s="27" t="s">
        <v>7</v>
      </c>
      <c r="BY578" s="27" t="s">
        <v>8</v>
      </c>
      <c r="BZ578" s="27" t="s">
        <v>7</v>
      </c>
      <c r="DG578" s="27" t="s">
        <v>8</v>
      </c>
      <c r="DH578" s="27" t="s">
        <v>7</v>
      </c>
      <c r="DI578" s="27" t="s">
        <v>8</v>
      </c>
      <c r="DJ578" s="27" t="s">
        <v>7</v>
      </c>
      <c r="DK578" s="27" t="s">
        <v>8</v>
      </c>
      <c r="DR578" s="27" t="s">
        <v>7</v>
      </c>
      <c r="DS578" s="27" t="s">
        <v>8</v>
      </c>
      <c r="DU578" s="27" t="s">
        <v>8</v>
      </c>
      <c r="DV578" s="27" t="s">
        <v>7</v>
      </c>
      <c r="DW578" s="27" t="s">
        <v>8</v>
      </c>
      <c r="DX578" s="27" t="s">
        <v>7</v>
      </c>
      <c r="DY578" s="27" t="s">
        <v>8</v>
      </c>
      <c r="EK578" s="27" t="s">
        <v>8</v>
      </c>
      <c r="EL578" s="27" t="s">
        <v>7</v>
      </c>
      <c r="EM578" s="27" t="s">
        <v>8</v>
      </c>
      <c r="GF578" s="27" t="s">
        <v>7</v>
      </c>
      <c r="GG578" s="27" t="s">
        <v>8</v>
      </c>
      <c r="GH578" s="27" t="s">
        <v>7</v>
      </c>
      <c r="GK578" s="27" t="s">
        <v>8</v>
      </c>
    </row>
    <row r="579" spans="1:196" x14ac:dyDescent="0.25">
      <c r="A579" s="7">
        <v>1.1716593810022657</v>
      </c>
      <c r="B579"/>
      <c r="C579"/>
      <c r="D579"/>
      <c r="E579" t="s">
        <v>8</v>
      </c>
      <c r="BP579" s="27" t="s">
        <v>7</v>
      </c>
      <c r="BQ579" s="27" t="s">
        <v>8</v>
      </c>
      <c r="BR579" s="27" t="s">
        <v>7</v>
      </c>
      <c r="BU579" s="27" t="s">
        <v>8</v>
      </c>
      <c r="BV579" s="27" t="s">
        <v>7</v>
      </c>
      <c r="BW579" s="27" t="s">
        <v>8</v>
      </c>
      <c r="BX579" s="27" t="s">
        <v>7</v>
      </c>
      <c r="BY579" s="27" t="s">
        <v>8</v>
      </c>
      <c r="BZ579" s="27" t="s">
        <v>7</v>
      </c>
      <c r="DG579" s="27" t="s">
        <v>8</v>
      </c>
      <c r="DH579" s="27" t="s">
        <v>7</v>
      </c>
      <c r="DI579" s="27" t="s">
        <v>8</v>
      </c>
      <c r="DJ579" s="27" t="s">
        <v>7</v>
      </c>
      <c r="DR579" s="27" t="s">
        <v>7</v>
      </c>
      <c r="DS579" s="27" t="s">
        <v>8</v>
      </c>
      <c r="DT579" s="27" t="s">
        <v>7</v>
      </c>
      <c r="DU579" s="27" t="s">
        <v>8</v>
      </c>
      <c r="DV579" s="27" t="s">
        <v>7</v>
      </c>
      <c r="DW579" s="27" t="s">
        <v>8</v>
      </c>
      <c r="DX579" s="27" t="s">
        <v>7</v>
      </c>
      <c r="DY579" s="27" t="s">
        <v>8</v>
      </c>
      <c r="DZ579" s="27" t="s">
        <v>7</v>
      </c>
      <c r="EK579" s="27" t="s">
        <v>8</v>
      </c>
      <c r="EL579" s="27" t="s">
        <v>7</v>
      </c>
      <c r="EM579" s="27" t="s">
        <v>8</v>
      </c>
      <c r="GF579" s="27" t="s">
        <v>7</v>
      </c>
      <c r="GH579" s="27" t="s">
        <v>7</v>
      </c>
      <c r="GK579" s="27" t="s">
        <v>8</v>
      </c>
      <c r="GL579" s="27" t="s">
        <v>7</v>
      </c>
    </row>
    <row r="580" spans="1:196" x14ac:dyDescent="0.25">
      <c r="A580" s="7">
        <v>1.14868566764928</v>
      </c>
      <c r="B580"/>
      <c r="C580"/>
      <c r="D580"/>
      <c r="E580" t="s">
        <v>8</v>
      </c>
      <c r="BP580" s="27" t="s">
        <v>7</v>
      </c>
      <c r="BQ580" s="27" t="s">
        <v>8</v>
      </c>
      <c r="BR580" s="27" t="s">
        <v>7</v>
      </c>
      <c r="BU580" s="27" t="s">
        <v>8</v>
      </c>
      <c r="BV580" s="27" t="s">
        <v>7</v>
      </c>
      <c r="BW580" s="27" t="s">
        <v>8</v>
      </c>
      <c r="BX580" s="27" t="s">
        <v>7</v>
      </c>
      <c r="BY580" s="27" t="s">
        <v>8</v>
      </c>
      <c r="BZ580" s="27" t="s">
        <v>7</v>
      </c>
      <c r="CC580" s="27" t="s">
        <v>8</v>
      </c>
      <c r="CE580" s="27" t="s">
        <v>8</v>
      </c>
      <c r="DG580" s="27" t="s">
        <v>8</v>
      </c>
      <c r="DH580" s="27" t="s">
        <v>7</v>
      </c>
      <c r="DI580" s="27" t="s">
        <v>8</v>
      </c>
      <c r="DR580" s="27" t="s">
        <v>7</v>
      </c>
      <c r="DS580" s="27" t="s">
        <v>8</v>
      </c>
      <c r="DT580" s="27" t="s">
        <v>7</v>
      </c>
      <c r="DU580" s="27" t="s">
        <v>8</v>
      </c>
      <c r="DV580" s="27" t="s">
        <v>7</v>
      </c>
      <c r="DW580" s="27" t="s">
        <v>8</v>
      </c>
      <c r="DX580" s="27" t="s">
        <v>7</v>
      </c>
      <c r="DY580" s="27" t="s">
        <v>8</v>
      </c>
      <c r="DZ580" s="27" t="s">
        <v>7</v>
      </c>
      <c r="EK580" s="27" t="s">
        <v>8</v>
      </c>
      <c r="EL580" s="27" t="s">
        <v>7</v>
      </c>
      <c r="EM580" s="27" t="s">
        <v>8</v>
      </c>
      <c r="GH580" s="27" t="s">
        <v>7</v>
      </c>
      <c r="GK580" s="27" t="s">
        <v>8</v>
      </c>
      <c r="GL580" s="27" t="s">
        <v>7</v>
      </c>
      <c r="GM580" s="27" t="s">
        <v>8</v>
      </c>
    </row>
    <row r="581" spans="1:196" x14ac:dyDescent="0.25">
      <c r="A581" s="7">
        <v>1.1261624192640001</v>
      </c>
      <c r="B581"/>
      <c r="C581"/>
      <c r="D581"/>
      <c r="E581" t="s">
        <v>8</v>
      </c>
      <c r="BP581" s="27" t="s">
        <v>7</v>
      </c>
      <c r="BQ581" s="27" t="s">
        <v>8</v>
      </c>
      <c r="BR581" s="27" t="s">
        <v>7</v>
      </c>
      <c r="BU581" s="27" t="s">
        <v>8</v>
      </c>
      <c r="BV581" s="27" t="s">
        <v>7</v>
      </c>
      <c r="BW581" s="27" t="s">
        <v>8</v>
      </c>
      <c r="BX581" s="27" t="s">
        <v>7</v>
      </c>
      <c r="BY581" s="27" t="s">
        <v>8</v>
      </c>
      <c r="BZ581" s="27" t="s">
        <v>7</v>
      </c>
      <c r="CC581" s="27" t="s">
        <v>8</v>
      </c>
      <c r="CD581" s="27" t="s">
        <v>7</v>
      </c>
      <c r="CE581" s="27" t="s">
        <v>8</v>
      </c>
      <c r="CF581" s="27" t="s">
        <v>7</v>
      </c>
      <c r="DG581" s="27" t="s">
        <v>8</v>
      </c>
      <c r="DH581" s="27" t="s">
        <v>7</v>
      </c>
      <c r="DI581" s="27" t="s">
        <v>8</v>
      </c>
      <c r="DR581" s="27" t="s">
        <v>7</v>
      </c>
      <c r="DS581" s="27" t="s">
        <v>8</v>
      </c>
      <c r="DT581" s="27" t="s">
        <v>7</v>
      </c>
      <c r="DU581" s="27" t="s">
        <v>8</v>
      </c>
      <c r="DV581" s="27" t="s">
        <v>7</v>
      </c>
      <c r="DW581" s="27" t="s">
        <v>8</v>
      </c>
      <c r="DX581" s="27" t="s">
        <v>7</v>
      </c>
      <c r="DZ581" s="27" t="s">
        <v>7</v>
      </c>
      <c r="EI581" s="27" t="s">
        <v>8</v>
      </c>
      <c r="EK581" s="27" t="s">
        <v>8</v>
      </c>
      <c r="EL581" s="27" t="s">
        <v>7</v>
      </c>
      <c r="EM581" s="27" t="s">
        <v>8</v>
      </c>
      <c r="GH581" s="27" t="s">
        <v>7</v>
      </c>
      <c r="GK581" s="27" t="s">
        <v>8</v>
      </c>
      <c r="GL581" s="27" t="s">
        <v>7</v>
      </c>
      <c r="GM581" s="27" t="s">
        <v>8</v>
      </c>
      <c r="GN581" s="27" t="s">
        <v>7</v>
      </c>
    </row>
    <row r="582" spans="1:196" x14ac:dyDescent="0.25">
      <c r="A582" s="7">
        <v>1.1040808032</v>
      </c>
      <c r="B582"/>
      <c r="C582"/>
      <c r="D582"/>
      <c r="E582" t="s">
        <v>8</v>
      </c>
      <c r="BP582" s="27" t="s">
        <v>7</v>
      </c>
      <c r="BQ582" s="27" t="s">
        <v>8</v>
      </c>
      <c r="BR582" s="27" t="s">
        <v>7</v>
      </c>
      <c r="BU582" s="27" t="s">
        <v>8</v>
      </c>
      <c r="BV582" s="27" t="s">
        <v>7</v>
      </c>
      <c r="BW582" s="27" t="s">
        <v>8</v>
      </c>
      <c r="BX582" s="27" t="s">
        <v>7</v>
      </c>
      <c r="BY582" s="27" t="s">
        <v>8</v>
      </c>
      <c r="BZ582" s="27" t="s">
        <v>7</v>
      </c>
      <c r="CC582" s="27" t="s">
        <v>8</v>
      </c>
      <c r="CD582" s="27" t="s">
        <v>7</v>
      </c>
      <c r="CE582" s="27" t="s">
        <v>8</v>
      </c>
      <c r="CF582" s="27" t="s">
        <v>7</v>
      </c>
      <c r="DE582" s="27" t="s">
        <v>8</v>
      </c>
      <c r="DG582" s="27" t="s">
        <v>8</v>
      </c>
      <c r="DH582" s="27" t="s">
        <v>7</v>
      </c>
      <c r="DI582" s="27" t="s">
        <v>8</v>
      </c>
      <c r="DR582" s="27" t="s">
        <v>7</v>
      </c>
      <c r="DS582" s="27" t="s">
        <v>8</v>
      </c>
      <c r="DT582" s="27" t="s">
        <v>7</v>
      </c>
      <c r="DU582" s="27" t="s">
        <v>8</v>
      </c>
      <c r="DV582" s="27" t="s">
        <v>7</v>
      </c>
      <c r="DW582" s="27" t="s">
        <v>8</v>
      </c>
      <c r="DZ582" s="27" t="s">
        <v>7</v>
      </c>
      <c r="EI582" s="27" t="s">
        <v>8</v>
      </c>
      <c r="EJ582" s="27" t="s">
        <v>7</v>
      </c>
      <c r="EK582" s="27" t="s">
        <v>8</v>
      </c>
      <c r="EL582" s="27" t="s">
        <v>7</v>
      </c>
      <c r="EM582" s="27" t="s">
        <v>8</v>
      </c>
      <c r="GH582" s="27" t="s">
        <v>7</v>
      </c>
      <c r="GI582" s="27" t="s">
        <v>8</v>
      </c>
      <c r="GK582" s="27" t="s">
        <v>8</v>
      </c>
      <c r="GL582" s="27" t="s">
        <v>7</v>
      </c>
      <c r="GM582" s="27" t="s">
        <v>8</v>
      </c>
      <c r="GN582" s="27" t="s">
        <v>7</v>
      </c>
    </row>
    <row r="583" spans="1:196" x14ac:dyDescent="0.25">
      <c r="A583" s="7">
        <v>1.08243216</v>
      </c>
      <c r="B583"/>
      <c r="C583"/>
      <c r="D583"/>
      <c r="E583" t="s">
        <v>8</v>
      </c>
      <c r="BP583" s="27" t="s">
        <v>7</v>
      </c>
      <c r="BQ583" s="27" t="s">
        <v>8</v>
      </c>
      <c r="BR583" s="27" t="s">
        <v>7</v>
      </c>
      <c r="BS583" s="27" t="s">
        <v>8</v>
      </c>
      <c r="BU583" s="27" t="s">
        <v>8</v>
      </c>
      <c r="BV583" s="27" t="s">
        <v>7</v>
      </c>
      <c r="BW583" s="27" t="s">
        <v>8</v>
      </c>
      <c r="BX583" s="27" t="s">
        <v>7</v>
      </c>
      <c r="BZ583" s="27" t="s">
        <v>7</v>
      </c>
      <c r="CC583" s="27" t="s">
        <v>8</v>
      </c>
      <c r="CD583" s="27" t="s">
        <v>7</v>
      </c>
      <c r="CE583" s="27" t="s">
        <v>8</v>
      </c>
      <c r="CF583" s="27" t="s">
        <v>7</v>
      </c>
      <c r="DE583" s="27" t="s">
        <v>8</v>
      </c>
      <c r="DF583" s="27" t="s">
        <v>7</v>
      </c>
      <c r="DG583" s="27" t="s">
        <v>8</v>
      </c>
      <c r="DH583" s="27" t="s">
        <v>7</v>
      </c>
      <c r="DR583" s="27" t="s">
        <v>7</v>
      </c>
      <c r="DS583" s="27" t="s">
        <v>8</v>
      </c>
      <c r="DT583" s="27" t="s">
        <v>7</v>
      </c>
      <c r="DV583" s="27" t="s">
        <v>7</v>
      </c>
      <c r="DW583" s="27" t="s">
        <v>8</v>
      </c>
      <c r="DZ583" s="27" t="s">
        <v>7</v>
      </c>
      <c r="EG583" s="27" t="s">
        <v>8</v>
      </c>
      <c r="EI583" s="27" t="s">
        <v>8</v>
      </c>
      <c r="EJ583" s="27" t="s">
        <v>7</v>
      </c>
      <c r="EK583" s="27" t="s">
        <v>8</v>
      </c>
      <c r="EL583" s="27" t="s">
        <v>7</v>
      </c>
      <c r="EM583" s="27" t="s">
        <v>8</v>
      </c>
      <c r="GH583" s="27" t="s">
        <v>7</v>
      </c>
      <c r="GI583" s="27" t="s">
        <v>8</v>
      </c>
      <c r="GJ583" s="27" t="s">
        <v>7</v>
      </c>
      <c r="GK583" s="27" t="s">
        <v>8</v>
      </c>
      <c r="GL583" s="27" t="s">
        <v>7</v>
      </c>
      <c r="GN583" s="27" t="s">
        <v>7</v>
      </c>
    </row>
    <row r="584" spans="1:196" x14ac:dyDescent="0.25">
      <c r="A584" s="7">
        <v>1.0612079999999999</v>
      </c>
      <c r="B584"/>
      <c r="C584"/>
      <c r="D584"/>
      <c r="E584" t="s">
        <v>8</v>
      </c>
      <c r="BP584" s="27" t="s">
        <v>7</v>
      </c>
      <c r="BQ584" s="27" t="s">
        <v>8</v>
      </c>
      <c r="BR584" s="27" t="s">
        <v>7</v>
      </c>
      <c r="BS584" s="27" t="s">
        <v>8</v>
      </c>
      <c r="BT584" s="27" t="s">
        <v>7</v>
      </c>
      <c r="BU584" s="27" t="s">
        <v>8</v>
      </c>
      <c r="BV584" s="27" t="s">
        <v>7</v>
      </c>
      <c r="BW584" s="27" t="s">
        <v>8</v>
      </c>
      <c r="BZ584" s="27" t="s">
        <v>7</v>
      </c>
      <c r="CA584" s="27" t="s">
        <v>8</v>
      </c>
      <c r="CC584" s="27" t="s">
        <v>8</v>
      </c>
      <c r="CD584" s="27" t="s">
        <v>7</v>
      </c>
      <c r="CE584" s="27" t="s">
        <v>8</v>
      </c>
      <c r="CF584" s="27" t="s">
        <v>7</v>
      </c>
      <c r="DA584" s="27" t="s">
        <v>8</v>
      </c>
      <c r="DE584" s="27" t="s">
        <v>8</v>
      </c>
      <c r="DF584" s="27" t="s">
        <v>7</v>
      </c>
      <c r="DG584" s="27" t="s">
        <v>8</v>
      </c>
      <c r="DR584" s="27" t="s">
        <v>7</v>
      </c>
      <c r="DS584" s="27" t="s">
        <v>8</v>
      </c>
      <c r="DV584" s="27" t="s">
        <v>7</v>
      </c>
      <c r="DZ584" s="27" t="s">
        <v>7</v>
      </c>
      <c r="EG584" s="27" t="s">
        <v>8</v>
      </c>
      <c r="EH584" s="27" t="s">
        <v>7</v>
      </c>
      <c r="EI584" s="27" t="s">
        <v>8</v>
      </c>
      <c r="EJ584" s="27" t="s">
        <v>7</v>
      </c>
      <c r="EL584" s="27" t="s">
        <v>7</v>
      </c>
      <c r="EM584" s="27" t="s">
        <v>8</v>
      </c>
      <c r="GH584" s="27" t="s">
        <v>7</v>
      </c>
      <c r="GI584" s="27" t="s">
        <v>8</v>
      </c>
      <c r="GJ584" s="27" t="s">
        <v>7</v>
      </c>
      <c r="GK584" s="27" t="s">
        <v>8</v>
      </c>
      <c r="GN584" s="27" t="s">
        <v>7</v>
      </c>
    </row>
    <row r="585" spans="1:196" x14ac:dyDescent="0.25">
      <c r="A585" s="7">
        <v>1.0404</v>
      </c>
      <c r="B585"/>
      <c r="C585"/>
      <c r="D585"/>
      <c r="E585" t="s">
        <v>8</v>
      </c>
      <c r="BP585" s="27" t="s">
        <v>7</v>
      </c>
      <c r="BQ585" s="27" t="s">
        <v>8</v>
      </c>
      <c r="BR585" s="27" t="s">
        <v>7</v>
      </c>
      <c r="BS585" s="27" t="s">
        <v>8</v>
      </c>
      <c r="BT585" s="27" t="s">
        <v>7</v>
      </c>
      <c r="BU585" s="27" t="s">
        <v>8</v>
      </c>
      <c r="BV585" s="27" t="s">
        <v>7</v>
      </c>
      <c r="BW585" s="27" t="s">
        <v>8</v>
      </c>
      <c r="BZ585" s="27" t="s">
        <v>7</v>
      </c>
      <c r="CA585" s="27" t="s">
        <v>8</v>
      </c>
      <c r="CB585" s="27" t="s">
        <v>7</v>
      </c>
      <c r="CC585" s="27" t="s">
        <v>8</v>
      </c>
      <c r="CD585" s="27" t="s">
        <v>7</v>
      </c>
      <c r="CF585" s="27" t="s">
        <v>7</v>
      </c>
      <c r="CY585" s="27" t="s">
        <v>8</v>
      </c>
      <c r="DA585" s="27" t="s">
        <v>8</v>
      </c>
      <c r="DB585" s="27" t="s">
        <v>7</v>
      </c>
      <c r="DC585" s="27" t="s">
        <v>8</v>
      </c>
      <c r="DE585" s="27" t="s">
        <v>8</v>
      </c>
      <c r="DF585" s="27" t="s">
        <v>7</v>
      </c>
      <c r="DG585" s="27" t="s">
        <v>8</v>
      </c>
      <c r="DR585" s="27" t="s">
        <v>7</v>
      </c>
      <c r="DS585" s="27" t="s">
        <v>8</v>
      </c>
      <c r="DZ585" s="27" t="s">
        <v>7</v>
      </c>
      <c r="EA585" s="27" t="s">
        <v>8</v>
      </c>
      <c r="EE585" s="27" t="s">
        <v>8</v>
      </c>
      <c r="EG585" s="27" t="s">
        <v>8</v>
      </c>
      <c r="EH585" s="27" t="s">
        <v>7</v>
      </c>
      <c r="EI585" s="27" t="s">
        <v>8</v>
      </c>
      <c r="EL585" s="27" t="s">
        <v>7</v>
      </c>
      <c r="EM585" s="27" t="s">
        <v>8</v>
      </c>
      <c r="GH585" s="27" t="s">
        <v>7</v>
      </c>
      <c r="GI585" s="27" t="s">
        <v>8</v>
      </c>
      <c r="GJ585" s="27" t="s">
        <v>7</v>
      </c>
      <c r="GK585" s="27" t="s">
        <v>8</v>
      </c>
      <c r="GN585" s="27" t="s">
        <v>7</v>
      </c>
    </row>
    <row r="586" spans="1:196" x14ac:dyDescent="0.25">
      <c r="A586" s="7">
        <v>1.02</v>
      </c>
      <c r="B586"/>
      <c r="C586"/>
      <c r="D586"/>
      <c r="E586" t="s">
        <v>8</v>
      </c>
      <c r="BP586" s="27" t="s">
        <v>7</v>
      </c>
      <c r="BQ586" s="27" t="s">
        <v>8</v>
      </c>
      <c r="BR586" s="27" t="s">
        <v>7</v>
      </c>
      <c r="BS586" s="27" t="s">
        <v>8</v>
      </c>
      <c r="BT586" s="27" t="s">
        <v>7</v>
      </c>
      <c r="BU586" s="27" t="s">
        <v>8</v>
      </c>
      <c r="BV586" s="27" t="s">
        <v>7</v>
      </c>
      <c r="BW586" s="27" t="s">
        <v>8</v>
      </c>
      <c r="BZ586" s="27" t="s">
        <v>7</v>
      </c>
      <c r="CA586" s="27" t="s">
        <v>8</v>
      </c>
      <c r="CB586" s="27" t="s">
        <v>7</v>
      </c>
      <c r="CC586" s="27" t="s">
        <v>8</v>
      </c>
      <c r="CF586" s="27" t="s">
        <v>7</v>
      </c>
      <c r="CY586" s="27" t="s">
        <v>8</v>
      </c>
      <c r="CZ586" s="27" t="s">
        <v>7</v>
      </c>
      <c r="DA586" s="27" t="s">
        <v>8</v>
      </c>
      <c r="DB586" s="27" t="s">
        <v>7</v>
      </c>
      <c r="DC586" s="27" t="s">
        <v>8</v>
      </c>
      <c r="DD586" s="27" t="s">
        <v>7</v>
      </c>
      <c r="DE586" s="27" t="s">
        <v>8</v>
      </c>
      <c r="DF586" s="27" t="s">
        <v>7</v>
      </c>
      <c r="DG586" s="27" t="s">
        <v>8</v>
      </c>
      <c r="DR586" s="27" t="s">
        <v>7</v>
      </c>
      <c r="DS586" s="27" t="s">
        <v>8</v>
      </c>
      <c r="DZ586" s="27" t="s">
        <v>7</v>
      </c>
      <c r="EA586" s="27" t="s">
        <v>8</v>
      </c>
      <c r="EB586" s="27" t="s">
        <v>7</v>
      </c>
      <c r="EE586" s="27" t="s">
        <v>8</v>
      </c>
      <c r="EF586" s="27" t="s">
        <v>7</v>
      </c>
      <c r="EG586" s="27" t="s">
        <v>8</v>
      </c>
      <c r="EH586" s="27" t="s">
        <v>7</v>
      </c>
      <c r="EI586" s="27" t="s">
        <v>8</v>
      </c>
      <c r="EL586" s="27" t="s">
        <v>7</v>
      </c>
      <c r="EM586" s="27" t="s">
        <v>8</v>
      </c>
      <c r="GH586" s="27" t="s">
        <v>7</v>
      </c>
      <c r="GJ586" s="27" t="s">
        <v>7</v>
      </c>
      <c r="GK586" s="27" t="s">
        <v>8</v>
      </c>
      <c r="GN586" s="27" t="s">
        <v>7</v>
      </c>
    </row>
    <row r="587" spans="1:196" x14ac:dyDescent="0.25">
      <c r="A587" s="7">
        <v>1</v>
      </c>
      <c r="B587"/>
      <c r="C587"/>
      <c r="D587"/>
      <c r="E587" s="29" t="s">
        <v>8</v>
      </c>
      <c r="BP587" s="27" t="s">
        <v>7</v>
      </c>
      <c r="BQ587" s="27" t="s">
        <v>8</v>
      </c>
      <c r="BR587" s="27" t="s">
        <v>7</v>
      </c>
      <c r="BS587" s="27" t="s">
        <v>8</v>
      </c>
      <c r="BT587" s="27" t="s">
        <v>7</v>
      </c>
      <c r="BU587" s="27" t="s">
        <v>8</v>
      </c>
      <c r="BV587" s="27" t="s">
        <v>7</v>
      </c>
      <c r="BW587" s="27" t="s">
        <v>8</v>
      </c>
      <c r="BZ587" s="27" t="s">
        <v>7</v>
      </c>
      <c r="CA587" s="27" t="s">
        <v>8</v>
      </c>
      <c r="CB587" s="27" t="s">
        <v>7</v>
      </c>
      <c r="CC587" s="27" t="s">
        <v>8</v>
      </c>
      <c r="CF587" s="27" t="s">
        <v>7</v>
      </c>
      <c r="CY587" s="27" t="s">
        <v>8</v>
      </c>
      <c r="CZ587" s="27" t="s">
        <v>7</v>
      </c>
      <c r="DA587" s="27" t="s">
        <v>8</v>
      </c>
      <c r="DB587" s="27" t="s">
        <v>7</v>
      </c>
      <c r="DC587" s="27" t="s">
        <v>8</v>
      </c>
      <c r="DD587" s="27" t="s">
        <v>7</v>
      </c>
      <c r="DE587" s="27" t="s">
        <v>8</v>
      </c>
      <c r="DF587" s="27" t="s">
        <v>7</v>
      </c>
      <c r="DG587" s="27" t="s">
        <v>8</v>
      </c>
      <c r="DR587" s="27" t="s">
        <v>7</v>
      </c>
      <c r="DS587" s="27" t="s">
        <v>8</v>
      </c>
      <c r="DZ587" s="27" t="s">
        <v>7</v>
      </c>
      <c r="EA587" s="27" t="s">
        <v>8</v>
      </c>
      <c r="EB587" s="27" t="s">
        <v>7</v>
      </c>
      <c r="EE587" s="27" t="s">
        <v>8</v>
      </c>
      <c r="EF587" s="27" t="s">
        <v>7</v>
      </c>
      <c r="EG587" s="27" t="s">
        <v>8</v>
      </c>
      <c r="EH587" s="27" t="s">
        <v>7</v>
      </c>
      <c r="EI587" s="27" t="s">
        <v>8</v>
      </c>
      <c r="EL587" s="27" t="s">
        <v>7</v>
      </c>
      <c r="EM587" s="27" t="s">
        <v>8</v>
      </c>
      <c r="GJ587" s="27" t="s">
        <v>7</v>
      </c>
      <c r="GN587" s="27" t="s">
        <v>7</v>
      </c>
    </row>
    <row r="588" spans="1:196" x14ac:dyDescent="0.25">
      <c r="A588" s="7">
        <v>0.98039215686274506</v>
      </c>
      <c r="B588"/>
      <c r="C588"/>
      <c r="D588"/>
      <c r="E588"/>
      <c r="BP588" s="27" t="s">
        <v>7</v>
      </c>
      <c r="BQ588" s="27" t="s">
        <v>8</v>
      </c>
      <c r="BR588" s="27" t="s">
        <v>7</v>
      </c>
      <c r="BS588" s="27" t="s">
        <v>8</v>
      </c>
      <c r="BT588" s="27" t="s">
        <v>7</v>
      </c>
      <c r="BU588" s="27" t="s">
        <v>8</v>
      </c>
      <c r="BV588" s="27" t="s">
        <v>7</v>
      </c>
      <c r="BW588" s="27" t="s">
        <v>8</v>
      </c>
      <c r="BZ588" s="27" t="s">
        <v>7</v>
      </c>
      <c r="CA588" s="27" t="s">
        <v>8</v>
      </c>
      <c r="CB588" s="27" t="s">
        <v>7</v>
      </c>
      <c r="CC588" s="27" t="s">
        <v>8</v>
      </c>
      <c r="CF588" s="27" t="s">
        <v>7</v>
      </c>
      <c r="CY588" s="27" t="s">
        <v>8</v>
      </c>
      <c r="CZ588" s="27" t="s">
        <v>7</v>
      </c>
      <c r="DA588" s="27" t="s">
        <v>8</v>
      </c>
      <c r="DB588" s="27" t="s">
        <v>7</v>
      </c>
      <c r="DC588" s="27" t="s">
        <v>8</v>
      </c>
      <c r="DD588" s="27" t="s">
        <v>7</v>
      </c>
      <c r="DE588" s="27" t="s">
        <v>8</v>
      </c>
      <c r="DF588" s="27" t="s">
        <v>7</v>
      </c>
      <c r="DG588" s="27" t="s">
        <v>8</v>
      </c>
      <c r="DR588" s="27" t="s">
        <v>7</v>
      </c>
      <c r="DS588" s="27" t="s">
        <v>8</v>
      </c>
      <c r="DZ588" s="27" t="s">
        <v>7</v>
      </c>
      <c r="EA588" s="27" t="s">
        <v>8</v>
      </c>
      <c r="EB588" s="27" t="s">
        <v>7</v>
      </c>
      <c r="EE588" s="27" t="s">
        <v>8</v>
      </c>
      <c r="EF588" s="27" t="s">
        <v>7</v>
      </c>
      <c r="EG588" s="27" t="s">
        <v>8</v>
      </c>
      <c r="EH588" s="27" t="s">
        <v>7</v>
      </c>
      <c r="EL588" s="27" t="s">
        <v>7</v>
      </c>
      <c r="EM588" s="27" t="s">
        <v>8</v>
      </c>
      <c r="GN588" s="27" t="s">
        <v>7</v>
      </c>
    </row>
    <row r="589" spans="1:196" x14ac:dyDescent="0.25">
      <c r="A589" s="7">
        <v>0.96116878123798544</v>
      </c>
      <c r="B589"/>
      <c r="C589"/>
      <c r="D589"/>
      <c r="E589"/>
      <c r="BP589" s="27" t="s">
        <v>7</v>
      </c>
      <c r="BQ589" s="27" t="s">
        <v>8</v>
      </c>
      <c r="BR589" s="27" t="s">
        <v>7</v>
      </c>
      <c r="BS589" s="27" t="s">
        <v>8</v>
      </c>
      <c r="BT589" s="27" t="s">
        <v>7</v>
      </c>
      <c r="BU589" s="27" t="s">
        <v>8</v>
      </c>
      <c r="BV589" s="27" t="s">
        <v>7</v>
      </c>
      <c r="BW589" s="27" t="s">
        <v>8</v>
      </c>
      <c r="BZ589" s="27" t="s">
        <v>7</v>
      </c>
      <c r="CA589" s="27" t="s">
        <v>8</v>
      </c>
      <c r="CB589" s="27" t="s">
        <v>7</v>
      </c>
      <c r="CC589" s="27" t="s">
        <v>8</v>
      </c>
      <c r="CF589" s="27" t="s">
        <v>7</v>
      </c>
      <c r="CY589" s="27" t="s">
        <v>8</v>
      </c>
      <c r="CZ589" s="27" t="s">
        <v>7</v>
      </c>
      <c r="DA589" s="27" t="s">
        <v>8</v>
      </c>
      <c r="DB589" s="27" t="s">
        <v>7</v>
      </c>
      <c r="DC589" s="27" t="s">
        <v>8</v>
      </c>
      <c r="DD589" s="27" t="s">
        <v>7</v>
      </c>
      <c r="DE589" s="27" t="s">
        <v>8</v>
      </c>
      <c r="DF589" s="27" t="s">
        <v>7</v>
      </c>
      <c r="DR589" s="27" t="s">
        <v>7</v>
      </c>
      <c r="DS589" s="27" t="s">
        <v>8</v>
      </c>
      <c r="DZ589" s="27" t="s">
        <v>7</v>
      </c>
      <c r="EA589" s="27" t="s">
        <v>8</v>
      </c>
      <c r="EB589" s="27" t="s">
        <v>7</v>
      </c>
      <c r="EE589" s="27" t="s">
        <v>8</v>
      </c>
      <c r="EF589" s="27" t="s">
        <v>7</v>
      </c>
      <c r="EL589" s="27" t="s">
        <v>7</v>
      </c>
      <c r="GN589" s="27" t="s">
        <v>7</v>
      </c>
    </row>
    <row r="590" spans="1:196" x14ac:dyDescent="0.25">
      <c r="A590" s="7">
        <v>0.94232233454704462</v>
      </c>
      <c r="B590"/>
      <c r="C590"/>
      <c r="D590"/>
      <c r="E590"/>
      <c r="BP590" s="27" t="s">
        <v>7</v>
      </c>
      <c r="BQ590" s="27" t="s">
        <v>8</v>
      </c>
      <c r="BR590" s="27" t="s">
        <v>7</v>
      </c>
      <c r="BS590" s="27" t="s">
        <v>8</v>
      </c>
      <c r="BT590" s="27" t="s">
        <v>7</v>
      </c>
      <c r="BU590" s="27" t="s">
        <v>8</v>
      </c>
      <c r="BV590" s="27" t="s">
        <v>7</v>
      </c>
      <c r="BW590" s="27" t="s">
        <v>8</v>
      </c>
      <c r="BZ590" s="27" t="s">
        <v>7</v>
      </c>
      <c r="CA590" s="27" t="s">
        <v>8</v>
      </c>
      <c r="CB590" s="27" t="s">
        <v>7</v>
      </c>
      <c r="CC590" s="27" t="s">
        <v>8</v>
      </c>
      <c r="CF590" s="27" t="s">
        <v>7</v>
      </c>
      <c r="CY590" s="27" t="s">
        <v>8</v>
      </c>
      <c r="CZ590" s="27" t="s">
        <v>7</v>
      </c>
      <c r="DA590" s="27" t="s">
        <v>8</v>
      </c>
      <c r="DB590" s="27" t="s">
        <v>7</v>
      </c>
      <c r="DC590" s="27" t="s">
        <v>8</v>
      </c>
      <c r="DD590" s="27" t="s">
        <v>7</v>
      </c>
      <c r="DE590" s="27" t="s">
        <v>8</v>
      </c>
      <c r="DR590" s="27" t="s">
        <v>7</v>
      </c>
      <c r="DS590" s="27" t="s">
        <v>8</v>
      </c>
      <c r="DZ590" s="27" t="s">
        <v>7</v>
      </c>
      <c r="EA590" s="27" t="s">
        <v>8</v>
      </c>
      <c r="EB590" s="27" t="s">
        <v>7</v>
      </c>
      <c r="EC590" s="27" t="s">
        <v>8</v>
      </c>
      <c r="EE590" s="27" t="s">
        <v>8</v>
      </c>
      <c r="GN590" s="27" t="s">
        <v>7</v>
      </c>
    </row>
    <row r="591" spans="1:196" x14ac:dyDescent="0.25">
      <c r="A591" s="7">
        <v>0.92384542602651432</v>
      </c>
      <c r="B591"/>
      <c r="C591"/>
      <c r="D591"/>
      <c r="E591"/>
      <c r="BP591" s="27" t="s">
        <v>7</v>
      </c>
      <c r="BQ591" s="27" t="s">
        <v>8</v>
      </c>
      <c r="BR591" s="27" t="s">
        <v>7</v>
      </c>
      <c r="BS591" s="27" t="s">
        <v>8</v>
      </c>
      <c r="BT591" s="27" t="s">
        <v>7</v>
      </c>
      <c r="BU591" s="27" t="s">
        <v>8</v>
      </c>
      <c r="BV591" s="27" t="s">
        <v>7</v>
      </c>
      <c r="BW591" s="27" t="s">
        <v>8</v>
      </c>
      <c r="BZ591" s="27" t="s">
        <v>7</v>
      </c>
      <c r="CB591" s="27" t="s">
        <v>7</v>
      </c>
      <c r="CF591" s="27" t="s">
        <v>7</v>
      </c>
      <c r="CY591" s="27" t="s">
        <v>8</v>
      </c>
      <c r="CZ591" s="27" t="s">
        <v>7</v>
      </c>
      <c r="DA591" s="27" t="s">
        <v>8</v>
      </c>
      <c r="DB591" s="27" t="s">
        <v>7</v>
      </c>
      <c r="DD591" s="27" t="s">
        <v>7</v>
      </c>
      <c r="DE591" s="27" t="s">
        <v>8</v>
      </c>
      <c r="DR591" s="27" t="s">
        <v>7</v>
      </c>
      <c r="DS591" s="27" t="s">
        <v>8</v>
      </c>
      <c r="DZ591" s="27" t="s">
        <v>7</v>
      </c>
      <c r="EA591" s="27" t="s">
        <v>8</v>
      </c>
      <c r="EB591" s="27" t="s">
        <v>7</v>
      </c>
      <c r="EC591" s="27" t="s">
        <v>8</v>
      </c>
      <c r="ED591" s="27" t="s">
        <v>7</v>
      </c>
      <c r="EE591" s="27" t="s">
        <v>8</v>
      </c>
      <c r="GN591" s="27" t="s">
        <v>7</v>
      </c>
    </row>
    <row r="592" spans="1:196" x14ac:dyDescent="0.25">
      <c r="A592" s="7">
        <v>0.90573080982991594</v>
      </c>
      <c r="B592"/>
      <c r="C592"/>
      <c r="D592"/>
      <c r="E592"/>
      <c r="BP592" s="27" t="s">
        <v>7</v>
      </c>
      <c r="BQ592" s="27" t="s">
        <v>8</v>
      </c>
      <c r="BR592" s="27" t="s">
        <v>7</v>
      </c>
      <c r="BS592" s="27" t="s">
        <v>8</v>
      </c>
      <c r="BT592" s="27" t="s">
        <v>7</v>
      </c>
      <c r="BU592" s="27" t="s">
        <v>8</v>
      </c>
      <c r="BV592" s="27" t="s">
        <v>7</v>
      </c>
      <c r="CF592" s="27" t="s">
        <v>7</v>
      </c>
      <c r="CY592" s="27" t="s">
        <v>8</v>
      </c>
      <c r="CZ592" s="27" t="s">
        <v>7</v>
      </c>
      <c r="DA592" s="27" t="s">
        <v>8</v>
      </c>
      <c r="DD592" s="27" t="s">
        <v>7</v>
      </c>
      <c r="DE592" s="27" t="s">
        <v>8</v>
      </c>
      <c r="DR592" s="27" t="s">
        <v>7</v>
      </c>
      <c r="DZ592" s="27" t="s">
        <v>7</v>
      </c>
      <c r="EA592" s="27" t="s">
        <v>8</v>
      </c>
      <c r="EB592" s="27" t="s">
        <v>7</v>
      </c>
      <c r="EC592" s="27" t="s">
        <v>8</v>
      </c>
      <c r="ED592" s="27" t="s">
        <v>7</v>
      </c>
      <c r="EE592" s="27" t="s">
        <v>8</v>
      </c>
      <c r="GN592" s="27" t="s">
        <v>7</v>
      </c>
    </row>
    <row r="593" spans="1:200" x14ac:dyDescent="0.25">
      <c r="A593" s="7">
        <v>0.8879713821861922</v>
      </c>
      <c r="B593"/>
      <c r="C593"/>
      <c r="D593"/>
      <c r="E593"/>
      <c r="BP593" s="27" t="s">
        <v>7</v>
      </c>
      <c r="BQ593" s="27" t="s">
        <v>8</v>
      </c>
      <c r="BR593" s="27" t="s">
        <v>7</v>
      </c>
      <c r="BS593" s="27" t="s">
        <v>8</v>
      </c>
      <c r="BT593" s="27" t="s">
        <v>7</v>
      </c>
      <c r="BU593" s="27" t="s">
        <v>8</v>
      </c>
      <c r="CF593" s="27" t="s">
        <v>7</v>
      </c>
      <c r="CY593" s="27" t="s">
        <v>8</v>
      </c>
      <c r="CZ593" s="27" t="s">
        <v>7</v>
      </c>
      <c r="DA593" s="27" t="s">
        <v>8</v>
      </c>
      <c r="DD593" s="27" t="s">
        <v>7</v>
      </c>
      <c r="DZ593" s="27" t="s">
        <v>7</v>
      </c>
      <c r="EB593" s="27" t="s">
        <v>7</v>
      </c>
      <c r="EC593" s="27" t="s">
        <v>8</v>
      </c>
      <c r="ED593" s="27" t="s">
        <v>7</v>
      </c>
      <c r="EE593" s="27" t="s">
        <v>8</v>
      </c>
      <c r="GN593" s="27" t="s">
        <v>7</v>
      </c>
    </row>
    <row r="594" spans="1:200" x14ac:dyDescent="0.25">
      <c r="A594" s="7">
        <v>0.87056017861391399</v>
      </c>
      <c r="B594"/>
      <c r="C594"/>
      <c r="D594"/>
      <c r="E594"/>
      <c r="BP594" s="27" t="s">
        <v>7</v>
      </c>
      <c r="BQ594" s="27" t="s">
        <v>8</v>
      </c>
      <c r="BR594" s="27" t="s">
        <v>7</v>
      </c>
      <c r="BT594" s="27" t="s">
        <v>7</v>
      </c>
      <c r="BU594" s="27" t="s">
        <v>8</v>
      </c>
      <c r="CF594" s="27" t="s">
        <v>7</v>
      </c>
      <c r="CS594" s="27" t="s">
        <v>8</v>
      </c>
      <c r="CY594" s="27" t="s">
        <v>8</v>
      </c>
      <c r="CZ594" s="27" t="s">
        <v>7</v>
      </c>
      <c r="DA594" s="27" t="s">
        <v>8</v>
      </c>
      <c r="EB594" s="27" t="s">
        <v>7</v>
      </c>
      <c r="EC594" s="27" t="s">
        <v>8</v>
      </c>
      <c r="ED594" s="27" t="s">
        <v>7</v>
      </c>
      <c r="EE594" s="27" t="s">
        <v>8</v>
      </c>
      <c r="GN594" s="27" t="s">
        <v>7</v>
      </c>
    </row>
    <row r="595" spans="1:200" x14ac:dyDescent="0.25">
      <c r="A595" s="7">
        <v>0.85349037119011173</v>
      </c>
      <c r="B595"/>
      <c r="C595"/>
      <c r="D595"/>
      <c r="E595"/>
      <c r="BP595" s="27" t="s">
        <v>7</v>
      </c>
      <c r="BQ595" s="27" t="s">
        <v>8</v>
      </c>
      <c r="BT595" s="27" t="s">
        <v>7</v>
      </c>
      <c r="BU595" s="27" t="s">
        <v>8</v>
      </c>
      <c r="CF595" s="27" t="s">
        <v>7</v>
      </c>
      <c r="CS595" s="27" t="s">
        <v>8</v>
      </c>
      <c r="CT595" s="27" t="s">
        <v>7</v>
      </c>
      <c r="CY595" s="27" t="s">
        <v>8</v>
      </c>
      <c r="CZ595" s="27" t="s">
        <v>7</v>
      </c>
      <c r="DA595" s="27" t="s">
        <v>8</v>
      </c>
      <c r="EB595" s="27" t="s">
        <v>7</v>
      </c>
      <c r="EC595" s="27" t="s">
        <v>8</v>
      </c>
      <c r="ED595" s="27" t="s">
        <v>7</v>
      </c>
      <c r="EE595" s="27" t="s">
        <v>8</v>
      </c>
      <c r="GN595" s="27" t="s">
        <v>7</v>
      </c>
    </row>
    <row r="596" spans="1:200" x14ac:dyDescent="0.25">
      <c r="A596" s="7">
        <v>0.83675526587265858</v>
      </c>
      <c r="B596"/>
      <c r="C596"/>
      <c r="D596"/>
      <c r="E596"/>
      <c r="BP596" s="27" t="s">
        <v>7</v>
      </c>
      <c r="BQ596" s="27" t="s">
        <v>8</v>
      </c>
      <c r="BT596" s="27" t="s">
        <v>7</v>
      </c>
      <c r="BU596" s="27" t="s">
        <v>8</v>
      </c>
      <c r="CF596" s="27" t="s">
        <v>7</v>
      </c>
      <c r="CO596" s="27" t="s">
        <v>8</v>
      </c>
      <c r="CS596" s="27" t="s">
        <v>8</v>
      </c>
      <c r="CT596" s="27" t="s">
        <v>7</v>
      </c>
      <c r="CY596" s="27" t="s">
        <v>8</v>
      </c>
      <c r="CZ596" s="27" t="s">
        <v>7</v>
      </c>
      <c r="EB596" s="27" t="s">
        <v>7</v>
      </c>
      <c r="EC596" s="27" t="s">
        <v>8</v>
      </c>
      <c r="ED596" s="27" t="s">
        <v>7</v>
      </c>
      <c r="EE596" s="27" t="s">
        <v>8</v>
      </c>
      <c r="GN596" s="27" t="s">
        <v>7</v>
      </c>
    </row>
    <row r="597" spans="1:200" x14ac:dyDescent="0.25">
      <c r="A597" s="7">
        <v>0.82034829987515545</v>
      </c>
      <c r="B597"/>
      <c r="C597"/>
      <c r="D597"/>
      <c r="E597"/>
      <c r="BP597" s="27" t="s">
        <v>7</v>
      </c>
      <c r="BT597" s="27" t="s">
        <v>7</v>
      </c>
      <c r="BU597" s="27" t="s">
        <v>8</v>
      </c>
      <c r="CF597" s="27" t="s">
        <v>7</v>
      </c>
      <c r="CO597" s="27" t="s">
        <v>8</v>
      </c>
      <c r="CP597" s="27" t="s">
        <v>7</v>
      </c>
      <c r="CS597" s="27" t="s">
        <v>8</v>
      </c>
      <c r="CT597" s="27" t="s">
        <v>7</v>
      </c>
      <c r="CY597" s="27" t="s">
        <v>8</v>
      </c>
      <c r="EB597" s="27" t="s">
        <v>7</v>
      </c>
      <c r="ED597" s="27" t="s">
        <v>7</v>
      </c>
      <c r="GN597" s="27" t="s">
        <v>7</v>
      </c>
      <c r="GQ597" s="27" t="s">
        <v>8</v>
      </c>
    </row>
    <row r="598" spans="1:200" x14ac:dyDescent="0.25">
      <c r="A598" s="7">
        <v>0.80426303909328967</v>
      </c>
      <c r="B598"/>
      <c r="C598"/>
      <c r="D598"/>
      <c r="E598"/>
      <c r="BT598" s="27" t="s">
        <v>7</v>
      </c>
      <c r="BU598" s="27" t="s">
        <v>8</v>
      </c>
      <c r="CF598" s="27" t="s">
        <v>7</v>
      </c>
      <c r="CO598" s="27" t="s">
        <v>8</v>
      </c>
      <c r="CP598" s="27" t="s">
        <v>7</v>
      </c>
      <c r="CS598" s="27" t="s">
        <v>8</v>
      </c>
      <c r="CT598" s="27" t="s">
        <v>7</v>
      </c>
      <c r="CU598" s="18" t="s">
        <v>8</v>
      </c>
      <c r="CY598" s="27" t="s">
        <v>8</v>
      </c>
      <c r="GN598" s="27" t="s">
        <v>7</v>
      </c>
      <c r="GQ598" s="27" t="s">
        <v>8</v>
      </c>
      <c r="GR598" s="27" t="s">
        <v>7</v>
      </c>
    </row>
    <row r="599" spans="1:200" x14ac:dyDescent="0.25">
      <c r="A599" s="7">
        <v>0.78849317558165644</v>
      </c>
      <c r="B599"/>
      <c r="C599"/>
      <c r="D599"/>
      <c r="E599"/>
      <c r="BT599" s="27" t="s">
        <v>7</v>
      </c>
      <c r="BU599" s="27" t="s">
        <v>8</v>
      </c>
      <c r="CF599" s="27" t="s">
        <v>7</v>
      </c>
      <c r="CG599" s="27" t="s">
        <v>8</v>
      </c>
      <c r="CO599" s="27" t="s">
        <v>8</v>
      </c>
      <c r="CP599" s="27" t="s">
        <v>7</v>
      </c>
      <c r="CS599" s="27" t="s">
        <v>8</v>
      </c>
      <c r="CT599" s="27" t="s">
        <v>7</v>
      </c>
      <c r="CU599" s="27" t="s">
        <v>8</v>
      </c>
      <c r="CV599" s="27" t="s">
        <v>7</v>
      </c>
      <c r="CY599" s="27" t="s">
        <v>8</v>
      </c>
      <c r="GN599" s="27" t="s">
        <v>7</v>
      </c>
      <c r="GQ599" s="27" t="s">
        <v>8</v>
      </c>
      <c r="GR599" s="27" t="s">
        <v>7</v>
      </c>
    </row>
    <row r="600" spans="1:200" x14ac:dyDescent="0.25">
      <c r="A600" s="7">
        <v>0.77303252508005538</v>
      </c>
      <c r="B600"/>
      <c r="C600"/>
      <c r="D600"/>
      <c r="E600"/>
      <c r="BT600" s="27" t="s">
        <v>7</v>
      </c>
      <c r="BU600" s="27" t="s">
        <v>8</v>
      </c>
      <c r="CF600" s="27" t="s">
        <v>7</v>
      </c>
      <c r="CG600" s="27" t="s">
        <v>8</v>
      </c>
      <c r="CH600" s="27" t="s">
        <v>7</v>
      </c>
      <c r="CO600" s="27" t="s">
        <v>8</v>
      </c>
      <c r="CP600" s="27" t="s">
        <v>7</v>
      </c>
      <c r="CQ600" s="27" t="s">
        <v>8</v>
      </c>
      <c r="CS600" s="27" t="s">
        <v>8</v>
      </c>
      <c r="CT600" s="27" t="s">
        <v>7</v>
      </c>
      <c r="CU600" s="27" t="s">
        <v>8</v>
      </c>
      <c r="CV600" s="27" t="s">
        <v>7</v>
      </c>
      <c r="CW600" s="27" t="s">
        <v>8</v>
      </c>
      <c r="CY600" s="27" t="s">
        <v>8</v>
      </c>
      <c r="GN600" s="27" t="s">
        <v>7</v>
      </c>
      <c r="GO600" s="27" t="s">
        <v>8</v>
      </c>
      <c r="GQ600" s="27" t="s">
        <v>8</v>
      </c>
      <c r="GR600" s="27" t="s">
        <v>7</v>
      </c>
    </row>
    <row r="601" spans="1:200" x14ac:dyDescent="0.25">
      <c r="A601" s="7">
        <v>0.75787502458828959</v>
      </c>
      <c r="B601"/>
      <c r="C601"/>
      <c r="D601"/>
      <c r="E601"/>
      <c r="BT601" s="27" t="s">
        <v>7</v>
      </c>
      <c r="BU601" s="27" t="s">
        <v>8</v>
      </c>
      <c r="CF601" s="27" t="s">
        <v>7</v>
      </c>
      <c r="CG601" s="27" t="s">
        <v>8</v>
      </c>
      <c r="CH601" s="27" t="s">
        <v>7</v>
      </c>
      <c r="CI601" s="27" t="s">
        <v>8</v>
      </c>
      <c r="CO601" s="27" t="s">
        <v>8</v>
      </c>
      <c r="CP601" s="27" t="s">
        <v>7</v>
      </c>
      <c r="CQ601" s="27" t="s">
        <v>8</v>
      </c>
      <c r="CR601" s="27" t="s">
        <v>7</v>
      </c>
      <c r="CS601" s="27" t="s">
        <v>8</v>
      </c>
      <c r="CT601" s="27" t="s">
        <v>7</v>
      </c>
      <c r="CU601" s="27" t="s">
        <v>8</v>
      </c>
      <c r="CV601" s="27" t="s">
        <v>7</v>
      </c>
      <c r="CW601" s="27" t="s">
        <v>8</v>
      </c>
      <c r="CX601" s="27" t="s">
        <v>7</v>
      </c>
      <c r="CY601" s="27" t="s">
        <v>8</v>
      </c>
      <c r="GN601" s="27" t="s">
        <v>7</v>
      </c>
      <c r="GO601" s="27" t="s">
        <v>8</v>
      </c>
      <c r="GP601" s="27" t="s">
        <v>7</v>
      </c>
      <c r="GQ601" s="27" t="s">
        <v>8</v>
      </c>
      <c r="GR601" s="27" t="s">
        <v>7</v>
      </c>
    </row>
    <row r="602" spans="1:200" x14ac:dyDescent="0.25">
      <c r="A602" s="7">
        <v>0.74301472998851925</v>
      </c>
      <c r="B602"/>
      <c r="C602"/>
      <c r="D602"/>
      <c r="E602"/>
      <c r="BT602" s="27" t="s">
        <v>7</v>
      </c>
      <c r="BU602" s="27" t="s">
        <v>8</v>
      </c>
      <c r="CF602" s="27" t="s">
        <v>7</v>
      </c>
      <c r="CG602" s="27" t="s">
        <v>8</v>
      </c>
      <c r="CH602" s="27" t="s">
        <v>7</v>
      </c>
      <c r="CI602" s="27" t="s">
        <v>8</v>
      </c>
      <c r="CJ602" s="27" t="s">
        <v>7</v>
      </c>
      <c r="CM602" s="27" t="s">
        <v>8</v>
      </c>
      <c r="CO602" s="27" t="s">
        <v>8</v>
      </c>
      <c r="CP602" s="27" t="s">
        <v>7</v>
      </c>
      <c r="CQ602" s="27" t="s">
        <v>8</v>
      </c>
      <c r="CR602" s="27" t="s">
        <v>7</v>
      </c>
      <c r="CS602" s="27" t="s">
        <v>8</v>
      </c>
      <c r="CT602" s="27" t="s">
        <v>7</v>
      </c>
      <c r="CU602" s="27" t="s">
        <v>8</v>
      </c>
      <c r="CV602" s="27" t="s">
        <v>7</v>
      </c>
      <c r="CW602" s="27" t="s">
        <v>8</v>
      </c>
      <c r="CX602" s="27" t="s">
        <v>7</v>
      </c>
      <c r="CY602" s="27" t="s">
        <v>8</v>
      </c>
      <c r="GN602" s="27" t="s">
        <v>7</v>
      </c>
      <c r="GO602" s="27" t="s">
        <v>8</v>
      </c>
      <c r="GP602" s="27" t="s">
        <v>7</v>
      </c>
      <c r="GQ602" s="27" t="s">
        <v>8</v>
      </c>
    </row>
    <row r="603" spans="1:200" x14ac:dyDescent="0.25">
      <c r="A603" s="7">
        <v>0.72844581371423456</v>
      </c>
      <c r="B603"/>
      <c r="C603"/>
      <c r="D603"/>
      <c r="E603"/>
      <c r="BT603" s="27" t="s">
        <v>7</v>
      </c>
      <c r="BU603" s="27" t="s">
        <v>8</v>
      </c>
      <c r="CF603" s="27" t="s">
        <v>7</v>
      </c>
      <c r="CG603" s="27" t="s">
        <v>8</v>
      </c>
      <c r="CH603" s="27" t="s">
        <v>7</v>
      </c>
      <c r="CI603" s="27" t="s">
        <v>8</v>
      </c>
      <c r="CJ603" s="27" t="s">
        <v>7</v>
      </c>
      <c r="CK603" s="27" t="s">
        <v>8</v>
      </c>
      <c r="CM603" s="27" t="s">
        <v>8</v>
      </c>
      <c r="CN603" s="27" t="s">
        <v>7</v>
      </c>
      <c r="CO603" s="27" t="s">
        <v>8</v>
      </c>
      <c r="CP603" s="27" t="s">
        <v>7</v>
      </c>
      <c r="CQ603" s="27" t="s">
        <v>8</v>
      </c>
      <c r="CR603" s="27" t="s">
        <v>7</v>
      </c>
      <c r="CS603" s="27" t="s">
        <v>8</v>
      </c>
      <c r="CT603" s="27" t="s">
        <v>7</v>
      </c>
      <c r="CU603" s="27" t="s">
        <v>8</v>
      </c>
      <c r="CV603" s="27" t="s">
        <v>7</v>
      </c>
      <c r="CW603" s="27" t="s">
        <v>8</v>
      </c>
      <c r="CX603" s="27" t="s">
        <v>7</v>
      </c>
      <c r="CY603" s="27" t="s">
        <v>8</v>
      </c>
      <c r="GN603" s="27" t="s">
        <v>7</v>
      </c>
      <c r="GO603" s="27" t="s">
        <v>8</v>
      </c>
      <c r="GP603" s="27" t="s">
        <v>7</v>
      </c>
      <c r="GQ603" s="27" t="s">
        <v>8</v>
      </c>
    </row>
    <row r="604" spans="1:200" x14ac:dyDescent="0.25">
      <c r="A604" s="7">
        <v>0.71416256246493581</v>
      </c>
      <c r="B604"/>
      <c r="C604"/>
      <c r="D604"/>
      <c r="E604"/>
      <c r="BT604" s="27" t="s">
        <v>7</v>
      </c>
      <c r="BU604" s="27" t="s">
        <v>8</v>
      </c>
      <c r="CF604" s="27" t="s">
        <v>7</v>
      </c>
      <c r="CG604" s="27" t="s">
        <v>8</v>
      </c>
      <c r="CH604" s="27" t="s">
        <v>7</v>
      </c>
      <c r="CI604" s="27" t="s">
        <v>8</v>
      </c>
      <c r="CJ604" s="27" t="s">
        <v>7</v>
      </c>
      <c r="CK604" s="27" t="s">
        <v>8</v>
      </c>
      <c r="CL604" s="27" t="s">
        <v>7</v>
      </c>
      <c r="CM604" s="27" t="s">
        <v>8</v>
      </c>
      <c r="CN604" s="27" t="s">
        <v>7</v>
      </c>
      <c r="CO604" s="27" t="s">
        <v>8</v>
      </c>
      <c r="CP604" s="27" t="s">
        <v>7</v>
      </c>
      <c r="CQ604" s="27" t="s">
        <v>8</v>
      </c>
      <c r="CR604" s="27" t="s">
        <v>7</v>
      </c>
      <c r="CS604" s="27" t="s">
        <v>8</v>
      </c>
      <c r="CT604" s="27" t="s">
        <v>7</v>
      </c>
      <c r="CU604" s="27" t="s">
        <v>8</v>
      </c>
      <c r="CV604" s="27" t="s">
        <v>7</v>
      </c>
      <c r="CW604" s="27" t="s">
        <v>8</v>
      </c>
      <c r="CX604" s="27" t="s">
        <v>7</v>
      </c>
      <c r="GN604" s="27" t="s">
        <v>7</v>
      </c>
      <c r="GO604" s="27" t="s">
        <v>8</v>
      </c>
      <c r="GP604" s="27" t="s">
        <v>7</v>
      </c>
      <c r="GQ604" s="27" t="s">
        <v>8</v>
      </c>
    </row>
    <row r="605" spans="1:200" x14ac:dyDescent="0.25">
      <c r="A605" s="7">
        <v>0.7001593749656233</v>
      </c>
      <c r="B605"/>
      <c r="C605"/>
      <c r="D605"/>
      <c r="E605"/>
      <c r="BT605" s="27" t="s">
        <v>7</v>
      </c>
      <c r="BU605" s="27" t="s">
        <v>8</v>
      </c>
      <c r="CF605" s="27" t="s">
        <v>7</v>
      </c>
      <c r="CG605" s="27" t="s">
        <v>8</v>
      </c>
      <c r="CH605" s="27" t="s">
        <v>7</v>
      </c>
      <c r="CI605" s="27" t="s">
        <v>8</v>
      </c>
      <c r="CJ605" s="27" t="s">
        <v>7</v>
      </c>
      <c r="CK605" s="27" t="s">
        <v>8</v>
      </c>
      <c r="CL605" s="27" t="s">
        <v>7</v>
      </c>
      <c r="CM605" s="27" t="s">
        <v>8</v>
      </c>
      <c r="CN605" s="27" t="s">
        <v>7</v>
      </c>
      <c r="CO605" s="27" t="s">
        <v>8</v>
      </c>
      <c r="CP605" s="27" t="s">
        <v>7</v>
      </c>
      <c r="CR605" s="27" t="s">
        <v>7</v>
      </c>
      <c r="CS605" s="27" t="s">
        <v>8</v>
      </c>
      <c r="CT605" s="27" t="s">
        <v>7</v>
      </c>
      <c r="CU605" s="27" t="s">
        <v>8</v>
      </c>
      <c r="CV605" s="27" t="s">
        <v>7</v>
      </c>
      <c r="CW605" s="27" t="s">
        <v>8</v>
      </c>
      <c r="GN605" s="27" t="s">
        <v>7</v>
      </c>
      <c r="GO605" s="27" t="s">
        <v>8</v>
      </c>
      <c r="GP605" s="27" t="s">
        <v>7</v>
      </c>
      <c r="GQ605" s="27" t="s">
        <v>8</v>
      </c>
    </row>
    <row r="606" spans="1:200" x14ac:dyDescent="0.25">
      <c r="A606" s="7">
        <v>0.68643075977021883</v>
      </c>
      <c r="B606"/>
      <c r="C606"/>
      <c r="D606"/>
      <c r="E606"/>
      <c r="BT606" s="27" t="s">
        <v>7</v>
      </c>
      <c r="BU606" s="27" t="s">
        <v>8</v>
      </c>
      <c r="CF606" s="27" t="s">
        <v>7</v>
      </c>
      <c r="CG606" s="27" t="s">
        <v>8</v>
      </c>
      <c r="CH606" s="27" t="s">
        <v>7</v>
      </c>
      <c r="CI606" s="27" t="s">
        <v>8</v>
      </c>
      <c r="CJ606" s="27" t="s">
        <v>7</v>
      </c>
      <c r="CK606" s="27" t="s">
        <v>8</v>
      </c>
      <c r="CL606" s="27" t="s">
        <v>7</v>
      </c>
      <c r="CM606" s="27" t="s">
        <v>8</v>
      </c>
      <c r="CN606" s="27" t="s">
        <v>7</v>
      </c>
      <c r="CO606" s="27" t="s">
        <v>8</v>
      </c>
      <c r="CR606" s="27" t="s">
        <v>7</v>
      </c>
      <c r="CS606" s="27" t="s">
        <v>8</v>
      </c>
      <c r="CT606" s="27" t="s">
        <v>7</v>
      </c>
      <c r="CV606" s="27" t="s">
        <v>7</v>
      </c>
      <c r="CW606" s="27" t="s">
        <v>8</v>
      </c>
      <c r="GN606" s="27" t="s">
        <v>7</v>
      </c>
      <c r="GO606" s="27" t="s">
        <v>8</v>
      </c>
      <c r="GP606" s="27" t="s">
        <v>7</v>
      </c>
      <c r="GQ606" s="27" t="s">
        <v>8</v>
      </c>
    </row>
    <row r="607" spans="1:200" x14ac:dyDescent="0.25">
      <c r="A607" s="7">
        <v>0.67297133310805768</v>
      </c>
      <c r="B607"/>
      <c r="C607"/>
      <c r="D607"/>
      <c r="E607"/>
      <c r="BT607" s="27" t="s">
        <v>7</v>
      </c>
      <c r="BU607" s="27" t="s">
        <v>8</v>
      </c>
      <c r="CF607" s="27" t="s">
        <v>7</v>
      </c>
      <c r="CG607" s="27" t="s">
        <v>8</v>
      </c>
      <c r="CH607" s="27" t="s">
        <v>7</v>
      </c>
      <c r="CI607" s="27" t="s">
        <v>8</v>
      </c>
      <c r="CJ607" s="27" t="s">
        <v>7</v>
      </c>
      <c r="CL607" s="27" t="s">
        <v>7</v>
      </c>
      <c r="CM607" s="27" t="s">
        <v>8</v>
      </c>
      <c r="CN607" s="27" t="s">
        <v>7</v>
      </c>
      <c r="CR607" s="27" t="s">
        <v>7</v>
      </c>
      <c r="CS607" s="27" t="s">
        <v>8</v>
      </c>
      <c r="CV607" s="27" t="s">
        <v>7</v>
      </c>
      <c r="CW607" s="27" t="s">
        <v>8</v>
      </c>
      <c r="GN607" s="27" t="s">
        <v>7</v>
      </c>
      <c r="GO607" s="27" t="s">
        <v>8</v>
      </c>
      <c r="GP607" s="27" t="s">
        <v>7</v>
      </c>
      <c r="GQ607" s="27" t="s">
        <v>8</v>
      </c>
    </row>
    <row r="608" spans="1:200" x14ac:dyDescent="0.25">
      <c r="A608" s="7">
        <v>0.65977581677260566</v>
      </c>
      <c r="B608"/>
      <c r="C608"/>
      <c r="D608"/>
      <c r="E608"/>
      <c r="BT608" s="27" t="s">
        <v>7</v>
      </c>
      <c r="BU608" s="27" t="s">
        <v>8</v>
      </c>
      <c r="CF608" s="27" t="s">
        <v>7</v>
      </c>
      <c r="CG608" s="27" t="s">
        <v>8</v>
      </c>
      <c r="CH608" s="27" t="s">
        <v>7</v>
      </c>
      <c r="CI608" s="27" t="s">
        <v>8</v>
      </c>
      <c r="CL608" s="27" t="s">
        <v>7</v>
      </c>
      <c r="CM608" s="27" t="s">
        <v>8</v>
      </c>
      <c r="CR608" s="27" t="s">
        <v>7</v>
      </c>
      <c r="CV608" s="27" t="s">
        <v>7</v>
      </c>
      <c r="CW608" s="27" t="s">
        <v>8</v>
      </c>
      <c r="GN608" s="27" t="s">
        <v>7</v>
      </c>
      <c r="GO608" s="27" t="s">
        <v>8</v>
      </c>
      <c r="GP608" s="27" t="s">
        <v>7</v>
      </c>
      <c r="GQ608" s="27" t="s">
        <v>8</v>
      </c>
    </row>
    <row r="609" spans="1:198" x14ac:dyDescent="0.25">
      <c r="A609" s="7">
        <v>0.64683903605157422</v>
      </c>
      <c r="B609"/>
      <c r="C609"/>
      <c r="D609"/>
      <c r="E609"/>
      <c r="BT609" s="27" t="s">
        <v>7</v>
      </c>
      <c r="BU609" s="27" t="s">
        <v>8</v>
      </c>
      <c r="CF609" s="27" t="s">
        <v>7</v>
      </c>
      <c r="CG609" s="27" t="s">
        <v>8</v>
      </c>
      <c r="CH609" s="27" t="s">
        <v>7</v>
      </c>
      <c r="CI609" s="27" t="s">
        <v>8</v>
      </c>
      <c r="CL609" s="27" t="s">
        <v>7</v>
      </c>
      <c r="CV609" s="27" t="s">
        <v>7</v>
      </c>
      <c r="CW609" s="27" t="s">
        <v>8</v>
      </c>
      <c r="GN609" s="27" t="s">
        <v>7</v>
      </c>
      <c r="GP609" s="27" t="s">
        <v>7</v>
      </c>
    </row>
    <row r="610" spans="1:198" x14ac:dyDescent="0.25">
      <c r="A610" s="7">
        <v>0.63415591769762181</v>
      </c>
      <c r="B610"/>
      <c r="C610"/>
      <c r="D610"/>
      <c r="E610"/>
      <c r="BT610" s="27" t="s">
        <v>7</v>
      </c>
      <c r="CF610" s="27" t="s">
        <v>7</v>
      </c>
      <c r="CG610" s="27" t="s">
        <v>8</v>
      </c>
      <c r="CH610" s="27" t="s">
        <v>7</v>
      </c>
      <c r="CI610" s="27" t="s">
        <v>8</v>
      </c>
      <c r="CV610" s="27" t="s">
        <v>7</v>
      </c>
      <c r="CW610" s="27" t="s">
        <v>8</v>
      </c>
    </row>
    <row r="611" spans="1:198" x14ac:dyDescent="0.25">
      <c r="A611" s="7">
        <v>0.62172148793884496</v>
      </c>
      <c r="B611"/>
      <c r="C611"/>
      <c r="D611"/>
      <c r="E611"/>
      <c r="CF611" s="27" t="s">
        <v>7</v>
      </c>
      <c r="CG611" s="27" t="s">
        <v>8</v>
      </c>
      <c r="CH611" s="27" t="s">
        <v>7</v>
      </c>
      <c r="CI611" s="27" t="s">
        <v>8</v>
      </c>
      <c r="CV611" s="27" t="s">
        <v>7</v>
      </c>
    </row>
    <row r="612" spans="1:198" x14ac:dyDescent="0.25">
      <c r="A612" s="7">
        <v>0.60953087052827937</v>
      </c>
      <c r="B612"/>
      <c r="C612"/>
      <c r="D612"/>
      <c r="E612"/>
      <c r="CF612" s="27" t="s">
        <v>7</v>
      </c>
      <c r="CH612" s="27" t="s">
        <v>7</v>
      </c>
    </row>
    <row r="613" spans="1:198" x14ac:dyDescent="0.25">
      <c r="A613" s="7">
        <v>0.59757928483164646</v>
      </c>
      <c r="B613"/>
      <c r="C613"/>
      <c r="D613"/>
      <c r="E613"/>
    </row>
    <row r="614" spans="1:198" x14ac:dyDescent="0.25">
      <c r="A614" s="7">
        <v>0.58586204395259456</v>
      </c>
      <c r="B614"/>
      <c r="C614"/>
      <c r="D614"/>
      <c r="E614"/>
    </row>
    <row r="615" spans="1:198" x14ac:dyDescent="0.25">
      <c r="A615" s="7">
        <v>0.57437455289470052</v>
      </c>
      <c r="B615"/>
      <c r="C615"/>
      <c r="D615"/>
      <c r="E615"/>
    </row>
    <row r="616" spans="1:198" x14ac:dyDescent="0.25">
      <c r="A616" s="7">
        <v>0.56311230675951029</v>
      </c>
      <c r="B616"/>
      <c r="C616"/>
      <c r="D616"/>
      <c r="E616"/>
    </row>
    <row r="617" spans="1:198" x14ac:dyDescent="0.25">
      <c r="A617" s="7">
        <v>0.55207088897991208</v>
      </c>
      <c r="B617"/>
      <c r="C617"/>
      <c r="D617"/>
      <c r="E617"/>
    </row>
    <row r="618" spans="1:198" x14ac:dyDescent="0.25">
      <c r="A618" s="7">
        <v>0.54124596958814908</v>
      </c>
      <c r="B618"/>
      <c r="C618"/>
      <c r="D618"/>
      <c r="E618"/>
    </row>
    <row r="619" spans="1:198" x14ac:dyDescent="0.25">
      <c r="A619" s="7">
        <v>0.53063330351779314</v>
      </c>
      <c r="B619"/>
      <c r="C619"/>
      <c r="D619"/>
      <c r="E619"/>
    </row>
    <row r="620" spans="1:198" x14ac:dyDescent="0.25">
      <c r="A620" s="7">
        <v>0.52022872893901284</v>
      </c>
      <c r="B620"/>
      <c r="C620"/>
      <c r="D620"/>
      <c r="E620"/>
    </row>
    <row r="621" spans="1:198" x14ac:dyDescent="0.25">
      <c r="A621" s="7">
        <v>0.51002816562648323</v>
      </c>
      <c r="B621"/>
      <c r="C621"/>
      <c r="D621"/>
      <c r="E621"/>
    </row>
    <row r="622" spans="1:198" x14ac:dyDescent="0.25">
      <c r="A622" s="7">
        <v>0.50002761335929735</v>
      </c>
      <c r="B622"/>
      <c r="C622"/>
      <c r="D622"/>
      <c r="E622"/>
    </row>
    <row r="623" spans="1:198" x14ac:dyDescent="0.25">
      <c r="A623" s="7">
        <v>0.49022315035225228</v>
      </c>
      <c r="B623"/>
      <c r="C623"/>
      <c r="D623"/>
      <c r="E623"/>
    </row>
    <row r="624" spans="1:198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59" operator="equal">
      <formula>$U$1</formula>
    </cfRule>
    <cfRule type="cellIs" dxfId="89" priority="760" operator="equal">
      <formula>$S$1</formula>
    </cfRule>
  </conditionalFormatting>
  <conditionalFormatting sqref="D27">
    <cfRule type="cellIs" dxfId="88" priority="757" operator="equal">
      <formula>$S$1</formula>
    </cfRule>
    <cfRule type="cellIs" dxfId="87" priority="758" operator="equal">
      <formula>$U$1</formula>
    </cfRule>
  </conditionalFormatting>
  <conditionalFormatting sqref="C164">
    <cfRule type="cellIs" dxfId="86" priority="755" operator="equal">
      <formula>$U$1</formula>
    </cfRule>
    <cfRule type="cellIs" dxfId="85" priority="756" operator="equal">
      <formula>$S$1</formula>
    </cfRule>
  </conditionalFormatting>
  <conditionalFormatting sqref="D164">
    <cfRule type="cellIs" dxfId="84" priority="753" operator="equal">
      <formula>$S$1</formula>
    </cfRule>
    <cfRule type="cellIs" dxfId="83" priority="754" operator="equal">
      <formula>$U$1</formula>
    </cfRule>
  </conditionalFormatting>
  <conditionalFormatting sqref="C55">
    <cfRule type="cellIs" dxfId="82" priority="751" operator="equal">
      <formula>$U$1</formula>
    </cfRule>
    <cfRule type="cellIs" dxfId="81" priority="752" operator="equal">
      <formula>$S$1</formula>
    </cfRule>
  </conditionalFormatting>
  <conditionalFormatting sqref="D55">
    <cfRule type="cellIs" dxfId="80" priority="749" operator="equal">
      <formula>$S$1</formula>
    </cfRule>
    <cfRule type="cellIs" dxfId="79" priority="750" operator="equal">
      <formula>$U$1</formula>
    </cfRule>
  </conditionalFormatting>
  <conditionalFormatting sqref="C89">
    <cfRule type="cellIs" dxfId="78" priority="747" operator="equal">
      <formula>$U$1</formula>
    </cfRule>
    <cfRule type="cellIs" dxfId="77" priority="748" operator="equal">
      <formula>$S$1</formula>
    </cfRule>
  </conditionalFormatting>
  <conditionalFormatting sqref="D89">
    <cfRule type="cellIs" dxfId="76" priority="745" operator="equal">
      <formula>$S$1</formula>
    </cfRule>
    <cfRule type="cellIs" dxfId="75" priority="746" operator="equal">
      <formula>$U$1</formula>
    </cfRule>
  </conditionalFormatting>
  <conditionalFormatting sqref="C136">
    <cfRule type="cellIs" dxfId="74" priority="743" operator="equal">
      <formula>$U$1</formula>
    </cfRule>
    <cfRule type="cellIs" dxfId="73" priority="744" operator="equal">
      <formula>$S$1</formula>
    </cfRule>
  </conditionalFormatting>
  <conditionalFormatting sqref="D136">
    <cfRule type="cellIs" dxfId="72" priority="741" operator="equal">
      <formula>$S$1</formula>
    </cfRule>
    <cfRule type="cellIs" dxfId="71" priority="742" operator="equal">
      <formula>$U$1</formula>
    </cfRule>
  </conditionalFormatting>
  <conditionalFormatting sqref="C1">
    <cfRule type="cellIs" dxfId="70" priority="740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0" zoomScale="90" zoomScaleNormal="90" workbookViewId="0">
      <pane xSplit="4" topLeftCell="AD1" activePane="topRight" state="frozen"/>
      <selection activeCell="A109" sqref="A109"/>
      <selection pane="topRight" activeCell="CK244" sqref="CK24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$A$243</v>
      </c>
      <c r="D111" s="1" t="str">
        <f>ADDRESS(C121-1,D121,1,1)</f>
        <v>$CK$243</v>
      </c>
      <c r="E111"/>
    </row>
    <row r="112" spans="1:5" x14ac:dyDescent="0.25">
      <c r="A112" s="30">
        <v>515.50191262726139</v>
      </c>
      <c r="C112" s="1" t="str">
        <f>ADDRESS(C121,1,1,1)</f>
        <v>$A$244</v>
      </c>
      <c r="D112" s="1" t="str">
        <f>ADDRESS(C121,D121-1,1,1)</f>
        <v>$CJ$244</v>
      </c>
      <c r="E112"/>
    </row>
    <row r="113" spans="1:5" x14ac:dyDescent="0.25">
      <c r="A113" s="30">
        <v>490.95420250215363</v>
      </c>
      <c r="C113" s="1" t="str">
        <f>ADDRESS(C121+1,1,1,1)</f>
        <v>$A$245</v>
      </c>
      <c r="D113" s="1" t="str">
        <f>ADDRESS(C121-1,D121+1,1,1)</f>
        <v>$CL$243</v>
      </c>
    </row>
    <row r="114" spans="1:5" x14ac:dyDescent="0.25">
      <c r="A114" s="30">
        <v>467.57543095443202</v>
      </c>
      <c r="C114" s="1" t="str">
        <f>ADDRESS(C121,D121,1,1)</f>
        <v>$CK$244</v>
      </c>
      <c r="D114" s="1" t="str">
        <f>ADDRESS(C121+1,D121+1,1,1)</f>
        <v>$CL$245</v>
      </c>
    </row>
    <row r="115" spans="1:5" x14ac:dyDescent="0.25">
      <c r="A115" s="30">
        <v>445.30993424231622</v>
      </c>
      <c r="C115" s="1" t="str">
        <f>ADDRESS(C121+1,D121,1,1)</f>
        <v>$CK$245</v>
      </c>
    </row>
    <row r="116" spans="1:5" x14ac:dyDescent="0.25">
      <c r="A116" s="30">
        <v>424.10469927839637</v>
      </c>
      <c r="C116" s="1">
        <f>C117-1</f>
        <v>243</v>
      </c>
    </row>
    <row r="117" spans="1:5" x14ac:dyDescent="0.25">
      <c r="A117" s="30">
        <v>403.9092374079965</v>
      </c>
      <c r="C117" s="1">
        <f>C121</f>
        <v>244</v>
      </c>
      <c r="D117" s="1">
        <f>D121</f>
        <v>89</v>
      </c>
    </row>
    <row r="118" spans="1:5" x14ac:dyDescent="0.25">
      <c r="A118" s="30">
        <v>384.6754641980919</v>
      </c>
      <c r="C118" s="1">
        <f>C117+1</f>
        <v>245</v>
      </c>
      <c r="D118" s="1">
        <f>D117+1</f>
        <v>90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244</v>
      </c>
      <c r="D121" s="19">
        <v>89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R244</v>
      </c>
      <c r="D123" s="1" t="str">
        <f>"C"&amp;D121</f>
        <v>C89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0.82270247479188063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83" x14ac:dyDescent="0.25">
      <c r="A209" s="30">
        <v>4.5380394939082018</v>
      </c>
      <c r="E209"/>
    </row>
    <row r="210" spans="1:83" x14ac:dyDescent="0.25">
      <c r="A210" s="30">
        <v>4.3219423751506678</v>
      </c>
      <c r="C210"/>
      <c r="E210" t="s">
        <v>8</v>
      </c>
    </row>
    <row r="211" spans="1:83" x14ac:dyDescent="0.25">
      <c r="A211" s="30">
        <v>4.1161355953815884</v>
      </c>
      <c r="E211" t="s">
        <v>8</v>
      </c>
      <c r="F211" s="27" t="s">
        <v>7</v>
      </c>
    </row>
    <row r="212" spans="1:83" x14ac:dyDescent="0.25">
      <c r="A212" s="30">
        <v>3.9201291384586554</v>
      </c>
      <c r="E212" t="s">
        <v>8</v>
      </c>
      <c r="F212" s="27" t="s">
        <v>7</v>
      </c>
      <c r="U212" s="27" t="s">
        <v>8</v>
      </c>
    </row>
    <row r="213" spans="1:83" x14ac:dyDescent="0.25">
      <c r="A213" s="30">
        <v>3.7334563223415764</v>
      </c>
      <c r="E213" t="s">
        <v>8</v>
      </c>
      <c r="F213" s="27" t="s">
        <v>7</v>
      </c>
      <c r="U213" s="27" t="s">
        <v>8</v>
      </c>
      <c r="V213" s="27" t="s">
        <v>7</v>
      </c>
    </row>
    <row r="214" spans="1:83" x14ac:dyDescent="0.25">
      <c r="A214" s="30">
        <v>3.5556726879443583</v>
      </c>
      <c r="E214" t="s">
        <v>8</v>
      </c>
      <c r="F214" s="27" t="s">
        <v>7</v>
      </c>
      <c r="U214" s="27" t="s">
        <v>8</v>
      </c>
      <c r="V214" s="27" t="s">
        <v>7</v>
      </c>
      <c r="Y214" s="27" t="s">
        <v>8</v>
      </c>
    </row>
    <row r="215" spans="1:83" x14ac:dyDescent="0.25">
      <c r="A215" s="30">
        <v>3.3863549408993889</v>
      </c>
      <c r="E215" t="s">
        <v>8</v>
      </c>
      <c r="F215" s="27" t="s">
        <v>7</v>
      </c>
      <c r="I215" s="27" t="s">
        <v>8</v>
      </c>
      <c r="U215" s="27" t="s">
        <v>8</v>
      </c>
      <c r="V215" s="27" t="s">
        <v>7</v>
      </c>
      <c r="W215" s="27" t="s">
        <v>8</v>
      </c>
      <c r="Y215" s="27" t="s">
        <v>8</v>
      </c>
      <c r="Z215" s="27" t="s">
        <v>7</v>
      </c>
    </row>
    <row r="216" spans="1:83" x14ac:dyDescent="0.25">
      <c r="A216" s="30">
        <v>3.2250999437137038</v>
      </c>
      <c r="E216" t="s">
        <v>8</v>
      </c>
      <c r="F216" s="27" t="s">
        <v>7</v>
      </c>
      <c r="I216" s="27" t="s">
        <v>8</v>
      </c>
      <c r="J216" s="27" t="s">
        <v>7</v>
      </c>
      <c r="K216" s="27" t="s">
        <v>8</v>
      </c>
      <c r="U216" s="27" t="s">
        <v>8</v>
      </c>
      <c r="V216" s="27" t="s">
        <v>7</v>
      </c>
      <c r="W216" s="27" t="s">
        <v>8</v>
      </c>
      <c r="X216" s="27" t="s">
        <v>7</v>
      </c>
      <c r="Y216" s="27" t="s">
        <v>8</v>
      </c>
      <c r="Z216" s="27" t="s">
        <v>7</v>
      </c>
    </row>
    <row r="217" spans="1:83" x14ac:dyDescent="0.25">
      <c r="A217" s="30">
        <v>3.0715237559178128</v>
      </c>
      <c r="E217" t="s">
        <v>8</v>
      </c>
      <c r="F217" s="27" t="s">
        <v>7</v>
      </c>
      <c r="I217" s="27" t="s">
        <v>8</v>
      </c>
      <c r="J217" s="27" t="s">
        <v>7</v>
      </c>
      <c r="K217" s="27" t="s">
        <v>8</v>
      </c>
      <c r="L217" s="27" t="s">
        <v>7</v>
      </c>
      <c r="S217" s="27" t="s">
        <v>8</v>
      </c>
      <c r="U217" s="27" t="s">
        <v>8</v>
      </c>
      <c r="V217" s="27" t="s">
        <v>7</v>
      </c>
      <c r="W217" s="27" t="s">
        <v>8</v>
      </c>
      <c r="X217" s="27" t="s">
        <v>7</v>
      </c>
      <c r="Y217" s="27" t="s">
        <v>8</v>
      </c>
      <c r="Z217" s="27" t="s">
        <v>7</v>
      </c>
      <c r="AE217" s="27" t="s">
        <v>8</v>
      </c>
      <c r="BO217" s="27" t="s">
        <v>8</v>
      </c>
      <c r="CA217" s="27" t="s">
        <v>8</v>
      </c>
    </row>
    <row r="218" spans="1:83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I218" s="27" t="s">
        <v>8</v>
      </c>
      <c r="J218" s="27" t="s">
        <v>7</v>
      </c>
      <c r="K218" s="27" t="s">
        <v>8</v>
      </c>
      <c r="L218" s="27" t="s">
        <v>7</v>
      </c>
      <c r="S218" s="27" t="s">
        <v>8</v>
      </c>
      <c r="T218" s="27" t="s">
        <v>7</v>
      </c>
      <c r="U218" s="27" t="s">
        <v>8</v>
      </c>
      <c r="V218" s="27" t="s">
        <v>7</v>
      </c>
      <c r="W218" s="27" t="s">
        <v>8</v>
      </c>
      <c r="X218" s="27" t="s">
        <v>7</v>
      </c>
      <c r="Y218" s="27" t="s">
        <v>8</v>
      </c>
      <c r="Z218" s="27" t="s">
        <v>7</v>
      </c>
      <c r="AE218" s="27" t="s">
        <v>8</v>
      </c>
      <c r="AF218" s="27" t="s">
        <v>7</v>
      </c>
      <c r="BO218" s="27" t="s">
        <v>8</v>
      </c>
      <c r="BP218" s="27" t="s">
        <v>7</v>
      </c>
      <c r="CA218" s="27" t="s">
        <v>8</v>
      </c>
      <c r="CB218" s="27" t="s">
        <v>7</v>
      </c>
    </row>
    <row r="219" spans="1:83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S219" s="27" t="s">
        <v>8</v>
      </c>
      <c r="T219" s="27" t="s">
        <v>7</v>
      </c>
      <c r="U219" s="27" t="s">
        <v>8</v>
      </c>
      <c r="V219" s="27" t="s">
        <v>7</v>
      </c>
      <c r="W219" s="27" t="s">
        <v>8</v>
      </c>
      <c r="X219" s="27" t="s">
        <v>7</v>
      </c>
      <c r="Y219" s="27" t="s">
        <v>8</v>
      </c>
      <c r="Z219" s="27" t="s">
        <v>7</v>
      </c>
      <c r="AE219" s="27" t="s">
        <v>8</v>
      </c>
      <c r="AF219" s="27" t="s">
        <v>7</v>
      </c>
      <c r="AG219" s="27" t="s">
        <v>8</v>
      </c>
      <c r="BO219" s="27" t="s">
        <v>8</v>
      </c>
      <c r="BP219" s="27" t="s">
        <v>7</v>
      </c>
      <c r="CA219" s="27" t="s">
        <v>8</v>
      </c>
      <c r="CB219" s="27" t="s">
        <v>7</v>
      </c>
    </row>
    <row r="220" spans="1:83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H220" s="27" t="s">
        <v>7</v>
      </c>
      <c r="I220" s="27" t="s">
        <v>8</v>
      </c>
      <c r="J220" s="27" t="s">
        <v>7</v>
      </c>
      <c r="K220" s="27" t="s">
        <v>8</v>
      </c>
      <c r="L220" s="27" t="s">
        <v>7</v>
      </c>
      <c r="S220" s="27" t="s">
        <v>8</v>
      </c>
      <c r="T220" s="27" t="s">
        <v>7</v>
      </c>
      <c r="U220" s="27" t="s">
        <v>8</v>
      </c>
      <c r="V220" s="27" t="s">
        <v>7</v>
      </c>
      <c r="W220" s="27" t="s">
        <v>8</v>
      </c>
      <c r="X220" s="27" t="s">
        <v>7</v>
      </c>
      <c r="Z220" s="27" t="s">
        <v>7</v>
      </c>
      <c r="AA220" s="27" t="s">
        <v>8</v>
      </c>
      <c r="AE220" s="27" t="s">
        <v>8</v>
      </c>
      <c r="AF220" s="27" t="s">
        <v>7</v>
      </c>
      <c r="AG220" s="27" t="s">
        <v>8</v>
      </c>
      <c r="AH220" s="27" t="s">
        <v>7</v>
      </c>
      <c r="BO220" s="27" t="s">
        <v>8</v>
      </c>
      <c r="BP220" s="27" t="s">
        <v>7</v>
      </c>
      <c r="CA220" s="27" t="s">
        <v>8</v>
      </c>
      <c r="CB220" s="27" t="s">
        <v>7</v>
      </c>
    </row>
    <row r="221" spans="1:83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H221" s="27" t="s">
        <v>7</v>
      </c>
      <c r="J221" s="27" t="s">
        <v>7</v>
      </c>
      <c r="L221" s="27" t="s">
        <v>7</v>
      </c>
      <c r="S221" s="27" t="s">
        <v>8</v>
      </c>
      <c r="T221" s="27" t="s">
        <v>7</v>
      </c>
      <c r="U221" s="27" t="s">
        <v>8</v>
      </c>
      <c r="V221" s="27" t="s">
        <v>7</v>
      </c>
      <c r="Z221" s="27" t="s">
        <v>7</v>
      </c>
      <c r="AA221" s="27" t="s">
        <v>8</v>
      </c>
      <c r="AB221" s="27" t="s">
        <v>7</v>
      </c>
      <c r="AC221" s="27" t="s">
        <v>8</v>
      </c>
      <c r="AE221" s="27" t="s">
        <v>8</v>
      </c>
      <c r="AF221" s="27" t="s">
        <v>7</v>
      </c>
      <c r="AG221" s="27" t="s">
        <v>8</v>
      </c>
      <c r="AH221" s="27" t="s">
        <v>7</v>
      </c>
      <c r="BO221" s="27" t="s">
        <v>8</v>
      </c>
      <c r="BP221" s="27" t="s">
        <v>7</v>
      </c>
      <c r="BY221" s="27" t="s">
        <v>8</v>
      </c>
      <c r="CA221" s="27" t="s">
        <v>8</v>
      </c>
      <c r="CB221" s="27" t="s">
        <v>7</v>
      </c>
    </row>
    <row r="222" spans="1:83" x14ac:dyDescent="0.25">
      <c r="A222" s="30">
        <v>2.4066192336910861</v>
      </c>
      <c r="E222" t="s">
        <v>8</v>
      </c>
      <c r="F222" s="27" t="s">
        <v>7</v>
      </c>
      <c r="L222" s="27" t="s">
        <v>7</v>
      </c>
      <c r="S222" s="27" t="s">
        <v>8</v>
      </c>
      <c r="T222" s="27" t="s">
        <v>7</v>
      </c>
      <c r="U222" s="27" t="s">
        <v>8</v>
      </c>
      <c r="Z222" s="27" t="s">
        <v>7</v>
      </c>
      <c r="AA222" s="27" t="s">
        <v>8</v>
      </c>
      <c r="AB222" s="27" t="s">
        <v>7</v>
      </c>
      <c r="AC222" s="27" t="s">
        <v>8</v>
      </c>
      <c r="AD222" s="27" t="s">
        <v>7</v>
      </c>
      <c r="AE222" s="27" t="s">
        <v>8</v>
      </c>
      <c r="AF222" s="27" t="s">
        <v>7</v>
      </c>
      <c r="AH222" s="27" t="s">
        <v>7</v>
      </c>
      <c r="BO222" s="27" t="s">
        <v>8</v>
      </c>
      <c r="BP222" s="27" t="s">
        <v>7</v>
      </c>
      <c r="BY222" s="27" t="s">
        <v>8</v>
      </c>
      <c r="BZ222" s="27" t="s">
        <v>7</v>
      </c>
      <c r="CA222" s="27" t="s">
        <v>8</v>
      </c>
      <c r="CB222" s="27" t="s">
        <v>7</v>
      </c>
    </row>
    <row r="223" spans="1:83" x14ac:dyDescent="0.25">
      <c r="A223" s="30">
        <v>2.2920183178010345</v>
      </c>
      <c r="E223" t="s">
        <v>8</v>
      </c>
      <c r="L223" s="27" t="s">
        <v>7</v>
      </c>
      <c r="S223" s="27" t="s">
        <v>8</v>
      </c>
      <c r="T223" s="27" t="s">
        <v>7</v>
      </c>
      <c r="U223" s="27" t="s">
        <v>8</v>
      </c>
      <c r="Z223" s="27" t="s">
        <v>7</v>
      </c>
      <c r="AA223" s="27" t="s">
        <v>8</v>
      </c>
      <c r="AB223" s="27" t="s">
        <v>7</v>
      </c>
      <c r="AC223" s="27" t="s">
        <v>8</v>
      </c>
      <c r="AD223" s="27" t="s">
        <v>7</v>
      </c>
      <c r="AE223" s="27" t="s">
        <v>8</v>
      </c>
      <c r="AH223" s="27" t="s">
        <v>7</v>
      </c>
      <c r="BO223" s="27" t="s">
        <v>8</v>
      </c>
      <c r="BP223" s="27" t="s">
        <v>7</v>
      </c>
      <c r="BY223" s="27" t="s">
        <v>8</v>
      </c>
      <c r="BZ223" s="27" t="s">
        <v>7</v>
      </c>
      <c r="CA223" s="27" t="s">
        <v>8</v>
      </c>
      <c r="CB223" s="27" t="s">
        <v>7</v>
      </c>
    </row>
    <row r="224" spans="1:83" x14ac:dyDescent="0.25">
      <c r="A224" s="30">
        <v>2.1828745883819374</v>
      </c>
      <c r="E224" t="s">
        <v>8</v>
      </c>
      <c r="L224" s="27" t="s">
        <v>7</v>
      </c>
      <c r="M224" s="27" t="s">
        <v>8</v>
      </c>
      <c r="O224" s="27" t="s">
        <v>8</v>
      </c>
      <c r="S224" s="27" t="s">
        <v>8</v>
      </c>
      <c r="T224" s="27" t="s">
        <v>7</v>
      </c>
      <c r="Z224" s="27" t="s">
        <v>7</v>
      </c>
      <c r="AB224" s="27" t="s">
        <v>7</v>
      </c>
      <c r="AC224" s="27" t="s">
        <v>8</v>
      </c>
      <c r="AD224" s="27" t="s">
        <v>7</v>
      </c>
      <c r="AH224" s="27" t="s">
        <v>7</v>
      </c>
      <c r="BO224" s="27" t="s">
        <v>8</v>
      </c>
      <c r="BP224" s="27" t="s">
        <v>7</v>
      </c>
      <c r="BQ224" s="27" t="s">
        <v>8</v>
      </c>
      <c r="BY224" s="27" t="s">
        <v>8</v>
      </c>
      <c r="BZ224" s="27" t="s">
        <v>7</v>
      </c>
      <c r="CA224" s="27" t="s">
        <v>8</v>
      </c>
      <c r="CB224" s="27" t="s">
        <v>7</v>
      </c>
      <c r="CE224" s="27" t="s">
        <v>8</v>
      </c>
    </row>
    <row r="225" spans="1:88" x14ac:dyDescent="0.25">
      <c r="A225" s="30">
        <v>2.0789281794113688</v>
      </c>
      <c r="E225" t="s">
        <v>8</v>
      </c>
      <c r="L225" s="27" t="s">
        <v>7</v>
      </c>
      <c r="M225" s="27" t="s">
        <v>8</v>
      </c>
      <c r="N225" s="27" t="s">
        <v>7</v>
      </c>
      <c r="O225" s="27" t="s">
        <v>8</v>
      </c>
      <c r="P225" s="27" t="s">
        <v>7</v>
      </c>
      <c r="Q225" s="27" t="s">
        <v>8</v>
      </c>
      <c r="S225" s="27" t="s">
        <v>8</v>
      </c>
      <c r="AB225" s="27" t="s">
        <v>7</v>
      </c>
      <c r="AC225" s="27" t="s">
        <v>8</v>
      </c>
      <c r="AH225" s="27" t="s">
        <v>7</v>
      </c>
      <c r="BO225" s="27" t="s">
        <v>8</v>
      </c>
      <c r="BP225" s="27" t="s">
        <v>7</v>
      </c>
      <c r="BQ225" s="27" t="s">
        <v>8</v>
      </c>
      <c r="BR225" s="27" t="s">
        <v>7</v>
      </c>
      <c r="BW225" s="27" t="s">
        <v>8</v>
      </c>
      <c r="BY225" s="27" t="s">
        <v>8</v>
      </c>
      <c r="BZ225" s="27" t="s">
        <v>7</v>
      </c>
      <c r="CA225" s="27" t="s">
        <v>8</v>
      </c>
      <c r="CB225" s="27" t="s">
        <v>7</v>
      </c>
      <c r="CE225" s="27" t="s">
        <v>8</v>
      </c>
      <c r="CF225" s="27" t="s">
        <v>7</v>
      </c>
    </row>
    <row r="226" spans="1:88" x14ac:dyDescent="0.25">
      <c r="A226" s="30">
        <v>1.9799315994393987</v>
      </c>
      <c r="E226" t="s">
        <v>8</v>
      </c>
      <c r="L226" s="27" t="s">
        <v>7</v>
      </c>
      <c r="M226" s="27" t="s">
        <v>8</v>
      </c>
      <c r="N226" s="27" t="s">
        <v>7</v>
      </c>
      <c r="O226" s="27" t="s">
        <v>8</v>
      </c>
      <c r="P226" s="27" t="s">
        <v>7</v>
      </c>
      <c r="Q226" s="27" t="s">
        <v>8</v>
      </c>
      <c r="R226" s="27" t="s">
        <v>7</v>
      </c>
      <c r="S226" s="27" t="s">
        <v>8</v>
      </c>
      <c r="AB226" s="27" t="s">
        <v>7</v>
      </c>
      <c r="AC226" s="27" t="s">
        <v>8</v>
      </c>
      <c r="AH226" s="27" t="s">
        <v>7</v>
      </c>
      <c r="AI226" s="27" t="s">
        <v>8</v>
      </c>
      <c r="BO226" s="27" t="s">
        <v>8</v>
      </c>
      <c r="BP226" s="27" t="s">
        <v>7</v>
      </c>
      <c r="BQ226" s="27" t="s">
        <v>8</v>
      </c>
      <c r="BR226" s="27" t="s">
        <v>7</v>
      </c>
      <c r="BW226" s="27" t="s">
        <v>8</v>
      </c>
      <c r="BX226" s="27" t="s">
        <v>7</v>
      </c>
      <c r="BY226" s="27" t="s">
        <v>8</v>
      </c>
      <c r="BZ226" s="27" t="s">
        <v>7</v>
      </c>
      <c r="CA226" s="27" t="s">
        <v>8</v>
      </c>
      <c r="CB226" s="27" t="s">
        <v>7</v>
      </c>
      <c r="CC226" s="27" t="s">
        <v>8</v>
      </c>
      <c r="CE226" s="27" t="s">
        <v>8</v>
      </c>
      <c r="CF226" s="27" t="s">
        <v>7</v>
      </c>
    </row>
    <row r="227" spans="1:88" x14ac:dyDescent="0.25">
      <c r="A227" s="30">
        <v>1.8856491423232367</v>
      </c>
      <c r="E227" t="s">
        <v>8</v>
      </c>
      <c r="L227" s="27" t="s">
        <v>7</v>
      </c>
      <c r="M227" s="27" t="s">
        <v>8</v>
      </c>
      <c r="N227" s="27" t="s">
        <v>7</v>
      </c>
      <c r="O227" s="27" t="s">
        <v>8</v>
      </c>
      <c r="P227" s="27" t="s">
        <v>7</v>
      </c>
      <c r="Q227" s="27" t="s">
        <v>8</v>
      </c>
      <c r="R227" s="27" t="s">
        <v>7</v>
      </c>
      <c r="S227" s="27" t="s">
        <v>8</v>
      </c>
      <c r="AB227" s="27" t="s">
        <v>7</v>
      </c>
      <c r="AC227" s="27" t="s">
        <v>8</v>
      </c>
      <c r="AH227" s="27" t="s">
        <v>7</v>
      </c>
      <c r="AI227" s="27" t="s">
        <v>8</v>
      </c>
      <c r="AJ227" s="27" t="s">
        <v>7</v>
      </c>
      <c r="BO227" s="27" t="s">
        <v>8</v>
      </c>
      <c r="BP227" s="27" t="s">
        <v>7</v>
      </c>
      <c r="BQ227" s="27" t="s">
        <v>8</v>
      </c>
      <c r="BR227" s="27" t="s">
        <v>7</v>
      </c>
      <c r="BS227" s="27" t="s">
        <v>8</v>
      </c>
      <c r="BW227" s="27" t="s">
        <v>8</v>
      </c>
      <c r="BX227" s="27" t="s">
        <v>7</v>
      </c>
      <c r="BY227" s="27" t="s">
        <v>8</v>
      </c>
      <c r="BZ227" s="27" t="s">
        <v>7</v>
      </c>
      <c r="CB227" s="27" t="s">
        <v>7</v>
      </c>
      <c r="CC227" s="27" t="s">
        <v>8</v>
      </c>
      <c r="CD227" s="27" t="s">
        <v>7</v>
      </c>
      <c r="CE227" s="27" t="s">
        <v>8</v>
      </c>
      <c r="CF227" s="27" t="s">
        <v>7</v>
      </c>
    </row>
    <row r="228" spans="1:88" x14ac:dyDescent="0.25">
      <c r="A228" s="30">
        <v>1.7958563260221301</v>
      </c>
      <c r="C228" s="7"/>
      <c r="D228"/>
      <c r="E228" t="s">
        <v>8</v>
      </c>
      <c r="L228" s="27" t="s">
        <v>7</v>
      </c>
      <c r="M228" s="27" t="s">
        <v>8</v>
      </c>
      <c r="N228" s="27" t="s">
        <v>7</v>
      </c>
      <c r="O228" s="27" t="s">
        <v>8</v>
      </c>
      <c r="P228" s="27" t="s">
        <v>7</v>
      </c>
      <c r="Q228" s="27" t="s">
        <v>8</v>
      </c>
      <c r="R228" s="27" t="s">
        <v>7</v>
      </c>
      <c r="AB228" s="27" t="s">
        <v>7</v>
      </c>
      <c r="AC228" s="27" t="s">
        <v>8</v>
      </c>
      <c r="AH228" s="27" t="s">
        <v>7</v>
      </c>
      <c r="AI228" s="27" t="s">
        <v>8</v>
      </c>
      <c r="AJ228" s="27" t="s">
        <v>7</v>
      </c>
      <c r="BO228" s="27" t="s">
        <v>8</v>
      </c>
      <c r="BP228" s="27" t="s">
        <v>7</v>
      </c>
      <c r="BR228" s="27" t="s">
        <v>7</v>
      </c>
      <c r="BS228" s="27" t="s">
        <v>8</v>
      </c>
      <c r="BT228" s="27" t="s">
        <v>7</v>
      </c>
      <c r="BW228" s="27" t="s">
        <v>8</v>
      </c>
      <c r="BX228" s="27" t="s">
        <v>7</v>
      </c>
      <c r="BY228" s="27" t="s">
        <v>8</v>
      </c>
      <c r="CB228" s="27" t="s">
        <v>7</v>
      </c>
      <c r="CC228" s="27" t="s">
        <v>8</v>
      </c>
      <c r="CD228" s="27" t="s">
        <v>7</v>
      </c>
      <c r="CE228" s="27" t="s">
        <v>8</v>
      </c>
      <c r="CF228" s="27" t="s">
        <v>7</v>
      </c>
      <c r="CG228" s="27" t="s">
        <v>8</v>
      </c>
    </row>
    <row r="229" spans="1:88" x14ac:dyDescent="0.25">
      <c r="A229" s="30">
        <v>1.7103393581163142</v>
      </c>
      <c r="E229" t="s">
        <v>8</v>
      </c>
      <c r="L229" s="27" t="s">
        <v>7</v>
      </c>
      <c r="M229" s="27" t="s">
        <v>8</v>
      </c>
      <c r="N229" s="27" t="s">
        <v>7</v>
      </c>
      <c r="O229" s="27" t="s">
        <v>8</v>
      </c>
      <c r="P229" s="27" t="s">
        <v>7</v>
      </c>
      <c r="AB229" s="27" t="s">
        <v>7</v>
      </c>
      <c r="AH229" s="27" t="s">
        <v>7</v>
      </c>
      <c r="AJ229" s="27" t="s">
        <v>7</v>
      </c>
      <c r="BI229" s="27" t="s">
        <v>8</v>
      </c>
      <c r="BO229" s="27" t="s">
        <v>8</v>
      </c>
      <c r="BR229" s="27" t="s">
        <v>7</v>
      </c>
      <c r="BS229" s="27" t="s">
        <v>8</v>
      </c>
      <c r="BT229" s="27" t="s">
        <v>7</v>
      </c>
      <c r="BW229" s="27" t="s">
        <v>8</v>
      </c>
      <c r="BX229" s="27" t="s">
        <v>7</v>
      </c>
      <c r="CB229" s="27" t="s">
        <v>7</v>
      </c>
      <c r="CC229" s="27" t="s">
        <v>8</v>
      </c>
      <c r="CD229" s="27" t="s">
        <v>7</v>
      </c>
      <c r="CE229" s="27" t="s">
        <v>8</v>
      </c>
      <c r="CF229" s="27" t="s">
        <v>7</v>
      </c>
      <c r="CG229" s="27" t="s">
        <v>8</v>
      </c>
      <c r="CH229" s="27" t="s">
        <v>7</v>
      </c>
    </row>
    <row r="230" spans="1:88" x14ac:dyDescent="0.25">
      <c r="A230" s="30">
        <v>1.628894626777442</v>
      </c>
      <c r="E230" t="s">
        <v>8</v>
      </c>
      <c r="L230" s="27" t="s">
        <v>7</v>
      </c>
      <c r="N230" s="27" t="s">
        <v>7</v>
      </c>
      <c r="O230" s="27" t="s">
        <v>8</v>
      </c>
      <c r="AJ230" s="27" t="s">
        <v>7</v>
      </c>
      <c r="BI230" s="27" t="s">
        <v>8</v>
      </c>
      <c r="BJ230" s="27" t="s">
        <v>7</v>
      </c>
      <c r="BO230" s="27" t="s">
        <v>8</v>
      </c>
      <c r="BR230" s="27" t="s">
        <v>7</v>
      </c>
      <c r="BS230" s="27" t="s">
        <v>8</v>
      </c>
      <c r="BT230" s="27" t="s">
        <v>7</v>
      </c>
      <c r="BU230" s="27" t="s">
        <v>8</v>
      </c>
      <c r="BW230" s="27" t="s">
        <v>8</v>
      </c>
      <c r="CB230" s="27" t="s">
        <v>7</v>
      </c>
      <c r="CD230" s="27" t="s">
        <v>7</v>
      </c>
      <c r="CF230" s="27" t="s">
        <v>7</v>
      </c>
      <c r="CG230" s="27" t="s">
        <v>8</v>
      </c>
      <c r="CH230" s="27" t="s">
        <v>7</v>
      </c>
    </row>
    <row r="231" spans="1:88" x14ac:dyDescent="0.25">
      <c r="A231" s="30">
        <v>1.5513282159785162</v>
      </c>
      <c r="C231"/>
      <c r="D231"/>
      <c r="E231" t="s">
        <v>8</v>
      </c>
      <c r="N231" s="27" t="s">
        <v>7</v>
      </c>
      <c r="O231" s="27" t="s">
        <v>8</v>
      </c>
      <c r="AJ231" s="27" t="s">
        <v>7</v>
      </c>
      <c r="BI231" s="27" t="s">
        <v>8</v>
      </c>
      <c r="BJ231" s="27" t="s">
        <v>7</v>
      </c>
      <c r="BO231" s="27" t="s">
        <v>8</v>
      </c>
      <c r="BR231" s="27" t="s">
        <v>7</v>
      </c>
      <c r="BS231" s="27" t="s">
        <v>8</v>
      </c>
      <c r="BT231" s="27" t="s">
        <v>7</v>
      </c>
      <c r="BU231" s="27" t="s">
        <v>8</v>
      </c>
      <c r="BV231" s="27" t="s">
        <v>7</v>
      </c>
      <c r="BW231" s="27" t="s">
        <v>8</v>
      </c>
      <c r="CF231" s="27" t="s">
        <v>7</v>
      </c>
      <c r="CG231" s="27" t="s">
        <v>8</v>
      </c>
      <c r="CH231" s="27" t="s">
        <v>7</v>
      </c>
    </row>
    <row r="232" spans="1:88" x14ac:dyDescent="0.25">
      <c r="A232" s="30">
        <v>1.477455443789063</v>
      </c>
      <c r="E232" t="s">
        <v>8</v>
      </c>
      <c r="N232" s="27" t="s">
        <v>7</v>
      </c>
      <c r="O232" s="27" t="s">
        <v>8</v>
      </c>
      <c r="AJ232" s="27" t="s">
        <v>7</v>
      </c>
      <c r="BI232" s="27" t="s">
        <v>8</v>
      </c>
      <c r="BJ232" s="27" t="s">
        <v>7</v>
      </c>
      <c r="BO232" s="27" t="s">
        <v>8</v>
      </c>
      <c r="BR232" s="27" t="s">
        <v>7</v>
      </c>
      <c r="BT232" s="27" t="s">
        <v>7</v>
      </c>
      <c r="BU232" s="27" t="s">
        <v>8</v>
      </c>
      <c r="BV232" s="27" t="s">
        <v>7</v>
      </c>
      <c r="BW232" s="27" t="s">
        <v>8</v>
      </c>
      <c r="CF232" s="27" t="s">
        <v>7</v>
      </c>
      <c r="CH232" s="27" t="s">
        <v>7</v>
      </c>
    </row>
    <row r="233" spans="1:88" x14ac:dyDescent="0.25">
      <c r="A233" s="30">
        <v>1.4071004226562505</v>
      </c>
      <c r="E233" t="s">
        <v>8</v>
      </c>
      <c r="N233" s="27" t="s">
        <v>7</v>
      </c>
      <c r="AJ233" s="27" t="s">
        <v>7</v>
      </c>
      <c r="AQ233" s="27" t="s">
        <v>8</v>
      </c>
      <c r="BG233" s="27" t="s">
        <v>8</v>
      </c>
      <c r="BI233" s="27" t="s">
        <v>8</v>
      </c>
      <c r="BJ233" s="27" t="s">
        <v>7</v>
      </c>
      <c r="BO233" s="27" t="s">
        <v>8</v>
      </c>
      <c r="BT233" s="27" t="s">
        <v>7</v>
      </c>
      <c r="BV233" s="27" t="s">
        <v>7</v>
      </c>
      <c r="BW233" s="27" t="s">
        <v>8</v>
      </c>
      <c r="CH233" s="27" t="s">
        <v>7</v>
      </c>
    </row>
    <row r="234" spans="1:88" x14ac:dyDescent="0.25">
      <c r="A234" s="30">
        <v>1.3400956406250004</v>
      </c>
      <c r="E234" t="s">
        <v>8</v>
      </c>
      <c r="AJ234" s="27" t="s">
        <v>7</v>
      </c>
      <c r="AK234" s="27" t="s">
        <v>8</v>
      </c>
      <c r="AQ234" s="27" t="s">
        <v>8</v>
      </c>
      <c r="AR234" s="27" t="s">
        <v>7</v>
      </c>
      <c r="AS234" s="27" t="s">
        <v>8</v>
      </c>
      <c r="BG234" s="27" t="s">
        <v>8</v>
      </c>
      <c r="BH234" s="27" t="s">
        <v>7</v>
      </c>
      <c r="BI234" s="27" t="s">
        <v>8</v>
      </c>
      <c r="BJ234" s="27" t="s">
        <v>7</v>
      </c>
      <c r="BO234" s="27" t="s">
        <v>8</v>
      </c>
      <c r="BV234" s="27" t="s">
        <v>7</v>
      </c>
      <c r="BW234" s="27" t="s">
        <v>8</v>
      </c>
      <c r="CH234" s="27" t="s">
        <v>7</v>
      </c>
    </row>
    <row r="235" spans="1:88" x14ac:dyDescent="0.25">
      <c r="A235" s="30">
        <v>1.2762815625000004</v>
      </c>
      <c r="C235"/>
      <c r="E235" t="s">
        <v>8</v>
      </c>
      <c r="AJ235" s="27" t="s">
        <v>7</v>
      </c>
      <c r="AK235" s="27" t="s">
        <v>8</v>
      </c>
      <c r="AL235" s="27" t="s">
        <v>7</v>
      </c>
      <c r="AQ235" s="27" t="s">
        <v>8</v>
      </c>
      <c r="AR235" s="27" t="s">
        <v>7</v>
      </c>
      <c r="AS235" s="27" t="s">
        <v>8</v>
      </c>
      <c r="AT235" s="27" t="s">
        <v>7</v>
      </c>
      <c r="BG235" s="27" t="s">
        <v>8</v>
      </c>
      <c r="BH235" s="27" t="s">
        <v>7</v>
      </c>
      <c r="BI235" s="27" t="s">
        <v>8</v>
      </c>
      <c r="BJ235" s="27" t="s">
        <v>7</v>
      </c>
      <c r="BK235" s="27" t="s">
        <v>8</v>
      </c>
      <c r="BO235" s="27" t="s">
        <v>8</v>
      </c>
      <c r="BV235" s="27" t="s">
        <v>7</v>
      </c>
      <c r="CH235" s="27" t="s">
        <v>7</v>
      </c>
    </row>
    <row r="236" spans="1:88" x14ac:dyDescent="0.25">
      <c r="A236" s="30">
        <v>1.2155062500000002</v>
      </c>
      <c r="E236" t="s">
        <v>8</v>
      </c>
      <c r="AJ236" s="27" t="s">
        <v>7</v>
      </c>
      <c r="AK236" s="27" t="s">
        <v>8</v>
      </c>
      <c r="AL236" s="27" t="s">
        <v>7</v>
      </c>
      <c r="AO236" s="27" t="s">
        <v>8</v>
      </c>
      <c r="AQ236" s="27" t="s">
        <v>8</v>
      </c>
      <c r="AR236" s="27" t="s">
        <v>7</v>
      </c>
      <c r="AS236" s="27" t="s">
        <v>8</v>
      </c>
      <c r="AT236" s="27" t="s">
        <v>7</v>
      </c>
      <c r="BG236" s="27" t="s">
        <v>8</v>
      </c>
      <c r="BH236" s="27" t="s">
        <v>7</v>
      </c>
      <c r="BI236" s="27" t="s">
        <v>8</v>
      </c>
      <c r="BJ236" s="27" t="s">
        <v>7</v>
      </c>
      <c r="BK236" s="27" t="s">
        <v>8</v>
      </c>
      <c r="BL236" s="27" t="s">
        <v>7</v>
      </c>
      <c r="BM236" s="27" t="s">
        <v>8</v>
      </c>
      <c r="BO236" s="27" t="s">
        <v>8</v>
      </c>
      <c r="CH236" s="27" t="s">
        <v>7</v>
      </c>
    </row>
    <row r="237" spans="1:8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AJ237" s="27" t="s">
        <v>7</v>
      </c>
      <c r="AK237" s="27" t="s">
        <v>8</v>
      </c>
      <c r="AL237" s="27" t="s">
        <v>7</v>
      </c>
      <c r="AO237" s="27" t="s">
        <v>8</v>
      </c>
      <c r="AP237" s="27" t="s">
        <v>7</v>
      </c>
      <c r="AQ237" s="27" t="s">
        <v>8</v>
      </c>
      <c r="AR237" s="27" t="s">
        <v>7</v>
      </c>
      <c r="AS237" s="27" t="s">
        <v>8</v>
      </c>
      <c r="AT237" s="27" t="s">
        <v>7</v>
      </c>
      <c r="AU237" s="27" t="s">
        <v>8</v>
      </c>
      <c r="BG237" s="27" t="s">
        <v>8</v>
      </c>
      <c r="BH237" s="27" t="s">
        <v>7</v>
      </c>
      <c r="BJ237" s="27" t="s">
        <v>7</v>
      </c>
      <c r="BK237" s="27" t="s">
        <v>8</v>
      </c>
      <c r="BL237" s="27" t="s">
        <v>7</v>
      </c>
      <c r="BM237" s="27" t="s">
        <v>8</v>
      </c>
      <c r="BN237" s="27" t="s">
        <v>7</v>
      </c>
      <c r="BO237" s="27" t="s">
        <v>8</v>
      </c>
      <c r="CH237" s="27" t="s">
        <v>7</v>
      </c>
      <c r="CI237" s="27" t="s">
        <v>8</v>
      </c>
    </row>
    <row r="238" spans="1:88" x14ac:dyDescent="0.25">
      <c r="A238" s="30">
        <v>1.1025</v>
      </c>
      <c r="E238" t="s">
        <v>8</v>
      </c>
      <c r="AJ238" s="27" t="s">
        <v>7</v>
      </c>
      <c r="AK238" s="27" t="s">
        <v>8</v>
      </c>
      <c r="AL238" s="27" t="s">
        <v>7</v>
      </c>
      <c r="AO238" s="27" t="s">
        <v>8</v>
      </c>
      <c r="AP238" s="27" t="s">
        <v>7</v>
      </c>
      <c r="AQ238" s="27" t="s">
        <v>8</v>
      </c>
      <c r="AR238" s="27" t="s">
        <v>7</v>
      </c>
      <c r="AT238" s="27" t="s">
        <v>7</v>
      </c>
      <c r="AU238" s="27" t="s">
        <v>8</v>
      </c>
      <c r="AV238" s="27" t="s">
        <v>7</v>
      </c>
      <c r="BG238" s="27" t="s">
        <v>8</v>
      </c>
      <c r="BJ238" s="27" t="s">
        <v>7</v>
      </c>
      <c r="BK238" s="27" t="s">
        <v>8</v>
      </c>
      <c r="BL238" s="27" t="s">
        <v>7</v>
      </c>
      <c r="BM238" s="27" t="s">
        <v>8</v>
      </c>
      <c r="BN238" s="27" t="s">
        <v>7</v>
      </c>
      <c r="BO238" s="27" t="s">
        <v>8</v>
      </c>
      <c r="CH238" s="27" t="s">
        <v>7</v>
      </c>
      <c r="CI238" s="27" t="s">
        <v>8</v>
      </c>
      <c r="CJ238" s="27" t="s">
        <v>7</v>
      </c>
    </row>
    <row r="239" spans="1:88" x14ac:dyDescent="0.25">
      <c r="A239" s="30">
        <v>1.05</v>
      </c>
      <c r="E239" t="s">
        <v>8</v>
      </c>
      <c r="AJ239" s="27" t="s">
        <v>7</v>
      </c>
      <c r="AK239" s="27" t="s">
        <v>8</v>
      </c>
      <c r="AL239" s="27" t="s">
        <v>7</v>
      </c>
      <c r="AM239" s="27" t="s">
        <v>8</v>
      </c>
      <c r="AO239" s="27" t="s">
        <v>8</v>
      </c>
      <c r="AP239" s="27" t="s">
        <v>7</v>
      </c>
      <c r="AQ239" s="27" t="s">
        <v>8</v>
      </c>
      <c r="AT239" s="27" t="s">
        <v>7</v>
      </c>
      <c r="AU239" s="27" t="s">
        <v>8</v>
      </c>
      <c r="AV239" s="27" t="s">
        <v>7</v>
      </c>
      <c r="BE239" s="27" t="s">
        <v>8</v>
      </c>
      <c r="BG239" s="27" t="s">
        <v>8</v>
      </c>
      <c r="BJ239" s="27" t="s">
        <v>7</v>
      </c>
      <c r="BK239" s="27" t="s">
        <v>8</v>
      </c>
      <c r="BL239" s="27" t="s">
        <v>7</v>
      </c>
      <c r="BM239" s="27" t="s">
        <v>8</v>
      </c>
      <c r="BN239" s="27" t="s">
        <v>7</v>
      </c>
      <c r="BO239" s="27" t="s">
        <v>8</v>
      </c>
      <c r="CH239" s="27" t="s">
        <v>7</v>
      </c>
      <c r="CI239" s="27" t="s">
        <v>8</v>
      </c>
      <c r="CJ239" s="27" t="s">
        <v>7</v>
      </c>
    </row>
    <row r="240" spans="1:88" x14ac:dyDescent="0.25">
      <c r="A240" s="30">
        <v>1</v>
      </c>
      <c r="E240" s="29" t="s">
        <v>8</v>
      </c>
      <c r="AJ240" s="27" t="s">
        <v>7</v>
      </c>
      <c r="AK240" s="27" t="s">
        <v>8</v>
      </c>
      <c r="AL240" s="27" t="s">
        <v>7</v>
      </c>
      <c r="AM240" s="27" t="s">
        <v>8</v>
      </c>
      <c r="AN240" s="27" t="s">
        <v>7</v>
      </c>
      <c r="AO240" s="27" t="s">
        <v>8</v>
      </c>
      <c r="AP240" s="27" t="s">
        <v>7</v>
      </c>
      <c r="AQ240" s="27" t="s">
        <v>8</v>
      </c>
      <c r="AT240" s="27" t="s">
        <v>7</v>
      </c>
      <c r="AU240" s="27" t="s">
        <v>8</v>
      </c>
      <c r="AV240" s="27" t="s">
        <v>7</v>
      </c>
      <c r="BC240" s="27" t="s">
        <v>8</v>
      </c>
      <c r="BE240" s="27" t="s">
        <v>8</v>
      </c>
      <c r="BF240" s="27" t="s">
        <v>7</v>
      </c>
      <c r="BG240" s="27" t="s">
        <v>8</v>
      </c>
      <c r="BJ240" s="27" t="s">
        <v>7</v>
      </c>
      <c r="BK240" s="27" t="s">
        <v>8</v>
      </c>
      <c r="BL240" s="27" t="s">
        <v>7</v>
      </c>
      <c r="BM240" s="27" t="s">
        <v>8</v>
      </c>
      <c r="BN240" s="27" t="s">
        <v>7</v>
      </c>
      <c r="BO240" s="27" t="s">
        <v>8</v>
      </c>
      <c r="CH240" s="27" t="s">
        <v>7</v>
      </c>
      <c r="CJ240" s="27" t="s">
        <v>7</v>
      </c>
    </row>
    <row r="241" spans="1:89" x14ac:dyDescent="0.25">
      <c r="A241" s="30">
        <v>0.952380952380952</v>
      </c>
      <c r="B241"/>
      <c r="C241"/>
      <c r="D241"/>
      <c r="E241"/>
      <c r="AJ241" s="27" t="s">
        <v>7</v>
      </c>
      <c r="AK241" s="27" t="s">
        <v>8</v>
      </c>
      <c r="AL241" s="27" t="s">
        <v>7</v>
      </c>
      <c r="AM241" s="27" t="s">
        <v>8</v>
      </c>
      <c r="AN241" s="27" t="s">
        <v>7</v>
      </c>
      <c r="AO241" s="27" t="s">
        <v>8</v>
      </c>
      <c r="AP241" s="27" t="s">
        <v>7</v>
      </c>
      <c r="AQ241" s="27" t="s">
        <v>8</v>
      </c>
      <c r="AT241" s="27" t="s">
        <v>7</v>
      </c>
      <c r="AU241" s="27" t="s">
        <v>8</v>
      </c>
      <c r="AV241" s="27" t="s">
        <v>7</v>
      </c>
      <c r="BC241" s="27" t="s">
        <v>8</v>
      </c>
      <c r="BD241" s="27" t="s">
        <v>7</v>
      </c>
      <c r="BE241" s="27" t="s">
        <v>8</v>
      </c>
      <c r="BF241" s="27" t="s">
        <v>7</v>
      </c>
      <c r="BG241" s="27" t="s">
        <v>8</v>
      </c>
      <c r="BJ241" s="27" t="s">
        <v>7</v>
      </c>
      <c r="BK241" s="27" t="s">
        <v>8</v>
      </c>
      <c r="BL241" s="27" t="s">
        <v>7</v>
      </c>
      <c r="BM241" s="27" t="s">
        <v>8</v>
      </c>
      <c r="BN241" s="27" t="s">
        <v>7</v>
      </c>
      <c r="CJ241" s="27" t="s">
        <v>7</v>
      </c>
    </row>
    <row r="242" spans="1:89" x14ac:dyDescent="0.25">
      <c r="A242" s="30">
        <v>0.90702947845804915</v>
      </c>
      <c r="B242"/>
      <c r="C242"/>
      <c r="D242"/>
      <c r="E242"/>
      <c r="AJ242" s="27" t="s">
        <v>7</v>
      </c>
      <c r="AK242" s="27" t="s">
        <v>8</v>
      </c>
      <c r="AL242" s="27" t="s">
        <v>7</v>
      </c>
      <c r="AN242" s="27" t="s">
        <v>7</v>
      </c>
      <c r="AO242" s="27" t="s">
        <v>8</v>
      </c>
      <c r="AP242" s="27" t="s">
        <v>7</v>
      </c>
      <c r="AT242" s="27" t="s">
        <v>7</v>
      </c>
      <c r="AV242" s="27" t="s">
        <v>7</v>
      </c>
      <c r="BC242" s="32" t="s">
        <v>8</v>
      </c>
      <c r="BD242" s="27" t="s">
        <v>7</v>
      </c>
      <c r="BE242" s="27" t="s">
        <v>8</v>
      </c>
      <c r="BF242" s="27" t="s">
        <v>7</v>
      </c>
      <c r="BJ242" s="27" t="s">
        <v>7</v>
      </c>
      <c r="BL242" s="27" t="s">
        <v>7</v>
      </c>
      <c r="BM242" s="27" t="s">
        <v>8</v>
      </c>
      <c r="CJ242" s="27" t="s">
        <v>7</v>
      </c>
    </row>
    <row r="243" spans="1:89" x14ac:dyDescent="0.25">
      <c r="A243" s="30">
        <v>0.86383759853147501</v>
      </c>
      <c r="B243"/>
      <c r="C243"/>
      <c r="D243"/>
      <c r="E243"/>
      <c r="AJ243" s="27" t="s">
        <v>7</v>
      </c>
      <c r="AK243" s="27" t="s">
        <v>8</v>
      </c>
      <c r="AN243" s="27" t="s">
        <v>7</v>
      </c>
      <c r="AO243" s="27" t="s">
        <v>8</v>
      </c>
      <c r="AV243" s="27" t="s">
        <v>7</v>
      </c>
      <c r="BA243" s="27" t="s">
        <v>8</v>
      </c>
      <c r="BC243" s="27" t="s">
        <v>8</v>
      </c>
      <c r="BD243" s="27" t="s">
        <v>7</v>
      </c>
      <c r="BE243" s="27" t="s">
        <v>8</v>
      </c>
      <c r="BL243" s="27" t="s">
        <v>7</v>
      </c>
      <c r="BM243" s="27" t="s">
        <v>8</v>
      </c>
      <c r="CJ243" s="27" t="s">
        <v>7</v>
      </c>
    </row>
    <row r="244" spans="1:89" x14ac:dyDescent="0.25">
      <c r="A244" s="30">
        <v>0.82270247479188063</v>
      </c>
      <c r="B244"/>
      <c r="C244"/>
      <c r="D244"/>
      <c r="E244"/>
      <c r="AJ244" s="27" t="s">
        <v>7</v>
      </c>
      <c r="AN244" s="27" t="s">
        <v>7</v>
      </c>
      <c r="AO244" s="27" t="s">
        <v>8</v>
      </c>
      <c r="AV244" s="27" t="s">
        <v>7</v>
      </c>
      <c r="AY244" s="27" t="s">
        <v>8</v>
      </c>
      <c r="BA244" s="27" t="s">
        <v>8</v>
      </c>
      <c r="BB244" s="27" t="s">
        <v>7</v>
      </c>
      <c r="BC244" s="27" t="s">
        <v>8</v>
      </c>
      <c r="BD244" s="27" t="s">
        <v>7</v>
      </c>
      <c r="BL244" s="27" t="s">
        <v>7</v>
      </c>
      <c r="CJ244" s="27" t="s">
        <v>7</v>
      </c>
      <c r="CK244" s="27" t="s">
        <v>8</v>
      </c>
    </row>
    <row r="245" spans="1:89" x14ac:dyDescent="0.25">
      <c r="A245" s="30">
        <v>0.78352616646845741</v>
      </c>
      <c r="B245"/>
      <c r="C245"/>
      <c r="D245"/>
      <c r="E245"/>
      <c r="AN245" s="27" t="s">
        <v>7</v>
      </c>
      <c r="AO245" s="27" t="s">
        <v>8</v>
      </c>
      <c r="AV245" s="27" t="s">
        <v>7</v>
      </c>
      <c r="AW245" s="27" t="s">
        <v>8</v>
      </c>
      <c r="AY245" s="27" t="s">
        <v>8</v>
      </c>
      <c r="AZ245" s="27" t="s">
        <v>7</v>
      </c>
      <c r="BA245" s="27" t="s">
        <v>8</v>
      </c>
      <c r="BB245" s="27" t="s">
        <v>7</v>
      </c>
      <c r="BC245" s="27" t="s">
        <v>8</v>
      </c>
      <c r="CJ245" s="27" t="s">
        <v>7</v>
      </c>
      <c r="CK245" s="27" t="s">
        <v>8</v>
      </c>
    </row>
    <row r="246" spans="1:89" x14ac:dyDescent="0.25">
      <c r="A246" s="30">
        <v>0.74621539663662584</v>
      </c>
      <c r="B246"/>
      <c r="C246"/>
      <c r="D246"/>
      <c r="E246"/>
      <c r="AN246" s="27" t="s">
        <v>7</v>
      </c>
      <c r="AO246" s="27" t="s">
        <v>8</v>
      </c>
      <c r="AV246" s="27" t="s">
        <v>7</v>
      </c>
      <c r="AW246" s="27" t="s">
        <v>8</v>
      </c>
      <c r="AX246" s="27" t="s">
        <v>7</v>
      </c>
      <c r="AY246" s="27" t="s">
        <v>8</v>
      </c>
      <c r="AZ246" s="27" t="s">
        <v>7</v>
      </c>
      <c r="BA246" s="27" t="s">
        <v>8</v>
      </c>
      <c r="BB246" s="27" t="s">
        <v>7</v>
      </c>
      <c r="BC246" s="27" t="s">
        <v>8</v>
      </c>
      <c r="CJ246" s="27" t="s">
        <v>7</v>
      </c>
      <c r="CK246" s="27" t="s">
        <v>8</v>
      </c>
    </row>
    <row r="247" spans="1:89" x14ac:dyDescent="0.25">
      <c r="A247" s="30">
        <v>0.71068133013011958</v>
      </c>
      <c r="B247"/>
      <c r="C247"/>
      <c r="D247"/>
      <c r="E247"/>
      <c r="AN247" s="27" t="s">
        <v>7</v>
      </c>
      <c r="AO247" s="27" t="s">
        <v>8</v>
      </c>
      <c r="AV247" s="27" t="s">
        <v>7</v>
      </c>
      <c r="AW247" s="27" t="s">
        <v>8</v>
      </c>
      <c r="AX247" s="27" t="s">
        <v>7</v>
      </c>
      <c r="AY247" s="27" t="s">
        <v>8</v>
      </c>
      <c r="AZ247" s="27" t="s">
        <v>7</v>
      </c>
      <c r="BA247" s="27" t="s">
        <v>8</v>
      </c>
      <c r="BB247" s="18" t="s">
        <v>7</v>
      </c>
      <c r="BC247" s="27" t="s">
        <v>8</v>
      </c>
      <c r="CJ247" s="27" t="s">
        <v>7</v>
      </c>
      <c r="CK247" s="27" t="s">
        <v>8</v>
      </c>
    </row>
    <row r="248" spans="1:89" x14ac:dyDescent="0.25">
      <c r="A248" s="30">
        <v>0.676839362028685</v>
      </c>
      <c r="B248"/>
      <c r="C248"/>
      <c r="D248"/>
      <c r="E248"/>
      <c r="AN248" s="27" t="s">
        <v>7</v>
      </c>
      <c r="AO248" s="27" t="s">
        <v>8</v>
      </c>
      <c r="AV248" s="27" t="s">
        <v>7</v>
      </c>
      <c r="AW248" s="27" t="s">
        <v>8</v>
      </c>
      <c r="AX248" s="27" t="s">
        <v>7</v>
      </c>
      <c r="AY248" s="27" t="s">
        <v>8</v>
      </c>
      <c r="AZ248" s="27" t="s">
        <v>7</v>
      </c>
      <c r="BB248" s="27" t="s">
        <v>7</v>
      </c>
      <c r="BC248" s="27" t="s">
        <v>8</v>
      </c>
      <c r="CJ248" s="27" t="s">
        <v>7</v>
      </c>
      <c r="CK248" s="27" t="s">
        <v>8</v>
      </c>
    </row>
    <row r="249" spans="1:89" x14ac:dyDescent="0.25">
      <c r="A249" s="30">
        <v>0.64460891621779492</v>
      </c>
      <c r="B249"/>
      <c r="C249"/>
      <c r="D249"/>
      <c r="E249"/>
      <c r="AN249" s="27" t="s">
        <v>7</v>
      </c>
      <c r="AV249" s="27" t="s">
        <v>7</v>
      </c>
      <c r="AW249" s="27" t="s">
        <v>8</v>
      </c>
      <c r="AX249" s="27" t="s">
        <v>7</v>
      </c>
      <c r="AY249" s="27" t="s">
        <v>8</v>
      </c>
      <c r="BB249" s="31" t="s">
        <v>7</v>
      </c>
      <c r="BC249" s="27" t="s">
        <v>8</v>
      </c>
      <c r="CJ249" s="27" t="s">
        <v>7</v>
      </c>
    </row>
    <row r="250" spans="1:89" x14ac:dyDescent="0.25">
      <c r="A250" s="30">
        <v>0.61391325354075688</v>
      </c>
      <c r="B250"/>
      <c r="C250"/>
      <c r="D250"/>
      <c r="E250"/>
      <c r="AV250" s="27" t="s">
        <v>7</v>
      </c>
      <c r="AX250" s="27" t="s">
        <v>7</v>
      </c>
      <c r="BB250" s="27" t="s">
        <v>7</v>
      </c>
    </row>
    <row r="251" spans="1:89" x14ac:dyDescent="0.25">
      <c r="A251" s="30">
        <v>0.58467928908643485</v>
      </c>
      <c r="B251"/>
      <c r="C251"/>
      <c r="D251"/>
      <c r="E251"/>
    </row>
    <row r="252" spans="1:89" x14ac:dyDescent="0.25">
      <c r="A252" s="30">
        <v>0.55683741817755672</v>
      </c>
      <c r="B252"/>
      <c r="C252"/>
      <c r="D252"/>
      <c r="E252"/>
    </row>
    <row r="253" spans="1:89" x14ac:dyDescent="0.25">
      <c r="A253" s="30">
        <v>0.53032135064529184</v>
      </c>
      <c r="B253"/>
      <c r="C253"/>
      <c r="D253"/>
      <c r="E253"/>
    </row>
    <row r="254" spans="1:89" x14ac:dyDescent="0.25">
      <c r="A254" s="30">
        <v>0.50506795299551588</v>
      </c>
      <c r="B254"/>
      <c r="C254"/>
      <c r="D254"/>
      <c r="E254"/>
    </row>
    <row r="255" spans="1:89" x14ac:dyDescent="0.25">
      <c r="A255" s="30">
        <v>0.48101709809096732</v>
      </c>
      <c r="E255"/>
    </row>
    <row r="256" spans="1:89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74" operator="equal">
      <formula>$U$1</formula>
    </cfRule>
    <cfRule type="cellIs" dxfId="67" priority="775" operator="equal">
      <formula>$S$1</formula>
    </cfRule>
  </conditionalFormatting>
  <conditionalFormatting sqref="D136">
    <cfRule type="cellIs" dxfId="66" priority="772" operator="equal">
      <formula>$S$1</formula>
    </cfRule>
    <cfRule type="cellIs" dxfId="65" priority="773" operator="equal">
      <formula>$U$1</formula>
    </cfRule>
  </conditionalFormatting>
  <conditionalFormatting sqref="C162">
    <cfRule type="cellIs" dxfId="64" priority="770" operator="equal">
      <formula>$U$1</formula>
    </cfRule>
    <cfRule type="cellIs" dxfId="63" priority="771" operator="equal">
      <formula>$S$1</formula>
    </cfRule>
  </conditionalFormatting>
  <conditionalFormatting sqref="D162">
    <cfRule type="cellIs" dxfId="62" priority="768" operator="equal">
      <formula>$S$1</formula>
    </cfRule>
    <cfRule type="cellIs" dxfId="61" priority="769" operator="equal">
      <formula>$U$1</formula>
    </cfRule>
  </conditionalFormatting>
  <conditionalFormatting sqref="C187">
    <cfRule type="cellIs" dxfId="60" priority="766" operator="equal">
      <formula>$U$1</formula>
    </cfRule>
    <cfRule type="cellIs" dxfId="59" priority="767" operator="equal">
      <formula>$S$1</formula>
    </cfRule>
  </conditionalFormatting>
  <conditionalFormatting sqref="D187">
    <cfRule type="cellIs" dxfId="58" priority="764" operator="equal">
      <formula>$S$1</formula>
    </cfRule>
    <cfRule type="cellIs" dxfId="57" priority="765" operator="equal">
      <formula>$U$1</formula>
    </cfRule>
  </conditionalFormatting>
  <conditionalFormatting sqref="C212">
    <cfRule type="cellIs" dxfId="56" priority="762" operator="equal">
      <formula>$U$1</formula>
    </cfRule>
    <cfRule type="cellIs" dxfId="55" priority="763" operator="equal">
      <formula>$S$1</formula>
    </cfRule>
  </conditionalFormatting>
  <conditionalFormatting sqref="D212">
    <cfRule type="cellIs" dxfId="54" priority="760" operator="equal">
      <formula>$S$1</formula>
    </cfRule>
    <cfRule type="cellIs" dxfId="53" priority="761" operator="equal">
      <formula>$U$1</formula>
    </cfRule>
  </conditionalFormatting>
  <conditionalFormatting sqref="C237">
    <cfRule type="cellIs" dxfId="52" priority="758" operator="equal">
      <formula>$U$1</formula>
    </cfRule>
    <cfRule type="cellIs" dxfId="51" priority="759" operator="equal">
      <formula>$S$1</formula>
    </cfRule>
  </conditionalFormatting>
  <conditionalFormatting sqref="D237">
    <cfRule type="cellIs" dxfId="50" priority="756" operator="equal">
      <formula>$S$1</formula>
    </cfRule>
    <cfRule type="cellIs" dxfId="49" priority="757" operator="equal">
      <formula>$U$1</formula>
    </cfRule>
  </conditionalFormatting>
  <conditionalFormatting sqref="C106">
    <cfRule type="cellIs" dxfId="48" priority="754" operator="equal">
      <formula>$U$1</formula>
    </cfRule>
    <cfRule type="cellIs" dxfId="47" priority="755" operator="equal">
      <formula>$S$1</formula>
    </cfRule>
  </conditionalFormatting>
  <conditionalFormatting sqref="D106">
    <cfRule type="cellIs" dxfId="46" priority="752" operator="equal">
      <formula>$S$1</formula>
    </cfRule>
    <cfRule type="cellIs" dxfId="45" priority="753" operator="equal">
      <formula>$U$1</formula>
    </cfRule>
  </conditionalFormatting>
  <conditionalFormatting sqref="C81">
    <cfRule type="cellIs" dxfId="44" priority="750" operator="equal">
      <formula>$U$1</formula>
    </cfRule>
    <cfRule type="cellIs" dxfId="43" priority="751" operator="equal">
      <formula>$S$1</formula>
    </cfRule>
  </conditionalFormatting>
  <conditionalFormatting sqref="D81">
    <cfRule type="cellIs" dxfId="42" priority="748" operator="equal">
      <formula>$S$1</formula>
    </cfRule>
    <cfRule type="cellIs" dxfId="41" priority="749" operator="equal">
      <formula>$U$1</formula>
    </cfRule>
  </conditionalFormatting>
  <conditionalFormatting sqref="C56">
    <cfRule type="cellIs" dxfId="40" priority="746" operator="equal">
      <formula>$U$1</formula>
    </cfRule>
    <cfRule type="cellIs" dxfId="39" priority="747" operator="equal">
      <formula>$S$1</formula>
    </cfRule>
  </conditionalFormatting>
  <conditionalFormatting sqref="D56">
    <cfRule type="cellIs" dxfId="38" priority="744" operator="equal">
      <formula>$S$1</formula>
    </cfRule>
    <cfRule type="cellIs" dxfId="37" priority="745" operator="equal">
      <formula>$U$1</formula>
    </cfRule>
  </conditionalFormatting>
  <conditionalFormatting sqref="C31">
    <cfRule type="cellIs" dxfId="36" priority="742" operator="equal">
      <formula>$U$1</formula>
    </cfRule>
    <cfRule type="cellIs" dxfId="35" priority="743" operator="equal">
      <formula>$S$1</formula>
    </cfRule>
  </conditionalFormatting>
  <conditionalFormatting sqref="D31">
    <cfRule type="cellIs" dxfId="34" priority="740" operator="equal">
      <formula>$S$1</formula>
    </cfRule>
    <cfRule type="cellIs" dxfId="33" priority="741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J125" sqref="AJ12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4" x14ac:dyDescent="0.25">
      <c r="A97" s="30">
        <v>9.849732675807628</v>
      </c>
      <c r="E97"/>
    </row>
    <row r="98" spans="1:34" x14ac:dyDescent="0.25">
      <c r="A98" s="30">
        <v>8.9543024325523888</v>
      </c>
      <c r="C98" s="1" t="s">
        <v>13</v>
      </c>
      <c r="E98"/>
    </row>
    <row r="99" spans="1:34" x14ac:dyDescent="0.25">
      <c r="A99" s="30">
        <v>8.140274938683989</v>
      </c>
      <c r="C99" s="1">
        <f>C88</f>
        <v>0</v>
      </c>
      <c r="E99"/>
    </row>
    <row r="100" spans="1:34" x14ac:dyDescent="0.25">
      <c r="A100" s="30">
        <v>7.4002499442581717</v>
      </c>
      <c r="C100"/>
      <c r="D100"/>
      <c r="E100"/>
    </row>
    <row r="101" spans="1:34" x14ac:dyDescent="0.25">
      <c r="A101" s="30">
        <v>6.72749994932561</v>
      </c>
      <c r="C101" s="1" t="s">
        <v>14</v>
      </c>
      <c r="E101"/>
    </row>
    <row r="102" spans="1:3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4" x14ac:dyDescent="0.25">
      <c r="A103" s="30">
        <v>5.5599173134922388</v>
      </c>
      <c r="E103"/>
    </row>
    <row r="104" spans="1:34" x14ac:dyDescent="0.25">
      <c r="A104" s="30">
        <v>5.0544702849929442</v>
      </c>
      <c r="E104"/>
    </row>
    <row r="105" spans="1:34" x14ac:dyDescent="0.25">
      <c r="A105" s="30">
        <v>4.594972986357222</v>
      </c>
      <c r="E105"/>
    </row>
    <row r="106" spans="1:34" x14ac:dyDescent="0.25">
      <c r="A106" s="30">
        <v>4.1772481694156562</v>
      </c>
      <c r="E106" t="s">
        <v>8</v>
      </c>
    </row>
    <row r="107" spans="1:34" x14ac:dyDescent="0.25">
      <c r="A107" s="30">
        <v>3.7974983358324148</v>
      </c>
      <c r="E107" t="s">
        <v>8</v>
      </c>
      <c r="F107" s="27" t="s">
        <v>7</v>
      </c>
      <c r="K107" s="27" t="s">
        <v>8</v>
      </c>
    </row>
    <row r="108" spans="1:34" x14ac:dyDescent="0.25">
      <c r="A108" s="30">
        <v>3.4522712143931042</v>
      </c>
      <c r="E108" t="s">
        <v>8</v>
      </c>
      <c r="F108" s="27" t="s">
        <v>7</v>
      </c>
      <c r="K108" s="27" t="s">
        <v>8</v>
      </c>
      <c r="L108" s="27" t="s">
        <v>7</v>
      </c>
      <c r="M108" s="27" t="s">
        <v>8</v>
      </c>
    </row>
    <row r="109" spans="1:34" x14ac:dyDescent="0.25">
      <c r="A109" s="30">
        <v>3.1384283767210035</v>
      </c>
      <c r="E109" t="s">
        <v>8</v>
      </c>
      <c r="F109" s="27" t="s">
        <v>7</v>
      </c>
      <c r="I109" s="27" t="s">
        <v>8</v>
      </c>
      <c r="K109" s="27" t="s">
        <v>8</v>
      </c>
      <c r="L109" s="27" t="s">
        <v>7</v>
      </c>
      <c r="M109" s="27" t="s">
        <v>8</v>
      </c>
      <c r="N109" s="27" t="s">
        <v>7</v>
      </c>
      <c r="AC109" s="27" t="s">
        <v>8</v>
      </c>
    </row>
    <row r="110" spans="1:34" x14ac:dyDescent="0.25">
      <c r="A110" s="30">
        <v>2.8531167061100029</v>
      </c>
      <c r="E110" t="s">
        <v>8</v>
      </c>
      <c r="F110" s="27" t="s">
        <v>7</v>
      </c>
      <c r="I110" s="27" t="s">
        <v>8</v>
      </c>
      <c r="J110" s="27" t="s">
        <v>7</v>
      </c>
      <c r="K110" s="27" t="s">
        <v>8</v>
      </c>
      <c r="L110" s="27" t="s">
        <v>7</v>
      </c>
      <c r="M110" s="27" t="s">
        <v>8</v>
      </c>
      <c r="N110" s="27" t="s">
        <v>7</v>
      </c>
      <c r="O110" s="27" t="s">
        <v>8</v>
      </c>
      <c r="AC110" s="27" t="s">
        <v>8</v>
      </c>
      <c r="AD110" s="27" t="s">
        <v>7</v>
      </c>
      <c r="AG110" s="27" t="s">
        <v>8</v>
      </c>
    </row>
    <row r="111" spans="1:34" x14ac:dyDescent="0.25">
      <c r="A111" s="30">
        <v>2.5937424601000023</v>
      </c>
      <c r="C111" s="1" t="str">
        <f>ADDRESS(C121-1,1,1,1)</f>
        <v>$A$124</v>
      </c>
      <c r="D111" s="1" t="str">
        <f>ADDRESS(C121-1,D121,1,1)</f>
        <v>$AJ$124</v>
      </c>
      <c r="E111" t="s">
        <v>8</v>
      </c>
      <c r="F111" s="27" t="s">
        <v>7</v>
      </c>
      <c r="I111" s="27" t="s">
        <v>8</v>
      </c>
      <c r="J111" s="27" t="s">
        <v>7</v>
      </c>
      <c r="K111" s="27" t="s">
        <v>8</v>
      </c>
      <c r="L111" s="27" t="s">
        <v>7</v>
      </c>
      <c r="N111" s="27" t="s">
        <v>7</v>
      </c>
      <c r="O111" s="27" t="s">
        <v>8</v>
      </c>
      <c r="P111" s="27" t="s">
        <v>7</v>
      </c>
      <c r="AC111" s="27" t="s">
        <v>8</v>
      </c>
      <c r="AD111" s="27" t="s">
        <v>7</v>
      </c>
      <c r="AE111" s="27" t="s">
        <v>8</v>
      </c>
      <c r="AG111" s="27" t="s">
        <v>8</v>
      </c>
      <c r="AH111" s="27" t="s">
        <v>7</v>
      </c>
    </row>
    <row r="112" spans="1:34" x14ac:dyDescent="0.25">
      <c r="A112" s="30">
        <v>2.3579476910000019</v>
      </c>
      <c r="C112" s="1" t="str">
        <f>ADDRESS(C121,1,1,1)</f>
        <v>$A$125</v>
      </c>
      <c r="D112" s="1" t="str">
        <f>ADDRESS(C121,D121-1,1,1)</f>
        <v>$AI$125</v>
      </c>
      <c r="E112" t="s">
        <v>8</v>
      </c>
      <c r="F112" s="27" t="s">
        <v>7</v>
      </c>
      <c r="I112" s="27" t="s">
        <v>8</v>
      </c>
      <c r="J112" s="27" t="s">
        <v>7</v>
      </c>
      <c r="K112" s="27" t="s">
        <v>8</v>
      </c>
      <c r="N112" s="27" t="s">
        <v>7</v>
      </c>
      <c r="O112" s="27" t="s">
        <v>8</v>
      </c>
      <c r="P112" s="27" t="s">
        <v>7</v>
      </c>
      <c r="AC112" s="27" t="s">
        <v>8</v>
      </c>
      <c r="AD112" s="27" t="s">
        <v>7</v>
      </c>
      <c r="AE112" s="27" t="s">
        <v>8</v>
      </c>
      <c r="AF112" s="27" t="s">
        <v>7</v>
      </c>
      <c r="AG112" s="27" t="s">
        <v>8</v>
      </c>
      <c r="AH112" s="27" t="s">
        <v>7</v>
      </c>
    </row>
    <row r="113" spans="1:36" x14ac:dyDescent="0.25">
      <c r="A113" s="30">
        <v>2.1435888100000016</v>
      </c>
      <c r="C113" s="1" t="str">
        <f>ADDRESS(C121+1,1,1,1)</f>
        <v>$A$126</v>
      </c>
      <c r="D113" s="1" t="str">
        <f>ADDRESS(C121-1,D121+1,1,1)</f>
        <v>$AK$124</v>
      </c>
      <c r="E113" s="1" t="s">
        <v>8</v>
      </c>
      <c r="F113" s="27" t="s">
        <v>7</v>
      </c>
      <c r="G113" s="27" t="s">
        <v>8</v>
      </c>
      <c r="I113" s="27" t="s">
        <v>8</v>
      </c>
      <c r="J113" s="27" t="s">
        <v>7</v>
      </c>
      <c r="N113" s="27" t="s">
        <v>7</v>
      </c>
      <c r="O113" s="27" t="s">
        <v>8</v>
      </c>
      <c r="P113" s="27" t="s">
        <v>7</v>
      </c>
      <c r="AC113" s="27" t="s">
        <v>8</v>
      </c>
      <c r="AD113" s="27" t="s">
        <v>7</v>
      </c>
      <c r="AE113" s="27" t="s">
        <v>8</v>
      </c>
      <c r="AF113" s="27" t="s">
        <v>7</v>
      </c>
      <c r="AG113" s="27" t="s">
        <v>8</v>
      </c>
      <c r="AH113" s="27" t="s">
        <v>7</v>
      </c>
      <c r="AI113" s="27" t="s">
        <v>8</v>
      </c>
    </row>
    <row r="114" spans="1:36" x14ac:dyDescent="0.25">
      <c r="A114" s="30">
        <v>1.9487171000000014</v>
      </c>
      <c r="C114" s="1" t="str">
        <f>ADDRESS(C121,D121,1,1)</f>
        <v>$AJ$125</v>
      </c>
      <c r="D114" s="1" t="str">
        <f>ADDRESS(C121+1,D121+1,1,1)</f>
        <v>$AK$126</v>
      </c>
      <c r="E114" s="1" t="s">
        <v>8</v>
      </c>
      <c r="F114" s="27" t="s">
        <v>7</v>
      </c>
      <c r="G114" s="27" t="s">
        <v>8</v>
      </c>
      <c r="H114" s="27" t="s">
        <v>7</v>
      </c>
      <c r="I114" s="27" t="s">
        <v>8</v>
      </c>
      <c r="N114" s="27" t="s">
        <v>7</v>
      </c>
      <c r="O114" s="27" t="s">
        <v>8</v>
      </c>
      <c r="P114" s="27" t="s">
        <v>7</v>
      </c>
      <c r="AC114" s="27" t="s">
        <v>8</v>
      </c>
      <c r="AD114" s="27" t="s">
        <v>7</v>
      </c>
      <c r="AE114" s="27" t="s">
        <v>8</v>
      </c>
      <c r="AF114" s="27" t="s">
        <v>7</v>
      </c>
      <c r="AH114" s="27" t="s">
        <v>7</v>
      </c>
      <c r="AI114" s="27" t="s">
        <v>8</v>
      </c>
      <c r="AJ114" s="27" t="s">
        <v>7</v>
      </c>
    </row>
    <row r="115" spans="1:36" x14ac:dyDescent="0.25">
      <c r="A115" s="30">
        <v>1.7715610000000011</v>
      </c>
      <c r="C115" s="1" t="str">
        <f>ADDRESS(C121+1,D121,1,1)</f>
        <v>$AJ$126</v>
      </c>
      <c r="E115" s="1" t="s">
        <v>8</v>
      </c>
      <c r="F115" s="27" t="s">
        <v>7</v>
      </c>
      <c r="G115" s="27" t="s">
        <v>8</v>
      </c>
      <c r="H115" s="27" t="s">
        <v>7</v>
      </c>
      <c r="I115" s="27" t="s">
        <v>8</v>
      </c>
      <c r="N115" s="27" t="s">
        <v>7</v>
      </c>
      <c r="P115" s="27" t="s">
        <v>7</v>
      </c>
      <c r="Y115" s="27" t="s">
        <v>8</v>
      </c>
      <c r="AC115" s="27" t="s">
        <v>8</v>
      </c>
      <c r="AD115" s="27" t="s">
        <v>7</v>
      </c>
      <c r="AE115" s="27" t="s">
        <v>8</v>
      </c>
      <c r="AH115" s="27" t="s">
        <v>7</v>
      </c>
      <c r="AI115" s="27" t="s">
        <v>8</v>
      </c>
      <c r="AJ115" s="27" t="s">
        <v>7</v>
      </c>
    </row>
    <row r="116" spans="1:36" x14ac:dyDescent="0.25">
      <c r="A116" s="30">
        <v>1.6105100000000008</v>
      </c>
      <c r="C116" s="1">
        <f>C117-1</f>
        <v>124</v>
      </c>
      <c r="E116" s="1" t="s">
        <v>8</v>
      </c>
      <c r="F116" s="27" t="s">
        <v>7</v>
      </c>
      <c r="H116" s="27" t="s">
        <v>7</v>
      </c>
      <c r="I116" s="27" t="s">
        <v>8</v>
      </c>
      <c r="P116" s="27" t="s">
        <v>7</v>
      </c>
      <c r="Y116" s="27" t="s">
        <v>8</v>
      </c>
      <c r="Z116" s="27" t="s">
        <v>7</v>
      </c>
      <c r="AC116" s="27" t="s">
        <v>8</v>
      </c>
      <c r="AD116" s="27" t="s">
        <v>7</v>
      </c>
      <c r="AE116" s="27" t="s">
        <v>8</v>
      </c>
      <c r="AH116" s="27" t="s">
        <v>7</v>
      </c>
      <c r="AJ116" s="27" t="s">
        <v>7</v>
      </c>
    </row>
    <row r="117" spans="1:36" x14ac:dyDescent="0.25">
      <c r="A117" s="30">
        <v>1.4641000000000006</v>
      </c>
      <c r="C117" s="1">
        <f>C121</f>
        <v>125</v>
      </c>
      <c r="D117" s="1">
        <f>D121</f>
        <v>36</v>
      </c>
      <c r="E117" s="1" t="s">
        <v>8</v>
      </c>
      <c r="H117" s="27" t="s">
        <v>7</v>
      </c>
      <c r="P117" s="27" t="s">
        <v>7</v>
      </c>
      <c r="Y117" s="27" t="s">
        <v>8</v>
      </c>
      <c r="Z117" s="27" t="s">
        <v>7</v>
      </c>
      <c r="AC117" s="27" t="s">
        <v>8</v>
      </c>
      <c r="AD117" s="27" t="s">
        <v>7</v>
      </c>
      <c r="AE117" s="27" t="s">
        <v>8</v>
      </c>
      <c r="AJ117" s="27" t="s">
        <v>7</v>
      </c>
    </row>
    <row r="118" spans="1:36" x14ac:dyDescent="0.25">
      <c r="A118" s="30">
        <v>1.3310000000000004</v>
      </c>
      <c r="C118" s="1">
        <f>C117+1</f>
        <v>126</v>
      </c>
      <c r="D118" s="1">
        <f>D117+1</f>
        <v>37</v>
      </c>
      <c r="E118" s="1" t="s">
        <v>8</v>
      </c>
      <c r="P118" s="27" t="s">
        <v>7</v>
      </c>
      <c r="Q118" s="27" t="s">
        <v>8</v>
      </c>
      <c r="U118" s="27" t="s">
        <v>8</v>
      </c>
      <c r="Y118" s="27" t="s">
        <v>8</v>
      </c>
      <c r="Z118" s="27" t="s">
        <v>7</v>
      </c>
      <c r="AC118" s="27" t="s">
        <v>8</v>
      </c>
      <c r="AD118" s="27" t="s">
        <v>7</v>
      </c>
      <c r="AJ118" s="27" t="s">
        <v>7</v>
      </c>
    </row>
    <row r="119" spans="1:36" x14ac:dyDescent="0.25">
      <c r="A119" s="30">
        <v>1.2100000000000002</v>
      </c>
      <c r="E119" s="1" t="s">
        <v>8</v>
      </c>
      <c r="P119" s="27" t="s">
        <v>7</v>
      </c>
      <c r="Q119" s="27" t="s">
        <v>8</v>
      </c>
      <c r="R119" s="27" t="s">
        <v>7</v>
      </c>
      <c r="S119" s="27" t="s">
        <v>8</v>
      </c>
      <c r="U119" s="27" t="s">
        <v>8</v>
      </c>
      <c r="V119" s="27" t="s">
        <v>7</v>
      </c>
      <c r="Y119" s="27" t="s">
        <v>8</v>
      </c>
      <c r="Z119" s="27" t="s">
        <v>7</v>
      </c>
      <c r="AA119" s="27" t="s">
        <v>8</v>
      </c>
      <c r="AC119" s="27" t="s">
        <v>8</v>
      </c>
      <c r="AJ119" s="27" t="s">
        <v>7</v>
      </c>
    </row>
    <row r="120" spans="1:36" x14ac:dyDescent="0.25">
      <c r="A120" s="30">
        <v>1.1000000000000001</v>
      </c>
      <c r="C120" s="1" t="s">
        <v>9</v>
      </c>
      <c r="E120" s="1" t="s">
        <v>8</v>
      </c>
      <c r="P120" s="27" t="s">
        <v>7</v>
      </c>
      <c r="Q120" s="27" t="s">
        <v>8</v>
      </c>
      <c r="R120" s="27" t="s">
        <v>7</v>
      </c>
      <c r="S120" s="27" t="s">
        <v>8</v>
      </c>
      <c r="T120" s="27" t="s">
        <v>7</v>
      </c>
      <c r="U120" s="27" t="s">
        <v>8</v>
      </c>
      <c r="V120" s="27" t="s">
        <v>7</v>
      </c>
      <c r="Y120" s="27" t="s">
        <v>8</v>
      </c>
      <c r="Z120" s="27" t="s">
        <v>7</v>
      </c>
      <c r="AA120" s="27" t="s">
        <v>8</v>
      </c>
      <c r="AB120" s="27" t="s">
        <v>7</v>
      </c>
      <c r="AC120" s="27" t="s">
        <v>8</v>
      </c>
      <c r="AJ120" s="27" t="s">
        <v>7</v>
      </c>
    </row>
    <row r="121" spans="1:36" x14ac:dyDescent="0.25">
      <c r="A121" s="30">
        <v>1</v>
      </c>
      <c r="C121" s="18">
        <v>125</v>
      </c>
      <c r="D121" s="19">
        <v>36</v>
      </c>
      <c r="E121" s="18" t="s">
        <v>8</v>
      </c>
      <c r="P121" s="27" t="s">
        <v>7</v>
      </c>
      <c r="Q121" s="27" t="s">
        <v>8</v>
      </c>
      <c r="R121" s="27" t="s">
        <v>7</v>
      </c>
      <c r="S121" s="27" t="s">
        <v>8</v>
      </c>
      <c r="T121" s="27" t="s">
        <v>7</v>
      </c>
      <c r="U121" s="27" t="s">
        <v>8</v>
      </c>
      <c r="V121" s="27" t="s">
        <v>7</v>
      </c>
      <c r="Y121" s="27" t="s">
        <v>8</v>
      </c>
      <c r="Z121" s="27" t="s">
        <v>7</v>
      </c>
      <c r="AA121" s="27" t="s">
        <v>8</v>
      </c>
      <c r="AB121" s="27" t="s">
        <v>7</v>
      </c>
      <c r="AC121" s="27" t="s">
        <v>8</v>
      </c>
      <c r="AJ121" s="27" t="s">
        <v>7</v>
      </c>
    </row>
    <row r="122" spans="1:36" x14ac:dyDescent="0.25">
      <c r="A122" s="30">
        <v>0.90909090909090895</v>
      </c>
      <c r="C122" s="1" t="str">
        <f>INDEX(1:1048576,C117,D117)</f>
        <v>O</v>
      </c>
      <c r="P122" s="27" t="s">
        <v>7</v>
      </c>
      <c r="Q122" s="27" t="s">
        <v>8</v>
      </c>
      <c r="R122" s="27" t="s">
        <v>7</v>
      </c>
      <c r="S122" s="27" t="s">
        <v>8</v>
      </c>
      <c r="T122" s="27" t="s">
        <v>7</v>
      </c>
      <c r="V122" s="27" t="s">
        <v>7</v>
      </c>
      <c r="Y122" s="27" t="s">
        <v>8</v>
      </c>
      <c r="Z122" s="27" t="s">
        <v>7</v>
      </c>
      <c r="AB122" s="27" t="s">
        <v>7</v>
      </c>
      <c r="AC122" s="27" t="s">
        <v>8</v>
      </c>
      <c r="AJ122" s="27" t="s">
        <v>7</v>
      </c>
    </row>
    <row r="123" spans="1:36" x14ac:dyDescent="0.25">
      <c r="A123" s="30">
        <v>0.82644628099173523</v>
      </c>
      <c r="C123" s="1" t="str">
        <f>"R"&amp;C121</f>
        <v>R125</v>
      </c>
      <c r="D123" s="1" t="str">
        <f>"C"&amp;D121</f>
        <v>C36</v>
      </c>
      <c r="P123" s="27" t="s">
        <v>7</v>
      </c>
      <c r="R123" s="27" t="s">
        <v>7</v>
      </c>
      <c r="S123" s="27" t="s">
        <v>8</v>
      </c>
      <c r="V123" s="27" t="s">
        <v>7</v>
      </c>
      <c r="W123" s="18" t="s">
        <v>8</v>
      </c>
      <c r="Y123" s="27" t="s">
        <v>8</v>
      </c>
      <c r="AB123" s="27" t="s">
        <v>7</v>
      </c>
      <c r="AJ123" s="27" t="s">
        <v>7</v>
      </c>
    </row>
    <row r="124" spans="1:36" x14ac:dyDescent="0.25">
      <c r="A124" s="30">
        <v>0.75131480090157732</v>
      </c>
      <c r="C124" s="1">
        <f>SUM(C130:D130)</f>
        <v>0</v>
      </c>
      <c r="D124" s="1">
        <f>IF(C124=0,0,1)</f>
        <v>0</v>
      </c>
      <c r="R124" s="27" t="s">
        <v>7</v>
      </c>
      <c r="S124" s="27" t="s">
        <v>8</v>
      </c>
      <c r="V124" s="27" t="s">
        <v>7</v>
      </c>
      <c r="W124" s="27" t="s">
        <v>8</v>
      </c>
      <c r="X124" s="27" t="s">
        <v>7</v>
      </c>
      <c r="Y124" s="27" t="s">
        <v>8</v>
      </c>
      <c r="AJ124" s="27" t="s">
        <v>7</v>
      </c>
    </row>
    <row r="125" spans="1:36" x14ac:dyDescent="0.25">
      <c r="A125" s="30">
        <v>0.68301345536507019</v>
      </c>
      <c r="R125" s="27" t="s">
        <v>7</v>
      </c>
      <c r="V125" s="27" t="s">
        <v>7</v>
      </c>
      <c r="W125" s="27" t="s">
        <v>8</v>
      </c>
      <c r="X125" s="27" t="s">
        <v>7</v>
      </c>
      <c r="Y125" s="27" t="s">
        <v>8</v>
      </c>
      <c r="AJ125" s="27" t="s">
        <v>7</v>
      </c>
    </row>
    <row r="126" spans="1:36" x14ac:dyDescent="0.25">
      <c r="A126" s="30">
        <v>0.6209213230591546</v>
      </c>
      <c r="C126" s="1" t="s">
        <v>10</v>
      </c>
      <c r="V126" s="27" t="s">
        <v>7</v>
      </c>
      <c r="X126" s="27" t="s">
        <v>7</v>
      </c>
    </row>
    <row r="127" spans="1:36" x14ac:dyDescent="0.25">
      <c r="A127" s="30">
        <v>0.56447393005377677</v>
      </c>
      <c r="C127" s="30">
        <v>0.68301345536507019</v>
      </c>
      <c r="D127"/>
    </row>
    <row r="128" spans="1:36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58" operator="equal">
      <formula>$U$1</formula>
    </cfRule>
    <cfRule type="cellIs" dxfId="30" priority="759" operator="equal">
      <formula>$S$1</formula>
    </cfRule>
  </conditionalFormatting>
  <conditionalFormatting sqref="D136">
    <cfRule type="cellIs" dxfId="29" priority="756" operator="equal">
      <formula>$S$1</formula>
    </cfRule>
    <cfRule type="cellIs" dxfId="28" priority="757" operator="equal">
      <formula>$U$1</formula>
    </cfRule>
  </conditionalFormatting>
  <conditionalFormatting sqref="C102">
    <cfRule type="cellIs" dxfId="27" priority="754" operator="equal">
      <formula>$U$1</formula>
    </cfRule>
    <cfRule type="cellIs" dxfId="26" priority="755" operator="equal">
      <formula>$S$1</formula>
    </cfRule>
  </conditionalFormatting>
  <conditionalFormatting sqref="D102">
    <cfRule type="cellIs" dxfId="25" priority="752" operator="equal">
      <formula>$S$1</formula>
    </cfRule>
    <cfRule type="cellIs" dxfId="24" priority="753" operator="equal">
      <formula>$U$1</formula>
    </cfRule>
  </conditionalFormatting>
  <conditionalFormatting sqref="C77">
    <cfRule type="cellIs" dxfId="23" priority="750" operator="equal">
      <formula>$U$1</formula>
    </cfRule>
    <cfRule type="cellIs" dxfId="22" priority="751" operator="equal">
      <formula>$S$1</formula>
    </cfRule>
  </conditionalFormatting>
  <conditionalFormatting sqref="D77">
    <cfRule type="cellIs" dxfId="21" priority="748" operator="equal">
      <formula>$S$1</formula>
    </cfRule>
    <cfRule type="cellIs" dxfId="20" priority="749" operator="equal">
      <formula>$U$1</formula>
    </cfRule>
  </conditionalFormatting>
  <conditionalFormatting sqref="C52">
    <cfRule type="cellIs" dxfId="19" priority="746" operator="equal">
      <formula>$U$1</formula>
    </cfRule>
    <cfRule type="cellIs" dxfId="18" priority="747" operator="equal">
      <formula>$S$1</formula>
    </cfRule>
  </conditionalFormatting>
  <conditionalFormatting sqref="D52">
    <cfRule type="cellIs" dxfId="17" priority="744" operator="equal">
      <formula>$S$1</formula>
    </cfRule>
    <cfRule type="cellIs" dxfId="16" priority="745" operator="equal">
      <formula>$U$1</formula>
    </cfRule>
  </conditionalFormatting>
  <conditionalFormatting sqref="C26">
    <cfRule type="cellIs" dxfId="15" priority="742" operator="equal">
      <formula>$U$1</formula>
    </cfRule>
    <cfRule type="cellIs" dxfId="14" priority="743" operator="equal">
      <formula>$S$1</formula>
    </cfRule>
  </conditionalFormatting>
  <conditionalFormatting sqref="D26">
    <cfRule type="cellIs" dxfId="13" priority="740" operator="equal">
      <formula>$S$1</formula>
    </cfRule>
    <cfRule type="cellIs" dxfId="12" priority="741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0.61391325354075688</v>
      </c>
      <c r="F3" s="30">
        <v>0.64460891621779492</v>
      </c>
      <c r="G3" s="30">
        <v>1</v>
      </c>
      <c r="H3" s="25">
        <f>IF(G3="","",(3*(G3-F3))+E3)</f>
        <v>1.6800865048873721</v>
      </c>
      <c r="I3" s="7"/>
      <c r="J3" s="7">
        <f>(E3+G3)/2</f>
        <v>0.80695662677037849</v>
      </c>
      <c r="K3" s="7">
        <f>H3/2</f>
        <v>0.84004325244368605</v>
      </c>
      <c r="M3" s="26">
        <f>IF(OR(J3="",H3=""),"",H3/J3)</f>
        <v>2.0820034796807549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2022-01-28T01:21:11Z</dcterms:modified>
</cp:coreProperties>
</file>