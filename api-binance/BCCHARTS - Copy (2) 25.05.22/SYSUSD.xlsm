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BF17978-7A5A-46F6-9766-697399AB4EE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4"/>
  <c r="C133" i="4" s="1"/>
  <c r="D136" i="4" s="1"/>
  <c r="C116" i="4"/>
  <c r="C122" i="5"/>
  <c r="C133" i="5" s="1"/>
  <c r="C136" i="5" s="1"/>
  <c r="R765" i="1"/>
  <c r="S766" i="1"/>
  <c r="T766" i="1" s="1"/>
  <c r="C122" i="3"/>
  <c r="C133" i="3" s="1"/>
  <c r="C136" i="3" s="1"/>
  <c r="C116" i="3"/>
  <c r="C136" i="4" l="1"/>
  <c r="C138" i="4" s="1"/>
  <c r="D136" i="5"/>
  <c r="C138" i="5" s="1"/>
  <c r="R764" i="1"/>
  <c r="S765" i="1"/>
  <c r="T765" i="1" s="1"/>
  <c r="D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S760" i="1" l="1"/>
  <c r="T760" i="1" s="1"/>
  <c r="R759" i="1"/>
  <c r="R758" i="1" l="1"/>
  <c r="S759" i="1"/>
  <c r="T759" i="1" s="1"/>
  <c r="S758" i="1" l="1"/>
  <c r="T758" i="1" s="1"/>
  <c r="R757" i="1"/>
  <c r="S757" i="1" l="1"/>
  <c r="T757" i="1" s="1"/>
  <c r="R756" i="1"/>
  <c r="S756" i="1" l="1"/>
  <c r="T756" i="1" s="1"/>
  <c r="R755" i="1"/>
  <c r="S755" i="1" l="1"/>
  <c r="T755" i="1" s="1"/>
  <c r="R754" i="1"/>
  <c r="R753" i="1" l="1"/>
  <c r="S754" i="1"/>
  <c r="T754" i="1" s="1"/>
  <c r="S753" i="1" l="1"/>
  <c r="T753" i="1" s="1"/>
  <c r="R752" i="1"/>
  <c r="R751" i="1" l="1"/>
  <c r="S752" i="1"/>
  <c r="T752" i="1" s="1"/>
  <c r="R750" i="1" l="1"/>
  <c r="S751" i="1"/>
  <c r="T751" i="1" s="1"/>
  <c r="S750" i="1" l="1"/>
  <c r="T750" i="1" s="1"/>
  <c r="R749" i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S741" i="1" l="1"/>
  <c r="T741" i="1" s="1"/>
  <c r="R740" i="1"/>
  <c r="S740" i="1" l="1"/>
  <c r="T740" i="1" s="1"/>
  <c r="R739" i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S726" i="1" l="1"/>
  <c r="T726" i="1" s="1"/>
  <c r="R725" i="1"/>
  <c r="R724" i="1" l="1"/>
  <c r="S725" i="1"/>
  <c r="T725" i="1" s="1"/>
  <c r="S724" i="1" l="1"/>
  <c r="T724" i="1" s="1"/>
  <c r="R723" i="1"/>
  <c r="R722" i="1" l="1"/>
  <c r="S723" i="1"/>
  <c r="T723" i="1" s="1"/>
  <c r="S722" i="1" l="1"/>
  <c r="T722" i="1" s="1"/>
  <c r="R721" i="1"/>
  <c r="S721" i="1" l="1"/>
  <c r="T721" i="1" s="1"/>
  <c r="R720" i="1"/>
  <c r="R719" i="1" l="1"/>
  <c r="S720" i="1"/>
  <c r="T720" i="1" s="1"/>
  <c r="S719" i="1" l="1"/>
  <c r="T719" i="1" s="1"/>
  <c r="R718" i="1"/>
  <c r="S718" i="1" l="1"/>
  <c r="T718" i="1" s="1"/>
  <c r="R717" i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S706" i="1" l="1"/>
  <c r="T706" i="1" s="1"/>
  <c r="R705" i="1"/>
  <c r="S705" i="1" l="1"/>
  <c r="T705" i="1" s="1"/>
  <c r="R704" i="1"/>
  <c r="R703" i="1" l="1"/>
  <c r="S704" i="1"/>
  <c r="T704" i="1" s="1"/>
  <c r="S703" i="1" l="1"/>
  <c r="T703" i="1" s="1"/>
  <c r="R702" i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S697" i="1" l="1"/>
  <c r="T697" i="1" s="1"/>
  <c r="R696" i="1"/>
  <c r="S696" i="1" l="1"/>
  <c r="T696" i="1" s="1"/>
  <c r="R695" i="1"/>
  <c r="S695" i="1" l="1"/>
  <c r="T695" i="1" s="1"/>
  <c r="R694" i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S678" i="1" l="1"/>
  <c r="T678" i="1" s="1"/>
  <c r="R677" i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S673" i="1" l="1"/>
  <c r="T673" i="1" s="1"/>
  <c r="R672" i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R663" i="1" l="1"/>
  <c r="S664" i="1"/>
  <c r="T664" i="1" s="1"/>
  <c r="R662" i="1" l="1"/>
  <c r="S663" i="1"/>
  <c r="T663" i="1" s="1"/>
  <c r="R661" i="1" l="1"/>
  <c r="S662" i="1"/>
  <c r="T662" i="1" s="1"/>
  <c r="S661" i="1" l="1"/>
  <c r="T661" i="1" s="1"/>
  <c r="R660" i="1"/>
  <c r="R659" i="1" l="1"/>
  <c r="S660" i="1"/>
  <c r="T660" i="1" s="1"/>
  <c r="S659" i="1" l="1"/>
  <c r="T659" i="1" s="1"/>
  <c r="R658" i="1"/>
  <c r="S658" i="1" l="1"/>
  <c r="T658" i="1" s="1"/>
  <c r="R657" i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R645" i="1" l="1"/>
  <c r="S646" i="1"/>
  <c r="T646" i="1" s="1"/>
  <c r="S645" i="1" l="1"/>
  <c r="T645" i="1" s="1"/>
  <c r="R644" i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S637" i="1" l="1"/>
  <c r="T637" i="1" s="1"/>
  <c r="R636" i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S630" i="1" l="1"/>
  <c r="T630" i="1" s="1"/>
  <c r="R629" i="1"/>
  <c r="S629" i="1" l="1"/>
  <c r="T629" i="1" s="1"/>
  <c r="R628" i="1"/>
  <c r="S628" i="1" l="1"/>
  <c r="T628" i="1" s="1"/>
  <c r="R627" i="1"/>
  <c r="S627" i="1" l="1"/>
  <c r="T627" i="1" s="1"/>
  <c r="R626" i="1"/>
  <c r="S626" i="1" l="1"/>
  <c r="T626" i="1" s="1"/>
  <c r="R625" i="1"/>
  <c r="S625" i="1" l="1"/>
  <c r="T625" i="1" s="1"/>
  <c r="R624" i="1"/>
  <c r="S624" i="1" l="1"/>
  <c r="T624" i="1" s="1"/>
  <c r="R623" i="1"/>
  <c r="S623" i="1" l="1"/>
  <c r="T623" i="1" s="1"/>
  <c r="R622" i="1"/>
  <c r="S622" i="1" l="1"/>
  <c r="T622" i="1" s="1"/>
  <c r="R621" i="1"/>
  <c r="R620" i="1" l="1"/>
  <c r="S621" i="1"/>
  <c r="T621" i="1" s="1"/>
  <c r="S620" i="1" l="1"/>
  <c r="T620" i="1" s="1"/>
  <c r="R619" i="1"/>
  <c r="R618" i="1" l="1"/>
  <c r="S619" i="1"/>
  <c r="T619" i="1" s="1"/>
  <c r="S618" i="1" l="1"/>
  <c r="T618" i="1" s="1"/>
  <c r="R617" i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S611" i="1" l="1"/>
  <c r="T611" i="1" s="1"/>
  <c r="R610" i="1"/>
  <c r="S610" i="1" l="1"/>
  <c r="T610" i="1" s="1"/>
  <c r="R609" i="1"/>
  <c r="S609" i="1" l="1"/>
  <c r="T609" i="1" s="1"/>
  <c r="R608" i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R603" i="1" l="1"/>
  <c r="S604" i="1"/>
  <c r="T604" i="1" s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S596" i="1" l="1"/>
  <c r="T596" i="1" s="1"/>
  <c r="R595" i="1"/>
  <c r="S595" i="1" l="1"/>
  <c r="T595" i="1" s="1"/>
  <c r="R594" i="1"/>
  <c r="S594" i="1" l="1"/>
  <c r="T594" i="1" s="1"/>
  <c r="R593" i="1"/>
  <c r="S593" i="1" l="1"/>
  <c r="T593" i="1" s="1"/>
  <c r="R592" i="1"/>
  <c r="S592" i="1" l="1"/>
  <c r="T592" i="1" s="1"/>
  <c r="R591" i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S586" i="1" l="1"/>
  <c r="T586" i="1" s="1"/>
  <c r="R585" i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R575" i="1" l="1"/>
  <c r="S576" i="1"/>
  <c r="T576" i="1" s="1"/>
  <c r="S575" i="1" l="1"/>
  <c r="T575" i="1" s="1"/>
  <c r="R574" i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S570" i="1" l="1"/>
  <c r="T570" i="1" s="1"/>
  <c r="R569" i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S565" i="1" l="1"/>
  <c r="T565" i="1" s="1"/>
  <c r="R564" i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S560" i="1" l="1"/>
  <c r="T560" i="1" s="1"/>
  <c r="R559" i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S542" i="1" l="1"/>
  <c r="T542" i="1" s="1"/>
  <c r="R541" i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S537" i="1" l="1"/>
  <c r="T537" i="1" s="1"/>
  <c r="R536" i="1"/>
  <c r="R535" i="1" l="1"/>
  <c r="S536" i="1"/>
  <c r="T536" i="1" s="1"/>
  <c r="S535" i="1" l="1"/>
  <c r="T535" i="1" s="1"/>
  <c r="R534" i="1"/>
  <c r="R533" i="1" l="1"/>
  <c r="S534" i="1"/>
  <c r="T534" i="1" s="1"/>
  <c r="S533" i="1" l="1"/>
  <c r="T533" i="1" s="1"/>
  <c r="R532" i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R519" i="1" l="1"/>
  <c r="S520" i="1"/>
  <c r="T520" i="1" s="1"/>
  <c r="R518" i="1" l="1"/>
  <c r="S519" i="1"/>
  <c r="T519" i="1" s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S509" i="1" l="1"/>
  <c r="T509" i="1" s="1"/>
  <c r="R508" i="1"/>
  <c r="R507" i="1" l="1"/>
  <c r="S508" i="1"/>
  <c r="T508" i="1" s="1"/>
  <c r="S507" i="1" l="1"/>
  <c r="T507" i="1" s="1"/>
  <c r="R506" i="1"/>
  <c r="S506" i="1" l="1"/>
  <c r="T506" i="1" s="1"/>
  <c r="R505" i="1"/>
  <c r="S505" i="1" l="1"/>
  <c r="T505" i="1" s="1"/>
  <c r="R504" i="1"/>
  <c r="S504" i="1" l="1"/>
  <c r="T504" i="1" s="1"/>
  <c r="R503" i="1"/>
  <c r="S503" i="1" l="1"/>
  <c r="T503" i="1" s="1"/>
  <c r="R502" i="1"/>
  <c r="S502" i="1" l="1"/>
  <c r="T502" i="1" s="1"/>
  <c r="R501" i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S492" i="1" l="1"/>
  <c r="T492" i="1" s="1"/>
  <c r="R491" i="1"/>
  <c r="S491" i="1" l="1"/>
  <c r="T491" i="1" s="1"/>
  <c r="R490" i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S482" i="1" l="1"/>
  <c r="T482" i="1" s="1"/>
  <c r="R481" i="1"/>
  <c r="R480" i="1" l="1"/>
  <c r="S481" i="1"/>
  <c r="T481" i="1" s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S453" i="1" l="1"/>
  <c r="T453" i="1" s="1"/>
  <c r="R452" i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S441" i="1" l="1"/>
  <c r="T441" i="1" s="1"/>
  <c r="R440" i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S434" i="1" l="1"/>
  <c r="T434" i="1" s="1"/>
  <c r="R433" i="1"/>
  <c r="S433" i="1" l="1"/>
  <c r="T433" i="1" s="1"/>
  <c r="R432" i="1"/>
  <c r="S432" i="1" l="1"/>
  <c r="T432" i="1" s="1"/>
  <c r="R431" i="1"/>
  <c r="S431" i="1" l="1"/>
  <c r="T431" i="1" s="1"/>
  <c r="R430" i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S422" i="1" l="1"/>
  <c r="T422" i="1" s="1"/>
  <c r="R421" i="1"/>
  <c r="S421" i="1" l="1"/>
  <c r="T421" i="1" s="1"/>
  <c r="R420" i="1"/>
  <c r="S420" i="1" l="1"/>
  <c r="T420" i="1" s="1"/>
  <c r="R419" i="1"/>
  <c r="S419" i="1" l="1"/>
  <c r="T419" i="1" s="1"/>
  <c r="R418" i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S409" i="1" l="1"/>
  <c r="T409" i="1" s="1"/>
  <c r="R408" i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S385" i="1" l="1"/>
  <c r="T385" i="1" s="1"/>
  <c r="R384" i="1"/>
  <c r="S384" i="1" l="1"/>
  <c r="T384" i="1" s="1"/>
  <c r="R383" i="1"/>
  <c r="S383" i="1" l="1"/>
  <c r="T383" i="1" s="1"/>
  <c r="R382" i="1"/>
  <c r="S382" i="1" l="1"/>
  <c r="T382" i="1" s="1"/>
  <c r="R381" i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R374" i="1" l="1"/>
  <c r="S375" i="1"/>
  <c r="T375" i="1" s="1"/>
  <c r="S374" i="1" l="1"/>
  <c r="T374" i="1" s="1"/>
  <c r="R373" i="1"/>
  <c r="R372" i="1" l="1"/>
  <c r="S373" i="1"/>
  <c r="T373" i="1" s="1"/>
  <c r="S372" i="1" l="1"/>
  <c r="T372" i="1" s="1"/>
  <c r="R371" i="1"/>
  <c r="S371" i="1" l="1"/>
  <c r="T371" i="1" s="1"/>
  <c r="R370" i="1"/>
  <c r="R369" i="1" l="1"/>
  <c r="S370" i="1"/>
  <c r="T370" i="1" s="1"/>
  <c r="S369" i="1" l="1"/>
  <c r="T369" i="1" s="1"/>
  <c r="R368" i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S362" i="1" l="1"/>
  <c r="T362" i="1" s="1"/>
  <c r="R361" i="1"/>
  <c r="R360" i="1" l="1"/>
  <c r="S361" i="1"/>
  <c r="T361" i="1" s="1"/>
  <c r="S360" i="1" l="1"/>
  <c r="T360" i="1" s="1"/>
  <c r="R359" i="1"/>
  <c r="S359" i="1" l="1"/>
  <c r="T359" i="1" s="1"/>
  <c r="R358" i="1"/>
  <c r="S358" i="1" l="1"/>
  <c r="T358" i="1" s="1"/>
  <c r="R357" i="1"/>
  <c r="S357" i="1" l="1"/>
  <c r="T357" i="1" s="1"/>
  <c r="R356" i="1"/>
  <c r="R355" i="1" l="1"/>
  <c r="S356" i="1"/>
  <c r="T356" i="1" s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R350" i="1" l="1"/>
  <c r="S351" i="1"/>
  <c r="T351" i="1" s="1"/>
  <c r="S350" i="1" l="1"/>
  <c r="T350" i="1" s="1"/>
  <c r="R349" i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S344" i="1" l="1"/>
  <c r="T344" i="1" s="1"/>
  <c r="R343" i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S328" i="1" l="1"/>
  <c r="T328" i="1" s="1"/>
  <c r="R327" i="1"/>
  <c r="R326" i="1" l="1"/>
  <c r="S327" i="1"/>
  <c r="T327" i="1" s="1"/>
  <c r="R325" i="1" l="1"/>
  <c r="S326" i="1"/>
  <c r="T326" i="1" s="1"/>
  <c r="R324" i="1" l="1"/>
  <c r="S325" i="1"/>
  <c r="T325" i="1" s="1"/>
  <c r="S324" i="1" l="1"/>
  <c r="T324" i="1" s="1"/>
  <c r="R323" i="1"/>
  <c r="S323" i="1" l="1"/>
  <c r="T323" i="1" s="1"/>
  <c r="R322" i="1"/>
  <c r="S322" i="1" l="1"/>
  <c r="T322" i="1" s="1"/>
  <c r="R321" i="1"/>
  <c r="S321" i="1" l="1"/>
  <c r="T321" i="1" s="1"/>
  <c r="R320" i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S288" i="1" l="1"/>
  <c r="T288" i="1" s="1"/>
  <c r="R287" i="1"/>
  <c r="S287" i="1" l="1"/>
  <c r="T287" i="1" s="1"/>
  <c r="R286" i="1"/>
  <c r="S286" i="1" l="1"/>
  <c r="T286" i="1" s="1"/>
  <c r="R285" i="1"/>
  <c r="S285" i="1" l="1"/>
  <c r="T285" i="1" s="1"/>
  <c r="R284" i="1"/>
  <c r="R283" i="1" l="1"/>
  <c r="S284" i="1"/>
  <c r="T284" i="1" s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S278" i="1" l="1"/>
  <c r="T278" i="1" s="1"/>
  <c r="R277" i="1"/>
  <c r="S277" i="1" l="1"/>
  <c r="T277" i="1" s="1"/>
  <c r="R276" i="1"/>
  <c r="R275" i="1" l="1"/>
  <c r="S276" i="1"/>
  <c r="T276" i="1" s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S245" i="1" l="1"/>
  <c r="T245" i="1" s="1"/>
  <c r="R244" i="1"/>
  <c r="S244" i="1" l="1"/>
  <c r="T244" i="1" s="1"/>
  <c r="R243" i="1"/>
  <c r="S243" i="1" l="1"/>
  <c r="T243" i="1" s="1"/>
  <c r="R242" i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S233" i="1" l="1"/>
  <c r="T233" i="1" s="1"/>
  <c r="R232" i="1"/>
  <c r="R231" i="1" l="1"/>
  <c r="S232" i="1"/>
  <c r="T232" i="1" s="1"/>
  <c r="S231" i="1" l="1"/>
  <c r="T231" i="1" s="1"/>
  <c r="R230" i="1"/>
  <c r="S230" i="1" l="1"/>
  <c r="T230" i="1" s="1"/>
  <c r="R229" i="1"/>
  <c r="S229" i="1" l="1"/>
  <c r="T229" i="1" s="1"/>
  <c r="R228" i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S215" i="1" l="1"/>
  <c r="T215" i="1" s="1"/>
  <c r="R214" i="1"/>
  <c r="S214" i="1" l="1"/>
  <c r="T214" i="1" s="1"/>
  <c r="R213" i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S179" i="1" l="1"/>
  <c r="T179" i="1" s="1"/>
  <c r="R178" i="1"/>
  <c r="S178" i="1" l="1"/>
  <c r="T178" i="1" s="1"/>
  <c r="R177" i="1"/>
  <c r="R176" i="1" l="1"/>
  <c r="S177" i="1"/>
  <c r="T177" i="1" s="1"/>
  <c r="S176" i="1" l="1"/>
  <c r="T176" i="1" s="1"/>
  <c r="R175" i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S155" i="1" l="1"/>
  <c r="T155" i="1" s="1"/>
  <c r="R154" i="1"/>
  <c r="R153" i="1" l="1"/>
  <c r="S154" i="1"/>
  <c r="T154" i="1" s="1"/>
  <c r="S153" i="1" l="1"/>
  <c r="T153" i="1" s="1"/>
  <c r="R152" i="1"/>
  <c r="R151" i="1" l="1"/>
  <c r="S152" i="1"/>
  <c r="T152" i="1" s="1"/>
  <c r="S151" i="1" l="1"/>
  <c r="T151" i="1" s="1"/>
  <c r="R150" i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S146" i="1" l="1"/>
  <c r="T146" i="1" s="1"/>
  <c r="R145" i="1"/>
  <c r="R144" i="1" l="1"/>
  <c r="S145" i="1"/>
  <c r="T145" i="1" s="1"/>
  <c r="S144" i="1" l="1"/>
  <c r="T144" i="1" s="1"/>
  <c r="R143" i="1"/>
  <c r="R142" i="1" l="1"/>
  <c r="S143" i="1"/>
  <c r="T143" i="1" s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S137" i="1" l="1"/>
  <c r="T137" i="1" s="1"/>
  <c r="R136" i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S130" i="1" l="1"/>
  <c r="T130" i="1" s="1"/>
  <c r="R129" i="1"/>
  <c r="S129" i="1" l="1"/>
  <c r="T129" i="1" s="1"/>
  <c r="R128" i="1"/>
  <c r="S128" i="1" l="1"/>
  <c r="T128" i="1" s="1"/>
  <c r="R127" i="1"/>
  <c r="S127" i="1" l="1"/>
  <c r="T127" i="1" s="1"/>
  <c r="R126" i="1"/>
  <c r="R125" i="1" l="1"/>
  <c r="S126" i="1"/>
  <c r="T126" i="1" s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S113" i="1" l="1"/>
  <c r="T113" i="1" s="1"/>
  <c r="R112" i="1"/>
  <c r="S112" i="1" l="1"/>
  <c r="T112" i="1" s="1"/>
  <c r="R111" i="1"/>
  <c r="S111" i="1" l="1"/>
  <c r="T111" i="1" s="1"/>
  <c r="R110" i="1"/>
  <c r="S110" i="1" l="1"/>
  <c r="T110" i="1" s="1"/>
  <c r="R109" i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S80" i="1" l="1"/>
  <c r="T80" i="1" s="1"/>
  <c r="R79" i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S59" i="1" l="1"/>
  <c r="T59" i="1" s="1"/>
  <c r="R58" i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<sst xmlns="http://schemas.openxmlformats.org/spreadsheetml/2006/main" count="5871" uniqueCount="34">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</sst>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0.81699999999999995</c:v>
                </c:pt>
                <c:pt idx="1">
                  <c:v>0.83899999999999997</c:v>
                </c:pt>
                <c:pt idx="2">
                  <c:v>0.83840000000000003</c:v>
                </c:pt>
                <c:pt idx="3">
                  <c:v>0.85729999999999995</c:v>
                </c:pt>
                <c:pt idx="4">
                  <c:v>0.93069999999999997</c:v>
                </c:pt>
                <c:pt idx="5">
                  <c:v>0.85950000000000004</c:v>
                </c:pt>
                <c:pt idx="6">
                  <c:v>1.0258</c:v>
                </c:pt>
                <c:pt idx="7">
                  <c:v>1.1163000000000001</c:v>
                </c:pt>
                <c:pt idx="8">
                  <c:v>1.1111</c:v>
                </c:pt>
                <c:pt idx="9">
                  <c:v>1.1597999999999999</c:v>
                </c:pt>
                <c:pt idx="10">
                  <c:v>1.1277999999999999</c:v>
                </c:pt>
                <c:pt idx="11">
                  <c:v>1.1967000000000001</c:v>
                </c:pt>
                <c:pt idx="12">
                  <c:v>1.2102999999999999</c:v>
                </c:pt>
                <c:pt idx="13">
                  <c:v>1.1173999999999999</c:v>
                </c:pt>
                <c:pt idx="14">
                  <c:v>1.0438000000000001</c:v>
                </c:pt>
                <c:pt idx="15">
                  <c:v>1.1161000000000001</c:v>
                </c:pt>
                <c:pt idx="16">
                  <c:v>1.026</c:v>
                </c:pt>
                <c:pt idx="17">
                  <c:v>1.0169999999999999</c:v>
                </c:pt>
                <c:pt idx="18">
                  <c:v>0.91679999999999995</c:v>
                </c:pt>
                <c:pt idx="19">
                  <c:v>0.85499999999999998</c:v>
                </c:pt>
                <c:pt idx="20">
                  <c:v>0.93400000000000005</c:v>
                </c:pt>
                <c:pt idx="21">
                  <c:v>1.038</c:v>
                </c:pt>
                <c:pt idx="22">
                  <c:v>1.026</c:v>
                </c:pt>
                <c:pt idx="23">
                  <c:v>1.1479999999999999</c:v>
                </c:pt>
                <c:pt idx="24">
                  <c:v>1.1589</c:v>
                </c:pt>
                <c:pt idx="25">
                  <c:v>1.1719999999999999</c:v>
                </c:pt>
                <c:pt idx="26">
                  <c:v>1.2003999999999999</c:v>
                </c:pt>
                <c:pt idx="27">
                  <c:v>0.96440000000000003</c:v>
                </c:pt>
                <c:pt idx="28">
                  <c:v>1.0242</c:v>
                </c:pt>
                <c:pt idx="29">
                  <c:v>0.87790000000000001</c:v>
                </c:pt>
                <c:pt idx="30">
                  <c:v>0.82369999999999999</c:v>
                </c:pt>
                <c:pt idx="31">
                  <c:v>0.86119999999999997</c:v>
                </c:pt>
                <c:pt idx="32">
                  <c:v>0.81689999999999996</c:v>
                </c:pt>
                <c:pt idx="33">
                  <c:v>0.76190000000000002</c:v>
                </c:pt>
                <c:pt idx="34">
                  <c:v>0.73219999999999996</c:v>
                </c:pt>
                <c:pt idx="35">
                  <c:v>0.74919999999999998</c:v>
                </c:pt>
                <c:pt idx="36">
                  <c:v>0.72099999999999997</c:v>
                </c:pt>
                <c:pt idx="37">
                  <c:v>0.74299999999999999</c:v>
                </c:pt>
                <c:pt idx="38">
                  <c:v>0.70589999999999997</c:v>
                </c:pt>
                <c:pt idx="39">
                  <c:v>0.71650000000000003</c:v>
                </c:pt>
                <c:pt idx="40">
                  <c:v>0.78049999999999997</c:v>
                </c:pt>
                <c:pt idx="41">
                  <c:v>0.6956</c:v>
                </c:pt>
                <c:pt idx="42">
                  <c:v>0.78779999999999994</c:v>
                </c:pt>
                <c:pt idx="43">
                  <c:v>0.8075</c:v>
                </c:pt>
                <c:pt idx="44">
                  <c:v>0.82389999999999997</c:v>
                </c:pt>
                <c:pt idx="45">
                  <c:v>0.74039999999999995</c:v>
                </c:pt>
                <c:pt idx="46">
                  <c:v>0.68169999999999997</c:v>
                </c:pt>
                <c:pt idx="47">
                  <c:v>0.63200000000000001</c:v>
                </c:pt>
                <c:pt idx="48">
                  <c:v>0.61119999999999997</c:v>
                </c:pt>
                <c:pt idx="49">
                  <c:v>0.55789999999999995</c:v>
                </c:pt>
                <c:pt idx="50">
                  <c:v>0.60740000000000005</c:v>
                </c:pt>
                <c:pt idx="51">
                  <c:v>0.57499999999999996</c:v>
                </c:pt>
                <c:pt idx="52">
                  <c:v>0.57989999999999997</c:v>
                </c:pt>
                <c:pt idx="53">
                  <c:v>0.63539999999999996</c:v>
                </c:pt>
                <c:pt idx="54">
                  <c:v>0.64870000000000005</c:v>
                </c:pt>
                <c:pt idx="55">
                  <c:v>0.75549999999999995</c:v>
                </c:pt>
                <c:pt idx="56">
                  <c:v>0.7964</c:v>
                </c:pt>
                <c:pt idx="57">
                  <c:v>0.85189999999999999</c:v>
                </c:pt>
                <c:pt idx="58">
                  <c:v>0.76139999999999997</c:v>
                </c:pt>
                <c:pt idx="59">
                  <c:v>0.79579999999999995</c:v>
                </c:pt>
                <c:pt idx="60">
                  <c:v>0.69299999999999995</c:v>
                </c:pt>
                <c:pt idx="61">
                  <c:v>0.55220000000000002</c:v>
                </c:pt>
                <c:pt idx="62">
                  <c:v>0.57620000000000005</c:v>
                </c:pt>
                <c:pt idx="63">
                  <c:v>0.61040000000000005</c:v>
                </c:pt>
                <c:pt idx="64">
                  <c:v>0.57769999999999999</c:v>
                </c:pt>
                <c:pt idx="65">
                  <c:v>0.58899999999999997</c:v>
                </c:pt>
                <c:pt idx="66">
                  <c:v>0.52470000000000006</c:v>
                </c:pt>
                <c:pt idx="67">
                  <c:v>0.47520000000000001</c:v>
                </c:pt>
                <c:pt idx="68">
                  <c:v>0.50090000000000001</c:v>
                </c:pt>
                <c:pt idx="69">
                  <c:v>0.46679999999999999</c:v>
                </c:pt>
                <c:pt idx="70">
                  <c:v>0.4032</c:v>
                </c:pt>
                <c:pt idx="71">
                  <c:v>0.44350000000000001</c:v>
                </c:pt>
                <c:pt idx="72">
                  <c:v>0.44069999999999998</c:v>
                </c:pt>
                <c:pt idx="73">
                  <c:v>0.50449999999999995</c:v>
                </c:pt>
                <c:pt idx="74">
                  <c:v>0.47070000000000001</c:v>
                </c:pt>
                <c:pt idx="75">
                  <c:v>0.42059999999999997</c:v>
                </c:pt>
                <c:pt idx="76">
                  <c:v>0.41830000000000001</c:v>
                </c:pt>
                <c:pt idx="77">
                  <c:v>0.40460000000000002</c:v>
                </c:pt>
                <c:pt idx="78">
                  <c:v>0.37680000000000002</c:v>
                </c:pt>
                <c:pt idx="79">
                  <c:v>0.40179999999999999</c:v>
                </c:pt>
                <c:pt idx="80">
                  <c:v>0.38990000000000002</c:v>
                </c:pt>
                <c:pt idx="81">
                  <c:v>0.37059999999999998</c:v>
                </c:pt>
                <c:pt idx="82">
                  <c:v>0.37840000000000001</c:v>
                </c:pt>
                <c:pt idx="83">
                  <c:v>0.38469999999999999</c:v>
                </c:pt>
                <c:pt idx="84">
                  <c:v>0.33350000000000002</c:v>
                </c:pt>
                <c:pt idx="85">
                  <c:v>0.32469999999999999</c:v>
                </c:pt>
                <c:pt idx="86">
                  <c:v>0.3276</c:v>
                </c:pt>
                <c:pt idx="87">
                  <c:v>0.32140000000000002</c:v>
                </c:pt>
                <c:pt idx="88">
                  <c:v>0.32169999999999999</c:v>
                </c:pt>
                <c:pt idx="89">
                  <c:v>0.33050000000000002</c:v>
                </c:pt>
                <c:pt idx="90">
                  <c:v>0.3231</c:v>
                </c:pt>
                <c:pt idx="91">
                  <c:v>0.31869999999999998</c:v>
                </c:pt>
                <c:pt idx="92">
                  <c:v>0.30549999999999999</c:v>
                </c:pt>
                <c:pt idx="93">
                  <c:v>0.36359999999999998</c:v>
                </c:pt>
                <c:pt idx="94">
                  <c:v>0.37130000000000002</c:v>
                </c:pt>
                <c:pt idx="95">
                  <c:v>0.3639</c:v>
                </c:pt>
                <c:pt idx="96">
                  <c:v>0.37769999999999998</c:v>
                </c:pt>
                <c:pt idx="97">
                  <c:v>0.36699999999999999</c:v>
                </c:pt>
                <c:pt idx="98">
                  <c:v>0.3604</c:v>
                </c:pt>
                <c:pt idx="99">
                  <c:v>0.37609999999999999</c:v>
                </c:pt>
                <c:pt idx="100">
                  <c:v>0.37130000000000002</c:v>
                </c:pt>
                <c:pt idx="101">
                  <c:v>0.39979999999999999</c:v>
                </c:pt>
                <c:pt idx="102">
                  <c:v>0.46939999999999998</c:v>
                </c:pt>
                <c:pt idx="103">
                  <c:v>0.27900000000000003</c:v>
                </c:pt>
                <c:pt idx="104">
                  <c:v>0.27050000000000002</c:v>
                </c:pt>
                <c:pt idx="105">
                  <c:v>0.2762</c:v>
                </c:pt>
                <c:pt idx="106">
                  <c:v>0.27150000000000002</c:v>
                </c:pt>
                <c:pt idx="107">
                  <c:v>0.27750000000000002</c:v>
                </c:pt>
                <c:pt idx="108">
                  <c:v>0.27450000000000002</c:v>
                </c:pt>
                <c:pt idx="109">
                  <c:v>0.28050000000000003</c:v>
                </c:pt>
                <c:pt idx="110">
                  <c:v>0.29580000000000001</c:v>
                </c:pt>
                <c:pt idx="111">
                  <c:v>0.29399999999999998</c:v>
                </c:pt>
                <c:pt idx="112">
                  <c:v>0.3014</c:v>
                </c:pt>
                <c:pt idx="113">
                  <c:v>0.3029</c:v>
                </c:pt>
                <c:pt idx="114">
                  <c:v>0.30909999999999999</c:v>
                </c:pt>
                <c:pt idx="115">
                  <c:v>0.31030000000000002</c:v>
                </c:pt>
                <c:pt idx="116">
                  <c:v>0.2999</c:v>
                </c:pt>
                <c:pt idx="117">
                  <c:v>0.29909999999999998</c:v>
                </c:pt>
                <c:pt idx="118">
                  <c:v>0.30609999999999998</c:v>
                </c:pt>
                <c:pt idx="119">
                  <c:v>0.28179999999999999</c:v>
                </c:pt>
                <c:pt idx="120">
                  <c:v>0.27060000000000001</c:v>
                </c:pt>
                <c:pt idx="121">
                  <c:v>0.27460000000000001</c:v>
                </c:pt>
                <c:pt idx="122">
                  <c:v>0.29480000000000001</c:v>
                </c:pt>
                <c:pt idx="123">
                  <c:v>0.31119999999999998</c:v>
                </c:pt>
                <c:pt idx="124">
                  <c:v>0.29809999999999998</c:v>
                </c:pt>
                <c:pt idx="125">
                  <c:v>0.31290000000000001</c:v>
                </c:pt>
                <c:pt idx="126">
                  <c:v>0.28849999999999998</c:v>
                </c:pt>
                <c:pt idx="127">
                  <c:v>0.28050000000000003</c:v>
                </c:pt>
                <c:pt idx="128">
                  <c:v>0.25480000000000003</c:v>
                </c:pt>
                <c:pt idx="129">
                  <c:v>0.32300000000000001</c:v>
                </c:pt>
                <c:pt idx="130">
                  <c:v>0.2984</c:v>
                </c:pt>
                <c:pt idx="131">
                  <c:v>0.29909999999999998</c:v>
                </c:pt>
                <c:pt idx="132">
                  <c:v>0.26400000000000001</c:v>
                </c:pt>
                <c:pt idx="133">
                  <c:v>0.27700000000000002</c:v>
                </c:pt>
                <c:pt idx="134">
                  <c:v>0.2979</c:v>
                </c:pt>
                <c:pt idx="135">
                  <c:v>0.29010000000000002</c:v>
                </c:pt>
                <c:pt idx="136">
                  <c:v>0.2616</c:v>
                </c:pt>
                <c:pt idx="137">
                  <c:v>0.28420000000000001</c:v>
                </c:pt>
                <c:pt idx="138">
                  <c:v>0.27689999999999998</c:v>
                </c:pt>
                <c:pt idx="139">
                  <c:v>0.26540000000000002</c:v>
                </c:pt>
                <c:pt idx="140">
                  <c:v>0.28310000000000002</c:v>
                </c:pt>
                <c:pt idx="141">
                  <c:v>0.2868</c:v>
                </c:pt>
                <c:pt idx="142">
                  <c:v>0.30830000000000002</c:v>
                </c:pt>
                <c:pt idx="143">
                  <c:v>0.4239</c:v>
                </c:pt>
                <c:pt idx="144">
                  <c:v>0.2767</c:v>
                </c:pt>
                <c:pt idx="145">
                  <c:v>0.26929999999999998</c:v>
                </c:pt>
                <c:pt idx="146">
                  <c:v>0.27560000000000001</c:v>
                </c:pt>
                <c:pt idx="147">
                  <c:v>0.25800000000000001</c:v>
                </c:pt>
                <c:pt idx="148">
                  <c:v>0.2472</c:v>
                </c:pt>
                <c:pt idx="149">
                  <c:v>0.2324</c:v>
                </c:pt>
                <c:pt idx="150">
                  <c:v>0.24</c:v>
                </c:pt>
                <c:pt idx="151">
                  <c:v>0.2424</c:v>
                </c:pt>
                <c:pt idx="152">
                  <c:v>0.23860000000000001</c:v>
                </c:pt>
                <c:pt idx="153">
                  <c:v>0.25040000000000001</c:v>
                </c:pt>
                <c:pt idx="154">
                  <c:v>0.2311</c:v>
                </c:pt>
                <c:pt idx="155">
                  <c:v>0.26744000000000001</c:v>
                </c:pt>
                <c:pt idx="156">
                  <c:v>0.22844</c:v>
                </c:pt>
                <c:pt idx="157">
                  <c:v>0.24779999999999999</c:v>
                </c:pt>
                <c:pt idx="158">
                  <c:v>0.24157000000000001</c:v>
                </c:pt>
                <c:pt idx="159">
                  <c:v>0.2455</c:v>
                </c:pt>
                <c:pt idx="160">
                  <c:v>0.26211000000000001</c:v>
                </c:pt>
                <c:pt idx="161">
                  <c:v>0.24199000000000001</c:v>
                </c:pt>
                <c:pt idx="162">
                  <c:v>0.1812</c:v>
                </c:pt>
                <c:pt idx="163">
                  <c:v>0.18511</c:v>
                </c:pt>
                <c:pt idx="164">
                  <c:v>0.20519000000000001</c:v>
                </c:pt>
                <c:pt idx="165">
                  <c:v>0.2142</c:v>
                </c:pt>
                <c:pt idx="166">
                  <c:v>0.20826</c:v>
                </c:pt>
                <c:pt idx="167">
                  <c:v>0.21768999999999999</c:v>
                </c:pt>
                <c:pt idx="168">
                  <c:v>0.20311999999999999</c:v>
                </c:pt>
                <c:pt idx="169">
                  <c:v>0.19728000000000001</c:v>
                </c:pt>
                <c:pt idx="170">
                  <c:v>0.18210000000000001</c:v>
                </c:pt>
                <c:pt idx="171">
                  <c:v>0.17207</c:v>
                </c:pt>
                <c:pt idx="172">
                  <c:v>0.16475999999999999</c:v>
                </c:pt>
                <c:pt idx="173">
                  <c:v>0.18267</c:v>
                </c:pt>
                <c:pt idx="174">
                  <c:v>0.17249</c:v>
                </c:pt>
                <c:pt idx="175">
                  <c:v>0.16739999999999999</c:v>
                </c:pt>
                <c:pt idx="176">
                  <c:v>0.15262999999999999</c:v>
                </c:pt>
                <c:pt idx="177">
                  <c:v>0.1396</c:v>
                </c:pt>
                <c:pt idx="178">
                  <c:v>0.13979</c:v>
                </c:pt>
                <c:pt idx="179">
                  <c:v>0.14269000000000001</c:v>
                </c:pt>
                <c:pt idx="180">
                  <c:v>0.14757000000000001</c:v>
                </c:pt>
                <c:pt idx="181">
                  <c:v>0.14676</c:v>
                </c:pt>
                <c:pt idx="182">
                  <c:v>0.14707999999999999</c:v>
                </c:pt>
                <c:pt idx="183">
                  <c:v>0.13803000000000001</c:v>
                </c:pt>
                <c:pt idx="184">
                  <c:v>0.14197000000000001</c:v>
                </c:pt>
                <c:pt idx="185">
                  <c:v>0.14279</c:v>
                </c:pt>
                <c:pt idx="186">
                  <c:v>0.13619999999999999</c:v>
                </c:pt>
                <c:pt idx="187">
                  <c:v>0.13056000000000001</c:v>
                </c:pt>
                <c:pt idx="188">
                  <c:v>0.12132</c:v>
                </c:pt>
                <c:pt idx="189">
                  <c:v>0.11773</c:v>
                </c:pt>
                <c:pt idx="190">
                  <c:v>0.11577999999999999</c:v>
                </c:pt>
                <c:pt idx="191">
                  <c:v>0.11015999999999999</c:v>
                </c:pt>
                <c:pt idx="192">
                  <c:v>0.10396</c:v>
                </c:pt>
                <c:pt idx="193">
                  <c:v>0.11275</c:v>
                </c:pt>
                <c:pt idx="194">
                  <c:v>0.11645</c:v>
                </c:pt>
                <c:pt idx="195">
                  <c:v>0.11761000000000001</c:v>
                </c:pt>
                <c:pt idx="196">
                  <c:v>0.13074</c:v>
                </c:pt>
                <c:pt idx="197">
                  <c:v>0.12200999999999999</c:v>
                </c:pt>
                <c:pt idx="198">
                  <c:v>0.12619</c:v>
                </c:pt>
                <c:pt idx="199">
                  <c:v>0.12864999999999999</c:v>
                </c:pt>
                <c:pt idx="200">
                  <c:v>0.14302000000000001</c:v>
                </c:pt>
                <c:pt idx="201">
                  <c:v>0.11971999999999999</c:v>
                </c:pt>
                <c:pt idx="202">
                  <c:v>0.11779000000000001</c:v>
                </c:pt>
                <c:pt idx="203">
                  <c:v>0.11937</c:v>
                </c:pt>
                <c:pt idx="204">
                  <c:v>0.13419</c:v>
                </c:pt>
                <c:pt idx="205">
                  <c:v>0.12662999999999999</c:v>
                </c:pt>
                <c:pt idx="206">
                  <c:v>0.12280000000000001</c:v>
                </c:pt>
                <c:pt idx="207">
                  <c:v>0.13194</c:v>
                </c:pt>
                <c:pt idx="208">
                  <c:v>0.12801000000000001</c:v>
                </c:pt>
                <c:pt idx="209">
                  <c:v>0.13292000000000001</c:v>
                </c:pt>
                <c:pt idx="210">
                  <c:v>0.10496999999999999</c:v>
                </c:pt>
                <c:pt idx="211">
                  <c:v>0.11158999999999999</c:v>
                </c:pt>
                <c:pt idx="212">
                  <c:v>0.11458</c:v>
                </c:pt>
                <c:pt idx="213">
                  <c:v>0.11099000000000001</c:v>
                </c:pt>
                <c:pt idx="214">
                  <c:v>0.10842</c:v>
                </c:pt>
                <c:pt idx="215">
                  <c:v>0.11192000000000001</c:v>
                </c:pt>
                <c:pt idx="216">
                  <c:v>0.10959000000000001</c:v>
                </c:pt>
                <c:pt idx="217">
                  <c:v>0.12789</c:v>
                </c:pt>
                <c:pt idx="218">
                  <c:v>0.12645999999999999</c:v>
                </c:pt>
                <c:pt idx="219">
                  <c:v>0.11097</c:v>
                </c:pt>
                <c:pt idx="220">
                  <c:v>0.11062</c:v>
                </c:pt>
                <c:pt idx="221">
                  <c:v>0.14280000000000001</c:v>
                </c:pt>
                <c:pt idx="222">
                  <c:v>0.13944000000000001</c:v>
                </c:pt>
                <c:pt idx="223">
                  <c:v>0.14082</c:v>
                </c:pt>
                <c:pt idx="224">
                  <c:v>0.15794</c:v>
                </c:pt>
                <c:pt idx="225">
                  <c:v>0.15869</c:v>
                </c:pt>
                <c:pt idx="226">
                  <c:v>0.17468</c:v>
                </c:pt>
                <c:pt idx="227">
                  <c:v>0.18806999999999999</c:v>
                </c:pt>
                <c:pt idx="228">
                  <c:v>0.16200000000000001</c:v>
                </c:pt>
                <c:pt idx="229">
                  <c:v>0.15695999999999999</c:v>
                </c:pt>
                <c:pt idx="230">
                  <c:v>0.16037000000000001</c:v>
                </c:pt>
                <c:pt idx="231">
                  <c:v>0.17693</c:v>
                </c:pt>
                <c:pt idx="232">
                  <c:v>0.193</c:v>
                </c:pt>
                <c:pt idx="233">
                  <c:v>0.17693</c:v>
                </c:pt>
                <c:pt idx="234">
                  <c:v>0.18134</c:v>
                </c:pt>
                <c:pt idx="235">
                  <c:v>0.20535999999999999</c:v>
                </c:pt>
                <c:pt idx="236">
                  <c:v>0.20089000000000001</c:v>
                </c:pt>
                <c:pt idx="237">
                  <c:v>0.20382</c:v>
                </c:pt>
                <c:pt idx="238">
                  <c:v>0.23235</c:v>
                </c:pt>
                <c:pt idx="239">
                  <c:v>0.22931000000000001</c:v>
                </c:pt>
                <c:pt idx="240">
                  <c:v>0.22863</c:v>
                </c:pt>
                <c:pt idx="241">
                  <c:v>0.23382</c:v>
                </c:pt>
                <c:pt idx="242">
                  <c:v>0.22331999999999999</c:v>
                </c:pt>
                <c:pt idx="243">
                  <c:v>0.21554999999999999</c:v>
                </c:pt>
                <c:pt idx="244">
                  <c:v>0.22689000000000001</c:v>
                </c:pt>
                <c:pt idx="245">
                  <c:v>0.26047999999999999</c:v>
                </c:pt>
                <c:pt idx="246">
                  <c:v>0.24753</c:v>
                </c:pt>
                <c:pt idx="247">
                  <c:v>0.20580000000000001</c:v>
                </c:pt>
                <c:pt idx="248">
                  <c:v>0.20108000000000001</c:v>
                </c:pt>
                <c:pt idx="249">
                  <c:v>0.158</c:v>
                </c:pt>
                <c:pt idx="250">
                  <c:v>0.17745</c:v>
                </c:pt>
                <c:pt idx="251">
                  <c:v>0.18715999999999999</c:v>
                </c:pt>
                <c:pt idx="252">
                  <c:v>0.23230999999999999</c:v>
                </c:pt>
                <c:pt idx="253">
                  <c:v>0.20613999999999999</c:v>
                </c:pt>
                <c:pt idx="254">
                  <c:v>0.31566</c:v>
                </c:pt>
                <c:pt idx="255">
                  <c:v>0.30808999999999997</c:v>
                </c:pt>
                <c:pt idx="256">
                  <c:v>0.34456999999999999</c:v>
                </c:pt>
                <c:pt idx="257">
                  <c:v>0.36294999999999999</c:v>
                </c:pt>
                <c:pt idx="258">
                  <c:v>0.40217999999999998</c:v>
                </c:pt>
                <c:pt idx="259">
                  <c:v>0.36114000000000002</c:v>
                </c:pt>
                <c:pt idx="260">
                  <c:v>0.36334</c:v>
                </c:pt>
                <c:pt idx="261">
                  <c:v>0.46248</c:v>
                </c:pt>
                <c:pt idx="262">
                  <c:v>0.44500000000000001</c:v>
                </c:pt>
                <c:pt idx="263">
                  <c:v>0.55732000000000004</c:v>
                </c:pt>
                <c:pt idx="264">
                  <c:v>0.54112000000000005</c:v>
                </c:pt>
                <c:pt idx="265">
                  <c:v>0.55871999999999999</c:v>
                </c:pt>
                <c:pt idx="266">
                  <c:v>0.60201000000000005</c:v>
                </c:pt>
                <c:pt idx="267">
                  <c:v>0.75760000000000005</c:v>
                </c:pt>
                <c:pt idx="268">
                  <c:v>0.58779999999999999</c:v>
                </c:pt>
                <c:pt idx="269">
                  <c:v>0.57845999999999997</c:v>
                </c:pt>
                <c:pt idx="270">
                  <c:v>0.58021</c:v>
                </c:pt>
                <c:pt idx="271">
                  <c:v>0.49767</c:v>
                </c:pt>
                <c:pt idx="272">
                  <c:v>0.48633999999999999</c:v>
                </c:pt>
                <c:pt idx="273">
                  <c:v>0.51241000000000003</c:v>
                </c:pt>
                <c:pt idx="274">
                  <c:v>0.33096999999999999</c:v>
                </c:pt>
                <c:pt idx="275">
                  <c:v>0.34720000000000001</c:v>
                </c:pt>
                <c:pt idx="276">
                  <c:v>0.31873000000000001</c:v>
                </c:pt>
                <c:pt idx="277">
                  <c:v>0.27757999999999999</c:v>
                </c:pt>
                <c:pt idx="278">
                  <c:v>0.28917999999999999</c:v>
                </c:pt>
                <c:pt idx="279">
                  <c:v>0.31034</c:v>
                </c:pt>
                <c:pt idx="280">
                  <c:v>0.35577999999999999</c:v>
                </c:pt>
                <c:pt idx="281">
                  <c:v>0.36299999999999999</c:v>
                </c:pt>
                <c:pt idx="282">
                  <c:v>0.39867999999999998</c:v>
                </c:pt>
                <c:pt idx="283">
                  <c:v>0.40142</c:v>
                </c:pt>
                <c:pt idx="284">
                  <c:v>0.45340000000000003</c:v>
                </c:pt>
                <c:pt idx="285">
                  <c:v>0.44352000000000003</c:v>
                </c:pt>
                <c:pt idx="286">
                  <c:v>0.43017</c:v>
                </c:pt>
                <c:pt idx="287">
                  <c:v>0.45029000000000002</c:v>
                </c:pt>
                <c:pt idx="288">
                  <c:v>0.42749999999999999</c:v>
                </c:pt>
                <c:pt idx="289">
                  <c:v>0.44268999999999997</c:v>
                </c:pt>
                <c:pt idx="290">
                  <c:v>0.43275000000000002</c:v>
                </c:pt>
                <c:pt idx="291">
                  <c:v>0.46000999999999997</c:v>
                </c:pt>
                <c:pt idx="292">
                  <c:v>0.42301</c:v>
                </c:pt>
                <c:pt idx="293">
                  <c:v>0.40699000000000002</c:v>
                </c:pt>
                <c:pt idx="294">
                  <c:v>0.39511000000000002</c:v>
                </c:pt>
                <c:pt idx="295">
                  <c:v>0.36765999999999999</c:v>
                </c:pt>
                <c:pt idx="296">
                  <c:v>0.38379000000000002</c:v>
                </c:pt>
                <c:pt idx="297">
                  <c:v>0.36257</c:v>
                </c:pt>
                <c:pt idx="298">
                  <c:v>0.35299999999999998</c:v>
                </c:pt>
                <c:pt idx="299">
                  <c:v>0.33499000000000001</c:v>
                </c:pt>
                <c:pt idx="300">
                  <c:v>0.34</c:v>
                </c:pt>
                <c:pt idx="301">
                  <c:v>0.33917000000000003</c:v>
                </c:pt>
                <c:pt idx="302">
                  <c:v>0.38150000000000001</c:v>
                </c:pt>
                <c:pt idx="303">
                  <c:v>0.37479000000000001</c:v>
                </c:pt>
                <c:pt idx="304">
                  <c:v>0.37068000000000001</c:v>
                </c:pt>
                <c:pt idx="305">
                  <c:v>0.36199999999999999</c:v>
                </c:pt>
                <c:pt idx="306">
                  <c:v>0.35000999999999999</c:v>
                </c:pt>
                <c:pt idx="307">
                  <c:v>0.30782999999999999</c:v>
                </c:pt>
                <c:pt idx="308">
                  <c:v>0.28659000000000001</c:v>
                </c:pt>
                <c:pt idx="309">
                  <c:v>0.27611999999999998</c:v>
                </c:pt>
                <c:pt idx="310">
                  <c:v>0.28336</c:v>
                </c:pt>
                <c:pt idx="311">
                  <c:v>0.30062</c:v>
                </c:pt>
                <c:pt idx="312">
                  <c:v>0.34567999999999999</c:v>
                </c:pt>
                <c:pt idx="313">
                  <c:v>0.31892999999999999</c:v>
                </c:pt>
                <c:pt idx="314">
                  <c:v>0.32</c:v>
                </c:pt>
                <c:pt idx="315">
                  <c:v>0.28395999999999999</c:v>
                </c:pt>
                <c:pt idx="316">
                  <c:v>0.28978999999999999</c:v>
                </c:pt>
                <c:pt idx="317">
                  <c:v>0.26377</c:v>
                </c:pt>
                <c:pt idx="318">
                  <c:v>0.25946000000000002</c:v>
                </c:pt>
                <c:pt idx="319">
                  <c:v>0.25</c:v>
                </c:pt>
                <c:pt idx="320">
                  <c:v>0.27800000000000002</c:v>
                </c:pt>
                <c:pt idx="321">
                  <c:v>0.23365</c:v>
                </c:pt>
                <c:pt idx="322">
                  <c:v>0.2218</c:v>
                </c:pt>
                <c:pt idx="323">
                  <c:v>0.20735000000000001</c:v>
                </c:pt>
                <c:pt idx="324">
                  <c:v>0.22889999999999999</c:v>
                </c:pt>
                <c:pt idx="325">
                  <c:v>0.19384999999999999</c:v>
                </c:pt>
                <c:pt idx="326">
                  <c:v>0.19857</c:v>
                </c:pt>
                <c:pt idx="327">
                  <c:v>0.20433000000000001</c:v>
                </c:pt>
                <c:pt idx="328">
                  <c:v>0.16377</c:v>
                </c:pt>
                <c:pt idx="329">
                  <c:v>0.16979</c:v>
                </c:pt>
                <c:pt idx="330">
                  <c:v>0.15629000000000001</c:v>
                </c:pt>
                <c:pt idx="331">
                  <c:v>0.14779999999999999</c:v>
                </c:pt>
                <c:pt idx="332">
                  <c:v>0.15901000000000001</c:v>
                </c:pt>
                <c:pt idx="333">
                  <c:v>0.152</c:v>
                </c:pt>
                <c:pt idx="334">
                  <c:v>0.14821000000000001</c:v>
                </c:pt>
                <c:pt idx="335">
                  <c:v>0.14277000000000001</c:v>
                </c:pt>
                <c:pt idx="336">
                  <c:v>0.13700000000000001</c:v>
                </c:pt>
                <c:pt idx="337">
                  <c:v>0.13875999999999999</c:v>
                </c:pt>
                <c:pt idx="338">
                  <c:v>0.13764999999999999</c:v>
                </c:pt>
                <c:pt idx="339">
                  <c:v>0.16955999999999999</c:v>
                </c:pt>
                <c:pt idx="340">
                  <c:v>0.19389000000000001</c:v>
                </c:pt>
                <c:pt idx="341">
                  <c:v>0.19034999999999999</c:v>
                </c:pt>
                <c:pt idx="342">
                  <c:v>0.17699999999999999</c:v>
                </c:pt>
                <c:pt idx="343">
                  <c:v>0.17659</c:v>
                </c:pt>
                <c:pt idx="344">
                  <c:v>0.15390000000000001</c:v>
                </c:pt>
                <c:pt idx="345">
                  <c:v>0.15508</c:v>
                </c:pt>
                <c:pt idx="346">
                  <c:v>0.15196999999999999</c:v>
                </c:pt>
                <c:pt idx="347">
                  <c:v>0.15597</c:v>
                </c:pt>
                <c:pt idx="348">
                  <c:v>0.16725999999999999</c:v>
                </c:pt>
                <c:pt idx="349">
                  <c:v>0.16184000000000001</c:v>
                </c:pt>
                <c:pt idx="350">
                  <c:v>0.13808999999999999</c:v>
                </c:pt>
                <c:pt idx="351">
                  <c:v>0.13000999999999999</c:v>
                </c:pt>
                <c:pt idx="352">
                  <c:v>0.12325</c:v>
                </c:pt>
                <c:pt idx="353">
                  <c:v>0.11763999999999999</c:v>
                </c:pt>
                <c:pt idx="354">
                  <c:v>0.11087</c:v>
                </c:pt>
                <c:pt idx="355">
                  <c:v>0.11287999999999999</c:v>
                </c:pt>
                <c:pt idx="356">
                  <c:v>0.1225</c:v>
                </c:pt>
                <c:pt idx="357">
                  <c:v>0.11768000000000001</c:v>
                </c:pt>
                <c:pt idx="358">
                  <c:v>0.1072</c:v>
                </c:pt>
                <c:pt idx="359">
                  <c:v>0.10093000000000001</c:v>
                </c:pt>
                <c:pt idx="360">
                  <c:v>0.10100000000000001</c:v>
                </c:pt>
                <c:pt idx="361">
                  <c:v>0.10281999999999999</c:v>
                </c:pt>
                <c:pt idx="362">
                  <c:v>9.4490000000000005E-2</c:v>
                </c:pt>
                <c:pt idx="363">
                  <c:v>9.2560000000000003E-2</c:v>
                </c:pt>
                <c:pt idx="364">
                  <c:v>9.5469999999999999E-2</c:v>
                </c:pt>
                <c:pt idx="365">
                  <c:v>9.5610000000000001E-2</c:v>
                </c:pt>
                <c:pt idx="366">
                  <c:v>0.10680000000000001</c:v>
                </c:pt>
                <c:pt idx="367">
                  <c:v>8.9050000000000004E-2</c:v>
                </c:pt>
                <c:pt idx="368">
                  <c:v>9.3170000000000003E-2</c:v>
                </c:pt>
                <c:pt idx="369">
                  <c:v>9.6000000000000002E-2</c:v>
                </c:pt>
                <c:pt idx="370">
                  <c:v>8.7730000000000002E-2</c:v>
                </c:pt>
                <c:pt idx="371">
                  <c:v>8.5150000000000003E-2</c:v>
                </c:pt>
                <c:pt idx="372">
                  <c:v>9.5000000000000001E-2</c:v>
                </c:pt>
                <c:pt idx="373">
                  <c:v>8.3940000000000001E-2</c:v>
                </c:pt>
                <c:pt idx="374">
                  <c:v>9.2399999999999996E-2</c:v>
                </c:pt>
                <c:pt idx="375">
                  <c:v>8.8730000000000003E-2</c:v>
                </c:pt>
                <c:pt idx="376">
                  <c:v>7.8969999999999999E-2</c:v>
                </c:pt>
                <c:pt idx="377">
                  <c:v>8.3860000000000004E-2</c:v>
                </c:pt>
                <c:pt idx="378">
                  <c:v>8.3680000000000004E-2</c:v>
                </c:pt>
                <c:pt idx="379">
                  <c:v>7.7929999999999999E-2</c:v>
                </c:pt>
                <c:pt idx="380">
                  <c:v>7.8380000000000005E-2</c:v>
                </c:pt>
                <c:pt idx="381">
                  <c:v>7.5270000000000004E-2</c:v>
                </c:pt>
                <c:pt idx="382">
                  <c:v>7.8229999999999994E-2</c:v>
                </c:pt>
                <c:pt idx="383">
                  <c:v>8.2100000000000006E-2</c:v>
                </c:pt>
                <c:pt idx="384">
                  <c:v>7.4980000000000005E-2</c:v>
                </c:pt>
                <c:pt idx="385">
                  <c:v>7.8109999999999999E-2</c:v>
                </c:pt>
                <c:pt idx="386">
                  <c:v>7.3950000000000002E-2</c:v>
                </c:pt>
                <c:pt idx="387">
                  <c:v>6.8879999999999997E-2</c:v>
                </c:pt>
                <c:pt idx="388">
                  <c:v>6.9699999999999998E-2</c:v>
                </c:pt>
                <c:pt idx="389">
                  <c:v>6.6000000000000003E-2</c:v>
                </c:pt>
                <c:pt idx="390">
                  <c:v>6.6000000000000003E-2</c:v>
                </c:pt>
                <c:pt idx="391">
                  <c:v>6.2799999999999995E-2</c:v>
                </c:pt>
                <c:pt idx="392">
                  <c:v>6.0580000000000002E-2</c:v>
                </c:pt>
                <c:pt idx="393">
                  <c:v>5.8340000000000003E-2</c:v>
                </c:pt>
                <c:pt idx="394">
                  <c:v>5.8229999999999997E-2</c:v>
                </c:pt>
                <c:pt idx="395">
                  <c:v>6.0130000000000003E-2</c:v>
                </c:pt>
                <c:pt idx="396">
                  <c:v>5.9069999999999998E-2</c:v>
                </c:pt>
                <c:pt idx="397">
                  <c:v>5.4339999999999999E-2</c:v>
                </c:pt>
                <c:pt idx="398">
                  <c:v>5.289E-2</c:v>
                </c:pt>
                <c:pt idx="399">
                  <c:v>5.697E-2</c:v>
                </c:pt>
                <c:pt idx="400">
                  <c:v>5.0709999999999998E-2</c:v>
                </c:pt>
                <c:pt idx="401">
                  <c:v>6.0990000000000003E-2</c:v>
                </c:pt>
                <c:pt idx="402">
                  <c:v>6.1830000000000003E-2</c:v>
                </c:pt>
                <c:pt idx="403">
                  <c:v>6.3920000000000005E-2</c:v>
                </c:pt>
                <c:pt idx="404">
                  <c:v>6.2560000000000004E-2</c:v>
                </c:pt>
                <c:pt idx="405">
                  <c:v>6.0990000000000003E-2</c:v>
                </c:pt>
                <c:pt idx="406">
                  <c:v>5.8439999999999999E-2</c:v>
                </c:pt>
                <c:pt idx="407">
                  <c:v>6.198E-2</c:v>
                </c:pt>
                <c:pt idx="408">
                  <c:v>6.3460000000000003E-2</c:v>
                </c:pt>
                <c:pt idx="409">
                  <c:v>6.5670000000000006E-2</c:v>
                </c:pt>
                <c:pt idx="410">
                  <c:v>6.2780000000000002E-2</c:v>
                </c:pt>
                <c:pt idx="411">
                  <c:v>6.1800000000000001E-2</c:v>
                </c:pt>
                <c:pt idx="412">
                  <c:v>5.7329999999999999E-2</c:v>
                </c:pt>
                <c:pt idx="413">
                  <c:v>6.0170000000000001E-2</c:v>
                </c:pt>
                <c:pt idx="414">
                  <c:v>6.1710000000000001E-2</c:v>
                </c:pt>
                <c:pt idx="415">
                  <c:v>6.148E-2</c:v>
                </c:pt>
                <c:pt idx="416">
                  <c:v>6.9099999999999995E-2</c:v>
                </c:pt>
                <c:pt idx="417">
                  <c:v>6.8820000000000006E-2</c:v>
                </c:pt>
                <c:pt idx="418">
                  <c:v>7.4179999999999996E-2</c:v>
                </c:pt>
                <c:pt idx="419">
                  <c:v>6.6869999999999999E-2</c:v>
                </c:pt>
                <c:pt idx="420">
                  <c:v>7.4639999999999998E-2</c:v>
                </c:pt>
                <c:pt idx="421">
                  <c:v>8.0259999999999998E-2</c:v>
                </c:pt>
                <c:pt idx="422">
                  <c:v>8.5019999999999998E-2</c:v>
                </c:pt>
                <c:pt idx="423">
                  <c:v>9.6850000000000006E-2</c:v>
                </c:pt>
                <c:pt idx="424">
                  <c:v>9.7809999999999994E-2</c:v>
                </c:pt>
                <c:pt idx="425">
                  <c:v>9.3659999999999993E-2</c:v>
                </c:pt>
                <c:pt idx="426">
                  <c:v>8.3769999999999997E-2</c:v>
                </c:pt>
                <c:pt idx="427">
                  <c:v>7.8140000000000001E-2</c:v>
                </c:pt>
                <c:pt idx="428">
                  <c:v>9.3259999999999996E-2</c:v>
                </c:pt>
                <c:pt idx="429">
                  <c:v>9.1609999999999997E-2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D6D-A4ED-44C3A47374D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-8.2851122608747918</c:v>
                </c:pt>
                <c:pt idx="1">
                  <c:v>-8.2802576234759471</c:v>
                </c:pt>
                <c:pt idx="2">
                  <c:v>-8.2158795068821604</c:v>
                </c:pt>
                <c:pt idx="3">
                  <c:v>-8.1780210978002756</c:v>
                </c:pt>
                <c:pt idx="4">
                  <c:v>-8.2306797621731924</c:v>
                </c:pt>
                <c:pt idx="5">
                  <c:v>-8.2946948986437814</c:v>
                </c:pt>
                <c:pt idx="6">
                  <c:v>-8.2414292720221187</c:v>
                </c:pt>
                <c:pt idx="7">
                  <c:v>-8.0851819095559936</c:v>
                </c:pt>
                <c:pt idx="8">
                  <c:v>-7.9750878328720569</c:v>
                </c:pt>
                <c:pt idx="9">
                  <c:v>-7.9433732644613952</c:v>
                </c:pt>
                <c:pt idx="10">
                  <c:v>-8.026150076210806</c:v>
                </c:pt>
                <c:pt idx="11">
                  <c:v>-7.9656791929357649</c:v>
                </c:pt>
                <c:pt idx="12">
                  <c:v>-7.9241339072214796</c:v>
                </c:pt>
                <c:pt idx="13">
                  <c:v>-8.0492545847427497</c:v>
                </c:pt>
                <c:pt idx="14">
                  <c:v>-8.148808699131683</c:v>
                </c:pt>
                <c:pt idx="15">
                  <c:v>-8.0310581880898635</c:v>
                </c:pt>
                <c:pt idx="16">
                  <c:v>-8.1108250450428034</c:v>
                </c:pt>
                <c:pt idx="17">
                  <c:v>-8.1036635337311314</c:v>
                </c:pt>
                <c:pt idx="18">
                  <c:v>-8.2504129110774578</c:v>
                </c:pt>
                <c:pt idx="19">
                  <c:v>-8.2707117202824776</c:v>
                </c:pt>
                <c:pt idx="20">
                  <c:v>-8.1865724541667753</c:v>
                </c:pt>
                <c:pt idx="21">
                  <c:v>-8.0689829533488755</c:v>
                </c:pt>
                <c:pt idx="22">
                  <c:v>-8.1125983378278814</c:v>
                </c:pt>
                <c:pt idx="23">
                  <c:v>-7.9883976959674152</c:v>
                </c:pt>
                <c:pt idx="24">
                  <c:v>-7.9251355646010779</c:v>
                </c:pt>
                <c:pt idx="25">
                  <c:v>-7.730141484346654</c:v>
                </c:pt>
                <c:pt idx="26">
                  <c:v>-7.5123917515847483</c:v>
                </c:pt>
                <c:pt idx="27">
                  <c:v>-7.7721384114571785</c:v>
                </c:pt>
                <c:pt idx="28">
                  <c:v>-7.7435487540130312</c:v>
                </c:pt>
                <c:pt idx="29">
                  <c:v>-8.1103760655498291</c:v>
                </c:pt>
                <c:pt idx="30">
                  <c:v>-8.1433736176456382</c:v>
                </c:pt>
                <c:pt idx="31">
                  <c:v>-7.7691901920794191</c:v>
                </c:pt>
                <c:pt idx="32">
                  <c:v>-7.831278023203228</c:v>
                </c:pt>
                <c:pt idx="33">
                  <c:v>-7.9244353748548804</c:v>
                </c:pt>
                <c:pt idx="34">
                  <c:v>-7.9148998236920898</c:v>
                </c:pt>
                <c:pt idx="35">
                  <c:v>-7.854344107424283</c:v>
                </c:pt>
                <c:pt idx="36">
                  <c:v>-7.8828933505930081</c:v>
                </c:pt>
                <c:pt idx="37">
                  <c:v>-7.8192632017930084</c:v>
                </c:pt>
                <c:pt idx="38">
                  <c:v>-7.8874330269703119</c:v>
                </c:pt>
                <c:pt idx="39">
                  <c:v>-7.904146295821243</c:v>
                </c:pt>
                <c:pt idx="40">
                  <c:v>-7.8115258792092863</c:v>
                </c:pt>
                <c:pt idx="41">
                  <c:v>-7.8973309638422382</c:v>
                </c:pt>
                <c:pt idx="42">
                  <c:v>-7.7143502323408217</c:v>
                </c:pt>
                <c:pt idx="43">
                  <c:v>-7.6353214500429507</c:v>
                </c:pt>
                <c:pt idx="44">
                  <c:v>-7.6964542754883709</c:v>
                </c:pt>
                <c:pt idx="45">
                  <c:v>-8.0167569701037547</c:v>
                </c:pt>
                <c:pt idx="46">
                  <c:v>-8.3250186707147531</c:v>
                </c:pt>
                <c:pt idx="47">
                  <c:v>-8.263269261665517</c:v>
                </c:pt>
                <c:pt idx="48">
                  <c:v>-8.2730292148410047</c:v>
                </c:pt>
                <c:pt idx="49">
                  <c:v>-8.2559839469590077</c:v>
                </c:pt>
                <c:pt idx="50">
                  <c:v>-8.1296104087008292</c:v>
                </c:pt>
                <c:pt idx="51">
                  <c:v>-8.2068733041493349</c:v>
                </c:pt>
                <c:pt idx="52">
                  <c:v>-8.0491144774062509</c:v>
                </c:pt>
                <c:pt idx="53">
                  <c:v>-8.1031567611654474</c:v>
                </c:pt>
                <c:pt idx="54">
                  <c:v>-8.1174479656290028</c:v>
                </c:pt>
                <c:pt idx="55">
                  <c:v>-8.1850968228444838</c:v>
                </c:pt>
                <c:pt idx="56">
                  <c:v>-8.1701449058821503</c:v>
                </c:pt>
                <c:pt idx="57">
                  <c:v>-8.0137855152132254</c:v>
                </c:pt>
                <c:pt idx="58">
                  <c:v>-8.1946653422912235</c:v>
                </c:pt>
                <c:pt idx="59">
                  <c:v>-8.2343117134819614</c:v>
                </c:pt>
                <c:pt idx="60">
                  <c:v>-8.9366701203023027</c:v>
                </c:pt>
                <c:pt idx="61">
                  <c:v>-9.504083710667599</c:v>
                </c:pt>
                <c:pt idx="62">
                  <c:v>-9.3857749725332713</c:v>
                </c:pt>
                <c:pt idx="63">
                  <c:v>-9.3905708941999375</c:v>
                </c:pt>
                <c:pt idx="64">
                  <c:v>-9.2552481180433546</c:v>
                </c:pt>
                <c:pt idx="65">
                  <c:v>-9.2235680136336331</c:v>
                </c:pt>
                <c:pt idx="66">
                  <c:v>-9.4229977139208394</c:v>
                </c:pt>
                <c:pt idx="67">
                  <c:v>-9.5479719210833736</c:v>
                </c:pt>
                <c:pt idx="68">
                  <c:v>-9.4848582520025939</c:v>
                </c:pt>
                <c:pt idx="69">
                  <c:v>-9.4691855314112523</c:v>
                </c:pt>
                <c:pt idx="70">
                  <c:v>-9.5241585902569934</c:v>
                </c:pt>
                <c:pt idx="71">
                  <c:v>-9.4611011874701063</c:v>
                </c:pt>
                <c:pt idx="72">
                  <c:v>-9.4366002783960337</c:v>
                </c:pt>
                <c:pt idx="73">
                  <c:v>-9.2691443667701989</c:v>
                </c:pt>
                <c:pt idx="74">
                  <c:v>-9.21179149830866</c:v>
                </c:pt>
                <c:pt idx="75">
                  <c:v>-9.2569679875512509</c:v>
                </c:pt>
                <c:pt idx="76">
                  <c:v>-9.2313761854707135</c:v>
                </c:pt>
                <c:pt idx="77">
                  <c:v>-9.0800026518755477</c:v>
                </c:pt>
                <c:pt idx="78">
                  <c:v>-9.0994574078626034</c:v>
                </c:pt>
                <c:pt idx="79">
                  <c:v>-9.0456507341898753</c:v>
                </c:pt>
                <c:pt idx="80">
                  <c:v>-8.9330796947403339</c:v>
                </c:pt>
                <c:pt idx="81">
                  <c:v>-8.937354953885464</c:v>
                </c:pt>
                <c:pt idx="82">
                  <c:v>-8.9073894687635136</c:v>
                </c:pt>
                <c:pt idx="83">
                  <c:v>-8.3789325478096011</c:v>
                </c:pt>
                <c:pt idx="84">
                  <c:v>-7.4080235968257</c:v>
                </c:pt>
                <c:pt idx="85">
                  <c:v>-7.1796146099835942</c:v>
                </c:pt>
                <c:pt idx="86">
                  <c:v>-7.2115857515723789</c:v>
                </c:pt>
                <c:pt idx="87">
                  <c:v>-7.2045836782996515</c:v>
                </c:pt>
                <c:pt idx="88">
                  <c:v>-7.2243487818710799</c:v>
                </c:pt>
                <c:pt idx="89">
                  <c:v>-7.2069818786126536</c:v>
                </c:pt>
                <c:pt idx="90">
                  <c:v>-7.0439752061488852</c:v>
                </c:pt>
                <c:pt idx="91">
                  <c:v>-6.9970294008519733</c:v>
                </c:pt>
                <c:pt idx="92">
                  <c:v>-7.0076900189582858</c:v>
                </c:pt>
                <c:pt idx="93">
                  <c:v>-6.9085983646505937</c:v>
                </c:pt>
                <c:pt idx="94">
                  <c:v>-6.8389295101051397</c:v>
                </c:pt>
                <c:pt idx="95">
                  <c:v>-6.8338431517858105</c:v>
                </c:pt>
                <c:pt idx="96">
                  <c:v>-6.7248735407667031</c:v>
                </c:pt>
                <c:pt idx="97">
                  <c:v>-6.0372220543227879</c:v>
                </c:pt>
                <c:pt idx="98">
                  <c:v>-5.9678136640350177</c:v>
                </c:pt>
                <c:pt idx="99">
                  <c:v>-5.8549877094337912</c:v>
                </c:pt>
                <c:pt idx="100">
                  <c:v>-5.9867632948735299</c:v>
                </c:pt>
                <c:pt idx="101">
                  <c:v>-5.7394876363230711</c:v>
                </c:pt>
                <c:pt idx="102">
                  <c:v>-4.5597966281553006</c:v>
                </c:pt>
                <c:pt idx="103">
                  <c:v>-3.501748823755964</c:v>
                </c:pt>
                <c:pt idx="104">
                  <c:v>-3.5235077921343425</c:v>
                </c:pt>
                <c:pt idx="105">
                  <c:v>-3.510918401602428</c:v>
                </c:pt>
                <c:pt idx="106">
                  <c:v>-3.4922542031099653</c:v>
                </c:pt>
                <c:pt idx="107">
                  <c:v>-3.4888058112242515</c:v>
                </c:pt>
                <c:pt idx="108">
                  <c:v>-3.4961371703151607</c:v>
                </c:pt>
                <c:pt idx="109">
                  <c:v>-3.4877281401164857</c:v>
                </c:pt>
                <c:pt idx="110">
                  <c:v>-3.4595269361287553</c:v>
                </c:pt>
                <c:pt idx="111">
                  <c:v>-3.4439040353157475</c:v>
                </c:pt>
                <c:pt idx="112">
                  <c:v>-3.4108998053157475</c:v>
                </c:pt>
                <c:pt idx="113">
                  <c:v>-3.4050288588586044</c:v>
                </c:pt>
                <c:pt idx="114">
                  <c:v>-3.4089616709836039</c:v>
                </c:pt>
                <c:pt idx="115">
                  <c:v>-3.4162561206186406</c:v>
                </c:pt>
                <c:pt idx="116">
                  <c:v>-3.4451208889603495</c:v>
                </c:pt>
                <c:pt idx="117">
                  <c:v>-3.4341193390936828</c:v>
                </c:pt>
                <c:pt idx="118">
                  <c:v>-3.4041655383178204</c:v>
                </c:pt>
                <c:pt idx="119">
                  <c:v>-3.4327001409938767</c:v>
                </c:pt>
                <c:pt idx="120">
                  <c:v>-3.4411576296037421</c:v>
                </c:pt>
                <c:pt idx="121">
                  <c:v>-3.4236895645359908</c:v>
                </c:pt>
                <c:pt idx="122">
                  <c:v>-3.391258689015991</c:v>
                </c:pt>
                <c:pt idx="123">
                  <c:v>-3.3351616290736281</c:v>
                </c:pt>
                <c:pt idx="124">
                  <c:v>-3.3592278589327829</c:v>
                </c:pt>
                <c:pt idx="125">
                  <c:v>-3.1128006072016903</c:v>
                </c:pt>
                <c:pt idx="126">
                  <c:v>-3.168436228747145</c:v>
                </c:pt>
                <c:pt idx="127">
                  <c:v>-3.1819979671107812</c:v>
                </c:pt>
                <c:pt idx="128">
                  <c:v>-3.2514105320797251</c:v>
                </c:pt>
                <c:pt idx="129">
                  <c:v>-3.1321015285982443</c:v>
                </c:pt>
                <c:pt idx="130">
                  <c:v>-3.0024997608343398</c:v>
                </c:pt>
                <c:pt idx="131">
                  <c:v>-2.9284589015865521</c:v>
                </c:pt>
                <c:pt idx="132">
                  <c:v>-2.4763211878277427</c:v>
                </c:pt>
                <c:pt idx="133">
                  <c:v>-2.4484156880980126</c:v>
                </c:pt>
                <c:pt idx="134">
                  <c:v>-2.4130314350894166</c:v>
                </c:pt>
                <c:pt idx="135">
                  <c:v>-2.4278952143501171</c:v>
                </c:pt>
                <c:pt idx="136">
                  <c:v>-2.4606314151001176</c:v>
                </c:pt>
                <c:pt idx="137">
                  <c:v>-2.4460334453401176</c:v>
                </c:pt>
                <c:pt idx="138">
                  <c:v>-2.4177293019870016</c:v>
                </c:pt>
                <c:pt idx="139">
                  <c:v>-2.4048270534826028</c:v>
                </c:pt>
                <c:pt idx="140">
                  <c:v>-2.3632959763773398</c:v>
                </c:pt>
                <c:pt idx="141">
                  <c:v>-2.239636399860486</c:v>
                </c:pt>
                <c:pt idx="142">
                  <c:v>-2.1463234887894873</c:v>
                </c:pt>
                <c:pt idx="143">
                  <c:v>-1.0553242980504434</c:v>
                </c:pt>
                <c:pt idx="144">
                  <c:v>-1.9704024879889779</c:v>
                </c:pt>
                <c:pt idx="145">
                  <c:v>-1.9666483877590926</c:v>
                </c:pt>
                <c:pt idx="146">
                  <c:v>-1.9521522418471429</c:v>
                </c:pt>
                <c:pt idx="147">
                  <c:v>-1.9585111972363645</c:v>
                </c:pt>
                <c:pt idx="148">
                  <c:v>-1.5944557972897131</c:v>
                </c:pt>
                <c:pt idx="149">
                  <c:v>-1.618027101343767</c:v>
                </c:pt>
                <c:pt idx="150">
                  <c:v>-1.5903364840806091</c:v>
                </c:pt>
                <c:pt idx="151">
                  <c:v>-1.5811090926520379</c:v>
                </c:pt>
                <c:pt idx="152">
                  <c:v>-1.5946803280534978</c:v>
                </c:pt>
                <c:pt idx="153">
                  <c:v>-1.5727090668878534</c:v>
                </c:pt>
                <c:pt idx="154">
                  <c:v>-1.5916389611378536</c:v>
                </c:pt>
                <c:pt idx="155">
                  <c:v>-1.5427426309917973</c:v>
                </c:pt>
                <c:pt idx="156">
                  <c:v>-1.6146667233864642</c:v>
                </c:pt>
                <c:pt idx="157">
                  <c:v>-1.5339582388192512</c:v>
                </c:pt>
                <c:pt idx="158">
                  <c:v>-1.5537817928725841</c:v>
                </c:pt>
                <c:pt idx="159">
                  <c:v>-1.5396088090402491</c:v>
                </c:pt>
                <c:pt idx="160">
                  <c:v>-1.3611657690828185</c:v>
                </c:pt>
                <c:pt idx="161">
                  <c:v>-0.34907068118043527</c:v>
                </c:pt>
                <c:pt idx="162">
                  <c:v>-0.61494784189527762</c:v>
                </c:pt>
                <c:pt idx="163">
                  <c:v>-0.59544211447305539</c:v>
                </c:pt>
                <c:pt idx="164">
                  <c:v>-0.56583292507748795</c:v>
                </c:pt>
                <c:pt idx="165">
                  <c:v>-0.55145295432707842</c:v>
                </c:pt>
                <c:pt idx="166">
                  <c:v>-0.56542038188049015</c:v>
                </c:pt>
                <c:pt idx="167">
                  <c:v>-0.56190885079046704</c:v>
                </c:pt>
                <c:pt idx="168">
                  <c:v>-0.5774893611581382</c:v>
                </c:pt>
                <c:pt idx="169">
                  <c:v>-0.60504005792511062</c:v>
                </c:pt>
                <c:pt idx="170">
                  <c:v>-0.61952334112791052</c:v>
                </c:pt>
                <c:pt idx="171">
                  <c:v>-0.63346959785475976</c:v>
                </c:pt>
                <c:pt idx="172">
                  <c:v>-0.65660435526131511</c:v>
                </c:pt>
                <c:pt idx="173">
                  <c:v>-0.63533465748852602</c:v>
                </c:pt>
                <c:pt idx="174">
                  <c:v>-0.6459210299893462</c:v>
                </c:pt>
                <c:pt idx="175">
                  <c:v>-0.67395095671268901</c:v>
                </c:pt>
                <c:pt idx="176">
                  <c:v>-0.70395713672787497</c:v>
                </c:pt>
                <c:pt idx="177">
                  <c:v>-0.72306923392493738</c:v>
                </c:pt>
                <c:pt idx="178">
                  <c:v>-0.72311343849318244</c:v>
                </c:pt>
                <c:pt idx="179">
                  <c:v>-0.71137653783554711</c:v>
                </c:pt>
                <c:pt idx="180">
                  <c:v>-0.69991369088639455</c:v>
                </c:pt>
                <c:pt idx="181">
                  <c:v>-0.70983858148318479</c:v>
                </c:pt>
                <c:pt idx="182">
                  <c:v>-0.71371117618859026</c:v>
                </c:pt>
                <c:pt idx="183">
                  <c:v>-0.73831438633891699</c:v>
                </c:pt>
                <c:pt idx="184">
                  <c:v>-0.74252700453986742</c:v>
                </c:pt>
                <c:pt idx="185">
                  <c:v>-0.74664206595847227</c:v>
                </c:pt>
                <c:pt idx="186">
                  <c:v>-0.74675311922411891</c:v>
                </c:pt>
                <c:pt idx="187">
                  <c:v>-0.75856516708618793</c:v>
                </c:pt>
                <c:pt idx="188">
                  <c:v>-0.77940636431342691</c:v>
                </c:pt>
                <c:pt idx="189">
                  <c:v>-0.79316659294555136</c:v>
                </c:pt>
                <c:pt idx="190">
                  <c:v>-0.78545007564449221</c:v>
                </c:pt>
                <c:pt idx="191">
                  <c:v>-0.79108365969268502</c:v>
                </c:pt>
                <c:pt idx="192">
                  <c:v>-0.79271959654068491</c:v>
                </c:pt>
                <c:pt idx="193">
                  <c:v>-0.77909213572235569</c:v>
                </c:pt>
                <c:pt idx="194">
                  <c:v>-0.76746974420965364</c:v>
                </c:pt>
                <c:pt idx="195">
                  <c:v>-0.76044376706518413</c:v>
                </c:pt>
                <c:pt idx="196">
                  <c:v>-0.7231431119954167</c:v>
                </c:pt>
                <c:pt idx="197">
                  <c:v>-0.71007387842732161</c:v>
                </c:pt>
                <c:pt idx="198">
                  <c:v>-0.7163744567343755</c:v>
                </c:pt>
                <c:pt idx="199">
                  <c:v>-0.7128189933751522</c:v>
                </c:pt>
                <c:pt idx="200">
                  <c:v>-0.65402400691930485</c:v>
                </c:pt>
                <c:pt idx="201">
                  <c:v>-0.70218583398249412</c:v>
                </c:pt>
                <c:pt idx="202">
                  <c:v>-0.66571231170667122</c:v>
                </c:pt>
                <c:pt idx="203">
                  <c:v>-0.66131293471268338</c:v>
                </c:pt>
                <c:pt idx="204">
                  <c:v>-0.63216977534426222</c:v>
                </c:pt>
                <c:pt idx="205">
                  <c:v>-0.64000005107579638</c:v>
                </c:pt>
                <c:pt idx="206">
                  <c:v>-0.62615132687752673</c:v>
                </c:pt>
                <c:pt idx="207">
                  <c:v>-0.60881288309156578</c:v>
                </c:pt>
                <c:pt idx="208">
                  <c:v>-0.62419129868182366</c:v>
                </c:pt>
                <c:pt idx="209">
                  <c:v>-0.56168916804546043</c:v>
                </c:pt>
                <c:pt idx="210">
                  <c:v>-0.70719473290836798</c:v>
                </c:pt>
                <c:pt idx="211">
                  <c:v>-0.69985783783757149</c:v>
                </c:pt>
                <c:pt idx="212">
                  <c:v>-0.70903759331620397</c:v>
                </c:pt>
                <c:pt idx="213">
                  <c:v>-0.73058984386835124</c:v>
                </c:pt>
                <c:pt idx="214">
                  <c:v>-0.75930851339948946</c:v>
                </c:pt>
                <c:pt idx="215">
                  <c:v>-0.76135177134115617</c:v>
                </c:pt>
                <c:pt idx="216">
                  <c:v>-0.78079908852219804</c:v>
                </c:pt>
                <c:pt idx="217">
                  <c:v>-0.76223485310969796</c:v>
                </c:pt>
                <c:pt idx="218">
                  <c:v>-0.75243904051173005</c:v>
                </c:pt>
                <c:pt idx="219">
                  <c:v>-0.76995627748852613</c:v>
                </c:pt>
                <c:pt idx="220">
                  <c:v>-0.75221666328212811</c:v>
                </c:pt>
                <c:pt idx="221">
                  <c:v>-0.73389214408492043</c:v>
                </c:pt>
                <c:pt idx="222">
                  <c:v>-0.75008742565248798</c:v>
                </c:pt>
                <c:pt idx="223">
                  <c:v>-0.7305355324949927</c:v>
                </c:pt>
                <c:pt idx="224">
                  <c:v>-0.70451198339040644</c:v>
                </c:pt>
                <c:pt idx="225">
                  <c:v>-0.69464245961649329</c:v>
                </c:pt>
                <c:pt idx="226">
                  <c:v>-0.68233606078402353</c:v>
                </c:pt>
                <c:pt idx="227">
                  <c:v>-0.66886762379767239</c:v>
                </c:pt>
                <c:pt idx="228">
                  <c:v>-0.71281410124182953</c:v>
                </c:pt>
                <c:pt idx="229">
                  <c:v>-0.71603265521437165</c:v>
                </c:pt>
                <c:pt idx="230">
                  <c:v>-0.7240936810400127</c:v>
                </c:pt>
                <c:pt idx="231">
                  <c:v>-0.70114182345380582</c:v>
                </c:pt>
                <c:pt idx="232">
                  <c:v>-0.69215026397160018</c:v>
                </c:pt>
                <c:pt idx="233">
                  <c:v>-0.70058338500948925</c:v>
                </c:pt>
                <c:pt idx="234">
                  <c:v>-0.71137534446615946</c:v>
                </c:pt>
                <c:pt idx="235">
                  <c:v>-0.7001894665128674</c:v>
                </c:pt>
                <c:pt idx="236">
                  <c:v>-0.71240885538124865</c:v>
                </c:pt>
                <c:pt idx="237">
                  <c:v>-0.70144708477352979</c:v>
                </c:pt>
                <c:pt idx="238">
                  <c:v>-0.68469802256884971</c:v>
                </c:pt>
                <c:pt idx="239">
                  <c:v>-0.68353555459215487</c:v>
                </c:pt>
                <c:pt idx="240">
                  <c:v>-0.68210580504655816</c:v>
                </c:pt>
                <c:pt idx="241">
                  <c:v>-0.68132774580529054</c:v>
                </c:pt>
                <c:pt idx="242">
                  <c:v>-0.68370868722059741</c:v>
                </c:pt>
                <c:pt idx="243">
                  <c:v>-0.68660325485956819</c:v>
                </c:pt>
                <c:pt idx="244">
                  <c:v>-0.67750307862493131</c:v>
                </c:pt>
                <c:pt idx="245">
                  <c:v>-0.67089541594650359</c:v>
                </c:pt>
                <c:pt idx="246">
                  <c:v>-0.68861238962830351</c:v>
                </c:pt>
                <c:pt idx="247">
                  <c:v>-0.70519750031849804</c:v>
                </c:pt>
                <c:pt idx="248">
                  <c:v>-0.70502638662120898</c:v>
                </c:pt>
                <c:pt idx="249">
                  <c:v>-0.72035823897261642</c:v>
                </c:pt>
                <c:pt idx="250">
                  <c:v>-0.72222984079966102</c:v>
                </c:pt>
                <c:pt idx="251">
                  <c:v>-0.72047158681053058</c:v>
                </c:pt>
                <c:pt idx="252">
                  <c:v>-0.70759740290534689</c:v>
                </c:pt>
                <c:pt idx="253">
                  <c:v>-0.72503009977700472</c:v>
                </c:pt>
                <c:pt idx="254">
                  <c:v>-0.70025424301415473</c:v>
                </c:pt>
                <c:pt idx="255">
                  <c:v>-0.70028834425675823</c:v>
                </c:pt>
                <c:pt idx="256">
                  <c:v>-0.68387170741313441</c:v>
                </c:pt>
                <c:pt idx="257">
                  <c:v>-0.66970099293445995</c:v>
                </c:pt>
                <c:pt idx="258">
                  <c:v>-0.65286945087239412</c:v>
                </c:pt>
                <c:pt idx="259">
                  <c:v>-0.66593479036289327</c:v>
                </c:pt>
                <c:pt idx="260">
                  <c:v>-0.6374265202719599</c:v>
                </c:pt>
                <c:pt idx="261">
                  <c:v>-0.57376297643741436</c:v>
                </c:pt>
                <c:pt idx="262">
                  <c:v>-0.58725445818094901</c:v>
                </c:pt>
                <c:pt idx="263">
                  <c:v>-0.53548180772748621</c:v>
                </c:pt>
                <c:pt idx="264">
                  <c:v>-0.61645996240132639</c:v>
                </c:pt>
                <c:pt idx="265">
                  <c:v>-0.53641161020440331</c:v>
                </c:pt>
                <c:pt idx="266">
                  <c:v>-0.48083172149557707</c:v>
                </c:pt>
                <c:pt idx="267">
                  <c:v>-0.26751317868144681</c:v>
                </c:pt>
                <c:pt idx="268">
                  <c:v>-0.29745062854687349</c:v>
                </c:pt>
                <c:pt idx="269">
                  <c:v>-0.28887988481772803</c:v>
                </c:pt>
                <c:pt idx="270">
                  <c:v>-0.24288331695437196</c:v>
                </c:pt>
                <c:pt idx="271">
                  <c:v>-0.30314580497819132</c:v>
                </c:pt>
                <c:pt idx="272">
                  <c:v>-0.30664810641121881</c:v>
                </c:pt>
                <c:pt idx="273">
                  <c:v>9.3740603424883995E-2</c:v>
                </c:pt>
                <c:pt idx="274">
                  <c:v>-0.18979742542951392</c:v>
                </c:pt>
                <c:pt idx="275">
                  <c:v>-0.18293287629531477</c:v>
                </c:pt>
                <c:pt idx="276">
                  <c:v>-0.19168511809754912</c:v>
                </c:pt>
                <c:pt idx="277">
                  <c:v>-0.19411707594414659</c:v>
                </c:pt>
                <c:pt idx="278">
                  <c:v>-0.18804627691607478</c:v>
                </c:pt>
                <c:pt idx="279">
                  <c:v>-0.18121041440388969</c:v>
                </c:pt>
                <c:pt idx="280">
                  <c:v>-0.1768315955064714</c:v>
                </c:pt>
                <c:pt idx="281">
                  <c:v>-0.16973643195930158</c:v>
                </c:pt>
                <c:pt idx="282">
                  <c:v>-0.16082586141535088</c:v>
                </c:pt>
                <c:pt idx="283">
                  <c:v>-0.16557555262257825</c:v>
                </c:pt>
                <c:pt idx="284">
                  <c:v>-0.15837395138095114</c:v>
                </c:pt>
                <c:pt idx="285">
                  <c:v>-0.17984449914328457</c:v>
                </c:pt>
                <c:pt idx="286">
                  <c:v>-0.17913998507129453</c:v>
                </c:pt>
                <c:pt idx="287">
                  <c:v>-0.17684494709539972</c:v>
                </c:pt>
                <c:pt idx="288">
                  <c:v>-0.18375994249924071</c:v>
                </c:pt>
                <c:pt idx="289">
                  <c:v>-0.18477177888035631</c:v>
                </c:pt>
                <c:pt idx="290">
                  <c:v>-0.19186798905944999</c:v>
                </c:pt>
                <c:pt idx="291">
                  <c:v>-0.17964177737615064</c:v>
                </c:pt>
                <c:pt idx="292">
                  <c:v>-0.20312197919433247</c:v>
                </c:pt>
                <c:pt idx="293">
                  <c:v>-0.21494032782033248</c:v>
                </c:pt>
                <c:pt idx="294">
                  <c:v>-0.22800722269233251</c:v>
                </c:pt>
                <c:pt idx="295">
                  <c:v>-0.23628910602374043</c:v>
                </c:pt>
                <c:pt idx="296">
                  <c:v>-0.21855547184571225</c:v>
                </c:pt>
                <c:pt idx="297">
                  <c:v>-0.22461692346801337</c:v>
                </c:pt>
                <c:pt idx="298">
                  <c:v>-0.23056670854677833</c:v>
                </c:pt>
                <c:pt idx="299">
                  <c:v>-0.23560781489963648</c:v>
                </c:pt>
                <c:pt idx="300">
                  <c:v>-0.2144744108247702</c:v>
                </c:pt>
                <c:pt idx="301">
                  <c:v>-0.20771484655894742</c:v>
                </c:pt>
                <c:pt idx="302">
                  <c:v>-0.19343824112219829</c:v>
                </c:pt>
                <c:pt idx="303">
                  <c:v>-0.20856783844527521</c:v>
                </c:pt>
                <c:pt idx="304">
                  <c:v>-0.17222774408396418</c:v>
                </c:pt>
                <c:pt idx="305">
                  <c:v>-0.17291756253411522</c:v>
                </c:pt>
                <c:pt idx="306">
                  <c:v>-0.14008885366177484</c:v>
                </c:pt>
                <c:pt idx="307">
                  <c:v>-0.15121100111202687</c:v>
                </c:pt>
                <c:pt idx="308">
                  <c:v>-0.16295114859614945</c:v>
                </c:pt>
                <c:pt idx="309">
                  <c:v>-0.16657292473324942</c:v>
                </c:pt>
                <c:pt idx="310">
                  <c:v>-0.14345398954242547</c:v>
                </c:pt>
                <c:pt idx="311">
                  <c:v>-0.12993129884353583</c:v>
                </c:pt>
                <c:pt idx="312">
                  <c:v>-0.11414577401115251</c:v>
                </c:pt>
                <c:pt idx="313">
                  <c:v>-0.1283976940111525</c:v>
                </c:pt>
                <c:pt idx="314">
                  <c:v>-0.11865756538179324</c:v>
                </c:pt>
                <c:pt idx="315">
                  <c:v>-0.13610472392840797</c:v>
                </c:pt>
                <c:pt idx="316">
                  <c:v>-0.12247618839157241</c:v>
                </c:pt>
                <c:pt idx="317">
                  <c:v>-0.14286730607716194</c:v>
                </c:pt>
                <c:pt idx="318">
                  <c:v>-0.14072331450183576</c:v>
                </c:pt>
                <c:pt idx="319">
                  <c:v>-0.15332644337395981</c:v>
                </c:pt>
                <c:pt idx="320">
                  <c:v>-0.11166638707298895</c:v>
                </c:pt>
                <c:pt idx="321">
                  <c:v>-0.13823949365806093</c:v>
                </c:pt>
                <c:pt idx="322">
                  <c:v>-0.14416837115575393</c:v>
                </c:pt>
                <c:pt idx="323">
                  <c:v>-0.15366152544112274</c:v>
                </c:pt>
                <c:pt idx="324">
                  <c:v>-0.13767667066057168</c:v>
                </c:pt>
                <c:pt idx="325">
                  <c:v>-0.17895020584119212</c:v>
                </c:pt>
                <c:pt idx="326">
                  <c:v>-0.15461714332470866</c:v>
                </c:pt>
                <c:pt idx="327">
                  <c:v>-7.3450734016777583E-2</c:v>
                </c:pt>
                <c:pt idx="328">
                  <c:v>-0.1600389007433502</c:v>
                </c:pt>
                <c:pt idx="329">
                  <c:v>-0.15982360020114056</c:v>
                </c:pt>
                <c:pt idx="330">
                  <c:v>-0.17342420080395574</c:v>
                </c:pt>
                <c:pt idx="331">
                  <c:v>-0.1723100059577149</c:v>
                </c:pt>
                <c:pt idx="332">
                  <c:v>-0.16150316687142049</c:v>
                </c:pt>
                <c:pt idx="333">
                  <c:v>-0.15021660054539576</c:v>
                </c:pt>
                <c:pt idx="334">
                  <c:v>-0.16833043699207406</c:v>
                </c:pt>
                <c:pt idx="335">
                  <c:v>-0.16561637457861256</c:v>
                </c:pt>
                <c:pt idx="336">
                  <c:v>-0.16884164426262152</c:v>
                </c:pt>
                <c:pt idx="337">
                  <c:v>-0.1571559231720433</c:v>
                </c:pt>
                <c:pt idx="338">
                  <c:v>-0.15057572468277292</c:v>
                </c:pt>
                <c:pt idx="339">
                  <c:v>-0.14164643533038082</c:v>
                </c:pt>
                <c:pt idx="340">
                  <c:v>-0.1398325908469906</c:v>
                </c:pt>
                <c:pt idx="341">
                  <c:v>-0.10372923875400117</c:v>
                </c:pt>
                <c:pt idx="342">
                  <c:v>-0.10439138786301581</c:v>
                </c:pt>
                <c:pt idx="343">
                  <c:v>-0.10152931060979686</c:v>
                </c:pt>
                <c:pt idx="344">
                  <c:v>-0.112270188472422</c:v>
                </c:pt>
                <c:pt idx="345">
                  <c:v>-0.1121226962896263</c:v>
                </c:pt>
                <c:pt idx="346">
                  <c:v>-0.10767975230378116</c:v>
                </c:pt>
                <c:pt idx="347">
                  <c:v>-0.10763939331711447</c:v>
                </c:pt>
                <c:pt idx="348">
                  <c:v>-0.10549971980488525</c:v>
                </c:pt>
                <c:pt idx="349">
                  <c:v>-0.10625789689184174</c:v>
                </c:pt>
                <c:pt idx="350">
                  <c:v>-0.12552463961901009</c:v>
                </c:pt>
                <c:pt idx="351">
                  <c:v>-0.1297528984668361</c:v>
                </c:pt>
                <c:pt idx="352">
                  <c:v>-0.14346598411498424</c:v>
                </c:pt>
                <c:pt idx="353">
                  <c:v>-0.14660369613181451</c:v>
                </c:pt>
                <c:pt idx="354">
                  <c:v>-0.15080469883563366</c:v>
                </c:pt>
                <c:pt idx="355">
                  <c:v>-0.15201347170650453</c:v>
                </c:pt>
                <c:pt idx="356">
                  <c:v>-0.14610486707567003</c:v>
                </c:pt>
                <c:pt idx="357">
                  <c:v>-0.14872335695204972</c:v>
                </c:pt>
                <c:pt idx="358">
                  <c:v>-0.1650023026325034</c:v>
                </c:pt>
                <c:pt idx="359">
                  <c:v>-0.16841714073589464</c:v>
                </c:pt>
                <c:pt idx="360">
                  <c:v>-0.16418855298561594</c:v>
                </c:pt>
                <c:pt idx="361">
                  <c:v>-0.16286579616348154</c:v>
                </c:pt>
                <c:pt idx="362">
                  <c:v>-0.16431511690986642</c:v>
                </c:pt>
                <c:pt idx="363">
                  <c:v>-0.1571891444457289</c:v>
                </c:pt>
                <c:pt idx="364">
                  <c:v>-0.15213294324787432</c:v>
                </c:pt>
                <c:pt idx="365">
                  <c:v>-0.14738169465047174</c:v>
                </c:pt>
                <c:pt idx="366">
                  <c:v>-0.12617445774629485</c:v>
                </c:pt>
                <c:pt idx="367">
                  <c:v>-0.16898222121775891</c:v>
                </c:pt>
                <c:pt idx="368">
                  <c:v>-0.15851280640619578</c:v>
                </c:pt>
                <c:pt idx="369">
                  <c:v>-0.15622796321449453</c:v>
                </c:pt>
                <c:pt idx="370">
                  <c:v>-0.16245063381612057</c:v>
                </c:pt>
                <c:pt idx="371">
                  <c:v>-0.16627807030882968</c:v>
                </c:pt>
                <c:pt idx="372">
                  <c:v>-0.13230202675991304</c:v>
                </c:pt>
                <c:pt idx="373">
                  <c:v>-0.14042794199170114</c:v>
                </c:pt>
                <c:pt idx="374">
                  <c:v>-0.13147348687136917</c:v>
                </c:pt>
                <c:pt idx="375">
                  <c:v>-0.13592547269643226</c:v>
                </c:pt>
                <c:pt idx="376">
                  <c:v>-0.14504874823136674</c:v>
                </c:pt>
                <c:pt idx="377">
                  <c:v>-0.13401637481618814</c:v>
                </c:pt>
                <c:pt idx="378">
                  <c:v>-0.14022444603110473</c:v>
                </c:pt>
                <c:pt idx="379">
                  <c:v>-0.14855489478991235</c:v>
                </c:pt>
                <c:pt idx="380">
                  <c:v>-0.14924266685933071</c:v>
                </c:pt>
                <c:pt idx="381">
                  <c:v>-0.1499184524874535</c:v>
                </c:pt>
                <c:pt idx="382">
                  <c:v>-0.15124437757138204</c:v>
                </c:pt>
                <c:pt idx="383">
                  <c:v>-0.15027320341534076</c:v>
                </c:pt>
                <c:pt idx="384">
                  <c:v>-0.15226105921177466</c:v>
                </c:pt>
                <c:pt idx="385">
                  <c:v>-0.14289177461177471</c:v>
                </c:pt>
                <c:pt idx="386">
                  <c:v>-0.13372379128281164</c:v>
                </c:pt>
                <c:pt idx="387">
                  <c:v>-0.14510971676037207</c:v>
                </c:pt>
                <c:pt idx="388">
                  <c:v>-0.15091387166703873</c:v>
                </c:pt>
                <c:pt idx="389">
                  <c:v>-0.15638274957085771</c:v>
                </c:pt>
                <c:pt idx="390">
                  <c:v>-0.15319108647269158</c:v>
                </c:pt>
                <c:pt idx="391">
                  <c:v>-0.1403509151197504</c:v>
                </c:pt>
                <c:pt idx="392">
                  <c:v>-0.1480463067308615</c:v>
                </c:pt>
                <c:pt idx="393">
                  <c:v>-0.14400682880310484</c:v>
                </c:pt>
                <c:pt idx="394">
                  <c:v>-0.13004543658224094</c:v>
                </c:pt>
                <c:pt idx="395">
                  <c:v>-0.12537134010699344</c:v>
                </c:pt>
                <c:pt idx="396">
                  <c:v>-0.12618938863233337</c:v>
                </c:pt>
                <c:pt idx="397">
                  <c:v>-0.12975086324771801</c:v>
                </c:pt>
                <c:pt idx="398">
                  <c:v>-0.13464380806497689</c:v>
                </c:pt>
                <c:pt idx="399">
                  <c:v>-0.1245346191402457</c:v>
                </c:pt>
                <c:pt idx="400">
                  <c:v>-0.13187849044845973</c:v>
                </c:pt>
                <c:pt idx="401">
                  <c:v>-0.12611680720232568</c:v>
                </c:pt>
                <c:pt idx="402">
                  <c:v>-0.13060000090138524</c:v>
                </c:pt>
                <c:pt idx="403">
                  <c:v>-0.11912184435561063</c:v>
                </c:pt>
                <c:pt idx="404">
                  <c:v>-0.1206580918640076</c:v>
                </c:pt>
                <c:pt idx="405">
                  <c:v>-0.11705055120486539</c:v>
                </c:pt>
                <c:pt idx="406">
                  <c:v>-0.10670992200374285</c:v>
                </c:pt>
                <c:pt idx="407">
                  <c:v>-0.10014369842798529</c:v>
                </c:pt>
                <c:pt idx="408">
                  <c:v>-0.10721078046956949</c:v>
                </c:pt>
                <c:pt idx="409">
                  <c:v>-9.2112793602242768E-2</c:v>
                </c:pt>
                <c:pt idx="410">
                  <c:v>-0.1013354005539531</c:v>
                </c:pt>
                <c:pt idx="411">
                  <c:v>-9.85131907679066E-2</c:v>
                </c:pt>
                <c:pt idx="412">
                  <c:v>-0.10316333905362086</c:v>
                </c:pt>
                <c:pt idx="413">
                  <c:v>-0.100763273070184</c:v>
                </c:pt>
                <c:pt idx="414">
                  <c:v>-9.1230789602894283E-2</c:v>
                </c:pt>
                <c:pt idx="415">
                  <c:v>-0.10082014682591588</c:v>
                </c:pt>
                <c:pt idx="416">
                  <c:v>-8.675830563988414E-2</c:v>
                </c:pt>
                <c:pt idx="417">
                  <c:v>-8.2488055389884102E-2</c:v>
                </c:pt>
                <c:pt idx="418">
                  <c:v>-6.4182059723217458E-2</c:v>
                </c:pt>
                <c:pt idx="419">
                  <c:v>-7.3593921515188274E-2</c:v>
                </c:pt>
                <c:pt idx="420">
                  <c:v>-5.559736887997957E-2</c:v>
                </c:pt>
                <c:pt idx="421">
                  <c:v>-3.53492274195479E-2</c:v>
                </c:pt>
                <c:pt idx="422">
                  <c:v>-1.489400144196943E-2</c:v>
                </c:pt>
                <c:pt idx="423">
                  <c:v>-2.0176904419694297E-3</c:v>
                </c:pt>
                <c:pt idx="424">
                  <c:v>-5.0486201402934611E-3</c:v>
                </c:pt>
                <c:pt idx="425">
                  <c:v>-8.4697500802934627E-3</c:v>
                </c:pt>
                <c:pt idx="426">
                  <c:v>-2.1013579127258904E-3</c:v>
                </c:pt>
                <c:pt idx="427">
                  <c:v>-4.329206847462734E-3</c:v>
                </c:pt>
                <c:pt idx="428">
                  <c:v>-8.1415919833992723E-4</c:v>
                </c:pt>
                <c:pt idx="429">
                  <c:v>-4.7495739877371585E-3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4-4D6D-A4ED-44C3A4737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721152"/>
        <c:axId val="139719904"/>
      </c:lineChart>
      <c:dateAx>
        <c:axId val="139721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9904"/>
        <c:crosses val="autoZero"/>
        <c:auto val="1"/>
        <c:lblOffset val="100"/>
        <c:baseTimeUnit val="days"/>
      </c:dateAx>
      <c:valAx>
        <c:axId val="13971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2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9D2452-2B73-4C32-AF35-287995E58470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D3E86B-F9B4-4D88-BC3C-95DA6C011AA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1.33</v>
      </c>
      <c r="D2" s="4">
        <f>MIN(D3:D1912)</f>
        <v>4.6420000000000003E-2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0.84050000000000002</v>
      </c>
      <c r="C5">
        <v>0.84699999999999998</v>
      </c>
      <c r="D5">
        <v>0.81240000000000001</v>
      </c>
      <c r="E5">
        <v>0.81699999999999995</v>
      </c>
      <c r="F5">
        <v>661301</v>
      </c>
      <c r="G5">
        <v>0.81699999999999995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-0.73410404624277792</v>
      </c>
      <c r="Q5">
        <f t="shared" ref="Q5" si="1">F5*P5</f>
        <v>-485463.73988439527</v>
      </c>
      <c r="R5">
        <f t="shared" ref="R5" si="2">R6+Q5</f>
        <v>-828511226.08747911</v>
      </c>
      <c r="S5">
        <f t="shared" ref="S5" si="3">R5/100000</f>
        <v>-8285.1122608747919</v>
      </c>
      <c r="T5">
        <f t="shared" ref="T5" si="4">S5/1000</f>
        <v>-8.2851122608747918</v>
      </c>
    </row>
    <row r="6" spans="1:20" x14ac:dyDescent="0.25">
      <c r="A6" s="5">
        <v>44587</v>
      </c>
      <c r="B6">
        <v>0.83989999999999998</v>
      </c>
      <c r="C6">
        <v>0.89800000000000002</v>
      </c>
      <c r="D6">
        <v>0.81110000000000004</v>
      </c>
      <c r="E6">
        <v>0.83899999999999997</v>
      </c>
      <c r="F6">
        <v>17988612</v>
      </c>
      <c r="G6">
        <v>0.83899999999999997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-0.35788262370541007</v>
      </c>
      <c r="Q6">
        <f t="shared" ref="Q6" si="6">F6*P6</f>
        <v>-6437811.6593786245</v>
      </c>
      <c r="R6">
        <f t="shared" ref="R6" si="7">R7+Q6</f>
        <v>-828025762.34759474</v>
      </c>
      <c r="S6">
        <f t="shared" ref="S6" si="8">R6/100000</f>
        <v>-8280.2576234759472</v>
      </c>
      <c r="T6">
        <f t="shared" ref="T6" si="9">S6/1000</f>
        <v>-8.2802576234759471</v>
      </c>
    </row>
    <row r="7" spans="1:20" x14ac:dyDescent="0.25">
      <c r="A7" s="5">
        <v>44586</v>
      </c>
      <c r="B7">
        <v>0.85699999999999998</v>
      </c>
      <c r="C7">
        <v>0.88900000000000001</v>
      </c>
      <c r="D7">
        <v>0.80840000000000001</v>
      </c>
      <c r="E7">
        <v>0.83840000000000003</v>
      </c>
      <c r="F7">
        <v>14812562</v>
      </c>
      <c r="G7">
        <v>0.83840000000000003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-0.25558312655086785</v>
      </c>
      <c r="Q7">
        <f t="shared" ref="Q7" si="11">F7*P7</f>
        <v>-3785840.9081885759</v>
      </c>
      <c r="R7">
        <f t="shared" ref="R7" si="12">R8+Q7</f>
        <v>-821587950.68821609</v>
      </c>
      <c r="S7">
        <f t="shared" ref="S7" si="13">R7/100000</f>
        <v>-8215.8795068821601</v>
      </c>
      <c r="T7">
        <f t="shared" ref="T7" si="14">S7/1000</f>
        <v>-8.2158795068821604</v>
      </c>
    </row>
    <row r="8" spans="1:20" x14ac:dyDescent="0.25">
      <c r="A8" s="5">
        <v>44585</v>
      </c>
      <c r="B8">
        <v>0.93069999999999997</v>
      </c>
      <c r="C8">
        <v>0.93189999999999995</v>
      </c>
      <c r="D8">
        <v>0.75170000000000003</v>
      </c>
      <c r="E8">
        <v>0.85729999999999995</v>
      </c>
      <c r="F8">
        <v>30609972</v>
      </c>
      <c r="G8">
        <v>0.85729999999999995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0.17203107658157565</v>
      </c>
      <c r="Q8">
        <f t="shared" ref="Q8" si="16">F8*P8</f>
        <v>5265866.4372918867</v>
      </c>
      <c r="R8">
        <f t="shared" ref="R8" si="17">R9+Q8</f>
        <v>-817802109.78002751</v>
      </c>
      <c r="S8">
        <f t="shared" ref="S8" si="18">R8/100000</f>
        <v>-8178.0210978002751</v>
      </c>
      <c r="T8">
        <f t="shared" ref="T8" si="19">S8/1000</f>
        <v>-8.1780210978002756</v>
      </c>
    </row>
    <row r="9" spans="1:20" x14ac:dyDescent="0.25">
      <c r="A9" s="5">
        <v>44584</v>
      </c>
      <c r="B9">
        <v>0.85980000000000001</v>
      </c>
      <c r="C9">
        <v>0.98499999999999999</v>
      </c>
      <c r="D9">
        <v>0.83199999999999996</v>
      </c>
      <c r="E9">
        <v>0.93069999999999997</v>
      </c>
      <c r="F9">
        <v>22059270</v>
      </c>
      <c r="G9">
        <v>0.93069999999999997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0.29019607843137246</v>
      </c>
      <c r="Q9">
        <f t="shared" ref="Q9" si="21">F9*P9</f>
        <v>6401513.6470588213</v>
      </c>
      <c r="R9">
        <f t="shared" ref="R9" si="22">R10+Q9</f>
        <v>-823067976.21731937</v>
      </c>
      <c r="S9">
        <f t="shared" ref="S9" si="23">R9/100000</f>
        <v>-8230.679762173193</v>
      </c>
      <c r="T9">
        <f t="shared" ref="T9" si="24">S9/1000</f>
        <v>-8.2306797621731924</v>
      </c>
    </row>
    <row r="10" spans="1:20" x14ac:dyDescent="0.25">
      <c r="A10" s="5">
        <v>44583</v>
      </c>
      <c r="B10">
        <v>1.0257000000000001</v>
      </c>
      <c r="C10">
        <v>1.0459000000000001</v>
      </c>
      <c r="D10">
        <v>0.72</v>
      </c>
      <c r="E10">
        <v>0.85950000000000004</v>
      </c>
      <c r="F10">
        <v>37013364</v>
      </c>
      <c r="G10">
        <v>0.85950000000000004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-0.14390917459343336</v>
      </c>
      <c r="Q10">
        <f t="shared" ref="Q10" si="26">F10*P10</f>
        <v>-5326562.6621663012</v>
      </c>
      <c r="R10">
        <f t="shared" ref="R10" si="27">R11+Q10</f>
        <v>-829469489.86437821</v>
      </c>
      <c r="S10">
        <f t="shared" ref="S10" si="28">R10/100000</f>
        <v>-8294.6948986437819</v>
      </c>
      <c r="T10">
        <f t="shared" ref="T10" si="29">S10/1000</f>
        <v>-8.2946948986437814</v>
      </c>
    </row>
    <row r="11" spans="1:20" x14ac:dyDescent="0.25">
      <c r="A11" s="5">
        <v>44582</v>
      </c>
      <c r="B11">
        <v>1.1163000000000001</v>
      </c>
      <c r="C11">
        <v>1.1839999999999999</v>
      </c>
      <c r="D11">
        <v>0.96260000000000001</v>
      </c>
      <c r="E11">
        <v>1.0258</v>
      </c>
      <c r="F11">
        <v>36413859</v>
      </c>
      <c r="G11">
        <v>1.0258</v>
      </c>
      <c r="L11" t="s">
        <v>7</v>
      </c>
      <c r="M11" t="s">
        <v>7</v>
      </c>
      <c r="N11" t="s">
        <v>8</v>
      </c>
      <c r="P11">
        <f t="shared" ref="P11" si="30">IF(C11=D11,0,((E11-D11)-(C11-E11))/(C11-D11))</f>
        <v>-0.42908762420957497</v>
      </c>
      <c r="Q11">
        <f t="shared" ref="Q11" si="31">F11*P11</f>
        <v>-15624736.24661245</v>
      </c>
      <c r="R11">
        <f t="shared" ref="R11" si="32">R12+Q11</f>
        <v>-824142927.20221186</v>
      </c>
      <c r="S11">
        <f t="shared" ref="S11" si="33">R11/100000</f>
        <v>-8241.4292720221183</v>
      </c>
      <c r="T11">
        <f t="shared" ref="T11" si="34">S11/1000</f>
        <v>-8.2414292720221187</v>
      </c>
    </row>
    <row r="12" spans="1:20" x14ac:dyDescent="0.25">
      <c r="A12" s="5">
        <v>44581</v>
      </c>
      <c r="B12">
        <v>1.1111</v>
      </c>
      <c r="C12">
        <v>1.2158</v>
      </c>
      <c r="D12">
        <v>1.1000000000000001</v>
      </c>
      <c r="E12">
        <v>1.1163000000000001</v>
      </c>
      <c r="F12">
        <v>15323190</v>
      </c>
      <c r="G12">
        <v>1.1163000000000001</v>
      </c>
      <c r="L12" t="s">
        <v>8</v>
      </c>
      <c r="M12" t="s">
        <v>8</v>
      </c>
      <c r="N12" t="s">
        <v>8</v>
      </c>
      <c r="P12">
        <f t="shared" ref="P12" si="35">IF(C12=D12,0,((E12-D12)-(C12-E12))/(C12-D12))</f>
        <v>-0.71848013816925738</v>
      </c>
      <c r="Q12">
        <f t="shared" ref="Q12" si="36">F12*P12</f>
        <v>-11009407.668393783</v>
      </c>
      <c r="R12">
        <f t="shared" ref="R12" si="37">R13+Q12</f>
        <v>-808518190.95559943</v>
      </c>
      <c r="S12">
        <f t="shared" ref="S12" si="38">R12/100000</f>
        <v>-8085.181909555994</v>
      </c>
      <c r="T12">
        <f t="shared" ref="T12" si="39">S12/1000</f>
        <v>-8.0851819095559936</v>
      </c>
    </row>
    <row r="13" spans="1:20" x14ac:dyDescent="0.25">
      <c r="A13" s="5">
        <v>44580</v>
      </c>
      <c r="B13">
        <v>1.1595</v>
      </c>
      <c r="C13">
        <v>1.177</v>
      </c>
      <c r="D13">
        <v>1.0757000000000001</v>
      </c>
      <c r="E13">
        <v>1.1111</v>
      </c>
      <c r="F13">
        <v>10533396</v>
      </c>
      <c r="G13">
        <v>1.1111</v>
      </c>
      <c r="L13" t="s">
        <v>8</v>
      </c>
      <c r="M13" t="s">
        <v>8</v>
      </c>
      <c r="N13" t="s">
        <v>8</v>
      </c>
      <c r="P13">
        <f t="shared" ref="P13" si="40">IF(C13=D13,0,((E13-D13)-(C13-E13))/(C13-D13))</f>
        <v>-0.30108588351431598</v>
      </c>
      <c r="Q13">
        <f t="shared" ref="Q13" si="41">F13*P13</f>
        <v>-3171456.8410661616</v>
      </c>
      <c r="R13">
        <f t="shared" ref="R13" si="42">R14+Q13</f>
        <v>-797508783.2872057</v>
      </c>
      <c r="S13">
        <f t="shared" ref="S13" si="43">R13/100000</f>
        <v>-7975.0878328720573</v>
      </c>
      <c r="T13">
        <f t="shared" ref="T13" si="44">S13/1000</f>
        <v>-7.9750878328720569</v>
      </c>
    </row>
    <row r="14" spans="1:20" x14ac:dyDescent="0.25">
      <c r="A14" s="5">
        <v>44579</v>
      </c>
      <c r="B14">
        <v>1.1279999999999999</v>
      </c>
      <c r="C14">
        <v>1.1919</v>
      </c>
      <c r="D14">
        <v>1.0649999999999999</v>
      </c>
      <c r="E14">
        <v>1.1597999999999999</v>
      </c>
      <c r="F14">
        <v>16753393</v>
      </c>
      <c r="G14">
        <v>1.1597999999999999</v>
      </c>
      <c r="L14" t="s">
        <v>7</v>
      </c>
      <c r="M14" t="s">
        <v>8</v>
      </c>
      <c r="N14" t="s">
        <v>8</v>
      </c>
      <c r="P14">
        <f t="shared" ref="P14" si="45">IF(C14=D14,0,((E14-D14)-(C14-E14))/(C14-D14))</f>
        <v>0.4940898345153662</v>
      </c>
      <c r="Q14">
        <f t="shared" ref="Q14" si="46">F14*P14</f>
        <v>8277681.1749408944</v>
      </c>
      <c r="R14">
        <f t="shared" ref="R14" si="47">R15+Q14</f>
        <v>-794337326.44613957</v>
      </c>
      <c r="S14">
        <f t="shared" ref="S14" si="48">R14/100000</f>
        <v>-7943.3732644613956</v>
      </c>
      <c r="T14">
        <f t="shared" ref="T14" si="49">S14/1000</f>
        <v>-7.9433732644613952</v>
      </c>
    </row>
    <row r="15" spans="1:20" x14ac:dyDescent="0.25">
      <c r="A15" s="5">
        <v>44578</v>
      </c>
      <c r="B15">
        <v>1.1967000000000001</v>
      </c>
      <c r="C15">
        <v>1.2145999999999999</v>
      </c>
      <c r="D15">
        <v>1.0888</v>
      </c>
      <c r="E15">
        <v>1.1277999999999999</v>
      </c>
      <c r="F15">
        <v>15914722</v>
      </c>
      <c r="G15">
        <v>1.1277999999999999</v>
      </c>
      <c r="L15" t="s">
        <v>7</v>
      </c>
      <c r="M15" t="s">
        <v>8</v>
      </c>
      <c r="N15" t="s">
        <v>8</v>
      </c>
      <c r="P15">
        <f t="shared" ref="P15" si="50">IF(C15=D15,0,((E15-D15)-(C15-E15))/(C15-D15))</f>
        <v>-0.37996820349761606</v>
      </c>
      <c r="Q15">
        <f t="shared" ref="Q15" si="51">F15*P15</f>
        <v>-6047088.3275039876</v>
      </c>
      <c r="R15">
        <f t="shared" ref="R15" si="52">R16+Q15</f>
        <v>-802615007.62108052</v>
      </c>
      <c r="S15">
        <f t="shared" ref="S15" si="53">R15/100000</f>
        <v>-8026.1500762108053</v>
      </c>
      <c r="T15">
        <f t="shared" ref="T15" si="54">S15/1000</f>
        <v>-8.026150076210806</v>
      </c>
    </row>
    <row r="16" spans="1:20" x14ac:dyDescent="0.25">
      <c r="A16" s="5">
        <v>44577</v>
      </c>
      <c r="B16">
        <v>1.2102999999999999</v>
      </c>
      <c r="C16">
        <v>1.2596000000000001</v>
      </c>
      <c r="D16">
        <v>1.1559999999999999</v>
      </c>
      <c r="E16">
        <v>1.1967000000000001</v>
      </c>
      <c r="F16">
        <v>19387800</v>
      </c>
      <c r="G16">
        <v>1.1967000000000001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-0.21428571428571183</v>
      </c>
      <c r="Q16">
        <f t="shared" ref="Q16" si="56">F16*P16</f>
        <v>-4154528.5714285239</v>
      </c>
      <c r="R16">
        <f t="shared" ref="R16" si="57">R17+Q16</f>
        <v>-796567919.29357648</v>
      </c>
      <c r="S16">
        <f t="shared" ref="S16" si="58">R16/100000</f>
        <v>-7965.6791929357651</v>
      </c>
      <c r="T16">
        <f t="shared" ref="T16" si="59">S16/1000</f>
        <v>-7.9656791929357649</v>
      </c>
    </row>
    <row r="17" spans="1:20" x14ac:dyDescent="0.25">
      <c r="A17" s="5">
        <v>44576</v>
      </c>
      <c r="B17">
        <v>1.1178999999999999</v>
      </c>
      <c r="C17">
        <v>1.2450000000000001</v>
      </c>
      <c r="D17">
        <v>1.0687</v>
      </c>
      <c r="E17">
        <v>1.2102999999999999</v>
      </c>
      <c r="F17">
        <v>20634963</v>
      </c>
      <c r="G17">
        <v>1.2102999999999999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0.60635280771412192</v>
      </c>
      <c r="Q17">
        <f t="shared" ref="Q17" si="61">F17*P17</f>
        <v>12512067.75212702</v>
      </c>
      <c r="R17">
        <f t="shared" ref="R17" si="62">R18+Q17</f>
        <v>-792413390.72214794</v>
      </c>
      <c r="S17">
        <f t="shared" ref="S17" si="63">R17/100000</f>
        <v>-7924.1339072214796</v>
      </c>
      <c r="T17">
        <f t="shared" ref="T17" si="64">S17/1000</f>
        <v>-7.9241339072214796</v>
      </c>
    </row>
    <row r="18" spans="1:20" x14ac:dyDescent="0.25">
      <c r="A18" s="5">
        <v>44575</v>
      </c>
      <c r="B18">
        <v>1.0432999999999999</v>
      </c>
      <c r="C18">
        <v>1.1400999999999999</v>
      </c>
      <c r="D18">
        <v>1.01</v>
      </c>
      <c r="E18">
        <v>1.1173999999999999</v>
      </c>
      <c r="F18">
        <v>15291606</v>
      </c>
      <c r="G18">
        <v>1.1173999999999999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0.65103766333589608</v>
      </c>
      <c r="Q18">
        <f t="shared" ref="Q18" si="66">F18*P18</f>
        <v>9955411.4388931692</v>
      </c>
      <c r="R18">
        <f t="shared" ref="R18" si="67">R19+Q18</f>
        <v>-804925458.47427499</v>
      </c>
      <c r="S18">
        <f t="shared" ref="S18" si="68">R18/100000</f>
        <v>-8049.25458474275</v>
      </c>
      <c r="T18">
        <f t="shared" ref="T18" si="69">S18/1000</f>
        <v>-8.0492545847427497</v>
      </c>
    </row>
    <row r="19" spans="1:20" x14ac:dyDescent="0.25">
      <c r="A19" s="5">
        <v>44574</v>
      </c>
      <c r="B19">
        <v>1.1161000000000001</v>
      </c>
      <c r="C19">
        <v>1.1548</v>
      </c>
      <c r="D19">
        <v>1.0185</v>
      </c>
      <c r="E19">
        <v>1.0438000000000001</v>
      </c>
      <c r="F19">
        <v>18727415</v>
      </c>
      <c r="G19">
        <v>1.0438000000000001</v>
      </c>
      <c r="L19" t="s">
        <v>7</v>
      </c>
      <c r="M19" t="s">
        <v>8</v>
      </c>
      <c r="N19" t="s">
        <v>8</v>
      </c>
      <c r="P19">
        <f t="shared" ref="P19" si="70">IF(C19=D19,0,((E19-D19)-(C19-E19))/(C19-D19))</f>
        <v>-0.62876008804108463</v>
      </c>
      <c r="Q19">
        <f t="shared" ref="Q19" si="71">F19*P19</f>
        <v>-11775051.104181929</v>
      </c>
      <c r="R19">
        <f t="shared" ref="R19" si="72">R20+Q19</f>
        <v>-814880869.91316819</v>
      </c>
      <c r="S19">
        <f t="shared" ref="S19" si="73">R19/100000</f>
        <v>-8148.8086991316823</v>
      </c>
      <c r="T19">
        <f t="shared" ref="T19" si="74">S19/1000</f>
        <v>-8.148808699131683</v>
      </c>
    </row>
    <row r="20" spans="1:20" x14ac:dyDescent="0.25">
      <c r="A20" s="5">
        <v>44573</v>
      </c>
      <c r="B20">
        <v>1.0261</v>
      </c>
      <c r="C20">
        <v>1.17</v>
      </c>
      <c r="D20">
        <v>1</v>
      </c>
      <c r="E20">
        <v>1.1161000000000001</v>
      </c>
      <c r="F20">
        <v>21801231</v>
      </c>
      <c r="G20">
        <v>1.1161000000000001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0.3658823529411781</v>
      </c>
      <c r="Q20">
        <f t="shared" ref="Q20" si="76">F20*P20</f>
        <v>7976685.6952941529</v>
      </c>
      <c r="R20">
        <f t="shared" ref="R20" si="77">R21+Q20</f>
        <v>-803105818.80898631</v>
      </c>
      <c r="S20">
        <f t="shared" ref="S20" si="78">R20/100000</f>
        <v>-8031.0581880898635</v>
      </c>
      <c r="T20">
        <f t="shared" ref="T20" si="79">S20/1000</f>
        <v>-8.0310581880898635</v>
      </c>
    </row>
    <row r="21" spans="1:20" x14ac:dyDescent="0.25">
      <c r="A21" s="5">
        <v>44572</v>
      </c>
      <c r="B21">
        <v>1.0181</v>
      </c>
      <c r="C21">
        <v>1.0692999999999999</v>
      </c>
      <c r="D21">
        <v>0.98619999999999997</v>
      </c>
      <c r="E21">
        <v>1.026</v>
      </c>
      <c r="F21">
        <v>17003474</v>
      </c>
      <c r="G21">
        <v>1.026</v>
      </c>
      <c r="L21" t="s">
        <v>7</v>
      </c>
      <c r="M21" t="s">
        <v>8</v>
      </c>
      <c r="N21" t="s">
        <v>7</v>
      </c>
      <c r="P21">
        <f t="shared" ref="P21" si="80">IF(C21=D21,0,((E21-D21)-(C21-E21))/(C21-D21))</f>
        <v>-4.2117930204570865E-2</v>
      </c>
      <c r="Q21">
        <f t="shared" ref="Q21" si="81">F21*P21</f>
        <v>-716151.13116723543</v>
      </c>
      <c r="R21">
        <f t="shared" ref="R21" si="82">R22+Q21</f>
        <v>-811082504.50428045</v>
      </c>
      <c r="S21">
        <f t="shared" ref="S21" si="83">R21/100000</f>
        <v>-8110.825045042804</v>
      </c>
      <c r="T21">
        <f t="shared" ref="T21" si="84">S21/1000</f>
        <v>-8.1108250450428034</v>
      </c>
    </row>
    <row r="22" spans="1:20" x14ac:dyDescent="0.25">
      <c r="A22" s="5">
        <v>44571</v>
      </c>
      <c r="B22">
        <v>0.91659999999999997</v>
      </c>
      <c r="C22">
        <v>1.0851</v>
      </c>
      <c r="D22">
        <v>0.88500000000000001</v>
      </c>
      <c r="E22">
        <v>1.0169999999999999</v>
      </c>
      <c r="F22">
        <v>45953913</v>
      </c>
      <c r="G22">
        <v>1.0169999999999999</v>
      </c>
      <c r="L22" t="s">
        <v>8</v>
      </c>
      <c r="M22" t="s">
        <v>8</v>
      </c>
      <c r="N22" t="s">
        <v>7</v>
      </c>
      <c r="P22">
        <f t="shared" ref="P22" si="85">IF(C22=D22,0,((E22-D22)-(C22-E22))/(C22-D22))</f>
        <v>0.31934032983508176</v>
      </c>
      <c r="Q22">
        <f t="shared" ref="Q22" si="86">F22*P22</f>
        <v>14674937.734632652</v>
      </c>
      <c r="R22">
        <f t="shared" ref="R22" si="87">R23+Q22</f>
        <v>-810366353.37311316</v>
      </c>
      <c r="S22">
        <f t="shared" ref="S22" si="88">R22/100000</f>
        <v>-8103.6635337311318</v>
      </c>
      <c r="T22">
        <f t="shared" ref="T22" si="89">S22/1000</f>
        <v>-8.1036635337311314</v>
      </c>
    </row>
    <row r="23" spans="1:20" x14ac:dyDescent="0.25">
      <c r="A23" s="5">
        <v>44570</v>
      </c>
      <c r="B23">
        <v>0.85499999999999998</v>
      </c>
      <c r="C23">
        <v>0.96750000000000003</v>
      </c>
      <c r="D23">
        <v>0.84799999999999998</v>
      </c>
      <c r="E23">
        <v>0.91679999999999995</v>
      </c>
      <c r="F23">
        <v>13401700</v>
      </c>
      <c r="G23">
        <v>0.91679999999999995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0.15146443514644256</v>
      </c>
      <c r="Q23">
        <f t="shared" ref="Q23" si="91">F23*P23</f>
        <v>2029880.9205020792</v>
      </c>
      <c r="R23">
        <f t="shared" ref="R23" si="92">R24+Q23</f>
        <v>-825041291.10774577</v>
      </c>
      <c r="S23">
        <f t="shared" ref="S23" si="93">R23/100000</f>
        <v>-8250.4129110774575</v>
      </c>
      <c r="T23">
        <f t="shared" ref="T23" si="94">S23/1000</f>
        <v>-8.2504129110774578</v>
      </c>
    </row>
    <row r="24" spans="1:20" x14ac:dyDescent="0.25">
      <c r="A24" s="5">
        <v>44569</v>
      </c>
      <c r="B24">
        <v>0.93400000000000005</v>
      </c>
      <c r="C24">
        <v>0.96919999999999995</v>
      </c>
      <c r="D24">
        <v>0.82399999999999995</v>
      </c>
      <c r="E24">
        <v>0.85499999999999998</v>
      </c>
      <c r="F24">
        <v>14683920</v>
      </c>
      <c r="G24">
        <v>0.85499999999999998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-0.57300275482093621</v>
      </c>
      <c r="Q24">
        <f t="shared" ref="Q24" si="96">F24*P24</f>
        <v>-8413926.6115702409</v>
      </c>
      <c r="R24">
        <f t="shared" ref="R24" si="97">R25+Q24</f>
        <v>-827071172.02824783</v>
      </c>
      <c r="S24">
        <f t="shared" ref="S24" si="98">R24/100000</f>
        <v>-8270.7117202824775</v>
      </c>
      <c r="T24">
        <f t="shared" ref="T24" si="99">S24/1000</f>
        <v>-8.2707117202824776</v>
      </c>
    </row>
    <row r="25" spans="1:20" x14ac:dyDescent="0.25">
      <c r="A25" s="5">
        <v>44568</v>
      </c>
      <c r="B25">
        <v>1.0377000000000001</v>
      </c>
      <c r="C25">
        <v>1.0397000000000001</v>
      </c>
      <c r="D25">
        <v>0.91010000000000002</v>
      </c>
      <c r="E25">
        <v>0.93400000000000005</v>
      </c>
      <c r="F25">
        <v>18630317</v>
      </c>
      <c r="G25">
        <v>0.93400000000000005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-0.63117283950617253</v>
      </c>
      <c r="Q25">
        <f t="shared" ref="Q25" si="101">F25*P25</f>
        <v>-11758950.081790118</v>
      </c>
      <c r="R25">
        <f t="shared" ref="R25" si="102">R26+Q25</f>
        <v>-818657245.41667759</v>
      </c>
      <c r="S25">
        <f t="shared" ref="S25" si="103">R25/100000</f>
        <v>-8186.572454166776</v>
      </c>
      <c r="T25">
        <f t="shared" ref="T25" si="104">S25/1000</f>
        <v>-8.1865724541667753</v>
      </c>
    </row>
    <row r="26" spans="1:20" x14ac:dyDescent="0.25">
      <c r="A26" s="5">
        <v>44567</v>
      </c>
      <c r="B26">
        <v>1.0279</v>
      </c>
      <c r="C26">
        <v>1.0891999999999999</v>
      </c>
      <c r="D26">
        <v>0.96060000000000001</v>
      </c>
      <c r="E26">
        <v>1.038</v>
      </c>
      <c r="F26">
        <v>21408162</v>
      </c>
      <c r="G26">
        <v>1.038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0.20373250388802586</v>
      </c>
      <c r="Q26">
        <f t="shared" ref="Q26" si="106">F26*P26</f>
        <v>4361538.4479004871</v>
      </c>
      <c r="R26">
        <f t="shared" ref="R26" si="107">R27+Q26</f>
        <v>-806898295.3348875</v>
      </c>
      <c r="S26">
        <f t="shared" ref="S26" si="108">R26/100000</f>
        <v>-8068.9829533488746</v>
      </c>
      <c r="T26">
        <f t="shared" ref="T26" si="109">S26/1000</f>
        <v>-8.0689829533488755</v>
      </c>
    </row>
    <row r="27" spans="1:20" x14ac:dyDescent="0.25">
      <c r="A27" s="5">
        <v>44566</v>
      </c>
      <c r="B27">
        <v>1.1473</v>
      </c>
      <c r="C27">
        <v>1.2150000000000001</v>
      </c>
      <c r="D27">
        <v>0.95699999999999996</v>
      </c>
      <c r="E27">
        <v>1.026</v>
      </c>
      <c r="F27">
        <v>26703138</v>
      </c>
      <c r="G27">
        <v>1.026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-0.46511627906976721</v>
      </c>
      <c r="Q27">
        <f t="shared" ref="Q27" si="111">F27*P27</f>
        <v>-12420064.186046505</v>
      </c>
      <c r="R27">
        <f t="shared" ref="R27" si="112">R28+Q27</f>
        <v>-811259833.78278804</v>
      </c>
      <c r="S27">
        <f t="shared" ref="S27" si="113">R27/100000</f>
        <v>-8112.5983378278806</v>
      </c>
      <c r="T27">
        <f t="shared" ref="T27" si="114">S27/1000</f>
        <v>-8.1125983378278814</v>
      </c>
    </row>
    <row r="28" spans="1:20" x14ac:dyDescent="0.25">
      <c r="A28" s="5">
        <v>44565</v>
      </c>
      <c r="B28">
        <v>1.1581999999999999</v>
      </c>
      <c r="C28">
        <v>1.2194</v>
      </c>
      <c r="D28">
        <v>1.1184000000000001</v>
      </c>
      <c r="E28">
        <v>1.1479999999999999</v>
      </c>
      <c r="F28">
        <v>15285826</v>
      </c>
      <c r="G28">
        <v>1.1479999999999999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-0.41386138613861673</v>
      </c>
      <c r="Q28">
        <f t="shared" ref="Q28" si="116">F28*P28</f>
        <v>-6326213.1366337072</v>
      </c>
      <c r="R28">
        <f t="shared" ref="R28" si="117">R29+Q28</f>
        <v>-798839769.59674156</v>
      </c>
      <c r="S28">
        <f t="shared" ref="S28" si="118">R28/100000</f>
        <v>-7988.3976959674155</v>
      </c>
      <c r="T28">
        <f t="shared" ref="T28" si="119">S28/1000</f>
        <v>-7.9883976959674152</v>
      </c>
    </row>
    <row r="29" spans="1:20" x14ac:dyDescent="0.25">
      <c r="A29" s="5">
        <v>44564</v>
      </c>
      <c r="B29">
        <v>1.1725000000000001</v>
      </c>
      <c r="C29">
        <v>1.32</v>
      </c>
      <c r="D29">
        <v>1.1392</v>
      </c>
      <c r="E29">
        <v>1.1589</v>
      </c>
      <c r="F29">
        <v>24932765</v>
      </c>
      <c r="G29">
        <v>1.1589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-0.78207964601769864</v>
      </c>
      <c r="Q29">
        <f t="shared" ref="Q29" si="121">F29*P29</f>
        <v>-19499408.025442466</v>
      </c>
      <c r="R29">
        <f t="shared" ref="R29" si="122">R30+Q29</f>
        <v>-792513556.4601078</v>
      </c>
      <c r="S29">
        <f t="shared" ref="S29" si="123">R29/100000</f>
        <v>-7925.1355646010779</v>
      </c>
      <c r="T29">
        <f t="shared" ref="T29" si="124">S29/1000</f>
        <v>-7.9251355646010779</v>
      </c>
    </row>
    <row r="30" spans="1:20" x14ac:dyDescent="0.25">
      <c r="A30" s="5">
        <v>44563</v>
      </c>
      <c r="B30">
        <v>1.1999</v>
      </c>
      <c r="C30">
        <v>1.33</v>
      </c>
      <c r="D30">
        <v>1.1200000000000001</v>
      </c>
      <c r="E30">
        <v>1.1719999999999999</v>
      </c>
      <c r="F30">
        <v>43139098</v>
      </c>
      <c r="G30">
        <v>1.1719999999999999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-0.5047619047619063</v>
      </c>
      <c r="Q30">
        <f t="shared" ref="Q30" si="126">F30*P30</f>
        <v>-21774973.276190542</v>
      </c>
      <c r="R30">
        <f t="shared" ref="R30" si="127">R31+Q30</f>
        <v>-773014148.43466532</v>
      </c>
      <c r="S30">
        <f t="shared" ref="S30" si="128">R30/100000</f>
        <v>-7730.1414843466537</v>
      </c>
      <c r="T30">
        <f t="shared" ref="T30" si="129">S30/1000</f>
        <v>-7.730141484346654</v>
      </c>
    </row>
    <row r="31" spans="1:20" x14ac:dyDescent="0.25">
      <c r="A31" s="5">
        <v>44562</v>
      </c>
      <c r="B31">
        <v>0.96450000000000002</v>
      </c>
      <c r="C31">
        <v>1.2371000000000001</v>
      </c>
      <c r="D31">
        <v>0.95489999999999997</v>
      </c>
      <c r="E31">
        <v>1.2003999999999999</v>
      </c>
      <c r="F31">
        <v>35105607</v>
      </c>
      <c r="G31">
        <v>1.2003999999999999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0.73990077958894285</v>
      </c>
      <c r="Q31">
        <f t="shared" ref="Q31" si="131">F31*P31</f>
        <v>25974665.987243049</v>
      </c>
      <c r="R31">
        <f t="shared" ref="R31" si="132">R32+Q31</f>
        <v>-751239175.1584748</v>
      </c>
      <c r="S31">
        <f t="shared" ref="S31" si="133">R31/100000</f>
        <v>-7512.3917515847479</v>
      </c>
      <c r="T31">
        <f t="shared" ref="T31" si="134">S31/1000</f>
        <v>-7.5123917515847483</v>
      </c>
    </row>
    <row r="32" spans="1:20" x14ac:dyDescent="0.25">
      <c r="A32" s="5">
        <v>44561</v>
      </c>
      <c r="B32">
        <v>1.0242</v>
      </c>
      <c r="C32">
        <v>1.03</v>
      </c>
      <c r="D32">
        <v>0.91810000000000003</v>
      </c>
      <c r="E32">
        <v>0.96440000000000003</v>
      </c>
      <c r="F32">
        <v>16576076</v>
      </c>
      <c r="G32">
        <v>0.96440000000000003</v>
      </c>
      <c r="L32" t="s">
        <v>7</v>
      </c>
      <c r="M32" t="s">
        <v>8</v>
      </c>
      <c r="N32" t="s">
        <v>8</v>
      </c>
      <c r="P32">
        <f t="shared" ref="P32" si="135">IF(C32=D32,0,((E32-D32)-(C32-E32))/(C32-D32))</f>
        <v>-0.17247542448614819</v>
      </c>
      <c r="Q32">
        <f t="shared" ref="Q32" si="136">F32*P32</f>
        <v>-2858965.7444146536</v>
      </c>
      <c r="R32">
        <f t="shared" ref="R32" si="137">R33+Q32</f>
        <v>-777213841.14571786</v>
      </c>
      <c r="S32">
        <f t="shared" ref="S32" si="138">R32/100000</f>
        <v>-7772.1384114571783</v>
      </c>
      <c r="T32">
        <f t="shared" ref="T32" si="139">S32/1000</f>
        <v>-7.7721384114571785</v>
      </c>
    </row>
    <row r="33" spans="1:20" x14ac:dyDescent="0.25">
      <c r="A33" s="5">
        <v>44560</v>
      </c>
      <c r="B33">
        <v>0.87919999999999998</v>
      </c>
      <c r="C33">
        <v>1.0387999999999999</v>
      </c>
      <c r="D33">
        <v>0.85399999999999998</v>
      </c>
      <c r="E33">
        <v>1.0242</v>
      </c>
      <c r="F33">
        <v>43566637</v>
      </c>
      <c r="G33">
        <v>1.0242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0.84199134199134251</v>
      </c>
      <c r="Q33">
        <f t="shared" ref="Q33" si="141">F33*P33</f>
        <v>36682731.153679676</v>
      </c>
      <c r="R33">
        <f t="shared" ref="R33" si="142">R34+Q33</f>
        <v>-774354875.40130317</v>
      </c>
      <c r="S33">
        <f t="shared" ref="S33" si="143">R33/100000</f>
        <v>-7743.5487540130316</v>
      </c>
      <c r="T33">
        <f t="shared" ref="T33" si="144">S33/1000</f>
        <v>-7.7435487540130312</v>
      </c>
    </row>
    <row r="34" spans="1:20" x14ac:dyDescent="0.25">
      <c r="A34" s="5">
        <v>44559</v>
      </c>
      <c r="B34">
        <v>0.82369999999999999</v>
      </c>
      <c r="C34">
        <v>0.92</v>
      </c>
      <c r="D34">
        <v>0.81979999999999997</v>
      </c>
      <c r="E34">
        <v>0.87790000000000001</v>
      </c>
      <c r="F34">
        <v>20664717</v>
      </c>
      <c r="G34">
        <v>0.87790000000000001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0.15968063872255492</v>
      </c>
      <c r="Q34">
        <f t="shared" ref="Q34" si="146">F34*P34</f>
        <v>3299755.2095808387</v>
      </c>
      <c r="R34">
        <f t="shared" ref="R34" si="147">R35+Q34</f>
        <v>-811037606.5549829</v>
      </c>
      <c r="S34">
        <f t="shared" ref="S34" si="148">R34/100000</f>
        <v>-8110.376065549829</v>
      </c>
      <c r="T34">
        <f t="shared" ref="T34" si="149">S34/1000</f>
        <v>-8.1103760655498291</v>
      </c>
    </row>
    <row r="35" spans="1:20" x14ac:dyDescent="0.25">
      <c r="A35" s="5">
        <v>44558</v>
      </c>
      <c r="B35">
        <v>0.86119999999999997</v>
      </c>
      <c r="C35">
        <v>0.9698</v>
      </c>
      <c r="D35">
        <v>0.8135</v>
      </c>
      <c r="E35">
        <v>0.82369999999999999</v>
      </c>
      <c r="F35">
        <v>43035224</v>
      </c>
      <c r="G35">
        <v>0.82369999999999999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-0.86948176583493297</v>
      </c>
      <c r="Q35">
        <f t="shared" ref="Q35" si="151">F35*P35</f>
        <v>-37418342.556621887</v>
      </c>
      <c r="R35">
        <f t="shared" ref="R35" si="152">R36+Q35</f>
        <v>-814337361.7645638</v>
      </c>
      <c r="S35">
        <f t="shared" ref="S35" si="153">R35/100000</f>
        <v>-8143.3736176456378</v>
      </c>
      <c r="T35">
        <f t="shared" ref="T35" si="154">S35/1000</f>
        <v>-8.1433736176456382</v>
      </c>
    </row>
    <row r="36" spans="1:20" x14ac:dyDescent="0.25">
      <c r="A36" s="5">
        <v>44557</v>
      </c>
      <c r="B36">
        <v>0.81699999999999995</v>
      </c>
      <c r="C36">
        <v>0.9</v>
      </c>
      <c r="D36">
        <v>0.79500000000000004</v>
      </c>
      <c r="E36">
        <v>0.86119999999999997</v>
      </c>
      <c r="F36">
        <v>23792782</v>
      </c>
      <c r="G36">
        <v>0.86119999999999997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0.26095238095237977</v>
      </c>
      <c r="Q36">
        <f t="shared" ref="Q36" si="156">F36*P36</f>
        <v>6208783.1123809246</v>
      </c>
      <c r="R36">
        <f t="shared" ref="R36" si="157">R37+Q36</f>
        <v>-776919019.20794189</v>
      </c>
      <c r="S36">
        <f t="shared" ref="S36" si="158">R36/100000</f>
        <v>-7769.1901920794189</v>
      </c>
      <c r="T36">
        <f t="shared" ref="T36" si="159">S36/1000</f>
        <v>-7.7691901920794191</v>
      </c>
    </row>
    <row r="37" spans="1:20" x14ac:dyDescent="0.25">
      <c r="A37" s="5">
        <v>44556</v>
      </c>
      <c r="B37">
        <v>0.76139999999999997</v>
      </c>
      <c r="C37">
        <v>0.84</v>
      </c>
      <c r="D37">
        <v>0.74009999999999998</v>
      </c>
      <c r="E37">
        <v>0.81689999999999996</v>
      </c>
      <c r="F37">
        <v>17330390</v>
      </c>
      <c r="G37">
        <v>0.81689999999999996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0.5375375375375373</v>
      </c>
      <c r="Q37">
        <f t="shared" ref="Q37" si="161">F37*P37</f>
        <v>9315735.1651651617</v>
      </c>
      <c r="R37">
        <f t="shared" ref="R37" si="162">R38+Q37</f>
        <v>-783127802.32032287</v>
      </c>
      <c r="S37">
        <f t="shared" ref="S37" si="163">R37/100000</f>
        <v>-7831.2780232032283</v>
      </c>
      <c r="T37">
        <f t="shared" ref="T37" si="164">S37/1000</f>
        <v>-7.831278023203228</v>
      </c>
    </row>
    <row r="38" spans="1:20" x14ac:dyDescent="0.25">
      <c r="A38" s="5">
        <v>44555</v>
      </c>
      <c r="B38">
        <v>0.73360000000000003</v>
      </c>
      <c r="C38">
        <v>0.80510000000000004</v>
      </c>
      <c r="D38">
        <v>0.72770000000000001</v>
      </c>
      <c r="E38">
        <v>0.76190000000000002</v>
      </c>
      <c r="F38">
        <v>8200574</v>
      </c>
      <c r="G38">
        <v>0.76190000000000002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-0.11627906976744193</v>
      </c>
      <c r="Q38">
        <f t="shared" ref="Q38" si="166">F38*P38</f>
        <v>-953555.11627907027</v>
      </c>
      <c r="R38">
        <f t="shared" ref="R38" si="167">R39+Q38</f>
        <v>-792443537.48548806</v>
      </c>
      <c r="S38">
        <f t="shared" ref="S38" si="168">R38/100000</f>
        <v>-7924.4353748548801</v>
      </c>
      <c r="T38">
        <f t="shared" ref="T38" si="169">S38/1000</f>
        <v>-7.9244353748548804</v>
      </c>
    </row>
    <row r="39" spans="1:20" x14ac:dyDescent="0.25">
      <c r="A39" s="5">
        <v>44554</v>
      </c>
      <c r="B39">
        <v>0.74929999999999997</v>
      </c>
      <c r="C39">
        <v>0.79600000000000004</v>
      </c>
      <c r="D39">
        <v>0.7258</v>
      </c>
      <c r="E39">
        <v>0.73219999999999996</v>
      </c>
      <c r="F39">
        <v>7405943</v>
      </c>
      <c r="G39">
        <v>0.73219999999999996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-0.8176638176638189</v>
      </c>
      <c r="Q39">
        <f t="shared" ref="Q39" si="171">F39*P39</f>
        <v>-6055571.6267806357</v>
      </c>
      <c r="R39">
        <f t="shared" ref="R39" si="172">R40+Q39</f>
        <v>-791489982.36920893</v>
      </c>
      <c r="S39">
        <f t="shared" ref="S39" si="173">R39/100000</f>
        <v>-7914.8998236920897</v>
      </c>
      <c r="T39">
        <f t="shared" ref="T39" si="174">S39/1000</f>
        <v>-7.9148998236920898</v>
      </c>
    </row>
    <row r="40" spans="1:20" x14ac:dyDescent="0.25">
      <c r="A40" s="5">
        <v>44553</v>
      </c>
      <c r="B40">
        <v>0.72030000000000005</v>
      </c>
      <c r="C40">
        <v>0.77500000000000002</v>
      </c>
      <c r="D40">
        <v>0.70209999999999995</v>
      </c>
      <c r="E40">
        <v>0.74919999999999998</v>
      </c>
      <c r="F40">
        <v>9771079</v>
      </c>
      <c r="G40">
        <v>0.74919999999999998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0.29218106995884724</v>
      </c>
      <c r="Q40">
        <f t="shared" ref="Q40" si="176">F40*P40</f>
        <v>2854924.316872423</v>
      </c>
      <c r="R40">
        <f t="shared" ref="R40" si="177">R41+Q40</f>
        <v>-785434410.7424283</v>
      </c>
      <c r="S40">
        <f t="shared" ref="S40" si="178">R40/100000</f>
        <v>-7854.3441074242828</v>
      </c>
      <c r="T40">
        <f t="shared" ref="T40" si="179">S40/1000</f>
        <v>-7.854344107424283</v>
      </c>
    </row>
    <row r="41" spans="1:20" x14ac:dyDescent="0.25">
      <c r="A41" s="5">
        <v>44552</v>
      </c>
      <c r="B41">
        <v>0.74199999999999999</v>
      </c>
      <c r="C41">
        <v>0.77600000000000002</v>
      </c>
      <c r="D41">
        <v>0.71350000000000002</v>
      </c>
      <c r="E41">
        <v>0.72099999999999997</v>
      </c>
      <c r="F41">
        <v>8372388</v>
      </c>
      <c r="G41">
        <v>0.72099999999999997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-0.76000000000000156</v>
      </c>
      <c r="Q41">
        <f t="shared" ref="Q41" si="181">F41*P41</f>
        <v>-6363014.8800000129</v>
      </c>
      <c r="R41">
        <f t="shared" ref="R41" si="182">R42+Q41</f>
        <v>-788289335.05930078</v>
      </c>
      <c r="S41">
        <f t="shared" ref="S41" si="183">R41/100000</f>
        <v>-7882.8933505930081</v>
      </c>
      <c r="T41">
        <f t="shared" ref="T41" si="184">S41/1000</f>
        <v>-7.8828933505930081</v>
      </c>
    </row>
    <row r="42" spans="1:20" x14ac:dyDescent="0.25">
      <c r="A42" s="5">
        <v>44551</v>
      </c>
      <c r="B42">
        <v>0.70609999999999995</v>
      </c>
      <c r="C42">
        <v>0.75700000000000001</v>
      </c>
      <c r="D42">
        <v>0.6865</v>
      </c>
      <c r="E42">
        <v>0.74299999999999999</v>
      </c>
      <c r="F42">
        <v>11308171</v>
      </c>
      <c r="G42">
        <v>0.74299999999999999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0.60283687943262376</v>
      </c>
      <c r="Q42">
        <f t="shared" ref="Q42" si="186">F42*P42</f>
        <v>6816982.5177304922</v>
      </c>
      <c r="R42">
        <f t="shared" ref="R42" si="187">R43+Q42</f>
        <v>-781926320.17930079</v>
      </c>
      <c r="S42">
        <f t="shared" ref="S42" si="188">R42/100000</f>
        <v>-7819.2632017930082</v>
      </c>
      <c r="T42">
        <f t="shared" ref="T42" si="189">S42/1000</f>
        <v>-7.8192632017930084</v>
      </c>
    </row>
    <row r="43" spans="1:20" x14ac:dyDescent="0.25">
      <c r="A43" s="5">
        <v>44550</v>
      </c>
      <c r="B43">
        <v>0.71650000000000003</v>
      </c>
      <c r="C43">
        <v>0.73440000000000005</v>
      </c>
      <c r="D43">
        <v>0.67</v>
      </c>
      <c r="E43">
        <v>0.70589999999999997</v>
      </c>
      <c r="F43">
        <v>14545061</v>
      </c>
      <c r="G43">
        <v>0.70589999999999997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0.11490683229813431</v>
      </c>
      <c r="Q43">
        <f t="shared" ref="Q43" si="191">F43*P43</f>
        <v>1671326.8850931337</v>
      </c>
      <c r="R43">
        <f t="shared" ref="R43" si="192">R44+Q43</f>
        <v>-788743302.69703126</v>
      </c>
      <c r="S43">
        <f t="shared" ref="S43" si="193">R43/100000</f>
        <v>-7887.4330269703123</v>
      </c>
      <c r="T43">
        <f t="shared" ref="T43" si="194">S43/1000</f>
        <v>-7.8874330269703119</v>
      </c>
    </row>
    <row r="44" spans="1:20" x14ac:dyDescent="0.25">
      <c r="A44" s="5">
        <v>44549</v>
      </c>
      <c r="B44">
        <v>0.78</v>
      </c>
      <c r="C44">
        <v>0.8</v>
      </c>
      <c r="D44">
        <v>0.7147</v>
      </c>
      <c r="E44">
        <v>0.71650000000000003</v>
      </c>
      <c r="F44">
        <v>9670161</v>
      </c>
      <c r="G44">
        <v>0.71650000000000003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-0.95779601406799475</v>
      </c>
      <c r="Q44">
        <f t="shared" ref="Q44" si="196">F44*P44</f>
        <v>-9262041.6611957736</v>
      </c>
      <c r="R44">
        <f t="shared" ref="R44" si="197">R45+Q44</f>
        <v>-790414629.58212435</v>
      </c>
      <c r="S44">
        <f t="shared" ref="S44" si="198">R44/100000</f>
        <v>-7904.1462958212433</v>
      </c>
      <c r="T44">
        <f t="shared" ref="T44" si="199">S44/1000</f>
        <v>-7.904146295821243</v>
      </c>
    </row>
    <row r="45" spans="1:20" x14ac:dyDescent="0.25">
      <c r="A45" s="5">
        <v>44548</v>
      </c>
      <c r="B45">
        <v>0.69410000000000005</v>
      </c>
      <c r="C45">
        <v>0.80259999999999998</v>
      </c>
      <c r="D45">
        <v>0.68</v>
      </c>
      <c r="E45">
        <v>0.78049999999999997</v>
      </c>
      <c r="F45">
        <v>13417989</v>
      </c>
      <c r="G45">
        <v>0.78049999999999997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0.63947797716150045</v>
      </c>
      <c r="Q45">
        <f t="shared" ref="Q45" si="201">F45*P45</f>
        <v>8580508.4632952642</v>
      </c>
      <c r="R45">
        <f t="shared" ref="R45" si="202">R46+Q45</f>
        <v>-781152587.9209286</v>
      </c>
      <c r="S45">
        <f t="shared" ref="S45" si="203">R45/100000</f>
        <v>-7811.5258792092864</v>
      </c>
      <c r="T45">
        <f t="shared" ref="T45" si="204">S45/1000</f>
        <v>-7.8115258792092863</v>
      </c>
    </row>
    <row r="46" spans="1:20" x14ac:dyDescent="0.25">
      <c r="A46" s="5">
        <v>44547</v>
      </c>
      <c r="B46">
        <v>0.78949999999999998</v>
      </c>
      <c r="C46">
        <v>0.83</v>
      </c>
      <c r="D46">
        <v>0.68879999999999997</v>
      </c>
      <c r="E46">
        <v>0.6956</v>
      </c>
      <c r="F46">
        <v>20248338</v>
      </c>
      <c r="G46">
        <v>0.6956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-0.90368271954674184</v>
      </c>
      <c r="Q46">
        <f t="shared" ref="Q46" si="206">F46*P46</f>
        <v>-18298073.150141634</v>
      </c>
      <c r="R46">
        <f t="shared" ref="R46" si="207">R47+Q46</f>
        <v>-789733096.38422382</v>
      </c>
      <c r="S46">
        <f t="shared" ref="S46" si="208">R46/100000</f>
        <v>-7897.3309638422379</v>
      </c>
      <c r="T46">
        <f t="shared" ref="T46" si="209">S46/1000</f>
        <v>-7.8973309638422382</v>
      </c>
    </row>
    <row r="47" spans="1:20" x14ac:dyDescent="0.25">
      <c r="A47" s="5">
        <v>44546</v>
      </c>
      <c r="B47">
        <v>0.8075</v>
      </c>
      <c r="C47">
        <v>0.82499999999999996</v>
      </c>
      <c r="D47">
        <v>0.77800000000000002</v>
      </c>
      <c r="E47">
        <v>0.78779999999999994</v>
      </c>
      <c r="F47">
        <v>13556032</v>
      </c>
      <c r="G47">
        <v>0.78779999999999994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-0.58297872340425816</v>
      </c>
      <c r="Q47">
        <f t="shared" ref="Q47" si="211">F47*P47</f>
        <v>-7902878.2297872724</v>
      </c>
      <c r="R47">
        <f t="shared" ref="R47" si="212">R48+Q47</f>
        <v>-771435023.23408222</v>
      </c>
      <c r="S47">
        <f t="shared" ref="S47" si="213">R47/100000</f>
        <v>-7714.350232340822</v>
      </c>
      <c r="T47">
        <f t="shared" ref="T47" si="214">S47/1000</f>
        <v>-7.7143502323408217</v>
      </c>
    </row>
    <row r="48" spans="1:20" x14ac:dyDescent="0.25">
      <c r="A48" s="5">
        <v>44545</v>
      </c>
      <c r="B48">
        <v>0.82230000000000003</v>
      </c>
      <c r="C48">
        <v>0.84</v>
      </c>
      <c r="D48">
        <v>0.76029999999999998</v>
      </c>
      <c r="E48">
        <v>0.8075</v>
      </c>
      <c r="F48">
        <v>33144804</v>
      </c>
      <c r="G48">
        <v>0.8075</v>
      </c>
      <c r="L48" t="s">
        <v>7</v>
      </c>
      <c r="M48" t="s">
        <v>8</v>
      </c>
      <c r="N48" t="s">
        <v>8</v>
      </c>
      <c r="P48">
        <f t="shared" ref="P48" si="215">IF(C48=D48,0,((E48-D48)-(C48-E48))/(C48-D48))</f>
        <v>0.18444165621079106</v>
      </c>
      <c r="Q48">
        <f t="shared" ref="Q48" si="216">F48*P48</f>
        <v>6113282.5445420528</v>
      </c>
      <c r="R48">
        <f t="shared" ref="R48" si="217">R49+Q48</f>
        <v>-763532145.00429499</v>
      </c>
      <c r="S48">
        <f t="shared" ref="S48" si="218">R48/100000</f>
        <v>-7635.3214500429503</v>
      </c>
      <c r="T48">
        <f t="shared" ref="T48" si="219">S48/1000</f>
        <v>-7.6353214500429507</v>
      </c>
    </row>
    <row r="49" spans="1:20" x14ac:dyDescent="0.25">
      <c r="A49" s="5">
        <v>44544</v>
      </c>
      <c r="B49">
        <v>0.73919999999999997</v>
      </c>
      <c r="C49">
        <v>0.84399999999999997</v>
      </c>
      <c r="D49">
        <v>0.7127</v>
      </c>
      <c r="E49">
        <v>0.82389999999999997</v>
      </c>
      <c r="F49">
        <v>46164373</v>
      </c>
      <c r="G49">
        <v>0.82389999999999997</v>
      </c>
      <c r="L49" t="s">
        <v>8</v>
      </c>
      <c r="M49" t="s">
        <v>8</v>
      </c>
      <c r="N49" t="s">
        <v>8</v>
      </c>
      <c r="P49">
        <f t="shared" ref="P49" si="220">IF(C49=D49,0,((E49-D49)-(C49-E49))/(C49-D49))</f>
        <v>0.69383092155369364</v>
      </c>
      <c r="Q49">
        <f t="shared" ref="Q49" si="221">F49*P49</f>
        <v>32030269.461538453</v>
      </c>
      <c r="R49">
        <f t="shared" ref="R49" si="222">R50+Q49</f>
        <v>-769645427.54883707</v>
      </c>
      <c r="S49">
        <f t="shared" ref="S49" si="223">R49/100000</f>
        <v>-7696.4542754883705</v>
      </c>
      <c r="T49">
        <f t="shared" ref="T49" si="224">S49/1000</f>
        <v>-7.6964542754883709</v>
      </c>
    </row>
    <row r="50" spans="1:20" x14ac:dyDescent="0.25">
      <c r="A50" s="5">
        <v>44543</v>
      </c>
      <c r="B50">
        <v>0.68159999999999998</v>
      </c>
      <c r="C50">
        <v>0.75</v>
      </c>
      <c r="D50">
        <v>0.65180000000000005</v>
      </c>
      <c r="E50">
        <v>0.74039999999999995</v>
      </c>
      <c r="F50">
        <v>38318100</v>
      </c>
      <c r="G50">
        <v>0.74039999999999995</v>
      </c>
      <c r="L50" t="s">
        <v>8</v>
      </c>
      <c r="M50" t="s">
        <v>8</v>
      </c>
      <c r="N50" t="s">
        <v>8</v>
      </c>
      <c r="P50">
        <f t="shared" ref="P50" si="225">IF(C50=D50,0,((E50-D50)-(C50-E50))/(C50-D50))</f>
        <v>0.80448065173115968</v>
      </c>
      <c r="Q50">
        <f t="shared" ref="Q50" si="226">F50*P50</f>
        <v>30826170.061099749</v>
      </c>
      <c r="R50">
        <f t="shared" ref="R50" si="227">R51+Q50</f>
        <v>-801675697.0103755</v>
      </c>
      <c r="S50">
        <f t="shared" ref="S50" si="228">R50/100000</f>
        <v>-8016.7569701037546</v>
      </c>
      <c r="T50">
        <f t="shared" ref="T50" si="229">S50/1000</f>
        <v>-8.0167569701037547</v>
      </c>
    </row>
    <row r="51" spans="1:20" x14ac:dyDescent="0.25">
      <c r="A51" s="5">
        <v>44542</v>
      </c>
      <c r="B51">
        <v>0.72130000000000005</v>
      </c>
      <c r="C51">
        <v>0.72499999999999998</v>
      </c>
      <c r="D51">
        <v>0.66610000000000003</v>
      </c>
      <c r="E51">
        <v>0.68169999999999997</v>
      </c>
      <c r="F51">
        <v>13130109</v>
      </c>
      <c r="G51">
        <v>0.68169999999999997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-0.47028862478777728</v>
      </c>
      <c r="Q51">
        <f t="shared" ref="Q51" si="231">F51*P51</f>
        <v>-6174940.9049236178</v>
      </c>
      <c r="R51">
        <f t="shared" ref="R51" si="232">R52+Q51</f>
        <v>-832501867.07147527</v>
      </c>
      <c r="S51">
        <f t="shared" ref="S51" si="233">R51/100000</f>
        <v>-8325.0186707147532</v>
      </c>
      <c r="T51">
        <f t="shared" ref="T51" si="234">S51/1000</f>
        <v>-8.3250186707147531</v>
      </c>
    </row>
    <row r="52" spans="1:20" x14ac:dyDescent="0.25">
      <c r="A52" s="5">
        <v>44541</v>
      </c>
      <c r="B52">
        <v>0.61</v>
      </c>
      <c r="C52">
        <v>0.6341</v>
      </c>
      <c r="D52">
        <v>0.59819999999999995</v>
      </c>
      <c r="E52">
        <v>0.63200000000000001</v>
      </c>
      <c r="F52">
        <v>1105307</v>
      </c>
      <c r="G52">
        <v>0.63200000000000001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0.88300835654596166</v>
      </c>
      <c r="Q52">
        <f t="shared" ref="Q52" si="236">F52*P52</f>
        <v>975995.31754874729</v>
      </c>
      <c r="R52">
        <f t="shared" ref="R52" si="237">R53+Q52</f>
        <v>-826326926.16655171</v>
      </c>
      <c r="S52">
        <f t="shared" ref="S52" si="238">R52/100000</f>
        <v>-8263.2692616655168</v>
      </c>
      <c r="T52">
        <f t="shared" ref="T52" si="239">S52/1000</f>
        <v>-8.263269261665517</v>
      </c>
    </row>
    <row r="53" spans="1:20" x14ac:dyDescent="0.25">
      <c r="A53" s="5">
        <v>44540</v>
      </c>
      <c r="B53">
        <v>0.55820000000000003</v>
      </c>
      <c r="C53">
        <v>0.68</v>
      </c>
      <c r="D53">
        <v>0.54779999999999995</v>
      </c>
      <c r="E53">
        <v>0.61119999999999997</v>
      </c>
      <c r="F53">
        <v>41729341</v>
      </c>
      <c r="G53">
        <v>0.61119999999999997</v>
      </c>
      <c r="L53" t="s">
        <v>8</v>
      </c>
      <c r="M53" t="s">
        <v>8</v>
      </c>
      <c r="N53" t="s">
        <v>7</v>
      </c>
      <c r="P53">
        <f t="shared" ref="P53" si="240">IF(C53=D53,0,((E53-D53)-(C53-E53))/(C53-D53))</f>
        <v>-4.0847201210287953E-2</v>
      </c>
      <c r="Q53">
        <f t="shared" ref="Q53" si="241">F53*P53</f>
        <v>-1704526.7881997188</v>
      </c>
      <c r="R53">
        <f t="shared" ref="R53" si="242">R54+Q53</f>
        <v>-827302921.48410046</v>
      </c>
      <c r="S53">
        <f t="shared" ref="S53" si="243">R53/100000</f>
        <v>-8273.0292148410044</v>
      </c>
      <c r="T53">
        <f t="shared" ref="T53" si="244">S53/1000</f>
        <v>-8.2730292148410047</v>
      </c>
    </row>
    <row r="54" spans="1:20" x14ac:dyDescent="0.25">
      <c r="A54" s="5">
        <v>44539</v>
      </c>
      <c r="B54">
        <v>0.60819999999999996</v>
      </c>
      <c r="C54">
        <v>0.65190000000000003</v>
      </c>
      <c r="D54">
        <v>0.53879999999999995</v>
      </c>
      <c r="E54">
        <v>0.55789999999999995</v>
      </c>
      <c r="F54">
        <v>19082573</v>
      </c>
      <c r="G54">
        <v>0.55789999999999995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-0.66224580017683488</v>
      </c>
      <c r="Q54">
        <f t="shared" ref="Q54" si="246">F54*P54</f>
        <v>-12637353.825817864</v>
      </c>
      <c r="R54">
        <f t="shared" ref="R54" si="247">R55+Q54</f>
        <v>-825598394.6959008</v>
      </c>
      <c r="S54">
        <f t="shared" ref="S54" si="248">R54/100000</f>
        <v>-8255.9839469590079</v>
      </c>
      <c r="T54">
        <f t="shared" ref="T54" si="249">S54/1000</f>
        <v>-8.2559839469590077</v>
      </c>
    </row>
    <row r="55" spans="1:20" x14ac:dyDescent="0.25">
      <c r="A55" s="5">
        <v>44538</v>
      </c>
      <c r="B55">
        <v>0.57499999999999996</v>
      </c>
      <c r="C55">
        <v>0.628</v>
      </c>
      <c r="D55">
        <v>0.53769999999999996</v>
      </c>
      <c r="E55">
        <v>0.60740000000000005</v>
      </c>
      <c r="F55">
        <v>14209449</v>
      </c>
      <c r="G55">
        <v>0.60740000000000005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0.54374307862680082</v>
      </c>
      <c r="Q55">
        <f t="shared" ref="Q55" si="251">F55*P55</f>
        <v>7726289.5448505161</v>
      </c>
      <c r="R55">
        <f t="shared" ref="R55" si="252">R56+Q55</f>
        <v>-812961040.87008297</v>
      </c>
      <c r="S55">
        <f t="shared" ref="S55" si="253">R55/100000</f>
        <v>-8129.6104087008298</v>
      </c>
      <c r="T55">
        <f t="shared" ref="T55" si="254">S55/1000</f>
        <v>-8.1296104087008292</v>
      </c>
    </row>
    <row r="56" spans="1:20" x14ac:dyDescent="0.25">
      <c r="A56" s="5">
        <v>44537</v>
      </c>
      <c r="B56">
        <v>0.57969999999999999</v>
      </c>
      <c r="C56">
        <v>0.68269999999999997</v>
      </c>
      <c r="D56">
        <v>0.55620000000000003</v>
      </c>
      <c r="E56">
        <v>0.57499999999999996</v>
      </c>
      <c r="F56">
        <v>22448247</v>
      </c>
      <c r="G56">
        <v>0.57499999999999996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-0.70276679841897338</v>
      </c>
      <c r="Q56">
        <f t="shared" ref="Q56" si="256">F56*P56</f>
        <v>-15775882.674308324</v>
      </c>
      <c r="R56">
        <f t="shared" ref="R56" si="257">R57+Q56</f>
        <v>-820687330.41493344</v>
      </c>
      <c r="S56">
        <f t="shared" ref="S56" si="258">R56/100000</f>
        <v>-8206.8733041493342</v>
      </c>
      <c r="T56">
        <f t="shared" ref="T56" si="259">S56/1000</f>
        <v>-8.2068733041493349</v>
      </c>
    </row>
    <row r="57" spans="1:20" x14ac:dyDescent="0.25">
      <c r="A57" s="5">
        <v>44536</v>
      </c>
      <c r="B57">
        <v>0.63549999999999995</v>
      </c>
      <c r="C57">
        <v>0.63549999999999995</v>
      </c>
      <c r="D57">
        <v>0.48599999999999999</v>
      </c>
      <c r="E57">
        <v>0.57989999999999997</v>
      </c>
      <c r="F57">
        <v>21094834</v>
      </c>
      <c r="G57">
        <v>0.57989999999999997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0.25618729096989973</v>
      </c>
      <c r="Q57">
        <f t="shared" ref="Q57" si="261">F57*P57</f>
        <v>5404228.3759197341</v>
      </c>
      <c r="R57">
        <f t="shared" ref="R57" si="262">R58+Q57</f>
        <v>-804911447.74062514</v>
      </c>
      <c r="S57">
        <f t="shared" ref="S57" si="263">R57/100000</f>
        <v>-8049.1144774062514</v>
      </c>
      <c r="T57">
        <f t="shared" ref="T57" si="264">S57/1000</f>
        <v>-8.0491144774062509</v>
      </c>
    </row>
    <row r="58" spans="1:20" x14ac:dyDescent="0.25">
      <c r="A58" s="5">
        <v>44535</v>
      </c>
      <c r="B58">
        <v>0.64529999999999998</v>
      </c>
      <c r="C58">
        <v>0.69069999999999998</v>
      </c>
      <c r="D58">
        <v>0.56859999999999999</v>
      </c>
      <c r="E58">
        <v>0.63539999999999996</v>
      </c>
      <c r="F58">
        <v>15173531</v>
      </c>
      <c r="G58">
        <v>0.63539999999999996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9.4185094185093826E-2</v>
      </c>
      <c r="Q58">
        <f t="shared" ref="Q58" si="266">F58*P58</f>
        <v>1429120.4463554409</v>
      </c>
      <c r="R58">
        <f t="shared" ref="R58" si="267">R59+Q58</f>
        <v>-810315676.11654484</v>
      </c>
      <c r="S58">
        <f t="shared" ref="S58" si="268">R58/100000</f>
        <v>-8103.1567611654482</v>
      </c>
      <c r="T58">
        <f t="shared" ref="T58" si="269">S58/1000</f>
        <v>-8.1031567611654474</v>
      </c>
    </row>
    <row r="59" spans="1:20" x14ac:dyDescent="0.25">
      <c r="A59" s="5">
        <v>44534</v>
      </c>
      <c r="B59">
        <v>0.755</v>
      </c>
      <c r="C59">
        <v>0.75690000000000002</v>
      </c>
      <c r="D59">
        <v>0.45200000000000001</v>
      </c>
      <c r="E59">
        <v>0.64870000000000005</v>
      </c>
      <c r="F59">
        <v>23306369</v>
      </c>
      <c r="G59">
        <v>0.64870000000000005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0.29025910134470345</v>
      </c>
      <c r="Q59">
        <f t="shared" ref="Q59" si="271">F59*P59</f>
        <v>6764885.7215480553</v>
      </c>
      <c r="R59">
        <f t="shared" ref="R59" si="272">R60+Q59</f>
        <v>-811744796.5629003</v>
      </c>
      <c r="S59">
        <f t="shared" ref="S59" si="273">R59/100000</f>
        <v>-8117.4479656290032</v>
      </c>
      <c r="T59">
        <f t="shared" ref="T59" si="274">S59/1000</f>
        <v>-8.1174479656290028</v>
      </c>
    </row>
    <row r="60" spans="1:20" x14ac:dyDescent="0.25">
      <c r="A60" s="5">
        <v>44533</v>
      </c>
      <c r="B60">
        <v>0.7964</v>
      </c>
      <c r="C60">
        <v>0.84319999999999995</v>
      </c>
      <c r="D60">
        <v>0.67859999999999998</v>
      </c>
      <c r="E60">
        <v>0.75549999999999995</v>
      </c>
      <c r="F60">
        <v>22787829</v>
      </c>
      <c r="G60">
        <v>0.75549999999999995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-6.5613608748481378E-2</v>
      </c>
      <c r="Q60">
        <f t="shared" ref="Q60" si="276">F60*P60</f>
        <v>-1495191.6962332977</v>
      </c>
      <c r="R60">
        <f t="shared" ref="R60" si="277">R61+Q60</f>
        <v>-818509682.28444839</v>
      </c>
      <c r="S60">
        <f t="shared" ref="S60" si="278">R60/100000</f>
        <v>-8185.0968228444835</v>
      </c>
      <c r="T60">
        <f t="shared" ref="T60" si="279">S60/1000</f>
        <v>-8.1850968228444838</v>
      </c>
    </row>
    <row r="61" spans="1:20" x14ac:dyDescent="0.25">
      <c r="A61" s="5">
        <v>44532</v>
      </c>
      <c r="B61">
        <v>0.85189999999999999</v>
      </c>
      <c r="C61">
        <v>0.88600000000000001</v>
      </c>
      <c r="D61">
        <v>0.76790000000000003</v>
      </c>
      <c r="E61">
        <v>0.7964</v>
      </c>
      <c r="F61">
        <v>30222658</v>
      </c>
      <c r="G61">
        <v>0.7964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-0.51735817104149073</v>
      </c>
      <c r="Q61">
        <f t="shared" ref="Q61" si="281">F61*P61</f>
        <v>-15635939.066892479</v>
      </c>
      <c r="R61">
        <f t="shared" ref="R61" si="282">R62+Q61</f>
        <v>-817014490.58821511</v>
      </c>
      <c r="S61">
        <f t="shared" ref="S61" si="283">R61/100000</f>
        <v>-8170.1449058821509</v>
      </c>
      <c r="T61">
        <f t="shared" ref="T61" si="284">S61/1000</f>
        <v>-8.1701449058821503</v>
      </c>
    </row>
    <row r="62" spans="1:20" x14ac:dyDescent="0.25">
      <c r="A62" s="5">
        <v>44531</v>
      </c>
      <c r="B62">
        <v>0.76149999999999995</v>
      </c>
      <c r="C62">
        <v>0.89749999999999996</v>
      </c>
      <c r="D62">
        <v>0.72570000000000001</v>
      </c>
      <c r="E62">
        <v>0.85189999999999999</v>
      </c>
      <c r="F62">
        <v>38554782</v>
      </c>
      <c r="G62">
        <v>0.85189999999999999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0.46915017462165326</v>
      </c>
      <c r="Q62">
        <f t="shared" ref="Q62" si="286">F62*P62</f>
        <v>18087982.707799774</v>
      </c>
      <c r="R62">
        <f t="shared" ref="R62" si="287">R63+Q62</f>
        <v>-801378551.52132261</v>
      </c>
      <c r="S62">
        <f t="shared" ref="S62" si="288">R62/100000</f>
        <v>-8013.7855152132261</v>
      </c>
      <c r="T62">
        <f t="shared" ref="T62" si="289">S62/1000</f>
        <v>-8.0137855152132254</v>
      </c>
    </row>
    <row r="63" spans="1:20" x14ac:dyDescent="0.25">
      <c r="A63" s="5">
        <v>44530</v>
      </c>
      <c r="B63">
        <v>0.79590000000000005</v>
      </c>
      <c r="C63">
        <v>0.79720000000000002</v>
      </c>
      <c r="D63">
        <v>0.70650000000000002</v>
      </c>
      <c r="E63">
        <v>0.76139999999999997</v>
      </c>
      <c r="F63">
        <v>18826837</v>
      </c>
      <c r="G63">
        <v>0.76139999999999997</v>
      </c>
      <c r="L63" t="s">
        <v>7</v>
      </c>
      <c r="M63" t="s">
        <v>8</v>
      </c>
      <c r="N63" t="s">
        <v>8</v>
      </c>
      <c r="P63">
        <f t="shared" ref="P63" si="290">IF(C63=D63,0,((E63-D63)-(C63-E63))/(C63-D63))</f>
        <v>0.21058434399117854</v>
      </c>
      <c r="Q63">
        <f t="shared" ref="Q63" si="291">F63*P63</f>
        <v>3964637.1190738478</v>
      </c>
      <c r="R63">
        <f t="shared" ref="R63" si="292">R64+Q63</f>
        <v>-819466534.2291224</v>
      </c>
      <c r="S63">
        <f t="shared" ref="S63" si="293">R63/100000</f>
        <v>-8194.6653422912241</v>
      </c>
      <c r="T63">
        <f t="shared" ref="T63" si="294">S63/1000</f>
        <v>-8.1946653422912235</v>
      </c>
    </row>
    <row r="64" spans="1:20" x14ac:dyDescent="0.25">
      <c r="A64" s="5">
        <v>44529</v>
      </c>
      <c r="B64">
        <v>0.6925</v>
      </c>
      <c r="C64">
        <v>0.80659999999999998</v>
      </c>
      <c r="D64">
        <v>0.65910000000000002</v>
      </c>
      <c r="E64">
        <v>0.79579999999999995</v>
      </c>
      <c r="F64">
        <v>82285834</v>
      </c>
      <c r="G64">
        <v>0.79579999999999995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0.85355932203389784</v>
      </c>
      <c r="Q64">
        <f t="shared" ref="Q64" si="296">F64*P64</f>
        <v>70235840.682033867</v>
      </c>
      <c r="R64">
        <f t="shared" ref="R64" si="297">R65+Q64</f>
        <v>-823431171.34819627</v>
      </c>
      <c r="S64">
        <f t="shared" ref="S64" si="298">R64/100000</f>
        <v>-8234.3117134819622</v>
      </c>
      <c r="T64">
        <f t="shared" ref="T64" si="299">S64/1000</f>
        <v>-8.2343117134819614</v>
      </c>
    </row>
    <row r="65" spans="1:20" x14ac:dyDescent="0.25">
      <c r="A65" s="5">
        <v>44528</v>
      </c>
      <c r="B65">
        <v>0.55220000000000002</v>
      </c>
      <c r="C65">
        <v>0.70430000000000004</v>
      </c>
      <c r="D65">
        <v>0.52910000000000001</v>
      </c>
      <c r="E65">
        <v>0.69299999999999995</v>
      </c>
      <c r="F65">
        <v>65144732</v>
      </c>
      <c r="G65">
        <v>0.69299999999999995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0.87100456621004463</v>
      </c>
      <c r="Q65">
        <f t="shared" ref="Q65" si="301">F65*P65</f>
        <v>56741359.036529616</v>
      </c>
      <c r="R65">
        <f t="shared" ref="R65" si="302">R66+Q65</f>
        <v>-893667012.03023016</v>
      </c>
      <c r="S65">
        <f t="shared" ref="S65" si="303">R65/100000</f>
        <v>-8936.6701203023022</v>
      </c>
      <c r="T65">
        <f t="shared" ref="T65" si="304">S65/1000</f>
        <v>-8.9366701203023027</v>
      </c>
    </row>
    <row r="66" spans="1:20" x14ac:dyDescent="0.25">
      <c r="A66" s="5">
        <v>44527</v>
      </c>
      <c r="B66">
        <v>0.57520000000000004</v>
      </c>
      <c r="C66">
        <v>0.65</v>
      </c>
      <c r="D66">
        <v>0.54279999999999995</v>
      </c>
      <c r="E66">
        <v>0.55220000000000002</v>
      </c>
      <c r="F66">
        <v>14346942</v>
      </c>
      <c r="G66">
        <v>0.55220000000000002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-0.82462686567164056</v>
      </c>
      <c r="Q66">
        <f t="shared" ref="Q66" si="306">F66*P66</f>
        <v>-11830873.813432818</v>
      </c>
      <c r="R66">
        <f t="shared" ref="R66" si="307">R67+Q66</f>
        <v>-950408371.06675982</v>
      </c>
      <c r="S66">
        <f t="shared" ref="S66" si="308">R66/100000</f>
        <v>-9504.083710667599</v>
      </c>
      <c r="T66">
        <f t="shared" ref="T66" si="309">S66/1000</f>
        <v>-9.504083710667599</v>
      </c>
    </row>
    <row r="67" spans="1:20" x14ac:dyDescent="0.25">
      <c r="A67" s="5">
        <v>44526</v>
      </c>
      <c r="B67">
        <v>0.61119999999999997</v>
      </c>
      <c r="C67">
        <v>0.63959999999999995</v>
      </c>
      <c r="D67">
        <v>0.51</v>
      </c>
      <c r="E67">
        <v>0.57620000000000005</v>
      </c>
      <c r="F67">
        <v>22198266</v>
      </c>
      <c r="G67">
        <v>0.57620000000000005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2.1604938271605995E-2</v>
      </c>
      <c r="Q67">
        <f t="shared" ref="Q67" si="311">F67*P67</f>
        <v>479592.16666669014</v>
      </c>
      <c r="R67">
        <f t="shared" ref="R67" si="312">R68+Q67</f>
        <v>-938577497.25332701</v>
      </c>
      <c r="S67">
        <f t="shared" ref="S67" si="313">R67/100000</f>
        <v>-9385.7749725332706</v>
      </c>
      <c r="T67">
        <f t="shared" ref="T67" si="314">S67/1000</f>
        <v>-9.3857749725332713</v>
      </c>
    </row>
    <row r="68" spans="1:20" x14ac:dyDescent="0.25">
      <c r="A68" s="5">
        <v>44525</v>
      </c>
      <c r="B68">
        <v>0.6472</v>
      </c>
      <c r="C68">
        <v>0.68330000000000002</v>
      </c>
      <c r="D68">
        <v>0.59899999999999998</v>
      </c>
      <c r="E68">
        <v>0.61040000000000005</v>
      </c>
      <c r="F68">
        <v>18549122</v>
      </c>
      <c r="G68">
        <v>0.61040000000000005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-0.72953736654804102</v>
      </c>
      <c r="Q68">
        <f t="shared" ref="Q68" si="316">F68*P68</f>
        <v>-13532277.615658332</v>
      </c>
      <c r="R68">
        <f t="shared" ref="R68" si="317">R69+Q68</f>
        <v>-939057089.41999376</v>
      </c>
      <c r="S68">
        <f t="shared" ref="S68" si="318">R68/100000</f>
        <v>-9390.5708941999383</v>
      </c>
      <c r="T68">
        <f t="shared" ref="T68" si="319">S68/1000</f>
        <v>-9.3905708941999375</v>
      </c>
    </row>
    <row r="69" spans="1:20" x14ac:dyDescent="0.25">
      <c r="A69" s="5">
        <v>44524</v>
      </c>
      <c r="B69">
        <v>0.59</v>
      </c>
      <c r="C69">
        <v>0.61739999999999995</v>
      </c>
      <c r="D69">
        <v>0.55979999999999996</v>
      </c>
      <c r="E69">
        <v>0.57769999999999999</v>
      </c>
      <c r="F69">
        <v>8370523</v>
      </c>
      <c r="G69">
        <v>0.57769999999999999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-0.3784722222222211</v>
      </c>
      <c r="Q69">
        <f t="shared" ref="Q69" si="321">F69*P69</f>
        <v>-3168010.4409722127</v>
      </c>
      <c r="R69">
        <f t="shared" ref="R69" si="322">R70+Q69</f>
        <v>-925524811.80433547</v>
      </c>
      <c r="S69">
        <f t="shared" ref="S69" si="323">R69/100000</f>
        <v>-9255.2481180433551</v>
      </c>
      <c r="T69">
        <f t="shared" ref="T69" si="324">S69/1000</f>
        <v>-9.2552481180433546</v>
      </c>
    </row>
    <row r="70" spans="1:20" x14ac:dyDescent="0.25">
      <c r="A70" s="5">
        <v>44523</v>
      </c>
      <c r="B70">
        <v>0.52400000000000002</v>
      </c>
      <c r="C70">
        <v>0.61</v>
      </c>
      <c r="D70">
        <v>0.49509999999999998</v>
      </c>
      <c r="E70">
        <v>0.58899999999999997</v>
      </c>
      <c r="F70">
        <v>31432747</v>
      </c>
      <c r="G70">
        <v>0.58899999999999997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0.63446475195822427</v>
      </c>
      <c r="Q70">
        <f t="shared" ref="Q70" si="326">F70*P70</f>
        <v>19942970.028720617</v>
      </c>
      <c r="R70">
        <f t="shared" ref="R70" si="327">R71+Q70</f>
        <v>-922356801.36336327</v>
      </c>
      <c r="S70">
        <f t="shared" ref="S70" si="328">R70/100000</f>
        <v>-9223.5680136336323</v>
      </c>
      <c r="T70">
        <f t="shared" ref="T70" si="329">S70/1000</f>
        <v>-9.2235680136336331</v>
      </c>
    </row>
    <row r="71" spans="1:20" x14ac:dyDescent="0.25">
      <c r="A71" s="5">
        <v>44522</v>
      </c>
      <c r="B71">
        <v>0.47370000000000001</v>
      </c>
      <c r="C71">
        <v>0.53500000000000003</v>
      </c>
      <c r="D71">
        <v>0.46239999999999998</v>
      </c>
      <c r="E71">
        <v>0.52470000000000006</v>
      </c>
      <c r="F71">
        <v>17448322</v>
      </c>
      <c r="G71">
        <v>0.52470000000000006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0.71625344352617171</v>
      </c>
      <c r="Q71">
        <f t="shared" ref="Q71" si="331">F71*P71</f>
        <v>12497420.716253459</v>
      </c>
      <c r="R71">
        <f t="shared" ref="R71" si="332">R72+Q71</f>
        <v>-942299771.39208388</v>
      </c>
      <c r="S71">
        <f t="shared" ref="S71" si="333">R71/100000</f>
        <v>-9422.9977139208386</v>
      </c>
      <c r="T71">
        <f t="shared" ref="T71" si="334">S71/1000</f>
        <v>-9.4229977139208394</v>
      </c>
    </row>
    <row r="72" spans="1:20" x14ac:dyDescent="0.25">
      <c r="A72" s="5">
        <v>44521</v>
      </c>
      <c r="B72">
        <v>0.50090000000000001</v>
      </c>
      <c r="C72">
        <v>0.50780000000000003</v>
      </c>
      <c r="D72">
        <v>0.47189999999999999</v>
      </c>
      <c r="E72">
        <v>0.47520000000000001</v>
      </c>
      <c r="F72">
        <v>7733040</v>
      </c>
      <c r="G72">
        <v>0.47520000000000001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-0.8161559888579375</v>
      </c>
      <c r="Q72">
        <f t="shared" ref="Q72" si="336">F72*P72</f>
        <v>-6311366.908077985</v>
      </c>
      <c r="R72">
        <f t="shared" ref="R72" si="337">R73+Q72</f>
        <v>-954797192.1083374</v>
      </c>
      <c r="S72">
        <f t="shared" ref="S72" si="338">R72/100000</f>
        <v>-9547.9719210833737</v>
      </c>
      <c r="T72">
        <f t="shared" ref="T72" si="339">S72/1000</f>
        <v>-9.5479719210833736</v>
      </c>
    </row>
    <row r="73" spans="1:20" x14ac:dyDescent="0.25">
      <c r="A73" s="5">
        <v>44520</v>
      </c>
      <c r="B73">
        <v>0.46679999999999999</v>
      </c>
      <c r="C73">
        <v>0.55000000000000004</v>
      </c>
      <c r="D73">
        <v>0.45529999999999998</v>
      </c>
      <c r="E73">
        <v>0.50090000000000001</v>
      </c>
      <c r="F73">
        <v>42405904</v>
      </c>
      <c r="G73">
        <v>0.50090000000000001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-3.6958817317845838E-2</v>
      </c>
      <c r="Q73">
        <f t="shared" ref="Q73" si="341">F73*P73</f>
        <v>-1567272.059134108</v>
      </c>
      <c r="R73">
        <f t="shared" ref="R73" si="342">R74+Q73</f>
        <v>-948485825.20025945</v>
      </c>
      <c r="S73">
        <f t="shared" ref="S73" si="343">R73/100000</f>
        <v>-9484.8582520025939</v>
      </c>
      <c r="T73">
        <f t="shared" ref="T73" si="344">S73/1000</f>
        <v>-9.4848582520025939</v>
      </c>
    </row>
    <row r="74" spans="1:20" x14ac:dyDescent="0.25">
      <c r="A74" s="5">
        <v>44519</v>
      </c>
      <c r="B74">
        <v>0.40389999999999998</v>
      </c>
      <c r="C74">
        <v>0.49</v>
      </c>
      <c r="D74">
        <v>0.39729999999999999</v>
      </c>
      <c r="E74">
        <v>0.46679999999999999</v>
      </c>
      <c r="F74">
        <v>11006485</v>
      </c>
      <c r="G74">
        <v>0.46679999999999999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0.49946062567421795</v>
      </c>
      <c r="Q74">
        <f t="shared" ref="Q74" si="346">F74*P74</f>
        <v>5497305.8845738946</v>
      </c>
      <c r="R74">
        <f t="shared" ref="R74" si="347">R75+Q74</f>
        <v>-946918553.14112532</v>
      </c>
      <c r="S74">
        <f t="shared" ref="S74" si="348">R74/100000</f>
        <v>-9469.1855314112527</v>
      </c>
      <c r="T74">
        <f t="shared" ref="T74" si="349">S74/1000</f>
        <v>-9.4691855314112523</v>
      </c>
    </row>
    <row r="75" spans="1:20" x14ac:dyDescent="0.25">
      <c r="A75" s="5">
        <v>44518</v>
      </c>
      <c r="B75">
        <v>0.44409999999999999</v>
      </c>
      <c r="C75">
        <v>0.45419999999999999</v>
      </c>
      <c r="D75">
        <v>0.39929999999999999</v>
      </c>
      <c r="E75">
        <v>0.4032</v>
      </c>
      <c r="F75">
        <v>7350003</v>
      </c>
      <c r="G75">
        <v>0.4032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-0.85792349726775907</v>
      </c>
      <c r="Q75">
        <f t="shared" ref="Q75" si="351">F75*P75</f>
        <v>-6305740.2786885211</v>
      </c>
      <c r="R75">
        <f t="shared" ref="R75" si="352">R76+Q75</f>
        <v>-952415859.02569926</v>
      </c>
      <c r="S75">
        <f t="shared" ref="S75" si="353">R75/100000</f>
        <v>-9524.1585902569932</v>
      </c>
      <c r="T75">
        <f t="shared" ref="T75" si="354">S75/1000</f>
        <v>-9.5241585902569934</v>
      </c>
    </row>
    <row r="76" spans="1:20" x14ac:dyDescent="0.25">
      <c r="A76" s="5">
        <v>44517</v>
      </c>
      <c r="B76">
        <v>0.44040000000000001</v>
      </c>
      <c r="C76">
        <v>0.46920000000000001</v>
      </c>
      <c r="D76">
        <v>0.42599999999999999</v>
      </c>
      <c r="E76">
        <v>0.44350000000000001</v>
      </c>
      <c r="F76">
        <v>12907796</v>
      </c>
      <c r="G76">
        <v>0.44350000000000001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-0.18981481481481441</v>
      </c>
      <c r="Q76">
        <f t="shared" ref="Q76" si="356">F76*P76</f>
        <v>-2450090.9074074021</v>
      </c>
      <c r="R76">
        <f t="shared" ref="R76" si="357">R77+Q76</f>
        <v>-946110118.74701071</v>
      </c>
      <c r="S76">
        <f t="shared" ref="S76" si="358">R76/100000</f>
        <v>-9461.1011874701071</v>
      </c>
      <c r="T76">
        <f t="shared" ref="T76" si="359">S76/1000</f>
        <v>-9.4611011874701063</v>
      </c>
    </row>
    <row r="77" spans="1:20" x14ac:dyDescent="0.25">
      <c r="A77" s="5">
        <v>44516</v>
      </c>
      <c r="B77">
        <v>0.504</v>
      </c>
      <c r="C77">
        <v>0.51119999999999999</v>
      </c>
      <c r="D77">
        <v>0.4214</v>
      </c>
      <c r="E77">
        <v>0.44069999999999998</v>
      </c>
      <c r="F77">
        <v>29370197</v>
      </c>
      <c r="G77">
        <v>0.44069999999999998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-0.57015590200445465</v>
      </c>
      <c r="Q77">
        <f t="shared" ref="Q77" si="361">F77*P77</f>
        <v>-16745591.162583528</v>
      </c>
      <c r="R77">
        <f t="shared" ref="R77" si="362">R78+Q77</f>
        <v>-943660027.8396033</v>
      </c>
      <c r="S77">
        <f t="shared" ref="S77" si="363">R77/100000</f>
        <v>-9436.6002783960339</v>
      </c>
      <c r="T77">
        <f t="shared" ref="T77" si="364">S77/1000</f>
        <v>-9.4366002783960337</v>
      </c>
    </row>
    <row r="78" spans="1:20" x14ac:dyDescent="0.25">
      <c r="A78" s="5">
        <v>44515</v>
      </c>
      <c r="B78">
        <v>0.46939999999999998</v>
      </c>
      <c r="C78">
        <v>0.57799999999999996</v>
      </c>
      <c r="D78">
        <v>0.4415</v>
      </c>
      <c r="E78">
        <v>0.50449999999999995</v>
      </c>
      <c r="F78">
        <v>74558729</v>
      </c>
      <c r="G78">
        <v>0.50449999999999995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-7.6923076923077427E-2</v>
      </c>
      <c r="Q78">
        <f t="shared" ref="Q78" si="366">F78*P78</f>
        <v>-5735286.8461538833</v>
      </c>
      <c r="R78">
        <f t="shared" ref="R78" si="367">R79+Q78</f>
        <v>-926914436.67701983</v>
      </c>
      <c r="S78">
        <f t="shared" ref="S78" si="368">R78/100000</f>
        <v>-9269.1443667701988</v>
      </c>
      <c r="T78">
        <f t="shared" ref="T78" si="369">S78/1000</f>
        <v>-9.2691443667701989</v>
      </c>
    </row>
    <row r="79" spans="1:20" x14ac:dyDescent="0.25">
      <c r="A79" s="5">
        <v>44514</v>
      </c>
      <c r="B79">
        <v>0.42059999999999997</v>
      </c>
      <c r="C79">
        <v>0.50880000000000003</v>
      </c>
      <c r="D79">
        <v>0.41770000000000002</v>
      </c>
      <c r="E79">
        <v>0.47070000000000001</v>
      </c>
      <c r="F79">
        <v>27621330</v>
      </c>
      <c r="G79">
        <v>0.47070000000000001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0.16355653128430259</v>
      </c>
      <c r="Q79">
        <f t="shared" ref="Q79" si="371">F79*P79</f>
        <v>4517648.9242590452</v>
      </c>
      <c r="R79">
        <f t="shared" ref="R79" si="372">R80+Q79</f>
        <v>-921179149.83086598</v>
      </c>
      <c r="S79">
        <f t="shared" ref="S79" si="373">R79/100000</f>
        <v>-9211.7914983086594</v>
      </c>
      <c r="T79">
        <f t="shared" ref="T79" si="374">S79/1000</f>
        <v>-9.21179149830866</v>
      </c>
    </row>
    <row r="80" spans="1:20" x14ac:dyDescent="0.25">
      <c r="A80" s="5">
        <v>44513</v>
      </c>
      <c r="B80">
        <v>0.41789999999999999</v>
      </c>
      <c r="C80">
        <v>0.43980000000000002</v>
      </c>
      <c r="D80">
        <v>0.41</v>
      </c>
      <c r="E80">
        <v>0.42059999999999997</v>
      </c>
      <c r="F80">
        <v>8867857</v>
      </c>
      <c r="G80">
        <v>0.42059999999999997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-0.28859060402684689</v>
      </c>
      <c r="Q80">
        <f t="shared" ref="Q80" si="376">F80*P80</f>
        <v>-2559180.2080537025</v>
      </c>
      <c r="R80">
        <f t="shared" ref="R80" si="377">R81+Q80</f>
        <v>-925696798.75512505</v>
      </c>
      <c r="S80">
        <f t="shared" ref="S80" si="378">R80/100000</f>
        <v>-9256.9679875512502</v>
      </c>
      <c r="T80">
        <f t="shared" ref="T80" si="379">S80/1000</f>
        <v>-9.2569679875512509</v>
      </c>
    </row>
    <row r="81" spans="1:20" x14ac:dyDescent="0.25">
      <c r="A81" s="5">
        <v>44512</v>
      </c>
      <c r="B81">
        <v>0.40460000000000002</v>
      </c>
      <c r="C81">
        <v>0.46400000000000002</v>
      </c>
      <c r="D81">
        <v>0.39779999999999999</v>
      </c>
      <c r="E81">
        <v>0.41830000000000001</v>
      </c>
      <c r="F81">
        <v>39765587</v>
      </c>
      <c r="G81">
        <v>0.41830000000000001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-0.3806646525679756</v>
      </c>
      <c r="Q81">
        <f t="shared" ref="Q81" si="381">F81*P81</f>
        <v>-15137353.359516608</v>
      </c>
      <c r="R81">
        <f t="shared" ref="R81" si="382">R82+Q81</f>
        <v>-923137618.54707134</v>
      </c>
      <c r="S81">
        <f t="shared" ref="S81" si="383">R81/100000</f>
        <v>-9231.3761854707136</v>
      </c>
      <c r="T81">
        <f t="shared" ref="T81" si="384">S81/1000</f>
        <v>-9.2313761854707135</v>
      </c>
    </row>
    <row r="82" spans="1:20" x14ac:dyDescent="0.25">
      <c r="A82" s="5">
        <v>44511</v>
      </c>
      <c r="B82">
        <v>0.37590000000000001</v>
      </c>
      <c r="C82">
        <v>0.43149999999999999</v>
      </c>
      <c r="D82">
        <v>0.36969999999999997</v>
      </c>
      <c r="E82">
        <v>0.40460000000000002</v>
      </c>
      <c r="F82">
        <v>15028799</v>
      </c>
      <c r="G82">
        <v>0.40460000000000002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0.12944983818770323</v>
      </c>
      <c r="Q82">
        <f t="shared" ref="Q82" si="386">F82*P82</f>
        <v>1945475.598705516</v>
      </c>
      <c r="R82">
        <f t="shared" ref="R82" si="387">R83+Q82</f>
        <v>-908000265.18755472</v>
      </c>
      <c r="S82">
        <f t="shared" ref="S82" si="388">R82/100000</f>
        <v>-9080.0026518755476</v>
      </c>
      <c r="T82">
        <f t="shared" ref="T82" si="389">S82/1000</f>
        <v>-9.0800026518755477</v>
      </c>
    </row>
    <row r="83" spans="1:20" x14ac:dyDescent="0.25">
      <c r="A83" s="5">
        <v>44510</v>
      </c>
      <c r="B83">
        <v>0.40160000000000001</v>
      </c>
      <c r="C83">
        <v>0.41499999999999998</v>
      </c>
      <c r="D83">
        <v>0.36</v>
      </c>
      <c r="E83">
        <v>0.37680000000000002</v>
      </c>
      <c r="F83">
        <v>13828818</v>
      </c>
      <c r="G83">
        <v>0.37680000000000002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-0.38909090909090766</v>
      </c>
      <c r="Q83">
        <f t="shared" ref="Q83" si="391">F83*P83</f>
        <v>-5380667.3672727076</v>
      </c>
      <c r="R83">
        <f t="shared" ref="R83" si="392">R84+Q83</f>
        <v>-909945740.78626025</v>
      </c>
      <c r="S83">
        <f t="shared" ref="S83" si="393">R83/100000</f>
        <v>-9099.4574078626028</v>
      </c>
      <c r="T83">
        <f t="shared" ref="T83" si="394">S83/1000</f>
        <v>-9.0994574078626034</v>
      </c>
    </row>
    <row r="84" spans="1:20" x14ac:dyDescent="0.25">
      <c r="A84" s="5">
        <v>44509</v>
      </c>
      <c r="B84">
        <v>0.38990000000000002</v>
      </c>
      <c r="C84">
        <v>0.45</v>
      </c>
      <c r="D84">
        <v>0.3846</v>
      </c>
      <c r="E84">
        <v>0.40179999999999999</v>
      </c>
      <c r="F84">
        <v>23748858</v>
      </c>
      <c r="G84">
        <v>0.40179999999999999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-0.47400611620795141</v>
      </c>
      <c r="Q84">
        <f t="shared" ref="Q84" si="396">F84*P84</f>
        <v>-11257103.944954136</v>
      </c>
      <c r="R84">
        <f t="shared" ref="R84" si="397">R85+Q84</f>
        <v>-904565073.41898751</v>
      </c>
      <c r="S84">
        <f t="shared" ref="S84" si="398">R84/100000</f>
        <v>-9045.6507341898759</v>
      </c>
      <c r="T84">
        <f t="shared" ref="T84" si="399">S84/1000</f>
        <v>-9.0456507341898753</v>
      </c>
    </row>
    <row r="85" spans="1:20" x14ac:dyDescent="0.25">
      <c r="A85" s="5">
        <v>44508</v>
      </c>
      <c r="B85">
        <v>0.37059999999999998</v>
      </c>
      <c r="C85">
        <v>0.4143</v>
      </c>
      <c r="D85">
        <v>0.36399999999999999</v>
      </c>
      <c r="E85">
        <v>0.38990000000000002</v>
      </c>
      <c r="F85">
        <v>14336369</v>
      </c>
      <c r="G85">
        <v>0.38990000000000002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2.9821073558649235E-2</v>
      </c>
      <c r="Q85">
        <f t="shared" ref="Q85" si="401">F85*P85</f>
        <v>427525.91451293859</v>
      </c>
      <c r="R85">
        <f t="shared" ref="R85" si="402">R86+Q85</f>
        <v>-893307969.47403336</v>
      </c>
      <c r="S85">
        <f t="shared" ref="S85" si="403">R85/100000</f>
        <v>-8933.0796947403342</v>
      </c>
      <c r="T85">
        <f t="shared" ref="T85" si="404">S85/1000</f>
        <v>-8.9330796947403339</v>
      </c>
    </row>
    <row r="86" spans="1:20" x14ac:dyDescent="0.25">
      <c r="A86" s="5">
        <v>44507</v>
      </c>
      <c r="B86">
        <v>0.37830000000000003</v>
      </c>
      <c r="C86">
        <v>0.38679999999999998</v>
      </c>
      <c r="D86">
        <v>0.36220000000000002</v>
      </c>
      <c r="E86">
        <v>0.37059999999999998</v>
      </c>
      <c r="F86">
        <v>9450653</v>
      </c>
      <c r="G86">
        <v>0.37059999999999998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-0.3170731707317091</v>
      </c>
      <c r="Q86">
        <f t="shared" ref="Q86" si="406">F86*P86</f>
        <v>-2996548.5121951387</v>
      </c>
      <c r="R86">
        <f t="shared" ref="R86" si="407">R87+Q86</f>
        <v>-893735495.38854635</v>
      </c>
      <c r="S86">
        <f t="shared" ref="S86" si="408">R86/100000</f>
        <v>-8937.3549538854641</v>
      </c>
      <c r="T86">
        <f t="shared" ref="T86" si="409">S86/1000</f>
        <v>-8.937354953885464</v>
      </c>
    </row>
    <row r="87" spans="1:20" x14ac:dyDescent="0.25">
      <c r="A87" s="5">
        <v>44506</v>
      </c>
      <c r="B87">
        <v>0.38479999999999998</v>
      </c>
      <c r="C87">
        <v>0.45989999999999998</v>
      </c>
      <c r="D87">
        <v>0.36659999999999998</v>
      </c>
      <c r="E87">
        <v>0.37840000000000001</v>
      </c>
      <c r="F87">
        <v>70738925</v>
      </c>
      <c r="G87">
        <v>0.37840000000000001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-0.74705251875669809</v>
      </c>
      <c r="Q87">
        <f t="shared" ref="Q87" si="411">F87*P87</f>
        <v>-52845692.095391162</v>
      </c>
      <c r="R87">
        <f t="shared" ref="R87" si="412">R88+Q87</f>
        <v>-890738946.87635124</v>
      </c>
      <c r="S87">
        <f t="shared" ref="S87" si="413">R87/100000</f>
        <v>-8907.3894687635129</v>
      </c>
      <c r="T87">
        <f t="shared" ref="T87" si="414">S87/1000</f>
        <v>-8.9073894687635136</v>
      </c>
    </row>
    <row r="88" spans="1:20" x14ac:dyDescent="0.25">
      <c r="A88" s="5">
        <v>44505</v>
      </c>
      <c r="B88">
        <v>0.33410000000000001</v>
      </c>
      <c r="C88">
        <v>0.55249999999999999</v>
      </c>
      <c r="D88">
        <v>0.32890000000000003</v>
      </c>
      <c r="E88">
        <v>0.38469999999999999</v>
      </c>
      <c r="F88">
        <v>193835037</v>
      </c>
      <c r="G88">
        <v>0.38469999999999999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-0.50089445438282676</v>
      </c>
      <c r="Q88">
        <f t="shared" ref="Q88" si="416">F88*P88</f>
        <v>-97090895.098390043</v>
      </c>
      <c r="R88">
        <f t="shared" ref="R88" si="417">R89+Q88</f>
        <v>-837893254.78096008</v>
      </c>
      <c r="S88">
        <f t="shared" ref="S88" si="418">R88/100000</f>
        <v>-8378.9325478096016</v>
      </c>
      <c r="T88">
        <f t="shared" ref="T88" si="419">S88/1000</f>
        <v>-8.3789325478096011</v>
      </c>
    </row>
    <row r="89" spans="1:20" x14ac:dyDescent="0.25">
      <c r="A89" s="5">
        <v>44504</v>
      </c>
      <c r="B89">
        <v>0.32469999999999999</v>
      </c>
      <c r="C89">
        <v>0.41760000000000003</v>
      </c>
      <c r="D89">
        <v>0.31690000000000002</v>
      </c>
      <c r="E89">
        <v>0.33350000000000002</v>
      </c>
      <c r="F89">
        <v>34075237</v>
      </c>
      <c r="G89">
        <v>0.33350000000000002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-0.6703078450844091</v>
      </c>
      <c r="Q89">
        <f t="shared" ref="Q89" si="421">F89*P89</f>
        <v>-22840898.684210524</v>
      </c>
      <c r="R89">
        <f t="shared" ref="R89" si="422">R90+Q89</f>
        <v>-740802359.68256998</v>
      </c>
      <c r="S89">
        <f t="shared" ref="S89" si="423">R89/100000</f>
        <v>-7408.0235968257002</v>
      </c>
      <c r="T89">
        <f t="shared" ref="T89" si="424">S89/1000</f>
        <v>-7.4080235968257</v>
      </c>
    </row>
    <row r="90" spans="1:20" x14ac:dyDescent="0.25">
      <c r="A90" s="5">
        <v>44503</v>
      </c>
      <c r="B90">
        <v>0.32750000000000001</v>
      </c>
      <c r="C90">
        <v>0.33090000000000003</v>
      </c>
      <c r="D90">
        <v>0.3095</v>
      </c>
      <c r="E90">
        <v>0.32469999999999999</v>
      </c>
      <c r="F90">
        <v>7602027</v>
      </c>
      <c r="G90">
        <v>0.32469999999999999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0.42056074766354856</v>
      </c>
      <c r="Q90">
        <f t="shared" ref="Q90" si="426">F90*P90</f>
        <v>3197114.1588784829</v>
      </c>
      <c r="R90">
        <f t="shared" ref="R90" si="427">R91+Q90</f>
        <v>-717961460.99835944</v>
      </c>
      <c r="S90">
        <f t="shared" ref="S90" si="428">R90/100000</f>
        <v>-7179.6146099835942</v>
      </c>
      <c r="T90">
        <f t="shared" ref="T90" si="429">S90/1000</f>
        <v>-7.1796146099835942</v>
      </c>
    </row>
    <row r="91" spans="1:20" x14ac:dyDescent="0.25">
      <c r="A91" s="5">
        <v>44502</v>
      </c>
      <c r="B91">
        <v>0.3221</v>
      </c>
      <c r="C91">
        <v>0.34</v>
      </c>
      <c r="D91">
        <v>0.318</v>
      </c>
      <c r="E91">
        <v>0.3276</v>
      </c>
      <c r="F91">
        <v>5501629</v>
      </c>
      <c r="G91">
        <v>0.3276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-0.12727272727272829</v>
      </c>
      <c r="Q91">
        <f t="shared" ref="Q91" si="431">F91*P91</f>
        <v>-700207.32727273286</v>
      </c>
      <c r="R91">
        <f t="shared" ref="R91" si="432">R92+Q91</f>
        <v>-721158575.15723789</v>
      </c>
      <c r="S91">
        <f t="shared" ref="S91" si="433">R91/100000</f>
        <v>-7211.5857515723792</v>
      </c>
      <c r="T91">
        <f t="shared" ref="T91" si="434">S91/1000</f>
        <v>-7.2115857515723789</v>
      </c>
    </row>
    <row r="92" spans="1:20" x14ac:dyDescent="0.25">
      <c r="A92" s="5">
        <v>44501</v>
      </c>
      <c r="B92">
        <v>0.32100000000000001</v>
      </c>
      <c r="C92">
        <v>0.32679999999999998</v>
      </c>
      <c r="D92">
        <v>0.31</v>
      </c>
      <c r="E92">
        <v>0.32140000000000002</v>
      </c>
      <c r="F92">
        <v>5534229</v>
      </c>
      <c r="G92">
        <v>0.32140000000000002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0.35714285714286115</v>
      </c>
      <c r="Q92">
        <f t="shared" ref="Q92" si="436">F92*P92</f>
        <v>1976510.3571428794</v>
      </c>
      <c r="R92">
        <f t="shared" ref="R92" si="437">R93+Q92</f>
        <v>-720458367.82996511</v>
      </c>
      <c r="S92">
        <f t="shared" ref="S92" si="438">R92/100000</f>
        <v>-7204.5836782996512</v>
      </c>
      <c r="T92">
        <f t="shared" ref="T92" si="439">S92/1000</f>
        <v>-7.2045836782996515</v>
      </c>
    </row>
    <row r="93" spans="1:20" x14ac:dyDescent="0.25">
      <c r="A93" s="5">
        <v>44500</v>
      </c>
      <c r="B93">
        <v>0.33100000000000002</v>
      </c>
      <c r="C93">
        <v>0.3382</v>
      </c>
      <c r="D93">
        <v>0.3115</v>
      </c>
      <c r="E93">
        <v>0.32169999999999999</v>
      </c>
      <c r="F93">
        <v>7360259</v>
      </c>
      <c r="G93">
        <v>0.32169999999999999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-0.2359550561797763</v>
      </c>
      <c r="Q93">
        <f t="shared" ref="Q93" si="441">F93*P93</f>
        <v>-1736690.3258427042</v>
      </c>
      <c r="R93">
        <f t="shared" ref="R93" si="442">R94+Q93</f>
        <v>-722434878.18710804</v>
      </c>
      <c r="S93">
        <f t="shared" ref="S93" si="443">R93/100000</f>
        <v>-7224.3487818710801</v>
      </c>
      <c r="T93">
        <f t="shared" ref="T93" si="444">S93/1000</f>
        <v>-7.2243487818710799</v>
      </c>
    </row>
    <row r="94" spans="1:20" x14ac:dyDescent="0.25">
      <c r="A94" s="5">
        <v>44499</v>
      </c>
      <c r="B94">
        <v>0.3236</v>
      </c>
      <c r="C94">
        <v>0.38500000000000001</v>
      </c>
      <c r="D94">
        <v>0.316</v>
      </c>
      <c r="E94">
        <v>0.33050000000000002</v>
      </c>
      <c r="F94">
        <v>28118651</v>
      </c>
      <c r="G94">
        <v>0.33050000000000002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-0.57971014492753592</v>
      </c>
      <c r="Q94">
        <f t="shared" ref="Q94" si="446">F94*P94</f>
        <v>-16300667.246376803</v>
      </c>
      <c r="R94">
        <f t="shared" ref="R94" si="447">R95+Q94</f>
        <v>-720698187.8612653</v>
      </c>
      <c r="S94">
        <f t="shared" ref="S94" si="448">R94/100000</f>
        <v>-7206.9818786126534</v>
      </c>
      <c r="T94">
        <f t="shared" ref="T94" si="449">S94/1000</f>
        <v>-7.2069818786126536</v>
      </c>
    </row>
    <row r="95" spans="1:20" x14ac:dyDescent="0.25">
      <c r="A95" s="5">
        <v>44498</v>
      </c>
      <c r="B95">
        <v>0.31950000000000001</v>
      </c>
      <c r="C95">
        <v>0.35549999999999998</v>
      </c>
      <c r="D95">
        <v>0.31340000000000001</v>
      </c>
      <c r="E95">
        <v>0.3231</v>
      </c>
      <c r="F95">
        <v>8706689</v>
      </c>
      <c r="G95">
        <v>0.3231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-0.53919239904988159</v>
      </c>
      <c r="Q95">
        <f t="shared" ref="Q95" si="451">F95*P95</f>
        <v>-4694580.5296912147</v>
      </c>
      <c r="R95">
        <f t="shared" ref="R95" si="452">R96+Q95</f>
        <v>-704397520.61488855</v>
      </c>
      <c r="S95">
        <f t="shared" ref="S95" si="453">R95/100000</f>
        <v>-7043.9752061488853</v>
      </c>
      <c r="T95">
        <f t="shared" ref="T95" si="454">S95/1000</f>
        <v>-7.0439752061488852</v>
      </c>
    </row>
    <row r="96" spans="1:20" x14ac:dyDescent="0.25">
      <c r="A96" s="5">
        <v>44497</v>
      </c>
      <c r="B96">
        <v>0.30549999999999999</v>
      </c>
      <c r="C96">
        <v>0.33150000000000002</v>
      </c>
      <c r="D96">
        <v>0.3014</v>
      </c>
      <c r="E96">
        <v>0.31869999999999998</v>
      </c>
      <c r="F96">
        <v>7130769</v>
      </c>
      <c r="G96">
        <v>0.31869999999999998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0.14950166112956631</v>
      </c>
      <c r="Q96">
        <f t="shared" ref="Q96" si="456">F96*P96</f>
        <v>1066061.8106312165</v>
      </c>
      <c r="R96">
        <f t="shared" ref="R96" si="457">R97+Q96</f>
        <v>-699702940.08519733</v>
      </c>
      <c r="S96">
        <f t="shared" ref="S96" si="458">R96/100000</f>
        <v>-6997.0294008519732</v>
      </c>
      <c r="T96">
        <f t="shared" ref="T96" si="459">S96/1000</f>
        <v>-6.9970294008519733</v>
      </c>
    </row>
    <row r="97" spans="1:20" x14ac:dyDescent="0.25">
      <c r="A97" s="5">
        <v>44496</v>
      </c>
      <c r="B97">
        <v>0.36330000000000001</v>
      </c>
      <c r="C97">
        <v>0.36809999999999998</v>
      </c>
      <c r="D97">
        <v>0.30309999999999998</v>
      </c>
      <c r="E97">
        <v>0.30549999999999999</v>
      </c>
      <c r="F97">
        <v>10699265</v>
      </c>
      <c r="G97">
        <v>0.30549999999999999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-0.92615384615384577</v>
      </c>
      <c r="Q97">
        <f t="shared" ref="Q97" si="461">F97*P97</f>
        <v>-9909165.4307692274</v>
      </c>
      <c r="R97">
        <f t="shared" ref="R97" si="462">R98+Q97</f>
        <v>-700769001.8958286</v>
      </c>
      <c r="S97">
        <f t="shared" ref="S97" si="463">R97/100000</f>
        <v>-7007.6900189582857</v>
      </c>
      <c r="T97">
        <f t="shared" ref="T97" si="464">S97/1000</f>
        <v>-7.0076900189582858</v>
      </c>
    </row>
    <row r="98" spans="1:20" x14ac:dyDescent="0.25">
      <c r="A98" s="5">
        <v>44495</v>
      </c>
      <c r="B98">
        <v>0.37169999999999997</v>
      </c>
      <c r="C98">
        <v>0.38</v>
      </c>
      <c r="D98">
        <v>0.3624</v>
      </c>
      <c r="E98">
        <v>0.36359999999999998</v>
      </c>
      <c r="F98">
        <v>8066920</v>
      </c>
      <c r="G98">
        <v>0.36359999999999998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-0.86363636363636609</v>
      </c>
      <c r="Q98">
        <f t="shared" ref="Q98" si="466">F98*P98</f>
        <v>-6966885.4545454746</v>
      </c>
      <c r="R98">
        <f t="shared" ref="R98" si="467">R99+Q98</f>
        <v>-690859836.4650594</v>
      </c>
      <c r="S98">
        <f t="shared" ref="S98" si="468">R98/100000</f>
        <v>-6908.5983646505938</v>
      </c>
      <c r="T98">
        <f t="shared" ref="T98" si="469">S98/1000</f>
        <v>-6.9085983646505937</v>
      </c>
    </row>
    <row r="99" spans="1:20" x14ac:dyDescent="0.25">
      <c r="A99" s="5">
        <v>44494</v>
      </c>
      <c r="B99">
        <v>0.36380000000000001</v>
      </c>
      <c r="C99">
        <v>0.38379999999999997</v>
      </c>
      <c r="D99">
        <v>0.36</v>
      </c>
      <c r="E99">
        <v>0.37130000000000002</v>
      </c>
      <c r="F99">
        <v>10087944</v>
      </c>
      <c r="G99">
        <v>0.37130000000000002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-5.0420168067223693E-2</v>
      </c>
      <c r="Q99">
        <f t="shared" ref="Q99" si="471">F99*P99</f>
        <v>-508635.83193274087</v>
      </c>
      <c r="R99">
        <f t="shared" ref="R99" si="472">R100+Q99</f>
        <v>-683892951.0105139</v>
      </c>
      <c r="S99">
        <f t="shared" ref="S99" si="473">R99/100000</f>
        <v>-6838.9295101051393</v>
      </c>
      <c r="T99">
        <f t="shared" ref="T99" si="474">S99/1000</f>
        <v>-6.8389295101051397</v>
      </c>
    </row>
    <row r="100" spans="1:20" x14ac:dyDescent="0.25">
      <c r="A100" s="5">
        <v>44493</v>
      </c>
      <c r="B100">
        <v>0.378</v>
      </c>
      <c r="C100">
        <v>0.38990000000000002</v>
      </c>
      <c r="D100">
        <v>0.35849999999999999</v>
      </c>
      <c r="E100">
        <v>0.3639</v>
      </c>
      <c r="F100">
        <v>16609931</v>
      </c>
      <c r="G100">
        <v>0.3639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-0.65605095541401215</v>
      </c>
      <c r="Q100">
        <f t="shared" ref="Q100" si="476">F100*P100</f>
        <v>-10896961.101910818</v>
      </c>
      <c r="R100">
        <f t="shared" ref="R100" si="477">R101+Q100</f>
        <v>-683384315.17858112</v>
      </c>
      <c r="S100">
        <f t="shared" ref="S100" si="478">R100/100000</f>
        <v>-6833.8431517858107</v>
      </c>
      <c r="T100">
        <f t="shared" ref="T100" si="479">S100/1000</f>
        <v>-6.8338431517858105</v>
      </c>
    </row>
    <row r="101" spans="1:20" x14ac:dyDescent="0.25">
      <c r="A101" s="5">
        <v>44492</v>
      </c>
      <c r="B101">
        <v>0.36699999999999999</v>
      </c>
      <c r="C101">
        <v>0.44750000000000001</v>
      </c>
      <c r="D101">
        <v>0.36370000000000002</v>
      </c>
      <c r="E101">
        <v>0.37769999999999998</v>
      </c>
      <c r="F101">
        <v>103270958</v>
      </c>
      <c r="G101">
        <v>0.37769999999999998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-0.66587112171837803</v>
      </c>
      <c r="Q101">
        <f t="shared" ref="Q101" si="481">F101*P101</f>
        <v>-68765148.644391507</v>
      </c>
      <c r="R101">
        <f t="shared" ref="R101" si="482">R102+Q101</f>
        <v>-672487354.07667029</v>
      </c>
      <c r="S101">
        <f t="shared" ref="S101" si="483">R101/100000</f>
        <v>-6724.8735407667027</v>
      </c>
      <c r="T101">
        <f t="shared" ref="T101" si="484">S101/1000</f>
        <v>-6.7248735407667031</v>
      </c>
    </row>
    <row r="102" spans="1:20" x14ac:dyDescent="0.25">
      <c r="A102" s="5">
        <v>44491</v>
      </c>
      <c r="B102">
        <v>0.3609</v>
      </c>
      <c r="C102">
        <v>0.39600000000000002</v>
      </c>
      <c r="D102">
        <v>0.3543</v>
      </c>
      <c r="E102">
        <v>0.36699999999999999</v>
      </c>
      <c r="F102">
        <v>17756625</v>
      </c>
      <c r="G102">
        <v>0.36699999999999999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-0.39088729016786644</v>
      </c>
      <c r="Q102">
        <f t="shared" ref="Q102" si="486">F102*P102</f>
        <v>-6940839.0287769912</v>
      </c>
      <c r="R102">
        <f t="shared" ref="R102" si="487">R103+Q102</f>
        <v>-603722205.43227875</v>
      </c>
      <c r="S102">
        <f t="shared" ref="S102" si="488">R102/100000</f>
        <v>-6037.2220543227877</v>
      </c>
      <c r="T102">
        <f t="shared" ref="T102" si="489">S102/1000</f>
        <v>-6.0372220543227879</v>
      </c>
    </row>
    <row r="103" spans="1:20" x14ac:dyDescent="0.25">
      <c r="A103" s="5">
        <v>44490</v>
      </c>
      <c r="B103">
        <v>0.37590000000000001</v>
      </c>
      <c r="C103">
        <v>0.38690000000000002</v>
      </c>
      <c r="D103">
        <v>0.3543</v>
      </c>
      <c r="E103">
        <v>0.3604</v>
      </c>
      <c r="F103">
        <v>18030030</v>
      </c>
      <c r="G103">
        <v>0.3604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-0.62576687116564478</v>
      </c>
      <c r="Q103">
        <f t="shared" ref="Q103" si="491">F103*P103</f>
        <v>-11282595.46012271</v>
      </c>
      <c r="R103">
        <f t="shared" ref="R103" si="492">R104+Q103</f>
        <v>-596781366.40350175</v>
      </c>
      <c r="S103">
        <f t="shared" ref="S103" si="493">R103/100000</f>
        <v>-5967.8136640350176</v>
      </c>
      <c r="T103">
        <f t="shared" ref="T103" si="494">S103/1000</f>
        <v>-5.9678136640350177</v>
      </c>
    </row>
    <row r="104" spans="1:20" x14ac:dyDescent="0.25">
      <c r="A104" s="5">
        <v>44489</v>
      </c>
      <c r="B104">
        <v>0.3715</v>
      </c>
      <c r="C104">
        <v>0.38400000000000001</v>
      </c>
      <c r="D104">
        <v>0.3533</v>
      </c>
      <c r="E104">
        <v>0.37609999999999999</v>
      </c>
      <c r="F104">
        <v>27151077</v>
      </c>
      <c r="G104">
        <v>0.37609999999999999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0.48534201954397282</v>
      </c>
      <c r="Q104">
        <f t="shared" ref="Q104" si="496">F104*P104</f>
        <v>13177558.543973912</v>
      </c>
      <c r="R104">
        <f t="shared" ref="R104" si="497">R105+Q104</f>
        <v>-585498770.94337904</v>
      </c>
      <c r="S104">
        <f t="shared" ref="S104" si="498">R104/100000</f>
        <v>-5854.9877094337908</v>
      </c>
      <c r="T104">
        <f t="shared" ref="T104" si="499">S104/1000</f>
        <v>-5.8549877094337912</v>
      </c>
    </row>
    <row r="105" spans="1:20" x14ac:dyDescent="0.25">
      <c r="A105" s="5">
        <v>44488</v>
      </c>
      <c r="B105">
        <v>0.3987</v>
      </c>
      <c r="C105">
        <v>0.41799999999999998</v>
      </c>
      <c r="D105">
        <v>0.36349999999999999</v>
      </c>
      <c r="E105">
        <v>0.37130000000000002</v>
      </c>
      <c r="F105">
        <v>34644019</v>
      </c>
      <c r="G105">
        <v>0.37130000000000002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-0.71376146788990713</v>
      </c>
      <c r="Q105">
        <f t="shared" ref="Q105" si="501">F105*P105</f>
        <v>-24727565.855045833</v>
      </c>
      <c r="R105">
        <f t="shared" ref="R105" si="502">R106+Q105</f>
        <v>-598676329.48735297</v>
      </c>
      <c r="S105">
        <f t="shared" ref="S105" si="503">R105/100000</f>
        <v>-5986.76329487353</v>
      </c>
      <c r="T105">
        <f t="shared" ref="T105" si="504">S105/1000</f>
        <v>-5.9867632948735299</v>
      </c>
    </row>
    <row r="106" spans="1:20" x14ac:dyDescent="0.25">
      <c r="A106" s="5">
        <v>44487</v>
      </c>
      <c r="B106">
        <v>0.46899999999999997</v>
      </c>
      <c r="C106">
        <v>0.52700000000000002</v>
      </c>
      <c r="D106">
        <v>0.3911</v>
      </c>
      <c r="E106">
        <v>0.39979999999999999</v>
      </c>
      <c r="F106">
        <v>135291146</v>
      </c>
      <c r="G106">
        <v>0.39979999999999999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-0.87196467991170001</v>
      </c>
      <c r="Q106">
        <f t="shared" ref="Q106" si="506">F106*P106</f>
        <v>-117969100.81677708</v>
      </c>
      <c r="R106">
        <f t="shared" ref="R106" si="507">R107+Q106</f>
        <v>-573948763.63230717</v>
      </c>
      <c r="S106">
        <f t="shared" ref="S106" si="508">R106/100000</f>
        <v>-5739.4876363230715</v>
      </c>
      <c r="T106">
        <f t="shared" ref="T106" si="509">S106/1000</f>
        <v>-5.7394876363230711</v>
      </c>
    </row>
    <row r="107" spans="1:20" x14ac:dyDescent="0.25">
      <c r="A107" s="5">
        <v>44486</v>
      </c>
      <c r="B107">
        <v>0.27889999999999998</v>
      </c>
      <c r="C107">
        <v>0.75819999999999999</v>
      </c>
      <c r="D107">
        <v>0.27539999999999998</v>
      </c>
      <c r="E107">
        <v>0.46939999999999998</v>
      </c>
      <c r="F107">
        <v>538845443</v>
      </c>
      <c r="G107">
        <v>0.46939999999999998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-0.19635459817729908</v>
      </c>
      <c r="Q107">
        <f t="shared" ref="Q107" si="511">F107*P107</f>
        <v>-105804780.43993372</v>
      </c>
      <c r="R107">
        <f t="shared" ref="R107" si="512">R108+Q107</f>
        <v>-455979662.81553012</v>
      </c>
      <c r="S107">
        <f t="shared" ref="S107" si="513">R107/100000</f>
        <v>-4559.7966281553008</v>
      </c>
      <c r="T107">
        <f t="shared" ref="T107" si="514">S107/1000</f>
        <v>-4.5597966281553006</v>
      </c>
    </row>
    <row r="108" spans="1:20" x14ac:dyDescent="0.25">
      <c r="A108" s="5">
        <v>44485</v>
      </c>
      <c r="B108">
        <v>0.27029999999999998</v>
      </c>
      <c r="C108">
        <v>0.28220000000000001</v>
      </c>
      <c r="D108">
        <v>0.26740000000000003</v>
      </c>
      <c r="E108">
        <v>0.27900000000000003</v>
      </c>
      <c r="F108">
        <v>3833723</v>
      </c>
      <c r="G108">
        <v>0.27900000000000003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0.56756756756756954</v>
      </c>
      <c r="Q108">
        <f t="shared" ref="Q108" si="516">F108*P108</f>
        <v>2175896.8378378456</v>
      </c>
      <c r="R108">
        <f t="shared" ref="R108" si="517">R109+Q108</f>
        <v>-350174882.3755964</v>
      </c>
      <c r="S108">
        <f t="shared" ref="S108" si="518">R108/100000</f>
        <v>-3501.7488237559642</v>
      </c>
      <c r="T108">
        <f t="shared" ref="T108" si="519">S108/1000</f>
        <v>-3.501748823755964</v>
      </c>
    </row>
    <row r="109" spans="1:20" x14ac:dyDescent="0.25">
      <c r="A109" s="5">
        <v>44484</v>
      </c>
      <c r="B109">
        <v>0.27760000000000001</v>
      </c>
      <c r="C109">
        <v>0.2828</v>
      </c>
      <c r="D109">
        <v>0.26400000000000001</v>
      </c>
      <c r="E109">
        <v>0.27050000000000002</v>
      </c>
      <c r="F109">
        <v>4080699</v>
      </c>
      <c r="G109">
        <v>0.27050000000000002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-0.30851063829787112</v>
      </c>
      <c r="Q109">
        <f t="shared" ref="Q109" si="521">F109*P109</f>
        <v>-1258939.0531914844</v>
      </c>
      <c r="R109">
        <f t="shared" ref="R109" si="522">R110+Q109</f>
        <v>-352350779.21343428</v>
      </c>
      <c r="S109">
        <f t="shared" ref="S109" si="523">R109/100000</f>
        <v>-3523.5077921343427</v>
      </c>
      <c r="T109">
        <f t="shared" ref="T109" si="524">S109/1000</f>
        <v>-3.5235077921343425</v>
      </c>
    </row>
    <row r="110" spans="1:20" x14ac:dyDescent="0.25">
      <c r="A110" s="5">
        <v>44483</v>
      </c>
      <c r="B110">
        <v>0.27150000000000002</v>
      </c>
      <c r="C110">
        <v>0.28989999999999999</v>
      </c>
      <c r="D110">
        <v>0.27</v>
      </c>
      <c r="E110">
        <v>0.2762</v>
      </c>
      <c r="F110">
        <v>4952234</v>
      </c>
      <c r="G110">
        <v>0.2762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-0.37688442211055362</v>
      </c>
      <c r="Q110">
        <f t="shared" ref="Q110" si="526">F110*P110</f>
        <v>-1866419.8492462353</v>
      </c>
      <c r="R110">
        <f t="shared" ref="R110" si="527">R111+Q110</f>
        <v>-351091840.1602428</v>
      </c>
      <c r="S110">
        <f t="shared" ref="S110" si="528">R110/100000</f>
        <v>-3510.9184016024278</v>
      </c>
      <c r="T110">
        <f t="shared" ref="T110" si="529">S110/1000</f>
        <v>-3.510918401602428</v>
      </c>
    </row>
    <row r="111" spans="1:20" x14ac:dyDescent="0.25">
      <c r="A111" s="5">
        <v>44482</v>
      </c>
      <c r="B111">
        <v>0.27550000000000002</v>
      </c>
      <c r="C111">
        <v>0.28079999999999999</v>
      </c>
      <c r="D111">
        <v>0.26329999999999998</v>
      </c>
      <c r="E111">
        <v>0.27150000000000002</v>
      </c>
      <c r="F111">
        <v>5486078</v>
      </c>
      <c r="G111">
        <v>0.27150000000000002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-6.2857142857139045E-2</v>
      </c>
      <c r="Q111">
        <f t="shared" ref="Q111" si="531">F111*P111</f>
        <v>-344839.18857140763</v>
      </c>
      <c r="R111">
        <f t="shared" ref="R111" si="532">R112+Q111</f>
        <v>-349225420.31099653</v>
      </c>
      <c r="S111">
        <f t="shared" ref="S111" si="533">R111/100000</f>
        <v>-3492.2542031099651</v>
      </c>
      <c r="T111">
        <f t="shared" ref="T111" si="534">S111/1000</f>
        <v>-3.4922542031099653</v>
      </c>
    </row>
    <row r="112" spans="1:20" x14ac:dyDescent="0.25">
      <c r="A112" s="5">
        <v>44481</v>
      </c>
      <c r="B112">
        <v>0.27389999999999998</v>
      </c>
      <c r="C112">
        <v>0.29089999999999999</v>
      </c>
      <c r="D112">
        <v>0.25790000000000002</v>
      </c>
      <c r="E112">
        <v>0.27750000000000002</v>
      </c>
      <c r="F112">
        <v>3902175</v>
      </c>
      <c r="G112">
        <v>0.27750000000000002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0.1878787878787892</v>
      </c>
      <c r="Q112">
        <f t="shared" ref="Q112" si="536">F112*P112</f>
        <v>733135.9090909143</v>
      </c>
      <c r="R112">
        <f t="shared" ref="R112" si="537">R113+Q112</f>
        <v>-348880581.12242514</v>
      </c>
      <c r="S112">
        <f t="shared" ref="S112" si="538">R112/100000</f>
        <v>-3488.8058112242516</v>
      </c>
      <c r="T112">
        <f t="shared" ref="T112" si="539">S112/1000</f>
        <v>-3.4888058112242515</v>
      </c>
    </row>
    <row r="113" spans="1:20" x14ac:dyDescent="0.25">
      <c r="A113" s="5">
        <v>44480</v>
      </c>
      <c r="B113">
        <v>0.28170000000000001</v>
      </c>
      <c r="C113">
        <v>0.29480000000000001</v>
      </c>
      <c r="D113">
        <v>0.2646</v>
      </c>
      <c r="E113">
        <v>0.27450000000000002</v>
      </c>
      <c r="F113">
        <v>2441853</v>
      </c>
      <c r="G113">
        <v>0.27450000000000002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-0.34437086092715108</v>
      </c>
      <c r="Q113">
        <f t="shared" ref="Q113" si="541">F113*P113</f>
        <v>-840903.01986754662</v>
      </c>
      <c r="R113">
        <f t="shared" ref="R113" si="542">R114+Q113</f>
        <v>-349613717.03151608</v>
      </c>
      <c r="S113">
        <f t="shared" ref="S113" si="543">R113/100000</f>
        <v>-3496.1371703151608</v>
      </c>
      <c r="T113">
        <f t="shared" ref="T113" si="544">S113/1000</f>
        <v>-3.4961371703151607</v>
      </c>
    </row>
    <row r="114" spans="1:20" x14ac:dyDescent="0.25">
      <c r="A114" s="5">
        <v>44479</v>
      </c>
      <c r="B114">
        <v>0.29549999999999998</v>
      </c>
      <c r="C114">
        <v>0.2964</v>
      </c>
      <c r="D114">
        <v>0.28010000000000002</v>
      </c>
      <c r="E114">
        <v>0.28050000000000003</v>
      </c>
      <c r="F114">
        <v>2965675</v>
      </c>
      <c r="G114">
        <v>0.28050000000000003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-0.95092024539877151</v>
      </c>
      <c r="Q114">
        <f t="shared" ref="Q114" si="546">F114*P114</f>
        <v>-2820120.3987730015</v>
      </c>
      <c r="R114">
        <f t="shared" ref="R114" si="547">R115+Q114</f>
        <v>-348772814.01164854</v>
      </c>
      <c r="S114">
        <f t="shared" ref="S114" si="548">R114/100000</f>
        <v>-3487.7281401164855</v>
      </c>
      <c r="T114">
        <f t="shared" ref="T114" si="549">S114/1000</f>
        <v>-3.4877281401164857</v>
      </c>
    </row>
    <row r="115" spans="1:20" x14ac:dyDescent="0.25">
      <c r="A115" s="5">
        <v>44478</v>
      </c>
      <c r="B115">
        <v>0.29580000000000001</v>
      </c>
      <c r="C115">
        <v>0.30640000000000001</v>
      </c>
      <c r="D115">
        <v>0.29409999999999997</v>
      </c>
      <c r="E115">
        <v>0.29580000000000001</v>
      </c>
      <c r="F115">
        <v>2159120</v>
      </c>
      <c r="G115">
        <v>0.29580000000000001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-0.72357723577235278</v>
      </c>
      <c r="Q115">
        <f t="shared" ref="Q115" si="551">F115*P115</f>
        <v>-1562290.0813008023</v>
      </c>
      <c r="R115">
        <f t="shared" ref="R115" si="552">R116+Q115</f>
        <v>-345952693.61287552</v>
      </c>
      <c r="S115">
        <f t="shared" ref="S115" si="553">R115/100000</f>
        <v>-3459.5269361287551</v>
      </c>
      <c r="T115">
        <f t="shared" ref="T115" si="554">S115/1000</f>
        <v>-3.4595269361287553</v>
      </c>
    </row>
    <row r="116" spans="1:20" x14ac:dyDescent="0.25">
      <c r="A116" s="5">
        <v>44477</v>
      </c>
      <c r="B116">
        <v>0.30120000000000002</v>
      </c>
      <c r="C116">
        <v>0.30580000000000002</v>
      </c>
      <c r="D116">
        <v>0.29399999999999998</v>
      </c>
      <c r="E116">
        <v>0.29399999999999998</v>
      </c>
      <c r="F116">
        <v>3300423</v>
      </c>
      <c r="G116">
        <v>0.29399999999999998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-1</v>
      </c>
      <c r="Q116">
        <f t="shared" ref="Q116" si="556">F116*P116</f>
        <v>-3300423</v>
      </c>
      <c r="R116">
        <f t="shared" ref="R116" si="557">R117+Q116</f>
        <v>-344390403.53157473</v>
      </c>
      <c r="S116">
        <f t="shared" ref="S116" si="558">R116/100000</f>
        <v>-3443.9040353157475</v>
      </c>
      <c r="T116">
        <f t="shared" ref="T116" si="559">S116/1000</f>
        <v>-3.4439040353157475</v>
      </c>
    </row>
    <row r="117" spans="1:20" x14ac:dyDescent="0.25">
      <c r="A117" s="5">
        <v>44476</v>
      </c>
      <c r="B117">
        <v>0.30359999999999998</v>
      </c>
      <c r="C117">
        <v>0.312</v>
      </c>
      <c r="D117">
        <v>0.29449999999999998</v>
      </c>
      <c r="E117">
        <v>0.3014</v>
      </c>
      <c r="F117">
        <v>2776799</v>
      </c>
      <c r="G117">
        <v>0.3014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-0.21142857142857016</v>
      </c>
      <c r="Q117">
        <f t="shared" ref="Q117" si="561">F117*P117</f>
        <v>-587094.64571428217</v>
      </c>
      <c r="R117">
        <f t="shared" ref="R117" si="562">R118+Q117</f>
        <v>-341089980.53157473</v>
      </c>
      <c r="S117">
        <f t="shared" ref="S117" si="563">R117/100000</f>
        <v>-3410.8998053157475</v>
      </c>
      <c r="T117">
        <f t="shared" ref="T117" si="564">S117/1000</f>
        <v>-3.4108998053157475</v>
      </c>
    </row>
    <row r="118" spans="1:20" x14ac:dyDescent="0.25">
      <c r="A118" s="5">
        <v>44475</v>
      </c>
      <c r="B118">
        <v>0.309</v>
      </c>
      <c r="C118">
        <v>0.31</v>
      </c>
      <c r="D118">
        <v>0.29399999999999998</v>
      </c>
      <c r="E118">
        <v>0.3029</v>
      </c>
      <c r="F118">
        <v>3495833</v>
      </c>
      <c r="G118">
        <v>0.3029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0.11250000000000139</v>
      </c>
      <c r="Q118">
        <f t="shared" ref="Q118" si="566">F118*P118</f>
        <v>393281.21250000485</v>
      </c>
      <c r="R118">
        <f t="shared" ref="R118" si="567">R119+Q118</f>
        <v>-340502885.88586044</v>
      </c>
      <c r="S118">
        <f t="shared" ref="S118" si="568">R118/100000</f>
        <v>-3405.0288588586045</v>
      </c>
      <c r="T118">
        <f t="shared" ref="T118" si="569">S118/1000</f>
        <v>-3.4050288588586044</v>
      </c>
    </row>
    <row r="119" spans="1:20" x14ac:dyDescent="0.25">
      <c r="A119" s="5">
        <v>44474</v>
      </c>
      <c r="B119">
        <v>0.30869999999999997</v>
      </c>
      <c r="C119">
        <v>0.31419999999999998</v>
      </c>
      <c r="D119">
        <v>0.30049999999999999</v>
      </c>
      <c r="E119">
        <v>0.30909999999999999</v>
      </c>
      <c r="F119">
        <v>2855256</v>
      </c>
      <c r="G119">
        <v>0.30909999999999999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0.25547445255474494</v>
      </c>
      <c r="Q119">
        <f t="shared" ref="Q119" si="571">F119*P119</f>
        <v>729444.96350365086</v>
      </c>
      <c r="R119">
        <f t="shared" ref="R119" si="572">R120+Q119</f>
        <v>-340896167.09836042</v>
      </c>
      <c r="S119">
        <f t="shared" ref="S119" si="573">R119/100000</f>
        <v>-3408.9616709836041</v>
      </c>
      <c r="T119">
        <f t="shared" ref="T119" si="574">S119/1000</f>
        <v>-3.4089616709836039</v>
      </c>
    </row>
    <row r="120" spans="1:20" x14ac:dyDescent="0.25">
      <c r="A120" s="5">
        <v>44473</v>
      </c>
      <c r="B120">
        <v>0.30030000000000001</v>
      </c>
      <c r="C120">
        <v>0.312</v>
      </c>
      <c r="D120">
        <v>0.29210000000000003</v>
      </c>
      <c r="E120">
        <v>0.31030000000000002</v>
      </c>
      <c r="F120">
        <v>3481266</v>
      </c>
      <c r="G120">
        <v>0.31030000000000002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0.82914572864321789</v>
      </c>
      <c r="Q120">
        <f t="shared" ref="Q120" si="576">F120*P120</f>
        <v>2886476.8341708607</v>
      </c>
      <c r="R120">
        <f t="shared" ref="R120" si="577">R121+Q120</f>
        <v>-341625612.06186408</v>
      </c>
      <c r="S120">
        <f t="shared" ref="S120" si="578">R120/100000</f>
        <v>-3416.2561206186406</v>
      </c>
      <c r="T120">
        <f t="shared" ref="T120" si="579">S120/1000</f>
        <v>-3.4162561206186406</v>
      </c>
    </row>
    <row r="121" spans="1:20" x14ac:dyDescent="0.25">
      <c r="A121" s="5">
        <v>44472</v>
      </c>
      <c r="B121">
        <v>0.3</v>
      </c>
      <c r="C121">
        <v>0.31</v>
      </c>
      <c r="D121">
        <v>0.29499999999999998</v>
      </c>
      <c r="E121">
        <v>0.2999</v>
      </c>
      <c r="F121">
        <v>3173524</v>
      </c>
      <c r="G121">
        <v>0.2999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-0.34666666666666518</v>
      </c>
      <c r="Q121">
        <f t="shared" ref="Q121" si="581">F121*P121</f>
        <v>-1100154.9866666619</v>
      </c>
      <c r="R121">
        <f t="shared" ref="R121" si="582">R122+Q121</f>
        <v>-344512088.89603496</v>
      </c>
      <c r="S121">
        <f t="shared" ref="S121" si="583">R121/100000</f>
        <v>-3445.1208889603495</v>
      </c>
      <c r="T121">
        <f t="shared" ref="T121" si="584">S121/1000</f>
        <v>-3.4451208889603495</v>
      </c>
    </row>
    <row r="122" spans="1:20" x14ac:dyDescent="0.25">
      <c r="A122" s="5">
        <v>44471</v>
      </c>
      <c r="B122">
        <v>0.30719999999999997</v>
      </c>
      <c r="C122">
        <v>0.32</v>
      </c>
      <c r="D122">
        <v>0.29680000000000001</v>
      </c>
      <c r="E122">
        <v>0.29909999999999998</v>
      </c>
      <c r="F122">
        <v>3736173</v>
      </c>
      <c r="G122">
        <v>0.29909999999999998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-0.80172413793103714</v>
      </c>
      <c r="Q122">
        <f t="shared" ref="Q122" si="586">F122*P122</f>
        <v>-2995380.0775862169</v>
      </c>
      <c r="R122">
        <f t="shared" ref="R122" si="587">R123+Q122</f>
        <v>-343411933.90936828</v>
      </c>
      <c r="S122">
        <f t="shared" ref="S122" si="588">R122/100000</f>
        <v>-3434.1193390936828</v>
      </c>
      <c r="T122">
        <f t="shared" ref="T122" si="589">S122/1000</f>
        <v>-3.4341193390936828</v>
      </c>
    </row>
    <row r="123" spans="1:20" x14ac:dyDescent="0.25">
      <c r="A123" s="5">
        <v>44470</v>
      </c>
      <c r="B123">
        <v>0.28120000000000001</v>
      </c>
      <c r="C123">
        <v>0.31309999999999999</v>
      </c>
      <c r="D123">
        <v>0.27050000000000002</v>
      </c>
      <c r="E123">
        <v>0.30609999999999998</v>
      </c>
      <c r="F123">
        <v>4250259</v>
      </c>
      <c r="G123">
        <v>0.30609999999999998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0.67136150234741732</v>
      </c>
      <c r="Q123">
        <f t="shared" ref="Q123" si="591">F123*P123</f>
        <v>2853460.2676056316</v>
      </c>
      <c r="R123">
        <f t="shared" ref="R123" si="592">R124+Q123</f>
        <v>-340416553.83178204</v>
      </c>
      <c r="S123">
        <f t="shared" ref="S123" si="593">R123/100000</f>
        <v>-3404.1655383178204</v>
      </c>
      <c r="T123">
        <f t="shared" ref="T123" si="594">S123/1000</f>
        <v>-3.4041655383178204</v>
      </c>
    </row>
    <row r="124" spans="1:20" x14ac:dyDescent="0.25">
      <c r="A124" s="5">
        <v>44469</v>
      </c>
      <c r="B124">
        <v>0.2707</v>
      </c>
      <c r="C124">
        <v>0.28999999999999998</v>
      </c>
      <c r="D124">
        <v>0.26769999999999999</v>
      </c>
      <c r="E124">
        <v>0.28179999999999999</v>
      </c>
      <c r="F124">
        <v>3196644</v>
      </c>
      <c r="G124">
        <v>0.28179999999999999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0.26457399103139101</v>
      </c>
      <c r="Q124">
        <f t="shared" ref="Q124" si="596">F124*P124</f>
        <v>845748.86098654987</v>
      </c>
      <c r="R124">
        <f t="shared" ref="R124" si="597">R125+Q124</f>
        <v>-343270014.09938765</v>
      </c>
      <c r="S124">
        <f t="shared" ref="S124" si="598">R124/100000</f>
        <v>-3432.7001409938766</v>
      </c>
      <c r="T124">
        <f t="shared" ref="T124" si="599">S124/1000</f>
        <v>-3.4327001409938767</v>
      </c>
    </row>
    <row r="125" spans="1:20" x14ac:dyDescent="0.25">
      <c r="A125" s="5">
        <v>44468</v>
      </c>
      <c r="B125">
        <v>0.27460000000000001</v>
      </c>
      <c r="C125">
        <v>0.29720000000000002</v>
      </c>
      <c r="D125">
        <v>0.26029999999999998</v>
      </c>
      <c r="E125">
        <v>0.27060000000000001</v>
      </c>
      <c r="F125">
        <v>3954427</v>
      </c>
      <c r="G125">
        <v>0.27060000000000001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-0.4417344173441724</v>
      </c>
      <c r="Q125">
        <f t="shared" ref="Q125" si="601">F125*P125</f>
        <v>-1746806.5067750637</v>
      </c>
      <c r="R125">
        <f t="shared" ref="R125" si="602">R126+Q125</f>
        <v>-344115762.96037418</v>
      </c>
      <c r="S125">
        <f t="shared" ref="S125" si="603">R125/100000</f>
        <v>-3441.157629603742</v>
      </c>
      <c r="T125">
        <f t="shared" ref="T125" si="604">S125/1000</f>
        <v>-3.4411576296037421</v>
      </c>
    </row>
    <row r="126" spans="1:20" x14ac:dyDescent="0.25">
      <c r="A126" s="5">
        <v>44467</v>
      </c>
      <c r="B126">
        <v>0.2954</v>
      </c>
      <c r="C126">
        <v>0.32</v>
      </c>
      <c r="D126">
        <v>0.27</v>
      </c>
      <c r="E126">
        <v>0.27460000000000001</v>
      </c>
      <c r="F126">
        <v>3974372</v>
      </c>
      <c r="G126">
        <v>0.27460000000000001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-0.81600000000000028</v>
      </c>
      <c r="Q126">
        <f t="shared" ref="Q126" si="606">F126*P126</f>
        <v>-3243087.5520000011</v>
      </c>
      <c r="R126">
        <f t="shared" ref="R126" si="607">R127+Q126</f>
        <v>-342368956.4535991</v>
      </c>
      <c r="S126">
        <f t="shared" ref="S126" si="608">R126/100000</f>
        <v>-3423.6895645359909</v>
      </c>
      <c r="T126">
        <f t="shared" ref="T126" si="609">S126/1000</f>
        <v>-3.4236895645359908</v>
      </c>
    </row>
    <row r="127" spans="1:20" x14ac:dyDescent="0.25">
      <c r="A127" s="5">
        <v>44466</v>
      </c>
      <c r="B127">
        <v>0.311</v>
      </c>
      <c r="C127">
        <v>0.3286</v>
      </c>
      <c r="D127">
        <v>0.29389999999999999</v>
      </c>
      <c r="E127">
        <v>0.29480000000000001</v>
      </c>
      <c r="F127">
        <v>5916620</v>
      </c>
      <c r="G127">
        <v>0.29480000000000001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-0.94812680115273706</v>
      </c>
      <c r="Q127">
        <f t="shared" ref="Q127" si="611">F127*P127</f>
        <v>-5609705.9942363072</v>
      </c>
      <c r="R127">
        <f t="shared" ref="R127" si="612">R128+Q127</f>
        <v>-339125868.90159911</v>
      </c>
      <c r="S127">
        <f t="shared" ref="S127" si="613">R127/100000</f>
        <v>-3391.258689015991</v>
      </c>
      <c r="T127">
        <f t="shared" ref="T127" si="614">S127/1000</f>
        <v>-3.391258689015991</v>
      </c>
    </row>
    <row r="128" spans="1:20" x14ac:dyDescent="0.25">
      <c r="A128" s="5">
        <v>44465</v>
      </c>
      <c r="B128">
        <v>0.2979</v>
      </c>
      <c r="C128">
        <v>0.33</v>
      </c>
      <c r="D128">
        <v>0.2732</v>
      </c>
      <c r="E128">
        <v>0.31119999999999998</v>
      </c>
      <c r="F128">
        <v>7119593</v>
      </c>
      <c r="G128">
        <v>0.31119999999999998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0.33802816901408334</v>
      </c>
      <c r="Q128">
        <f t="shared" ref="Q128" si="616">F128*P128</f>
        <v>2406622.9859154848</v>
      </c>
      <c r="R128">
        <f t="shared" ref="R128" si="617">R129+Q128</f>
        <v>-333516162.90736282</v>
      </c>
      <c r="S128">
        <f t="shared" ref="S128" si="618">R128/100000</f>
        <v>-3335.1616290736283</v>
      </c>
      <c r="T128">
        <f t="shared" ref="T128" si="619">S128/1000</f>
        <v>-3.3351616290736281</v>
      </c>
    </row>
    <row r="129" spans="1:20" x14ac:dyDescent="0.25">
      <c r="A129" s="5">
        <v>44464</v>
      </c>
      <c r="B129">
        <v>0.31209999999999999</v>
      </c>
      <c r="C129">
        <v>0.3523</v>
      </c>
      <c r="D129">
        <v>0.2928</v>
      </c>
      <c r="E129">
        <v>0.29809999999999998</v>
      </c>
      <c r="F129">
        <v>29984502</v>
      </c>
      <c r="G129">
        <v>0.29809999999999998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-0.82184873949579929</v>
      </c>
      <c r="Q129">
        <f t="shared" ref="Q129" si="621">F129*P129</f>
        <v>-24642725.173109274</v>
      </c>
      <c r="R129">
        <f t="shared" ref="R129" si="622">R130+Q129</f>
        <v>-335922785.8932783</v>
      </c>
      <c r="S129">
        <f t="shared" ref="S129" si="623">R129/100000</f>
        <v>-3359.227858932783</v>
      </c>
      <c r="T129">
        <f t="shared" ref="T129" si="624">S129/1000</f>
        <v>-3.3592278589327829</v>
      </c>
    </row>
    <row r="130" spans="1:20" x14ac:dyDescent="0.25">
      <c r="A130" s="5">
        <v>44463</v>
      </c>
      <c r="B130">
        <v>0.2863</v>
      </c>
      <c r="C130">
        <v>0.32900000000000001</v>
      </c>
      <c r="D130">
        <v>0.28499999999999998</v>
      </c>
      <c r="E130">
        <v>0.31290000000000001</v>
      </c>
      <c r="F130">
        <v>20745486</v>
      </c>
      <c r="G130">
        <v>0.31290000000000001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0.26818181818181869</v>
      </c>
      <c r="Q130">
        <f t="shared" ref="Q130" si="626">F130*P130</f>
        <v>5563562.1545454655</v>
      </c>
      <c r="R130">
        <f t="shared" ref="R130" si="627">R131+Q130</f>
        <v>-311280060.72016901</v>
      </c>
      <c r="S130">
        <f t="shared" ref="S130" si="628">R130/100000</f>
        <v>-3112.8006072016901</v>
      </c>
      <c r="T130">
        <f t="shared" ref="T130" si="629">S130/1000</f>
        <v>-3.1128006072016903</v>
      </c>
    </row>
    <row r="131" spans="1:20" x14ac:dyDescent="0.25">
      <c r="A131" s="5">
        <v>44462</v>
      </c>
      <c r="B131">
        <v>0.28120000000000001</v>
      </c>
      <c r="C131">
        <v>0.3</v>
      </c>
      <c r="D131">
        <v>0.27250000000000002</v>
      </c>
      <c r="E131">
        <v>0.28849999999999998</v>
      </c>
      <c r="F131">
        <v>8287729</v>
      </c>
      <c r="G131">
        <v>0.28849999999999998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0.16363636363636194</v>
      </c>
      <c r="Q131">
        <f t="shared" ref="Q131" si="631">F131*P131</f>
        <v>1356173.8363636222</v>
      </c>
      <c r="R131">
        <f t="shared" ref="R131" si="632">R132+Q131</f>
        <v>-316843622.87471449</v>
      </c>
      <c r="S131">
        <f t="shared" ref="S131" si="633">R131/100000</f>
        <v>-3168.4362287471449</v>
      </c>
      <c r="T131">
        <f t="shared" ref="T131" si="634">S131/1000</f>
        <v>-3.168436228747145</v>
      </c>
    </row>
    <row r="132" spans="1:20" x14ac:dyDescent="0.25">
      <c r="A132" s="5">
        <v>44461</v>
      </c>
      <c r="B132">
        <v>0.255</v>
      </c>
      <c r="C132">
        <v>0.28620000000000001</v>
      </c>
      <c r="D132">
        <v>0.254</v>
      </c>
      <c r="E132">
        <v>0.28050000000000003</v>
      </c>
      <c r="F132">
        <v>10745599</v>
      </c>
      <c r="G132">
        <v>0.28050000000000003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0.64596273291925577</v>
      </c>
      <c r="Q132">
        <f t="shared" ref="Q132" si="636">F132*P132</f>
        <v>6941256.496894422</v>
      </c>
      <c r="R132">
        <f t="shared" ref="R132" si="637">R133+Q132</f>
        <v>-318199796.71107811</v>
      </c>
      <c r="S132">
        <f t="shared" ref="S132" si="638">R132/100000</f>
        <v>-3181.9979671107812</v>
      </c>
      <c r="T132">
        <f t="shared" ref="T132" si="639">S132/1000</f>
        <v>-3.1819979671107812</v>
      </c>
    </row>
    <row r="133" spans="1:20" x14ac:dyDescent="0.25">
      <c r="A133" s="5">
        <v>44460</v>
      </c>
      <c r="B133">
        <v>0.30620000000000003</v>
      </c>
      <c r="C133">
        <v>0.3075</v>
      </c>
      <c r="D133">
        <v>0.24</v>
      </c>
      <c r="E133">
        <v>0.25480000000000003</v>
      </c>
      <c r="F133">
        <v>21248965</v>
      </c>
      <c r="G133">
        <v>0.25480000000000003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-0.56148148148148047</v>
      </c>
      <c r="Q133">
        <f t="shared" ref="Q133" si="641">F133*P133</f>
        <v>-11930900.348148126</v>
      </c>
      <c r="R133">
        <f t="shared" ref="R133" si="642">R134+Q133</f>
        <v>-325141053.20797253</v>
      </c>
      <c r="S133">
        <f t="shared" ref="S133" si="643">R133/100000</f>
        <v>-3251.4105320797253</v>
      </c>
      <c r="T133">
        <f t="shared" ref="T133" si="644">S133/1000</f>
        <v>-3.2514105320797251</v>
      </c>
    </row>
    <row r="134" spans="1:20" x14ac:dyDescent="0.25">
      <c r="A134" s="5">
        <v>44459</v>
      </c>
      <c r="B134">
        <v>0.2984</v>
      </c>
      <c r="C134">
        <v>0.37309999999999999</v>
      </c>
      <c r="D134">
        <v>0.28499999999999998</v>
      </c>
      <c r="E134">
        <v>0.32300000000000001</v>
      </c>
      <c r="F134">
        <v>94362940</v>
      </c>
      <c r="G134">
        <v>0.32300000000000001</v>
      </c>
      <c r="L134" t="s">
        <v>8</v>
      </c>
      <c r="M134" t="s">
        <v>8</v>
      </c>
      <c r="N134" t="s">
        <v>7</v>
      </c>
      <c r="P134">
        <f t="shared" ref="P134" si="645">IF(C134=D134,0,((E134-D134)-(C134-E134))/(C134-D134))</f>
        <v>-0.13734392735527745</v>
      </c>
      <c r="Q134">
        <f t="shared" ref="Q134" si="646">F134*P134</f>
        <v>-12960176.776390405</v>
      </c>
      <c r="R134">
        <f t="shared" ref="R134" si="647">R135+Q134</f>
        <v>-313210152.85982442</v>
      </c>
      <c r="S134">
        <f t="shared" ref="S134" si="648">R134/100000</f>
        <v>-3132.1015285982444</v>
      </c>
      <c r="T134">
        <f t="shared" ref="T134" si="649">S134/1000</f>
        <v>-3.1321015285982443</v>
      </c>
    </row>
    <row r="135" spans="1:20" x14ac:dyDescent="0.25">
      <c r="A135" s="5">
        <v>44458</v>
      </c>
      <c r="B135">
        <v>0.2989</v>
      </c>
      <c r="C135">
        <v>0.33189999999999997</v>
      </c>
      <c r="D135">
        <v>0.28670000000000001</v>
      </c>
      <c r="E135">
        <v>0.2984</v>
      </c>
      <c r="F135">
        <v>15351591</v>
      </c>
      <c r="G135">
        <v>0.2984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-0.4823008849557523</v>
      </c>
      <c r="Q135">
        <f t="shared" ref="Q135" si="651">F135*P135</f>
        <v>-7404085.9247787623</v>
      </c>
      <c r="R135">
        <f t="shared" ref="R135" si="652">R136+Q135</f>
        <v>-300249976.08343399</v>
      </c>
      <c r="S135">
        <f t="shared" ref="S135" si="653">R135/100000</f>
        <v>-3002.4997608343397</v>
      </c>
      <c r="T135">
        <f t="shared" ref="T135" si="654">S135/1000</f>
        <v>-3.0024997608343398</v>
      </c>
    </row>
    <row r="136" spans="1:20" x14ac:dyDescent="0.25">
      <c r="A136" s="5">
        <v>44457</v>
      </c>
      <c r="B136">
        <v>0.26340000000000002</v>
      </c>
      <c r="C136">
        <v>0.38950000000000001</v>
      </c>
      <c r="D136">
        <v>0.26179999999999998</v>
      </c>
      <c r="E136">
        <v>0.29909999999999998</v>
      </c>
      <c r="F136">
        <v>108734437</v>
      </c>
      <c r="G136">
        <v>0.29909999999999998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-0.41581832419733766</v>
      </c>
      <c r="Q136">
        <f t="shared" ref="Q136" si="656">F136*P136</f>
        <v>-45213771.375880986</v>
      </c>
      <c r="R136">
        <f t="shared" ref="R136" si="657">R137+Q136</f>
        <v>-292845890.15865523</v>
      </c>
      <c r="S136">
        <f t="shared" ref="S136" si="658">R136/100000</f>
        <v>-2928.4589015865522</v>
      </c>
      <c r="T136">
        <f t="shared" ref="T136" si="659">S136/1000</f>
        <v>-2.9284589015865521</v>
      </c>
    </row>
    <row r="137" spans="1:20" x14ac:dyDescent="0.25">
      <c r="A137" s="5">
        <v>44456</v>
      </c>
      <c r="B137">
        <v>0.27739999999999998</v>
      </c>
      <c r="C137">
        <v>0.28000000000000003</v>
      </c>
      <c r="D137">
        <v>0.26150000000000001</v>
      </c>
      <c r="E137">
        <v>0.26400000000000001</v>
      </c>
      <c r="F137">
        <v>3824087</v>
      </c>
      <c r="G137">
        <v>0.26400000000000001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-0.72972972972972971</v>
      </c>
      <c r="Q137">
        <f t="shared" ref="Q137" si="661">F137*P137</f>
        <v>-2790549.9729729728</v>
      </c>
      <c r="R137">
        <f t="shared" ref="R137" si="662">R138+Q137</f>
        <v>-247632118.78277424</v>
      </c>
      <c r="S137">
        <f t="shared" ref="S137" si="663">R137/100000</f>
        <v>-2476.3211878277425</v>
      </c>
      <c r="T137">
        <f t="shared" ref="T137" si="664">S137/1000</f>
        <v>-2.4763211878277427</v>
      </c>
    </row>
    <row r="138" spans="1:20" x14ac:dyDescent="0.25">
      <c r="A138" s="5">
        <v>44455</v>
      </c>
      <c r="B138">
        <v>0.2979</v>
      </c>
      <c r="C138">
        <v>0.30549999999999999</v>
      </c>
      <c r="D138">
        <v>0.27060000000000001</v>
      </c>
      <c r="E138">
        <v>0.27700000000000002</v>
      </c>
      <c r="F138">
        <v>5587830</v>
      </c>
      <c r="G138">
        <v>0.27700000000000002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-0.63323782234956905</v>
      </c>
      <c r="Q138">
        <f t="shared" ref="Q138" si="666">F138*P138</f>
        <v>-3538425.3008595924</v>
      </c>
      <c r="R138">
        <f t="shared" ref="R138" si="667">R139+Q138</f>
        <v>-244841568.80980128</v>
      </c>
      <c r="S138">
        <f t="shared" ref="S138" si="668">R138/100000</f>
        <v>-2448.4156880980127</v>
      </c>
      <c r="T138">
        <f t="shared" ref="T138" si="669">S138/1000</f>
        <v>-2.4484156880980126</v>
      </c>
    </row>
    <row r="139" spans="1:20" x14ac:dyDescent="0.25">
      <c r="A139" s="5">
        <v>44454</v>
      </c>
      <c r="B139">
        <v>0.2898</v>
      </c>
      <c r="C139">
        <v>0.30840000000000001</v>
      </c>
      <c r="D139">
        <v>0.28270000000000001</v>
      </c>
      <c r="E139">
        <v>0.2979</v>
      </c>
      <c r="F139">
        <v>8127641</v>
      </c>
      <c r="G139">
        <v>0.2979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0.18287937743190591</v>
      </c>
      <c r="Q139">
        <f t="shared" ref="Q139" si="671">F139*P139</f>
        <v>1486377.9260700331</v>
      </c>
      <c r="R139">
        <f t="shared" ref="R139" si="672">R140+Q139</f>
        <v>-241303143.50894168</v>
      </c>
      <c r="S139">
        <f t="shared" ref="S139" si="673">R139/100000</f>
        <v>-2413.0314350894168</v>
      </c>
      <c r="T139">
        <f t="shared" ref="T139" si="674">S139/1000</f>
        <v>-2.4130314350894166</v>
      </c>
    </row>
    <row r="140" spans="1:20" x14ac:dyDescent="0.25">
      <c r="A140" s="5">
        <v>44453</v>
      </c>
      <c r="B140">
        <v>0.2616</v>
      </c>
      <c r="C140">
        <v>0.307</v>
      </c>
      <c r="D140">
        <v>0.25900000000000001</v>
      </c>
      <c r="E140">
        <v>0.29010000000000002</v>
      </c>
      <c r="F140">
        <v>11065758</v>
      </c>
      <c r="G140">
        <v>0.29010000000000002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0.29583333333333439</v>
      </c>
      <c r="Q140">
        <f t="shared" ref="Q140" si="676">F140*P140</f>
        <v>3273620.0750000118</v>
      </c>
      <c r="R140">
        <f t="shared" ref="R140" si="677">R141+Q140</f>
        <v>-242789521.43501171</v>
      </c>
      <c r="S140">
        <f t="shared" ref="S140" si="678">R140/100000</f>
        <v>-2427.8952143501169</v>
      </c>
      <c r="T140">
        <f t="shared" ref="T140" si="679">S140/1000</f>
        <v>-2.4278952143501171</v>
      </c>
    </row>
    <row r="141" spans="1:20" x14ac:dyDescent="0.25">
      <c r="A141" s="5">
        <v>44452</v>
      </c>
      <c r="B141">
        <v>0.2843</v>
      </c>
      <c r="C141">
        <v>0.2853</v>
      </c>
      <c r="D141">
        <v>0.24779999999999999</v>
      </c>
      <c r="E141">
        <v>0.2616</v>
      </c>
      <c r="F141">
        <v>5529534</v>
      </c>
      <c r="G141">
        <v>0.2616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-0.26399999999999973</v>
      </c>
      <c r="Q141">
        <f t="shared" ref="Q141" si="681">F141*P141</f>
        <v>-1459796.9759999986</v>
      </c>
      <c r="R141">
        <f t="shared" ref="R141" si="682">R142+Q141</f>
        <v>-246063141.51001173</v>
      </c>
      <c r="S141">
        <f t="shared" ref="S141" si="683">R141/100000</f>
        <v>-2460.6314151001175</v>
      </c>
      <c r="T141">
        <f t="shared" ref="T141" si="684">S141/1000</f>
        <v>-2.4606314151001176</v>
      </c>
    </row>
    <row r="142" spans="1:20" x14ac:dyDescent="0.25">
      <c r="A142" s="5">
        <v>44451</v>
      </c>
      <c r="B142">
        <v>0.27689999999999998</v>
      </c>
      <c r="C142">
        <v>0.30809999999999998</v>
      </c>
      <c r="D142">
        <v>0.27439999999999998</v>
      </c>
      <c r="E142">
        <v>0.28420000000000001</v>
      </c>
      <c r="F142">
        <v>6764891</v>
      </c>
      <c r="G142">
        <v>0.28420000000000001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-0.41839762611275794</v>
      </c>
      <c r="Q142">
        <f t="shared" ref="Q142" si="686">F142*P142</f>
        <v>-2830414.3353115614</v>
      </c>
      <c r="R142">
        <f t="shared" ref="R142" si="687">R143+Q142</f>
        <v>-244603344.53401172</v>
      </c>
      <c r="S142">
        <f t="shared" ref="S142" si="688">R142/100000</f>
        <v>-2446.0334453401174</v>
      </c>
      <c r="T142">
        <f t="shared" ref="T142" si="689">S142/1000</f>
        <v>-2.4460334453401176</v>
      </c>
    </row>
    <row r="143" spans="1:20" x14ac:dyDescent="0.25">
      <c r="A143" s="5">
        <v>44450</v>
      </c>
      <c r="B143">
        <v>0.26600000000000001</v>
      </c>
      <c r="C143">
        <v>0.29709999999999998</v>
      </c>
      <c r="D143">
        <v>0.26300000000000001</v>
      </c>
      <c r="E143">
        <v>0.27689999999999998</v>
      </c>
      <c r="F143">
        <v>6983598</v>
      </c>
      <c r="G143">
        <v>0.27689999999999998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-0.18475073313783091</v>
      </c>
      <c r="Q143">
        <f t="shared" ref="Q143" si="691">F143*P143</f>
        <v>-1290224.8504398896</v>
      </c>
      <c r="R143">
        <f t="shared" ref="R143" si="692">R144+Q143</f>
        <v>-241772930.19870016</v>
      </c>
      <c r="S143">
        <f t="shared" ref="S143" si="693">R143/100000</f>
        <v>-2417.7293019870017</v>
      </c>
      <c r="T143">
        <f t="shared" ref="T143" si="694">S143/1000</f>
        <v>-2.4177293019870016</v>
      </c>
    </row>
    <row r="144" spans="1:20" x14ac:dyDescent="0.25">
      <c r="A144" s="5">
        <v>44449</v>
      </c>
      <c r="B144">
        <v>0.28299999999999997</v>
      </c>
      <c r="C144">
        <v>0.29330000000000001</v>
      </c>
      <c r="D144">
        <v>0.25530000000000003</v>
      </c>
      <c r="E144">
        <v>0.26540000000000002</v>
      </c>
      <c r="F144">
        <v>8866185</v>
      </c>
      <c r="G144">
        <v>0.26540000000000002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-0.46842105263157874</v>
      </c>
      <c r="Q144">
        <f t="shared" ref="Q144" si="696">F144*P144</f>
        <v>-4153107.7105263141</v>
      </c>
      <c r="R144">
        <f t="shared" ref="R144" si="697">R145+Q144</f>
        <v>-240482705.34826028</v>
      </c>
      <c r="S144">
        <f t="shared" ref="S144" si="698">R144/100000</f>
        <v>-2404.8270534826029</v>
      </c>
      <c r="T144">
        <f t="shared" ref="T144" si="699">S144/1000</f>
        <v>-2.4048270534826028</v>
      </c>
    </row>
    <row r="145" spans="1:20" x14ac:dyDescent="0.25">
      <c r="A145" s="5">
        <v>44448</v>
      </c>
      <c r="B145">
        <v>0.2868</v>
      </c>
      <c r="C145">
        <v>0.32340000000000002</v>
      </c>
      <c r="D145">
        <v>0.27889999999999998</v>
      </c>
      <c r="E145">
        <v>0.28310000000000002</v>
      </c>
      <c r="F145">
        <v>15243355</v>
      </c>
      <c r="G145">
        <v>0.28310000000000002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-0.81123595505617829</v>
      </c>
      <c r="Q145">
        <f t="shared" ref="Q145" si="701">F145*P145</f>
        <v>-12365957.65168537</v>
      </c>
      <c r="R145">
        <f t="shared" ref="R145" si="702">R146+Q145</f>
        <v>-236329597.63773397</v>
      </c>
      <c r="S145">
        <f t="shared" ref="S145" si="703">R145/100000</f>
        <v>-2363.2959763773397</v>
      </c>
      <c r="T145">
        <f t="shared" ref="T145" si="704">S145/1000</f>
        <v>-2.3632959763773398</v>
      </c>
    </row>
    <row r="146" spans="1:20" x14ac:dyDescent="0.25">
      <c r="A146" s="5">
        <v>44447</v>
      </c>
      <c r="B146">
        <v>0.30830000000000002</v>
      </c>
      <c r="C146">
        <v>0.34</v>
      </c>
      <c r="D146">
        <v>0.25690000000000002</v>
      </c>
      <c r="E146">
        <v>0.2868</v>
      </c>
      <c r="F146">
        <v>33280270</v>
      </c>
      <c r="G146">
        <v>0.2868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-0.28038507821901371</v>
      </c>
      <c r="Q146">
        <f t="shared" ref="Q146" si="706">F146*P146</f>
        <v>-9331291.1070998944</v>
      </c>
      <c r="R146">
        <f t="shared" ref="R146" si="707">R147+Q146</f>
        <v>-223963639.98604861</v>
      </c>
      <c r="S146">
        <f t="shared" ref="S146" si="708">R146/100000</f>
        <v>-2239.6363998604861</v>
      </c>
      <c r="T146">
        <f t="shared" ref="T146" si="709">S146/1000</f>
        <v>-2.239636399860486</v>
      </c>
    </row>
    <row r="147" spans="1:20" x14ac:dyDescent="0.25">
      <c r="A147" s="5">
        <v>44446</v>
      </c>
      <c r="B147">
        <v>0.42409999999999998</v>
      </c>
      <c r="C147">
        <v>0.50749999999999995</v>
      </c>
      <c r="D147">
        <v>0.25419999999999998</v>
      </c>
      <c r="E147">
        <v>0.30830000000000002</v>
      </c>
      <c r="F147">
        <v>190454924.19999999</v>
      </c>
      <c r="G147">
        <v>0.30830000000000002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-0.57283853138570828</v>
      </c>
      <c r="Q147">
        <f t="shared" ref="Q147" si="711">F147*P147</f>
        <v>-109099919.07390438</v>
      </c>
      <c r="R147">
        <f t="shared" ref="R147" si="712">R148+Q147</f>
        <v>-214632348.87894872</v>
      </c>
      <c r="S147">
        <f t="shared" ref="S147" si="713">R147/100000</f>
        <v>-2146.3234887894873</v>
      </c>
      <c r="T147">
        <f t="shared" ref="T147" si="714">S147/1000</f>
        <v>-2.1463234887894873</v>
      </c>
    </row>
    <row r="148" spans="1:20" x14ac:dyDescent="0.25">
      <c r="A148" s="5">
        <v>44445</v>
      </c>
      <c r="B148">
        <v>0.27700000000000002</v>
      </c>
      <c r="C148">
        <v>0.48349999999999999</v>
      </c>
      <c r="D148">
        <v>0.27200000000000002</v>
      </c>
      <c r="E148">
        <v>0.4239</v>
      </c>
      <c r="F148">
        <v>209684764</v>
      </c>
      <c r="G148">
        <v>0.4239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0.43640661938534281</v>
      </c>
      <c r="Q148">
        <f t="shared" ref="Q148" si="716">F148*P148</f>
        <v>91507818.993853435</v>
      </c>
      <c r="R148">
        <f t="shared" ref="R148" si="717">R149+Q148</f>
        <v>-105532429.80504434</v>
      </c>
      <c r="S148">
        <f t="shared" ref="S148" si="718">R148/100000</f>
        <v>-1055.3242980504433</v>
      </c>
      <c r="T148">
        <f t="shared" ref="T148" si="719">S148/1000</f>
        <v>-1.0553242980504434</v>
      </c>
    </row>
    <row r="149" spans="1:20" x14ac:dyDescent="0.25">
      <c r="A149" s="5">
        <v>44444</v>
      </c>
      <c r="B149">
        <v>0.26929999999999998</v>
      </c>
      <c r="C149">
        <v>0.28620000000000001</v>
      </c>
      <c r="D149">
        <v>0.26879999999999998</v>
      </c>
      <c r="E149">
        <v>0.2767</v>
      </c>
      <c r="F149">
        <v>4082584</v>
      </c>
      <c r="G149">
        <v>0.2767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-9.1954022988505052E-2</v>
      </c>
      <c r="Q149">
        <f t="shared" ref="Q149" si="721">F149*P149</f>
        <v>-375410.02298850293</v>
      </c>
      <c r="R149">
        <f t="shared" ref="R149" si="722">R150+Q149</f>
        <v>-197040248.79889777</v>
      </c>
      <c r="S149">
        <f t="shared" ref="S149" si="723">R149/100000</f>
        <v>-1970.4024879889778</v>
      </c>
      <c r="T149">
        <f t="shared" ref="T149" si="724">S149/1000</f>
        <v>-1.9704024879889779</v>
      </c>
    </row>
    <row r="150" spans="1:20" x14ac:dyDescent="0.25">
      <c r="A150" s="5">
        <v>44443</v>
      </c>
      <c r="B150">
        <v>0.27479999999999999</v>
      </c>
      <c r="C150">
        <v>0.28000000000000003</v>
      </c>
      <c r="D150">
        <v>0.2641</v>
      </c>
      <c r="E150">
        <v>0.26929999999999998</v>
      </c>
      <c r="F150">
        <v>4190704</v>
      </c>
      <c r="G150">
        <v>0.26929999999999998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-0.34591194968553785</v>
      </c>
      <c r="Q150">
        <f t="shared" ref="Q150" si="726">F150*P150</f>
        <v>-1449614.5911949822</v>
      </c>
      <c r="R150">
        <f t="shared" ref="R150" si="727">R151+Q150</f>
        <v>-196664838.77590927</v>
      </c>
      <c r="S150">
        <f t="shared" ref="S150" si="728">R150/100000</f>
        <v>-1966.6483877590927</v>
      </c>
      <c r="T150">
        <f t="shared" ref="T150" si="729">S150/1000</f>
        <v>-1.9666483877590926</v>
      </c>
    </row>
    <row r="151" spans="1:20" x14ac:dyDescent="0.25">
      <c r="A151" s="5">
        <v>44442</v>
      </c>
      <c r="B151">
        <v>0.25790000000000002</v>
      </c>
      <c r="C151">
        <v>0.2999</v>
      </c>
      <c r="D151">
        <v>0.24979999999999999</v>
      </c>
      <c r="E151">
        <v>0.27560000000000001</v>
      </c>
      <c r="F151">
        <v>21238911</v>
      </c>
      <c r="G151">
        <v>0.27560000000000001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2.9940119760479618E-2</v>
      </c>
      <c r="Q151">
        <f t="shared" ref="Q151" si="731">F151*P151</f>
        <v>635895.53892216797</v>
      </c>
      <c r="R151">
        <f t="shared" ref="R151" si="732">R152+Q151</f>
        <v>-195215224.18471429</v>
      </c>
      <c r="S151">
        <f t="shared" ref="S151" si="733">R151/100000</f>
        <v>-1952.1522418471429</v>
      </c>
      <c r="T151">
        <f t="shared" ref="T151" si="734">S151/1000</f>
        <v>-1.9521522418471429</v>
      </c>
    </row>
    <row r="152" spans="1:20" x14ac:dyDescent="0.25">
      <c r="A152" s="5">
        <v>44441</v>
      </c>
      <c r="B152">
        <v>0.2472</v>
      </c>
      <c r="C152">
        <v>0.33110000000000001</v>
      </c>
      <c r="D152">
        <v>0.24299999999999999</v>
      </c>
      <c r="E152">
        <v>0.25800000000000001</v>
      </c>
      <c r="F152">
        <v>55203581.299999997</v>
      </c>
      <c r="G152">
        <v>0.25800000000000001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-0.65947786606129377</v>
      </c>
      <c r="Q152">
        <f t="shared" ref="Q152" si="736">F152*P152</f>
        <v>-36405539.994665138</v>
      </c>
      <c r="R152">
        <f t="shared" ref="R152" si="737">R153+Q152</f>
        <v>-195851119.72363645</v>
      </c>
      <c r="S152">
        <f t="shared" ref="S152" si="738">R152/100000</f>
        <v>-1958.5111972363645</v>
      </c>
      <c r="T152">
        <f t="shared" ref="T152" si="739">S152/1000</f>
        <v>-1.9585111972363645</v>
      </c>
    </row>
    <row r="153" spans="1:20" x14ac:dyDescent="0.25">
      <c r="A153" s="5">
        <v>44440</v>
      </c>
      <c r="B153">
        <v>0.2321</v>
      </c>
      <c r="C153">
        <v>0.24879999999999999</v>
      </c>
      <c r="D153">
        <v>0.2303</v>
      </c>
      <c r="E153">
        <v>0.2472</v>
      </c>
      <c r="F153">
        <v>2850125</v>
      </c>
      <c r="G153">
        <v>0.2472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0.82702702702702802</v>
      </c>
      <c r="Q153">
        <f t="shared" ref="Q153" si="741">F153*P153</f>
        <v>2357130.4054054082</v>
      </c>
      <c r="R153">
        <f t="shared" ref="R153" si="742">R154+Q153</f>
        <v>-159445579.7289713</v>
      </c>
      <c r="S153">
        <f t="shared" ref="S153" si="743">R153/100000</f>
        <v>-1594.455797289713</v>
      </c>
      <c r="T153">
        <f t="shared" ref="T153" si="744">S153/1000</f>
        <v>-1.5944557972897131</v>
      </c>
    </row>
    <row r="154" spans="1:20" x14ac:dyDescent="0.25">
      <c r="A154" s="5">
        <v>44439</v>
      </c>
      <c r="B154">
        <v>0.24160000000000001</v>
      </c>
      <c r="C154">
        <v>0.24829999999999999</v>
      </c>
      <c r="D154">
        <v>0.2293</v>
      </c>
      <c r="E154">
        <v>0.2324</v>
      </c>
      <c r="F154">
        <v>4110326</v>
      </c>
      <c r="G154">
        <v>0.2324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-0.67368421052631644</v>
      </c>
      <c r="Q154">
        <f t="shared" ref="Q154" si="746">F154*P154</f>
        <v>-2769061.7263157922</v>
      </c>
      <c r="R154">
        <f t="shared" ref="R154" si="747">R155+Q154</f>
        <v>-161802710.1343767</v>
      </c>
      <c r="S154">
        <f t="shared" ref="S154" si="748">R154/100000</f>
        <v>-1618.0271013437671</v>
      </c>
      <c r="T154">
        <f t="shared" ref="T154" si="749">S154/1000</f>
        <v>-1.618027101343767</v>
      </c>
    </row>
    <row r="155" spans="1:20" x14ac:dyDescent="0.25">
      <c r="A155" s="5">
        <v>44438</v>
      </c>
      <c r="B155">
        <v>0.2424</v>
      </c>
      <c r="C155">
        <v>0.25700000000000001</v>
      </c>
      <c r="D155">
        <v>0.22900000000000001</v>
      </c>
      <c r="E155">
        <v>0.24</v>
      </c>
      <c r="F155">
        <v>4306116</v>
      </c>
      <c r="G155">
        <v>0.24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-0.2142857142857155</v>
      </c>
      <c r="Q155">
        <f t="shared" ref="Q155" si="751">F155*P155</f>
        <v>-922739.14285714808</v>
      </c>
      <c r="R155">
        <f t="shared" ref="R155" si="752">R156+Q155</f>
        <v>-159033648.40806091</v>
      </c>
      <c r="S155">
        <f t="shared" ref="S155" si="753">R155/100000</f>
        <v>-1590.3364840806091</v>
      </c>
      <c r="T155">
        <f t="shared" ref="T155" si="754">S155/1000</f>
        <v>-1.5903364840806091</v>
      </c>
    </row>
    <row r="156" spans="1:20" x14ac:dyDescent="0.25">
      <c r="A156" s="5">
        <v>44437</v>
      </c>
      <c r="B156">
        <v>0.23830000000000001</v>
      </c>
      <c r="C156">
        <v>0.2457</v>
      </c>
      <c r="D156">
        <v>0.23200000000000001</v>
      </c>
      <c r="E156">
        <v>0.2424</v>
      </c>
      <c r="F156">
        <v>2618675</v>
      </c>
      <c r="G156">
        <v>0.2424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0.51824817518248179</v>
      </c>
      <c r="Q156">
        <f t="shared" ref="Q156" si="756">F156*P156</f>
        <v>1357123.5401459855</v>
      </c>
      <c r="R156">
        <f t="shared" ref="R156" si="757">R157+Q156</f>
        <v>-158110909.26520377</v>
      </c>
      <c r="S156">
        <f t="shared" ref="S156" si="758">R156/100000</f>
        <v>-1581.1090926520378</v>
      </c>
      <c r="T156">
        <f t="shared" ref="T156" si="759">S156/1000</f>
        <v>-1.5811090926520379</v>
      </c>
    </row>
    <row r="157" spans="1:20" x14ac:dyDescent="0.25">
      <c r="A157" s="5">
        <v>44436</v>
      </c>
      <c r="B157">
        <v>0.25040000000000001</v>
      </c>
      <c r="C157">
        <v>0.25180000000000002</v>
      </c>
      <c r="D157">
        <v>0.23549999999999999</v>
      </c>
      <c r="E157">
        <v>0.23860000000000001</v>
      </c>
      <c r="F157">
        <v>3545857</v>
      </c>
      <c r="G157">
        <v>0.23860000000000001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-0.61963190184048922</v>
      </c>
      <c r="Q157">
        <f t="shared" ref="Q157" si="761">F157*P157</f>
        <v>-2197126.1165644117</v>
      </c>
      <c r="R157">
        <f t="shared" ref="R157" si="762">R158+Q157</f>
        <v>-159468032.80534977</v>
      </c>
      <c r="S157">
        <f t="shared" ref="S157" si="763">R157/100000</f>
        <v>-1594.6803280534978</v>
      </c>
      <c r="T157">
        <f t="shared" ref="T157" si="764">S157/1000</f>
        <v>-1.5946803280534978</v>
      </c>
    </row>
    <row r="158" spans="1:20" x14ac:dyDescent="0.25">
      <c r="A158" s="5">
        <v>44435</v>
      </c>
      <c r="B158">
        <v>0.2311</v>
      </c>
      <c r="C158">
        <v>0.25590000000000002</v>
      </c>
      <c r="D158">
        <v>0.2263</v>
      </c>
      <c r="E158">
        <v>0.25040000000000001</v>
      </c>
      <c r="F158">
        <v>3012499.3</v>
      </c>
      <c r="G158">
        <v>0.25040000000000001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0.62837837837837829</v>
      </c>
      <c r="Q158">
        <f t="shared" ref="Q158" si="766">F158*P158</f>
        <v>1892989.4249999996</v>
      </c>
      <c r="R158">
        <f t="shared" ref="R158" si="767">R159+Q158</f>
        <v>-157270906.68878534</v>
      </c>
      <c r="S158">
        <f t="shared" ref="S158" si="768">R158/100000</f>
        <v>-1572.7090668878534</v>
      </c>
      <c r="T158">
        <f t="shared" ref="T158" si="769">S158/1000</f>
        <v>-1.5727090668878534</v>
      </c>
    </row>
    <row r="159" spans="1:20" x14ac:dyDescent="0.25">
      <c r="A159" s="5">
        <v>44434</v>
      </c>
      <c r="B159">
        <v>0.26702999999999999</v>
      </c>
      <c r="C159">
        <v>0.26818999999999998</v>
      </c>
      <c r="D159">
        <v>0.22800000000000001</v>
      </c>
      <c r="E159">
        <v>0.2311</v>
      </c>
      <c r="F159">
        <v>5781534.2999999998</v>
      </c>
      <c r="G159">
        <v>0.2311</v>
      </c>
      <c r="L159" t="s">
        <v>7</v>
      </c>
      <c r="M159" t="s">
        <v>8</v>
      </c>
      <c r="N159" t="s">
        <v>7</v>
      </c>
      <c r="P159">
        <f t="shared" ref="P159" si="770">IF(C159=D159,0,((E159-D159)-(C159-E159))/(C159-D159))</f>
        <v>-0.8457327693456087</v>
      </c>
      <c r="Q159">
        <f t="shared" ref="Q159" si="771">F159*P159</f>
        <v>-4889633.0146056255</v>
      </c>
      <c r="R159">
        <f t="shared" ref="R159" si="772">R160+Q159</f>
        <v>-159163896.11378536</v>
      </c>
      <c r="S159">
        <f t="shared" ref="S159" si="773">R159/100000</f>
        <v>-1591.6389611378536</v>
      </c>
      <c r="T159">
        <f t="shared" ref="T159" si="774">S159/1000</f>
        <v>-1.5916389611378536</v>
      </c>
    </row>
    <row r="160" spans="1:20" x14ac:dyDescent="0.25">
      <c r="A160" s="5">
        <v>44433</v>
      </c>
      <c r="B160">
        <v>0.22886999999999999</v>
      </c>
      <c r="C160">
        <v>0.28000000000000003</v>
      </c>
      <c r="D160">
        <v>0.22</v>
      </c>
      <c r="E160">
        <v>0.26744000000000001</v>
      </c>
      <c r="F160">
        <v>12372263.6</v>
      </c>
      <c r="G160">
        <v>0.26744000000000001</v>
      </c>
      <c r="L160" t="s">
        <v>8</v>
      </c>
      <c r="M160" t="s">
        <v>7</v>
      </c>
      <c r="N160" t="s">
        <v>7</v>
      </c>
      <c r="P160">
        <f t="shared" ref="P160" si="775">IF(C160=D160,0,((E160-D160)-(C160-E160))/(C160-D160))</f>
        <v>0.58133333333333304</v>
      </c>
      <c r="Q160">
        <f t="shared" ref="Q160" si="776">F160*P160</f>
        <v>7192409.2394666625</v>
      </c>
      <c r="R160">
        <f t="shared" ref="R160" si="777">R161+Q160</f>
        <v>-154274263.09917974</v>
      </c>
      <c r="S160">
        <f t="shared" ref="S160" si="778">R160/100000</f>
        <v>-1542.7426309917973</v>
      </c>
      <c r="T160">
        <f t="shared" ref="T160" si="779">S160/1000</f>
        <v>-1.5427426309917973</v>
      </c>
    </row>
    <row r="161" spans="1:20" x14ac:dyDescent="0.25">
      <c r="A161" s="5">
        <v>44432</v>
      </c>
      <c r="B161">
        <v>0.24779999999999999</v>
      </c>
      <c r="C161">
        <v>0.26500000000000001</v>
      </c>
      <c r="D161">
        <v>0.22839999999999999</v>
      </c>
      <c r="E161">
        <v>0.22844</v>
      </c>
      <c r="F161">
        <v>8088528.2999999998</v>
      </c>
      <c r="G161">
        <v>0.22844</v>
      </c>
      <c r="L161" t="s">
        <v>8</v>
      </c>
      <c r="M161" t="s">
        <v>7</v>
      </c>
      <c r="N161" t="s">
        <v>7</v>
      </c>
      <c r="P161">
        <f t="shared" ref="P161" si="780">IF(C161=D161,0,((E161-D161)-(C161-E161))/(C161-D161))</f>
        <v>-0.99781420765027251</v>
      </c>
      <c r="Q161">
        <f t="shared" ref="Q161" si="781">F161*P161</f>
        <v>-8070848.4567213058</v>
      </c>
      <c r="R161">
        <f t="shared" ref="R161" si="782">R162+Q161</f>
        <v>-161466672.33864641</v>
      </c>
      <c r="S161">
        <f t="shared" ref="S161" si="783">R161/100000</f>
        <v>-1614.6667233864641</v>
      </c>
      <c r="T161">
        <f t="shared" ref="T161" si="784">S161/1000</f>
        <v>-1.6146667233864642</v>
      </c>
    </row>
    <row r="162" spans="1:20" x14ac:dyDescent="0.25">
      <c r="A162" s="5">
        <v>44431</v>
      </c>
      <c r="B162">
        <v>0.23815</v>
      </c>
      <c r="C162">
        <v>0.26</v>
      </c>
      <c r="D162">
        <v>0.23</v>
      </c>
      <c r="E162">
        <v>0.24779999999999999</v>
      </c>
      <c r="F162">
        <v>10619761.1</v>
      </c>
      <c r="G162">
        <v>0.24779999999999999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0.18666666666666554</v>
      </c>
      <c r="Q162">
        <f t="shared" ref="Q162" si="786">F162*P162</f>
        <v>1982355.4053333213</v>
      </c>
      <c r="R162">
        <f t="shared" ref="R162" si="787">R163+Q162</f>
        <v>-153395823.88192511</v>
      </c>
      <c r="S162">
        <f t="shared" ref="S162" si="788">R162/100000</f>
        <v>-1533.9582388192512</v>
      </c>
      <c r="T162">
        <f t="shared" ref="T162" si="789">S162/1000</f>
        <v>-1.5339582388192512</v>
      </c>
    </row>
    <row r="163" spans="1:20" x14ac:dyDescent="0.25">
      <c r="A163" s="5">
        <v>44430</v>
      </c>
      <c r="B163">
        <v>0.245</v>
      </c>
      <c r="C163">
        <v>0.24771000000000001</v>
      </c>
      <c r="D163">
        <v>0.24102999999999999</v>
      </c>
      <c r="E163">
        <v>0.24157000000000001</v>
      </c>
      <c r="F163">
        <v>1690634.5</v>
      </c>
      <c r="G163">
        <v>0.24157000000000001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-0.83832335329340979</v>
      </c>
      <c r="Q163">
        <f t="shared" ref="Q163" si="791">F163*P163</f>
        <v>-1417298.3832335272</v>
      </c>
      <c r="R163">
        <f t="shared" ref="R163" si="792">R164+Q163</f>
        <v>-155378179.28725842</v>
      </c>
      <c r="S163">
        <f t="shared" ref="S163" si="793">R163/100000</f>
        <v>-1553.7817928725842</v>
      </c>
      <c r="T163">
        <f t="shared" ref="T163" si="794">S163/1000</f>
        <v>-1.5537817928725841</v>
      </c>
    </row>
    <row r="164" spans="1:20" x14ac:dyDescent="0.25">
      <c r="A164" s="5">
        <v>44429</v>
      </c>
      <c r="B164">
        <v>0.26212999999999997</v>
      </c>
      <c r="C164">
        <v>0.26917000000000002</v>
      </c>
      <c r="D164">
        <v>0.24332999999999999</v>
      </c>
      <c r="E164">
        <v>0.2455</v>
      </c>
      <c r="F164">
        <v>21446363.5</v>
      </c>
      <c r="G164">
        <v>0.2455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-0.83204334365325061</v>
      </c>
      <c r="Q164">
        <f t="shared" ref="Q164" si="796">F164*P164</f>
        <v>-17844303.995743029</v>
      </c>
      <c r="R164">
        <f t="shared" ref="R164" si="797">R165+Q164</f>
        <v>-153960880.9040249</v>
      </c>
      <c r="S164">
        <f t="shared" ref="S164" si="798">R164/100000</f>
        <v>-1539.6088090402491</v>
      </c>
      <c r="T164">
        <f t="shared" ref="T164" si="799">S164/1000</f>
        <v>-1.5396088090402491</v>
      </c>
    </row>
    <row r="165" spans="1:20" x14ac:dyDescent="0.25">
      <c r="A165" s="5">
        <v>44428</v>
      </c>
      <c r="B165">
        <v>0.24184</v>
      </c>
      <c r="C165">
        <v>0.34875</v>
      </c>
      <c r="D165">
        <v>0.23380999999999999</v>
      </c>
      <c r="E165">
        <v>0.26211000000000001</v>
      </c>
      <c r="F165">
        <v>199400427.5</v>
      </c>
      <c r="G165">
        <v>0.26211000000000001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-0.50756916652166317</v>
      </c>
      <c r="Q165">
        <f t="shared" ref="Q165" si="801">F165*P165</f>
        <v>-101209508.79023832</v>
      </c>
      <c r="R165">
        <f t="shared" ref="R165" si="802">R166+Q165</f>
        <v>-136116576.90828186</v>
      </c>
      <c r="S165">
        <f t="shared" ref="S165" si="803">R165/100000</f>
        <v>-1361.1657690828185</v>
      </c>
      <c r="T165">
        <f t="shared" ref="T165" si="804">S165/1000</f>
        <v>-1.3611657690828185</v>
      </c>
    </row>
    <row r="166" spans="1:20" x14ac:dyDescent="0.25">
      <c r="A166" s="5">
        <v>44427</v>
      </c>
      <c r="B166">
        <v>0.1812</v>
      </c>
      <c r="C166">
        <v>0.26645000000000002</v>
      </c>
      <c r="D166">
        <v>0.17663999999999999</v>
      </c>
      <c r="E166">
        <v>0.24199000000000001</v>
      </c>
      <c r="F166">
        <v>58396742</v>
      </c>
      <c r="G166">
        <v>0.24199000000000001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0.45529451063355969</v>
      </c>
      <c r="Q166">
        <f t="shared" ref="Q166" si="806">F166*P166</f>
        <v>26587716.071484242</v>
      </c>
      <c r="R166">
        <f t="shared" ref="R166" si="807">R167+Q166</f>
        <v>-34907068.118043527</v>
      </c>
      <c r="S166">
        <f t="shared" ref="S166" si="808">R166/100000</f>
        <v>-349.07068118043526</v>
      </c>
      <c r="T166">
        <f t="shared" ref="T166" si="809">S166/1000</f>
        <v>-0.34907068118043527</v>
      </c>
    </row>
    <row r="167" spans="1:20" x14ac:dyDescent="0.25">
      <c r="A167" s="5">
        <v>44426</v>
      </c>
      <c r="B167">
        <v>0.18511</v>
      </c>
      <c r="C167">
        <v>0.19350000000000001</v>
      </c>
      <c r="D167">
        <v>0.18</v>
      </c>
      <c r="E167">
        <v>0.1812</v>
      </c>
      <c r="F167">
        <v>2372318.2000000002</v>
      </c>
      <c r="G167">
        <v>0.1812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-0.82222222222222141</v>
      </c>
      <c r="Q167">
        <f t="shared" ref="Q167" si="811">F167*P167</f>
        <v>-1950572.7422222204</v>
      </c>
      <c r="R167">
        <f t="shared" ref="R167" si="812">R168+Q167</f>
        <v>-61494784.189527765</v>
      </c>
      <c r="S167">
        <f t="shared" ref="S167" si="813">R167/100000</f>
        <v>-614.94784189527763</v>
      </c>
      <c r="T167">
        <f t="shared" ref="T167" si="814">S167/1000</f>
        <v>-0.61494784189527762</v>
      </c>
    </row>
    <row r="168" spans="1:20" x14ac:dyDescent="0.25">
      <c r="A168" s="5">
        <v>44425</v>
      </c>
      <c r="B168">
        <v>0.20397999999999999</v>
      </c>
      <c r="C168">
        <v>0.21401000000000001</v>
      </c>
      <c r="D168">
        <v>0.18423</v>
      </c>
      <c r="E168">
        <v>0.18511</v>
      </c>
      <c r="F168">
        <v>3146901</v>
      </c>
      <c r="G168">
        <v>0.18511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-0.94089993284083329</v>
      </c>
      <c r="Q168">
        <f t="shared" ref="Q168" si="816">F168*P168</f>
        <v>-2960918.9395567509</v>
      </c>
      <c r="R168">
        <f t="shared" ref="R168" si="817">R169+Q168</f>
        <v>-59544211.447305545</v>
      </c>
      <c r="S168">
        <f t="shared" ref="S168" si="818">R168/100000</f>
        <v>-595.44211447305543</v>
      </c>
      <c r="T168">
        <f t="shared" ref="T168" si="819">S168/1000</f>
        <v>-0.59544211447305539</v>
      </c>
    </row>
    <row r="169" spans="1:20" x14ac:dyDescent="0.25">
      <c r="A169" s="5">
        <v>44424</v>
      </c>
      <c r="B169">
        <v>0.21421000000000001</v>
      </c>
      <c r="C169">
        <v>0.219</v>
      </c>
      <c r="D169">
        <v>0.20069000000000001</v>
      </c>
      <c r="E169">
        <v>0.20519000000000001</v>
      </c>
      <c r="F169">
        <v>2828112.4</v>
      </c>
      <c r="G169">
        <v>0.20519000000000001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-0.5084653194975417</v>
      </c>
      <c r="Q169">
        <f t="shared" ref="Q169" si="821">F169*P169</f>
        <v>-1437997.0750409595</v>
      </c>
      <c r="R169">
        <f t="shared" ref="R169" si="822">R170+Q169</f>
        <v>-56583292.507748798</v>
      </c>
      <c r="S169">
        <f t="shared" ref="S169" si="823">R169/100000</f>
        <v>-565.83292507748797</v>
      </c>
      <c r="T169">
        <f t="shared" ref="T169" si="824">S169/1000</f>
        <v>-0.56583292507748795</v>
      </c>
    </row>
    <row r="170" spans="1:20" x14ac:dyDescent="0.25">
      <c r="A170" s="5">
        <v>44423</v>
      </c>
      <c r="B170">
        <v>0.20901</v>
      </c>
      <c r="C170">
        <v>0.21745999999999999</v>
      </c>
      <c r="D170">
        <v>0.19621</v>
      </c>
      <c r="E170">
        <v>0.2142</v>
      </c>
      <c r="F170">
        <v>2014988.7</v>
      </c>
      <c r="G170">
        <v>0.2142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0.69317647058823662</v>
      </c>
      <c r="Q170">
        <f t="shared" ref="Q170" si="826">F170*P170</f>
        <v>1396742.7553411792</v>
      </c>
      <c r="R170">
        <f t="shared" ref="R170" si="827">R171+Q170</f>
        <v>-55145295.432707839</v>
      </c>
      <c r="S170">
        <f t="shared" ref="S170" si="828">R170/100000</f>
        <v>-551.45295432707837</v>
      </c>
      <c r="T170">
        <f t="shared" ref="T170" si="829">S170/1000</f>
        <v>-0.55145295432707842</v>
      </c>
    </row>
    <row r="171" spans="1:20" x14ac:dyDescent="0.25">
      <c r="A171" s="5">
        <v>44422</v>
      </c>
      <c r="B171">
        <v>0.21768999999999999</v>
      </c>
      <c r="C171">
        <v>0.21992</v>
      </c>
      <c r="D171">
        <v>0.19836999999999999</v>
      </c>
      <c r="E171">
        <v>0.20826</v>
      </c>
      <c r="F171">
        <v>4275338.7</v>
      </c>
      <c r="G171">
        <v>0.20826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-8.2134570765660914E-2</v>
      </c>
      <c r="Q171">
        <f t="shared" ref="Q171" si="831">F171*P171</f>
        <v>-351153.10900231876</v>
      </c>
      <c r="R171">
        <f t="shared" ref="R171" si="832">R172+Q171</f>
        <v>-56542038.188049018</v>
      </c>
      <c r="S171">
        <f t="shared" ref="S171" si="833">R171/100000</f>
        <v>-565.42038188049014</v>
      </c>
      <c r="T171">
        <f t="shared" ref="T171" si="834">S171/1000</f>
        <v>-0.56542038188049015</v>
      </c>
    </row>
    <row r="172" spans="1:20" x14ac:dyDescent="0.25">
      <c r="A172" s="5">
        <v>44421</v>
      </c>
      <c r="B172">
        <v>0.20336000000000001</v>
      </c>
      <c r="C172">
        <v>0.22137000000000001</v>
      </c>
      <c r="D172">
        <v>0.20311999999999999</v>
      </c>
      <c r="E172">
        <v>0.21768999999999999</v>
      </c>
      <c r="F172">
        <v>2611058.9</v>
      </c>
      <c r="G172">
        <v>0.21768999999999999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0.59671232876712188</v>
      </c>
      <c r="Q172">
        <f t="shared" ref="Q172" si="836">F172*P172</f>
        <v>1558051.0367671195</v>
      </c>
      <c r="R172">
        <f t="shared" ref="R172" si="837">R173+Q172</f>
        <v>-56190885.079046696</v>
      </c>
      <c r="S172">
        <f t="shared" ref="S172" si="838">R172/100000</f>
        <v>-561.908850790467</v>
      </c>
      <c r="T172">
        <f t="shared" ref="T172" si="839">S172/1000</f>
        <v>-0.56190885079046704</v>
      </c>
    </row>
    <row r="173" spans="1:20" x14ac:dyDescent="0.25">
      <c r="A173" s="5">
        <v>44420</v>
      </c>
      <c r="B173">
        <v>0.19555</v>
      </c>
      <c r="C173">
        <v>0.21</v>
      </c>
      <c r="D173">
        <v>0.18820000000000001</v>
      </c>
      <c r="E173">
        <v>0.20311999999999999</v>
      </c>
      <c r="F173">
        <v>7470213.7999999998</v>
      </c>
      <c r="G173">
        <v>0.20311999999999999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0.36880733944954114</v>
      </c>
      <c r="Q173">
        <f t="shared" ref="Q173" si="841">F173*P173</f>
        <v>2755069.6766972467</v>
      </c>
      <c r="R173">
        <f t="shared" ref="R173" si="842">R174+Q173</f>
        <v>-57748936.115813814</v>
      </c>
      <c r="S173">
        <f t="shared" ref="S173" si="843">R173/100000</f>
        <v>-577.48936115813819</v>
      </c>
      <c r="T173">
        <f t="shared" ref="T173" si="844">S173/1000</f>
        <v>-0.5774893611581382</v>
      </c>
    </row>
    <row r="174" spans="1:20" x14ac:dyDescent="0.25">
      <c r="A174" s="5">
        <v>44419</v>
      </c>
      <c r="B174">
        <v>0.18217</v>
      </c>
      <c r="C174">
        <v>0.20691999999999999</v>
      </c>
      <c r="D174">
        <v>0.18049000000000001</v>
      </c>
      <c r="E174">
        <v>0.19728000000000001</v>
      </c>
      <c r="F174">
        <v>5353750.7</v>
      </c>
      <c r="G174">
        <v>0.19728000000000001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0.27052591751797284</v>
      </c>
      <c r="Q174">
        <f t="shared" ref="Q174" si="846">F174*P174</f>
        <v>1448328.3202799894</v>
      </c>
      <c r="R174">
        <f t="shared" ref="R174" si="847">R175+Q174</f>
        <v>-60504005.792511061</v>
      </c>
      <c r="S174">
        <f t="shared" ref="S174" si="848">R174/100000</f>
        <v>-605.04005792511066</v>
      </c>
      <c r="T174">
        <f t="shared" ref="T174" si="849">S174/1000</f>
        <v>-0.60504005792511062</v>
      </c>
    </row>
    <row r="175" spans="1:20" x14ac:dyDescent="0.25">
      <c r="A175" s="5">
        <v>44418</v>
      </c>
      <c r="B175">
        <v>0.17216000000000001</v>
      </c>
      <c r="C175">
        <v>0.18521000000000001</v>
      </c>
      <c r="D175">
        <v>0.16803999999999999</v>
      </c>
      <c r="E175">
        <v>0.18210000000000001</v>
      </c>
      <c r="F175">
        <v>2186824</v>
      </c>
      <c r="G175">
        <v>0.18210000000000001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0.63774024461269674</v>
      </c>
      <c r="Q175">
        <f t="shared" ref="Q175" si="851">F175*P175</f>
        <v>1394625.6726849158</v>
      </c>
      <c r="R175">
        <f t="shared" ref="R175" si="852">R176+Q175</f>
        <v>-61952334.112791054</v>
      </c>
      <c r="S175">
        <f t="shared" ref="S175" si="853">R175/100000</f>
        <v>-619.5233411279105</v>
      </c>
      <c r="T175">
        <f t="shared" ref="T175" si="854">S175/1000</f>
        <v>-0.61952334112791052</v>
      </c>
    </row>
    <row r="176" spans="1:20" x14ac:dyDescent="0.25">
      <c r="A176" s="5">
        <v>44417</v>
      </c>
      <c r="B176">
        <v>0.16446</v>
      </c>
      <c r="C176">
        <v>0.17319000000000001</v>
      </c>
      <c r="D176">
        <v>0.15579999999999999</v>
      </c>
      <c r="E176">
        <v>0.17207</v>
      </c>
      <c r="F176">
        <v>2655534.2000000002</v>
      </c>
      <c r="G176">
        <v>0.17207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0.87119033927544465</v>
      </c>
      <c r="Q176">
        <f t="shared" ref="Q176" si="856">F176*P176</f>
        <v>2313475.7406555465</v>
      </c>
      <c r="R176">
        <f t="shared" ref="R176" si="857">R177+Q176</f>
        <v>-63346959.785475969</v>
      </c>
      <c r="S176">
        <f t="shared" ref="S176" si="858">R176/100000</f>
        <v>-633.46959785475974</v>
      </c>
      <c r="T176">
        <f t="shared" ref="T176" si="859">S176/1000</f>
        <v>-0.63346959785475976</v>
      </c>
    </row>
    <row r="177" spans="1:20" x14ac:dyDescent="0.25">
      <c r="A177" s="5">
        <v>44416</v>
      </c>
      <c r="B177">
        <v>0.18278</v>
      </c>
      <c r="C177">
        <v>0.19</v>
      </c>
      <c r="D177">
        <v>0.16059999999999999</v>
      </c>
      <c r="E177">
        <v>0.16475999999999999</v>
      </c>
      <c r="F177">
        <v>2966456.9</v>
      </c>
      <c r="G177">
        <v>0.16475999999999999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-0.71700680272108874</v>
      </c>
      <c r="Q177">
        <f t="shared" ref="Q177" si="861">F177*P177</f>
        <v>-2126969.7772789123</v>
      </c>
      <c r="R177">
        <f t="shared" ref="R177" si="862">R178+Q177</f>
        <v>-65660435.526131518</v>
      </c>
      <c r="S177">
        <f t="shared" ref="S177" si="863">R177/100000</f>
        <v>-656.60435526131516</v>
      </c>
      <c r="T177">
        <f t="shared" ref="T177" si="864">S177/1000</f>
        <v>-0.65660435526131511</v>
      </c>
    </row>
    <row r="178" spans="1:20" x14ac:dyDescent="0.25">
      <c r="A178" s="5">
        <v>44415</v>
      </c>
      <c r="B178">
        <v>0.17252000000000001</v>
      </c>
      <c r="C178">
        <v>0.189</v>
      </c>
      <c r="D178">
        <v>0.17071</v>
      </c>
      <c r="E178">
        <v>0.18267</v>
      </c>
      <c r="F178">
        <v>3439160.8</v>
      </c>
      <c r="G178">
        <v>0.18267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0.30781848004373952</v>
      </c>
      <c r="Q178">
        <f t="shared" ref="Q178" si="866">F178*P178</f>
        <v>1058637.2500820111</v>
      </c>
      <c r="R178">
        <f t="shared" ref="R178" si="867">R179+Q178</f>
        <v>-63533465.748852603</v>
      </c>
      <c r="S178">
        <f t="shared" ref="S178" si="868">R178/100000</f>
        <v>-635.33465748852598</v>
      </c>
      <c r="T178">
        <f t="shared" ref="T178" si="869">S178/1000</f>
        <v>-0.63533465748852602</v>
      </c>
    </row>
    <row r="179" spans="1:20" x14ac:dyDescent="0.25">
      <c r="A179" s="5">
        <v>44414</v>
      </c>
      <c r="B179">
        <v>0.16803000000000001</v>
      </c>
      <c r="C179">
        <v>0.17687</v>
      </c>
      <c r="D179">
        <v>0.15604999999999999</v>
      </c>
      <c r="E179">
        <v>0.17249</v>
      </c>
      <c r="F179">
        <v>4838997.3</v>
      </c>
      <c r="G179">
        <v>0.17249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0.57925072046109571</v>
      </c>
      <c r="Q179">
        <f t="shared" ref="Q179" si="871">F179*P179</f>
        <v>2802992.6723342966</v>
      </c>
      <c r="R179">
        <f t="shared" ref="R179" si="872">R180+Q179</f>
        <v>-64592102.998934612</v>
      </c>
      <c r="S179">
        <f t="shared" ref="S179" si="873">R179/100000</f>
        <v>-645.92102998934615</v>
      </c>
      <c r="T179">
        <f t="shared" ref="T179" si="874">S179/1000</f>
        <v>-0.6459210299893462</v>
      </c>
    </row>
    <row r="180" spans="1:20" x14ac:dyDescent="0.25">
      <c r="A180" s="5">
        <v>44413</v>
      </c>
      <c r="B180">
        <v>0.15262999999999999</v>
      </c>
      <c r="C180">
        <v>0.16972000000000001</v>
      </c>
      <c r="D180">
        <v>0.14338000000000001</v>
      </c>
      <c r="E180">
        <v>0.16739999999999999</v>
      </c>
      <c r="F180">
        <v>3642224.8</v>
      </c>
      <c r="G180">
        <v>0.16739999999999999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0.82384206529992288</v>
      </c>
      <c r="Q180">
        <f t="shared" ref="Q180" si="876">F180*P180</f>
        <v>3000618.0015185983</v>
      </c>
      <c r="R180">
        <f t="shared" ref="R180" si="877">R181+Q180</f>
        <v>-67395095.67126891</v>
      </c>
      <c r="S180">
        <f t="shared" ref="S180" si="878">R180/100000</f>
        <v>-673.95095671268905</v>
      </c>
      <c r="T180">
        <f t="shared" ref="T180" si="879">S180/1000</f>
        <v>-0.67395095671268901</v>
      </c>
    </row>
    <row r="181" spans="1:20" x14ac:dyDescent="0.25">
      <c r="A181" s="5">
        <v>44412</v>
      </c>
      <c r="B181">
        <v>0.14000000000000001</v>
      </c>
      <c r="C181">
        <v>0.1537</v>
      </c>
      <c r="D181">
        <v>0.13736000000000001</v>
      </c>
      <c r="E181">
        <v>0.15262999999999999</v>
      </c>
      <c r="F181">
        <v>2199237.1</v>
      </c>
      <c r="G181">
        <v>0.15262999999999999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0.86903304773561618</v>
      </c>
      <c r="Q181">
        <f t="shared" ref="Q181" si="881">F181*P181</f>
        <v>1911209.7197062382</v>
      </c>
      <c r="R181">
        <f t="shared" ref="R181" si="882">R182+Q181</f>
        <v>-70395713.672787502</v>
      </c>
      <c r="S181">
        <f t="shared" ref="S181" si="883">R181/100000</f>
        <v>-703.95713672787497</v>
      </c>
      <c r="T181">
        <f t="shared" ref="T181" si="884">S181/1000</f>
        <v>-0.70395713672787497</v>
      </c>
    </row>
    <row r="182" spans="1:20" x14ac:dyDescent="0.25">
      <c r="A182" s="5">
        <v>44411</v>
      </c>
      <c r="B182">
        <v>0.13905999999999999</v>
      </c>
      <c r="C182">
        <v>0.14318</v>
      </c>
      <c r="D182">
        <v>0.13600000000000001</v>
      </c>
      <c r="E182">
        <v>0.1396</v>
      </c>
      <c r="F182">
        <v>1586944</v>
      </c>
      <c r="G182">
        <v>0.1396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2.785515320333185E-3</v>
      </c>
      <c r="Q182">
        <f t="shared" ref="Q182" si="886">F182*P182</f>
        <v>4420.4568245108258</v>
      </c>
      <c r="R182">
        <f t="shared" ref="R182" si="887">R183+Q182</f>
        <v>-72306923.39249374</v>
      </c>
      <c r="S182">
        <f t="shared" ref="S182" si="888">R182/100000</f>
        <v>-723.06923392493741</v>
      </c>
      <c r="T182">
        <f t="shared" ref="T182" si="889">S182/1000</f>
        <v>-0.72306923392493738</v>
      </c>
    </row>
    <row r="183" spans="1:20" x14ac:dyDescent="0.25">
      <c r="A183" s="5">
        <v>44410</v>
      </c>
      <c r="B183">
        <v>0.14199000000000001</v>
      </c>
      <c r="C183">
        <v>0.14712</v>
      </c>
      <c r="D183">
        <v>0.13900000000000001</v>
      </c>
      <c r="E183">
        <v>0.13979</v>
      </c>
      <c r="F183">
        <v>1457242.1</v>
      </c>
      <c r="G183">
        <v>0.13979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-0.80541871921182606</v>
      </c>
      <c r="Q183">
        <f t="shared" ref="Q183" si="891">F183*P183</f>
        <v>-1173690.0657635517</v>
      </c>
      <c r="R183">
        <f t="shared" ref="R183" si="892">R184+Q183</f>
        <v>-72311343.849318251</v>
      </c>
      <c r="S183">
        <f t="shared" ref="S183" si="893">R183/100000</f>
        <v>-723.11343849318246</v>
      </c>
      <c r="T183">
        <f t="shared" ref="T183" si="894">S183/1000</f>
        <v>-0.72311343849318244</v>
      </c>
    </row>
    <row r="184" spans="1:20" x14ac:dyDescent="0.25">
      <c r="A184" s="5">
        <v>44409</v>
      </c>
      <c r="B184">
        <v>0.14673</v>
      </c>
      <c r="C184">
        <v>0.15412999999999999</v>
      </c>
      <c r="D184">
        <v>0.14115</v>
      </c>
      <c r="E184">
        <v>0.14269000000000001</v>
      </c>
      <c r="F184">
        <v>1502906.6</v>
      </c>
      <c r="G184">
        <v>0.14269000000000001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-0.76271186440677741</v>
      </c>
      <c r="Q184">
        <f t="shared" ref="Q184" si="896">F184*P184</f>
        <v>-1146284.6949152509</v>
      </c>
      <c r="R184">
        <f t="shared" ref="R184" si="897">R185+Q184</f>
        <v>-71137653.783554703</v>
      </c>
      <c r="S184">
        <f t="shared" ref="S184" si="898">R184/100000</f>
        <v>-711.37653783554708</v>
      </c>
      <c r="T184">
        <f t="shared" ref="T184" si="899">S184/1000</f>
        <v>-0.71137653783554711</v>
      </c>
    </row>
    <row r="185" spans="1:20" x14ac:dyDescent="0.25">
      <c r="A185" s="5">
        <v>44408</v>
      </c>
      <c r="B185">
        <v>0.14595</v>
      </c>
      <c r="C185">
        <v>0.14999000000000001</v>
      </c>
      <c r="D185">
        <v>0.14002000000000001</v>
      </c>
      <c r="E185">
        <v>0.14757000000000001</v>
      </c>
      <c r="F185">
        <v>1928872.5</v>
      </c>
      <c r="G185">
        <v>0.14757000000000001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0.5145436308926773</v>
      </c>
      <c r="Q185">
        <f t="shared" ref="Q185" si="901">F185*P185</f>
        <v>992489.05967903568</v>
      </c>
      <c r="R185">
        <f t="shared" ref="R185" si="902">R186+Q185</f>
        <v>-69991369.088639453</v>
      </c>
      <c r="S185">
        <f t="shared" ref="S185" si="903">R185/100000</f>
        <v>-699.91369088639453</v>
      </c>
      <c r="T185">
        <f t="shared" ref="T185" si="904">S185/1000</f>
        <v>-0.69991369088639455</v>
      </c>
    </row>
    <row r="186" spans="1:20" x14ac:dyDescent="0.25">
      <c r="A186" s="5">
        <v>44407</v>
      </c>
      <c r="B186">
        <v>0.14707999999999999</v>
      </c>
      <c r="C186">
        <v>0.15318999999999999</v>
      </c>
      <c r="D186">
        <v>0.13839000000000001</v>
      </c>
      <c r="E186">
        <v>0.14676</v>
      </c>
      <c r="F186">
        <v>2954350.6</v>
      </c>
      <c r="G186">
        <v>0.14676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0.13108108108108107</v>
      </c>
      <c r="Q186">
        <f t="shared" ref="Q186" si="906">F186*P186</f>
        <v>387259.47054054053</v>
      </c>
      <c r="R186">
        <f t="shared" ref="R186" si="907">R187+Q186</f>
        <v>-70983858.148318484</v>
      </c>
      <c r="S186">
        <f t="shared" ref="S186" si="908">R186/100000</f>
        <v>-709.83858148318484</v>
      </c>
      <c r="T186">
        <f t="shared" ref="T186" si="909">S186/1000</f>
        <v>-0.70983858148318479</v>
      </c>
    </row>
    <row r="187" spans="1:20" x14ac:dyDescent="0.25">
      <c r="A187" s="5">
        <v>44406</v>
      </c>
      <c r="B187">
        <v>0.1376</v>
      </c>
      <c r="C187">
        <v>0.14798</v>
      </c>
      <c r="D187">
        <v>0.13421</v>
      </c>
      <c r="E187">
        <v>0.14707999999999999</v>
      </c>
      <c r="F187">
        <v>2830294.1</v>
      </c>
      <c r="G187">
        <v>0.14707999999999999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0.86928104575163234</v>
      </c>
      <c r="Q187">
        <f t="shared" ref="Q187" si="911">F187*P187</f>
        <v>2460321.0150326751</v>
      </c>
      <c r="R187">
        <f t="shared" ref="R187" si="912">R188+Q187</f>
        <v>-71371117.618859023</v>
      </c>
      <c r="S187">
        <f t="shared" ref="S187" si="913">R187/100000</f>
        <v>-713.71117618859023</v>
      </c>
      <c r="T187">
        <f t="shared" ref="T187" si="914">S187/1000</f>
        <v>-0.71371117618859026</v>
      </c>
    </row>
    <row r="188" spans="1:20" x14ac:dyDescent="0.25">
      <c r="A188" s="5">
        <v>44405</v>
      </c>
      <c r="B188">
        <v>0.14163999999999999</v>
      </c>
      <c r="C188">
        <v>0.14430999999999999</v>
      </c>
      <c r="D188">
        <v>0.12958</v>
      </c>
      <c r="E188">
        <v>0.13803000000000001</v>
      </c>
      <c r="F188">
        <v>2859533</v>
      </c>
      <c r="G188">
        <v>0.13803000000000001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0.14731839782756512</v>
      </c>
      <c r="Q188">
        <f t="shared" ref="Q188" si="916">F188*P188</f>
        <v>421261.82009505079</v>
      </c>
      <c r="R188">
        <f t="shared" ref="R188" si="917">R189+Q188</f>
        <v>-73831438.633891702</v>
      </c>
      <c r="S188">
        <f t="shared" ref="S188" si="918">R188/100000</f>
        <v>-738.31438633891696</v>
      </c>
      <c r="T188">
        <f t="shared" ref="T188" si="919">S188/1000</f>
        <v>-0.73831438633891699</v>
      </c>
    </row>
    <row r="189" spans="1:20" x14ac:dyDescent="0.25">
      <c r="A189" s="5">
        <v>44404</v>
      </c>
      <c r="B189">
        <v>0.14299999999999999</v>
      </c>
      <c r="C189">
        <v>0.1469</v>
      </c>
      <c r="D189">
        <v>0.13442999999999999</v>
      </c>
      <c r="E189">
        <v>0.14197000000000001</v>
      </c>
      <c r="F189">
        <v>1966084.9</v>
      </c>
      <c r="G189">
        <v>0.14197000000000001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0.20930232558139752</v>
      </c>
      <c r="Q189">
        <f t="shared" ref="Q189" si="921">F189*P189</f>
        <v>411506.14186046936</v>
      </c>
      <c r="R189">
        <f t="shared" ref="R189" si="922">R190+Q189</f>
        <v>-74252700.453986749</v>
      </c>
      <c r="S189">
        <f t="shared" ref="S189" si="923">R189/100000</f>
        <v>-742.52700453986745</v>
      </c>
      <c r="T189">
        <f t="shared" ref="T189" si="924">S189/1000</f>
        <v>-0.74252700453986742</v>
      </c>
    </row>
    <row r="190" spans="1:20" x14ac:dyDescent="0.25">
      <c r="A190" s="5">
        <v>44403</v>
      </c>
      <c r="B190">
        <v>0.13647000000000001</v>
      </c>
      <c r="C190">
        <v>0.14996000000000001</v>
      </c>
      <c r="D190">
        <v>0.13558000000000001</v>
      </c>
      <c r="E190">
        <v>0.14279</v>
      </c>
      <c r="F190">
        <v>3992364.9</v>
      </c>
      <c r="G190">
        <v>0.14279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2.7816411682882116E-3</v>
      </c>
      <c r="Q190">
        <f t="shared" ref="Q190" si="926">F190*P190</f>
        <v>11105.326564668849</v>
      </c>
      <c r="R190">
        <f t="shared" ref="R190" si="927">R191+Q190</f>
        <v>-74664206.595847219</v>
      </c>
      <c r="S190">
        <f t="shared" ref="S190" si="928">R190/100000</f>
        <v>-746.64206595847224</v>
      </c>
      <c r="T190">
        <f t="shared" ref="T190" si="929">S190/1000</f>
        <v>-0.74664206595847227</v>
      </c>
    </row>
    <row r="191" spans="1:20" x14ac:dyDescent="0.25">
      <c r="A191" s="5">
        <v>44402</v>
      </c>
      <c r="B191">
        <v>0.13091</v>
      </c>
      <c r="C191">
        <v>0.14219999999999999</v>
      </c>
      <c r="D191">
        <v>0.12595999999999999</v>
      </c>
      <c r="E191">
        <v>0.13619999999999999</v>
      </c>
      <c r="F191">
        <v>4524237.2</v>
      </c>
      <c r="G191">
        <v>0.13619999999999999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0.2610837438423641</v>
      </c>
      <c r="Q191">
        <f t="shared" ref="Q191" si="931">F191*P191</f>
        <v>1181204.7862068946</v>
      </c>
      <c r="R191">
        <f t="shared" ref="R191" si="932">R192+Q191</f>
        <v>-74675311.922411889</v>
      </c>
      <c r="S191">
        <f t="shared" ref="S191" si="933">R191/100000</f>
        <v>-746.7531192241189</v>
      </c>
      <c r="T191">
        <f t="shared" ref="T191:T197" si="934">S191/1000</f>
        <v>-0.74675311922411891</v>
      </c>
    </row>
    <row r="192" spans="1:20" x14ac:dyDescent="0.25">
      <c r="A192" s="5">
        <v>44401</v>
      </c>
      <c r="B192">
        <v>0.12143</v>
      </c>
      <c r="C192">
        <v>0.13356000000000001</v>
      </c>
      <c r="D192">
        <v>0.12005</v>
      </c>
      <c r="E192">
        <v>0.13056000000000001</v>
      </c>
      <c r="F192">
        <v>3749195.4</v>
      </c>
      <c r="G192">
        <v>0.13056000000000001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0.55588452997779414</v>
      </c>
      <c r="Q192">
        <f t="shared" ref="Q192" si="936">F192*P192</f>
        <v>2084119.7227239078</v>
      </c>
      <c r="R192">
        <f t="shared" ref="R192" si="937">R193+Q192</f>
        <v>-75856516.70861879</v>
      </c>
      <c r="S192">
        <f t="shared" ref="S192" si="938">R192/100000</f>
        <v>-758.5651670861879</v>
      </c>
      <c r="T192">
        <f t="shared" si="934"/>
        <v>-0.75856516708618793</v>
      </c>
    </row>
    <row r="193" spans="1:20" x14ac:dyDescent="0.25">
      <c r="A193" s="5">
        <v>44400</v>
      </c>
      <c r="B193">
        <v>0.11772000000000001</v>
      </c>
      <c r="C193">
        <v>0.12199</v>
      </c>
      <c r="D193">
        <v>0.11427</v>
      </c>
      <c r="E193">
        <v>0.12132</v>
      </c>
      <c r="F193">
        <v>1665030.8</v>
      </c>
      <c r="G193">
        <v>0.12132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0.82642487046632029</v>
      </c>
      <c r="Q193">
        <f t="shared" ref="Q193" si="940">F193*P193</f>
        <v>1376022.8632124336</v>
      </c>
      <c r="R193">
        <f t="shared" ref="R193" si="941">R194+Q193</f>
        <v>-77940636.431342691</v>
      </c>
      <c r="S193">
        <f t="shared" ref="S193" si="942">R193/100000</f>
        <v>-779.40636431342693</v>
      </c>
      <c r="T193">
        <f t="shared" si="934"/>
        <v>-0.77940636431342691</v>
      </c>
    </row>
    <row r="194" spans="1:20" x14ac:dyDescent="0.25">
      <c r="A194" s="5">
        <v>44399</v>
      </c>
      <c r="B194">
        <v>0.11599</v>
      </c>
      <c r="C194">
        <v>0.1275</v>
      </c>
      <c r="D194">
        <v>0.11428000000000001</v>
      </c>
      <c r="E194">
        <v>0.11773</v>
      </c>
      <c r="F194">
        <v>1614119.6</v>
      </c>
      <c r="G194">
        <v>0.11773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-0.47806354009077218</v>
      </c>
      <c r="Q194">
        <f t="shared" ref="Q194" si="944">F194*P194</f>
        <v>-771651.73010590114</v>
      </c>
      <c r="R194">
        <f t="shared" ref="R194" si="945">R195+Q194</f>
        <v>-79316659.294555128</v>
      </c>
      <c r="S194">
        <f t="shared" ref="S194" si="946">R194/100000</f>
        <v>-793.16659294555132</v>
      </c>
      <c r="T194">
        <f t="shared" si="934"/>
        <v>-0.79316659294555136</v>
      </c>
    </row>
    <row r="195" spans="1:20" x14ac:dyDescent="0.25">
      <c r="A195" s="5">
        <v>44398</v>
      </c>
      <c r="B195">
        <v>0.10956</v>
      </c>
      <c r="C195">
        <v>0.12098</v>
      </c>
      <c r="D195">
        <v>0.1077</v>
      </c>
      <c r="E195">
        <v>0.11577999999999999</v>
      </c>
      <c r="F195">
        <v>2597708.2000000002</v>
      </c>
      <c r="G195">
        <v>0.11577999999999999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0.21686746987951655</v>
      </c>
      <c r="Q195">
        <f t="shared" ref="Q195" si="948">F195*P195</f>
        <v>563358.40481927316</v>
      </c>
      <c r="R195">
        <f t="shared" ref="R195" si="949">R196+Q195</f>
        <v>-78545007.564449221</v>
      </c>
      <c r="S195">
        <f t="shared" ref="S195" si="950">R195/100000</f>
        <v>-785.45007564449224</v>
      </c>
      <c r="T195">
        <f t="shared" si="934"/>
        <v>-0.78545007564449221</v>
      </c>
    </row>
    <row r="196" spans="1:20" x14ac:dyDescent="0.25">
      <c r="A196" s="5">
        <v>44397</v>
      </c>
      <c r="B196">
        <v>0.10396</v>
      </c>
      <c r="C196">
        <v>0.12</v>
      </c>
      <c r="D196">
        <v>0.1</v>
      </c>
      <c r="E196">
        <v>0.11015999999999999</v>
      </c>
      <c r="F196">
        <v>10224605.300000001</v>
      </c>
      <c r="G196">
        <v>0.11015999999999999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1.5999999999999355E-2</v>
      </c>
      <c r="Q196">
        <f t="shared" ref="Q196" si="952">F196*P196</f>
        <v>163593.68479999341</v>
      </c>
      <c r="R196">
        <f t="shared" ref="R196" si="953">R197+Q196</f>
        <v>-79108365.969268501</v>
      </c>
      <c r="S196">
        <f t="shared" ref="S196" si="954">R196/100000</f>
        <v>-791.08365969268505</v>
      </c>
      <c r="T196">
        <f t="shared" si="934"/>
        <v>-0.79108365969268502</v>
      </c>
    </row>
    <row r="197" spans="1:20" x14ac:dyDescent="0.25">
      <c r="A197" s="5">
        <v>44396</v>
      </c>
      <c r="B197">
        <v>0.11412</v>
      </c>
      <c r="C197">
        <v>0.11412</v>
      </c>
      <c r="D197">
        <v>0.10179000000000001</v>
      </c>
      <c r="E197">
        <v>0.10396</v>
      </c>
      <c r="F197">
        <v>2102961.1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-0.64801297648013101</v>
      </c>
      <c r="Q197">
        <f t="shared" ref="Q197" si="956">F197*P197</f>
        <v>-1362746.0818329304</v>
      </c>
      <c r="R197">
        <f t="shared" ref="R197" si="957">R198+Q197</f>
        <v>-79271959.6540685</v>
      </c>
      <c r="S197">
        <f t="shared" ref="S197" si="958">R197/100000</f>
        <v>-792.71959654068496</v>
      </c>
      <c r="T197">
        <f t="shared" si="934"/>
        <v>-0.79271959654068491</v>
      </c>
    </row>
    <row r="198" spans="1:20" x14ac:dyDescent="0.25">
      <c r="A198" s="5">
        <v>44395</v>
      </c>
      <c r="B198">
        <v>0.11642</v>
      </c>
      <c r="C198">
        <v>0.12499</v>
      </c>
      <c r="D198">
        <v>0.112</v>
      </c>
      <c r="E198">
        <v>0.11275</v>
      </c>
      <c r="F198">
        <v>1313967.5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-0.88452655889145493</v>
      </c>
      <c r="Q198">
        <f t="shared" ref="Q198:Q261" si="960">F198*P198</f>
        <v>-1162239.1512702077</v>
      </c>
      <c r="R198">
        <f t="shared" ref="R198:R261" si="961">R199+Q198</f>
        <v>-77909213.572235569</v>
      </c>
      <c r="S198">
        <f t="shared" ref="S198:S261" si="962">R198/100000</f>
        <v>-779.09213572235569</v>
      </c>
      <c r="T198">
        <f t="shared" ref="T198:T261" si="963">S198/1000</f>
        <v>-0.77909213572235569</v>
      </c>
    </row>
    <row r="199" spans="1:20" x14ac:dyDescent="0.25">
      <c r="A199" s="5">
        <v>44394</v>
      </c>
      <c r="B199">
        <v>0.11652</v>
      </c>
      <c r="C199">
        <v>0.12497</v>
      </c>
      <c r="D199">
        <v>0.11168</v>
      </c>
      <c r="E199">
        <v>0.11645</v>
      </c>
      <c r="F199">
        <v>2490006.2999999998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-0.28216704288939087</v>
      </c>
      <c r="Q199">
        <f t="shared" si="960"/>
        <v>-702597.71444695338</v>
      </c>
      <c r="R199">
        <f t="shared" si="961"/>
        <v>-76746974.420965359</v>
      </c>
      <c r="S199">
        <f t="shared" si="962"/>
        <v>-767.46974420965364</v>
      </c>
      <c r="T199">
        <f t="shared" si="963"/>
        <v>-0.76746974420965364</v>
      </c>
    </row>
    <row r="200" spans="1:20" x14ac:dyDescent="0.25">
      <c r="A200" s="5">
        <v>44393</v>
      </c>
      <c r="B200">
        <v>0.13203000000000001</v>
      </c>
      <c r="C200">
        <v>0.13624</v>
      </c>
      <c r="D200">
        <v>0.11645999999999999</v>
      </c>
      <c r="E200">
        <v>0.11761000000000001</v>
      </c>
      <c r="F200">
        <v>4220863.5999999996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-0.88372093023255693</v>
      </c>
      <c r="Q200">
        <f t="shared" si="960"/>
        <v>-3730065.5069767386</v>
      </c>
      <c r="R200">
        <f t="shared" si="961"/>
        <v>-76044376.706518412</v>
      </c>
      <c r="S200">
        <f t="shared" si="962"/>
        <v>-760.44376706518415</v>
      </c>
      <c r="T200">
        <f t="shared" si="963"/>
        <v>-0.76044376706518413</v>
      </c>
    </row>
    <row r="201" spans="1:20" x14ac:dyDescent="0.25">
      <c r="A201" s="5">
        <v>44392</v>
      </c>
      <c r="B201">
        <v>0.12200999999999999</v>
      </c>
      <c r="C201">
        <v>0.14369999999999999</v>
      </c>
      <c r="D201">
        <v>0.12013</v>
      </c>
      <c r="E201">
        <v>0.13074</v>
      </c>
      <c r="F201">
        <v>13108163.199999999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-9.970301230377622E-2</v>
      </c>
      <c r="Q201">
        <f t="shared" si="960"/>
        <v>-1306923.3568095067</v>
      </c>
      <c r="R201">
        <f t="shared" si="961"/>
        <v>-72314311.199541673</v>
      </c>
      <c r="S201">
        <f t="shared" si="962"/>
        <v>-723.14311199541669</v>
      </c>
      <c r="T201">
        <f t="shared" si="963"/>
        <v>-0.7231431119954167</v>
      </c>
    </row>
    <row r="202" spans="1:20" x14ac:dyDescent="0.25">
      <c r="A202" s="5">
        <v>44391</v>
      </c>
      <c r="B202">
        <v>0.12619</v>
      </c>
      <c r="C202">
        <v>0.12647</v>
      </c>
      <c r="D202">
        <v>0.11441999999999999</v>
      </c>
      <c r="E202">
        <v>0.12200999999999999</v>
      </c>
      <c r="F202">
        <v>2425622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0.25975103734439775</v>
      </c>
      <c r="Q202">
        <f t="shared" si="960"/>
        <v>630057.83070539276</v>
      </c>
      <c r="R202">
        <f t="shared" si="961"/>
        <v>-71007387.842732161</v>
      </c>
      <c r="S202">
        <f t="shared" si="962"/>
        <v>-710.07387842732157</v>
      </c>
      <c r="T202">
        <f t="shared" si="963"/>
        <v>-0.71007387842732161</v>
      </c>
    </row>
    <row r="203" spans="1:20" x14ac:dyDescent="0.25">
      <c r="A203" s="5">
        <v>44390</v>
      </c>
      <c r="B203">
        <v>0.12778</v>
      </c>
      <c r="C203">
        <v>0.13189000000000001</v>
      </c>
      <c r="D203">
        <v>0.12159</v>
      </c>
      <c r="E203">
        <v>0.12619</v>
      </c>
      <c r="F203">
        <v>3329206.6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-0.10679611650485604</v>
      </c>
      <c r="Q203">
        <f t="shared" si="960"/>
        <v>-355546.33592233568</v>
      </c>
      <c r="R203">
        <f t="shared" si="961"/>
        <v>-71637445.673437551</v>
      </c>
      <c r="S203">
        <f t="shared" si="962"/>
        <v>-716.37445673437549</v>
      </c>
      <c r="T203">
        <f t="shared" si="963"/>
        <v>-0.7163744567343755</v>
      </c>
    </row>
    <row r="204" spans="1:20" x14ac:dyDescent="0.25">
      <c r="A204" s="5">
        <v>44389</v>
      </c>
      <c r="B204">
        <v>0.14299999999999999</v>
      </c>
      <c r="C204">
        <v>0.14568</v>
      </c>
      <c r="D204">
        <v>0.12472999999999999</v>
      </c>
      <c r="E204">
        <v>0.12864999999999999</v>
      </c>
      <c r="F204">
        <v>9395537.5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-0.62577565632458321</v>
      </c>
      <c r="Q204">
        <f t="shared" si="960"/>
        <v>-5879498.6455847342</v>
      </c>
      <c r="R204">
        <f t="shared" si="961"/>
        <v>-71281899.33751522</v>
      </c>
      <c r="S204">
        <f t="shared" si="962"/>
        <v>-712.81899337515222</v>
      </c>
      <c r="T204">
        <f t="shared" si="963"/>
        <v>-0.7128189933751522</v>
      </c>
    </row>
    <row r="205" spans="1:20" x14ac:dyDescent="0.25">
      <c r="A205" s="5">
        <v>44388</v>
      </c>
      <c r="B205">
        <v>0.12017</v>
      </c>
      <c r="C205">
        <v>0.15279000000000001</v>
      </c>
      <c r="D205">
        <v>0.11924</v>
      </c>
      <c r="E205">
        <v>0.14302000000000001</v>
      </c>
      <c r="F205">
        <v>11533399.699999999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0.41758569299552917</v>
      </c>
      <c r="Q205">
        <f t="shared" si="960"/>
        <v>4816182.7063189279</v>
      </c>
      <c r="R205">
        <f t="shared" si="961"/>
        <v>-65402400.691930488</v>
      </c>
      <c r="S205">
        <f t="shared" si="962"/>
        <v>-654.02400691930484</v>
      </c>
      <c r="T205">
        <f t="shared" si="963"/>
        <v>-0.65402400691930485</v>
      </c>
    </row>
    <row r="206" spans="1:20" x14ac:dyDescent="0.25">
      <c r="A206" s="5">
        <v>44387</v>
      </c>
      <c r="B206">
        <v>0.11947000000000001</v>
      </c>
      <c r="C206">
        <v>0.13400000000000001</v>
      </c>
      <c r="D206">
        <v>0.11638</v>
      </c>
      <c r="E206">
        <v>0.11971999999999999</v>
      </c>
      <c r="F206">
        <v>5874437.5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-0.62088535754824137</v>
      </c>
      <c r="Q206">
        <f t="shared" si="960"/>
        <v>-3647352.2275822973</v>
      </c>
      <c r="R206">
        <f t="shared" si="961"/>
        <v>-70218583.398249418</v>
      </c>
      <c r="S206">
        <f t="shared" si="962"/>
        <v>-702.18583398249416</v>
      </c>
      <c r="T206">
        <f t="shared" si="963"/>
        <v>-0.70218583398249412</v>
      </c>
    </row>
    <row r="207" spans="1:20" x14ac:dyDescent="0.25">
      <c r="A207" s="5">
        <v>44386</v>
      </c>
      <c r="B207">
        <v>0.11802</v>
      </c>
      <c r="C207">
        <v>0.12338</v>
      </c>
      <c r="D207">
        <v>0.1134</v>
      </c>
      <c r="E207">
        <v>0.11779000000000001</v>
      </c>
      <c r="F207">
        <v>3658815.2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-0.12024048096192309</v>
      </c>
      <c r="Q207">
        <f t="shared" si="960"/>
        <v>-439937.69939879485</v>
      </c>
      <c r="R207">
        <f t="shared" si="961"/>
        <v>-66571231.170667127</v>
      </c>
      <c r="S207">
        <f t="shared" si="962"/>
        <v>-665.71231170667124</v>
      </c>
      <c r="T207">
        <f t="shared" si="963"/>
        <v>-0.66571231170667122</v>
      </c>
    </row>
    <row r="208" spans="1:20" x14ac:dyDescent="0.25">
      <c r="A208" s="5">
        <v>44385</v>
      </c>
      <c r="B208">
        <v>0.13553999999999999</v>
      </c>
      <c r="C208">
        <v>0.13574</v>
      </c>
      <c r="D208">
        <v>0.11579</v>
      </c>
      <c r="E208">
        <v>0.11937</v>
      </c>
      <c r="F208">
        <v>4545786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-0.64110275689223051</v>
      </c>
      <c r="Q208">
        <f t="shared" si="960"/>
        <v>-2914315.9368421049</v>
      </c>
      <c r="R208">
        <f t="shared" si="961"/>
        <v>-66131293.471268333</v>
      </c>
      <c r="S208">
        <f t="shared" si="962"/>
        <v>-661.31293471268339</v>
      </c>
      <c r="T208">
        <f t="shared" si="963"/>
        <v>-0.66131293471268338</v>
      </c>
    </row>
    <row r="209" spans="1:20" x14ac:dyDescent="0.25">
      <c r="A209" s="5">
        <v>44384</v>
      </c>
      <c r="B209">
        <v>0.12662999999999999</v>
      </c>
      <c r="C209">
        <v>0.1396</v>
      </c>
      <c r="D209">
        <v>0.12551999999999999</v>
      </c>
      <c r="E209">
        <v>0.13419</v>
      </c>
      <c r="F209">
        <v>3381910.5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0.23153409090909166</v>
      </c>
      <c r="Q209">
        <f t="shared" si="960"/>
        <v>783027.57315341162</v>
      </c>
      <c r="R209">
        <f t="shared" si="961"/>
        <v>-63216977.534426227</v>
      </c>
      <c r="S209">
        <f t="shared" si="962"/>
        <v>-632.16977534426223</v>
      </c>
      <c r="T209">
        <f t="shared" si="963"/>
        <v>-0.63216977534426222</v>
      </c>
    </row>
    <row r="210" spans="1:20" x14ac:dyDescent="0.25">
      <c r="A210" s="5">
        <v>44383</v>
      </c>
      <c r="B210">
        <v>0.12213</v>
      </c>
      <c r="C210">
        <v>0.13600000000000001</v>
      </c>
      <c r="D210">
        <v>0.12213</v>
      </c>
      <c r="E210">
        <v>0.12662999999999999</v>
      </c>
      <c r="F210">
        <v>3944184.9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-0.35111751982696643</v>
      </c>
      <c r="Q210">
        <f t="shared" si="960"/>
        <v>-1384872.4198269716</v>
      </c>
      <c r="R210">
        <f t="shared" si="961"/>
        <v>-64000005.107579641</v>
      </c>
      <c r="S210">
        <f t="shared" si="962"/>
        <v>-640.00005107579636</v>
      </c>
      <c r="T210">
        <f t="shared" si="963"/>
        <v>-0.64000005107579638</v>
      </c>
    </row>
    <row r="211" spans="1:20" x14ac:dyDescent="0.25">
      <c r="A211" s="5">
        <v>44382</v>
      </c>
      <c r="B211">
        <v>0.1318</v>
      </c>
      <c r="C211">
        <v>0.13499</v>
      </c>
      <c r="D211">
        <v>0.11761000000000001</v>
      </c>
      <c r="E211">
        <v>0.12280000000000001</v>
      </c>
      <c r="F211">
        <v>4304887.9000000004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-0.40276179516685817</v>
      </c>
      <c r="Q211">
        <f t="shared" si="960"/>
        <v>-1733844.3785960863</v>
      </c>
      <c r="R211">
        <f t="shared" si="961"/>
        <v>-62615132.687752672</v>
      </c>
      <c r="S211">
        <f t="shared" si="962"/>
        <v>-626.15132687752669</v>
      </c>
      <c r="T211">
        <f t="shared" si="963"/>
        <v>-0.62615132687752673</v>
      </c>
    </row>
    <row r="212" spans="1:20" x14ac:dyDescent="0.25">
      <c r="A212" s="5">
        <v>44381</v>
      </c>
      <c r="B212">
        <v>0.12778999999999999</v>
      </c>
      <c r="C212">
        <v>0.13686000000000001</v>
      </c>
      <c r="D212">
        <v>0.1229</v>
      </c>
      <c r="E212">
        <v>0.13194</v>
      </c>
      <c r="F212">
        <v>5210744.7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0.29512893982807986</v>
      </c>
      <c r="Q212">
        <f t="shared" si="960"/>
        <v>1537841.5590257861</v>
      </c>
      <c r="R212">
        <f t="shared" si="961"/>
        <v>-60881288.309156582</v>
      </c>
      <c r="S212">
        <f t="shared" si="962"/>
        <v>-608.81288309156582</v>
      </c>
      <c r="T212">
        <f t="shared" si="963"/>
        <v>-0.60881288309156578</v>
      </c>
    </row>
    <row r="213" spans="1:20" x14ac:dyDescent="0.25">
      <c r="A213" s="5">
        <v>44380</v>
      </c>
      <c r="B213">
        <v>0.13294</v>
      </c>
      <c r="C213">
        <v>0.13997999999999999</v>
      </c>
      <c r="D213">
        <v>0.12117</v>
      </c>
      <c r="E213">
        <v>0.12801000000000001</v>
      </c>
      <c r="F213">
        <v>22917447.899999999</v>
      </c>
      <c r="G213">
        <v>0</v>
      </c>
      <c r="L213" t="s">
        <v>7</v>
      </c>
      <c r="M213" t="s">
        <v>7</v>
      </c>
      <c r="N213" t="s">
        <v>8</v>
      </c>
      <c r="P213">
        <f t="shared" si="959"/>
        <v>-0.2727272727272711</v>
      </c>
      <c r="Q213">
        <f t="shared" si="960"/>
        <v>-6250213.0636363262</v>
      </c>
      <c r="R213">
        <f t="shared" si="961"/>
        <v>-62419129.868182369</v>
      </c>
      <c r="S213">
        <f t="shared" si="962"/>
        <v>-624.1912986818237</v>
      </c>
      <c r="T213">
        <f t="shared" si="963"/>
        <v>-0.62419129868182366</v>
      </c>
    </row>
    <row r="214" spans="1:20" x14ac:dyDescent="0.25">
      <c r="A214" s="5">
        <v>44379</v>
      </c>
      <c r="B214">
        <v>0.10566</v>
      </c>
      <c r="C214">
        <v>0.1429</v>
      </c>
      <c r="D214">
        <v>0.10424</v>
      </c>
      <c r="E214">
        <v>0.13292000000000001</v>
      </c>
      <c r="F214">
        <v>30081524.800000001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0.48370408691153705</v>
      </c>
      <c r="Q214">
        <f t="shared" si="960"/>
        <v>14550556.486290757</v>
      </c>
      <c r="R214">
        <f t="shared" si="961"/>
        <v>-56168916.804546043</v>
      </c>
      <c r="S214">
        <f t="shared" si="962"/>
        <v>-561.68916804546041</v>
      </c>
      <c r="T214">
        <f t="shared" si="963"/>
        <v>-0.56168916804546043</v>
      </c>
    </row>
    <row r="215" spans="1:20" x14ac:dyDescent="0.25">
      <c r="A215" s="5">
        <v>44378</v>
      </c>
      <c r="B215">
        <v>0.11151999999999999</v>
      </c>
      <c r="C215">
        <v>0.11217000000000001</v>
      </c>
      <c r="D215">
        <v>0.10199999999999999</v>
      </c>
      <c r="E215">
        <v>0.10496999999999999</v>
      </c>
      <c r="F215">
        <v>1763976.9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-0.41592920353982366</v>
      </c>
      <c r="Q215">
        <f t="shared" si="960"/>
        <v>-733689.50707964716</v>
      </c>
      <c r="R215">
        <f t="shared" si="961"/>
        <v>-70719473.290836796</v>
      </c>
      <c r="S215">
        <f t="shared" si="962"/>
        <v>-707.194732908368</v>
      </c>
      <c r="T215">
        <f t="shared" si="963"/>
        <v>-0.70719473290836798</v>
      </c>
    </row>
    <row r="216" spans="1:20" x14ac:dyDescent="0.25">
      <c r="A216" s="5">
        <v>44377</v>
      </c>
      <c r="B216">
        <v>0.11436</v>
      </c>
      <c r="C216">
        <v>0.11436</v>
      </c>
      <c r="D216">
        <v>0.105</v>
      </c>
      <c r="E216">
        <v>0.11158999999999999</v>
      </c>
      <c r="F216">
        <v>2249280.4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0.40811965811965673</v>
      </c>
      <c r="Q216">
        <f t="shared" si="960"/>
        <v>917975.54786324466</v>
      </c>
      <c r="R216">
        <f t="shared" si="961"/>
        <v>-69985783.78375715</v>
      </c>
      <c r="S216">
        <f t="shared" si="962"/>
        <v>-699.85783783757154</v>
      </c>
      <c r="T216">
        <f t="shared" si="963"/>
        <v>-0.69985783783757149</v>
      </c>
    </row>
    <row r="217" spans="1:20" x14ac:dyDescent="0.25">
      <c r="A217" s="5">
        <v>44376</v>
      </c>
      <c r="B217">
        <v>0.11166</v>
      </c>
      <c r="C217">
        <v>0.11703</v>
      </c>
      <c r="D217">
        <v>0.10725</v>
      </c>
      <c r="E217">
        <v>0.11458</v>
      </c>
      <c r="F217">
        <v>4319283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0.49897750511247552</v>
      </c>
      <c r="Q217">
        <f t="shared" si="960"/>
        <v>2155225.0552147287</v>
      </c>
      <c r="R217">
        <f t="shared" si="961"/>
        <v>-70903759.331620395</v>
      </c>
      <c r="S217">
        <f t="shared" si="962"/>
        <v>-709.03759331620392</v>
      </c>
      <c r="T217">
        <f t="shared" si="963"/>
        <v>-0.70903759331620397</v>
      </c>
    </row>
    <row r="218" spans="1:20" x14ac:dyDescent="0.25">
      <c r="A218" s="5">
        <v>44375</v>
      </c>
      <c r="B218">
        <v>0.10875</v>
      </c>
      <c r="C218">
        <v>0.11521000000000001</v>
      </c>
      <c r="D218">
        <v>0.10124</v>
      </c>
      <c r="E218">
        <v>0.11099000000000001</v>
      </c>
      <c r="F218">
        <v>7254969.5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0.39584824624194725</v>
      </c>
      <c r="Q218">
        <f t="shared" si="960"/>
        <v>2871866.9531138171</v>
      </c>
      <c r="R218">
        <f t="shared" si="961"/>
        <v>-73058984.386835128</v>
      </c>
      <c r="S218">
        <f t="shared" si="962"/>
        <v>-730.58984386835129</v>
      </c>
      <c r="T218">
        <f t="shared" si="963"/>
        <v>-0.73058984386835124</v>
      </c>
    </row>
    <row r="219" spans="1:20" x14ac:dyDescent="0.25">
      <c r="A219" s="5">
        <v>44374</v>
      </c>
      <c r="B219">
        <v>0.11193</v>
      </c>
      <c r="C219">
        <v>0.11524</v>
      </c>
      <c r="D219">
        <v>0.10084</v>
      </c>
      <c r="E219">
        <v>0.10842</v>
      </c>
      <c r="F219">
        <v>3871436.1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5.2777777777778534E-2</v>
      </c>
      <c r="Q219">
        <f t="shared" si="960"/>
        <v>204325.7941666696</v>
      </c>
      <c r="R219">
        <f t="shared" si="961"/>
        <v>-75930851.339948952</v>
      </c>
      <c r="S219">
        <f t="shared" si="962"/>
        <v>-759.30851339948947</v>
      </c>
      <c r="T219">
        <f t="shared" si="963"/>
        <v>-0.75930851339948946</v>
      </c>
    </row>
    <row r="220" spans="1:20" x14ac:dyDescent="0.25">
      <c r="A220" s="5">
        <v>44373</v>
      </c>
      <c r="B220">
        <v>0.10958</v>
      </c>
      <c r="C220">
        <v>0.11294</v>
      </c>
      <c r="D220">
        <v>0.10123</v>
      </c>
      <c r="E220">
        <v>0.11192000000000001</v>
      </c>
      <c r="F220">
        <v>2354995.7000000002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0.82578992314261435</v>
      </c>
      <c r="Q220">
        <f t="shared" si="960"/>
        <v>1944731.7181041874</v>
      </c>
      <c r="R220">
        <f t="shared" si="961"/>
        <v>-76135177.134115621</v>
      </c>
      <c r="S220">
        <f t="shared" si="962"/>
        <v>-761.35177134115622</v>
      </c>
      <c r="T220">
        <f t="shared" si="963"/>
        <v>-0.76135177134115617</v>
      </c>
    </row>
    <row r="221" spans="1:20" x14ac:dyDescent="0.25">
      <c r="A221" s="5">
        <v>44372</v>
      </c>
      <c r="B221">
        <v>0.12822</v>
      </c>
      <c r="C221">
        <v>0.13200000000000001</v>
      </c>
      <c r="D221">
        <v>0.108</v>
      </c>
      <c r="E221">
        <v>0.10959000000000001</v>
      </c>
      <c r="F221">
        <v>2139969.5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-0.86749999999999938</v>
      </c>
      <c r="Q221">
        <f t="shared" si="960"/>
        <v>-1856423.5412499986</v>
      </c>
      <c r="R221">
        <f t="shared" si="961"/>
        <v>-78079908.852219805</v>
      </c>
      <c r="S221">
        <f t="shared" si="962"/>
        <v>-780.79908852219808</v>
      </c>
      <c r="T221">
        <f t="shared" si="963"/>
        <v>-0.78079908852219804</v>
      </c>
    </row>
    <row r="222" spans="1:20" x14ac:dyDescent="0.25">
      <c r="A222" s="5">
        <v>44371</v>
      </c>
      <c r="B222">
        <v>0.12640999999999999</v>
      </c>
      <c r="C222">
        <v>0.13674</v>
      </c>
      <c r="D222">
        <v>0.12296</v>
      </c>
      <c r="E222">
        <v>0.12789</v>
      </c>
      <c r="F222">
        <v>3443528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-0.28447024673439714</v>
      </c>
      <c r="Q222">
        <f t="shared" si="960"/>
        <v>-979581.2597968051</v>
      </c>
      <c r="R222">
        <f t="shared" si="961"/>
        <v>-76223485.3109698</v>
      </c>
      <c r="S222">
        <f t="shared" si="962"/>
        <v>-762.23485310969795</v>
      </c>
      <c r="T222">
        <f t="shared" si="963"/>
        <v>-0.76223485310969796</v>
      </c>
    </row>
    <row r="223" spans="1:20" x14ac:dyDescent="0.25">
      <c r="A223" s="5">
        <v>44370</v>
      </c>
      <c r="B223">
        <v>0.11266</v>
      </c>
      <c r="C223">
        <v>0.13306999999999999</v>
      </c>
      <c r="D223">
        <v>0.11065999999999999</v>
      </c>
      <c r="E223">
        <v>0.12645999999999999</v>
      </c>
      <c r="F223">
        <v>4271613.5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0.41008478357875905</v>
      </c>
      <c r="Q223">
        <f t="shared" si="960"/>
        <v>1751723.6976796056</v>
      </c>
      <c r="R223">
        <f t="shared" si="961"/>
        <v>-75243904.051173002</v>
      </c>
      <c r="S223">
        <f t="shared" si="962"/>
        <v>-752.43904051173001</v>
      </c>
      <c r="T223">
        <f t="shared" si="963"/>
        <v>-0.75243904051173005</v>
      </c>
    </row>
    <row r="224" spans="1:20" x14ac:dyDescent="0.25">
      <c r="A224" s="5">
        <v>44369</v>
      </c>
      <c r="B224">
        <v>0.10917</v>
      </c>
      <c r="C224">
        <v>0.13</v>
      </c>
      <c r="D224">
        <v>9.7489999999999993E-2</v>
      </c>
      <c r="E224">
        <v>0.11097</v>
      </c>
      <c r="F224">
        <v>10391258.699999999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-0.17071670255306051</v>
      </c>
      <c r="Q224">
        <f t="shared" si="960"/>
        <v>-1773961.4206398022</v>
      </c>
      <c r="R224">
        <f t="shared" si="961"/>
        <v>-76995627.748852611</v>
      </c>
      <c r="S224">
        <f t="shared" si="962"/>
        <v>-769.9562774885261</v>
      </c>
      <c r="T224">
        <f t="shared" si="963"/>
        <v>-0.76995627748852613</v>
      </c>
    </row>
    <row r="225" spans="1:20" x14ac:dyDescent="0.25">
      <c r="A225" s="5">
        <v>44368</v>
      </c>
      <c r="B225">
        <v>0.14247000000000001</v>
      </c>
      <c r="C225">
        <v>0.14280999999999999</v>
      </c>
      <c r="D225">
        <v>0.10843</v>
      </c>
      <c r="E225">
        <v>0.11062</v>
      </c>
      <c r="F225">
        <v>2099989.9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-0.87260034904013972</v>
      </c>
      <c r="Q225">
        <f t="shared" si="960"/>
        <v>-1832451.919720768</v>
      </c>
      <c r="R225">
        <f t="shared" si="961"/>
        <v>-75221666.328212813</v>
      </c>
      <c r="S225">
        <f t="shared" si="962"/>
        <v>-752.21666328212814</v>
      </c>
      <c r="T225">
        <f t="shared" si="963"/>
        <v>-0.75221666328212811</v>
      </c>
    </row>
    <row r="226" spans="1:20" x14ac:dyDescent="0.25">
      <c r="A226" s="5">
        <v>44367</v>
      </c>
      <c r="B226">
        <v>0.1394</v>
      </c>
      <c r="C226">
        <v>0.14480000000000001</v>
      </c>
      <c r="D226">
        <v>0.13</v>
      </c>
      <c r="E226">
        <v>0.14280000000000001</v>
      </c>
      <c r="F226">
        <v>2219353.4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0.7297297297297296</v>
      </c>
      <c r="Q226">
        <f t="shared" si="960"/>
        <v>1619528.1567567564</v>
      </c>
      <c r="R226">
        <f t="shared" si="961"/>
        <v>-73389214.408492044</v>
      </c>
      <c r="S226">
        <f t="shared" si="962"/>
        <v>-733.89214408492046</v>
      </c>
      <c r="T226">
        <f t="shared" si="963"/>
        <v>-0.73389214408492043</v>
      </c>
    </row>
    <row r="227" spans="1:20" x14ac:dyDescent="0.25">
      <c r="A227" s="5">
        <v>44366</v>
      </c>
      <c r="B227">
        <v>0.14105999999999999</v>
      </c>
      <c r="C227">
        <v>0.15298</v>
      </c>
      <c r="D227">
        <v>0.13716999999999999</v>
      </c>
      <c r="E227">
        <v>0.13944000000000001</v>
      </c>
      <c r="F227">
        <v>2742816.6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-0.71283997469955485</v>
      </c>
      <c r="Q227">
        <f t="shared" si="960"/>
        <v>-1955189.315749519</v>
      </c>
      <c r="R227">
        <f t="shared" si="961"/>
        <v>-75008742.565248802</v>
      </c>
      <c r="S227">
        <f t="shared" si="962"/>
        <v>-750.08742565248804</v>
      </c>
      <c r="T227">
        <f t="shared" si="963"/>
        <v>-0.75008742565248798</v>
      </c>
    </row>
    <row r="228" spans="1:20" x14ac:dyDescent="0.25">
      <c r="A228" s="5">
        <v>44365</v>
      </c>
      <c r="B228">
        <v>0.15801999999999999</v>
      </c>
      <c r="C228">
        <v>0.16134999999999999</v>
      </c>
      <c r="D228">
        <v>0.13802</v>
      </c>
      <c r="E228">
        <v>0.14082</v>
      </c>
      <c r="F228">
        <v>3424305.7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-0.75996570938705543</v>
      </c>
      <c r="Q228">
        <f t="shared" si="960"/>
        <v>-2602354.9104586374</v>
      </c>
      <c r="R228">
        <f t="shared" si="961"/>
        <v>-73053553.249499276</v>
      </c>
      <c r="S228">
        <f t="shared" si="962"/>
        <v>-730.53553249499271</v>
      </c>
      <c r="T228">
        <f t="shared" si="963"/>
        <v>-0.7305355324949927</v>
      </c>
    </row>
    <row r="229" spans="1:20" x14ac:dyDescent="0.25">
      <c r="A229" s="5">
        <v>44364</v>
      </c>
      <c r="B229">
        <v>0.15991</v>
      </c>
      <c r="C229">
        <v>0.17</v>
      </c>
      <c r="D229">
        <v>0.15620000000000001</v>
      </c>
      <c r="E229">
        <v>0.15794</v>
      </c>
      <c r="F229">
        <v>1319761.8999999999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-0.74782608695652308</v>
      </c>
      <c r="Q229">
        <f t="shared" si="960"/>
        <v>-986952.3773913061</v>
      </c>
      <c r="R229">
        <f t="shared" si="961"/>
        <v>-70451198.339040637</v>
      </c>
      <c r="S229">
        <f t="shared" si="962"/>
        <v>-704.51198339040639</v>
      </c>
      <c r="T229">
        <f t="shared" si="963"/>
        <v>-0.70451198339040644</v>
      </c>
    </row>
    <row r="230" spans="1:20" x14ac:dyDescent="0.25">
      <c r="A230" s="5">
        <v>44363</v>
      </c>
      <c r="B230">
        <v>0.17348</v>
      </c>
      <c r="C230">
        <v>0.17458000000000001</v>
      </c>
      <c r="D230">
        <v>0.15720999999999999</v>
      </c>
      <c r="E230">
        <v>0.15869</v>
      </c>
      <c r="F230">
        <v>1483429.2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-0.82959124928036765</v>
      </c>
      <c r="Q230">
        <f t="shared" si="960"/>
        <v>-1230639.8832469764</v>
      </c>
      <c r="R230">
        <f t="shared" si="961"/>
        <v>-69464245.961649328</v>
      </c>
      <c r="S230">
        <f t="shared" si="962"/>
        <v>-694.64245961649328</v>
      </c>
      <c r="T230">
        <f t="shared" si="963"/>
        <v>-0.69464245961649329</v>
      </c>
    </row>
    <row r="231" spans="1:20" x14ac:dyDescent="0.25">
      <c r="A231" s="5">
        <v>44362</v>
      </c>
      <c r="B231">
        <v>0.18801000000000001</v>
      </c>
      <c r="C231">
        <v>0.19198999999999999</v>
      </c>
      <c r="D231">
        <v>0.17000999999999999</v>
      </c>
      <c r="E231">
        <v>0.17468</v>
      </c>
      <c r="F231">
        <v>2342058.9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-0.57506824385805211</v>
      </c>
      <c r="Q231">
        <f t="shared" si="960"/>
        <v>-1346843.6986351211</v>
      </c>
      <c r="R231">
        <f t="shared" si="961"/>
        <v>-68233606.078402355</v>
      </c>
      <c r="S231">
        <f t="shared" si="962"/>
        <v>-682.33606078402352</v>
      </c>
      <c r="T231">
        <f t="shared" si="963"/>
        <v>-0.68233606078402353</v>
      </c>
    </row>
    <row r="232" spans="1:20" x14ac:dyDescent="0.25">
      <c r="A232" s="5">
        <v>44361</v>
      </c>
      <c r="B232">
        <v>0.16300000000000001</v>
      </c>
      <c r="C232">
        <v>0.19500000000000001</v>
      </c>
      <c r="D232">
        <v>0.15631999999999999</v>
      </c>
      <c r="E232">
        <v>0.18806999999999999</v>
      </c>
      <c r="F232">
        <v>6848709.7000000002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0.64167528438469412</v>
      </c>
      <c r="Q232">
        <f t="shared" si="960"/>
        <v>4394647.7444157135</v>
      </c>
      <c r="R232">
        <f t="shared" si="961"/>
        <v>-66886762.379767239</v>
      </c>
      <c r="S232">
        <f t="shared" si="962"/>
        <v>-668.86762379767242</v>
      </c>
      <c r="T232">
        <f t="shared" si="963"/>
        <v>-0.66886762379767239</v>
      </c>
    </row>
    <row r="233" spans="1:20" x14ac:dyDescent="0.25">
      <c r="A233" s="5">
        <v>44360</v>
      </c>
      <c r="B233">
        <v>0.15437999999999999</v>
      </c>
      <c r="C233">
        <v>0.17044000000000001</v>
      </c>
      <c r="D233">
        <v>0.14785999999999999</v>
      </c>
      <c r="E233">
        <v>0.16200000000000001</v>
      </c>
      <c r="F233">
        <v>1274999.1000000001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0.25243578387953969</v>
      </c>
      <c r="Q233">
        <f t="shared" si="960"/>
        <v>321855.39725420764</v>
      </c>
      <c r="R233">
        <f t="shared" si="961"/>
        <v>-71281410.124182954</v>
      </c>
      <c r="S233">
        <f t="shared" si="962"/>
        <v>-712.81410124182958</v>
      </c>
      <c r="T233">
        <f t="shared" si="963"/>
        <v>-0.71281410124182953</v>
      </c>
    </row>
    <row r="234" spans="1:20" x14ac:dyDescent="0.25">
      <c r="A234" s="5">
        <v>44359</v>
      </c>
      <c r="B234">
        <v>0.16</v>
      </c>
      <c r="C234">
        <v>0.16</v>
      </c>
      <c r="D234">
        <v>0.1444</v>
      </c>
      <c r="E234">
        <v>0.15695999999999999</v>
      </c>
      <c r="F234">
        <v>1320924.3999999999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0.61025641025640842</v>
      </c>
      <c r="Q234">
        <f t="shared" si="960"/>
        <v>806102.58256410004</v>
      </c>
      <c r="R234">
        <f t="shared" si="961"/>
        <v>-71603265.521437168</v>
      </c>
      <c r="S234">
        <f t="shared" si="962"/>
        <v>-716.03265521437163</v>
      </c>
      <c r="T234">
        <f t="shared" si="963"/>
        <v>-0.71603265521437165</v>
      </c>
    </row>
    <row r="235" spans="1:20" x14ac:dyDescent="0.25">
      <c r="A235" s="5">
        <v>44358</v>
      </c>
      <c r="B235">
        <v>0.17601</v>
      </c>
      <c r="C235">
        <v>0.18151999999999999</v>
      </c>
      <c r="D235">
        <v>0.156</v>
      </c>
      <c r="E235">
        <v>0.16037000000000001</v>
      </c>
      <c r="F235">
        <v>3490652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-0.65752351097178563</v>
      </c>
      <c r="Q235">
        <f t="shared" si="960"/>
        <v>-2295185.7586206854</v>
      </c>
      <c r="R235">
        <f t="shared" si="961"/>
        <v>-72409368.104001269</v>
      </c>
      <c r="S235">
        <f t="shared" si="962"/>
        <v>-724.09368104001271</v>
      </c>
      <c r="T235">
        <f t="shared" si="963"/>
        <v>-0.7240936810400127</v>
      </c>
    </row>
    <row r="236" spans="1:20" x14ac:dyDescent="0.25">
      <c r="A236" s="5">
        <v>44357</v>
      </c>
      <c r="B236">
        <v>0.193</v>
      </c>
      <c r="C236">
        <v>0.19786999999999999</v>
      </c>
      <c r="D236">
        <v>0.17230000000000001</v>
      </c>
      <c r="E236">
        <v>0.17693</v>
      </c>
      <c r="F236">
        <v>1409651.6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-0.63785686351192816</v>
      </c>
      <c r="Q236">
        <f t="shared" si="960"/>
        <v>-899155.94822057127</v>
      </c>
      <c r="R236">
        <f t="shared" si="961"/>
        <v>-70114182.345380589</v>
      </c>
      <c r="S236">
        <f t="shared" si="962"/>
        <v>-701.14182345380584</v>
      </c>
      <c r="T236">
        <f t="shared" si="963"/>
        <v>-0.70114182345380582</v>
      </c>
    </row>
    <row r="237" spans="1:20" x14ac:dyDescent="0.25">
      <c r="A237" s="5">
        <v>44356</v>
      </c>
      <c r="B237">
        <v>0.17677000000000001</v>
      </c>
      <c r="C237">
        <v>0.19691</v>
      </c>
      <c r="D237">
        <v>0.16735</v>
      </c>
      <c r="E237">
        <v>0.193</v>
      </c>
      <c r="F237">
        <v>1146656.2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0.73545331529093394</v>
      </c>
      <c r="Q237">
        <f t="shared" si="960"/>
        <v>843312.10378890415</v>
      </c>
      <c r="R237">
        <f t="shared" si="961"/>
        <v>-69215026.397160023</v>
      </c>
      <c r="S237">
        <f t="shared" si="962"/>
        <v>-692.15026397160022</v>
      </c>
      <c r="T237">
        <f t="shared" si="963"/>
        <v>-0.69215026397160018</v>
      </c>
    </row>
    <row r="238" spans="1:20" x14ac:dyDescent="0.25">
      <c r="A238" s="5">
        <v>44355</v>
      </c>
      <c r="B238">
        <v>0.18207000000000001</v>
      </c>
      <c r="C238">
        <v>0.18404999999999999</v>
      </c>
      <c r="D238">
        <v>0.15623999999999999</v>
      </c>
      <c r="E238">
        <v>0.17693</v>
      </c>
      <c r="F238">
        <v>2211675.7000000002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0.48795397339086755</v>
      </c>
      <c r="Q238">
        <f t="shared" si="960"/>
        <v>1079195.9456670284</v>
      </c>
      <c r="R238">
        <f t="shared" si="961"/>
        <v>-70058338.500948921</v>
      </c>
      <c r="S238">
        <f t="shared" si="962"/>
        <v>-700.58338500948923</v>
      </c>
      <c r="T238">
        <f t="shared" si="963"/>
        <v>-0.70058338500948925</v>
      </c>
    </row>
    <row r="239" spans="1:20" x14ac:dyDescent="0.25">
      <c r="A239" s="5">
        <v>44354</v>
      </c>
      <c r="B239">
        <v>0.20644999999999999</v>
      </c>
      <c r="C239">
        <v>0.21410000000000001</v>
      </c>
      <c r="D239">
        <v>0.17856</v>
      </c>
      <c r="E239">
        <v>0.18134</v>
      </c>
      <c r="F239">
        <v>1326037.7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-0.84355655599324686</v>
      </c>
      <c r="Q239">
        <f t="shared" si="960"/>
        <v>-1118587.7953292062</v>
      </c>
      <c r="R239">
        <f t="shared" si="961"/>
        <v>-71137534.446615949</v>
      </c>
      <c r="S239">
        <f t="shared" si="962"/>
        <v>-711.3753444661595</v>
      </c>
      <c r="T239">
        <f t="shared" si="963"/>
        <v>-0.71137534446615946</v>
      </c>
    </row>
    <row r="240" spans="1:20" x14ac:dyDescent="0.25">
      <c r="A240" s="5">
        <v>44353</v>
      </c>
      <c r="B240">
        <v>0.20091000000000001</v>
      </c>
      <c r="C240">
        <v>0.20851</v>
      </c>
      <c r="D240">
        <v>0.19528999999999999</v>
      </c>
      <c r="E240">
        <v>0.20535999999999999</v>
      </c>
      <c r="F240">
        <v>2334397.7000000002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0.52344931921331139</v>
      </c>
      <c r="Q240">
        <f t="shared" si="960"/>
        <v>1221938.8868381199</v>
      </c>
      <c r="R240">
        <f t="shared" si="961"/>
        <v>-70018946.651286736</v>
      </c>
      <c r="S240">
        <f t="shared" si="962"/>
        <v>-700.1894665128674</v>
      </c>
      <c r="T240">
        <f t="shared" si="963"/>
        <v>-0.7001894665128674</v>
      </c>
    </row>
    <row r="241" spans="1:20" x14ac:dyDescent="0.25">
      <c r="A241" s="5">
        <v>44352</v>
      </c>
      <c r="B241">
        <v>0.20535999999999999</v>
      </c>
      <c r="C241">
        <v>0.23</v>
      </c>
      <c r="D241">
        <v>0.19528000000000001</v>
      </c>
      <c r="E241">
        <v>0.20089000000000001</v>
      </c>
      <c r="F241">
        <v>1619543.3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-0.67684331797234998</v>
      </c>
      <c r="Q241">
        <f t="shared" si="960"/>
        <v>-1096177.0607718891</v>
      </c>
      <c r="R241">
        <f t="shared" si="961"/>
        <v>-71240885.538124859</v>
      </c>
      <c r="S241">
        <f t="shared" si="962"/>
        <v>-712.4088553812486</v>
      </c>
      <c r="T241">
        <f t="shared" si="963"/>
        <v>-0.71240885538124865</v>
      </c>
    </row>
    <row r="242" spans="1:20" x14ac:dyDescent="0.25">
      <c r="A242" s="5">
        <v>44351</v>
      </c>
      <c r="B242">
        <v>0.23235</v>
      </c>
      <c r="C242">
        <v>0.23547000000000001</v>
      </c>
      <c r="D242">
        <v>0.2</v>
      </c>
      <c r="E242">
        <v>0.20382</v>
      </c>
      <c r="F242">
        <v>2134708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-0.78460670989568704</v>
      </c>
      <c r="Q242">
        <f t="shared" si="960"/>
        <v>-1674906.2204680024</v>
      </c>
      <c r="R242">
        <f t="shared" si="961"/>
        <v>-70144708.477352977</v>
      </c>
      <c r="S242">
        <f t="shared" si="962"/>
        <v>-701.44708477352981</v>
      </c>
      <c r="T242">
        <f t="shared" si="963"/>
        <v>-0.70144708477352979</v>
      </c>
    </row>
    <row r="243" spans="1:20" x14ac:dyDescent="0.25">
      <c r="A243" s="5">
        <v>44350</v>
      </c>
      <c r="B243">
        <v>0.22755</v>
      </c>
      <c r="C243">
        <v>0.24249000000000001</v>
      </c>
      <c r="D243">
        <v>0.22361</v>
      </c>
      <c r="E243">
        <v>0.23235</v>
      </c>
      <c r="F243">
        <v>1567671.1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-7.4152542372881977E-2</v>
      </c>
      <c r="Q243">
        <f t="shared" si="960"/>
        <v>-116246.7976694925</v>
      </c>
      <c r="R243">
        <f t="shared" si="961"/>
        <v>-68469802.256884977</v>
      </c>
      <c r="S243">
        <f t="shared" si="962"/>
        <v>-684.69802256884975</v>
      </c>
      <c r="T243">
        <f t="shared" si="963"/>
        <v>-0.68469802256884971</v>
      </c>
    </row>
    <row r="244" spans="1:20" x14ac:dyDescent="0.25">
      <c r="A244" s="5">
        <v>44349</v>
      </c>
      <c r="B244">
        <v>0.22622999999999999</v>
      </c>
      <c r="C244">
        <v>0.24</v>
      </c>
      <c r="D244">
        <v>0.22081000000000001</v>
      </c>
      <c r="E244">
        <v>0.22931000000000001</v>
      </c>
      <c r="F244">
        <v>1252826.2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-0.11412193850963895</v>
      </c>
      <c r="Q244">
        <f t="shared" si="960"/>
        <v>-142974.95455966462</v>
      </c>
      <c r="R244">
        <f t="shared" si="961"/>
        <v>-68353555.459215492</v>
      </c>
      <c r="S244">
        <f t="shared" si="962"/>
        <v>-683.53555459215488</v>
      </c>
      <c r="T244">
        <f t="shared" si="963"/>
        <v>-0.68353555459215487</v>
      </c>
    </row>
    <row r="245" spans="1:20" x14ac:dyDescent="0.25">
      <c r="A245" s="5">
        <v>44348</v>
      </c>
      <c r="B245">
        <v>0.23382</v>
      </c>
      <c r="C245">
        <v>0.245</v>
      </c>
      <c r="D245">
        <v>0.21407999999999999</v>
      </c>
      <c r="E245">
        <v>0.22863</v>
      </c>
      <c r="F245">
        <v>1321845.7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-5.8861578266493797E-2</v>
      </c>
      <c r="Q245">
        <f t="shared" si="960"/>
        <v>-77805.924126778278</v>
      </c>
      <c r="R245">
        <f t="shared" si="961"/>
        <v>-68210580.504655823</v>
      </c>
      <c r="S245">
        <f t="shared" si="962"/>
        <v>-682.1058050465582</v>
      </c>
      <c r="T245">
        <f t="shared" si="963"/>
        <v>-0.68210580504655816</v>
      </c>
    </row>
    <row r="246" spans="1:20" x14ac:dyDescent="0.25">
      <c r="A246" s="5">
        <v>44347</v>
      </c>
      <c r="B246">
        <v>0.22201000000000001</v>
      </c>
      <c r="C246">
        <v>0.25498999999999999</v>
      </c>
      <c r="D246">
        <v>0.20351</v>
      </c>
      <c r="E246">
        <v>0.23382</v>
      </c>
      <c r="F246">
        <v>1341037.8999999999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0.17754467754467773</v>
      </c>
      <c r="Q246">
        <f t="shared" si="960"/>
        <v>238094.14153069176</v>
      </c>
      <c r="R246">
        <f t="shared" si="961"/>
        <v>-68132774.580529049</v>
      </c>
      <c r="S246">
        <f t="shared" si="962"/>
        <v>-681.32774580529053</v>
      </c>
      <c r="T246">
        <f t="shared" si="963"/>
        <v>-0.68132774580529054</v>
      </c>
    </row>
    <row r="247" spans="1:20" x14ac:dyDescent="0.25">
      <c r="A247" s="5">
        <v>44346</v>
      </c>
      <c r="B247">
        <v>0.21315999999999999</v>
      </c>
      <c r="C247">
        <v>0.23787</v>
      </c>
      <c r="D247">
        <v>0.20055999999999999</v>
      </c>
      <c r="E247">
        <v>0.22331999999999999</v>
      </c>
      <c r="F247">
        <v>1315424.1000000001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0.22004824443848814</v>
      </c>
      <c r="Q247">
        <f t="shared" si="960"/>
        <v>289456.76389707829</v>
      </c>
      <c r="R247">
        <f t="shared" si="961"/>
        <v>-68370868.722059742</v>
      </c>
      <c r="S247">
        <f t="shared" si="962"/>
        <v>-683.70868722059743</v>
      </c>
      <c r="T247">
        <f t="shared" si="963"/>
        <v>-0.68370868722059741</v>
      </c>
    </row>
    <row r="248" spans="1:20" x14ac:dyDescent="0.25">
      <c r="A248" s="5">
        <v>44345</v>
      </c>
      <c r="B248">
        <v>0.22688</v>
      </c>
      <c r="C248">
        <v>0.24984999999999999</v>
      </c>
      <c r="D248">
        <v>0.19972999999999999</v>
      </c>
      <c r="E248">
        <v>0.21554999999999999</v>
      </c>
      <c r="F248">
        <v>2468078.1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-0.36871508379888263</v>
      </c>
      <c r="Q248">
        <f t="shared" si="960"/>
        <v>-910017.62346368702</v>
      </c>
      <c r="R248">
        <f t="shared" si="961"/>
        <v>-68660325.485956818</v>
      </c>
      <c r="S248">
        <f t="shared" si="962"/>
        <v>-686.60325485956821</v>
      </c>
      <c r="T248">
        <f t="shared" si="963"/>
        <v>-0.68660325485956819</v>
      </c>
    </row>
    <row r="249" spans="1:20" x14ac:dyDescent="0.25">
      <c r="A249" s="5">
        <v>44344</v>
      </c>
      <c r="B249">
        <v>0.26053999999999999</v>
      </c>
      <c r="C249">
        <v>0.26578000000000002</v>
      </c>
      <c r="D249">
        <v>0.20116000000000001</v>
      </c>
      <c r="E249">
        <v>0.22689000000000001</v>
      </c>
      <c r="F249">
        <v>3244583.3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-0.20365212008666053</v>
      </c>
      <c r="Q249">
        <f t="shared" si="960"/>
        <v>-660766.26784277323</v>
      </c>
      <c r="R249">
        <f t="shared" si="961"/>
        <v>-67750307.862493128</v>
      </c>
      <c r="S249">
        <f t="shared" si="962"/>
        <v>-677.50307862493128</v>
      </c>
      <c r="T249">
        <f t="shared" si="963"/>
        <v>-0.67750307862493131</v>
      </c>
    </row>
    <row r="250" spans="1:20" x14ac:dyDescent="0.25">
      <c r="A250" s="5">
        <v>44343</v>
      </c>
      <c r="B250">
        <v>0.24887999999999999</v>
      </c>
      <c r="C250">
        <v>0.27</v>
      </c>
      <c r="D250">
        <v>0.22022</v>
      </c>
      <c r="E250">
        <v>0.26047999999999999</v>
      </c>
      <c r="F250">
        <v>2869066.2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0.61751707513057352</v>
      </c>
      <c r="Q250">
        <f t="shared" si="960"/>
        <v>1771697.3681799893</v>
      </c>
      <c r="R250">
        <f t="shared" si="961"/>
        <v>-67089541.594650358</v>
      </c>
      <c r="S250">
        <f t="shared" si="962"/>
        <v>-670.89541594650359</v>
      </c>
      <c r="T250">
        <f t="shared" si="963"/>
        <v>-0.67089541594650359</v>
      </c>
    </row>
    <row r="251" spans="1:20" x14ac:dyDescent="0.25">
      <c r="A251" s="5">
        <v>44342</v>
      </c>
      <c r="B251">
        <v>0.20580000000000001</v>
      </c>
      <c r="C251">
        <v>0.25685000000000002</v>
      </c>
      <c r="D251">
        <v>0.20443</v>
      </c>
      <c r="E251">
        <v>0.24753</v>
      </c>
      <c r="F251">
        <v>2573687.1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0.64441053033193363</v>
      </c>
      <c r="Q251">
        <f t="shared" si="960"/>
        <v>1658511.0690194564</v>
      </c>
      <c r="R251">
        <f t="shared" si="961"/>
        <v>-68861238.96283035</v>
      </c>
      <c r="S251">
        <f t="shared" si="962"/>
        <v>-688.6123896283035</v>
      </c>
      <c r="T251">
        <f t="shared" si="963"/>
        <v>-0.68861238962830351</v>
      </c>
    </row>
    <row r="252" spans="1:20" x14ac:dyDescent="0.25">
      <c r="A252" s="5">
        <v>44341</v>
      </c>
      <c r="B252">
        <v>0.20396</v>
      </c>
      <c r="C252">
        <v>0.21923000000000001</v>
      </c>
      <c r="D252">
        <v>0.19267000000000001</v>
      </c>
      <c r="E252">
        <v>0.20580000000000001</v>
      </c>
      <c r="F252">
        <v>1514926.6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-1.1295180722891367E-2</v>
      </c>
      <c r="Q252">
        <f t="shared" si="960"/>
        <v>-17111.369728915361</v>
      </c>
      <c r="R252">
        <f t="shared" si="961"/>
        <v>-70519750.031849802</v>
      </c>
      <c r="S252">
        <f t="shared" si="962"/>
        <v>-705.19750031849799</v>
      </c>
      <c r="T252">
        <f t="shared" si="963"/>
        <v>-0.70519750031849804</v>
      </c>
    </row>
    <row r="253" spans="1:20" x14ac:dyDescent="0.25">
      <c r="A253" s="5">
        <v>44340</v>
      </c>
      <c r="B253">
        <v>0.16091</v>
      </c>
      <c r="C253">
        <v>0.21942</v>
      </c>
      <c r="D253">
        <v>0.15192</v>
      </c>
      <c r="E253">
        <v>0.20108000000000001</v>
      </c>
      <c r="F253">
        <v>3357884.6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0.45659259259259277</v>
      </c>
      <c r="Q253">
        <f t="shared" si="960"/>
        <v>1533185.2351407413</v>
      </c>
      <c r="R253">
        <f t="shared" si="961"/>
        <v>-70502638.662120894</v>
      </c>
      <c r="S253">
        <f t="shared" si="962"/>
        <v>-705.02638662120899</v>
      </c>
      <c r="T253">
        <f t="shared" si="963"/>
        <v>-0.70502638662120898</v>
      </c>
    </row>
    <row r="254" spans="1:20" x14ac:dyDescent="0.25">
      <c r="A254" s="5">
        <v>44339</v>
      </c>
      <c r="B254">
        <v>0.17707999999999999</v>
      </c>
      <c r="C254">
        <v>0.18406</v>
      </c>
      <c r="D254">
        <v>0.12867000000000001</v>
      </c>
      <c r="E254">
        <v>0.158</v>
      </c>
      <c r="F254">
        <v>3170276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5.9035927062646605E-2</v>
      </c>
      <c r="Q254">
        <f t="shared" si="960"/>
        <v>187160.18270445903</v>
      </c>
      <c r="R254">
        <f t="shared" si="961"/>
        <v>-72035823.897261634</v>
      </c>
      <c r="S254">
        <f t="shared" si="962"/>
        <v>-720.35823897261639</v>
      </c>
      <c r="T254">
        <f t="shared" si="963"/>
        <v>-0.72035823897261642</v>
      </c>
    </row>
    <row r="255" spans="1:20" x14ac:dyDescent="0.25">
      <c r="A255" s="5">
        <v>44338</v>
      </c>
      <c r="B255">
        <v>0.18817</v>
      </c>
      <c r="C255">
        <v>0.19259999999999999</v>
      </c>
      <c r="D255">
        <v>0.16500000000000001</v>
      </c>
      <c r="E255">
        <v>0.17745</v>
      </c>
      <c r="F255">
        <v>1797326.3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-9.7826086956522076E-2</v>
      </c>
      <c r="Q255">
        <f t="shared" si="960"/>
        <v>-175825.39891304408</v>
      </c>
      <c r="R255">
        <f t="shared" si="961"/>
        <v>-72222984.079966098</v>
      </c>
      <c r="S255">
        <f t="shared" si="962"/>
        <v>-722.22984079966102</v>
      </c>
      <c r="T255">
        <f t="shared" si="963"/>
        <v>-0.72222984079966102</v>
      </c>
    </row>
    <row r="256" spans="1:20" x14ac:dyDescent="0.25">
      <c r="A256" s="5">
        <v>44337</v>
      </c>
      <c r="B256">
        <v>0.22735</v>
      </c>
      <c r="C256">
        <v>0.24177999999999999</v>
      </c>
      <c r="D256">
        <v>0.16500000000000001</v>
      </c>
      <c r="E256">
        <v>0.18715999999999999</v>
      </c>
      <c r="F256">
        <v>3045224.4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-0.42276634540244884</v>
      </c>
      <c r="Q256">
        <f t="shared" si="960"/>
        <v>-1287418.390518365</v>
      </c>
      <c r="R256">
        <f t="shared" si="961"/>
        <v>-72047158.681053057</v>
      </c>
      <c r="S256">
        <f t="shared" si="962"/>
        <v>-720.47158681053054</v>
      </c>
      <c r="T256">
        <f t="shared" si="963"/>
        <v>-0.72047158681053058</v>
      </c>
    </row>
    <row r="257" spans="1:20" x14ac:dyDescent="0.25">
      <c r="A257" s="5">
        <v>44336</v>
      </c>
      <c r="B257">
        <v>0.20424</v>
      </c>
      <c r="C257">
        <v>0.24418999999999999</v>
      </c>
      <c r="D257">
        <v>0.18248</v>
      </c>
      <c r="E257">
        <v>0.23230999999999999</v>
      </c>
      <c r="F257">
        <v>2834708.1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0.61497326203208547</v>
      </c>
      <c r="Q257">
        <f t="shared" si="960"/>
        <v>1743269.6871657751</v>
      </c>
      <c r="R257">
        <f t="shared" si="961"/>
        <v>-70759740.29053469</v>
      </c>
      <c r="S257">
        <f t="shared" si="962"/>
        <v>-707.59740290534694</v>
      </c>
      <c r="T257">
        <f t="shared" si="963"/>
        <v>-0.70759740290534689</v>
      </c>
    </row>
    <row r="258" spans="1:20" x14ac:dyDescent="0.25">
      <c r="A258" s="5">
        <v>44335</v>
      </c>
      <c r="B258">
        <v>0.31563000000000002</v>
      </c>
      <c r="C258">
        <v>0.32025999999999999</v>
      </c>
      <c r="D258">
        <v>0.151</v>
      </c>
      <c r="E258">
        <v>0.20613999999999999</v>
      </c>
      <c r="F258">
        <v>7110141.5999999996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-0.34845799361928398</v>
      </c>
      <c r="Q258">
        <f t="shared" si="960"/>
        <v>-2477585.6762850056</v>
      </c>
      <c r="R258">
        <f t="shared" si="961"/>
        <v>-72503009.977700472</v>
      </c>
      <c r="S258">
        <f t="shared" si="962"/>
        <v>-725.03009977700469</v>
      </c>
      <c r="T258">
        <f t="shared" si="963"/>
        <v>-0.72503009977700472</v>
      </c>
    </row>
    <row r="259" spans="1:20" x14ac:dyDescent="0.25">
      <c r="A259" s="5">
        <v>44334</v>
      </c>
      <c r="B259">
        <v>0.30695</v>
      </c>
      <c r="C259">
        <v>0.33</v>
      </c>
      <c r="D259">
        <v>0.30126999999999998</v>
      </c>
      <c r="E259">
        <v>0.31566</v>
      </c>
      <c r="F259">
        <v>1959457.4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1.7403411068567503E-3</v>
      </c>
      <c r="Q259">
        <f t="shared" si="960"/>
        <v>3410.1242603546498</v>
      </c>
      <c r="R259">
        <f t="shared" si="961"/>
        <v>-70025424.301415473</v>
      </c>
      <c r="S259">
        <f t="shared" si="962"/>
        <v>-700.25424301415478</v>
      </c>
      <c r="T259">
        <f t="shared" si="963"/>
        <v>-0.70025424301415473</v>
      </c>
    </row>
    <row r="260" spans="1:20" x14ac:dyDescent="0.25">
      <c r="A260" s="5">
        <v>44333</v>
      </c>
      <c r="B260">
        <v>0.34456999999999999</v>
      </c>
      <c r="C260">
        <v>0.34705999999999998</v>
      </c>
      <c r="D260">
        <v>0.29507</v>
      </c>
      <c r="E260">
        <v>0.30808999999999997</v>
      </c>
      <c r="F260">
        <v>3289021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-0.49913444893248776</v>
      </c>
      <c r="Q260">
        <f t="shared" si="960"/>
        <v>-1641663.6843623798</v>
      </c>
      <c r="R260">
        <f t="shared" si="961"/>
        <v>-70028834.425675824</v>
      </c>
      <c r="S260">
        <f t="shared" si="962"/>
        <v>-700.28834425675825</v>
      </c>
      <c r="T260">
        <f t="shared" si="963"/>
        <v>-0.70028834425675823</v>
      </c>
    </row>
    <row r="261" spans="1:20" x14ac:dyDescent="0.25">
      <c r="A261" s="5">
        <v>44332</v>
      </c>
      <c r="B261">
        <v>0.36063000000000001</v>
      </c>
      <c r="C261">
        <v>0.39112999999999998</v>
      </c>
      <c r="D261">
        <v>0.32595000000000002</v>
      </c>
      <c r="E261">
        <v>0.34456999999999999</v>
      </c>
      <c r="F261">
        <v>3305823.8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-0.42865909788278672</v>
      </c>
      <c r="Q261">
        <f t="shared" si="960"/>
        <v>-1417071.4478674459</v>
      </c>
      <c r="R261">
        <f t="shared" si="961"/>
        <v>-68387170.741313443</v>
      </c>
      <c r="S261">
        <f t="shared" si="962"/>
        <v>-683.87170741313446</v>
      </c>
      <c r="T261">
        <f t="shared" si="963"/>
        <v>-0.68387170741313441</v>
      </c>
    </row>
    <row r="262" spans="1:20" x14ac:dyDescent="0.25">
      <c r="A262" s="5">
        <v>44331</v>
      </c>
      <c r="B262">
        <v>0.40037</v>
      </c>
      <c r="C262">
        <v>0.40303</v>
      </c>
      <c r="D262">
        <v>0.35985</v>
      </c>
      <c r="E262">
        <v>0.36294999999999999</v>
      </c>
      <c r="F262">
        <v>1965348.8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-0.85641500694766137</v>
      </c>
      <c r="Q262">
        <f t="shared" ref="Q262:Q325" si="965">F262*P262</f>
        <v>-1683154.2062065781</v>
      </c>
      <c r="R262">
        <f t="shared" ref="R262:R325" si="966">R263+Q262</f>
        <v>-66970099.293445989</v>
      </c>
      <c r="S262">
        <f t="shared" ref="S262:S325" si="967">R262/100000</f>
        <v>-669.70099293445992</v>
      </c>
      <c r="T262">
        <f t="shared" ref="T262:T325" si="968">S262/1000</f>
        <v>-0.66970099293445995</v>
      </c>
    </row>
    <row r="263" spans="1:20" x14ac:dyDescent="0.25">
      <c r="A263" s="5">
        <v>44330</v>
      </c>
      <c r="B263">
        <v>0.35910999999999998</v>
      </c>
      <c r="C263">
        <v>0.42993999999999999</v>
      </c>
      <c r="D263">
        <v>0.35099999999999998</v>
      </c>
      <c r="E263">
        <v>0.40217999999999998</v>
      </c>
      <c r="F263">
        <v>4403833.9000000004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0.29668102356219905</v>
      </c>
      <c r="Q263">
        <f t="shared" si="965"/>
        <v>1306533.949049911</v>
      </c>
      <c r="R263">
        <f t="shared" si="966"/>
        <v>-65286945.087239414</v>
      </c>
      <c r="S263">
        <f t="shared" si="967"/>
        <v>-652.86945087239417</v>
      </c>
      <c r="T263">
        <f t="shared" si="968"/>
        <v>-0.65286945087239412</v>
      </c>
    </row>
    <row r="264" spans="1:20" x14ac:dyDescent="0.25">
      <c r="A264" s="5">
        <v>44329</v>
      </c>
      <c r="B264">
        <v>0.36002000000000001</v>
      </c>
      <c r="C264">
        <v>0.41478999999999999</v>
      </c>
      <c r="D264">
        <v>0.34000999999999998</v>
      </c>
      <c r="E264">
        <v>0.36114000000000002</v>
      </c>
      <c r="F264">
        <v>6555499.5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-0.43487563519657574</v>
      </c>
      <c r="Q264">
        <f t="shared" si="965"/>
        <v>-2850827.0090933344</v>
      </c>
      <c r="R264">
        <f t="shared" si="966"/>
        <v>-66593479.036289327</v>
      </c>
      <c r="S264">
        <f t="shared" si="967"/>
        <v>-665.9347903628933</v>
      </c>
      <c r="T264">
        <f t="shared" si="968"/>
        <v>-0.66593479036289327</v>
      </c>
    </row>
    <row r="265" spans="1:20" x14ac:dyDescent="0.25">
      <c r="A265" s="5">
        <v>44328</v>
      </c>
      <c r="B265">
        <v>0.46248</v>
      </c>
      <c r="C265">
        <v>0.47</v>
      </c>
      <c r="D265">
        <v>0.36</v>
      </c>
      <c r="E265">
        <v>0.36334</v>
      </c>
      <c r="F265">
        <v>6777961.5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-0.93927272727272704</v>
      </c>
      <c r="Q265">
        <f t="shared" si="965"/>
        <v>-6366354.3834545435</v>
      </c>
      <c r="R265">
        <f t="shared" si="966"/>
        <v>-63742652.02719599</v>
      </c>
      <c r="S265">
        <f t="shared" si="967"/>
        <v>-637.42652027195993</v>
      </c>
      <c r="T265">
        <f t="shared" si="968"/>
        <v>-0.6374265202719599</v>
      </c>
    </row>
    <row r="266" spans="1:20" x14ac:dyDescent="0.25">
      <c r="A266" s="5">
        <v>44327</v>
      </c>
      <c r="B266">
        <v>0.44691999999999998</v>
      </c>
      <c r="C266">
        <v>0.47999000000000003</v>
      </c>
      <c r="D266">
        <v>0.43358999999999998</v>
      </c>
      <c r="E266">
        <v>0.46248</v>
      </c>
      <c r="F266">
        <v>5500920.5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0.24525862068965493</v>
      </c>
      <c r="Q266">
        <f t="shared" si="965"/>
        <v>1349148.1743534468</v>
      </c>
      <c r="R266">
        <f t="shared" si="966"/>
        <v>-57376297.643741444</v>
      </c>
      <c r="S266">
        <f t="shared" si="967"/>
        <v>-573.76297643741441</v>
      </c>
      <c r="T266">
        <f t="shared" si="968"/>
        <v>-0.57376297643741436</v>
      </c>
    </row>
    <row r="267" spans="1:20" x14ac:dyDescent="0.25">
      <c r="A267" s="5">
        <v>44326</v>
      </c>
      <c r="B267">
        <v>0.55718000000000001</v>
      </c>
      <c r="C267">
        <v>0.56698000000000004</v>
      </c>
      <c r="D267">
        <v>0.43096000000000001</v>
      </c>
      <c r="E267">
        <v>0.44500000000000001</v>
      </c>
      <c r="F267">
        <v>6524102.2000000002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-0.79355977062196748</v>
      </c>
      <c r="Q267">
        <f t="shared" si="965"/>
        <v>-5177265.0453462731</v>
      </c>
      <c r="R267">
        <f t="shared" si="966"/>
        <v>-58725445.818094894</v>
      </c>
      <c r="S267">
        <f t="shared" si="967"/>
        <v>-587.25445818094897</v>
      </c>
      <c r="T267">
        <f t="shared" si="968"/>
        <v>-0.58725445818094901</v>
      </c>
    </row>
    <row r="268" spans="1:20" x14ac:dyDescent="0.25">
      <c r="A268" s="5">
        <v>44325</v>
      </c>
      <c r="B268">
        <v>0.53817999999999999</v>
      </c>
      <c r="C268">
        <v>0.56247000000000003</v>
      </c>
      <c r="D268">
        <v>0.47</v>
      </c>
      <c r="E268">
        <v>0.55732000000000004</v>
      </c>
      <c r="F268">
        <v>9112875.6999999993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0.88861252298042637</v>
      </c>
      <c r="Q268">
        <f t="shared" si="965"/>
        <v>8097815.467384018</v>
      </c>
      <c r="R268">
        <f t="shared" si="966"/>
        <v>-53548180.772748619</v>
      </c>
      <c r="S268">
        <f t="shared" si="967"/>
        <v>-535.48180772748617</v>
      </c>
      <c r="T268">
        <f t="shared" si="968"/>
        <v>-0.53548180772748621</v>
      </c>
    </row>
    <row r="269" spans="1:20" x14ac:dyDescent="0.25">
      <c r="A269" s="5">
        <v>44324</v>
      </c>
      <c r="B269">
        <v>0.55881999999999998</v>
      </c>
      <c r="C269">
        <v>0.624</v>
      </c>
      <c r="D269">
        <v>0.52</v>
      </c>
      <c r="E269">
        <v>0.54112000000000005</v>
      </c>
      <c r="F269">
        <v>13479644.800000001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-0.59384615384615325</v>
      </c>
      <c r="Q269">
        <f t="shared" si="965"/>
        <v>-8004835.2196923001</v>
      </c>
      <c r="R269">
        <f t="shared" si="966"/>
        <v>-61645996.240132637</v>
      </c>
      <c r="S269">
        <f t="shared" si="967"/>
        <v>-616.45996240132638</v>
      </c>
      <c r="T269">
        <f t="shared" si="968"/>
        <v>-0.61645996240132639</v>
      </c>
    </row>
    <row r="270" spans="1:20" x14ac:dyDescent="0.25">
      <c r="A270" s="5">
        <v>44323</v>
      </c>
      <c r="B270">
        <v>0.60224999999999995</v>
      </c>
      <c r="C270">
        <v>0.64500000000000002</v>
      </c>
      <c r="D270">
        <v>0.51312000000000002</v>
      </c>
      <c r="E270">
        <v>0.55871999999999999</v>
      </c>
      <c r="F270">
        <v>18018376.899999999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-0.30846223839854453</v>
      </c>
      <c r="Q270">
        <f t="shared" si="965"/>
        <v>-5557988.8708826276</v>
      </c>
      <c r="R270">
        <f t="shared" si="966"/>
        <v>-53641161.02044034</v>
      </c>
      <c r="S270">
        <f t="shared" si="967"/>
        <v>-536.41161020440336</v>
      </c>
      <c r="T270">
        <f t="shared" si="968"/>
        <v>-0.53641161020440331</v>
      </c>
    </row>
    <row r="271" spans="1:20" x14ac:dyDescent="0.25">
      <c r="A271" s="5">
        <v>44322</v>
      </c>
      <c r="B271">
        <v>0.75754999999999995</v>
      </c>
      <c r="C271">
        <v>0.89</v>
      </c>
      <c r="D271">
        <v>0.55610999999999999</v>
      </c>
      <c r="E271">
        <v>0.60201000000000005</v>
      </c>
      <c r="F271">
        <v>29420846.899999999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-0.72505915121746656</v>
      </c>
      <c r="Q271">
        <f t="shared" si="965"/>
        <v>-21331854.28141303</v>
      </c>
      <c r="R271">
        <f t="shared" si="966"/>
        <v>-48083172.14955771</v>
      </c>
      <c r="S271">
        <f t="shared" si="967"/>
        <v>-480.83172149557709</v>
      </c>
      <c r="T271">
        <f t="shared" si="968"/>
        <v>-0.48083172149557707</v>
      </c>
    </row>
    <row r="272" spans="1:20" x14ac:dyDescent="0.25">
      <c r="A272" s="5">
        <v>44321</v>
      </c>
      <c r="B272">
        <v>0.58779999999999999</v>
      </c>
      <c r="C272">
        <v>0.9</v>
      </c>
      <c r="D272">
        <v>0.57957999999999998</v>
      </c>
      <c r="E272">
        <v>0.75760000000000005</v>
      </c>
      <c r="F272">
        <v>26930257.399999999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0.11116659384557796</v>
      </c>
      <c r="Q272">
        <f t="shared" si="965"/>
        <v>2993744.9865426701</v>
      </c>
      <c r="R272">
        <f t="shared" si="966"/>
        <v>-26751317.868144676</v>
      </c>
      <c r="S272">
        <f t="shared" si="967"/>
        <v>-267.51317868144679</v>
      </c>
      <c r="T272">
        <f t="shared" si="968"/>
        <v>-0.26751317868144681</v>
      </c>
    </row>
    <row r="273" spans="1:20" x14ac:dyDescent="0.25">
      <c r="A273" s="5">
        <v>44320</v>
      </c>
      <c r="B273">
        <v>0.58201999999999998</v>
      </c>
      <c r="C273">
        <v>0.65810999999999997</v>
      </c>
      <c r="D273">
        <v>0.53044000000000002</v>
      </c>
      <c r="E273">
        <v>0.58779999999999999</v>
      </c>
      <c r="F273">
        <v>8449628.1999999993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-0.10143338294039338</v>
      </c>
      <c r="Q273">
        <f t="shared" si="965"/>
        <v>-857074.37291454675</v>
      </c>
      <c r="R273">
        <f t="shared" si="966"/>
        <v>-29745062.854687348</v>
      </c>
      <c r="S273">
        <f t="shared" si="967"/>
        <v>-297.45062854687347</v>
      </c>
      <c r="T273">
        <f t="shared" si="968"/>
        <v>-0.29745062854687349</v>
      </c>
    </row>
    <row r="274" spans="1:20" x14ac:dyDescent="0.25">
      <c r="A274" s="5">
        <v>44319</v>
      </c>
      <c r="B274">
        <v>0.58248</v>
      </c>
      <c r="C274">
        <v>0.63</v>
      </c>
      <c r="D274">
        <v>0.56677</v>
      </c>
      <c r="E274">
        <v>0.57845999999999997</v>
      </c>
      <c r="F274">
        <v>7298276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-0.63023881069112841</v>
      </c>
      <c r="Q274">
        <f t="shared" si="965"/>
        <v>-4599656.7863356061</v>
      </c>
      <c r="R274">
        <f t="shared" si="966"/>
        <v>-28887988.481772803</v>
      </c>
      <c r="S274">
        <f t="shared" si="967"/>
        <v>-288.87988481772805</v>
      </c>
      <c r="T274">
        <f t="shared" si="968"/>
        <v>-0.28887988481772803</v>
      </c>
    </row>
    <row r="275" spans="1:20" x14ac:dyDescent="0.25">
      <c r="A275" s="5">
        <v>44318</v>
      </c>
      <c r="B275">
        <v>0.49895</v>
      </c>
      <c r="C275">
        <v>0.61616000000000004</v>
      </c>
      <c r="D275">
        <v>0.47173999999999999</v>
      </c>
      <c r="E275">
        <v>0.58021</v>
      </c>
      <c r="F275">
        <v>12000977</v>
      </c>
      <c r="G275">
        <v>0</v>
      </c>
      <c r="L275" t="s">
        <v>8</v>
      </c>
      <c r="M275" t="s">
        <v>8</v>
      </c>
      <c r="N275" t="s">
        <v>7</v>
      </c>
      <c r="P275">
        <f t="shared" si="964"/>
        <v>0.50214651710289393</v>
      </c>
      <c r="Q275">
        <f t="shared" si="965"/>
        <v>6026248.8023819365</v>
      </c>
      <c r="R275">
        <f t="shared" si="966"/>
        <v>-24288331.695437197</v>
      </c>
      <c r="S275">
        <f t="shared" si="967"/>
        <v>-242.88331695437196</v>
      </c>
      <c r="T275">
        <f t="shared" si="968"/>
        <v>-0.24288331695437196</v>
      </c>
    </row>
    <row r="276" spans="1:20" x14ac:dyDescent="0.25">
      <c r="A276" s="5">
        <v>44317</v>
      </c>
      <c r="B276">
        <v>0.48631999999999997</v>
      </c>
      <c r="C276">
        <v>0.52900000000000003</v>
      </c>
      <c r="D276">
        <v>0.46360000000000001</v>
      </c>
      <c r="E276">
        <v>0.49767</v>
      </c>
      <c r="F276">
        <v>8359507.7999999998</v>
      </c>
      <c r="G276">
        <v>0</v>
      </c>
      <c r="L276" t="s">
        <v>7</v>
      </c>
      <c r="M276" t="s">
        <v>7</v>
      </c>
      <c r="N276" t="s">
        <v>7</v>
      </c>
      <c r="P276">
        <f t="shared" si="964"/>
        <v>4.1896024464831254E-2</v>
      </c>
      <c r="Q276">
        <f t="shared" si="965"/>
        <v>350230.14330274769</v>
      </c>
      <c r="R276">
        <f t="shared" si="966"/>
        <v>-30314580.497819133</v>
      </c>
      <c r="S276">
        <f t="shared" si="967"/>
        <v>-303.14580497819134</v>
      </c>
      <c r="T276">
        <f t="shared" si="968"/>
        <v>-0.30314580497819132</v>
      </c>
    </row>
    <row r="277" spans="1:20" x14ac:dyDescent="0.25">
      <c r="A277" s="5">
        <v>44316</v>
      </c>
      <c r="B277">
        <v>0.51254</v>
      </c>
      <c r="C277">
        <v>0.68899999999999995</v>
      </c>
      <c r="D277">
        <v>0.45971000000000001</v>
      </c>
      <c r="E277">
        <v>0.48633999999999999</v>
      </c>
      <c r="F277">
        <v>52153114.399999999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-0.76771773736316462</v>
      </c>
      <c r="Q277">
        <f t="shared" si="965"/>
        <v>-40038870.98361028</v>
      </c>
      <c r="R277">
        <f t="shared" si="966"/>
        <v>-30664810.641121879</v>
      </c>
      <c r="S277">
        <f t="shared" si="967"/>
        <v>-306.64810641121881</v>
      </c>
      <c r="T277">
        <f t="shared" si="968"/>
        <v>-0.30664810641121881</v>
      </c>
    </row>
    <row r="278" spans="1:20" x14ac:dyDescent="0.25">
      <c r="A278" s="5">
        <v>44315</v>
      </c>
      <c r="B278">
        <v>0.33305000000000001</v>
      </c>
      <c r="C278">
        <v>0.53878999999999999</v>
      </c>
      <c r="D278">
        <v>0.32334000000000002</v>
      </c>
      <c r="E278">
        <v>0.51241000000000003</v>
      </c>
      <c r="F278">
        <v>37548877.200000003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0.75511719656532872</v>
      </c>
      <c r="Q278">
        <f t="shared" si="965"/>
        <v>28353802.885439791</v>
      </c>
      <c r="R278">
        <f t="shared" si="966"/>
        <v>9374060.3424884006</v>
      </c>
      <c r="S278">
        <f t="shared" si="967"/>
        <v>93.740603424884</v>
      </c>
      <c r="T278">
        <f t="shared" si="968"/>
        <v>9.3740603424883995E-2</v>
      </c>
    </row>
    <row r="279" spans="1:20" x14ac:dyDescent="0.25">
      <c r="A279" s="5">
        <v>44314</v>
      </c>
      <c r="B279">
        <v>0.34717999999999999</v>
      </c>
      <c r="C279">
        <v>0.35796</v>
      </c>
      <c r="D279">
        <v>0.32100000000000001</v>
      </c>
      <c r="E279">
        <v>0.33096999999999999</v>
      </c>
      <c r="F279">
        <v>1490680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-0.46049783549783652</v>
      </c>
      <c r="Q279">
        <f t="shared" si="965"/>
        <v>-686454.9134199149</v>
      </c>
      <c r="R279">
        <f t="shared" si="966"/>
        <v>-18979742.54295139</v>
      </c>
      <c r="S279">
        <f t="shared" si="967"/>
        <v>-189.79742542951391</v>
      </c>
      <c r="T279">
        <f t="shared" si="968"/>
        <v>-0.18979742542951392</v>
      </c>
    </row>
    <row r="280" spans="1:20" x14ac:dyDescent="0.25">
      <c r="A280" s="5">
        <v>44313</v>
      </c>
      <c r="B280">
        <v>0.32149</v>
      </c>
      <c r="C280">
        <v>0.35908000000000001</v>
      </c>
      <c r="D280">
        <v>0.31701000000000001</v>
      </c>
      <c r="E280">
        <v>0.34720000000000001</v>
      </c>
      <c r="F280">
        <v>2010960.2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0.43522700261468966</v>
      </c>
      <c r="Q280">
        <f t="shared" si="965"/>
        <v>875224.18022343679</v>
      </c>
      <c r="R280">
        <f t="shared" si="966"/>
        <v>-18293287.629531477</v>
      </c>
      <c r="S280">
        <f t="shared" si="967"/>
        <v>-182.93287629531477</v>
      </c>
      <c r="T280">
        <f t="shared" si="968"/>
        <v>-0.18293287629531477</v>
      </c>
    </row>
    <row r="281" spans="1:20" x14ac:dyDescent="0.25">
      <c r="A281" s="5">
        <v>44312</v>
      </c>
      <c r="B281">
        <v>0.27975</v>
      </c>
      <c r="C281">
        <v>0.34771999999999997</v>
      </c>
      <c r="D281">
        <v>0.27836</v>
      </c>
      <c r="E281">
        <v>0.31873000000000001</v>
      </c>
      <c r="F281">
        <v>1482254.8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0.16407151095732497</v>
      </c>
      <c r="Q281">
        <f t="shared" si="965"/>
        <v>243195.78465974756</v>
      </c>
      <c r="R281">
        <f t="shared" si="966"/>
        <v>-19168511.809754912</v>
      </c>
      <c r="S281">
        <f t="shared" si="967"/>
        <v>-191.68511809754912</v>
      </c>
      <c r="T281">
        <f t="shared" si="968"/>
        <v>-0.19168511809754912</v>
      </c>
    </row>
    <row r="282" spans="1:20" x14ac:dyDescent="0.25">
      <c r="A282" s="5">
        <v>44311</v>
      </c>
      <c r="B282">
        <v>0.28900999999999999</v>
      </c>
      <c r="C282">
        <v>0.30998999999999999</v>
      </c>
      <c r="D282">
        <v>0.26652999999999999</v>
      </c>
      <c r="E282">
        <v>0.27757999999999999</v>
      </c>
      <c r="F282">
        <v>1235191.6000000001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-0.49148642429820505</v>
      </c>
      <c r="Q282">
        <f t="shared" si="965"/>
        <v>-607079.90280717879</v>
      </c>
      <c r="R282">
        <f t="shared" si="966"/>
        <v>-19411707.594414659</v>
      </c>
      <c r="S282">
        <f t="shared" si="967"/>
        <v>-194.11707594414659</v>
      </c>
      <c r="T282">
        <f t="shared" si="968"/>
        <v>-0.19411707594414659</v>
      </c>
    </row>
    <row r="283" spans="1:20" x14ac:dyDescent="0.25">
      <c r="A283" s="5">
        <v>44310</v>
      </c>
      <c r="B283">
        <v>0.31042999999999998</v>
      </c>
      <c r="C283">
        <v>0.32800000000000001</v>
      </c>
      <c r="D283">
        <v>0.27916999999999997</v>
      </c>
      <c r="E283">
        <v>0.28917999999999999</v>
      </c>
      <c r="F283">
        <v>1158608.7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-0.59000614376407901</v>
      </c>
      <c r="Q283">
        <f t="shared" si="965"/>
        <v>-683586.25121851265</v>
      </c>
      <c r="R283">
        <f t="shared" si="966"/>
        <v>-18804627.691607479</v>
      </c>
      <c r="S283">
        <f t="shared" si="967"/>
        <v>-188.04627691607479</v>
      </c>
      <c r="T283">
        <f t="shared" si="968"/>
        <v>-0.18804627691607478</v>
      </c>
    </row>
    <row r="284" spans="1:20" x14ac:dyDescent="0.25">
      <c r="A284" s="5">
        <v>44309</v>
      </c>
      <c r="B284">
        <v>0.35593999999999998</v>
      </c>
      <c r="C284">
        <v>0.36215000000000003</v>
      </c>
      <c r="D284">
        <v>0.27500000000000002</v>
      </c>
      <c r="E284">
        <v>0.31034</v>
      </c>
      <c r="F284">
        <v>2317025.2999999998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-0.18898450946643763</v>
      </c>
      <c r="Q284">
        <f t="shared" si="965"/>
        <v>-437881.88974182546</v>
      </c>
      <c r="R284">
        <f t="shared" si="966"/>
        <v>-18121041.440388966</v>
      </c>
      <c r="S284">
        <f t="shared" si="967"/>
        <v>-181.21041440388967</v>
      </c>
      <c r="T284">
        <f t="shared" si="968"/>
        <v>-0.18121041440388969</v>
      </c>
    </row>
    <row r="285" spans="1:20" x14ac:dyDescent="0.25">
      <c r="A285" s="5">
        <v>44308</v>
      </c>
      <c r="B285">
        <v>0.36301</v>
      </c>
      <c r="C285">
        <v>0.38735000000000003</v>
      </c>
      <c r="D285">
        <v>0.34283000000000002</v>
      </c>
      <c r="E285">
        <v>0.35577999999999999</v>
      </c>
      <c r="F285">
        <v>1696437.6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-0.41823899371069362</v>
      </c>
      <c r="Q285">
        <f t="shared" si="965"/>
        <v>-709516.35471698421</v>
      </c>
      <c r="R285">
        <f t="shared" si="966"/>
        <v>-17683159.55064714</v>
      </c>
      <c r="S285">
        <f t="shared" si="967"/>
        <v>-176.83159550647139</v>
      </c>
      <c r="T285">
        <f t="shared" si="968"/>
        <v>-0.1768315955064714</v>
      </c>
    </row>
    <row r="286" spans="1:20" x14ac:dyDescent="0.25">
      <c r="A286" s="5">
        <v>44307</v>
      </c>
      <c r="B286">
        <v>0.39868999999999999</v>
      </c>
      <c r="C286">
        <v>0.41926000000000002</v>
      </c>
      <c r="D286">
        <v>0.35759999999999997</v>
      </c>
      <c r="E286">
        <v>0.36299999999999999</v>
      </c>
      <c r="F286">
        <v>1080270.8999999999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-0.8248459292896525</v>
      </c>
      <c r="Q286">
        <f t="shared" si="965"/>
        <v>-891057.05439506914</v>
      </c>
      <c r="R286">
        <f t="shared" si="966"/>
        <v>-16973643.195930157</v>
      </c>
      <c r="S286">
        <f t="shared" si="967"/>
        <v>-169.73643195930157</v>
      </c>
      <c r="T286">
        <f t="shared" si="968"/>
        <v>-0.16973643195930158</v>
      </c>
    </row>
    <row r="287" spans="1:20" x14ac:dyDescent="0.25">
      <c r="A287" s="5">
        <v>44306</v>
      </c>
      <c r="B287">
        <v>0.39582000000000001</v>
      </c>
      <c r="C287">
        <v>0.42</v>
      </c>
      <c r="D287">
        <v>0.35746</v>
      </c>
      <c r="E287">
        <v>0.39867999999999998</v>
      </c>
      <c r="F287">
        <v>1492691.9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0.31819635433322641</v>
      </c>
      <c r="Q287">
        <f t="shared" si="965"/>
        <v>474969.12072273693</v>
      </c>
      <c r="R287">
        <f t="shared" si="966"/>
        <v>-16082586.141535088</v>
      </c>
      <c r="S287">
        <f t="shared" si="967"/>
        <v>-160.82586141535089</v>
      </c>
      <c r="T287">
        <f t="shared" si="968"/>
        <v>-0.16082586141535088</v>
      </c>
    </row>
    <row r="288" spans="1:20" x14ac:dyDescent="0.25">
      <c r="A288" s="5">
        <v>44305</v>
      </c>
      <c r="B288">
        <v>0.45128000000000001</v>
      </c>
      <c r="C288">
        <v>0.45374999999999999</v>
      </c>
      <c r="D288">
        <v>0.38</v>
      </c>
      <c r="E288">
        <v>0.40142</v>
      </c>
      <c r="F288">
        <v>1718272.7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-0.41911864406779664</v>
      </c>
      <c r="Q288">
        <f t="shared" si="965"/>
        <v>-720160.1241627119</v>
      </c>
      <c r="R288">
        <f t="shared" si="966"/>
        <v>-16557555.262257826</v>
      </c>
      <c r="S288">
        <f t="shared" si="967"/>
        <v>-165.57555262257824</v>
      </c>
      <c r="T288">
        <f t="shared" si="968"/>
        <v>-0.16557555262257825</v>
      </c>
    </row>
    <row r="289" spans="1:20" x14ac:dyDescent="0.25">
      <c r="A289" s="5">
        <v>44304</v>
      </c>
      <c r="B289">
        <v>0.44352000000000003</v>
      </c>
      <c r="C289">
        <v>0.46679999999999999</v>
      </c>
      <c r="D289">
        <v>0.35126000000000002</v>
      </c>
      <c r="E289">
        <v>0.45340000000000003</v>
      </c>
      <c r="F289">
        <v>2795477.9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0.76804569845940851</v>
      </c>
      <c r="Q289">
        <f t="shared" si="965"/>
        <v>2147054.7762333406</v>
      </c>
      <c r="R289">
        <f t="shared" si="966"/>
        <v>-15837395.138095114</v>
      </c>
      <c r="S289">
        <f t="shared" si="967"/>
        <v>-158.37395138095115</v>
      </c>
      <c r="T289">
        <f t="shared" si="968"/>
        <v>-0.15837395138095114</v>
      </c>
    </row>
    <row r="290" spans="1:20" x14ac:dyDescent="0.25">
      <c r="A290" s="5">
        <v>44303</v>
      </c>
      <c r="B290">
        <v>0.42562</v>
      </c>
      <c r="C290">
        <v>0.46840999999999999</v>
      </c>
      <c r="D290">
        <v>0.42007</v>
      </c>
      <c r="E290">
        <v>0.44352000000000003</v>
      </c>
      <c r="F290">
        <v>2365014.6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-2.9788994621430316E-2</v>
      </c>
      <c r="Q290">
        <f t="shared" si="965"/>
        <v>-70451.40719900417</v>
      </c>
      <c r="R290">
        <f t="shared" si="966"/>
        <v>-17984449.914328456</v>
      </c>
      <c r="S290">
        <f t="shared" si="967"/>
        <v>-179.84449914328457</v>
      </c>
      <c r="T290">
        <f t="shared" si="968"/>
        <v>-0.17984449914328457</v>
      </c>
    </row>
    <row r="291" spans="1:20" x14ac:dyDescent="0.25">
      <c r="A291" s="5">
        <v>44302</v>
      </c>
      <c r="B291">
        <v>0.45028000000000001</v>
      </c>
      <c r="C291">
        <v>0.46101999999999999</v>
      </c>
      <c r="D291">
        <v>0.40626000000000001</v>
      </c>
      <c r="E291">
        <v>0.43017</v>
      </c>
      <c r="F291">
        <v>1810897.4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-0.12673484295105925</v>
      </c>
      <c r="Q291">
        <f t="shared" si="965"/>
        <v>-229503.79758948152</v>
      </c>
      <c r="R291">
        <f t="shared" si="966"/>
        <v>-17913998.507129453</v>
      </c>
      <c r="S291">
        <f t="shared" si="967"/>
        <v>-179.13998507129452</v>
      </c>
      <c r="T291">
        <f t="shared" si="968"/>
        <v>-0.17913998507129453</v>
      </c>
    </row>
    <row r="292" spans="1:20" x14ac:dyDescent="0.25">
      <c r="A292" s="5">
        <v>44301</v>
      </c>
      <c r="B292">
        <v>0.42749999999999999</v>
      </c>
      <c r="C292">
        <v>0.45696999999999999</v>
      </c>
      <c r="D292">
        <v>0.42</v>
      </c>
      <c r="E292">
        <v>0.45029000000000002</v>
      </c>
      <c r="F292">
        <v>1082792.8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0.63862591290235526</v>
      </c>
      <c r="Q292">
        <f t="shared" si="965"/>
        <v>691499.54038409737</v>
      </c>
      <c r="R292">
        <f t="shared" si="966"/>
        <v>-17684494.709539972</v>
      </c>
      <c r="S292">
        <f t="shared" si="967"/>
        <v>-176.84494709539973</v>
      </c>
      <c r="T292">
        <f t="shared" si="968"/>
        <v>-0.17684494709539972</v>
      </c>
    </row>
    <row r="293" spans="1:20" x14ac:dyDescent="0.25">
      <c r="A293" s="5">
        <v>44300</v>
      </c>
      <c r="B293">
        <v>0.43995000000000001</v>
      </c>
      <c r="C293">
        <v>0.44208999999999998</v>
      </c>
      <c r="D293">
        <v>0.41</v>
      </c>
      <c r="E293">
        <v>0.42749999999999999</v>
      </c>
      <c r="F293">
        <v>1115801.7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9.0682455593643602E-2</v>
      </c>
      <c r="Q293">
        <f t="shared" si="965"/>
        <v>101183.63811156203</v>
      </c>
      <c r="R293">
        <f t="shared" si="966"/>
        <v>-18375994.249924071</v>
      </c>
      <c r="S293">
        <f t="shared" si="967"/>
        <v>-183.75994249924071</v>
      </c>
      <c r="T293">
        <f t="shared" si="968"/>
        <v>-0.18375994249924071</v>
      </c>
    </row>
    <row r="294" spans="1:20" x14ac:dyDescent="0.25">
      <c r="A294" s="5">
        <v>44299</v>
      </c>
      <c r="B294">
        <v>0.43274000000000001</v>
      </c>
      <c r="C294">
        <v>0.46</v>
      </c>
      <c r="D294">
        <v>0.40461000000000003</v>
      </c>
      <c r="E294">
        <v>0.44268999999999997</v>
      </c>
      <c r="F294">
        <v>1892436.6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0.374977432749592</v>
      </c>
      <c r="Q294">
        <f t="shared" si="965"/>
        <v>709621.01790936652</v>
      </c>
      <c r="R294">
        <f t="shared" si="966"/>
        <v>-18477177.888035633</v>
      </c>
      <c r="S294">
        <f t="shared" si="967"/>
        <v>-184.77177888035632</v>
      </c>
      <c r="T294">
        <f t="shared" si="968"/>
        <v>-0.18477177888035631</v>
      </c>
    </row>
    <row r="295" spans="1:20" x14ac:dyDescent="0.25">
      <c r="A295" s="5">
        <v>44298</v>
      </c>
      <c r="B295">
        <v>0.46000999999999997</v>
      </c>
      <c r="C295">
        <v>0.46211999999999998</v>
      </c>
      <c r="D295">
        <v>0.42283999999999999</v>
      </c>
      <c r="E295">
        <v>0.43275000000000002</v>
      </c>
      <c r="F295">
        <v>2467860.2000000002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-0.49541751527494732</v>
      </c>
      <c r="Q295">
        <f t="shared" si="965"/>
        <v>-1222621.1683299346</v>
      </c>
      <c r="R295">
        <f t="shared" si="966"/>
        <v>-19186798.905944999</v>
      </c>
      <c r="S295">
        <f t="shared" si="967"/>
        <v>-191.86798905945</v>
      </c>
      <c r="T295">
        <f t="shared" si="968"/>
        <v>-0.19186798905944999</v>
      </c>
    </row>
    <row r="296" spans="1:20" x14ac:dyDescent="0.25">
      <c r="A296" s="5">
        <v>44297</v>
      </c>
      <c r="B296">
        <v>0.42453999999999997</v>
      </c>
      <c r="C296">
        <v>0.46211999999999998</v>
      </c>
      <c r="D296">
        <v>0.41570000000000001</v>
      </c>
      <c r="E296">
        <v>0.46000999999999997</v>
      </c>
      <c r="F296">
        <v>2582822.2000000002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0.90909090909090895</v>
      </c>
      <c r="Q296">
        <f t="shared" si="965"/>
        <v>2348020.1818181816</v>
      </c>
      <c r="R296">
        <f t="shared" si="966"/>
        <v>-17964177.737615064</v>
      </c>
      <c r="S296">
        <f t="shared" si="967"/>
        <v>-179.64177737615063</v>
      </c>
      <c r="T296">
        <f t="shared" si="968"/>
        <v>-0.17964177737615064</v>
      </c>
    </row>
    <row r="297" spans="1:20" x14ac:dyDescent="0.25">
      <c r="A297" s="5">
        <v>44296</v>
      </c>
      <c r="B297">
        <v>0.40716000000000002</v>
      </c>
      <c r="C297">
        <v>0.43</v>
      </c>
      <c r="D297">
        <v>0.4</v>
      </c>
      <c r="E297">
        <v>0.42301</v>
      </c>
      <c r="F297">
        <v>2213173.9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0.53399999999999981</v>
      </c>
      <c r="Q297">
        <f t="shared" si="965"/>
        <v>1181834.8625999994</v>
      </c>
      <c r="R297">
        <f t="shared" si="966"/>
        <v>-20312197.919433247</v>
      </c>
      <c r="S297">
        <f t="shared" si="967"/>
        <v>-203.12197919433248</v>
      </c>
      <c r="T297">
        <f t="shared" si="968"/>
        <v>-0.20312197919433247</v>
      </c>
    </row>
    <row r="298" spans="1:20" x14ac:dyDescent="0.25">
      <c r="A298" s="5">
        <v>44295</v>
      </c>
      <c r="B298">
        <v>0.39499000000000001</v>
      </c>
      <c r="C298">
        <v>0.41</v>
      </c>
      <c r="D298">
        <v>0.375</v>
      </c>
      <c r="E298">
        <v>0.40699000000000002</v>
      </c>
      <c r="F298">
        <v>1578127.4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0.82800000000000229</v>
      </c>
      <c r="Q298">
        <f t="shared" si="965"/>
        <v>1306689.4872000036</v>
      </c>
      <c r="R298">
        <f t="shared" si="966"/>
        <v>-21494032.782033246</v>
      </c>
      <c r="S298">
        <f t="shared" si="967"/>
        <v>-214.94032782033247</v>
      </c>
      <c r="T298">
        <f t="shared" si="968"/>
        <v>-0.21494032782033248</v>
      </c>
    </row>
    <row r="299" spans="1:20" x14ac:dyDescent="0.25">
      <c r="A299" s="5">
        <v>44294</v>
      </c>
      <c r="B299">
        <v>0.36765999999999999</v>
      </c>
      <c r="C299">
        <v>0.40400000000000003</v>
      </c>
      <c r="D299">
        <v>0.36244999999999999</v>
      </c>
      <c r="E299">
        <v>0.39511000000000002</v>
      </c>
      <c r="F299">
        <v>1447674.6</v>
      </c>
      <c r="G299">
        <v>0</v>
      </c>
      <c r="L299" t="s">
        <v>7</v>
      </c>
      <c r="M299" t="s">
        <v>8</v>
      </c>
      <c r="N299" t="s">
        <v>8</v>
      </c>
      <c r="P299">
        <f t="shared" si="964"/>
        <v>0.57208182912154015</v>
      </c>
      <c r="Q299">
        <f t="shared" si="965"/>
        <v>828188.33314079407</v>
      </c>
      <c r="R299">
        <f t="shared" si="966"/>
        <v>-22800722.269233249</v>
      </c>
      <c r="S299">
        <f t="shared" si="967"/>
        <v>-228.0072226923325</v>
      </c>
      <c r="T299">
        <f t="shared" si="968"/>
        <v>-0.22800722269233251</v>
      </c>
    </row>
    <row r="300" spans="1:20" x14ac:dyDescent="0.25">
      <c r="A300" s="5">
        <v>44293</v>
      </c>
      <c r="B300">
        <v>0.38779999999999998</v>
      </c>
      <c r="C300">
        <v>0.42599999999999999</v>
      </c>
      <c r="D300">
        <v>0.35499999999999998</v>
      </c>
      <c r="E300">
        <v>0.36765999999999999</v>
      </c>
      <c r="F300">
        <v>2756322.3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-0.64338028169014072</v>
      </c>
      <c r="Q300">
        <f t="shared" si="965"/>
        <v>-1773363.4178028165</v>
      </c>
      <c r="R300">
        <f t="shared" si="966"/>
        <v>-23628910.602374043</v>
      </c>
      <c r="S300">
        <f t="shared" si="967"/>
        <v>-236.28910602374043</v>
      </c>
      <c r="T300">
        <f t="shared" si="968"/>
        <v>-0.23628910602374043</v>
      </c>
    </row>
    <row r="301" spans="1:20" x14ac:dyDescent="0.25">
      <c r="A301" s="5">
        <v>44292</v>
      </c>
      <c r="B301">
        <v>0.36181000000000002</v>
      </c>
      <c r="C301">
        <v>0.39494000000000001</v>
      </c>
      <c r="D301">
        <v>0.36113000000000001</v>
      </c>
      <c r="E301">
        <v>0.38379000000000002</v>
      </c>
      <c r="F301">
        <v>1780518.5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0.34043182490387514</v>
      </c>
      <c r="Q301">
        <f t="shared" si="965"/>
        <v>606145.16223011038</v>
      </c>
      <c r="R301">
        <f t="shared" si="966"/>
        <v>-21855547.184571225</v>
      </c>
      <c r="S301">
        <f t="shared" si="967"/>
        <v>-218.55547184571225</v>
      </c>
      <c r="T301">
        <f t="shared" si="968"/>
        <v>-0.21855547184571225</v>
      </c>
    </row>
    <row r="302" spans="1:20" x14ac:dyDescent="0.25">
      <c r="A302" s="5">
        <v>44291</v>
      </c>
      <c r="B302">
        <v>0.35332999999999998</v>
      </c>
      <c r="C302">
        <v>0.37873000000000001</v>
      </c>
      <c r="D302">
        <v>0.33112000000000003</v>
      </c>
      <c r="E302">
        <v>0.36257</v>
      </c>
      <c r="F302">
        <v>1852644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0.32115101869355123</v>
      </c>
      <c r="Q302">
        <f t="shared" si="965"/>
        <v>594978.50787649548</v>
      </c>
      <c r="R302">
        <f t="shared" si="966"/>
        <v>-22461692.346801337</v>
      </c>
      <c r="S302">
        <f t="shared" si="967"/>
        <v>-224.61692346801337</v>
      </c>
      <c r="T302">
        <f t="shared" si="968"/>
        <v>-0.22461692346801337</v>
      </c>
    </row>
    <row r="303" spans="1:20" x14ac:dyDescent="0.25">
      <c r="A303" s="5">
        <v>44290</v>
      </c>
      <c r="B303">
        <v>0.33499000000000001</v>
      </c>
      <c r="C303">
        <v>0.3604</v>
      </c>
      <c r="D303">
        <v>0.33206000000000002</v>
      </c>
      <c r="E303">
        <v>0.35299999999999998</v>
      </c>
      <c r="F303">
        <v>1055132.6000000001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0.47776993648553112</v>
      </c>
      <c r="Q303">
        <f t="shared" si="965"/>
        <v>504110.63528581336</v>
      </c>
      <c r="R303">
        <f t="shared" si="966"/>
        <v>-23056670.854677834</v>
      </c>
      <c r="S303">
        <f t="shared" si="967"/>
        <v>-230.56670854677833</v>
      </c>
      <c r="T303">
        <f t="shared" si="968"/>
        <v>-0.23056670854677833</v>
      </c>
    </row>
    <row r="304" spans="1:20" x14ac:dyDescent="0.25">
      <c r="A304" s="5">
        <v>44289</v>
      </c>
      <c r="B304">
        <v>0.34</v>
      </c>
      <c r="C304">
        <v>0.39500000000000002</v>
      </c>
      <c r="D304">
        <v>0.33141999999999999</v>
      </c>
      <c r="E304">
        <v>0.33499000000000001</v>
      </c>
      <c r="F304">
        <v>2380690.7000000002</v>
      </c>
      <c r="G304">
        <v>0</v>
      </c>
      <c r="L304" t="s">
        <v>8</v>
      </c>
      <c r="M304" t="s">
        <v>7</v>
      </c>
      <c r="N304" t="s">
        <v>8</v>
      </c>
      <c r="P304">
        <f t="shared" si="964"/>
        <v>-0.88770053475935773</v>
      </c>
      <c r="Q304">
        <f t="shared" si="965"/>
        <v>-2113340.4074866297</v>
      </c>
      <c r="R304">
        <f t="shared" si="966"/>
        <v>-23560781.489963647</v>
      </c>
      <c r="S304">
        <f t="shared" si="967"/>
        <v>-235.60781489963648</v>
      </c>
      <c r="T304">
        <f t="shared" si="968"/>
        <v>-0.23560781489963648</v>
      </c>
    </row>
    <row r="305" spans="1:20" x14ac:dyDescent="0.25">
      <c r="A305" s="5">
        <v>44288</v>
      </c>
      <c r="B305">
        <v>0.33837</v>
      </c>
      <c r="C305">
        <v>0.36</v>
      </c>
      <c r="D305">
        <v>0.32840000000000003</v>
      </c>
      <c r="E305">
        <v>0.34</v>
      </c>
      <c r="F305">
        <v>2542883.7000000002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-0.26582278481012572</v>
      </c>
      <c r="Q305">
        <f t="shared" si="965"/>
        <v>-675956.42658227636</v>
      </c>
      <c r="R305">
        <f t="shared" si="966"/>
        <v>-21447441.082477018</v>
      </c>
      <c r="S305">
        <f t="shared" si="967"/>
        <v>-214.47441082477019</v>
      </c>
      <c r="T305">
        <f t="shared" si="968"/>
        <v>-0.2144744108247702</v>
      </c>
    </row>
    <row r="306" spans="1:20" x14ac:dyDescent="0.25">
      <c r="A306" s="5">
        <v>44287</v>
      </c>
      <c r="B306">
        <v>0.38150000000000001</v>
      </c>
      <c r="C306">
        <v>0.3866</v>
      </c>
      <c r="D306">
        <v>0.33</v>
      </c>
      <c r="E306">
        <v>0.33917000000000003</v>
      </c>
      <c r="F306">
        <v>2112012.2000000002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-0.67597173144876277</v>
      </c>
      <c r="Q306">
        <f t="shared" si="965"/>
        <v>-1427660.5436749107</v>
      </c>
      <c r="R306">
        <f t="shared" si="966"/>
        <v>-20771484.655894741</v>
      </c>
      <c r="S306">
        <f t="shared" si="967"/>
        <v>-207.71484655894741</v>
      </c>
      <c r="T306">
        <f t="shared" si="968"/>
        <v>-0.20771484655894742</v>
      </c>
    </row>
    <row r="307" spans="1:20" x14ac:dyDescent="0.25">
      <c r="A307" s="5">
        <v>44286</v>
      </c>
      <c r="B307">
        <v>0.37522</v>
      </c>
      <c r="C307">
        <v>0.38718000000000002</v>
      </c>
      <c r="D307">
        <v>0.34103</v>
      </c>
      <c r="E307">
        <v>0.38150000000000001</v>
      </c>
      <c r="F307">
        <v>2006987.4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0.75384615384615317</v>
      </c>
      <c r="Q307">
        <f t="shared" si="965"/>
        <v>1512959.7323076909</v>
      </c>
      <c r="R307">
        <f t="shared" si="966"/>
        <v>-19343824.112219829</v>
      </c>
      <c r="S307">
        <f t="shared" si="967"/>
        <v>-193.43824112219829</v>
      </c>
      <c r="T307">
        <f t="shared" si="968"/>
        <v>-0.19343824112219829</v>
      </c>
    </row>
    <row r="308" spans="1:20" x14ac:dyDescent="0.25">
      <c r="A308" s="5">
        <v>44285</v>
      </c>
      <c r="B308">
        <v>0.37308999999999998</v>
      </c>
      <c r="C308">
        <v>0.43609999999999999</v>
      </c>
      <c r="D308">
        <v>0.37080999999999997</v>
      </c>
      <c r="E308">
        <v>0.37479000000000001</v>
      </c>
      <c r="F308">
        <v>4138574.5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-0.87808240159289208</v>
      </c>
      <c r="Q308">
        <f t="shared" si="965"/>
        <v>-3634009.4361311025</v>
      </c>
      <c r="R308">
        <f t="shared" si="966"/>
        <v>-20856783.84452752</v>
      </c>
      <c r="S308">
        <f t="shared" si="967"/>
        <v>-208.56783844527521</v>
      </c>
      <c r="T308">
        <f t="shared" si="968"/>
        <v>-0.20856783844527521</v>
      </c>
    </row>
    <row r="309" spans="1:20" x14ac:dyDescent="0.25">
      <c r="A309" s="5">
        <v>44284</v>
      </c>
      <c r="B309">
        <v>0.36201</v>
      </c>
      <c r="C309">
        <v>0.38499</v>
      </c>
      <c r="D309">
        <v>0.35520000000000002</v>
      </c>
      <c r="E309">
        <v>0.37068000000000001</v>
      </c>
      <c r="F309">
        <v>1756383.9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3.9274924471299259E-2</v>
      </c>
      <c r="Q309">
        <f t="shared" si="965"/>
        <v>68981.845015106024</v>
      </c>
      <c r="R309">
        <f t="shared" si="966"/>
        <v>-17222774.408396419</v>
      </c>
      <c r="S309">
        <f t="shared" si="967"/>
        <v>-172.22774408396418</v>
      </c>
      <c r="T309">
        <f t="shared" si="968"/>
        <v>-0.17222774408396418</v>
      </c>
    </row>
    <row r="310" spans="1:20" x14ac:dyDescent="0.25">
      <c r="A310" s="5">
        <v>44283</v>
      </c>
      <c r="B310">
        <v>0.35000999999999999</v>
      </c>
      <c r="C310">
        <v>0.42</v>
      </c>
      <c r="D310">
        <v>0.34949999999999998</v>
      </c>
      <c r="E310">
        <v>0.36199999999999999</v>
      </c>
      <c r="F310">
        <v>5086646.0999999996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-0.64539007092198553</v>
      </c>
      <c r="Q310">
        <f t="shared" si="965"/>
        <v>-3282870.887234041</v>
      </c>
      <c r="R310">
        <f t="shared" si="966"/>
        <v>-17291756.253411524</v>
      </c>
      <c r="S310">
        <f t="shared" si="967"/>
        <v>-172.91756253411523</v>
      </c>
      <c r="T310">
        <f t="shared" si="968"/>
        <v>-0.17291756253411522</v>
      </c>
    </row>
    <row r="311" spans="1:20" x14ac:dyDescent="0.25">
      <c r="A311" s="5">
        <v>44282</v>
      </c>
      <c r="B311">
        <v>0.30782999999999999</v>
      </c>
      <c r="C311">
        <v>0.37</v>
      </c>
      <c r="D311">
        <v>0.29461999999999999</v>
      </c>
      <c r="E311">
        <v>0.35000999999999999</v>
      </c>
      <c r="F311">
        <v>2368326.2000000002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0.46962058901565384</v>
      </c>
      <c r="Q311">
        <f t="shared" si="965"/>
        <v>1112214.7450252052</v>
      </c>
      <c r="R311">
        <f t="shared" si="966"/>
        <v>-14008885.366177484</v>
      </c>
      <c r="S311">
        <f t="shared" si="967"/>
        <v>-140.08885366177483</v>
      </c>
      <c r="T311">
        <f t="shared" si="968"/>
        <v>-0.14008885366177484</v>
      </c>
    </row>
    <row r="312" spans="1:20" x14ac:dyDescent="0.25">
      <c r="A312" s="5">
        <v>44281</v>
      </c>
      <c r="B312">
        <v>0.29146</v>
      </c>
      <c r="C312">
        <v>0.30853999999999998</v>
      </c>
      <c r="D312">
        <v>0.29059000000000001</v>
      </c>
      <c r="E312">
        <v>0.30782999999999999</v>
      </c>
      <c r="F312">
        <v>1274867.8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0.92089136490250811</v>
      </c>
      <c r="Q312">
        <f t="shared" si="965"/>
        <v>1174014.7484122578</v>
      </c>
      <c r="R312">
        <f t="shared" si="966"/>
        <v>-15121100.111202689</v>
      </c>
      <c r="S312">
        <f t="shared" si="967"/>
        <v>-151.21100111202688</v>
      </c>
      <c r="T312">
        <f t="shared" si="968"/>
        <v>-0.15121100111202687</v>
      </c>
    </row>
    <row r="313" spans="1:20" x14ac:dyDescent="0.25">
      <c r="A313" s="5">
        <v>44280</v>
      </c>
      <c r="B313">
        <v>0.27340999999999999</v>
      </c>
      <c r="C313">
        <v>0.30347000000000002</v>
      </c>
      <c r="D313">
        <v>0.25285000000000002</v>
      </c>
      <c r="E313">
        <v>0.28659000000000001</v>
      </c>
      <c r="F313">
        <v>1087392.1000000001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0.33306993283287212</v>
      </c>
      <c r="Q313">
        <f t="shared" si="965"/>
        <v>362177.61370999581</v>
      </c>
      <c r="R313">
        <f t="shared" si="966"/>
        <v>-16295114.859614946</v>
      </c>
      <c r="S313">
        <f t="shared" si="967"/>
        <v>-162.95114859614947</v>
      </c>
      <c r="T313">
        <f t="shared" si="968"/>
        <v>-0.16295114859614945</v>
      </c>
    </row>
    <row r="314" spans="1:20" x14ac:dyDescent="0.25">
      <c r="A314" s="5">
        <v>44279</v>
      </c>
      <c r="B314">
        <v>0.28299999999999997</v>
      </c>
      <c r="C314">
        <v>0.33279999999999998</v>
      </c>
      <c r="D314">
        <v>0.26980999999999999</v>
      </c>
      <c r="E314">
        <v>0.27611999999999998</v>
      </c>
      <c r="F314">
        <v>2891129.1</v>
      </c>
      <c r="G314">
        <v>0</v>
      </c>
      <c r="L314" t="s">
        <v>7</v>
      </c>
      <c r="M314" t="s">
        <v>8</v>
      </c>
      <c r="N314" t="s">
        <v>8</v>
      </c>
      <c r="P314">
        <f t="shared" si="964"/>
        <v>-0.79965073821241517</v>
      </c>
      <c r="Q314">
        <f t="shared" si="965"/>
        <v>-2311893.5190823954</v>
      </c>
      <c r="R314">
        <f t="shared" si="966"/>
        <v>-16657292.473324941</v>
      </c>
      <c r="S314">
        <f t="shared" si="967"/>
        <v>-166.57292473324941</v>
      </c>
      <c r="T314">
        <f t="shared" si="968"/>
        <v>-0.16657292473324942</v>
      </c>
    </row>
    <row r="315" spans="1:20" x14ac:dyDescent="0.25">
      <c r="A315" s="5">
        <v>44278</v>
      </c>
      <c r="B315">
        <v>0.30062</v>
      </c>
      <c r="C315">
        <v>0.30962000000000001</v>
      </c>
      <c r="D315">
        <v>0.27900000000000003</v>
      </c>
      <c r="E315">
        <v>0.28336</v>
      </c>
      <c r="F315">
        <v>1890706.8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-0.71521881123448872</v>
      </c>
      <c r="Q315">
        <f t="shared" si="965"/>
        <v>-1352269.0698889643</v>
      </c>
      <c r="R315">
        <f t="shared" si="966"/>
        <v>-14345398.954242546</v>
      </c>
      <c r="S315">
        <f t="shared" si="967"/>
        <v>-143.45398954242546</v>
      </c>
      <c r="T315">
        <f t="shared" si="968"/>
        <v>-0.14345398954242547</v>
      </c>
    </row>
    <row r="316" spans="1:20" x14ac:dyDescent="0.25">
      <c r="A316" s="5">
        <v>44277</v>
      </c>
      <c r="B316">
        <v>0.34388999999999997</v>
      </c>
      <c r="C316">
        <v>0.35748999999999997</v>
      </c>
      <c r="D316">
        <v>0.29258000000000001</v>
      </c>
      <c r="E316">
        <v>0.30062</v>
      </c>
      <c r="F316">
        <v>2098378.9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-0.75227237713757522</v>
      </c>
      <c r="Q316">
        <f t="shared" si="965"/>
        <v>-1578552.4832383301</v>
      </c>
      <c r="R316">
        <f t="shared" si="966"/>
        <v>-12993129.884353582</v>
      </c>
      <c r="S316">
        <f t="shared" si="967"/>
        <v>-129.93129884353581</v>
      </c>
      <c r="T316">
        <f t="shared" si="968"/>
        <v>-0.12993129884353583</v>
      </c>
    </row>
    <row r="317" spans="1:20" x14ac:dyDescent="0.25">
      <c r="A317" s="5">
        <v>44276</v>
      </c>
      <c r="B317">
        <v>0.31892999999999999</v>
      </c>
      <c r="C317">
        <v>0.34567999999999999</v>
      </c>
      <c r="D317">
        <v>0.28615000000000002</v>
      </c>
      <c r="E317">
        <v>0.34567999999999999</v>
      </c>
      <c r="F317">
        <v>1425192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1</v>
      </c>
      <c r="Q317">
        <f t="shared" si="965"/>
        <v>1425192</v>
      </c>
      <c r="R317">
        <f t="shared" si="966"/>
        <v>-11414577.401115252</v>
      </c>
      <c r="S317">
        <f t="shared" si="967"/>
        <v>-114.14577401115251</v>
      </c>
      <c r="T317">
        <f t="shared" si="968"/>
        <v>-0.11414577401115251</v>
      </c>
    </row>
    <row r="318" spans="1:20" x14ac:dyDescent="0.25">
      <c r="A318" s="5">
        <v>44275</v>
      </c>
      <c r="B318">
        <v>0.31717000000000001</v>
      </c>
      <c r="C318">
        <v>0.3483</v>
      </c>
      <c r="D318">
        <v>0.31130999999999998</v>
      </c>
      <c r="E318">
        <v>0.31892999999999999</v>
      </c>
      <c r="F318">
        <v>1656493.6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-0.58799675587996691</v>
      </c>
      <c r="Q318">
        <f t="shared" si="965"/>
        <v>-974012.86293592758</v>
      </c>
      <c r="R318">
        <f t="shared" si="966"/>
        <v>-12839769.401115252</v>
      </c>
      <c r="S318">
        <f t="shared" si="967"/>
        <v>-128.39769401115251</v>
      </c>
      <c r="T318">
        <f t="shared" si="968"/>
        <v>-0.1283976940111525</v>
      </c>
    </row>
    <row r="319" spans="1:20" x14ac:dyDescent="0.25">
      <c r="A319" s="5">
        <v>44274</v>
      </c>
      <c r="B319">
        <v>0.28394999999999998</v>
      </c>
      <c r="C319">
        <v>0.33090999999999998</v>
      </c>
      <c r="D319">
        <v>0.27449000000000001</v>
      </c>
      <c r="E319">
        <v>0.32</v>
      </c>
      <c r="F319">
        <v>2844996.2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0.61325771003190421</v>
      </c>
      <c r="Q319">
        <f t="shared" si="965"/>
        <v>1744715.8546614696</v>
      </c>
      <c r="R319">
        <f t="shared" si="966"/>
        <v>-11865756.538179325</v>
      </c>
      <c r="S319">
        <f t="shared" si="967"/>
        <v>-118.65756538179325</v>
      </c>
      <c r="T319">
        <f t="shared" si="968"/>
        <v>-0.11865756538179324</v>
      </c>
    </row>
    <row r="320" spans="1:20" x14ac:dyDescent="0.25">
      <c r="A320" s="5">
        <v>44273</v>
      </c>
      <c r="B320">
        <v>0.29160999999999998</v>
      </c>
      <c r="C320">
        <v>0.31279000000000001</v>
      </c>
      <c r="D320">
        <v>0.28061999999999998</v>
      </c>
      <c r="E320">
        <v>0.28395999999999999</v>
      </c>
      <c r="F320">
        <v>1720007.8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-0.7923531240285977</v>
      </c>
      <c r="Q320">
        <f t="shared" si="965"/>
        <v>-1362853.5536835555</v>
      </c>
      <c r="R320">
        <f t="shared" si="966"/>
        <v>-13610472.392840795</v>
      </c>
      <c r="S320">
        <f t="shared" si="967"/>
        <v>-136.10472392840796</v>
      </c>
      <c r="T320">
        <f t="shared" si="968"/>
        <v>-0.13610472392840797</v>
      </c>
    </row>
    <row r="321" spans="1:20" x14ac:dyDescent="0.25">
      <c r="A321" s="5">
        <v>44272</v>
      </c>
      <c r="B321">
        <v>0.26301999999999998</v>
      </c>
      <c r="C321">
        <v>0.29599999999999999</v>
      </c>
      <c r="D321">
        <v>0.24332999999999999</v>
      </c>
      <c r="E321">
        <v>0.28978999999999999</v>
      </c>
      <c r="F321">
        <v>2668323.4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0.76419213973799149</v>
      </c>
      <c r="Q321">
        <f t="shared" si="965"/>
        <v>2039111.7685589525</v>
      </c>
      <c r="R321">
        <f t="shared" si="966"/>
        <v>-12247618.83915724</v>
      </c>
      <c r="S321">
        <f t="shared" si="967"/>
        <v>-122.47618839157241</v>
      </c>
      <c r="T321">
        <f t="shared" si="968"/>
        <v>-0.12247618839157241</v>
      </c>
    </row>
    <row r="322" spans="1:20" x14ac:dyDescent="0.25">
      <c r="A322" s="5">
        <v>44271</v>
      </c>
      <c r="B322">
        <v>0.25922000000000001</v>
      </c>
      <c r="C322">
        <v>0.29099999999999998</v>
      </c>
      <c r="D322">
        <v>0.24041999999999999</v>
      </c>
      <c r="E322">
        <v>0.26377</v>
      </c>
      <c r="F322">
        <v>2794925.1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-7.6710162119414158E-2</v>
      </c>
      <c r="Q322">
        <f t="shared" si="965"/>
        <v>-214399.15753261984</v>
      </c>
      <c r="R322">
        <f t="shared" si="966"/>
        <v>-14286730.607716193</v>
      </c>
      <c r="S322">
        <f t="shared" si="967"/>
        <v>-142.86730607716194</v>
      </c>
      <c r="T322">
        <f t="shared" si="968"/>
        <v>-0.14286730607716194</v>
      </c>
    </row>
    <row r="323" spans="1:20" x14ac:dyDescent="0.25">
      <c r="A323" s="5">
        <v>44270</v>
      </c>
      <c r="B323">
        <v>0.24889</v>
      </c>
      <c r="C323">
        <v>0.27328999999999998</v>
      </c>
      <c r="D323">
        <v>0.23200000000000001</v>
      </c>
      <c r="E323">
        <v>0.25946000000000002</v>
      </c>
      <c r="F323">
        <v>3817925.1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0.33010414143860667</v>
      </c>
      <c r="Q323">
        <f t="shared" si="965"/>
        <v>1260312.8872124066</v>
      </c>
      <c r="R323">
        <f t="shared" si="966"/>
        <v>-14072331.450183574</v>
      </c>
      <c r="S323">
        <f t="shared" si="967"/>
        <v>-140.72331450183574</v>
      </c>
      <c r="T323">
        <f t="shared" si="968"/>
        <v>-0.14072331450183576</v>
      </c>
    </row>
    <row r="324" spans="1:20" x14ac:dyDescent="0.25">
      <c r="A324" s="5">
        <v>44269</v>
      </c>
      <c r="B324">
        <v>0.27800000000000002</v>
      </c>
      <c r="C324">
        <v>0.30099999999999999</v>
      </c>
      <c r="D324">
        <v>0.24847</v>
      </c>
      <c r="E324">
        <v>0.25</v>
      </c>
      <c r="F324">
        <v>4423696.7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-0.94174757281553378</v>
      </c>
      <c r="Q324">
        <f t="shared" si="965"/>
        <v>-4166005.6300970865</v>
      </c>
      <c r="R324">
        <f t="shared" si="966"/>
        <v>-15332644.337395981</v>
      </c>
      <c r="S324">
        <f t="shared" si="967"/>
        <v>-153.32644337395982</v>
      </c>
      <c r="T324">
        <f t="shared" si="968"/>
        <v>-0.15332644337395981</v>
      </c>
    </row>
    <row r="325" spans="1:20" x14ac:dyDescent="0.25">
      <c r="A325" s="5">
        <v>44268</v>
      </c>
      <c r="B325">
        <v>0.23365</v>
      </c>
      <c r="C325">
        <v>0.29799999999999999</v>
      </c>
      <c r="D325">
        <v>0.22083</v>
      </c>
      <c r="E325">
        <v>0.27800000000000002</v>
      </c>
      <c r="F325">
        <v>5516940.0999999996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0.48166385901257053</v>
      </c>
      <c r="Q325">
        <f t="shared" si="965"/>
        <v>2657310.6585071967</v>
      </c>
      <c r="R325">
        <f t="shared" si="966"/>
        <v>-11166638.707298895</v>
      </c>
      <c r="S325">
        <f t="shared" si="967"/>
        <v>-111.66638707298895</v>
      </c>
      <c r="T325">
        <f t="shared" si="968"/>
        <v>-0.11166638707298895</v>
      </c>
    </row>
    <row r="326" spans="1:20" x14ac:dyDescent="0.25">
      <c r="A326" s="5">
        <v>44267</v>
      </c>
      <c r="B326">
        <v>0.2218</v>
      </c>
      <c r="C326">
        <v>0.24754000000000001</v>
      </c>
      <c r="D326">
        <v>0.21503</v>
      </c>
      <c r="E326">
        <v>0.23365</v>
      </c>
      <c r="F326">
        <v>4075006.5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0.14549369424792319</v>
      </c>
      <c r="Q326">
        <f t="shared" ref="Q326:Q389" si="970">F326*P326</f>
        <v>592887.74976929964</v>
      </c>
      <c r="R326">
        <f t="shared" ref="R326:R389" si="971">R327+Q326</f>
        <v>-13823949.365806092</v>
      </c>
      <c r="S326">
        <f t="shared" ref="S326:S389" si="972">R326/100000</f>
        <v>-138.23949365806092</v>
      </c>
      <c r="T326">
        <f t="shared" ref="T326:T389" si="973">S326/1000</f>
        <v>-0.13823949365806093</v>
      </c>
    </row>
    <row r="327" spans="1:20" x14ac:dyDescent="0.25">
      <c r="A327" s="5">
        <v>44266</v>
      </c>
      <c r="B327">
        <v>0.20752999999999999</v>
      </c>
      <c r="C327">
        <v>0.23211999999999999</v>
      </c>
      <c r="D327">
        <v>0.19903999999999999</v>
      </c>
      <c r="E327">
        <v>0.2218</v>
      </c>
      <c r="F327">
        <v>2524385.4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0.37605804111245489</v>
      </c>
      <c r="Q327">
        <f t="shared" si="970"/>
        <v>949315.42853688088</v>
      </c>
      <c r="R327">
        <f t="shared" si="971"/>
        <v>-14416837.115575392</v>
      </c>
      <c r="S327">
        <f t="shared" si="972"/>
        <v>-144.16837115575393</v>
      </c>
      <c r="T327">
        <f t="shared" si="973"/>
        <v>-0.14416837115575393</v>
      </c>
    </row>
    <row r="328" spans="1:20" x14ac:dyDescent="0.25">
      <c r="A328" s="5">
        <v>44265</v>
      </c>
      <c r="B328">
        <v>0.22889000000000001</v>
      </c>
      <c r="C328">
        <v>0.23252999999999999</v>
      </c>
      <c r="D328">
        <v>0.20168</v>
      </c>
      <c r="E328">
        <v>0.20735000000000001</v>
      </c>
      <c r="F328">
        <v>2527589.7999999998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-0.63241491085899448</v>
      </c>
      <c r="Q328">
        <f t="shared" si="970"/>
        <v>-1598485.4780551037</v>
      </c>
      <c r="R328">
        <f t="shared" si="971"/>
        <v>-15366152.544112273</v>
      </c>
      <c r="S328">
        <f t="shared" si="972"/>
        <v>-153.66152544112273</v>
      </c>
      <c r="T328">
        <f t="shared" si="973"/>
        <v>-0.15366152544112274</v>
      </c>
    </row>
    <row r="329" spans="1:20" x14ac:dyDescent="0.25">
      <c r="A329" s="5">
        <v>44264</v>
      </c>
      <c r="B329">
        <v>0.19406000000000001</v>
      </c>
      <c r="C329">
        <v>0.23103000000000001</v>
      </c>
      <c r="D329">
        <v>0.18396999999999999</v>
      </c>
      <c r="E329">
        <v>0.22889999999999999</v>
      </c>
      <c r="F329">
        <v>4538160.2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0.90947726306842247</v>
      </c>
      <c r="Q329">
        <f t="shared" si="970"/>
        <v>4127353.5180620449</v>
      </c>
      <c r="R329">
        <f t="shared" si="971"/>
        <v>-13767667.066057168</v>
      </c>
      <c r="S329">
        <f t="shared" si="972"/>
        <v>-137.67667066057169</v>
      </c>
      <c r="T329">
        <f t="shared" si="973"/>
        <v>-0.13767667066057168</v>
      </c>
    </row>
    <row r="330" spans="1:20" x14ac:dyDescent="0.25">
      <c r="A330" s="5">
        <v>44263</v>
      </c>
      <c r="B330">
        <v>0.19979</v>
      </c>
      <c r="C330">
        <v>0.2089</v>
      </c>
      <c r="D330">
        <v>0.18978999999999999</v>
      </c>
      <c r="E330">
        <v>0.19384999999999999</v>
      </c>
      <c r="F330">
        <v>4231163.0999999996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-0.5750915750915746</v>
      </c>
      <c r="Q330">
        <f t="shared" si="970"/>
        <v>-2433306.2516483492</v>
      </c>
      <c r="R330">
        <f t="shared" si="971"/>
        <v>-17895020.584119212</v>
      </c>
      <c r="S330">
        <f t="shared" si="972"/>
        <v>-178.95020584119212</v>
      </c>
      <c r="T330">
        <f t="shared" si="973"/>
        <v>-0.17895020584119212</v>
      </c>
    </row>
    <row r="331" spans="1:20" x14ac:dyDescent="0.25">
      <c r="A331" s="5">
        <v>44262</v>
      </c>
      <c r="B331">
        <v>0.20391000000000001</v>
      </c>
      <c r="C331">
        <v>0.2495</v>
      </c>
      <c r="D331">
        <v>0.1915</v>
      </c>
      <c r="E331">
        <v>0.19857</v>
      </c>
      <c r="F331">
        <v>10733360.1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-0.75620689655172435</v>
      </c>
      <c r="Q331">
        <f t="shared" si="970"/>
        <v>-8116640.9307931056</v>
      </c>
      <c r="R331">
        <f t="shared" si="971"/>
        <v>-15461714.332470864</v>
      </c>
      <c r="S331">
        <f t="shared" si="972"/>
        <v>-154.61714332470865</v>
      </c>
      <c r="T331">
        <f t="shared" si="973"/>
        <v>-0.15461714332470866</v>
      </c>
    </row>
    <row r="332" spans="1:20" x14ac:dyDescent="0.25">
      <c r="A332" s="5">
        <v>44261</v>
      </c>
      <c r="B332">
        <v>0.16444</v>
      </c>
      <c r="C332">
        <v>0.21</v>
      </c>
      <c r="D332">
        <v>0.16325999999999999</v>
      </c>
      <c r="E332">
        <v>0.20433000000000001</v>
      </c>
      <c r="F332">
        <v>11432573.199999999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0.75738125802310741</v>
      </c>
      <c r="Q332">
        <f t="shared" si="970"/>
        <v>8658816.6726572625</v>
      </c>
      <c r="R332">
        <f t="shared" si="971"/>
        <v>-7345073.4016777594</v>
      </c>
      <c r="S332">
        <f t="shared" si="972"/>
        <v>-73.450734016777588</v>
      </c>
      <c r="T332">
        <f t="shared" si="973"/>
        <v>-7.3450734016777583E-2</v>
      </c>
    </row>
    <row r="333" spans="1:20" x14ac:dyDescent="0.25">
      <c r="A333" s="5">
        <v>44260</v>
      </c>
      <c r="B333">
        <v>0.16943</v>
      </c>
      <c r="C333">
        <v>0.17266000000000001</v>
      </c>
      <c r="D333">
        <v>0.15501000000000001</v>
      </c>
      <c r="E333">
        <v>0.16377</v>
      </c>
      <c r="F333">
        <v>2923118.9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-7.3654390934854959E-3</v>
      </c>
      <c r="Q333">
        <f t="shared" si="970"/>
        <v>-21530.054220966318</v>
      </c>
      <c r="R333">
        <f t="shared" si="971"/>
        <v>-16003890.074335022</v>
      </c>
      <c r="S333">
        <f t="shared" si="972"/>
        <v>-160.03890074335021</v>
      </c>
      <c r="T333">
        <f t="shared" si="973"/>
        <v>-0.1600389007433502</v>
      </c>
    </row>
    <row r="334" spans="1:20" x14ac:dyDescent="0.25">
      <c r="A334" s="5">
        <v>44259</v>
      </c>
      <c r="B334">
        <v>0.15628</v>
      </c>
      <c r="C334">
        <v>0.17978</v>
      </c>
      <c r="D334">
        <v>0.14710000000000001</v>
      </c>
      <c r="E334">
        <v>0.16979</v>
      </c>
      <c r="F334">
        <v>3499745.1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0.38861689106487129</v>
      </c>
      <c r="Q334">
        <f t="shared" si="970"/>
        <v>1360060.0602815172</v>
      </c>
      <c r="R334">
        <f t="shared" si="971"/>
        <v>-15982360.020114055</v>
      </c>
      <c r="S334">
        <f t="shared" si="972"/>
        <v>-159.82360020114055</v>
      </c>
      <c r="T334">
        <f t="shared" si="973"/>
        <v>-0.15982360020114056</v>
      </c>
    </row>
    <row r="335" spans="1:20" x14ac:dyDescent="0.25">
      <c r="A335" s="5">
        <v>44258</v>
      </c>
      <c r="B335">
        <v>0.15087999999999999</v>
      </c>
      <c r="C335">
        <v>0.16569</v>
      </c>
      <c r="D335">
        <v>0.14799999999999999</v>
      </c>
      <c r="E335">
        <v>0.15629000000000001</v>
      </c>
      <c r="F335">
        <v>1775685.3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-6.2747314867154971E-2</v>
      </c>
      <c r="Q335">
        <f t="shared" si="970"/>
        <v>-111419.48462407854</v>
      </c>
      <c r="R335">
        <f t="shared" si="971"/>
        <v>-17342420.080395572</v>
      </c>
      <c r="S335">
        <f t="shared" si="972"/>
        <v>-173.42420080395573</v>
      </c>
      <c r="T335">
        <f t="shared" si="973"/>
        <v>-0.17342420080395574</v>
      </c>
    </row>
    <row r="336" spans="1:20" x14ac:dyDescent="0.25">
      <c r="A336" s="5">
        <v>44257</v>
      </c>
      <c r="B336">
        <v>0.15859999999999999</v>
      </c>
      <c r="C336">
        <v>0.16475999999999999</v>
      </c>
      <c r="D336">
        <v>0.14505999999999999</v>
      </c>
      <c r="E336">
        <v>0.14779999999999999</v>
      </c>
      <c r="F336">
        <v>1497150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-0.72182741116751337</v>
      </c>
      <c r="Q336">
        <f t="shared" si="970"/>
        <v>-1080683.9086294426</v>
      </c>
      <c r="R336">
        <f t="shared" si="971"/>
        <v>-17231000.595771492</v>
      </c>
      <c r="S336">
        <f t="shared" si="972"/>
        <v>-172.31000595771491</v>
      </c>
      <c r="T336">
        <f t="shared" si="973"/>
        <v>-0.1723100059577149</v>
      </c>
    </row>
    <row r="337" spans="1:20" x14ac:dyDescent="0.25">
      <c r="A337" s="5">
        <v>44256</v>
      </c>
      <c r="B337">
        <v>0.152</v>
      </c>
      <c r="C337">
        <v>0.17297000000000001</v>
      </c>
      <c r="D337">
        <v>0.15198999999999999</v>
      </c>
      <c r="E337">
        <v>0.15901000000000001</v>
      </c>
      <c r="F337">
        <v>3411990.8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-0.33079122974261033</v>
      </c>
      <c r="Q337">
        <f t="shared" si="970"/>
        <v>-1128656.6326024728</v>
      </c>
      <c r="R337">
        <f t="shared" si="971"/>
        <v>-16150316.687142048</v>
      </c>
      <c r="S337">
        <f t="shared" si="972"/>
        <v>-161.50316687142049</v>
      </c>
      <c r="T337">
        <f t="shared" si="973"/>
        <v>-0.16150316687142049</v>
      </c>
    </row>
    <row r="338" spans="1:20" x14ac:dyDescent="0.25">
      <c r="A338" s="5">
        <v>44255</v>
      </c>
      <c r="B338">
        <v>0.14817</v>
      </c>
      <c r="C338">
        <v>0.15389</v>
      </c>
      <c r="D338">
        <v>0.13100999999999999</v>
      </c>
      <c r="E338">
        <v>0.152</v>
      </c>
      <c r="F338">
        <v>2169866.9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0.83479020979020968</v>
      </c>
      <c r="Q338">
        <f t="shared" si="970"/>
        <v>1811383.6446678319</v>
      </c>
      <c r="R338">
        <f t="shared" si="971"/>
        <v>-15021660.054539574</v>
      </c>
      <c r="S338">
        <f t="shared" si="972"/>
        <v>-150.21660054539575</v>
      </c>
      <c r="T338">
        <f t="shared" si="973"/>
        <v>-0.15021660054539576</v>
      </c>
    </row>
    <row r="339" spans="1:20" x14ac:dyDescent="0.25">
      <c r="A339" s="5">
        <v>44254</v>
      </c>
      <c r="B339">
        <v>0.14277000000000001</v>
      </c>
      <c r="C339">
        <v>0.158</v>
      </c>
      <c r="D339">
        <v>0.14136000000000001</v>
      </c>
      <c r="E339">
        <v>0.14821000000000001</v>
      </c>
      <c r="F339">
        <v>1536122.4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-0.17668269230769232</v>
      </c>
      <c r="Q339">
        <f t="shared" si="970"/>
        <v>-271406.24134615384</v>
      </c>
      <c r="R339">
        <f t="shared" si="971"/>
        <v>-16833043.699207406</v>
      </c>
      <c r="S339">
        <f t="shared" si="972"/>
        <v>-168.33043699207406</v>
      </c>
      <c r="T339">
        <f t="shared" si="973"/>
        <v>-0.16833043699207406</v>
      </c>
    </row>
    <row r="340" spans="1:20" x14ac:dyDescent="0.25">
      <c r="A340" s="5">
        <v>44253</v>
      </c>
      <c r="B340">
        <v>0.13700000000000001</v>
      </c>
      <c r="C340">
        <v>0.15645999999999999</v>
      </c>
      <c r="D340">
        <v>0.12512999999999999</v>
      </c>
      <c r="E340">
        <v>0.14277000000000001</v>
      </c>
      <c r="F340">
        <v>2558169.6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0.12607724225981606</v>
      </c>
      <c r="Q340">
        <f t="shared" si="970"/>
        <v>322526.96840089676</v>
      </c>
      <c r="R340">
        <f t="shared" si="971"/>
        <v>-16561637.457861254</v>
      </c>
      <c r="S340">
        <f t="shared" si="972"/>
        <v>-165.61637457861255</v>
      </c>
      <c r="T340">
        <f t="shared" si="973"/>
        <v>-0.16561637457861256</v>
      </c>
    </row>
    <row r="341" spans="1:20" x14ac:dyDescent="0.25">
      <c r="A341" s="5">
        <v>44252</v>
      </c>
      <c r="B341">
        <v>0.14412</v>
      </c>
      <c r="C341">
        <v>0.15897</v>
      </c>
      <c r="D341">
        <v>0.13424</v>
      </c>
      <c r="E341">
        <v>0.13700000000000001</v>
      </c>
      <c r="F341">
        <v>1504361.7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-0.77678932470683282</v>
      </c>
      <c r="Q341">
        <f t="shared" si="970"/>
        <v>-1168572.109057823</v>
      </c>
      <c r="R341">
        <f t="shared" si="971"/>
        <v>-16884164.426262151</v>
      </c>
      <c r="S341">
        <f t="shared" si="972"/>
        <v>-168.84164426262151</v>
      </c>
      <c r="T341">
        <f t="shared" si="973"/>
        <v>-0.16884164426262152</v>
      </c>
    </row>
    <row r="342" spans="1:20" x14ac:dyDescent="0.25">
      <c r="A342" s="5">
        <v>44251</v>
      </c>
      <c r="B342">
        <v>0.13766</v>
      </c>
      <c r="C342">
        <v>0.15481</v>
      </c>
      <c r="D342">
        <v>0.13150999999999999</v>
      </c>
      <c r="E342">
        <v>0.13875999999999999</v>
      </c>
      <c r="F342">
        <v>1742257.1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-0.37768240343347625</v>
      </c>
      <c r="Q342">
        <f t="shared" si="970"/>
        <v>-658019.84892703837</v>
      </c>
      <c r="R342">
        <f t="shared" si="971"/>
        <v>-15715592.31720433</v>
      </c>
      <c r="S342">
        <f t="shared" si="972"/>
        <v>-157.15592317204329</v>
      </c>
      <c r="T342">
        <f t="shared" si="973"/>
        <v>-0.1571559231720433</v>
      </c>
    </row>
    <row r="343" spans="1:20" x14ac:dyDescent="0.25">
      <c r="A343" s="5">
        <v>44250</v>
      </c>
      <c r="B343">
        <v>0.16916</v>
      </c>
      <c r="C343">
        <v>0.17011000000000001</v>
      </c>
      <c r="D343">
        <v>0.11869</v>
      </c>
      <c r="E343">
        <v>0.13764999999999999</v>
      </c>
      <c r="F343">
        <v>3401067.1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-0.2625437572928826</v>
      </c>
      <c r="Q343">
        <f t="shared" si="970"/>
        <v>-892928.93523920805</v>
      </c>
      <c r="R343">
        <f t="shared" si="971"/>
        <v>-15057572.468277292</v>
      </c>
      <c r="S343">
        <f t="shared" si="972"/>
        <v>-150.57572468277291</v>
      </c>
      <c r="T343">
        <f t="shared" si="973"/>
        <v>-0.15057572468277292</v>
      </c>
    </row>
    <row r="344" spans="1:20" x14ac:dyDescent="0.25">
      <c r="A344" s="5">
        <v>44249</v>
      </c>
      <c r="B344">
        <v>0.19198999999999999</v>
      </c>
      <c r="C344">
        <v>0.19874</v>
      </c>
      <c r="D344">
        <v>0.14305000000000001</v>
      </c>
      <c r="E344">
        <v>0.16955999999999999</v>
      </c>
      <c r="F344">
        <v>3783258.4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-4.7943975579099192E-2</v>
      </c>
      <c r="Q344">
        <f t="shared" si="970"/>
        <v>-181384.44833902188</v>
      </c>
      <c r="R344">
        <f t="shared" si="971"/>
        <v>-14164643.533038083</v>
      </c>
      <c r="S344">
        <f t="shared" si="972"/>
        <v>-141.64643533038083</v>
      </c>
      <c r="T344">
        <f t="shared" si="973"/>
        <v>-0.14164643533038082</v>
      </c>
    </row>
    <row r="345" spans="1:20" x14ac:dyDescent="0.25">
      <c r="A345" s="5">
        <v>44248</v>
      </c>
      <c r="B345">
        <v>0.19034999999999999</v>
      </c>
      <c r="C345">
        <v>0.24</v>
      </c>
      <c r="D345">
        <v>0.18493999999999999</v>
      </c>
      <c r="E345">
        <v>0.19389000000000001</v>
      </c>
      <c r="F345">
        <v>5349436.4000000004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-0.67490010897203001</v>
      </c>
      <c r="Q345">
        <f t="shared" si="970"/>
        <v>-3610335.2092989441</v>
      </c>
      <c r="R345">
        <f t="shared" si="971"/>
        <v>-13983259.084699061</v>
      </c>
      <c r="S345">
        <f t="shared" si="972"/>
        <v>-139.8325908469906</v>
      </c>
      <c r="T345">
        <f t="shared" si="973"/>
        <v>-0.1398325908469906</v>
      </c>
    </row>
    <row r="346" spans="1:20" x14ac:dyDescent="0.25">
      <c r="A346" s="5">
        <v>44247</v>
      </c>
      <c r="B346">
        <v>0.17810999999999999</v>
      </c>
      <c r="C346">
        <v>0.20918</v>
      </c>
      <c r="D346">
        <v>0.17102000000000001</v>
      </c>
      <c r="E346">
        <v>0.19034999999999999</v>
      </c>
      <c r="F346">
        <v>5053522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1.3102725366875595E-2</v>
      </c>
      <c r="Q346">
        <f t="shared" si="970"/>
        <v>66214.910901463896</v>
      </c>
      <c r="R346">
        <f t="shared" si="971"/>
        <v>-10372923.875400117</v>
      </c>
      <c r="S346">
        <f t="shared" si="972"/>
        <v>-103.72923875400117</v>
      </c>
      <c r="T346">
        <f t="shared" si="973"/>
        <v>-0.10372923875400117</v>
      </c>
    </row>
    <row r="347" spans="1:20" x14ac:dyDescent="0.25">
      <c r="A347" s="5">
        <v>44246</v>
      </c>
      <c r="B347">
        <v>0.17659</v>
      </c>
      <c r="C347">
        <v>0.18498000000000001</v>
      </c>
      <c r="D347">
        <v>0.17100000000000001</v>
      </c>
      <c r="E347">
        <v>0.17699999999999999</v>
      </c>
      <c r="F347">
        <v>2020800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-0.1416309012875564</v>
      </c>
      <c r="Q347">
        <f t="shared" si="970"/>
        <v>-286207.72532189399</v>
      </c>
      <c r="R347">
        <f t="shared" si="971"/>
        <v>-10439138.786301581</v>
      </c>
      <c r="S347">
        <f t="shared" si="972"/>
        <v>-104.39138786301581</v>
      </c>
      <c r="T347">
        <f t="shared" si="973"/>
        <v>-0.10439138786301581</v>
      </c>
    </row>
    <row r="348" spans="1:20" x14ac:dyDescent="0.25">
      <c r="A348" s="5">
        <v>44245</v>
      </c>
      <c r="B348">
        <v>0.15404000000000001</v>
      </c>
      <c r="C348">
        <v>0.19</v>
      </c>
      <c r="D348">
        <v>0.15404000000000001</v>
      </c>
      <c r="E348">
        <v>0.17659</v>
      </c>
      <c r="F348">
        <v>4225842.0999999996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0.25417130144605071</v>
      </c>
      <c r="Q348">
        <f t="shared" si="970"/>
        <v>1074087.786262512</v>
      </c>
      <c r="R348">
        <f t="shared" si="971"/>
        <v>-10152931.060979687</v>
      </c>
      <c r="S348">
        <f t="shared" si="972"/>
        <v>-101.52931060979687</v>
      </c>
      <c r="T348">
        <f t="shared" si="973"/>
        <v>-0.10152931060979686</v>
      </c>
    </row>
    <row r="349" spans="1:20" x14ac:dyDescent="0.25">
      <c r="A349" s="5">
        <v>44244</v>
      </c>
      <c r="B349">
        <v>0.15507000000000001</v>
      </c>
      <c r="C349">
        <v>0.16236</v>
      </c>
      <c r="D349">
        <v>0.14562</v>
      </c>
      <c r="E349">
        <v>0.15390000000000001</v>
      </c>
      <c r="F349">
        <v>1371677.3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-1.0752688172042155E-2</v>
      </c>
      <c r="Q349">
        <f t="shared" si="970"/>
        <v>-14749.218279568719</v>
      </c>
      <c r="R349">
        <f t="shared" si="971"/>
        <v>-11227018.847242199</v>
      </c>
      <c r="S349">
        <f t="shared" si="972"/>
        <v>-112.27018847242199</v>
      </c>
      <c r="T349">
        <f t="shared" si="973"/>
        <v>-0.112270188472422</v>
      </c>
    </row>
    <row r="350" spans="1:20" x14ac:dyDescent="0.25">
      <c r="A350" s="5">
        <v>44243</v>
      </c>
      <c r="B350">
        <v>0.15196999999999999</v>
      </c>
      <c r="C350">
        <v>0.17025999999999999</v>
      </c>
      <c r="D350">
        <v>0.14624000000000001</v>
      </c>
      <c r="E350">
        <v>0.15508</v>
      </c>
      <c r="F350">
        <v>1683273.1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-0.26394671107410556</v>
      </c>
      <c r="Q350">
        <f t="shared" si="970"/>
        <v>-444294.39858451404</v>
      </c>
      <c r="R350">
        <f t="shared" si="971"/>
        <v>-11212269.62896263</v>
      </c>
      <c r="S350">
        <f t="shared" si="972"/>
        <v>-112.1226962896263</v>
      </c>
      <c r="T350">
        <f t="shared" si="973"/>
        <v>-0.1121226962896263</v>
      </c>
    </row>
    <row r="351" spans="1:20" x14ac:dyDescent="0.25">
      <c r="A351" s="5">
        <v>44242</v>
      </c>
      <c r="B351">
        <v>0.15379999999999999</v>
      </c>
      <c r="C351">
        <v>0.17</v>
      </c>
      <c r="D351">
        <v>0.13400000000000001</v>
      </c>
      <c r="E351">
        <v>0.15196999999999999</v>
      </c>
      <c r="F351">
        <v>2421539.2000000002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-1.6666666666675623E-3</v>
      </c>
      <c r="Q351">
        <f t="shared" si="970"/>
        <v>-4035.8986666688356</v>
      </c>
      <c r="R351">
        <f t="shared" si="971"/>
        <v>-10767975.230378116</v>
      </c>
      <c r="S351">
        <f t="shared" si="972"/>
        <v>-107.67975230378116</v>
      </c>
      <c r="T351">
        <f t="shared" si="973"/>
        <v>-0.10767975230378116</v>
      </c>
    </row>
    <row r="352" spans="1:20" x14ac:dyDescent="0.25">
      <c r="A352" s="5">
        <v>44241</v>
      </c>
      <c r="B352">
        <v>0.16725999999999999</v>
      </c>
      <c r="C352">
        <v>0.17150000000000001</v>
      </c>
      <c r="D352">
        <v>0.14288000000000001</v>
      </c>
      <c r="E352">
        <v>0.15597</v>
      </c>
      <c r="F352">
        <v>2509731.7999999998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-8.5255066387142725E-2</v>
      </c>
      <c r="Q352">
        <f t="shared" si="970"/>
        <v>-213967.3512229232</v>
      </c>
      <c r="R352">
        <f t="shared" si="971"/>
        <v>-10763939.331711447</v>
      </c>
      <c r="S352">
        <f t="shared" si="972"/>
        <v>-107.63939331711447</v>
      </c>
      <c r="T352">
        <f t="shared" si="973"/>
        <v>-0.10763939331711447</v>
      </c>
    </row>
    <row r="353" spans="1:20" x14ac:dyDescent="0.25">
      <c r="A353" s="5">
        <v>44240</v>
      </c>
      <c r="B353">
        <v>0.16272</v>
      </c>
      <c r="C353">
        <v>0.17888000000000001</v>
      </c>
      <c r="D353">
        <v>0.15495999999999999</v>
      </c>
      <c r="E353">
        <v>0.16725999999999999</v>
      </c>
      <c r="F353">
        <v>2666999.4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2.8428093645484341E-2</v>
      </c>
      <c r="Q353">
        <f t="shared" si="970"/>
        <v>75817.708695650552</v>
      </c>
      <c r="R353">
        <f t="shared" si="971"/>
        <v>-10549971.980488524</v>
      </c>
      <c r="S353">
        <f t="shared" si="972"/>
        <v>-105.49971980488525</v>
      </c>
      <c r="T353">
        <f t="shared" si="973"/>
        <v>-0.10549971980488525</v>
      </c>
    </row>
    <row r="354" spans="1:20" x14ac:dyDescent="0.25">
      <c r="A354" s="5">
        <v>44239</v>
      </c>
      <c r="B354">
        <v>0.13808999999999999</v>
      </c>
      <c r="C354">
        <v>0.16866999999999999</v>
      </c>
      <c r="D354">
        <v>0.13385</v>
      </c>
      <c r="E354">
        <v>0.16184000000000001</v>
      </c>
      <c r="F354">
        <v>3170453.6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0.60769672601953029</v>
      </c>
      <c r="Q354">
        <f t="shared" si="970"/>
        <v>1926674.2727168335</v>
      </c>
      <c r="R354">
        <f t="shared" si="971"/>
        <v>-10625789.689184174</v>
      </c>
      <c r="S354">
        <f t="shared" si="972"/>
        <v>-106.25789689184174</v>
      </c>
      <c r="T354">
        <f t="shared" si="973"/>
        <v>-0.10625789689184174</v>
      </c>
    </row>
    <row r="355" spans="1:20" x14ac:dyDescent="0.25">
      <c r="A355" s="5">
        <v>44238</v>
      </c>
      <c r="B355">
        <v>0.13000999999999999</v>
      </c>
      <c r="C355">
        <v>0.14380000000000001</v>
      </c>
      <c r="D355">
        <v>0.13</v>
      </c>
      <c r="E355">
        <v>0.13808999999999999</v>
      </c>
      <c r="F355">
        <v>2451679.5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0.17246376811593944</v>
      </c>
      <c r="Q355">
        <f t="shared" si="970"/>
        <v>422825.88478260237</v>
      </c>
      <c r="R355">
        <f t="shared" si="971"/>
        <v>-12552463.961901007</v>
      </c>
      <c r="S355">
        <f t="shared" si="972"/>
        <v>-125.52463961901007</v>
      </c>
      <c r="T355">
        <f t="shared" si="973"/>
        <v>-0.12552463961901009</v>
      </c>
    </row>
    <row r="356" spans="1:20" x14ac:dyDescent="0.25">
      <c r="A356" s="5">
        <v>44237</v>
      </c>
      <c r="B356">
        <v>0.12481</v>
      </c>
      <c r="C356">
        <v>0.13364999999999999</v>
      </c>
      <c r="D356">
        <v>0.11637</v>
      </c>
      <c r="E356">
        <v>0.13000999999999999</v>
      </c>
      <c r="F356">
        <v>2369621.2000000002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0.57870370370370294</v>
      </c>
      <c r="Q356">
        <f t="shared" si="970"/>
        <v>1371308.5648148132</v>
      </c>
      <c r="R356">
        <f t="shared" si="971"/>
        <v>-12975289.84668361</v>
      </c>
      <c r="S356">
        <f t="shared" si="972"/>
        <v>-129.75289846683611</v>
      </c>
      <c r="T356">
        <f t="shared" si="973"/>
        <v>-0.1297528984668361</v>
      </c>
    </row>
    <row r="357" spans="1:20" x14ac:dyDescent="0.25">
      <c r="A357" s="5">
        <v>44236</v>
      </c>
      <c r="B357">
        <v>0.11763999999999999</v>
      </c>
      <c r="C357">
        <v>0.12920000000000001</v>
      </c>
      <c r="D357">
        <v>0.11494</v>
      </c>
      <c r="E357">
        <v>0.12325</v>
      </c>
      <c r="F357">
        <v>1895922.6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0.16549789621318273</v>
      </c>
      <c r="Q357">
        <f t="shared" si="970"/>
        <v>313771.20168302755</v>
      </c>
      <c r="R357">
        <f t="shared" si="971"/>
        <v>-14346598.411498424</v>
      </c>
      <c r="S357">
        <f t="shared" si="972"/>
        <v>-143.46598411498422</v>
      </c>
      <c r="T357">
        <f t="shared" si="973"/>
        <v>-0.14346598411498424</v>
      </c>
    </row>
    <row r="358" spans="1:20" x14ac:dyDescent="0.25">
      <c r="A358" s="5">
        <v>44235</v>
      </c>
      <c r="B358">
        <v>0.11151999999999999</v>
      </c>
      <c r="C358">
        <v>0.122</v>
      </c>
      <c r="D358">
        <v>0.10917</v>
      </c>
      <c r="E358">
        <v>0.11763999999999999</v>
      </c>
      <c r="F358">
        <v>1311407.8999999999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0.32034294621979659</v>
      </c>
      <c r="Q358">
        <f t="shared" si="970"/>
        <v>420100.27038191637</v>
      </c>
      <c r="R358">
        <f t="shared" si="971"/>
        <v>-14660369.613181451</v>
      </c>
      <c r="S358">
        <f t="shared" si="972"/>
        <v>-146.6036961318145</v>
      </c>
      <c r="T358">
        <f t="shared" si="973"/>
        <v>-0.14660369613181451</v>
      </c>
    </row>
    <row r="359" spans="1:20" x14ac:dyDescent="0.25">
      <c r="A359" s="5">
        <v>44234</v>
      </c>
      <c r="B359">
        <v>0.11254</v>
      </c>
      <c r="C359">
        <v>0.11522</v>
      </c>
      <c r="D359">
        <v>0.10523</v>
      </c>
      <c r="E359">
        <v>0.11087</v>
      </c>
      <c r="F359">
        <v>936096.2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0.12912912912912769</v>
      </c>
      <c r="Q359">
        <f t="shared" si="970"/>
        <v>120877.28708708573</v>
      </c>
      <c r="R359">
        <f t="shared" si="971"/>
        <v>-15080469.883563368</v>
      </c>
      <c r="S359">
        <f t="shared" si="972"/>
        <v>-150.80469883563367</v>
      </c>
      <c r="T359">
        <f t="shared" si="973"/>
        <v>-0.15080469883563366</v>
      </c>
    </row>
    <row r="360" spans="1:20" x14ac:dyDescent="0.25">
      <c r="A360" s="5">
        <v>44233</v>
      </c>
      <c r="B360">
        <v>0.12248000000000001</v>
      </c>
      <c r="C360">
        <v>0.12314</v>
      </c>
      <c r="D360">
        <v>0.109</v>
      </c>
      <c r="E360">
        <v>0.11287999999999999</v>
      </c>
      <c r="F360">
        <v>1309524.6000000001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-0.45120226308345196</v>
      </c>
      <c r="Q360">
        <f t="shared" si="970"/>
        <v>-590860.4630834522</v>
      </c>
      <c r="R360">
        <f t="shared" si="971"/>
        <v>-15201347.170650454</v>
      </c>
      <c r="S360">
        <f t="shared" si="972"/>
        <v>-152.01347170650453</v>
      </c>
      <c r="T360">
        <f t="shared" si="973"/>
        <v>-0.15201347170650453</v>
      </c>
    </row>
    <row r="361" spans="1:20" x14ac:dyDescent="0.25">
      <c r="A361" s="5">
        <v>44232</v>
      </c>
      <c r="B361">
        <v>0.11767</v>
      </c>
      <c r="C361">
        <v>0.12814</v>
      </c>
      <c r="D361">
        <v>0.11455</v>
      </c>
      <c r="E361">
        <v>0.1225</v>
      </c>
      <c r="F361">
        <v>1540488.2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0.16997792494481176</v>
      </c>
      <c r="Q361">
        <f t="shared" si="970"/>
        <v>261848.98763796815</v>
      </c>
      <c r="R361">
        <f t="shared" si="971"/>
        <v>-14610486.707567003</v>
      </c>
      <c r="S361">
        <f t="shared" si="972"/>
        <v>-146.10486707567003</v>
      </c>
      <c r="T361">
        <f t="shared" si="973"/>
        <v>-0.14610486707567003</v>
      </c>
    </row>
    <row r="362" spans="1:20" x14ac:dyDescent="0.25">
      <c r="A362" s="5">
        <v>44231</v>
      </c>
      <c r="B362">
        <v>0.10775</v>
      </c>
      <c r="C362">
        <v>0.11999</v>
      </c>
      <c r="D362">
        <v>0.105</v>
      </c>
      <c r="E362">
        <v>0.11768000000000001</v>
      </c>
      <c r="F362">
        <v>2353147.5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0.69179452968645871</v>
      </c>
      <c r="Q362">
        <f t="shared" si="970"/>
        <v>1627894.5680453661</v>
      </c>
      <c r="R362">
        <f t="shared" si="971"/>
        <v>-14872335.695204971</v>
      </c>
      <c r="S362">
        <f t="shared" si="972"/>
        <v>-148.72335695204973</v>
      </c>
      <c r="T362">
        <f t="shared" si="973"/>
        <v>-0.14872335695204972</v>
      </c>
    </row>
    <row r="363" spans="1:20" x14ac:dyDescent="0.25">
      <c r="A363" s="5">
        <v>44230</v>
      </c>
      <c r="B363">
        <v>0.10099</v>
      </c>
      <c r="C363">
        <v>0.1118</v>
      </c>
      <c r="D363">
        <v>9.9709999999999993E-2</v>
      </c>
      <c r="E363">
        <v>0.1072</v>
      </c>
      <c r="F363">
        <v>1428560.3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0.2390405293631114</v>
      </c>
      <c r="Q363">
        <f t="shared" si="970"/>
        <v>341483.81033912522</v>
      </c>
      <c r="R363">
        <f t="shared" si="971"/>
        <v>-16500230.263250338</v>
      </c>
      <c r="S363">
        <f t="shared" si="972"/>
        <v>-165.00230263250339</v>
      </c>
      <c r="T363">
        <f t="shared" si="973"/>
        <v>-0.1650023026325034</v>
      </c>
    </row>
    <row r="364" spans="1:20" x14ac:dyDescent="0.25">
      <c r="A364" s="5">
        <v>44229</v>
      </c>
      <c r="B364">
        <v>0.10115</v>
      </c>
      <c r="C364">
        <v>0.10748000000000001</v>
      </c>
      <c r="D364">
        <v>9.851E-2</v>
      </c>
      <c r="E364">
        <v>0.10093000000000001</v>
      </c>
      <c r="F364">
        <v>918412.4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-0.46042363433667693</v>
      </c>
      <c r="Q364">
        <f t="shared" si="970"/>
        <v>-422858.77502786991</v>
      </c>
      <c r="R364">
        <f t="shared" si="971"/>
        <v>-16841714.073589463</v>
      </c>
      <c r="S364">
        <f t="shared" si="972"/>
        <v>-168.41714073589463</v>
      </c>
      <c r="T364">
        <f t="shared" si="973"/>
        <v>-0.16841714073589464</v>
      </c>
    </row>
    <row r="365" spans="1:20" x14ac:dyDescent="0.25">
      <c r="A365" s="5">
        <v>44228</v>
      </c>
      <c r="B365">
        <v>0.10287</v>
      </c>
      <c r="C365">
        <v>0.10559</v>
      </c>
      <c r="D365">
        <v>9.8000000000000004E-2</v>
      </c>
      <c r="E365">
        <v>0.10100000000000001</v>
      </c>
      <c r="F365">
        <v>631429.19999999995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-0.20948616600790437</v>
      </c>
      <c r="Q365">
        <f t="shared" si="970"/>
        <v>-132275.68221343824</v>
      </c>
      <c r="R365">
        <f t="shared" si="971"/>
        <v>-16418855.298561594</v>
      </c>
      <c r="S365">
        <f t="shared" si="972"/>
        <v>-164.18855298561593</v>
      </c>
      <c r="T365">
        <f t="shared" si="973"/>
        <v>-0.16418855298561594</v>
      </c>
    </row>
    <row r="366" spans="1:20" x14ac:dyDescent="0.25">
      <c r="A366" s="5">
        <v>44227</v>
      </c>
      <c r="B366">
        <v>9.4619999999999996E-2</v>
      </c>
      <c r="C366">
        <v>0.111</v>
      </c>
      <c r="D366">
        <v>9.3020000000000005E-2</v>
      </c>
      <c r="E366">
        <v>0.10281999999999999</v>
      </c>
      <c r="F366">
        <v>1608567.1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9.010011123470428E-2</v>
      </c>
      <c r="Q366">
        <f t="shared" si="970"/>
        <v>144932.0746384857</v>
      </c>
      <c r="R366">
        <f t="shared" si="971"/>
        <v>-16286579.616348155</v>
      </c>
      <c r="S366">
        <f t="shared" si="972"/>
        <v>-162.86579616348155</v>
      </c>
      <c r="T366">
        <f t="shared" si="973"/>
        <v>-0.16286579616348154</v>
      </c>
    </row>
    <row r="367" spans="1:20" x14ac:dyDescent="0.25">
      <c r="A367" s="5">
        <v>44226</v>
      </c>
      <c r="B367">
        <v>9.257E-2</v>
      </c>
      <c r="C367">
        <v>0.10786999999999999</v>
      </c>
      <c r="D367">
        <v>9.0999999999999998E-2</v>
      </c>
      <c r="E367">
        <v>9.4490000000000005E-2</v>
      </c>
      <c r="F367">
        <v>1215522.3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-0.58624777711914544</v>
      </c>
      <c r="Q367">
        <f t="shared" si="970"/>
        <v>-712597.24641375104</v>
      </c>
      <c r="R367">
        <f t="shared" si="971"/>
        <v>-16431511.690986641</v>
      </c>
      <c r="S367">
        <f t="shared" si="972"/>
        <v>-164.31511690986642</v>
      </c>
      <c r="T367">
        <f t="shared" si="973"/>
        <v>-0.16431511690986642</v>
      </c>
    </row>
    <row r="368" spans="1:20" x14ac:dyDescent="0.25">
      <c r="A368" s="5">
        <v>44225</v>
      </c>
      <c r="B368">
        <v>9.64E-2</v>
      </c>
      <c r="C368">
        <v>9.8229999999999998E-2</v>
      </c>
      <c r="D368">
        <v>8.9840000000000003E-2</v>
      </c>
      <c r="E368">
        <v>9.2560000000000003E-2</v>
      </c>
      <c r="F368">
        <v>1438017.9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-0.35160905840286011</v>
      </c>
      <c r="Q368">
        <f t="shared" si="970"/>
        <v>-505620.1197854582</v>
      </c>
      <c r="R368">
        <f t="shared" si="971"/>
        <v>-15718914.44457289</v>
      </c>
      <c r="S368">
        <f t="shared" si="972"/>
        <v>-157.18914444572891</v>
      </c>
      <c r="T368">
        <f t="shared" si="973"/>
        <v>-0.1571891444457289</v>
      </c>
    </row>
    <row r="369" spans="1:20" x14ac:dyDescent="0.25">
      <c r="A369" s="5">
        <v>44224</v>
      </c>
      <c r="B369">
        <v>9.5430000000000001E-2</v>
      </c>
      <c r="C369">
        <v>0.1007</v>
      </c>
      <c r="D369">
        <v>9.2999999999999999E-2</v>
      </c>
      <c r="E369">
        <v>9.5469999999999999E-2</v>
      </c>
      <c r="F369">
        <v>1325529.5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-0.35844155844155834</v>
      </c>
      <c r="Q369">
        <f t="shared" si="970"/>
        <v>-475124.85974025959</v>
      </c>
      <c r="R369">
        <f t="shared" si="971"/>
        <v>-15213294.324787432</v>
      </c>
      <c r="S369">
        <f t="shared" si="972"/>
        <v>-152.13294324787432</v>
      </c>
      <c r="T369">
        <f t="shared" si="973"/>
        <v>-0.15213294324787432</v>
      </c>
    </row>
    <row r="370" spans="1:20" x14ac:dyDescent="0.25">
      <c r="A370" s="5">
        <v>44223</v>
      </c>
      <c r="B370">
        <v>0.10706</v>
      </c>
      <c r="C370">
        <v>0.1099</v>
      </c>
      <c r="D370">
        <v>9.3619999999999995E-2</v>
      </c>
      <c r="E370">
        <v>9.5610000000000001E-2</v>
      </c>
      <c r="F370">
        <v>2806941.6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-0.75552825552825487</v>
      </c>
      <c r="Q370">
        <f t="shared" si="970"/>
        <v>-2120723.6904176888</v>
      </c>
      <c r="R370">
        <f t="shared" si="971"/>
        <v>-14738169.465047173</v>
      </c>
      <c r="S370">
        <f t="shared" si="972"/>
        <v>-147.38169465047173</v>
      </c>
      <c r="T370">
        <f t="shared" si="973"/>
        <v>-0.14738169465047174</v>
      </c>
    </row>
    <row r="371" spans="1:20" x14ac:dyDescent="0.25">
      <c r="A371" s="5">
        <v>44222</v>
      </c>
      <c r="B371">
        <v>8.9050000000000004E-2</v>
      </c>
      <c r="C371">
        <v>0.10929999999999999</v>
      </c>
      <c r="D371">
        <v>8.5120000000000001E-2</v>
      </c>
      <c r="E371">
        <v>0.10680000000000001</v>
      </c>
      <c r="F371">
        <v>5396724.2999999998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0.79321753515301996</v>
      </c>
      <c r="Q371">
        <f t="shared" si="970"/>
        <v>4280776.3471464068</v>
      </c>
      <c r="R371">
        <f t="shared" si="971"/>
        <v>-12617445.774629485</v>
      </c>
      <c r="S371">
        <f t="shared" si="972"/>
        <v>-126.17445774629485</v>
      </c>
      <c r="T371">
        <f t="shared" si="973"/>
        <v>-0.12617445774629485</v>
      </c>
    </row>
    <row r="372" spans="1:20" x14ac:dyDescent="0.25">
      <c r="A372" s="5">
        <v>44221</v>
      </c>
      <c r="B372">
        <v>9.3170000000000003E-2</v>
      </c>
      <c r="C372">
        <v>0.105</v>
      </c>
      <c r="D372">
        <v>8.6319999999999994E-2</v>
      </c>
      <c r="E372">
        <v>8.9050000000000004E-2</v>
      </c>
      <c r="F372">
        <v>1479339.4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-0.70770877944325372</v>
      </c>
      <c r="Q372">
        <f t="shared" si="970"/>
        <v>-1046941.4811563152</v>
      </c>
      <c r="R372">
        <f t="shared" si="971"/>
        <v>-16898222.121775892</v>
      </c>
      <c r="S372">
        <f t="shared" si="972"/>
        <v>-168.98222121775891</v>
      </c>
      <c r="T372">
        <f t="shared" si="973"/>
        <v>-0.16898222121775891</v>
      </c>
    </row>
    <row r="373" spans="1:20" x14ac:dyDescent="0.25">
      <c r="A373" s="5">
        <v>44220</v>
      </c>
      <c r="B373">
        <v>9.5250000000000001E-2</v>
      </c>
      <c r="C373">
        <v>0.10079</v>
      </c>
      <c r="D373">
        <v>8.8739999999999999E-2</v>
      </c>
      <c r="E373">
        <v>9.3170000000000003E-2</v>
      </c>
      <c r="F373">
        <v>863083.4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-0.26473029045643132</v>
      </c>
      <c r="Q373">
        <f t="shared" si="970"/>
        <v>-228484.3191701243</v>
      </c>
      <c r="R373">
        <f t="shared" si="971"/>
        <v>-15851280.640619578</v>
      </c>
      <c r="S373">
        <f t="shared" si="972"/>
        <v>-158.51280640619578</v>
      </c>
      <c r="T373">
        <f t="shared" si="973"/>
        <v>-0.15851280640619578</v>
      </c>
    </row>
    <row r="374" spans="1:20" x14ac:dyDescent="0.25">
      <c r="A374" s="5">
        <v>44219</v>
      </c>
      <c r="B374">
        <v>8.6870000000000003E-2</v>
      </c>
      <c r="C374">
        <v>9.8000000000000004E-2</v>
      </c>
      <c r="D374">
        <v>8.5699999999999998E-2</v>
      </c>
      <c r="E374">
        <v>9.6000000000000002E-2</v>
      </c>
      <c r="F374">
        <v>922154.8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0.67479674796747957</v>
      </c>
      <c r="Q374">
        <f t="shared" si="970"/>
        <v>622267.06016260153</v>
      </c>
      <c r="R374">
        <f t="shared" si="971"/>
        <v>-15622796.321449453</v>
      </c>
      <c r="S374">
        <f t="shared" si="972"/>
        <v>-156.22796321449454</v>
      </c>
      <c r="T374">
        <f t="shared" si="973"/>
        <v>-0.15622796321449453</v>
      </c>
    </row>
    <row r="375" spans="1:20" x14ac:dyDescent="0.25">
      <c r="A375" s="5">
        <v>44218</v>
      </c>
      <c r="B375">
        <v>8.5860000000000006E-2</v>
      </c>
      <c r="C375">
        <v>9.3030000000000002E-2</v>
      </c>
      <c r="D375">
        <v>0.08</v>
      </c>
      <c r="E375">
        <v>8.7730000000000002E-2</v>
      </c>
      <c r="F375">
        <v>2052325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0.18649270913277066</v>
      </c>
      <c r="Q375">
        <f t="shared" si="970"/>
        <v>382743.64927091356</v>
      </c>
      <c r="R375">
        <f t="shared" si="971"/>
        <v>-16245063.381612055</v>
      </c>
      <c r="S375">
        <f t="shared" si="972"/>
        <v>-162.45063381612056</v>
      </c>
      <c r="T375">
        <f t="shared" si="973"/>
        <v>-0.16245063381612057</v>
      </c>
    </row>
    <row r="376" spans="1:20" x14ac:dyDescent="0.25">
      <c r="A376" s="5">
        <v>44217</v>
      </c>
      <c r="B376">
        <v>9.4039999999999999E-2</v>
      </c>
      <c r="C376">
        <v>0.10034</v>
      </c>
      <c r="D376">
        <v>8.5110000000000005E-2</v>
      </c>
      <c r="E376">
        <v>8.5150000000000003E-2</v>
      </c>
      <c r="F376">
        <v>3415545.5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-0.99474720945502315</v>
      </c>
      <c r="Q376">
        <f t="shared" si="970"/>
        <v>-3397604.3548916616</v>
      </c>
      <c r="R376">
        <f t="shared" si="971"/>
        <v>-16627807.030882968</v>
      </c>
      <c r="S376">
        <f t="shared" si="972"/>
        <v>-166.27807030882968</v>
      </c>
      <c r="T376">
        <f t="shared" si="973"/>
        <v>-0.16627807030882968</v>
      </c>
    </row>
    <row r="377" spans="1:20" x14ac:dyDescent="0.25">
      <c r="A377" s="5">
        <v>44216</v>
      </c>
      <c r="B377">
        <v>8.3949999999999997E-2</v>
      </c>
      <c r="C377">
        <v>0.1</v>
      </c>
      <c r="D377">
        <v>8.1879999999999994E-2</v>
      </c>
      <c r="E377">
        <v>9.5000000000000001E-2</v>
      </c>
      <c r="F377">
        <v>1813320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0.44812362030905062</v>
      </c>
      <c r="Q377">
        <f t="shared" si="970"/>
        <v>812591.52317880769</v>
      </c>
      <c r="R377">
        <f t="shared" si="971"/>
        <v>-13230202.675991306</v>
      </c>
      <c r="S377">
        <f t="shared" si="972"/>
        <v>-132.30202675991305</v>
      </c>
      <c r="T377">
        <f t="shared" si="973"/>
        <v>-0.13230202675991304</v>
      </c>
    </row>
    <row r="378" spans="1:20" x14ac:dyDescent="0.25">
      <c r="A378" s="5">
        <v>44215</v>
      </c>
      <c r="B378">
        <v>9.2979999999999993E-2</v>
      </c>
      <c r="C378">
        <v>9.2999999999999999E-2</v>
      </c>
      <c r="D378">
        <v>8.3360000000000004E-2</v>
      </c>
      <c r="E378">
        <v>8.3940000000000001E-2</v>
      </c>
      <c r="F378">
        <v>1017935.7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-0.87966804979253166</v>
      </c>
      <c r="Q378">
        <f t="shared" si="970"/>
        <v>-895445.51203319558</v>
      </c>
      <c r="R378">
        <f t="shared" si="971"/>
        <v>-14042794.199170114</v>
      </c>
      <c r="S378">
        <f t="shared" si="972"/>
        <v>-140.42794199170115</v>
      </c>
      <c r="T378">
        <f t="shared" si="973"/>
        <v>-0.14042794199170114</v>
      </c>
    </row>
    <row r="379" spans="1:20" x14ac:dyDescent="0.25">
      <c r="A379" s="5">
        <v>44214</v>
      </c>
      <c r="B379">
        <v>8.8730000000000003E-2</v>
      </c>
      <c r="C379">
        <v>9.5960000000000004E-2</v>
      </c>
      <c r="D379">
        <v>8.4070000000000006E-2</v>
      </c>
      <c r="E379">
        <v>9.2399999999999996E-2</v>
      </c>
      <c r="F379">
        <v>1109729.8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0.40117746005046118</v>
      </c>
      <c r="Q379">
        <f t="shared" si="970"/>
        <v>445198.58250630629</v>
      </c>
      <c r="R379">
        <f t="shared" si="971"/>
        <v>-13147348.687136918</v>
      </c>
      <c r="S379">
        <f t="shared" si="972"/>
        <v>-131.47348687136918</v>
      </c>
      <c r="T379">
        <f t="shared" si="973"/>
        <v>-0.13147348687136917</v>
      </c>
    </row>
    <row r="380" spans="1:20" x14ac:dyDescent="0.25">
      <c r="A380" s="5">
        <v>44213</v>
      </c>
      <c r="B380">
        <v>7.8969999999999999E-2</v>
      </c>
      <c r="C380">
        <v>9.3990000000000004E-2</v>
      </c>
      <c r="D380">
        <v>7.5670000000000001E-2</v>
      </c>
      <c r="E380">
        <v>8.8730000000000003E-2</v>
      </c>
      <c r="F380">
        <v>2142800.1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0.42576419213973798</v>
      </c>
      <c r="Q380">
        <f t="shared" si="970"/>
        <v>912327.55349344981</v>
      </c>
      <c r="R380">
        <f t="shared" si="971"/>
        <v>-13592547.269643225</v>
      </c>
      <c r="S380">
        <f t="shared" si="972"/>
        <v>-135.92547269643225</v>
      </c>
      <c r="T380">
        <f t="shared" si="973"/>
        <v>-0.13592547269643226</v>
      </c>
    </row>
    <row r="381" spans="1:20" x14ac:dyDescent="0.25">
      <c r="A381" s="5">
        <v>44212</v>
      </c>
      <c r="B381">
        <v>8.3879999999999996E-2</v>
      </c>
      <c r="C381">
        <v>8.6550000000000002E-2</v>
      </c>
      <c r="D381">
        <v>7.7590000000000006E-2</v>
      </c>
      <c r="E381">
        <v>7.8969999999999999E-2</v>
      </c>
      <c r="F381">
        <v>1594355.9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-0.69196428571428725</v>
      </c>
      <c r="Q381">
        <f t="shared" si="970"/>
        <v>-1103237.3415178596</v>
      </c>
      <c r="R381">
        <f t="shared" si="971"/>
        <v>-14504874.823136674</v>
      </c>
      <c r="S381">
        <f t="shared" si="972"/>
        <v>-145.04874823136674</v>
      </c>
      <c r="T381">
        <f t="shared" si="973"/>
        <v>-0.14504874823136674</v>
      </c>
    </row>
    <row r="382" spans="1:20" x14ac:dyDescent="0.25">
      <c r="A382" s="5">
        <v>44211</v>
      </c>
      <c r="B382">
        <v>8.3680000000000004E-2</v>
      </c>
      <c r="C382">
        <v>8.6360000000000006E-2</v>
      </c>
      <c r="D382">
        <v>7.6170000000000002E-2</v>
      </c>
      <c r="E382">
        <v>8.3860000000000004E-2</v>
      </c>
      <c r="F382">
        <v>1218887.2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0.50932286555446493</v>
      </c>
      <c r="Q382">
        <f t="shared" si="970"/>
        <v>620807.12149165815</v>
      </c>
      <c r="R382">
        <f t="shared" si="971"/>
        <v>-13401637.481618814</v>
      </c>
      <c r="S382">
        <f t="shared" si="972"/>
        <v>-134.01637481618815</v>
      </c>
      <c r="T382">
        <f t="shared" si="973"/>
        <v>-0.13401637481618814</v>
      </c>
    </row>
    <row r="383" spans="1:20" x14ac:dyDescent="0.25">
      <c r="A383" s="5">
        <v>44210</v>
      </c>
      <c r="B383">
        <v>7.8490000000000004E-2</v>
      </c>
      <c r="C383">
        <v>8.3989999999999995E-2</v>
      </c>
      <c r="D383">
        <v>7.6609999999999998E-2</v>
      </c>
      <c r="E383">
        <v>8.3680000000000004E-2</v>
      </c>
      <c r="F383">
        <v>909448.4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0.91598915989160135</v>
      </c>
      <c r="Q383">
        <f t="shared" si="970"/>
        <v>833044.87588076107</v>
      </c>
      <c r="R383">
        <f t="shared" si="971"/>
        <v>-14022444.603110472</v>
      </c>
      <c r="S383">
        <f t="shared" si="972"/>
        <v>-140.22444603110472</v>
      </c>
      <c r="T383">
        <f t="shared" si="973"/>
        <v>-0.14022444603110473</v>
      </c>
    </row>
    <row r="384" spans="1:20" x14ac:dyDescent="0.25">
      <c r="A384" s="5">
        <v>44209</v>
      </c>
      <c r="B384">
        <v>7.8369999999999995E-2</v>
      </c>
      <c r="C384">
        <v>8.0430000000000001E-2</v>
      </c>
      <c r="D384">
        <v>7.51E-2</v>
      </c>
      <c r="E384">
        <v>7.7929999999999999E-2</v>
      </c>
      <c r="F384">
        <v>1110856.1000000001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6.1913696060036938E-2</v>
      </c>
      <c r="Q384">
        <f t="shared" si="970"/>
        <v>68777.206941837998</v>
      </c>
      <c r="R384">
        <f t="shared" si="971"/>
        <v>-14855489.478991233</v>
      </c>
      <c r="S384">
        <f t="shared" si="972"/>
        <v>-148.55489478991234</v>
      </c>
      <c r="T384">
        <f t="shared" si="973"/>
        <v>-0.14855489478991235</v>
      </c>
    </row>
    <row r="385" spans="1:20" x14ac:dyDescent="0.25">
      <c r="A385" s="5">
        <v>44208</v>
      </c>
      <c r="B385">
        <v>7.4340000000000003E-2</v>
      </c>
      <c r="C385">
        <v>8.5110000000000005E-2</v>
      </c>
      <c r="D385">
        <v>7.1099999999999997E-2</v>
      </c>
      <c r="E385">
        <v>7.8380000000000005E-2</v>
      </c>
      <c r="F385">
        <v>1721410.3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3.925767309065014E-2</v>
      </c>
      <c r="Q385">
        <f t="shared" si="970"/>
        <v>67578.562812277989</v>
      </c>
      <c r="R385">
        <f t="shared" si="971"/>
        <v>-14924266.68593307</v>
      </c>
      <c r="S385">
        <f t="shared" si="972"/>
        <v>-149.24266685933071</v>
      </c>
      <c r="T385">
        <f t="shared" si="973"/>
        <v>-0.14924266685933071</v>
      </c>
    </row>
    <row r="386" spans="1:20" x14ac:dyDescent="0.25">
      <c r="A386" s="5">
        <v>44207</v>
      </c>
      <c r="B386">
        <v>7.7160000000000006E-2</v>
      </c>
      <c r="C386">
        <v>8.5400000000000004E-2</v>
      </c>
      <c r="D386">
        <v>6.3E-2</v>
      </c>
      <c r="E386">
        <v>7.5270000000000004E-2</v>
      </c>
      <c r="F386">
        <v>1387884.2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9.5535714285714404E-2</v>
      </c>
      <c r="Q386">
        <f t="shared" si="970"/>
        <v>132592.5083928573</v>
      </c>
      <c r="R386">
        <f t="shared" si="971"/>
        <v>-14991845.248745348</v>
      </c>
      <c r="S386">
        <f t="shared" si="972"/>
        <v>-149.91845248745349</v>
      </c>
      <c r="T386">
        <f t="shared" si="973"/>
        <v>-0.1499184524874535</v>
      </c>
    </row>
    <row r="387" spans="1:20" x14ac:dyDescent="0.25">
      <c r="A387" s="5">
        <v>44206</v>
      </c>
      <c r="B387">
        <v>8.387E-2</v>
      </c>
      <c r="C387">
        <v>8.6919999999999997E-2</v>
      </c>
      <c r="D387">
        <v>7.0449999999999999E-2</v>
      </c>
      <c r="E387">
        <v>7.8229999999999994E-2</v>
      </c>
      <c r="F387">
        <v>1757718.5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-5.5251973284760662E-2</v>
      </c>
      <c r="Q387">
        <f t="shared" si="970"/>
        <v>-97117.415604129579</v>
      </c>
      <c r="R387">
        <f t="shared" si="971"/>
        <v>-15124437.757138206</v>
      </c>
      <c r="S387">
        <f t="shared" si="972"/>
        <v>-151.24437757138205</v>
      </c>
      <c r="T387">
        <f t="shared" si="973"/>
        <v>-0.15124437757138204</v>
      </c>
    </row>
    <row r="388" spans="1:20" x14ac:dyDescent="0.25">
      <c r="A388" s="5">
        <v>44205</v>
      </c>
      <c r="B388">
        <v>7.5719999999999996E-2</v>
      </c>
      <c r="C388">
        <v>8.7999999999999995E-2</v>
      </c>
      <c r="D388">
        <v>7.4539999999999995E-2</v>
      </c>
      <c r="E388">
        <v>8.2100000000000006E-2</v>
      </c>
      <c r="F388">
        <v>1611839.7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0.12332838038633155</v>
      </c>
      <c r="Q388">
        <f t="shared" si="970"/>
        <v>198785.57964339052</v>
      </c>
      <c r="R388">
        <f t="shared" si="971"/>
        <v>-15027320.341534076</v>
      </c>
      <c r="S388">
        <f t="shared" si="972"/>
        <v>-150.27320341534076</v>
      </c>
      <c r="T388">
        <f t="shared" si="973"/>
        <v>-0.15027320341534076</v>
      </c>
    </row>
    <row r="389" spans="1:20" x14ac:dyDescent="0.25">
      <c r="A389" s="5">
        <v>44204</v>
      </c>
      <c r="B389">
        <v>7.9710000000000003E-2</v>
      </c>
      <c r="C389">
        <v>8.3019999999999997E-2</v>
      </c>
      <c r="D389">
        <v>7.2919999999999999E-2</v>
      </c>
      <c r="E389">
        <v>7.4980000000000005E-2</v>
      </c>
      <c r="F389">
        <v>1582437.7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-0.59207920792079072</v>
      </c>
      <c r="Q389">
        <f t="shared" si="970"/>
        <v>-936928.45999999787</v>
      </c>
      <c r="R389">
        <f t="shared" si="971"/>
        <v>-15226105.921177467</v>
      </c>
      <c r="S389">
        <f t="shared" si="972"/>
        <v>-152.26105921177466</v>
      </c>
      <c r="T389">
        <f t="shared" si="973"/>
        <v>-0.15226105921177466</v>
      </c>
    </row>
    <row r="390" spans="1:20" x14ac:dyDescent="0.25">
      <c r="A390" s="5">
        <v>44203</v>
      </c>
      <c r="B390">
        <v>7.4440000000000006E-2</v>
      </c>
      <c r="C390">
        <v>8.9990000000000001E-2</v>
      </c>
      <c r="D390">
        <v>7.3209999999999997E-2</v>
      </c>
      <c r="E390">
        <v>7.8109999999999999E-2</v>
      </c>
      <c r="F390">
        <v>2203993.7000000002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-0.41597139451728238</v>
      </c>
      <c r="Q390">
        <f t="shared" ref="Q390:Q453" si="975">F390*P390</f>
        <v>-916798.33289630502</v>
      </c>
      <c r="R390">
        <f t="shared" ref="R390:R453" si="976">R391+Q390</f>
        <v>-14289177.46117747</v>
      </c>
      <c r="S390">
        <f t="shared" ref="S390:S453" si="977">R390/100000</f>
        <v>-142.89177461177471</v>
      </c>
      <c r="T390">
        <f t="shared" ref="T390:T453" si="978">S390/1000</f>
        <v>-0.14289177461177471</v>
      </c>
    </row>
    <row r="391" spans="1:20" x14ac:dyDescent="0.25">
      <c r="A391" s="5">
        <v>44202</v>
      </c>
      <c r="B391">
        <v>6.9169999999999995E-2</v>
      </c>
      <c r="C391">
        <v>7.5789999999999996E-2</v>
      </c>
      <c r="D391">
        <v>6.7100000000000007E-2</v>
      </c>
      <c r="E391">
        <v>7.3950000000000002E-2</v>
      </c>
      <c r="F391">
        <v>1974924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0.57652474108170393</v>
      </c>
      <c r="Q391">
        <f t="shared" si="975"/>
        <v>1138592.547756043</v>
      </c>
      <c r="R391">
        <f t="shared" si="976"/>
        <v>-13372379.128281165</v>
      </c>
      <c r="S391">
        <f t="shared" si="977"/>
        <v>-133.72379128281165</v>
      </c>
      <c r="T391">
        <f t="shared" si="978"/>
        <v>-0.13372379128281164</v>
      </c>
    </row>
    <row r="392" spans="1:20" x14ac:dyDescent="0.25">
      <c r="A392" s="5">
        <v>44201</v>
      </c>
      <c r="B392">
        <v>7.0000000000000007E-2</v>
      </c>
      <c r="C392">
        <v>7.1499999999999994E-2</v>
      </c>
      <c r="D392">
        <v>6.3250000000000001E-2</v>
      </c>
      <c r="E392">
        <v>6.8879999999999997E-2</v>
      </c>
      <c r="F392">
        <v>1590839.8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0.36484848484848498</v>
      </c>
      <c r="Q392">
        <f t="shared" si="975"/>
        <v>580415.49066666688</v>
      </c>
      <c r="R392">
        <f t="shared" si="976"/>
        <v>-14510971.676037207</v>
      </c>
      <c r="S392">
        <f t="shared" si="977"/>
        <v>-145.10971676037207</v>
      </c>
      <c r="T392">
        <f t="shared" si="978"/>
        <v>-0.14510971676037207</v>
      </c>
    </row>
    <row r="393" spans="1:20" x14ac:dyDescent="0.25">
      <c r="A393" s="5">
        <v>44200</v>
      </c>
      <c r="B393">
        <v>6.6000000000000003E-2</v>
      </c>
      <c r="C393">
        <v>7.3139999999999997E-2</v>
      </c>
      <c r="D393">
        <v>5.8999999999999997E-2</v>
      </c>
      <c r="E393">
        <v>6.9699999999999998E-2</v>
      </c>
      <c r="F393">
        <v>1065150.6000000001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0.51343705799151362</v>
      </c>
      <c r="Q393">
        <f t="shared" si="975"/>
        <v>546887.79038189561</v>
      </c>
      <c r="R393">
        <f t="shared" si="976"/>
        <v>-15091387.166703874</v>
      </c>
      <c r="S393">
        <f t="shared" si="977"/>
        <v>-150.91387166703873</v>
      </c>
      <c r="T393">
        <f t="shared" si="978"/>
        <v>-0.15091387166703873</v>
      </c>
    </row>
    <row r="394" spans="1:20" x14ac:dyDescent="0.25">
      <c r="A394" s="5">
        <v>44199</v>
      </c>
      <c r="B394">
        <v>6.5860000000000002E-2</v>
      </c>
      <c r="C394">
        <v>7.177E-2</v>
      </c>
      <c r="D394">
        <v>6.25E-2</v>
      </c>
      <c r="E394">
        <v>6.6000000000000003E-2</v>
      </c>
      <c r="F394">
        <v>1303379.6000000001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-0.24487594390506948</v>
      </c>
      <c r="Q394">
        <f t="shared" si="975"/>
        <v>-319166.30981661193</v>
      </c>
      <c r="R394">
        <f t="shared" si="976"/>
        <v>-15638274.95708577</v>
      </c>
      <c r="S394">
        <f t="shared" si="977"/>
        <v>-156.3827495708577</v>
      </c>
      <c r="T394">
        <f t="shared" si="978"/>
        <v>-0.15638274957085771</v>
      </c>
    </row>
    <row r="395" spans="1:20" x14ac:dyDescent="0.25">
      <c r="A395" s="5">
        <v>44198</v>
      </c>
      <c r="B395">
        <v>6.2780000000000002E-2</v>
      </c>
      <c r="C395">
        <v>7.9000000000000001E-2</v>
      </c>
      <c r="D395">
        <v>6.2E-2</v>
      </c>
      <c r="E395">
        <v>6.6000000000000003E-2</v>
      </c>
      <c r="F395">
        <v>2425365.7000000002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-0.52941176470588192</v>
      </c>
      <c r="Q395">
        <f t="shared" si="975"/>
        <v>-1284017.1352941168</v>
      </c>
      <c r="R395">
        <f t="shared" si="976"/>
        <v>-15319108.647269158</v>
      </c>
      <c r="S395">
        <f t="shared" si="977"/>
        <v>-153.19108647269158</v>
      </c>
      <c r="T395">
        <f t="shared" si="978"/>
        <v>-0.15319108647269158</v>
      </c>
    </row>
    <row r="396" spans="1:20" x14ac:dyDescent="0.25">
      <c r="A396" s="5">
        <v>44197</v>
      </c>
      <c r="B396">
        <v>6.0749999999999998E-2</v>
      </c>
      <c r="C396">
        <v>6.3500000000000001E-2</v>
      </c>
      <c r="D396">
        <v>5.9900000000000002E-2</v>
      </c>
      <c r="E396">
        <v>6.2799999999999995E-2</v>
      </c>
      <c r="F396">
        <v>1259245.8999999999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0.61111111111110761</v>
      </c>
      <c r="Q396">
        <f t="shared" si="975"/>
        <v>769539.16111110663</v>
      </c>
      <c r="R396">
        <f t="shared" si="976"/>
        <v>-14035091.511975041</v>
      </c>
      <c r="S396">
        <f t="shared" si="977"/>
        <v>-140.3509151197504</v>
      </c>
      <c r="T396">
        <f t="shared" si="978"/>
        <v>-0.1403509151197504</v>
      </c>
    </row>
    <row r="397" spans="1:20" x14ac:dyDescent="0.25">
      <c r="A397" s="5">
        <v>44196</v>
      </c>
      <c r="B397">
        <v>6.0499999999999998E-2</v>
      </c>
      <c r="C397">
        <v>6.5350000000000005E-2</v>
      </c>
      <c r="D397">
        <v>5.7459999999999997E-2</v>
      </c>
      <c r="E397">
        <v>6.0580000000000002E-2</v>
      </c>
      <c r="F397">
        <v>1931604.9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-0.20912547528517073</v>
      </c>
      <c r="Q397">
        <f t="shared" si="975"/>
        <v>-403947.79277566465</v>
      </c>
      <c r="R397">
        <f t="shared" si="976"/>
        <v>-14804630.673086148</v>
      </c>
      <c r="S397">
        <f t="shared" si="977"/>
        <v>-148.04630673086149</v>
      </c>
      <c r="T397">
        <f t="shared" si="978"/>
        <v>-0.1480463067308615</v>
      </c>
    </row>
    <row r="398" spans="1:20" x14ac:dyDescent="0.25">
      <c r="A398" s="5">
        <v>44195</v>
      </c>
      <c r="B398">
        <v>5.858E-2</v>
      </c>
      <c r="C398">
        <v>6.9000000000000006E-2</v>
      </c>
      <c r="D398">
        <v>5.6730000000000003E-2</v>
      </c>
      <c r="E398">
        <v>5.8340000000000003E-2</v>
      </c>
      <c r="F398">
        <v>1892887.1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-0.73757131214343929</v>
      </c>
      <c r="Q398">
        <f t="shared" si="975"/>
        <v>-1396139.2220863895</v>
      </c>
      <c r="R398">
        <f t="shared" si="976"/>
        <v>-14400682.880310483</v>
      </c>
      <c r="S398">
        <f t="shared" si="977"/>
        <v>-144.00682880310484</v>
      </c>
      <c r="T398">
        <f t="shared" si="978"/>
        <v>-0.14400682880310484</v>
      </c>
    </row>
    <row r="399" spans="1:20" x14ac:dyDescent="0.25">
      <c r="A399" s="5">
        <v>44194</v>
      </c>
      <c r="B399">
        <v>6.0060000000000002E-2</v>
      </c>
      <c r="C399">
        <v>6.5729999999999997E-2</v>
      </c>
      <c r="D399">
        <v>5.3609999999999998E-2</v>
      </c>
      <c r="E399">
        <v>5.8229999999999997E-2</v>
      </c>
      <c r="F399">
        <v>1967015.6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-0.2376237623762377</v>
      </c>
      <c r="Q399">
        <f t="shared" si="975"/>
        <v>-467409.64752475265</v>
      </c>
      <c r="R399">
        <f t="shared" si="976"/>
        <v>-13004543.658224095</v>
      </c>
      <c r="S399">
        <f t="shared" si="977"/>
        <v>-130.04543658224094</v>
      </c>
      <c r="T399">
        <f t="shared" si="978"/>
        <v>-0.13004543658224094</v>
      </c>
    </row>
    <row r="400" spans="1:20" x14ac:dyDescent="0.25">
      <c r="A400" s="5">
        <v>44193</v>
      </c>
      <c r="B400">
        <v>5.6779999999999997E-2</v>
      </c>
      <c r="C400">
        <v>6.3979999999999995E-2</v>
      </c>
      <c r="D400">
        <v>5.5890000000000002E-2</v>
      </c>
      <c r="E400">
        <v>6.0130000000000003E-2</v>
      </c>
      <c r="F400">
        <v>1696926.3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4.8207663782448548E-2</v>
      </c>
      <c r="Q400">
        <f t="shared" si="975"/>
        <v>81804.852533994417</v>
      </c>
      <c r="R400">
        <f t="shared" si="976"/>
        <v>-12537134.010699343</v>
      </c>
      <c r="S400">
        <f t="shared" si="977"/>
        <v>-125.37134010699343</v>
      </c>
      <c r="T400">
        <f t="shared" si="978"/>
        <v>-0.12537134010699344</v>
      </c>
    </row>
    <row r="401" spans="1:20" x14ac:dyDescent="0.25">
      <c r="A401" s="5">
        <v>44192</v>
      </c>
      <c r="B401">
        <v>5.4480000000000001E-2</v>
      </c>
      <c r="C401">
        <v>6.1109999999999998E-2</v>
      </c>
      <c r="D401">
        <v>5.4480000000000001E-2</v>
      </c>
      <c r="E401">
        <v>5.9069999999999998E-2</v>
      </c>
      <c r="F401">
        <v>925983.4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0.3846153846153843</v>
      </c>
      <c r="Q401">
        <f t="shared" si="975"/>
        <v>356147.46153846127</v>
      </c>
      <c r="R401">
        <f t="shared" si="976"/>
        <v>-12618938.863233337</v>
      </c>
      <c r="S401">
        <f t="shared" si="977"/>
        <v>-126.18938863233338</v>
      </c>
      <c r="T401">
        <f t="shared" si="978"/>
        <v>-0.12618938863233337</v>
      </c>
    </row>
    <row r="402" spans="1:20" x14ac:dyDescent="0.25">
      <c r="A402" s="5">
        <v>44191</v>
      </c>
      <c r="B402">
        <v>5.289E-2</v>
      </c>
      <c r="C402">
        <v>5.5599999999999997E-2</v>
      </c>
      <c r="D402">
        <v>5.1659999999999998E-2</v>
      </c>
      <c r="E402">
        <v>5.4339999999999999E-2</v>
      </c>
      <c r="F402">
        <v>1357619.9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0.36040609137055962</v>
      </c>
      <c r="Q402">
        <f t="shared" si="975"/>
        <v>489294.48172588996</v>
      </c>
      <c r="R402">
        <f t="shared" si="976"/>
        <v>-12975086.324771799</v>
      </c>
      <c r="S402">
        <f t="shared" si="977"/>
        <v>-129.750863247718</v>
      </c>
      <c r="T402">
        <f t="shared" si="978"/>
        <v>-0.12975086324771801</v>
      </c>
    </row>
    <row r="403" spans="1:20" x14ac:dyDescent="0.25">
      <c r="A403" s="5">
        <v>44190</v>
      </c>
      <c r="B403">
        <v>5.7889999999999997E-2</v>
      </c>
      <c r="C403">
        <v>5.9819999999999998E-2</v>
      </c>
      <c r="D403">
        <v>5.1450000000000003E-2</v>
      </c>
      <c r="E403">
        <v>5.289E-2</v>
      </c>
      <c r="F403">
        <v>1541237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-0.65591397849462418</v>
      </c>
      <c r="Q403">
        <f t="shared" si="975"/>
        <v>-1010918.8924731191</v>
      </c>
      <c r="R403">
        <f t="shared" si="976"/>
        <v>-13464380.806497689</v>
      </c>
      <c r="S403">
        <f t="shared" si="977"/>
        <v>-134.64380806497689</v>
      </c>
      <c r="T403">
        <f t="shared" si="978"/>
        <v>-0.13464380806497689</v>
      </c>
    </row>
    <row r="404" spans="1:20" x14ac:dyDescent="0.25">
      <c r="A404" s="5">
        <v>44189</v>
      </c>
      <c r="B404">
        <v>5.0700000000000002E-2</v>
      </c>
      <c r="C404">
        <v>5.9970000000000002E-2</v>
      </c>
      <c r="D404">
        <v>4.6699999999999998E-2</v>
      </c>
      <c r="E404">
        <v>5.697E-2</v>
      </c>
      <c r="F404">
        <v>1340483.8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0.54785229841748273</v>
      </c>
      <c r="Q404">
        <f t="shared" si="975"/>
        <v>734387.13082140125</v>
      </c>
      <c r="R404">
        <f t="shared" si="976"/>
        <v>-12453461.914024571</v>
      </c>
      <c r="S404">
        <f t="shared" si="977"/>
        <v>-124.53461914024571</v>
      </c>
      <c r="T404">
        <f t="shared" si="978"/>
        <v>-0.1245346191402457</v>
      </c>
    </row>
    <row r="405" spans="1:20" x14ac:dyDescent="0.25">
      <c r="A405" s="5">
        <v>44188</v>
      </c>
      <c r="B405">
        <v>6.1019999999999998E-2</v>
      </c>
      <c r="C405">
        <v>6.1940000000000002E-2</v>
      </c>
      <c r="D405">
        <v>4.6420000000000003E-2</v>
      </c>
      <c r="E405">
        <v>5.0709999999999998E-2</v>
      </c>
      <c r="F405">
        <v>1288491.7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-0.44716494845360882</v>
      </c>
      <c r="Q405">
        <f t="shared" si="975"/>
        <v>-576168.32461340283</v>
      </c>
      <c r="R405">
        <f t="shared" si="976"/>
        <v>-13187849.044845972</v>
      </c>
      <c r="S405">
        <f t="shared" si="977"/>
        <v>-131.87849044845973</v>
      </c>
      <c r="T405">
        <f t="shared" si="978"/>
        <v>-0.13187849044845973</v>
      </c>
    </row>
    <row r="406" spans="1:20" x14ac:dyDescent="0.25">
      <c r="A406" s="5">
        <v>44187</v>
      </c>
      <c r="B406">
        <v>6.1690000000000002E-2</v>
      </c>
      <c r="C406">
        <v>6.3170000000000004E-2</v>
      </c>
      <c r="D406">
        <v>5.679E-2</v>
      </c>
      <c r="E406">
        <v>6.0990000000000003E-2</v>
      </c>
      <c r="F406">
        <v>1415979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0.31661442006269591</v>
      </c>
      <c r="Q406">
        <f t="shared" si="975"/>
        <v>448319.36990595609</v>
      </c>
      <c r="R406">
        <f t="shared" si="976"/>
        <v>-12611680.720232569</v>
      </c>
      <c r="S406">
        <f t="shared" si="977"/>
        <v>-126.11680720232569</v>
      </c>
      <c r="T406">
        <f t="shared" si="978"/>
        <v>-0.12611680720232568</v>
      </c>
    </row>
    <row r="407" spans="1:20" x14ac:dyDescent="0.25">
      <c r="A407" s="5">
        <v>44186</v>
      </c>
      <c r="B407">
        <v>6.3119999999999996E-2</v>
      </c>
      <c r="C407">
        <v>7.0999999999999994E-2</v>
      </c>
      <c r="D407">
        <v>5.9639999999999999E-2</v>
      </c>
      <c r="E407">
        <v>6.1830000000000003E-2</v>
      </c>
      <c r="F407">
        <v>1868078.2</v>
      </c>
      <c r="G407">
        <v>0</v>
      </c>
      <c r="L407" t="s">
        <v>8</v>
      </c>
      <c r="M407" t="s">
        <v>8</v>
      </c>
      <c r="N407" t="s">
        <v>7</v>
      </c>
      <c r="P407">
        <f t="shared" si="974"/>
        <v>-0.61443661971830887</v>
      </c>
      <c r="Q407">
        <f t="shared" si="975"/>
        <v>-1147815.6545774629</v>
      </c>
      <c r="R407">
        <f t="shared" si="976"/>
        <v>-13060000.090138525</v>
      </c>
      <c r="S407">
        <f t="shared" si="977"/>
        <v>-130.60000090138524</v>
      </c>
      <c r="T407">
        <f t="shared" si="978"/>
        <v>-0.13060000090138524</v>
      </c>
    </row>
    <row r="408" spans="1:20" x14ac:dyDescent="0.25">
      <c r="A408" s="5">
        <v>44185</v>
      </c>
      <c r="B408">
        <v>6.2560000000000004E-2</v>
      </c>
      <c r="C408">
        <v>6.6799999999999998E-2</v>
      </c>
      <c r="D408">
        <v>6.0249999999999998E-2</v>
      </c>
      <c r="E408">
        <v>6.3920000000000005E-2</v>
      </c>
      <c r="F408">
        <v>1273724.2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0.12061068702290273</v>
      </c>
      <c r="Q408">
        <f t="shared" si="975"/>
        <v>153624.75083969717</v>
      </c>
      <c r="R408">
        <f t="shared" si="976"/>
        <v>-11912184.435561063</v>
      </c>
      <c r="S408">
        <f t="shared" si="977"/>
        <v>-119.12184435561063</v>
      </c>
      <c r="T408">
        <f t="shared" si="978"/>
        <v>-0.11912184435561063</v>
      </c>
    </row>
    <row r="409" spans="1:20" x14ac:dyDescent="0.25">
      <c r="A409" s="5">
        <v>44184</v>
      </c>
      <c r="B409">
        <v>6.1409999999999999E-2</v>
      </c>
      <c r="C409">
        <v>6.8500000000000005E-2</v>
      </c>
      <c r="D409">
        <v>5.9639999999999999E-2</v>
      </c>
      <c r="E409">
        <v>6.2560000000000004E-2</v>
      </c>
      <c r="F409">
        <v>1058371.2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-0.3408577878103829</v>
      </c>
      <c r="Q409">
        <f t="shared" si="975"/>
        <v>-360754.06591422029</v>
      </c>
      <c r="R409">
        <f t="shared" si="976"/>
        <v>-12065809.18640076</v>
      </c>
      <c r="S409">
        <f t="shared" si="977"/>
        <v>-120.6580918640076</v>
      </c>
      <c r="T409">
        <f t="shared" si="978"/>
        <v>-0.1206580918640076</v>
      </c>
    </row>
    <row r="410" spans="1:20" x14ac:dyDescent="0.25">
      <c r="A410" s="5">
        <v>44183</v>
      </c>
      <c r="B410">
        <v>5.8349999999999999E-2</v>
      </c>
      <c r="C410">
        <v>6.8690000000000001E-2</v>
      </c>
      <c r="D410">
        <v>5.8000000000000003E-2</v>
      </c>
      <c r="E410">
        <v>6.0990000000000003E-2</v>
      </c>
      <c r="F410">
        <v>2346949.6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-0.44059869036482691</v>
      </c>
      <c r="Q410">
        <f t="shared" si="975"/>
        <v>-1034062.9201122544</v>
      </c>
      <c r="R410">
        <f t="shared" si="976"/>
        <v>-11705055.120486539</v>
      </c>
      <c r="S410">
        <f t="shared" si="977"/>
        <v>-117.05055120486539</v>
      </c>
      <c r="T410">
        <f t="shared" si="978"/>
        <v>-0.11705055120486539</v>
      </c>
    </row>
    <row r="411" spans="1:20" x14ac:dyDescent="0.25">
      <c r="A411" s="5">
        <v>44182</v>
      </c>
      <c r="B411">
        <v>6.1940000000000002E-2</v>
      </c>
      <c r="C411">
        <v>6.2979999999999994E-2</v>
      </c>
      <c r="D411">
        <v>5.5719999999999999E-2</v>
      </c>
      <c r="E411">
        <v>5.8439999999999999E-2</v>
      </c>
      <c r="F411">
        <v>2619273.7999999998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-0.25068870523415926</v>
      </c>
      <c r="Q411">
        <f t="shared" si="975"/>
        <v>-656622.35757575615</v>
      </c>
      <c r="R411">
        <f t="shared" si="976"/>
        <v>-10670992.200374285</v>
      </c>
      <c r="S411">
        <f t="shared" si="977"/>
        <v>-106.70992200374285</v>
      </c>
      <c r="T411">
        <f t="shared" si="978"/>
        <v>-0.10670992200374285</v>
      </c>
    </row>
    <row r="412" spans="1:20" x14ac:dyDescent="0.25">
      <c r="A412" s="5">
        <v>44181</v>
      </c>
      <c r="B412">
        <v>6.3460000000000003E-2</v>
      </c>
      <c r="C412">
        <v>6.3589999999999994E-2</v>
      </c>
      <c r="D412">
        <v>5.8540000000000002E-2</v>
      </c>
      <c r="E412">
        <v>6.198E-2</v>
      </c>
      <c r="F412">
        <v>1950205.7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0.36237623762376397</v>
      </c>
      <c r="Q412">
        <f t="shared" si="975"/>
        <v>706708.20415841893</v>
      </c>
      <c r="R412">
        <f t="shared" si="976"/>
        <v>-10014369.842798529</v>
      </c>
      <c r="S412">
        <f t="shared" si="977"/>
        <v>-100.14369842798529</v>
      </c>
      <c r="T412">
        <f t="shared" si="978"/>
        <v>-0.10014369842798529</v>
      </c>
    </row>
    <row r="413" spans="1:20" x14ac:dyDescent="0.25">
      <c r="A413" s="5">
        <v>44180</v>
      </c>
      <c r="B413">
        <v>6.5610000000000002E-2</v>
      </c>
      <c r="C413">
        <v>7.2999999999999995E-2</v>
      </c>
      <c r="D413">
        <v>6.2899999999999998E-2</v>
      </c>
      <c r="E413">
        <v>6.3460000000000003E-2</v>
      </c>
      <c r="F413">
        <v>1698103.2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-0.88910891089108812</v>
      </c>
      <c r="Q413">
        <f t="shared" si="975"/>
        <v>-1509798.6867326715</v>
      </c>
      <c r="R413">
        <f t="shared" si="976"/>
        <v>-10721078.046956949</v>
      </c>
      <c r="S413">
        <f t="shared" si="977"/>
        <v>-107.21078046956949</v>
      </c>
      <c r="T413">
        <f t="shared" si="978"/>
        <v>-0.10721078046956949</v>
      </c>
    </row>
    <row r="414" spans="1:20" x14ac:dyDescent="0.25">
      <c r="A414" s="5">
        <v>44179</v>
      </c>
      <c r="B414">
        <v>6.2600000000000003E-2</v>
      </c>
      <c r="C414">
        <v>6.7159999999999997E-2</v>
      </c>
      <c r="D414">
        <v>6.2190000000000002E-2</v>
      </c>
      <c r="E414">
        <v>6.5670000000000006E-2</v>
      </c>
      <c r="F414">
        <v>2303334.5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0.40040241448692443</v>
      </c>
      <c r="Q414">
        <f t="shared" si="975"/>
        <v>922260.6951710328</v>
      </c>
      <c r="R414">
        <f t="shared" si="976"/>
        <v>-9211279.3602242768</v>
      </c>
      <c r="S414">
        <f t="shared" si="977"/>
        <v>-92.112793602242775</v>
      </c>
      <c r="T414">
        <f t="shared" si="978"/>
        <v>-9.2112793602242768E-2</v>
      </c>
    </row>
    <row r="415" spans="1:20" x14ac:dyDescent="0.25">
      <c r="A415" s="5">
        <v>44178</v>
      </c>
      <c r="B415">
        <v>6.1800000000000001E-2</v>
      </c>
      <c r="C415">
        <v>6.5570000000000003E-2</v>
      </c>
      <c r="D415">
        <v>6.1269999999999998E-2</v>
      </c>
      <c r="E415">
        <v>6.2780000000000002E-2</v>
      </c>
      <c r="F415">
        <v>948086.1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-0.29767441860464999</v>
      </c>
      <c r="Q415">
        <f t="shared" si="975"/>
        <v>-282220.97860465007</v>
      </c>
      <c r="R415">
        <f t="shared" si="976"/>
        <v>-10133540.055395309</v>
      </c>
      <c r="S415">
        <f t="shared" si="977"/>
        <v>-101.33540055395309</v>
      </c>
      <c r="T415">
        <f t="shared" si="978"/>
        <v>-0.1013354005539531</v>
      </c>
    </row>
    <row r="416" spans="1:20" x14ac:dyDescent="0.25">
      <c r="A416" s="5">
        <v>44177</v>
      </c>
      <c r="B416">
        <v>5.7250000000000002E-2</v>
      </c>
      <c r="C416">
        <v>6.4350000000000004E-2</v>
      </c>
      <c r="D416">
        <v>5.7209999999999997E-2</v>
      </c>
      <c r="E416">
        <v>6.1800000000000001E-2</v>
      </c>
      <c r="F416">
        <v>1627551.9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0.28571428571428542</v>
      </c>
      <c r="Q416">
        <f t="shared" si="975"/>
        <v>465014.82857142808</v>
      </c>
      <c r="R416">
        <f t="shared" si="976"/>
        <v>-9851319.0767906588</v>
      </c>
      <c r="S416">
        <f t="shared" si="977"/>
        <v>-98.513190767906593</v>
      </c>
      <c r="T416">
        <f t="shared" si="978"/>
        <v>-9.85131907679066E-2</v>
      </c>
    </row>
    <row r="417" spans="1:20" x14ac:dyDescent="0.25">
      <c r="A417" s="5">
        <v>44176</v>
      </c>
      <c r="B417">
        <v>6.0170000000000001E-2</v>
      </c>
      <c r="C417">
        <v>6.0170000000000001E-2</v>
      </c>
      <c r="D417">
        <v>5.534E-2</v>
      </c>
      <c r="E417">
        <v>5.7329999999999999E-2</v>
      </c>
      <c r="F417">
        <v>1363802.2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-0.17598343685300277</v>
      </c>
      <c r="Q417">
        <f t="shared" si="975"/>
        <v>-240006.59834368626</v>
      </c>
      <c r="R417">
        <f t="shared" si="976"/>
        <v>-10316333.905362086</v>
      </c>
      <c r="S417">
        <f t="shared" si="977"/>
        <v>-103.16333905362086</v>
      </c>
      <c r="T417">
        <f t="shared" si="978"/>
        <v>-0.10316333905362086</v>
      </c>
    </row>
    <row r="418" spans="1:20" x14ac:dyDescent="0.25">
      <c r="A418" s="5">
        <v>44175</v>
      </c>
      <c r="B418">
        <v>6.1760000000000002E-2</v>
      </c>
      <c r="C418">
        <v>6.9620000000000001E-2</v>
      </c>
      <c r="D418">
        <v>5.9990000000000002E-2</v>
      </c>
      <c r="E418">
        <v>6.0170000000000001E-2</v>
      </c>
      <c r="F418">
        <v>990267.7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-0.96261682242990665</v>
      </c>
      <c r="Q418">
        <f t="shared" si="975"/>
        <v>-953248.34672897204</v>
      </c>
      <c r="R418">
        <f t="shared" si="976"/>
        <v>-10076327.307018399</v>
      </c>
      <c r="S418">
        <f t="shared" si="977"/>
        <v>-100.763273070184</v>
      </c>
      <c r="T418">
        <f t="shared" si="978"/>
        <v>-0.100763273070184</v>
      </c>
    </row>
    <row r="419" spans="1:20" x14ac:dyDescent="0.25">
      <c r="A419" s="5">
        <v>44174</v>
      </c>
      <c r="B419">
        <v>6.1490000000000003E-2</v>
      </c>
      <c r="C419">
        <v>6.3619999999999996E-2</v>
      </c>
      <c r="D419">
        <v>5.5280000000000003E-2</v>
      </c>
      <c r="E419">
        <v>6.1710000000000001E-2</v>
      </c>
      <c r="F419">
        <v>1769363.7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0.54196642685851404</v>
      </c>
      <c r="Q419">
        <f t="shared" si="975"/>
        <v>958935.72230215976</v>
      </c>
      <c r="R419">
        <f t="shared" si="976"/>
        <v>-9123078.960289428</v>
      </c>
      <c r="S419">
        <f t="shared" si="977"/>
        <v>-91.230789602894276</v>
      </c>
      <c r="T419">
        <f t="shared" si="978"/>
        <v>-9.1230789602894283E-2</v>
      </c>
    </row>
    <row r="420" spans="1:20" x14ac:dyDescent="0.25">
      <c r="A420" s="5">
        <v>44173</v>
      </c>
      <c r="B420">
        <v>6.9089999999999999E-2</v>
      </c>
      <c r="C420">
        <v>7.6999999999999999E-2</v>
      </c>
      <c r="D420">
        <v>6.1249999999999999E-2</v>
      </c>
      <c r="E420">
        <v>6.148E-2</v>
      </c>
      <c r="F420">
        <v>1448489.2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-0.97079365079365065</v>
      </c>
      <c r="Q420">
        <f t="shared" si="975"/>
        <v>-1406184.1186031743</v>
      </c>
      <c r="R420">
        <f t="shared" si="976"/>
        <v>-10082014.682591587</v>
      </c>
      <c r="S420">
        <f t="shared" si="977"/>
        <v>-100.82014682591587</v>
      </c>
      <c r="T420">
        <f t="shared" si="978"/>
        <v>-0.10082014682591588</v>
      </c>
    </row>
    <row r="421" spans="1:20" x14ac:dyDescent="0.25">
      <c r="A421" s="5">
        <v>44172</v>
      </c>
      <c r="B421">
        <v>6.8820000000000006E-2</v>
      </c>
      <c r="C421">
        <v>7.1999999999999995E-2</v>
      </c>
      <c r="D421">
        <v>6.8000000000000005E-2</v>
      </c>
      <c r="E421">
        <v>6.9099999999999995E-2</v>
      </c>
      <c r="F421">
        <v>948944.5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-0.45000000000000362</v>
      </c>
      <c r="Q421">
        <f t="shared" si="975"/>
        <v>-427025.02500000346</v>
      </c>
      <c r="R421">
        <f t="shared" si="976"/>
        <v>-8675830.5639884137</v>
      </c>
      <c r="S421">
        <f t="shared" si="977"/>
        <v>-86.758305639884142</v>
      </c>
      <c r="T421">
        <f t="shared" si="978"/>
        <v>-8.675830563988414E-2</v>
      </c>
    </row>
    <row r="422" spans="1:20" x14ac:dyDescent="0.25">
      <c r="A422" s="5">
        <v>44171</v>
      </c>
      <c r="B422">
        <v>7.4149999999999994E-2</v>
      </c>
      <c r="C422">
        <v>7.6999999999999999E-2</v>
      </c>
      <c r="D422">
        <v>6.83E-2</v>
      </c>
      <c r="E422">
        <v>6.8820000000000006E-2</v>
      </c>
      <c r="F422">
        <v>2079140.5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-0.88045977011494103</v>
      </c>
      <c r="Q422">
        <f t="shared" si="975"/>
        <v>-1830599.5666666636</v>
      </c>
      <c r="R422">
        <f t="shared" si="976"/>
        <v>-8248805.5389884096</v>
      </c>
      <c r="S422">
        <f t="shared" si="977"/>
        <v>-82.488055389884096</v>
      </c>
      <c r="T422">
        <f t="shared" si="978"/>
        <v>-8.2488055389884102E-2</v>
      </c>
    </row>
    <row r="423" spans="1:20" x14ac:dyDescent="0.25">
      <c r="A423" s="5">
        <v>44170</v>
      </c>
      <c r="B423">
        <v>6.676E-2</v>
      </c>
      <c r="C423">
        <v>7.6799999999999993E-2</v>
      </c>
      <c r="D423">
        <v>6.5839999999999996E-2</v>
      </c>
      <c r="E423">
        <v>7.4179999999999996E-2</v>
      </c>
      <c r="F423">
        <v>1803391.7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0.52189781021897852</v>
      </c>
      <c r="Q423">
        <f t="shared" si="975"/>
        <v>941186.17919708102</v>
      </c>
      <c r="R423">
        <f t="shared" si="976"/>
        <v>-6418205.9723217459</v>
      </c>
      <c r="S423">
        <f t="shared" si="977"/>
        <v>-64.182059723217463</v>
      </c>
      <c r="T423">
        <f t="shared" si="978"/>
        <v>-6.4182059723217458E-2</v>
      </c>
    </row>
    <row r="424" spans="1:20" x14ac:dyDescent="0.25">
      <c r="A424" s="5">
        <v>44169</v>
      </c>
      <c r="B424">
        <v>7.4639999999999998E-2</v>
      </c>
      <c r="C424">
        <v>7.6999999999999999E-2</v>
      </c>
      <c r="D424">
        <v>6.5979999999999997E-2</v>
      </c>
      <c r="E424">
        <v>6.6869999999999999E-2</v>
      </c>
      <c r="F424">
        <v>2146342.1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-0.8384754990925587</v>
      </c>
      <c r="Q424">
        <f t="shared" si="975"/>
        <v>-1799655.2635208706</v>
      </c>
      <c r="R424">
        <f t="shared" si="976"/>
        <v>-7359392.1515188273</v>
      </c>
      <c r="S424">
        <f t="shared" si="977"/>
        <v>-73.593921515188271</v>
      </c>
      <c r="T424">
        <f t="shared" si="978"/>
        <v>-7.3593921515188274E-2</v>
      </c>
    </row>
    <row r="425" spans="1:20" x14ac:dyDescent="0.25">
      <c r="A425" s="5">
        <v>44168</v>
      </c>
      <c r="B425">
        <v>8.0259999999999998E-2</v>
      </c>
      <c r="C425">
        <v>8.5999999999999993E-2</v>
      </c>
      <c r="D425">
        <v>7.349E-2</v>
      </c>
      <c r="E425">
        <v>7.4639999999999998E-2</v>
      </c>
      <c r="F425">
        <v>2480942.7000000002</v>
      </c>
      <c r="G425">
        <v>0</v>
      </c>
      <c r="L425" t="s">
        <v>7</v>
      </c>
      <c r="M425" t="s">
        <v>7</v>
      </c>
      <c r="N425" t="s">
        <v>7</v>
      </c>
      <c r="P425">
        <f t="shared" si="974"/>
        <v>-0.81614708233413291</v>
      </c>
      <c r="Q425">
        <f t="shared" si="975"/>
        <v>-2024814.1460431661</v>
      </c>
      <c r="R425">
        <f t="shared" si="976"/>
        <v>-5559736.8879979569</v>
      </c>
      <c r="S425">
        <f t="shared" si="977"/>
        <v>-55.59736887997957</v>
      </c>
      <c r="T425">
        <f t="shared" si="978"/>
        <v>-5.559736887997957E-2</v>
      </c>
    </row>
    <row r="426" spans="1:20" x14ac:dyDescent="0.25">
      <c r="A426" s="5">
        <v>44167</v>
      </c>
      <c r="B426">
        <v>8.5300000000000001E-2</v>
      </c>
      <c r="C426">
        <v>9.6100000000000005E-2</v>
      </c>
      <c r="D426">
        <v>7.8259999999999996E-2</v>
      </c>
      <c r="E426">
        <v>8.0259999999999998E-2</v>
      </c>
      <c r="F426">
        <v>2636714.1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-0.77578475336322861</v>
      </c>
      <c r="Q426">
        <f t="shared" si="975"/>
        <v>-2045522.5977578473</v>
      </c>
      <c r="R426">
        <f t="shared" si="976"/>
        <v>-3534922.7419547904</v>
      </c>
      <c r="S426">
        <f t="shared" si="977"/>
        <v>-35.349227419547901</v>
      </c>
      <c r="T426">
        <f t="shared" si="978"/>
        <v>-3.53492274195479E-2</v>
      </c>
    </row>
    <row r="427" spans="1:20" x14ac:dyDescent="0.25">
      <c r="A427" s="5">
        <v>44166</v>
      </c>
      <c r="B427">
        <v>9.6879999999999994E-2</v>
      </c>
      <c r="C427">
        <v>0.13825999999999999</v>
      </c>
      <c r="D427">
        <v>8.5019999999999998E-2</v>
      </c>
      <c r="E427">
        <v>8.5019999999999998E-2</v>
      </c>
      <c r="F427">
        <v>1287631.1000000001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-1</v>
      </c>
      <c r="Q427">
        <f t="shared" si="975"/>
        <v>-1287631.1000000001</v>
      </c>
      <c r="R427">
        <f t="shared" si="976"/>
        <v>-1489400.1441969431</v>
      </c>
      <c r="S427">
        <f t="shared" si="977"/>
        <v>-14.894001441969431</v>
      </c>
      <c r="T427">
        <f t="shared" si="978"/>
        <v>-1.489400144196943E-2</v>
      </c>
    </row>
    <row r="428" spans="1:20" x14ac:dyDescent="0.25">
      <c r="A428" s="5">
        <v>44165</v>
      </c>
      <c r="B428">
        <v>9.7780000000000006E-2</v>
      </c>
      <c r="C428">
        <v>0.1065</v>
      </c>
      <c r="D428">
        <v>8.1439999999999999E-2</v>
      </c>
      <c r="E428">
        <v>9.6850000000000006E-2</v>
      </c>
      <c r="F428">
        <v>1318664.8999999999</v>
      </c>
      <c r="G428">
        <v>0</v>
      </c>
      <c r="L428" t="s">
        <v>7</v>
      </c>
      <c r="M428" t="s">
        <v>7</v>
      </c>
      <c r="N428" t="s">
        <v>7</v>
      </c>
      <c r="P428">
        <f t="shared" si="974"/>
        <v>0.22984836392657684</v>
      </c>
      <c r="Q428">
        <f t="shared" si="975"/>
        <v>303092.96983240306</v>
      </c>
      <c r="R428">
        <f t="shared" si="976"/>
        <v>-201769.044196943</v>
      </c>
      <c r="S428">
        <f t="shared" si="977"/>
        <v>-2.0176904419694299</v>
      </c>
      <c r="T428">
        <f t="shared" si="978"/>
        <v>-2.0176904419694297E-3</v>
      </c>
    </row>
    <row r="429" spans="1:20" x14ac:dyDescent="0.25">
      <c r="A429" s="5">
        <v>44164</v>
      </c>
      <c r="B429">
        <v>9.2999999999999999E-2</v>
      </c>
      <c r="C429">
        <v>0.10199999999999999</v>
      </c>
      <c r="D429">
        <v>8.6999999999999994E-2</v>
      </c>
      <c r="E429">
        <v>9.7809999999999994E-2</v>
      </c>
      <c r="F429">
        <v>775180.5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0.44133333333333341</v>
      </c>
      <c r="Q429">
        <f t="shared" si="975"/>
        <v>342112.99400000006</v>
      </c>
      <c r="R429">
        <f t="shared" si="976"/>
        <v>-504862.01402934606</v>
      </c>
      <c r="S429">
        <f t="shared" si="977"/>
        <v>-5.048620140293461</v>
      </c>
      <c r="T429">
        <f t="shared" si="978"/>
        <v>-5.0486201402934611E-3</v>
      </c>
    </row>
    <row r="430" spans="1:20" x14ac:dyDescent="0.25">
      <c r="A430" s="5">
        <v>44163</v>
      </c>
      <c r="B430">
        <v>8.3769999999999997E-2</v>
      </c>
      <c r="C430">
        <v>0.1187</v>
      </c>
      <c r="D430">
        <v>8.1699999999999995E-2</v>
      </c>
      <c r="E430">
        <v>9.3659999999999993E-2</v>
      </c>
      <c r="F430">
        <v>1801456.5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-0.35351351351351368</v>
      </c>
      <c r="Q430">
        <f t="shared" si="975"/>
        <v>-636839.216756757</v>
      </c>
      <c r="R430">
        <f t="shared" si="976"/>
        <v>-846975.00802934612</v>
      </c>
      <c r="S430">
        <f t="shared" si="977"/>
        <v>-8.469750080293462</v>
      </c>
      <c r="T430">
        <f t="shared" si="978"/>
        <v>-8.4697500802934627E-3</v>
      </c>
    </row>
    <row r="431" spans="1:20" x14ac:dyDescent="0.25">
      <c r="A431" s="5">
        <v>44162</v>
      </c>
      <c r="B431">
        <v>7.8130000000000005E-2</v>
      </c>
      <c r="C431">
        <v>0.09</v>
      </c>
      <c r="D431">
        <v>7.0999999999999994E-2</v>
      </c>
      <c r="E431">
        <v>8.3769999999999997E-2</v>
      </c>
      <c r="F431">
        <v>647234.4</v>
      </c>
      <c r="G431">
        <v>0</v>
      </c>
      <c r="L431" t="s">
        <v>7</v>
      </c>
      <c r="M431" t="s">
        <v>7</v>
      </c>
      <c r="N431" t="s">
        <v>8</v>
      </c>
      <c r="P431">
        <f t="shared" si="974"/>
        <v>0.34421052631578963</v>
      </c>
      <c r="Q431">
        <f t="shared" si="975"/>
        <v>222784.89347368432</v>
      </c>
      <c r="R431">
        <f t="shared" si="976"/>
        <v>-210135.79127258906</v>
      </c>
      <c r="S431">
        <f t="shared" si="977"/>
        <v>-2.1013579127258906</v>
      </c>
      <c r="T431">
        <f t="shared" si="978"/>
        <v>-2.1013579127258904E-3</v>
      </c>
    </row>
    <row r="432" spans="1:20" x14ac:dyDescent="0.25">
      <c r="A432" s="5">
        <v>44161</v>
      </c>
      <c r="B432">
        <v>9.1480000000000006E-2</v>
      </c>
      <c r="C432">
        <v>9.5100000000000004E-2</v>
      </c>
      <c r="D432">
        <v>7.0019999999999999E-2</v>
      </c>
      <c r="E432">
        <v>7.8140000000000001E-2</v>
      </c>
      <c r="F432">
        <v>997255.6</v>
      </c>
      <c r="G432">
        <v>0</v>
      </c>
      <c r="L432" t="s">
        <v>8</v>
      </c>
      <c r="M432" t="s">
        <v>8</v>
      </c>
      <c r="N432" t="s">
        <v>8</v>
      </c>
      <c r="P432">
        <f t="shared" si="974"/>
        <v>-0.35247208931419455</v>
      </c>
      <c r="Q432">
        <f t="shared" si="975"/>
        <v>-351504.76491228066</v>
      </c>
      <c r="R432">
        <f t="shared" si="976"/>
        <v>-432920.68474627339</v>
      </c>
      <c r="S432">
        <f t="shared" si="977"/>
        <v>-4.3292068474627339</v>
      </c>
      <c r="T432">
        <f t="shared" si="978"/>
        <v>-4.329206847462734E-3</v>
      </c>
    </row>
    <row r="433" spans="1:20" x14ac:dyDescent="0.25">
      <c r="A433" s="5">
        <v>44160</v>
      </c>
      <c r="B433">
        <v>9.1609999999999997E-2</v>
      </c>
      <c r="C433">
        <v>0.10999</v>
      </c>
      <c r="D433">
        <v>6.8680000000000005E-2</v>
      </c>
      <c r="E433">
        <v>9.3259999999999996E-2</v>
      </c>
      <c r="F433">
        <v>2070980.7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0.19002662793512423</v>
      </c>
      <c r="Q433">
        <f t="shared" si="975"/>
        <v>393541.47893972311</v>
      </c>
      <c r="R433">
        <f t="shared" si="976"/>
        <v>-81415.919833992724</v>
      </c>
      <c r="S433">
        <f t="shared" si="977"/>
        <v>-0.81415919833992723</v>
      </c>
      <c r="T433">
        <f t="shared" si="978"/>
        <v>-8.1415919833992723E-4</v>
      </c>
    </row>
    <row r="434" spans="1:20" x14ac:dyDescent="0.25">
      <c r="A434" s="5">
        <v>44159</v>
      </c>
      <c r="B434">
        <v>7.7119999999999994E-2</v>
      </c>
      <c r="C434">
        <v>0.25</v>
      </c>
      <c r="D434">
        <v>7.7119999999999994E-2</v>
      </c>
      <c r="E434">
        <v>9.1609999999999997E-2</v>
      </c>
      <c r="F434">
        <v>570609</v>
      </c>
      <c r="G434">
        <v>0</v>
      </c>
      <c r="P434">
        <f t="shared" si="974"/>
        <v>-0.83236927348449785</v>
      </c>
      <c r="Q434">
        <f t="shared" si="975"/>
        <v>-474957.39877371583</v>
      </c>
      <c r="R434">
        <f t="shared" si="976"/>
        <v>-474957.39877371583</v>
      </c>
      <c r="S434">
        <f t="shared" si="977"/>
        <v>-4.7495739877371586</v>
      </c>
      <c r="T434">
        <f t="shared" si="978"/>
        <v>-4.7495739877371585E-3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T597" sqref="IT59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$A$596</v>
      </c>
      <c r="D111" s="1" t="str">
        <f>ADDRESS(C121-1,D121,1,1)</f>
        <v>$IT$596</v>
      </c>
      <c r="E111"/>
    </row>
    <row r="112" spans="1:5" x14ac:dyDescent="0.25">
      <c r="A112" s="7">
        <v>12164.144957890772</v>
      </c>
      <c r="C112" s="1" t="str">
        <f>ADDRESS(C121,1,1,1)</f>
        <v>$A$597</v>
      </c>
      <c r="D112" s="1" t="str">
        <f>ADDRESS(C121,D121-1,1,1)</f>
        <v>$IS$597</v>
      </c>
      <c r="E112"/>
    </row>
    <row r="113" spans="1:5" x14ac:dyDescent="0.25">
      <c r="A113" s="7">
        <v>11925.63231165762</v>
      </c>
      <c r="C113" s="1" t="str">
        <f>ADDRESS(C121+1,1,1,1)</f>
        <v>$A$598</v>
      </c>
      <c r="D113" s="1" t="str">
        <f>ADDRESS(C121-1,D121+1,1,1)</f>
        <v>$IU$596</v>
      </c>
    </row>
    <row r="114" spans="1:5" x14ac:dyDescent="0.25">
      <c r="A114" s="7">
        <v>11691.796383978059</v>
      </c>
      <c r="C114" s="1" t="str">
        <f>ADDRESS(C121,D121,1,1)</f>
        <v>$IT$597</v>
      </c>
      <c r="D114" s="1" t="str">
        <f>ADDRESS(C121+1,D121+1,1,1)</f>
        <v>$IU$598</v>
      </c>
    </row>
    <row r="115" spans="1:5" x14ac:dyDescent="0.25">
      <c r="A115" s="7">
        <v>11462.545474488292</v>
      </c>
      <c r="C115" s="1" t="str">
        <f>ADDRESS(C121+1,D121,1,1)</f>
        <v>$IT$598</v>
      </c>
    </row>
    <row r="116" spans="1:5" x14ac:dyDescent="0.25">
      <c r="A116" s="7">
        <v>11237.789680870874</v>
      </c>
      <c r="C116" s="1">
        <f>C117-1</f>
        <v>596</v>
      </c>
    </row>
    <row r="117" spans="1:5" x14ac:dyDescent="0.25">
      <c r="A117" s="7">
        <v>11017.440863598895</v>
      </c>
      <c r="C117" s="1">
        <f>C121</f>
        <v>597</v>
      </c>
      <c r="D117" s="1">
        <f>D121</f>
        <v>254</v>
      </c>
    </row>
    <row r="118" spans="1:5" x14ac:dyDescent="0.25">
      <c r="A118" s="7">
        <v>10801.412611371465</v>
      </c>
      <c r="C118" s="1">
        <f>C117+1</f>
        <v>598</v>
      </c>
      <c r="D118" s="1">
        <f>D117+1</f>
        <v>255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597</v>
      </c>
      <c r="D121" s="19">
        <v>254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R597</v>
      </c>
      <c r="D123" s="1" t="str">
        <f>"C"&amp;D121</f>
        <v>C254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0.82034829987515545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247" x14ac:dyDescent="0.25">
      <c r="A561" s="7">
        <v>1.6734181143540252</v>
      </c>
      <c r="B561"/>
      <c r="C561"/>
      <c r="D561"/>
      <c r="E561"/>
    </row>
    <row r="562" spans="1:247" x14ac:dyDescent="0.25">
      <c r="A562" s="7">
        <v>1.6406059944647307</v>
      </c>
      <c r="B562"/>
      <c r="C562"/>
      <c r="D562"/>
      <c r="E562"/>
    </row>
    <row r="563" spans="1:247" x14ac:dyDescent="0.25">
      <c r="A563" s="7">
        <v>1.6084372494752261</v>
      </c>
      <c r="B563"/>
      <c r="C563"/>
      <c r="D563"/>
      <c r="E563"/>
    </row>
    <row r="564" spans="1:247" x14ac:dyDescent="0.25">
      <c r="A564" s="7">
        <v>1.5768992641913981</v>
      </c>
      <c r="B564"/>
      <c r="C564"/>
      <c r="D564"/>
      <c r="E564"/>
    </row>
    <row r="565" spans="1:247" x14ac:dyDescent="0.25">
      <c r="A565" s="7">
        <v>1.5459796707758806</v>
      </c>
      <c r="B565"/>
      <c r="C565"/>
      <c r="D565"/>
      <c r="E565"/>
    </row>
    <row r="566" spans="1:247" x14ac:dyDescent="0.25">
      <c r="A566" s="7">
        <v>1.5156663438979221</v>
      </c>
      <c r="B566"/>
      <c r="C566"/>
      <c r="D566"/>
      <c r="E566"/>
    </row>
    <row r="567" spans="1:247" x14ac:dyDescent="0.25">
      <c r="A567" s="7">
        <v>1.4859473959783549</v>
      </c>
      <c r="B567"/>
      <c r="C567"/>
      <c r="D567"/>
      <c r="E567"/>
    </row>
    <row r="568" spans="1:247" x14ac:dyDescent="0.25">
      <c r="A568" s="7">
        <v>1.4568111725277988</v>
      </c>
      <c r="B568"/>
      <c r="C568"/>
      <c r="D568"/>
      <c r="E568"/>
    </row>
    <row r="569" spans="1:247" x14ac:dyDescent="0.25">
      <c r="A569" s="7">
        <v>1.4282462475762734</v>
      </c>
      <c r="B569"/>
      <c r="C569"/>
      <c r="D569"/>
      <c r="E569"/>
    </row>
    <row r="570" spans="1:247" x14ac:dyDescent="0.25">
      <c r="A570" s="7">
        <v>1.4002414191924248</v>
      </c>
      <c r="B570"/>
      <c r="C570"/>
      <c r="D570"/>
      <c r="E570"/>
    </row>
    <row r="571" spans="1:247" x14ac:dyDescent="0.25">
      <c r="A571" s="7">
        <v>1.3727857050906125</v>
      </c>
      <c r="B571"/>
      <c r="C571"/>
      <c r="D571"/>
      <c r="E571"/>
    </row>
    <row r="572" spans="1:247" x14ac:dyDescent="0.25">
      <c r="A572" s="7">
        <v>1.3458683383241299</v>
      </c>
      <c r="B572"/>
      <c r="C572"/>
      <c r="D572"/>
      <c r="E572"/>
    </row>
    <row r="573" spans="1:247" x14ac:dyDescent="0.25">
      <c r="A573" s="7">
        <v>1.3194787630628724</v>
      </c>
      <c r="B573"/>
      <c r="C573"/>
      <c r="D573"/>
      <c r="E573"/>
      <c r="IE573" s="27" t="s">
        <v>8</v>
      </c>
    </row>
    <row r="574" spans="1:247" x14ac:dyDescent="0.25">
      <c r="A574" s="7">
        <v>1.2936066304537963</v>
      </c>
      <c r="B574"/>
      <c r="C574"/>
      <c r="D574"/>
      <c r="E574"/>
      <c r="IE574" s="27" t="s">
        <v>8</v>
      </c>
      <c r="IF574" s="27" t="s">
        <v>7</v>
      </c>
    </row>
    <row r="575" spans="1:247" x14ac:dyDescent="0.25">
      <c r="A575" s="7">
        <v>1.2682417945625455</v>
      </c>
      <c r="B575"/>
      <c r="C575"/>
      <c r="D575"/>
      <c r="E575"/>
      <c r="IE575" s="27" t="s">
        <v>8</v>
      </c>
      <c r="IF575" s="27" t="s">
        <v>7</v>
      </c>
    </row>
    <row r="576" spans="1:247" x14ac:dyDescent="0.25">
      <c r="A576" s="7">
        <v>1.2433743083946525</v>
      </c>
      <c r="B576"/>
      <c r="C576"/>
      <c r="D576"/>
      <c r="E576"/>
      <c r="IE576" s="27" t="s">
        <v>8</v>
      </c>
      <c r="IF576" s="27" t="s">
        <v>7</v>
      </c>
      <c r="IM576" s="27" t="s">
        <v>8</v>
      </c>
    </row>
    <row r="577" spans="1:252" x14ac:dyDescent="0.25">
      <c r="A577" s="7">
        <v>1.2189944199947573</v>
      </c>
      <c r="B577"/>
      <c r="C577"/>
      <c r="D577"/>
      <c r="E577"/>
      <c r="IE577" s="27" t="s">
        <v>8</v>
      </c>
      <c r="IF577" s="27" t="s">
        <v>7</v>
      </c>
      <c r="IM577" s="27" t="s">
        <v>8</v>
      </c>
      <c r="IN577" s="27" t="s">
        <v>7</v>
      </c>
    </row>
    <row r="578" spans="1:252" x14ac:dyDescent="0.25">
      <c r="A578" s="7">
        <v>1.1950925686223111</v>
      </c>
      <c r="B578"/>
      <c r="C578"/>
      <c r="D578"/>
      <c r="E578"/>
      <c r="IE578" s="27" t="s">
        <v>8</v>
      </c>
      <c r="IF578" s="27" t="s">
        <v>7</v>
      </c>
      <c r="IM578" s="27" t="s">
        <v>8</v>
      </c>
      <c r="IN578" s="27" t="s">
        <v>7</v>
      </c>
      <c r="IO578" s="27" t="s">
        <v>8</v>
      </c>
    </row>
    <row r="579" spans="1:252" x14ac:dyDescent="0.25">
      <c r="A579" s="7">
        <v>1.1716593810022657</v>
      </c>
      <c r="B579"/>
      <c r="C579"/>
      <c r="D579"/>
      <c r="E579"/>
      <c r="IE579" s="27" t="s">
        <v>8</v>
      </c>
      <c r="IF579" s="27" t="s">
        <v>7</v>
      </c>
      <c r="IM579" s="27" t="s">
        <v>8</v>
      </c>
      <c r="IN579" s="27" t="s">
        <v>7</v>
      </c>
      <c r="IO579" s="27" t="s">
        <v>8</v>
      </c>
      <c r="IP579" s="27" t="s">
        <v>7</v>
      </c>
    </row>
    <row r="580" spans="1:252" x14ac:dyDescent="0.25">
      <c r="A580" s="7">
        <v>1.14868566764928</v>
      </c>
      <c r="B580"/>
      <c r="C580"/>
      <c r="D580"/>
      <c r="E580"/>
      <c r="IE580" s="27" t="s">
        <v>8</v>
      </c>
      <c r="IF580" s="27" t="s">
        <v>7</v>
      </c>
      <c r="IK580" s="27" t="s">
        <v>8</v>
      </c>
      <c r="IM580" s="27" t="s">
        <v>8</v>
      </c>
      <c r="IN580" s="27" t="s">
        <v>7</v>
      </c>
      <c r="IO580" s="27" t="s">
        <v>8</v>
      </c>
      <c r="IP580" s="27" t="s">
        <v>7</v>
      </c>
    </row>
    <row r="581" spans="1:252" x14ac:dyDescent="0.25">
      <c r="A581" s="7">
        <v>1.1261624192640001</v>
      </c>
      <c r="B581"/>
      <c r="C581"/>
      <c r="D581"/>
      <c r="E581"/>
      <c r="IE581" s="27" t="s">
        <v>8</v>
      </c>
      <c r="IF581" s="27" t="s">
        <v>7</v>
      </c>
      <c r="IK581" s="27" t="s">
        <v>8</v>
      </c>
      <c r="IL581" s="27" t="s">
        <v>7</v>
      </c>
      <c r="IM581" s="27" t="s">
        <v>8</v>
      </c>
      <c r="IN581" s="27" t="s">
        <v>7</v>
      </c>
      <c r="IO581" s="27" t="s">
        <v>8</v>
      </c>
      <c r="IP581" s="27" t="s">
        <v>7</v>
      </c>
    </row>
    <row r="582" spans="1:252" x14ac:dyDescent="0.25">
      <c r="A582" s="7">
        <v>1.1040808032</v>
      </c>
      <c r="B582"/>
      <c r="C582"/>
      <c r="D582"/>
      <c r="E582"/>
      <c r="IE582" s="27" t="s">
        <v>8</v>
      </c>
      <c r="IF582" s="27" t="s">
        <v>7</v>
      </c>
      <c r="IK582" s="27" t="s">
        <v>8</v>
      </c>
      <c r="IL582" s="27" t="s">
        <v>7</v>
      </c>
      <c r="IM582" s="27" t="s">
        <v>8</v>
      </c>
      <c r="IN582" s="27" t="s">
        <v>7</v>
      </c>
      <c r="IO582" s="27" t="s">
        <v>8</v>
      </c>
      <c r="IP582" s="27" t="s">
        <v>7</v>
      </c>
    </row>
    <row r="583" spans="1:252" x14ac:dyDescent="0.25">
      <c r="A583" s="7">
        <v>1.08243216</v>
      </c>
      <c r="B583"/>
      <c r="C583"/>
      <c r="D583"/>
      <c r="E583"/>
      <c r="IE583" s="27" t="s">
        <v>8</v>
      </c>
      <c r="IF583" s="27" t="s">
        <v>7</v>
      </c>
      <c r="IG583" s="27" t="s">
        <v>8</v>
      </c>
      <c r="II583" s="27" t="s">
        <v>8</v>
      </c>
      <c r="IK583" s="27" t="s">
        <v>8</v>
      </c>
      <c r="IL583" s="27" t="s">
        <v>7</v>
      </c>
      <c r="IM583" s="27" t="s">
        <v>8</v>
      </c>
      <c r="IN583" s="27" t="s">
        <v>7</v>
      </c>
      <c r="IP583" s="27" t="s">
        <v>7</v>
      </c>
    </row>
    <row r="584" spans="1:252" x14ac:dyDescent="0.25">
      <c r="A584" s="7">
        <v>1.0612079999999999</v>
      </c>
      <c r="B584"/>
      <c r="C584"/>
      <c r="D584"/>
      <c r="E584"/>
      <c r="IE584" s="27" t="s">
        <v>8</v>
      </c>
      <c r="IF584" s="27" t="s">
        <v>7</v>
      </c>
      <c r="IG584" s="27" t="s">
        <v>8</v>
      </c>
      <c r="IH584" s="27" t="s">
        <v>7</v>
      </c>
      <c r="II584" s="27" t="s">
        <v>8</v>
      </c>
      <c r="IJ584" s="27" t="s">
        <v>7</v>
      </c>
      <c r="IK584" s="27" t="s">
        <v>8</v>
      </c>
      <c r="IL584" s="27" t="s">
        <v>7</v>
      </c>
      <c r="IM584" s="27" t="s">
        <v>8</v>
      </c>
      <c r="IP584" s="27" t="s">
        <v>7</v>
      </c>
    </row>
    <row r="585" spans="1:252" x14ac:dyDescent="0.25">
      <c r="A585" s="7">
        <v>1.0404</v>
      </c>
      <c r="B585"/>
      <c r="C585"/>
      <c r="D585"/>
      <c r="E585"/>
      <c r="IE585" s="27" t="s">
        <v>8</v>
      </c>
      <c r="IF585" s="27" t="s">
        <v>7</v>
      </c>
      <c r="IG585" s="27" t="s">
        <v>8</v>
      </c>
      <c r="IH585" s="27" t="s">
        <v>7</v>
      </c>
      <c r="II585" s="27" t="s">
        <v>8</v>
      </c>
      <c r="IJ585" s="27" t="s">
        <v>7</v>
      </c>
      <c r="IK585" s="27" t="s">
        <v>8</v>
      </c>
      <c r="IL585" s="27" t="s">
        <v>7</v>
      </c>
      <c r="IM585" s="27" t="s">
        <v>8</v>
      </c>
      <c r="IP585" s="27" t="s">
        <v>7</v>
      </c>
    </row>
    <row r="586" spans="1:252" x14ac:dyDescent="0.25">
      <c r="A586" s="7">
        <v>1.02</v>
      </c>
      <c r="B586"/>
      <c r="C586"/>
      <c r="D586"/>
      <c r="E586"/>
      <c r="IC586" s="27" t="s">
        <v>8</v>
      </c>
      <c r="IE586" s="27" t="s">
        <v>8</v>
      </c>
      <c r="IF586" s="27" t="s">
        <v>7</v>
      </c>
      <c r="IG586" s="27" t="s">
        <v>8</v>
      </c>
      <c r="IH586" s="27" t="s">
        <v>7</v>
      </c>
      <c r="II586" s="27" t="s">
        <v>8</v>
      </c>
      <c r="IJ586" s="27" t="s">
        <v>7</v>
      </c>
      <c r="IK586" s="27" t="s">
        <v>8</v>
      </c>
      <c r="IL586" s="27" t="s">
        <v>7</v>
      </c>
      <c r="IP586" s="27" t="s">
        <v>7</v>
      </c>
    </row>
    <row r="587" spans="1:252" x14ac:dyDescent="0.25">
      <c r="A587" s="7">
        <v>1</v>
      </c>
      <c r="B587"/>
      <c r="C587"/>
      <c r="D587"/>
      <c r="E587" s="29" t="s">
        <v>8</v>
      </c>
      <c r="IC587" s="27" t="s">
        <v>8</v>
      </c>
      <c r="ID587" s="27" t="s">
        <v>7</v>
      </c>
      <c r="IE587" s="27" t="s">
        <v>8</v>
      </c>
      <c r="IF587" s="27" t="s">
        <v>7</v>
      </c>
      <c r="IG587" s="27" t="s">
        <v>8</v>
      </c>
      <c r="IH587" s="27" t="s">
        <v>7</v>
      </c>
      <c r="II587" s="27" t="s">
        <v>8</v>
      </c>
      <c r="IJ587" s="27" t="s">
        <v>7</v>
      </c>
      <c r="IP587" s="27" t="s">
        <v>7</v>
      </c>
    </row>
    <row r="588" spans="1:252" x14ac:dyDescent="0.25">
      <c r="A588" s="7">
        <v>0.98039215686274506</v>
      </c>
      <c r="B588"/>
      <c r="C588"/>
      <c r="D588"/>
      <c r="E588"/>
      <c r="F588" s="27" t="s">
        <v>7</v>
      </c>
      <c r="IC588" s="27" t="s">
        <v>8</v>
      </c>
      <c r="ID588" s="27" t="s">
        <v>7</v>
      </c>
      <c r="IE588" s="27" t="s">
        <v>8</v>
      </c>
      <c r="IF588" s="27" t="s">
        <v>7</v>
      </c>
      <c r="IG588" s="27" t="s">
        <v>8</v>
      </c>
      <c r="IH588" s="27" t="s">
        <v>7</v>
      </c>
      <c r="II588" s="27" t="s">
        <v>8</v>
      </c>
      <c r="IP588" s="27" t="s">
        <v>7</v>
      </c>
      <c r="IQ588" s="27" t="s">
        <v>8</v>
      </c>
    </row>
    <row r="589" spans="1:252" x14ac:dyDescent="0.25">
      <c r="A589" s="7">
        <v>0.96116878123798544</v>
      </c>
      <c r="B589"/>
      <c r="C589"/>
      <c r="D589"/>
      <c r="E589"/>
      <c r="F589" s="27" t="s">
        <v>7</v>
      </c>
      <c r="IA589" s="27" t="s">
        <v>8</v>
      </c>
      <c r="IC589" s="27" t="s">
        <v>8</v>
      </c>
      <c r="ID589" s="27" t="s">
        <v>7</v>
      </c>
      <c r="IE589" s="27" t="s">
        <v>8</v>
      </c>
      <c r="IF589" s="27" t="s">
        <v>7</v>
      </c>
      <c r="IH589" s="27" t="s">
        <v>7</v>
      </c>
      <c r="II589" s="27" t="s">
        <v>8</v>
      </c>
      <c r="IP589" s="27" t="s">
        <v>7</v>
      </c>
      <c r="IQ589" s="27" t="s">
        <v>8</v>
      </c>
      <c r="IR589" s="27" t="s">
        <v>7</v>
      </c>
    </row>
    <row r="590" spans="1:252" x14ac:dyDescent="0.25">
      <c r="A590" s="7">
        <v>0.94232233454704462</v>
      </c>
      <c r="B590"/>
      <c r="C590"/>
      <c r="D590"/>
      <c r="E590"/>
      <c r="F590" s="27" t="s">
        <v>7</v>
      </c>
      <c r="IA590" s="27" t="s">
        <v>8</v>
      </c>
      <c r="IB590" s="27" t="s">
        <v>7</v>
      </c>
      <c r="IC590" s="27" t="s">
        <v>8</v>
      </c>
      <c r="ID590" s="27" t="s">
        <v>7</v>
      </c>
      <c r="IE590" s="27" t="s">
        <v>8</v>
      </c>
      <c r="IH590" s="27" t="s">
        <v>7</v>
      </c>
      <c r="II590" s="27" t="s">
        <v>8</v>
      </c>
      <c r="IP590" s="27" t="s">
        <v>7</v>
      </c>
      <c r="IQ590" s="27" t="s">
        <v>8</v>
      </c>
      <c r="IR590" s="27" t="s">
        <v>7</v>
      </c>
    </row>
    <row r="591" spans="1:252" x14ac:dyDescent="0.25">
      <c r="A591" s="7">
        <v>0.92384542602651432</v>
      </c>
      <c r="B591"/>
      <c r="C591"/>
      <c r="D591"/>
      <c r="E591"/>
      <c r="F591" s="27" t="s">
        <v>7</v>
      </c>
      <c r="IA591" s="27" t="s">
        <v>8</v>
      </c>
      <c r="IB591" s="27" t="s">
        <v>7</v>
      </c>
      <c r="IC591" s="27" t="s">
        <v>8</v>
      </c>
      <c r="ID591" s="27" t="s">
        <v>7</v>
      </c>
      <c r="IH591" s="27" t="s">
        <v>7</v>
      </c>
      <c r="II591" s="27" t="s">
        <v>8</v>
      </c>
      <c r="IP591" s="27" t="s">
        <v>7</v>
      </c>
      <c r="IQ591" s="27" t="s">
        <v>8</v>
      </c>
      <c r="IR591" s="27" t="s">
        <v>7</v>
      </c>
    </row>
    <row r="592" spans="1:252" x14ac:dyDescent="0.25">
      <c r="A592" s="7">
        <v>0.90573080982991594</v>
      </c>
      <c r="B592"/>
      <c r="C592"/>
      <c r="D592"/>
      <c r="E592"/>
      <c r="F592" s="27" t="s">
        <v>7</v>
      </c>
      <c r="IA592" s="27" t="s">
        <v>8</v>
      </c>
      <c r="IB592" s="27" t="s">
        <v>7</v>
      </c>
      <c r="IC592" s="27" t="s">
        <v>8</v>
      </c>
      <c r="IH592" s="27" t="s">
        <v>7</v>
      </c>
      <c r="II592" s="27" t="s">
        <v>8</v>
      </c>
      <c r="IP592" s="27" t="s">
        <v>7</v>
      </c>
      <c r="IQ592" s="27" t="s">
        <v>8</v>
      </c>
      <c r="IR592" s="27" t="s">
        <v>7</v>
      </c>
    </row>
    <row r="593" spans="1:254" x14ac:dyDescent="0.25">
      <c r="A593" s="7">
        <v>0.8879713821861922</v>
      </c>
      <c r="B593"/>
      <c r="C593"/>
      <c r="D593"/>
      <c r="E593"/>
      <c r="F593" s="27" t="s">
        <v>7</v>
      </c>
      <c r="CU593" s="27" t="s">
        <v>8</v>
      </c>
      <c r="HK593" s="27" t="s">
        <v>8</v>
      </c>
      <c r="IA593" s="27" t="s">
        <v>8</v>
      </c>
      <c r="IB593" s="27" t="s">
        <v>7</v>
      </c>
      <c r="IC593" s="27" t="s">
        <v>8</v>
      </c>
      <c r="IH593" s="27" t="s">
        <v>7</v>
      </c>
      <c r="II593" s="27" t="s">
        <v>8</v>
      </c>
      <c r="IP593" s="27" t="s">
        <v>7</v>
      </c>
      <c r="IQ593" s="27" t="s">
        <v>8</v>
      </c>
      <c r="IR593" s="27" t="s">
        <v>7</v>
      </c>
      <c r="IS593" s="27" t="s">
        <v>8</v>
      </c>
    </row>
    <row r="594" spans="1:254" x14ac:dyDescent="0.25">
      <c r="A594" s="7">
        <v>0.87056017861391399</v>
      </c>
      <c r="B594"/>
      <c r="C594"/>
      <c r="D594"/>
      <c r="E594"/>
      <c r="F594" s="27" t="s">
        <v>7</v>
      </c>
      <c r="CU594" s="27" t="s">
        <v>8</v>
      </c>
      <c r="CV594" s="27" t="s">
        <v>7</v>
      </c>
      <c r="HK594" s="27" t="s">
        <v>8</v>
      </c>
      <c r="HL594" s="27" t="s">
        <v>7</v>
      </c>
      <c r="IA594" s="27" t="s">
        <v>8</v>
      </c>
      <c r="IB594" s="27" t="s">
        <v>7</v>
      </c>
      <c r="IC594" s="27" t="s">
        <v>8</v>
      </c>
      <c r="IH594" s="27" t="s">
        <v>7</v>
      </c>
      <c r="II594" s="27" t="s">
        <v>8</v>
      </c>
      <c r="IP594" s="27" t="s">
        <v>7</v>
      </c>
      <c r="IQ594" s="27" t="s">
        <v>8</v>
      </c>
      <c r="IR594" s="27" t="s">
        <v>7</v>
      </c>
      <c r="IS594" s="27" t="s">
        <v>8</v>
      </c>
      <c r="IT594" s="27" t="s">
        <v>7</v>
      </c>
    </row>
    <row r="595" spans="1:254" x14ac:dyDescent="0.25">
      <c r="A595" s="7">
        <v>0.85349037119011173</v>
      </c>
      <c r="B595"/>
      <c r="C595"/>
      <c r="D595"/>
      <c r="E595"/>
      <c r="F595" s="27" t="s">
        <v>7</v>
      </c>
      <c r="CU595" s="27" t="s">
        <v>8</v>
      </c>
      <c r="CV595" s="27" t="s">
        <v>7</v>
      </c>
      <c r="HK595" s="27" t="s">
        <v>8</v>
      </c>
      <c r="HL595" s="27" t="s">
        <v>7</v>
      </c>
      <c r="IA595" s="27" t="s">
        <v>8</v>
      </c>
      <c r="IB595" s="27" t="s">
        <v>7</v>
      </c>
      <c r="IC595" s="27" t="s">
        <v>8</v>
      </c>
      <c r="IH595" s="27" t="s">
        <v>7</v>
      </c>
      <c r="II595" s="27" t="s">
        <v>8</v>
      </c>
      <c r="IP595" s="27" t="s">
        <v>7</v>
      </c>
      <c r="IQ595" s="27" t="s">
        <v>8</v>
      </c>
      <c r="IR595" s="27" t="s">
        <v>7</v>
      </c>
      <c r="IS595" s="27" t="s">
        <v>8</v>
      </c>
      <c r="IT595" s="27" t="s">
        <v>7</v>
      </c>
    </row>
    <row r="596" spans="1:254" x14ac:dyDescent="0.25">
      <c r="A596" s="7">
        <v>0.83675526587265858</v>
      </c>
      <c r="B596"/>
      <c r="C596"/>
      <c r="D596"/>
      <c r="E596"/>
      <c r="F596" s="27" t="s">
        <v>7</v>
      </c>
      <c r="CU596" s="27" t="s">
        <v>8</v>
      </c>
      <c r="CV596" s="27" t="s">
        <v>7</v>
      </c>
      <c r="HK596" s="27" t="s">
        <v>8</v>
      </c>
      <c r="HL596" s="27" t="s">
        <v>7</v>
      </c>
      <c r="HS596" s="27" t="s">
        <v>8</v>
      </c>
      <c r="IA596" s="27" t="s">
        <v>8</v>
      </c>
      <c r="IB596" s="27" t="s">
        <v>7</v>
      </c>
      <c r="IC596" s="27" t="s">
        <v>8</v>
      </c>
      <c r="IH596" s="27" t="s">
        <v>7</v>
      </c>
      <c r="IP596" s="27" t="s">
        <v>7</v>
      </c>
      <c r="IQ596" s="27" t="s">
        <v>8</v>
      </c>
      <c r="IR596" s="27" t="s">
        <v>7</v>
      </c>
      <c r="IS596" s="27" t="s">
        <v>8</v>
      </c>
      <c r="IT596" s="27" t="s">
        <v>7</v>
      </c>
    </row>
    <row r="597" spans="1:254" x14ac:dyDescent="0.25">
      <c r="A597" s="7">
        <v>0.82034829987515545</v>
      </c>
      <c r="B597"/>
      <c r="C597"/>
      <c r="D597"/>
      <c r="E597"/>
      <c r="F597" s="27" t="s">
        <v>7</v>
      </c>
      <c r="CU597" s="27" t="s">
        <v>8</v>
      </c>
      <c r="CV597" s="27" t="s">
        <v>7</v>
      </c>
      <c r="HK597" s="27" t="s">
        <v>8</v>
      </c>
      <c r="HL597" s="27" t="s">
        <v>7</v>
      </c>
      <c r="HS597" s="27" t="s">
        <v>8</v>
      </c>
      <c r="HT597" s="27" t="s">
        <v>7</v>
      </c>
      <c r="HU597" s="27" t="s">
        <v>8</v>
      </c>
      <c r="IA597" s="27" t="s">
        <v>8</v>
      </c>
      <c r="IB597" s="27" t="s">
        <v>7</v>
      </c>
      <c r="IP597" s="27" t="s">
        <v>7</v>
      </c>
      <c r="IQ597" s="27" t="s">
        <v>8</v>
      </c>
      <c r="IR597" s="27" t="s">
        <v>7</v>
      </c>
      <c r="IS597" s="27" t="s">
        <v>8</v>
      </c>
      <c r="IT597" s="27" t="s">
        <v>7</v>
      </c>
    </row>
    <row r="598" spans="1:254" x14ac:dyDescent="0.25">
      <c r="A598" s="7">
        <v>0.80426303909328967</v>
      </c>
      <c r="B598"/>
      <c r="C598"/>
      <c r="D598"/>
      <c r="E598"/>
      <c r="F598" s="27" t="s">
        <v>7</v>
      </c>
      <c r="CU598" s="27" t="s">
        <v>8</v>
      </c>
      <c r="CV598" s="27" t="s">
        <v>7</v>
      </c>
      <c r="HI598" s="27" t="s">
        <v>8</v>
      </c>
      <c r="HK598" s="27" t="s">
        <v>8</v>
      </c>
      <c r="HL598" s="27" t="s">
        <v>7</v>
      </c>
      <c r="HS598" s="27" t="s">
        <v>8</v>
      </c>
      <c r="HT598" s="27" t="s">
        <v>7</v>
      </c>
      <c r="HU598" s="27" t="s">
        <v>8</v>
      </c>
      <c r="HV598" s="27" t="s">
        <v>7</v>
      </c>
      <c r="IA598" s="27" t="s">
        <v>8</v>
      </c>
      <c r="IP598" s="27" t="s">
        <v>7</v>
      </c>
      <c r="IQ598" s="27" t="s">
        <v>8</v>
      </c>
      <c r="IR598" s="27" t="s">
        <v>7</v>
      </c>
      <c r="IS598" s="27" t="s">
        <v>8</v>
      </c>
    </row>
    <row r="599" spans="1:254" x14ac:dyDescent="0.25">
      <c r="A599" s="7">
        <v>0.78849317558165644</v>
      </c>
      <c r="B599"/>
      <c r="C599"/>
      <c r="D599"/>
      <c r="E599"/>
      <c r="F599" s="27" t="s">
        <v>7</v>
      </c>
      <c r="CU599" s="27" t="s">
        <v>8</v>
      </c>
      <c r="CV599" s="27" t="s">
        <v>7</v>
      </c>
      <c r="HI599" s="27" t="s">
        <v>8</v>
      </c>
      <c r="HJ599" s="27" t="s">
        <v>7</v>
      </c>
      <c r="HK599" s="27" t="s">
        <v>8</v>
      </c>
      <c r="HL599" s="27" t="s">
        <v>7</v>
      </c>
      <c r="HS599" s="27" t="s">
        <v>8</v>
      </c>
      <c r="HT599" s="27" t="s">
        <v>7</v>
      </c>
      <c r="HU599" s="27" t="s">
        <v>8</v>
      </c>
      <c r="HV599" s="27" t="s">
        <v>7</v>
      </c>
      <c r="HW599" s="27" t="s">
        <v>8</v>
      </c>
      <c r="IA599" s="27" t="s">
        <v>8</v>
      </c>
      <c r="IP599" s="27" t="s">
        <v>7</v>
      </c>
      <c r="IQ599" s="27" t="s">
        <v>8</v>
      </c>
      <c r="IR599" s="27" t="s">
        <v>7</v>
      </c>
      <c r="IS599" s="27" t="s">
        <v>8</v>
      </c>
    </row>
    <row r="600" spans="1:254" x14ac:dyDescent="0.25">
      <c r="A600" s="7">
        <v>0.77303252508005538</v>
      </c>
      <c r="B600"/>
      <c r="C600"/>
      <c r="D600"/>
      <c r="E600"/>
      <c r="F600" s="27" t="s">
        <v>7</v>
      </c>
      <c r="CU600" s="27" t="s">
        <v>8</v>
      </c>
      <c r="CV600" s="27" t="s">
        <v>7</v>
      </c>
      <c r="HI600" s="27" t="s">
        <v>8</v>
      </c>
      <c r="HJ600" s="27" t="s">
        <v>7</v>
      </c>
      <c r="HK600" s="27" t="s">
        <v>8</v>
      </c>
      <c r="HL600" s="27" t="s">
        <v>7</v>
      </c>
      <c r="HS600" s="27" t="s">
        <v>8</v>
      </c>
      <c r="HT600" s="27" t="s">
        <v>7</v>
      </c>
      <c r="HV600" s="27" t="s">
        <v>7</v>
      </c>
      <c r="HW600" s="27" t="s">
        <v>8</v>
      </c>
      <c r="HX600" s="27" t="s">
        <v>7</v>
      </c>
      <c r="HY600" s="27" t="s">
        <v>8</v>
      </c>
      <c r="IA600" s="27" t="s">
        <v>8</v>
      </c>
      <c r="IP600" s="27" t="s">
        <v>7</v>
      </c>
      <c r="IQ600" s="27" t="s">
        <v>8</v>
      </c>
      <c r="IR600" s="27" t="s">
        <v>7</v>
      </c>
      <c r="IS600" s="27" t="s">
        <v>8</v>
      </c>
    </row>
    <row r="601" spans="1:254" x14ac:dyDescent="0.25">
      <c r="A601" s="7">
        <v>0.75787502458828959</v>
      </c>
      <c r="B601"/>
      <c r="C601"/>
      <c r="D601"/>
      <c r="E601"/>
      <c r="F601" s="27" t="s">
        <v>7</v>
      </c>
      <c r="CU601" s="27" t="s">
        <v>8</v>
      </c>
      <c r="CV601" s="27" t="s">
        <v>7</v>
      </c>
      <c r="GK601" s="27" t="s">
        <v>8</v>
      </c>
      <c r="HI601" s="27" t="s">
        <v>8</v>
      </c>
      <c r="HJ601" s="27" t="s">
        <v>7</v>
      </c>
      <c r="HK601" s="27" t="s">
        <v>8</v>
      </c>
      <c r="HL601" s="27" t="s">
        <v>7</v>
      </c>
      <c r="HS601" s="27" t="s">
        <v>8</v>
      </c>
      <c r="HV601" s="27" t="s">
        <v>7</v>
      </c>
      <c r="HW601" s="27" t="s">
        <v>8</v>
      </c>
      <c r="HX601" s="27" t="s">
        <v>7</v>
      </c>
      <c r="HY601" s="27" t="s">
        <v>8</v>
      </c>
      <c r="HZ601" s="27" t="s">
        <v>7</v>
      </c>
      <c r="IA601" s="27" t="s">
        <v>8</v>
      </c>
      <c r="IP601" s="27" t="s">
        <v>7</v>
      </c>
      <c r="IQ601" s="27" t="s">
        <v>8</v>
      </c>
      <c r="IR601" s="27" t="s">
        <v>7</v>
      </c>
    </row>
    <row r="602" spans="1:254" x14ac:dyDescent="0.25">
      <c r="A602" s="7">
        <v>0.74301472998851925</v>
      </c>
      <c r="B602"/>
      <c r="C602"/>
      <c r="D602"/>
      <c r="E602"/>
      <c r="F602" s="27" t="s">
        <v>7</v>
      </c>
      <c r="CU602" s="27" t="s">
        <v>8</v>
      </c>
      <c r="CV602" s="27" t="s">
        <v>7</v>
      </c>
      <c r="GK602" s="27" t="s">
        <v>8</v>
      </c>
      <c r="GL602" s="27" t="s">
        <v>7</v>
      </c>
      <c r="HI602" s="27" t="s">
        <v>8</v>
      </c>
      <c r="HJ602" s="27" t="s">
        <v>7</v>
      </c>
      <c r="HK602" s="27" t="s">
        <v>8</v>
      </c>
      <c r="HL602" s="27" t="s">
        <v>7</v>
      </c>
      <c r="HS602" s="27" t="s">
        <v>8</v>
      </c>
      <c r="HV602" s="27" t="s">
        <v>7</v>
      </c>
      <c r="HW602" s="27" t="s">
        <v>8</v>
      </c>
      <c r="HX602" s="27" t="s">
        <v>7</v>
      </c>
      <c r="HY602" s="27" t="s">
        <v>8</v>
      </c>
      <c r="HZ602" s="27" t="s">
        <v>7</v>
      </c>
      <c r="IA602" s="27" t="s">
        <v>8</v>
      </c>
      <c r="IP602" s="27" t="s">
        <v>7</v>
      </c>
      <c r="IQ602" s="27" t="s">
        <v>8</v>
      </c>
    </row>
    <row r="603" spans="1:254" x14ac:dyDescent="0.25">
      <c r="A603" s="7">
        <v>0.72844581371423456</v>
      </c>
      <c r="B603"/>
      <c r="C603"/>
      <c r="D603"/>
      <c r="E603"/>
      <c r="F603" s="27" t="s">
        <v>7</v>
      </c>
      <c r="CU603" s="27" t="s">
        <v>8</v>
      </c>
      <c r="CV603" s="27" t="s">
        <v>7</v>
      </c>
      <c r="GK603" s="27" t="s">
        <v>8</v>
      </c>
      <c r="GL603" s="27" t="s">
        <v>7</v>
      </c>
      <c r="HI603" s="27" t="s">
        <v>8</v>
      </c>
      <c r="HJ603" s="27" t="s">
        <v>7</v>
      </c>
      <c r="HK603" s="27" t="s">
        <v>8</v>
      </c>
      <c r="HL603" s="27" t="s">
        <v>7</v>
      </c>
      <c r="HS603" s="27" t="s">
        <v>8</v>
      </c>
      <c r="HV603" s="27" t="s">
        <v>7</v>
      </c>
      <c r="HW603" s="27" t="s">
        <v>8</v>
      </c>
      <c r="HX603" s="27" t="s">
        <v>7</v>
      </c>
      <c r="HY603" s="27" t="s">
        <v>8</v>
      </c>
      <c r="HZ603" s="27" t="s">
        <v>7</v>
      </c>
      <c r="IA603" s="27" t="s">
        <v>8</v>
      </c>
      <c r="IP603" s="27" t="s">
        <v>7</v>
      </c>
    </row>
    <row r="604" spans="1:254" x14ac:dyDescent="0.25">
      <c r="A604" s="7">
        <v>0.71416256246493581</v>
      </c>
      <c r="B604"/>
      <c r="C604"/>
      <c r="D604"/>
      <c r="E604"/>
      <c r="F604" s="27" t="s">
        <v>7</v>
      </c>
      <c r="CU604" s="27" t="s">
        <v>8</v>
      </c>
      <c r="CV604" s="27" t="s">
        <v>7</v>
      </c>
      <c r="GK604" s="27" t="s">
        <v>8</v>
      </c>
      <c r="GL604" s="27" t="s">
        <v>7</v>
      </c>
      <c r="HI604" s="27" t="s">
        <v>8</v>
      </c>
      <c r="HJ604" s="27" t="s">
        <v>7</v>
      </c>
      <c r="HL604" s="27" t="s">
        <v>7</v>
      </c>
      <c r="HS604" s="27" t="s">
        <v>8</v>
      </c>
      <c r="HV604" s="27" t="s">
        <v>7</v>
      </c>
      <c r="HW604" s="27" t="s">
        <v>8</v>
      </c>
      <c r="HX604" s="27" t="s">
        <v>7</v>
      </c>
      <c r="HY604" s="27" t="s">
        <v>8</v>
      </c>
      <c r="HZ604" s="27" t="s">
        <v>7</v>
      </c>
    </row>
    <row r="605" spans="1:254" x14ac:dyDescent="0.25">
      <c r="A605" s="7">
        <v>0.7001593749656233</v>
      </c>
      <c r="B605"/>
      <c r="C605"/>
      <c r="D605"/>
      <c r="E605"/>
      <c r="F605" s="27" t="s">
        <v>7</v>
      </c>
      <c r="CU605" s="27" t="s">
        <v>8</v>
      </c>
      <c r="CV605" s="27" t="s">
        <v>7</v>
      </c>
      <c r="GK605" s="27" t="s">
        <v>8</v>
      </c>
      <c r="GL605" s="27" t="s">
        <v>7</v>
      </c>
      <c r="HI605" s="27" t="s">
        <v>8</v>
      </c>
      <c r="HL605" s="27" t="s">
        <v>7</v>
      </c>
      <c r="HS605" s="27" t="s">
        <v>8</v>
      </c>
      <c r="HV605" s="27" t="s">
        <v>7</v>
      </c>
      <c r="HW605" s="27" t="s">
        <v>8</v>
      </c>
      <c r="HX605" s="27" t="s">
        <v>7</v>
      </c>
      <c r="HY605" s="27" t="s">
        <v>8</v>
      </c>
    </row>
    <row r="606" spans="1:254" x14ac:dyDescent="0.25">
      <c r="A606" s="7">
        <v>0.68643075977021883</v>
      </c>
      <c r="B606"/>
      <c r="C606"/>
      <c r="D606"/>
      <c r="E606"/>
      <c r="F606" s="27" t="s">
        <v>7</v>
      </c>
      <c r="CS606" s="27" t="s">
        <v>8</v>
      </c>
      <c r="CU606" s="27" t="s">
        <v>8</v>
      </c>
      <c r="CV606" s="27" t="s">
        <v>7</v>
      </c>
      <c r="GK606" s="27" t="s">
        <v>8</v>
      </c>
      <c r="GL606" s="27" t="s">
        <v>7</v>
      </c>
      <c r="HI606" s="27" t="s">
        <v>8</v>
      </c>
      <c r="HL606" s="27" t="s">
        <v>7</v>
      </c>
      <c r="HM606" s="27" t="s">
        <v>8</v>
      </c>
      <c r="HS606" s="27" t="s">
        <v>8</v>
      </c>
      <c r="HV606" s="27" t="s">
        <v>7</v>
      </c>
      <c r="HX606" s="27" t="s">
        <v>7</v>
      </c>
      <c r="HY606" s="27" t="s">
        <v>8</v>
      </c>
    </row>
    <row r="607" spans="1:254" x14ac:dyDescent="0.25">
      <c r="A607" s="7">
        <v>0.67297133310805768</v>
      </c>
      <c r="B607"/>
      <c r="C607"/>
      <c r="D607"/>
      <c r="E607"/>
      <c r="F607" s="27" t="s">
        <v>7</v>
      </c>
      <c r="CS607" s="27" t="s">
        <v>8</v>
      </c>
      <c r="CT607" s="27" t="s">
        <v>7</v>
      </c>
      <c r="CU607" s="27" t="s">
        <v>8</v>
      </c>
      <c r="CV607" s="27" t="s">
        <v>7</v>
      </c>
      <c r="GK607" s="27" t="s">
        <v>8</v>
      </c>
      <c r="GL607" s="27" t="s">
        <v>7</v>
      </c>
      <c r="HG607" s="27" t="s">
        <v>8</v>
      </c>
      <c r="HI607" s="27" t="s">
        <v>8</v>
      </c>
      <c r="HL607" s="27" t="s">
        <v>7</v>
      </c>
      <c r="HM607" s="27" t="s">
        <v>8</v>
      </c>
      <c r="HN607" s="27" t="s">
        <v>7</v>
      </c>
      <c r="HO607" s="27" t="s">
        <v>8</v>
      </c>
      <c r="HQ607" s="27" t="s">
        <v>8</v>
      </c>
      <c r="HS607" s="27" t="s">
        <v>8</v>
      </c>
      <c r="HX607" s="27" t="s">
        <v>7</v>
      </c>
    </row>
    <row r="608" spans="1:254" x14ac:dyDescent="0.25">
      <c r="A608" s="7">
        <v>0.65977581677260566</v>
      </c>
      <c r="B608"/>
      <c r="C608"/>
      <c r="D608"/>
      <c r="E608"/>
      <c r="F608" s="27" t="s">
        <v>7</v>
      </c>
      <c r="CS608" s="27" t="s">
        <v>8</v>
      </c>
      <c r="CT608" s="27" t="s">
        <v>7</v>
      </c>
      <c r="CU608" s="27" t="s">
        <v>8</v>
      </c>
      <c r="CV608" s="27" t="s">
        <v>7</v>
      </c>
      <c r="GK608" s="27" t="s">
        <v>8</v>
      </c>
      <c r="GL608" s="27" t="s">
        <v>7</v>
      </c>
      <c r="HG608" s="27" t="s">
        <v>8</v>
      </c>
      <c r="HH608" s="27" t="s">
        <v>7</v>
      </c>
      <c r="HI608" s="27" t="s">
        <v>8</v>
      </c>
      <c r="HL608" s="27" t="s">
        <v>7</v>
      </c>
      <c r="HM608" s="27" t="s">
        <v>8</v>
      </c>
      <c r="HN608" s="27" t="s">
        <v>7</v>
      </c>
      <c r="HO608" s="27" t="s">
        <v>8</v>
      </c>
      <c r="HP608" s="27" t="s">
        <v>7</v>
      </c>
      <c r="HQ608" s="27" t="s">
        <v>8</v>
      </c>
      <c r="HR608" s="27" t="s">
        <v>7</v>
      </c>
      <c r="HS608" s="27" t="s">
        <v>8</v>
      </c>
    </row>
    <row r="609" spans="1:227" x14ac:dyDescent="0.25">
      <c r="A609" s="7">
        <v>0.64683903605157422</v>
      </c>
      <c r="B609"/>
      <c r="C609"/>
      <c r="D609"/>
      <c r="E609"/>
      <c r="F609" s="27" t="s">
        <v>7</v>
      </c>
      <c r="CS609" s="27" t="s">
        <v>8</v>
      </c>
      <c r="CT609" s="27" t="s">
        <v>7</v>
      </c>
      <c r="CU609" s="27" t="s">
        <v>8</v>
      </c>
      <c r="CV609" s="27" t="s">
        <v>7</v>
      </c>
      <c r="GK609" s="27" t="s">
        <v>8</v>
      </c>
      <c r="GL609" s="27" t="s">
        <v>7</v>
      </c>
      <c r="HG609" s="27" t="s">
        <v>8</v>
      </c>
      <c r="HH609" s="27" t="s">
        <v>7</v>
      </c>
      <c r="HI609" s="27" t="s">
        <v>8</v>
      </c>
      <c r="HL609" s="27" t="s">
        <v>7</v>
      </c>
      <c r="HM609" s="27" t="s">
        <v>8</v>
      </c>
      <c r="HN609" s="27" t="s">
        <v>7</v>
      </c>
      <c r="HO609" s="27" t="s">
        <v>8</v>
      </c>
      <c r="HP609" s="27" t="s">
        <v>7</v>
      </c>
      <c r="HQ609" s="27" t="s">
        <v>8</v>
      </c>
      <c r="HR609" s="27" t="s">
        <v>7</v>
      </c>
      <c r="HS609" s="27" t="s">
        <v>8</v>
      </c>
    </row>
    <row r="610" spans="1:227" x14ac:dyDescent="0.25">
      <c r="A610" s="7">
        <v>0.63415591769762181</v>
      </c>
      <c r="B610"/>
      <c r="C610"/>
      <c r="D610"/>
      <c r="E610"/>
      <c r="F610" s="27" t="s">
        <v>7</v>
      </c>
      <c r="CS610" s="27" t="s">
        <v>8</v>
      </c>
      <c r="CT610" s="27" t="s">
        <v>7</v>
      </c>
      <c r="CU610" s="27" t="s">
        <v>8</v>
      </c>
      <c r="CV610" s="27" t="s">
        <v>7</v>
      </c>
      <c r="GK610" s="27" t="s">
        <v>8</v>
      </c>
      <c r="GL610" s="27" t="s">
        <v>7</v>
      </c>
      <c r="HG610" s="27" t="s">
        <v>8</v>
      </c>
      <c r="HH610" s="27" t="s">
        <v>7</v>
      </c>
      <c r="HI610" s="27" t="s">
        <v>8</v>
      </c>
      <c r="HL610" s="27" t="s">
        <v>7</v>
      </c>
      <c r="HM610" s="27" t="s">
        <v>8</v>
      </c>
      <c r="HN610" s="27" t="s">
        <v>7</v>
      </c>
      <c r="HO610" s="27" t="s">
        <v>8</v>
      </c>
      <c r="HP610" s="27" t="s">
        <v>7</v>
      </c>
      <c r="HQ610" s="27" t="s">
        <v>8</v>
      </c>
      <c r="HR610" s="27" t="s">
        <v>7</v>
      </c>
      <c r="HS610" s="27" t="s">
        <v>8</v>
      </c>
    </row>
    <row r="611" spans="1:227" x14ac:dyDescent="0.25">
      <c r="A611" s="7">
        <v>0.62172148793884496</v>
      </c>
      <c r="B611"/>
      <c r="C611"/>
      <c r="D611"/>
      <c r="E611"/>
      <c r="F611" s="27" t="s">
        <v>7</v>
      </c>
      <c r="CS611" s="27" t="s">
        <v>8</v>
      </c>
      <c r="CT611" s="27" t="s">
        <v>7</v>
      </c>
      <c r="CU611" s="27" t="s">
        <v>8</v>
      </c>
      <c r="CV611" s="27" t="s">
        <v>7</v>
      </c>
      <c r="CW611" s="27" t="s">
        <v>8</v>
      </c>
      <c r="GK611" s="27" t="s">
        <v>8</v>
      </c>
      <c r="GL611" s="27" t="s">
        <v>7</v>
      </c>
      <c r="HG611" s="27" t="s">
        <v>8</v>
      </c>
      <c r="HH611" s="27" t="s">
        <v>7</v>
      </c>
      <c r="HI611" s="27" t="s">
        <v>8</v>
      </c>
      <c r="HL611" s="27" t="s">
        <v>7</v>
      </c>
      <c r="HM611" s="27" t="s">
        <v>8</v>
      </c>
      <c r="HN611" s="27" t="s">
        <v>7</v>
      </c>
      <c r="HO611" s="27" t="s">
        <v>8</v>
      </c>
      <c r="HP611" s="27" t="s">
        <v>7</v>
      </c>
      <c r="HQ611" s="27" t="s">
        <v>8</v>
      </c>
      <c r="HR611" s="27" t="s">
        <v>7</v>
      </c>
      <c r="HS611" s="27" t="s">
        <v>8</v>
      </c>
    </row>
    <row r="612" spans="1:227" x14ac:dyDescent="0.25">
      <c r="A612" s="7">
        <v>0.60953087052827937</v>
      </c>
      <c r="B612"/>
      <c r="C612"/>
      <c r="D612"/>
      <c r="E612"/>
      <c r="F612" s="27" t="s">
        <v>7</v>
      </c>
      <c r="CS612" s="27" t="s">
        <v>8</v>
      </c>
      <c r="CT612" s="27" t="s">
        <v>7</v>
      </c>
      <c r="CU612" s="27" t="s">
        <v>8</v>
      </c>
      <c r="CV612" s="27" t="s">
        <v>7</v>
      </c>
      <c r="CW612" s="27" t="s">
        <v>8</v>
      </c>
      <c r="CX612" s="27" t="s">
        <v>7</v>
      </c>
      <c r="GK612" s="27" t="s">
        <v>8</v>
      </c>
      <c r="GL612" s="27" t="s">
        <v>7</v>
      </c>
      <c r="HE612" s="27" t="s">
        <v>8</v>
      </c>
      <c r="HG612" s="27" t="s">
        <v>8</v>
      </c>
      <c r="HH612" s="27" t="s">
        <v>7</v>
      </c>
      <c r="HI612" s="27" t="s">
        <v>8</v>
      </c>
      <c r="HL612" s="27" t="s">
        <v>7</v>
      </c>
      <c r="HM612" s="27" t="s">
        <v>8</v>
      </c>
      <c r="HN612" s="27" t="s">
        <v>7</v>
      </c>
      <c r="HO612" s="27" t="s">
        <v>8</v>
      </c>
      <c r="HP612" s="27" t="s">
        <v>7</v>
      </c>
      <c r="HQ612" s="27" t="s">
        <v>8</v>
      </c>
      <c r="HR612" s="27" t="s">
        <v>7</v>
      </c>
    </row>
    <row r="613" spans="1:227" x14ac:dyDescent="0.25">
      <c r="A613" s="7">
        <v>0.59757928483164646</v>
      </c>
      <c r="B613"/>
      <c r="C613"/>
      <c r="D613"/>
      <c r="E613"/>
      <c r="F613" s="27" t="s">
        <v>7</v>
      </c>
      <c r="CS613" s="27" t="s">
        <v>8</v>
      </c>
      <c r="CT613" s="27" t="s">
        <v>7</v>
      </c>
      <c r="CU613" s="27" t="s">
        <v>8</v>
      </c>
      <c r="CV613" s="27" t="s">
        <v>7</v>
      </c>
      <c r="CW613" s="27" t="s">
        <v>8</v>
      </c>
      <c r="CX613" s="27" t="s">
        <v>7</v>
      </c>
      <c r="GK613" s="27" t="s">
        <v>8</v>
      </c>
      <c r="GL613" s="27" t="s">
        <v>7</v>
      </c>
      <c r="HE613" s="27" t="s">
        <v>8</v>
      </c>
      <c r="HF613" s="27" t="s">
        <v>7</v>
      </c>
      <c r="HG613" s="27" t="s">
        <v>8</v>
      </c>
      <c r="HH613" s="27" t="s">
        <v>7</v>
      </c>
      <c r="HI613" s="27" t="s">
        <v>8</v>
      </c>
      <c r="HL613" s="27" t="s">
        <v>7</v>
      </c>
      <c r="HM613" s="27" t="s">
        <v>8</v>
      </c>
      <c r="HN613" s="27" t="s">
        <v>7</v>
      </c>
      <c r="HO613" s="27" t="s">
        <v>8</v>
      </c>
      <c r="HP613" s="27" t="s">
        <v>7</v>
      </c>
      <c r="HQ613" s="27" t="s">
        <v>8</v>
      </c>
    </row>
    <row r="614" spans="1:227" x14ac:dyDescent="0.25">
      <c r="A614" s="7">
        <v>0.58586204395259456</v>
      </c>
      <c r="B614"/>
      <c r="C614"/>
      <c r="D614"/>
      <c r="E614"/>
      <c r="F614" s="27" t="s">
        <v>7</v>
      </c>
      <c r="CS614" s="27" t="s">
        <v>8</v>
      </c>
      <c r="CT614" s="27" t="s">
        <v>7</v>
      </c>
      <c r="CU614" s="27" t="s">
        <v>8</v>
      </c>
      <c r="CV614" s="27" t="s">
        <v>7</v>
      </c>
      <c r="CW614" s="27" t="s">
        <v>8</v>
      </c>
      <c r="CX614" s="27" t="s">
        <v>7</v>
      </c>
      <c r="GK614" s="27" t="s">
        <v>8</v>
      </c>
      <c r="GL614" s="27" t="s">
        <v>7</v>
      </c>
      <c r="HE614" s="27" t="s">
        <v>8</v>
      </c>
      <c r="HF614" s="27" t="s">
        <v>7</v>
      </c>
      <c r="HG614" s="27" t="s">
        <v>8</v>
      </c>
      <c r="HH614" s="27" t="s">
        <v>7</v>
      </c>
      <c r="HI614" s="27" t="s">
        <v>8</v>
      </c>
      <c r="HL614" s="27" t="s">
        <v>7</v>
      </c>
      <c r="HM614" s="27" t="s">
        <v>8</v>
      </c>
      <c r="HN614" s="27" t="s">
        <v>7</v>
      </c>
      <c r="HO614" s="27" t="s">
        <v>8</v>
      </c>
      <c r="HP614" s="27" t="s">
        <v>7</v>
      </c>
      <c r="HQ614" s="27" t="s">
        <v>8</v>
      </c>
    </row>
    <row r="615" spans="1:227" x14ac:dyDescent="0.25">
      <c r="A615" s="7">
        <v>0.57437455289470052</v>
      </c>
      <c r="B615"/>
      <c r="C615"/>
      <c r="D615"/>
      <c r="E615"/>
      <c r="F615" s="27" t="s">
        <v>7</v>
      </c>
      <c r="CS615" s="27" t="s">
        <v>8</v>
      </c>
      <c r="CT615" s="27" t="s">
        <v>7</v>
      </c>
      <c r="CU615" s="27" t="s">
        <v>8</v>
      </c>
      <c r="CV615" s="27" t="s">
        <v>7</v>
      </c>
      <c r="CW615" s="27" t="s">
        <v>8</v>
      </c>
      <c r="CX615" s="27" t="s">
        <v>7</v>
      </c>
      <c r="GK615" s="27" t="s">
        <v>8</v>
      </c>
      <c r="GL615" s="27" t="s">
        <v>7</v>
      </c>
      <c r="GY615" s="27" t="s">
        <v>8</v>
      </c>
      <c r="HE615" s="27" t="s">
        <v>8</v>
      </c>
      <c r="HF615" s="27" t="s">
        <v>7</v>
      </c>
      <c r="HG615" s="27" t="s">
        <v>8</v>
      </c>
      <c r="HH615" s="27" t="s">
        <v>7</v>
      </c>
      <c r="HI615" s="27" t="s">
        <v>8</v>
      </c>
      <c r="HL615" s="27" t="s">
        <v>7</v>
      </c>
      <c r="HM615" s="27" t="s">
        <v>8</v>
      </c>
      <c r="HN615" s="27" t="s">
        <v>7</v>
      </c>
      <c r="HO615" s="27" t="s">
        <v>8</v>
      </c>
      <c r="HP615" s="27" t="s">
        <v>7</v>
      </c>
      <c r="HQ615" s="27" t="s">
        <v>8</v>
      </c>
    </row>
    <row r="616" spans="1:227" x14ac:dyDescent="0.25">
      <c r="A616" s="7">
        <v>0.56311230675951029</v>
      </c>
      <c r="B616"/>
      <c r="C616"/>
      <c r="D616"/>
      <c r="E616"/>
      <c r="F616" s="27" t="s">
        <v>7</v>
      </c>
      <c r="CS616" s="27" t="s">
        <v>8</v>
      </c>
      <c r="CT616" s="27" t="s">
        <v>7</v>
      </c>
      <c r="CU616" s="27" t="s">
        <v>8</v>
      </c>
      <c r="CV616" s="27" t="s">
        <v>7</v>
      </c>
      <c r="CW616" s="27" t="s">
        <v>8</v>
      </c>
      <c r="CX616" s="27" t="s">
        <v>7</v>
      </c>
      <c r="GK616" s="27" t="s">
        <v>8</v>
      </c>
      <c r="GL616" s="27" t="s">
        <v>7</v>
      </c>
      <c r="GY616" s="27" t="s">
        <v>8</v>
      </c>
      <c r="GZ616" s="27" t="s">
        <v>7</v>
      </c>
      <c r="HE616" s="27" t="s">
        <v>8</v>
      </c>
      <c r="HF616" s="27" t="s">
        <v>7</v>
      </c>
      <c r="HH616" s="27" t="s">
        <v>7</v>
      </c>
      <c r="HI616" s="27" t="s">
        <v>8</v>
      </c>
      <c r="HL616" s="27" t="s">
        <v>7</v>
      </c>
      <c r="HM616" s="27" t="s">
        <v>8</v>
      </c>
      <c r="HN616" s="27" t="s">
        <v>7</v>
      </c>
      <c r="HO616" s="27" t="s">
        <v>8</v>
      </c>
      <c r="HP616" s="27" t="s">
        <v>7</v>
      </c>
      <c r="HQ616" s="27" t="s">
        <v>8</v>
      </c>
    </row>
    <row r="617" spans="1:227" x14ac:dyDescent="0.25">
      <c r="A617" s="7">
        <v>0.55207088897991208</v>
      </c>
      <c r="B617"/>
      <c r="C617"/>
      <c r="D617"/>
      <c r="E617"/>
      <c r="F617" s="27" t="s">
        <v>7</v>
      </c>
      <c r="CS617" s="27" t="s">
        <v>8</v>
      </c>
      <c r="CT617" s="27" t="s">
        <v>7</v>
      </c>
      <c r="CU617" s="27" t="s">
        <v>8</v>
      </c>
      <c r="CV617" s="27" t="s">
        <v>7</v>
      </c>
      <c r="CW617" s="27" t="s">
        <v>8</v>
      </c>
      <c r="CX617" s="27" t="s">
        <v>7</v>
      </c>
      <c r="GK617" s="27" t="s">
        <v>8</v>
      </c>
      <c r="GL617" s="27" t="s">
        <v>7</v>
      </c>
      <c r="GS617" s="27" t="s">
        <v>8</v>
      </c>
      <c r="GY617" s="27" t="s">
        <v>8</v>
      </c>
      <c r="GZ617" s="27" t="s">
        <v>7</v>
      </c>
      <c r="HE617" s="27" t="s">
        <v>8</v>
      </c>
      <c r="HH617" s="27" t="s">
        <v>7</v>
      </c>
      <c r="HI617" s="27" t="s">
        <v>8</v>
      </c>
      <c r="HL617" s="27" t="s">
        <v>7</v>
      </c>
      <c r="HM617" s="27" t="s">
        <v>8</v>
      </c>
      <c r="HN617" s="27" t="s">
        <v>7</v>
      </c>
      <c r="HO617" s="27" t="s">
        <v>8</v>
      </c>
      <c r="HP617" s="27" t="s">
        <v>7</v>
      </c>
      <c r="HQ617" s="27" t="s">
        <v>8</v>
      </c>
    </row>
    <row r="618" spans="1:227" x14ac:dyDescent="0.25">
      <c r="A618" s="7">
        <v>0.54124596958814908</v>
      </c>
      <c r="B618"/>
      <c r="C618"/>
      <c r="D618"/>
      <c r="E618"/>
      <c r="F618" s="27" t="s">
        <v>7</v>
      </c>
      <c r="CS618" s="27" t="s">
        <v>8</v>
      </c>
      <c r="CT618" s="27" t="s">
        <v>7</v>
      </c>
      <c r="CU618" s="27" t="s">
        <v>8</v>
      </c>
      <c r="CV618" s="27" t="s">
        <v>7</v>
      </c>
      <c r="CW618" s="27" t="s">
        <v>8</v>
      </c>
      <c r="CX618" s="27" t="s">
        <v>7</v>
      </c>
      <c r="GK618" s="27" t="s">
        <v>8</v>
      </c>
      <c r="GL618" s="27" t="s">
        <v>7</v>
      </c>
      <c r="GS618" s="27" t="s">
        <v>8</v>
      </c>
      <c r="GT618" s="27" t="s">
        <v>7</v>
      </c>
      <c r="GY618" s="27" t="s">
        <v>8</v>
      </c>
      <c r="GZ618" s="27" t="s">
        <v>7</v>
      </c>
      <c r="HC618" s="27" t="s">
        <v>8</v>
      </c>
      <c r="HE618" s="27" t="s">
        <v>8</v>
      </c>
      <c r="HH618" s="27" t="s">
        <v>7</v>
      </c>
      <c r="HI618" s="27" t="s">
        <v>8</v>
      </c>
      <c r="HL618" s="27" t="s">
        <v>7</v>
      </c>
      <c r="HM618" s="27" t="s">
        <v>8</v>
      </c>
      <c r="HN618" s="27" t="s">
        <v>7</v>
      </c>
      <c r="HO618" s="27" t="s">
        <v>8</v>
      </c>
      <c r="HP618" s="27" t="s">
        <v>7</v>
      </c>
    </row>
    <row r="619" spans="1:227" x14ac:dyDescent="0.25">
      <c r="A619" s="7">
        <v>0.53063330351779314</v>
      </c>
      <c r="B619"/>
      <c r="C619"/>
      <c r="D619"/>
      <c r="E619"/>
      <c r="F619" s="27" t="s">
        <v>7</v>
      </c>
      <c r="CS619" s="27" t="s">
        <v>8</v>
      </c>
      <c r="CT619" s="27" t="s">
        <v>7</v>
      </c>
      <c r="CU619" s="27" t="s">
        <v>8</v>
      </c>
      <c r="CV619" s="27" t="s">
        <v>7</v>
      </c>
      <c r="CW619" s="27" t="s">
        <v>8</v>
      </c>
      <c r="CX619" s="27" t="s">
        <v>7</v>
      </c>
      <c r="GK619" s="27" t="s">
        <v>8</v>
      </c>
      <c r="GL619" s="27" t="s">
        <v>7</v>
      </c>
      <c r="GS619" s="27" t="s">
        <v>8</v>
      </c>
      <c r="GT619" s="27" t="s">
        <v>7</v>
      </c>
      <c r="GY619" s="27" t="s">
        <v>8</v>
      </c>
      <c r="GZ619" s="27" t="s">
        <v>7</v>
      </c>
      <c r="HC619" s="27" t="s">
        <v>8</v>
      </c>
      <c r="HD619" s="27" t="s">
        <v>7</v>
      </c>
      <c r="HE619" s="27" t="s">
        <v>8</v>
      </c>
      <c r="HH619" s="27" t="s">
        <v>7</v>
      </c>
      <c r="HI619" s="27" t="s">
        <v>8</v>
      </c>
      <c r="HL619" s="27" t="s">
        <v>7</v>
      </c>
      <c r="HM619" s="27" t="s">
        <v>8</v>
      </c>
      <c r="HN619" s="27" t="s">
        <v>7</v>
      </c>
      <c r="HO619" s="27" t="s">
        <v>8</v>
      </c>
    </row>
    <row r="620" spans="1:227" x14ac:dyDescent="0.25">
      <c r="A620" s="7">
        <v>0.52022872893901284</v>
      </c>
      <c r="B620"/>
      <c r="C620"/>
      <c r="D620"/>
      <c r="E620"/>
      <c r="F620" s="27" t="s">
        <v>7</v>
      </c>
      <c r="CS620" s="27" t="s">
        <v>8</v>
      </c>
      <c r="CT620" s="27" t="s">
        <v>7</v>
      </c>
      <c r="CU620" s="27" t="s">
        <v>8</v>
      </c>
      <c r="CV620" s="27" t="s">
        <v>7</v>
      </c>
      <c r="CX620" s="27" t="s">
        <v>7</v>
      </c>
      <c r="GK620" s="27" t="s">
        <v>8</v>
      </c>
      <c r="GL620" s="27" t="s">
        <v>7</v>
      </c>
      <c r="GS620" s="27" t="s">
        <v>8</v>
      </c>
      <c r="GT620" s="27" t="s">
        <v>7</v>
      </c>
      <c r="GY620" s="27" t="s">
        <v>8</v>
      </c>
      <c r="GZ620" s="27" t="s">
        <v>7</v>
      </c>
      <c r="HC620" s="27" t="s">
        <v>8</v>
      </c>
      <c r="HD620" s="27" t="s">
        <v>7</v>
      </c>
      <c r="HE620" s="27" t="s">
        <v>8</v>
      </c>
      <c r="HH620" s="27" t="s">
        <v>7</v>
      </c>
      <c r="HI620" s="27" t="s">
        <v>8</v>
      </c>
      <c r="HL620" s="27" t="s">
        <v>7</v>
      </c>
      <c r="HM620" s="27" t="s">
        <v>8</v>
      </c>
      <c r="HN620" s="27" t="s">
        <v>7</v>
      </c>
      <c r="HO620" s="27" t="s">
        <v>8</v>
      </c>
    </row>
    <row r="621" spans="1:227" x14ac:dyDescent="0.25">
      <c r="A621" s="7">
        <v>0.51002816562648323</v>
      </c>
      <c r="B621"/>
      <c r="C621"/>
      <c r="D621"/>
      <c r="E621"/>
      <c r="F621" s="27" t="s">
        <v>7</v>
      </c>
      <c r="CS621" s="27" t="s">
        <v>8</v>
      </c>
      <c r="CT621" s="27" t="s">
        <v>7</v>
      </c>
      <c r="CU621" s="27" t="s">
        <v>8</v>
      </c>
      <c r="CX621" s="27" t="s">
        <v>7</v>
      </c>
      <c r="GK621" s="27" t="s">
        <v>8</v>
      </c>
      <c r="GL621" s="27" t="s">
        <v>7</v>
      </c>
      <c r="GS621" s="27" t="s">
        <v>8</v>
      </c>
      <c r="GT621" s="27" t="s">
        <v>7</v>
      </c>
      <c r="GY621" s="27" t="s">
        <v>8</v>
      </c>
      <c r="GZ621" s="27" t="s">
        <v>7</v>
      </c>
      <c r="HC621" s="27" t="s">
        <v>8</v>
      </c>
      <c r="HD621" s="27" t="s">
        <v>7</v>
      </c>
      <c r="HE621" s="27" t="s">
        <v>8</v>
      </c>
      <c r="HH621" s="27" t="s">
        <v>7</v>
      </c>
      <c r="HL621" s="27" t="s">
        <v>7</v>
      </c>
      <c r="HM621" s="27" t="s">
        <v>8</v>
      </c>
      <c r="HN621" s="27" t="s">
        <v>7</v>
      </c>
      <c r="HO621" s="27" t="s">
        <v>8</v>
      </c>
    </row>
    <row r="622" spans="1:227" x14ac:dyDescent="0.25">
      <c r="A622" s="7">
        <v>0.50002761335929735</v>
      </c>
      <c r="B622"/>
      <c r="C622"/>
      <c r="D622"/>
      <c r="E622"/>
      <c r="F622" s="27" t="s">
        <v>7</v>
      </c>
      <c r="CS622" s="27" t="s">
        <v>8</v>
      </c>
      <c r="CT622" s="27" t="s">
        <v>7</v>
      </c>
      <c r="CU622" s="27" t="s">
        <v>8</v>
      </c>
      <c r="CX622" s="27" t="s">
        <v>7</v>
      </c>
      <c r="FO622" s="27" t="s">
        <v>8</v>
      </c>
      <c r="GK622" s="27" t="s">
        <v>8</v>
      </c>
      <c r="GL622" s="27" t="s">
        <v>7</v>
      </c>
      <c r="GS622" s="27" t="s">
        <v>8</v>
      </c>
      <c r="GT622" s="27" t="s">
        <v>7</v>
      </c>
      <c r="GY622" s="27" t="s">
        <v>8</v>
      </c>
      <c r="GZ622" s="27" t="s">
        <v>7</v>
      </c>
      <c r="HC622" s="27" t="s">
        <v>8</v>
      </c>
      <c r="HD622" s="27" t="s">
        <v>7</v>
      </c>
      <c r="HE622" s="27" t="s">
        <v>8</v>
      </c>
      <c r="HL622" s="27" t="s">
        <v>7</v>
      </c>
      <c r="HM622" s="27" t="s">
        <v>8</v>
      </c>
      <c r="HN622" s="27" t="s">
        <v>7</v>
      </c>
      <c r="HO622" s="27" t="s">
        <v>8</v>
      </c>
    </row>
    <row r="623" spans="1:227" x14ac:dyDescent="0.25">
      <c r="A623" s="7">
        <v>0.49022315035225228</v>
      </c>
      <c r="B623"/>
      <c r="C623"/>
      <c r="D623"/>
      <c r="E623"/>
      <c r="F623" s="27" t="s">
        <v>7</v>
      </c>
      <c r="CS623" s="27" t="s">
        <v>8</v>
      </c>
      <c r="CT623" s="27" t="s">
        <v>7</v>
      </c>
      <c r="CU623" s="27" t="s">
        <v>8</v>
      </c>
      <c r="CX623" s="27" t="s">
        <v>7</v>
      </c>
      <c r="FO623" s="27" t="s">
        <v>8</v>
      </c>
      <c r="FP623" s="27" t="s">
        <v>7</v>
      </c>
      <c r="GK623" s="27" t="s">
        <v>8</v>
      </c>
      <c r="GL623" s="27" t="s">
        <v>7</v>
      </c>
      <c r="GS623" s="27" t="s">
        <v>8</v>
      </c>
      <c r="GT623" s="27" t="s">
        <v>7</v>
      </c>
      <c r="GY623" s="27" t="s">
        <v>8</v>
      </c>
      <c r="GZ623" s="27" t="s">
        <v>7</v>
      </c>
      <c r="HC623" s="27" t="s">
        <v>8</v>
      </c>
      <c r="HD623" s="27" t="s">
        <v>7</v>
      </c>
      <c r="HE623" s="27" t="s">
        <v>8</v>
      </c>
      <c r="HL623" s="27" t="s">
        <v>7</v>
      </c>
      <c r="HM623" s="27" t="s">
        <v>8</v>
      </c>
      <c r="HN623" s="27" t="s">
        <v>7</v>
      </c>
    </row>
    <row r="624" spans="1:227" x14ac:dyDescent="0.25">
      <c r="A624" s="7">
        <v>0.48061093171789437</v>
      </c>
      <c r="B624"/>
      <c r="C624"/>
      <c r="D624"/>
      <c r="E624"/>
      <c r="F624" s="27" t="s">
        <v>7</v>
      </c>
      <c r="CS624" s="27" t="s">
        <v>8</v>
      </c>
      <c r="CT624" s="27" t="s">
        <v>7</v>
      </c>
      <c r="CU624" s="27" t="s">
        <v>8</v>
      </c>
      <c r="CX624" s="27" t="s">
        <v>7</v>
      </c>
      <c r="FO624" s="27" t="s">
        <v>8</v>
      </c>
      <c r="FP624" s="27" t="s">
        <v>7</v>
      </c>
      <c r="GK624" s="27" t="s">
        <v>8</v>
      </c>
      <c r="GL624" s="27" t="s">
        <v>7</v>
      </c>
      <c r="GS624" s="27" t="s">
        <v>8</v>
      </c>
      <c r="GT624" s="27" t="s">
        <v>7</v>
      </c>
      <c r="GY624" s="27" t="s">
        <v>8</v>
      </c>
      <c r="GZ624" s="27" t="s">
        <v>7</v>
      </c>
      <c r="HC624" s="27" t="s">
        <v>8</v>
      </c>
      <c r="HD624" s="27" t="s">
        <v>7</v>
      </c>
      <c r="HE624" s="27" t="s">
        <v>8</v>
      </c>
      <c r="HL624" s="27" t="s">
        <v>7</v>
      </c>
      <c r="HM624" s="27" t="s">
        <v>8</v>
      </c>
    </row>
    <row r="625" spans="1:221" x14ac:dyDescent="0.25">
      <c r="A625" s="7">
        <v>0.47118718795871994</v>
      </c>
      <c r="B625"/>
      <c r="C625"/>
      <c r="D625"/>
      <c r="E625"/>
      <c r="F625" s="27" t="s">
        <v>7</v>
      </c>
      <c r="CS625" s="27" t="s">
        <v>8</v>
      </c>
      <c r="CT625" s="27" t="s">
        <v>7</v>
      </c>
      <c r="CX625" s="27" t="s">
        <v>7</v>
      </c>
      <c r="CY625" s="27" t="s">
        <v>8</v>
      </c>
      <c r="FO625" s="27" t="s">
        <v>8</v>
      </c>
      <c r="FP625" s="27" t="s">
        <v>7</v>
      </c>
      <c r="GK625" s="27" t="s">
        <v>8</v>
      </c>
      <c r="GL625" s="27" t="s">
        <v>7</v>
      </c>
      <c r="GS625" s="27" t="s">
        <v>8</v>
      </c>
      <c r="GT625" s="27" t="s">
        <v>7</v>
      </c>
      <c r="GY625" s="27" t="s">
        <v>8</v>
      </c>
      <c r="GZ625" s="27" t="s">
        <v>7</v>
      </c>
      <c r="HC625" s="27" t="s">
        <v>8</v>
      </c>
      <c r="HD625" s="27" t="s">
        <v>7</v>
      </c>
      <c r="HL625" s="27" t="s">
        <v>7</v>
      </c>
      <c r="HM625" s="27" t="s">
        <v>8</v>
      </c>
    </row>
    <row r="626" spans="1:221" x14ac:dyDescent="0.25">
      <c r="A626" s="7">
        <v>0.46194822348894116</v>
      </c>
      <c r="B626"/>
      <c r="C626"/>
      <c r="D626"/>
      <c r="E626"/>
      <c r="F626" s="27" t="s">
        <v>7</v>
      </c>
      <c r="CE626" s="27" t="s">
        <v>8</v>
      </c>
      <c r="CI626" s="27" t="s">
        <v>8</v>
      </c>
      <c r="CS626" s="27" t="s">
        <v>8</v>
      </c>
      <c r="CX626" s="27" t="s">
        <v>7</v>
      </c>
      <c r="CY626" s="27" t="s">
        <v>8</v>
      </c>
      <c r="CZ626" s="27" t="s">
        <v>7</v>
      </c>
      <c r="FO626" s="27" t="s">
        <v>8</v>
      </c>
      <c r="FP626" s="27" t="s">
        <v>7</v>
      </c>
      <c r="GK626" s="27" t="s">
        <v>8</v>
      </c>
      <c r="GL626" s="27" t="s">
        <v>7</v>
      </c>
      <c r="GS626" s="27" t="s">
        <v>8</v>
      </c>
      <c r="GT626" s="27" t="s">
        <v>7</v>
      </c>
      <c r="GW626" s="27" t="s">
        <v>8</v>
      </c>
      <c r="GY626" s="27" t="s">
        <v>8</v>
      </c>
      <c r="GZ626" s="27" t="s">
        <v>7</v>
      </c>
      <c r="HA626" s="27" t="s">
        <v>8</v>
      </c>
      <c r="HC626" s="27" t="s">
        <v>8</v>
      </c>
      <c r="HL626" s="27" t="s">
        <v>7</v>
      </c>
      <c r="HM626" s="27" t="s">
        <v>8</v>
      </c>
    </row>
    <row r="627" spans="1:221" x14ac:dyDescent="0.25">
      <c r="A627" s="7">
        <v>0.45289041518523643</v>
      </c>
      <c r="B627"/>
      <c r="C627"/>
      <c r="D627"/>
      <c r="E627"/>
      <c r="F627" s="27" t="s">
        <v>7</v>
      </c>
      <c r="CE627" s="27" t="s">
        <v>8</v>
      </c>
      <c r="CF627" s="27" t="s">
        <v>7</v>
      </c>
      <c r="CG627" s="27" t="s">
        <v>8</v>
      </c>
      <c r="CI627" s="27" t="s">
        <v>8</v>
      </c>
      <c r="CJ627" s="27" t="s">
        <v>7</v>
      </c>
      <c r="CK627" s="27" t="s">
        <v>8</v>
      </c>
      <c r="CS627" s="27" t="s">
        <v>8</v>
      </c>
      <c r="CX627" s="27" t="s">
        <v>7</v>
      </c>
      <c r="CY627" s="27" t="s">
        <v>8</v>
      </c>
      <c r="CZ627" s="27" t="s">
        <v>7</v>
      </c>
      <c r="FO627" s="27" t="s">
        <v>8</v>
      </c>
      <c r="FP627" s="27" t="s">
        <v>7</v>
      </c>
      <c r="GK627" s="27" t="s">
        <v>8</v>
      </c>
      <c r="GL627" s="27" t="s">
        <v>7</v>
      </c>
      <c r="GS627" s="27" t="s">
        <v>8</v>
      </c>
      <c r="GT627" s="27" t="s">
        <v>7</v>
      </c>
      <c r="GW627" s="27" t="s">
        <v>8</v>
      </c>
      <c r="GX627" s="27" t="s">
        <v>7</v>
      </c>
      <c r="GY627" s="27" t="s">
        <v>8</v>
      </c>
      <c r="GZ627" s="27" t="s">
        <v>7</v>
      </c>
      <c r="HA627" s="27" t="s">
        <v>8</v>
      </c>
      <c r="HB627" s="27" t="s">
        <v>7</v>
      </c>
      <c r="HC627" s="27" t="s">
        <v>8</v>
      </c>
      <c r="HL627" s="27" t="s">
        <v>7</v>
      </c>
    </row>
    <row r="628" spans="1:221" x14ac:dyDescent="0.25">
      <c r="A628" s="7">
        <v>0.44401021096591808</v>
      </c>
      <c r="B628"/>
      <c r="C628"/>
      <c r="D628"/>
      <c r="E628"/>
      <c r="F628" s="27" t="s">
        <v>7</v>
      </c>
      <c r="CE628" s="27" t="s">
        <v>8</v>
      </c>
      <c r="CF628" s="27" t="s">
        <v>7</v>
      </c>
      <c r="CG628" s="27" t="s">
        <v>8</v>
      </c>
      <c r="CH628" s="27" t="s">
        <v>7</v>
      </c>
      <c r="CI628" s="27" t="s">
        <v>8</v>
      </c>
      <c r="CJ628" s="27" t="s">
        <v>7</v>
      </c>
      <c r="CK628" s="27" t="s">
        <v>8</v>
      </c>
      <c r="CL628" s="27" t="s">
        <v>7</v>
      </c>
      <c r="CS628" s="27" t="s">
        <v>8</v>
      </c>
      <c r="CX628" s="27" t="s">
        <v>7</v>
      </c>
      <c r="CY628" s="27" t="s">
        <v>8</v>
      </c>
      <c r="CZ628" s="27" t="s">
        <v>7</v>
      </c>
      <c r="FO628" s="27" t="s">
        <v>8</v>
      </c>
      <c r="FP628" s="27" t="s">
        <v>7</v>
      </c>
      <c r="GK628" s="27" t="s">
        <v>8</v>
      </c>
      <c r="GL628" s="27" t="s">
        <v>7</v>
      </c>
      <c r="GM628" s="27" t="s">
        <v>8</v>
      </c>
      <c r="GS628" s="27" t="s">
        <v>8</v>
      </c>
      <c r="GT628" s="27" t="s">
        <v>7</v>
      </c>
      <c r="GU628" s="27" t="s">
        <v>8</v>
      </c>
      <c r="GW628" s="27" t="s">
        <v>8</v>
      </c>
      <c r="GX628" s="27" t="s">
        <v>7</v>
      </c>
      <c r="GY628" s="27" t="s">
        <v>8</v>
      </c>
      <c r="GZ628" s="27" t="s">
        <v>7</v>
      </c>
      <c r="HA628" s="27" t="s">
        <v>8</v>
      </c>
      <c r="HB628" s="27" t="s">
        <v>7</v>
      </c>
      <c r="HC628" s="27" t="s">
        <v>8</v>
      </c>
    </row>
    <row r="629" spans="1:221" x14ac:dyDescent="0.25">
      <c r="A629" s="7">
        <v>0.4353041283979589</v>
      </c>
      <c r="B629"/>
      <c r="C629"/>
      <c r="D629"/>
      <c r="E629"/>
      <c r="F629" s="27" t="s">
        <v>7</v>
      </c>
      <c r="BY629" s="27" t="s">
        <v>8</v>
      </c>
      <c r="CE629" s="27" t="s">
        <v>8</v>
      </c>
      <c r="CF629" s="27" t="s">
        <v>7</v>
      </c>
      <c r="CG629" s="27" t="s">
        <v>8</v>
      </c>
      <c r="CH629" s="27" t="s">
        <v>7</v>
      </c>
      <c r="CI629" s="27" t="s">
        <v>8</v>
      </c>
      <c r="CJ629" s="27" t="s">
        <v>7</v>
      </c>
      <c r="CK629" s="27" t="s">
        <v>8</v>
      </c>
      <c r="CL629" s="27" t="s">
        <v>7</v>
      </c>
      <c r="CS629" s="27" t="s">
        <v>8</v>
      </c>
      <c r="CX629" s="27" t="s">
        <v>7</v>
      </c>
      <c r="CZ629" s="27" t="s">
        <v>7</v>
      </c>
      <c r="FO629" s="27" t="s">
        <v>8</v>
      </c>
      <c r="FP629" s="27" t="s">
        <v>7</v>
      </c>
      <c r="GK629" s="27" t="s">
        <v>8</v>
      </c>
      <c r="GL629" s="27" t="s">
        <v>7</v>
      </c>
      <c r="GM629" s="27" t="s">
        <v>8</v>
      </c>
      <c r="GN629" s="27" t="s">
        <v>7</v>
      </c>
      <c r="GS629" s="27" t="s">
        <v>8</v>
      </c>
      <c r="GT629" s="27" t="s">
        <v>7</v>
      </c>
      <c r="GU629" s="27" t="s">
        <v>8</v>
      </c>
      <c r="GV629" s="27" t="s">
        <v>7</v>
      </c>
      <c r="GW629" s="27" t="s">
        <v>8</v>
      </c>
      <c r="GX629" s="27" t="s">
        <v>7</v>
      </c>
      <c r="GY629" s="27" t="s">
        <v>8</v>
      </c>
      <c r="GZ629" s="27" t="s">
        <v>7</v>
      </c>
      <c r="HA629" s="27" t="s">
        <v>8</v>
      </c>
      <c r="HB629" s="27" t="s">
        <v>7</v>
      </c>
      <c r="HC629" s="27" t="s">
        <v>8</v>
      </c>
    </row>
    <row r="630" spans="1:221" x14ac:dyDescent="0.25">
      <c r="A630" s="7">
        <v>0.4267687533313323</v>
      </c>
      <c r="B630"/>
      <c r="C630"/>
      <c r="D630"/>
      <c r="E630"/>
      <c r="F630" s="27" t="s">
        <v>7</v>
      </c>
      <c r="BY630" s="27" t="s">
        <v>8</v>
      </c>
      <c r="BZ630" s="27" t="s">
        <v>7</v>
      </c>
      <c r="CE630" s="27" t="s">
        <v>8</v>
      </c>
      <c r="CF630" s="27" t="s">
        <v>7</v>
      </c>
      <c r="CG630" s="27" t="s">
        <v>8</v>
      </c>
      <c r="CH630" s="27" t="s">
        <v>7</v>
      </c>
      <c r="CI630" s="27" t="s">
        <v>8</v>
      </c>
      <c r="CJ630" s="27" t="s">
        <v>7</v>
      </c>
      <c r="CK630" s="27" t="s">
        <v>8</v>
      </c>
      <c r="CL630" s="27" t="s">
        <v>7</v>
      </c>
      <c r="CS630" s="27" t="s">
        <v>8</v>
      </c>
      <c r="CZ630" s="27" t="s">
        <v>7</v>
      </c>
      <c r="DA630" s="27" t="s">
        <v>8</v>
      </c>
      <c r="FO630" s="27" t="s">
        <v>8</v>
      </c>
      <c r="FP630" s="27" t="s">
        <v>7</v>
      </c>
      <c r="GK630" s="27" t="s">
        <v>8</v>
      </c>
      <c r="GL630" s="27" t="s">
        <v>7</v>
      </c>
      <c r="GM630" s="27" t="s">
        <v>8</v>
      </c>
      <c r="GN630" s="27" t="s">
        <v>7</v>
      </c>
      <c r="GS630" s="27" t="s">
        <v>8</v>
      </c>
      <c r="GT630" s="27" t="s">
        <v>7</v>
      </c>
      <c r="GU630" s="27" t="s">
        <v>8</v>
      </c>
      <c r="GV630" s="27" t="s">
        <v>7</v>
      </c>
      <c r="GW630" s="27" t="s">
        <v>8</v>
      </c>
      <c r="GX630" s="27" t="s">
        <v>7</v>
      </c>
      <c r="GY630" s="27" t="s">
        <v>8</v>
      </c>
      <c r="GZ630" s="27" t="s">
        <v>7</v>
      </c>
      <c r="HB630" s="27" t="s">
        <v>7</v>
      </c>
      <c r="HC630" s="27" t="s">
        <v>8</v>
      </c>
    </row>
    <row r="631" spans="1:221" x14ac:dyDescent="0.25">
      <c r="A631" s="7">
        <v>0.41840073856012971</v>
      </c>
      <c r="B631"/>
      <c r="C631"/>
      <c r="D631"/>
      <c r="E631"/>
      <c r="F631" s="27" t="s">
        <v>7</v>
      </c>
      <c r="BW631" s="27" t="s">
        <v>8</v>
      </c>
      <c r="BY631" s="27" t="s">
        <v>8</v>
      </c>
      <c r="BZ631" s="27" t="s">
        <v>7</v>
      </c>
      <c r="CC631" s="27" t="s">
        <v>8</v>
      </c>
      <c r="CE631" s="27" t="s">
        <v>8</v>
      </c>
      <c r="CF631" s="27" t="s">
        <v>7</v>
      </c>
      <c r="CG631" s="27" t="s">
        <v>8</v>
      </c>
      <c r="CH631" s="27" t="s">
        <v>7</v>
      </c>
      <c r="CI631" s="27" t="s">
        <v>8</v>
      </c>
      <c r="CJ631" s="27" t="s">
        <v>7</v>
      </c>
      <c r="CK631" s="27" t="s">
        <v>8</v>
      </c>
      <c r="CL631" s="27" t="s">
        <v>7</v>
      </c>
      <c r="CM631" s="27" t="s">
        <v>8</v>
      </c>
      <c r="CS631" s="27" t="s">
        <v>8</v>
      </c>
      <c r="CZ631" s="27" t="s">
        <v>7</v>
      </c>
      <c r="DA631" s="27" t="s">
        <v>8</v>
      </c>
      <c r="DB631" s="27" t="s">
        <v>7</v>
      </c>
      <c r="FO631" s="27" t="s">
        <v>8</v>
      </c>
      <c r="FP631" s="27" t="s">
        <v>7</v>
      </c>
      <c r="GK631" s="27" t="s">
        <v>8</v>
      </c>
      <c r="GL631" s="27" t="s">
        <v>7</v>
      </c>
      <c r="GM631" s="27" t="s">
        <v>8</v>
      </c>
      <c r="GN631" s="27" t="s">
        <v>7</v>
      </c>
      <c r="GS631" s="27" t="s">
        <v>8</v>
      </c>
      <c r="GT631" s="27" t="s">
        <v>7</v>
      </c>
      <c r="GU631" s="27" t="s">
        <v>8</v>
      </c>
      <c r="GV631" s="27" t="s">
        <v>7</v>
      </c>
      <c r="GW631" s="27" t="s">
        <v>8</v>
      </c>
      <c r="GX631" s="27" t="s">
        <v>7</v>
      </c>
      <c r="GY631" s="27" t="s">
        <v>8</v>
      </c>
      <c r="HB631" s="27" t="s">
        <v>7</v>
      </c>
      <c r="HC631" s="27" t="s">
        <v>8</v>
      </c>
    </row>
    <row r="632" spans="1:221" x14ac:dyDescent="0.25">
      <c r="A632" s="7">
        <v>0.41019680250993112</v>
      </c>
      <c r="B632"/>
      <c r="C632"/>
      <c r="D632"/>
      <c r="E632"/>
      <c r="F632" s="27" t="s">
        <v>7</v>
      </c>
      <c r="BW632" s="27" t="s">
        <v>8</v>
      </c>
      <c r="BX632" s="27" t="s">
        <v>7</v>
      </c>
      <c r="BY632" s="27" t="s">
        <v>8</v>
      </c>
      <c r="BZ632" s="27" t="s">
        <v>7</v>
      </c>
      <c r="CC632" s="27" t="s">
        <v>8</v>
      </c>
      <c r="CD632" s="27" t="s">
        <v>7</v>
      </c>
      <c r="CE632" s="27" t="s">
        <v>8</v>
      </c>
      <c r="CF632" s="27" t="s">
        <v>7</v>
      </c>
      <c r="CH632" s="27" t="s">
        <v>7</v>
      </c>
      <c r="CJ632" s="27" t="s">
        <v>7</v>
      </c>
      <c r="CK632" s="27" t="s">
        <v>8</v>
      </c>
      <c r="CL632" s="27" t="s">
        <v>7</v>
      </c>
      <c r="CM632" s="27" t="s">
        <v>8</v>
      </c>
      <c r="CN632" s="27" t="s">
        <v>7</v>
      </c>
      <c r="CS632" s="27" t="s">
        <v>8</v>
      </c>
      <c r="CZ632" s="27" t="s">
        <v>7</v>
      </c>
      <c r="DA632" s="27" t="s">
        <v>8</v>
      </c>
      <c r="DB632" s="27" t="s">
        <v>7</v>
      </c>
      <c r="FO632" s="27" t="s">
        <v>8</v>
      </c>
      <c r="FP632" s="27" t="s">
        <v>7</v>
      </c>
      <c r="GK632" s="27" t="s">
        <v>8</v>
      </c>
      <c r="GL632" s="27" t="s">
        <v>7</v>
      </c>
      <c r="GM632" s="27" t="s">
        <v>8</v>
      </c>
      <c r="GN632" s="27" t="s">
        <v>7</v>
      </c>
      <c r="GS632" s="27" t="s">
        <v>8</v>
      </c>
      <c r="GT632" s="27" t="s">
        <v>7</v>
      </c>
      <c r="GU632" s="27" t="s">
        <v>8</v>
      </c>
      <c r="GV632" s="27" t="s">
        <v>7</v>
      </c>
      <c r="GW632" s="27" t="s">
        <v>8</v>
      </c>
      <c r="GX632" s="27" t="s">
        <v>7</v>
      </c>
      <c r="HB632" s="27" t="s">
        <v>7</v>
      </c>
      <c r="HC632" s="27" t="s">
        <v>8</v>
      </c>
    </row>
    <row r="633" spans="1:221" x14ac:dyDescent="0.25">
      <c r="A633" s="7">
        <v>0.40215372795091286</v>
      </c>
      <c r="B633"/>
      <c r="C633"/>
      <c r="D633"/>
      <c r="E633"/>
      <c r="F633" s="27" t="s">
        <v>7</v>
      </c>
      <c r="BW633" s="27" t="s">
        <v>8</v>
      </c>
      <c r="BX633" s="27" t="s">
        <v>7</v>
      </c>
      <c r="BY633" s="27" t="s">
        <v>8</v>
      </c>
      <c r="BZ633" s="27" t="s">
        <v>7</v>
      </c>
      <c r="CC633" s="27" t="s">
        <v>8</v>
      </c>
      <c r="CD633" s="27" t="s">
        <v>7</v>
      </c>
      <c r="CE633" s="27" t="s">
        <v>8</v>
      </c>
      <c r="CJ633" s="27" t="s">
        <v>7</v>
      </c>
      <c r="CK633" s="27" t="s">
        <v>8</v>
      </c>
      <c r="CL633" s="27" t="s">
        <v>7</v>
      </c>
      <c r="CM633" s="27" t="s">
        <v>8</v>
      </c>
      <c r="CN633" s="27" t="s">
        <v>7</v>
      </c>
      <c r="CS633" s="27" t="s">
        <v>8</v>
      </c>
      <c r="CZ633" s="27" t="s">
        <v>7</v>
      </c>
      <c r="DA633" s="27" t="s">
        <v>8</v>
      </c>
      <c r="DB633" s="27" t="s">
        <v>7</v>
      </c>
      <c r="FO633" s="27" t="s">
        <v>8</v>
      </c>
      <c r="FP633" s="27" t="s">
        <v>7</v>
      </c>
      <c r="GK633" s="27" t="s">
        <v>8</v>
      </c>
      <c r="GL633" s="27" t="s">
        <v>7</v>
      </c>
      <c r="GM633" s="27" t="s">
        <v>8</v>
      </c>
      <c r="GN633" s="27" t="s">
        <v>7</v>
      </c>
      <c r="GS633" s="27" t="s">
        <v>8</v>
      </c>
      <c r="GT633" s="27" t="s">
        <v>7</v>
      </c>
      <c r="GU633" s="27" t="s">
        <v>8</v>
      </c>
      <c r="GV633" s="27" t="s">
        <v>7</v>
      </c>
      <c r="GW633" s="27" t="s">
        <v>8</v>
      </c>
      <c r="HB633" s="27" t="s">
        <v>7</v>
      </c>
    </row>
    <row r="634" spans="1:221" x14ac:dyDescent="0.25">
      <c r="A634" s="7">
        <v>0.39426836073618904</v>
      </c>
      <c r="B634"/>
      <c r="C634"/>
      <c r="D634"/>
      <c r="E634"/>
      <c r="F634" s="27" t="s">
        <v>7</v>
      </c>
      <c r="BW634" s="27" t="s">
        <v>8</v>
      </c>
      <c r="BX634" s="27" t="s">
        <v>7</v>
      </c>
      <c r="BY634" s="27" t="s">
        <v>8</v>
      </c>
      <c r="BZ634" s="27" t="s">
        <v>7</v>
      </c>
      <c r="CA634" s="27" t="s">
        <v>8</v>
      </c>
      <c r="CC634" s="27" t="s">
        <v>8</v>
      </c>
      <c r="CD634" s="27" t="s">
        <v>7</v>
      </c>
      <c r="CE634" s="27" t="s">
        <v>8</v>
      </c>
      <c r="CJ634" s="27" t="s">
        <v>7</v>
      </c>
      <c r="CK634" s="27" t="s">
        <v>8</v>
      </c>
      <c r="CL634" s="27" t="s">
        <v>7</v>
      </c>
      <c r="CM634" s="27" t="s">
        <v>8</v>
      </c>
      <c r="CN634" s="27" t="s">
        <v>7</v>
      </c>
      <c r="CS634" s="27" t="s">
        <v>8</v>
      </c>
      <c r="CZ634" s="27" t="s">
        <v>7</v>
      </c>
      <c r="DA634" s="27" t="s">
        <v>8</v>
      </c>
      <c r="DB634" s="27" t="s">
        <v>7</v>
      </c>
      <c r="FO634" s="27" t="s">
        <v>8</v>
      </c>
      <c r="FP634" s="27" t="s">
        <v>7</v>
      </c>
      <c r="GK634" s="27" t="s">
        <v>8</v>
      </c>
      <c r="GL634" s="27" t="s">
        <v>7</v>
      </c>
      <c r="GM634" s="27" t="s">
        <v>8</v>
      </c>
      <c r="GN634" s="27" t="s">
        <v>7</v>
      </c>
      <c r="GS634" s="27" t="s">
        <v>8</v>
      </c>
      <c r="GT634" s="27" t="s">
        <v>7</v>
      </c>
      <c r="GU634" s="27" t="s">
        <v>8</v>
      </c>
      <c r="GV634" s="27" t="s">
        <v>7</v>
      </c>
      <c r="GW634" s="27" t="s">
        <v>8</v>
      </c>
    </row>
    <row r="635" spans="1:221" x14ac:dyDescent="0.25">
      <c r="A635" s="7">
        <v>0.38653760856489122</v>
      </c>
      <c r="B635"/>
      <c r="C635"/>
      <c r="D635"/>
      <c r="E635"/>
      <c r="F635" s="27" t="s">
        <v>7</v>
      </c>
      <c r="BW635" s="27" t="s">
        <v>8</v>
      </c>
      <c r="BX635" s="27" t="s">
        <v>7</v>
      </c>
      <c r="BY635" s="27" t="s">
        <v>8</v>
      </c>
      <c r="BZ635" s="27" t="s">
        <v>7</v>
      </c>
      <c r="CA635" s="27" t="s">
        <v>8</v>
      </c>
      <c r="CB635" s="27" t="s">
        <v>7</v>
      </c>
      <c r="CC635" s="27" t="s">
        <v>8</v>
      </c>
      <c r="CD635" s="27" t="s">
        <v>7</v>
      </c>
      <c r="CE635" s="27" t="s">
        <v>8</v>
      </c>
      <c r="CJ635" s="27" t="s">
        <v>7</v>
      </c>
      <c r="CK635" s="27" t="s">
        <v>8</v>
      </c>
      <c r="CL635" s="27" t="s">
        <v>7</v>
      </c>
      <c r="CM635" s="27" t="s">
        <v>8</v>
      </c>
      <c r="CN635" s="27" t="s">
        <v>7</v>
      </c>
      <c r="CS635" s="27" t="s">
        <v>8</v>
      </c>
      <c r="CZ635" s="27" t="s">
        <v>7</v>
      </c>
      <c r="DA635" s="27" t="s">
        <v>8</v>
      </c>
      <c r="DB635" s="27" t="s">
        <v>7</v>
      </c>
      <c r="FO635" s="27" t="s">
        <v>8</v>
      </c>
      <c r="FP635" s="27" t="s">
        <v>7</v>
      </c>
      <c r="FW635" s="27" t="s">
        <v>8</v>
      </c>
      <c r="GK635" s="27" t="s">
        <v>8</v>
      </c>
      <c r="GL635" s="27" t="s">
        <v>7</v>
      </c>
      <c r="GM635" s="27" t="s">
        <v>8</v>
      </c>
      <c r="GN635" s="27" t="s">
        <v>7</v>
      </c>
      <c r="GS635" s="27" t="s">
        <v>8</v>
      </c>
      <c r="GT635" s="27" t="s">
        <v>7</v>
      </c>
      <c r="GU635" s="27" t="s">
        <v>8</v>
      </c>
      <c r="GV635" s="27" t="s">
        <v>7</v>
      </c>
      <c r="GW635" s="27" t="s">
        <v>8</v>
      </c>
    </row>
    <row r="636" spans="1:221" x14ac:dyDescent="0.25">
      <c r="A636" s="7">
        <v>0.37895843976950117</v>
      </c>
      <c r="B636"/>
      <c r="C636"/>
      <c r="D636"/>
      <c r="E636"/>
      <c r="F636" s="27" t="s">
        <v>7</v>
      </c>
      <c r="BW636" s="27" t="s">
        <v>8</v>
      </c>
      <c r="BX636" s="27" t="s">
        <v>7</v>
      </c>
      <c r="BY636" s="27" t="s">
        <v>8</v>
      </c>
      <c r="BZ636" s="27" t="s">
        <v>7</v>
      </c>
      <c r="CA636" s="27" t="s">
        <v>8</v>
      </c>
      <c r="CB636" s="27" t="s">
        <v>7</v>
      </c>
      <c r="CC636" s="27" t="s">
        <v>8</v>
      </c>
      <c r="CD636" s="27" t="s">
        <v>7</v>
      </c>
      <c r="CE636" s="27" t="s">
        <v>8</v>
      </c>
      <c r="CJ636" s="27" t="s">
        <v>7</v>
      </c>
      <c r="CK636" s="27" t="s">
        <v>8</v>
      </c>
      <c r="CL636" s="27" t="s">
        <v>7</v>
      </c>
      <c r="CM636" s="27" t="s">
        <v>8</v>
      </c>
      <c r="CN636" s="27" t="s">
        <v>7</v>
      </c>
      <c r="CS636" s="27" t="s">
        <v>8</v>
      </c>
      <c r="CZ636" s="27" t="s">
        <v>7</v>
      </c>
      <c r="DA636" s="27" t="s">
        <v>8</v>
      </c>
      <c r="DB636" s="27" t="s">
        <v>7</v>
      </c>
      <c r="FO636" s="27" t="s">
        <v>8</v>
      </c>
      <c r="FP636" s="27" t="s">
        <v>7</v>
      </c>
      <c r="FW636" s="27" t="s">
        <v>8</v>
      </c>
      <c r="FX636" s="27" t="s">
        <v>7</v>
      </c>
      <c r="GK636" s="27" t="s">
        <v>8</v>
      </c>
      <c r="GL636" s="27" t="s">
        <v>7</v>
      </c>
      <c r="GM636" s="27" t="s">
        <v>8</v>
      </c>
      <c r="GN636" s="27" t="s">
        <v>7</v>
      </c>
      <c r="GO636" s="27" t="s">
        <v>8</v>
      </c>
      <c r="GS636" s="27" t="s">
        <v>8</v>
      </c>
      <c r="GT636" s="27" t="s">
        <v>7</v>
      </c>
      <c r="GU636" s="27" t="s">
        <v>8</v>
      </c>
      <c r="GV636" s="27" t="s">
        <v>7</v>
      </c>
      <c r="GW636" s="27" t="s">
        <v>8</v>
      </c>
    </row>
    <row r="637" spans="1:221" x14ac:dyDescent="0.25">
      <c r="A637" s="7">
        <v>0.37152788212696197</v>
      </c>
      <c r="B637"/>
      <c r="C637"/>
      <c r="D637"/>
      <c r="E637"/>
      <c r="F637" s="27" t="s">
        <v>7</v>
      </c>
      <c r="BW637" s="27" t="s">
        <v>8</v>
      </c>
      <c r="BX637" s="27" t="s">
        <v>7</v>
      </c>
      <c r="BY637" s="27" t="s">
        <v>8</v>
      </c>
      <c r="BZ637" s="27" t="s">
        <v>7</v>
      </c>
      <c r="CA637" s="27" t="s">
        <v>8</v>
      </c>
      <c r="CB637" s="27" t="s">
        <v>7</v>
      </c>
      <c r="CC637" s="27" t="s">
        <v>8</v>
      </c>
      <c r="CD637" s="27" t="s">
        <v>7</v>
      </c>
      <c r="CE637" s="27" t="s">
        <v>8</v>
      </c>
      <c r="CJ637" s="27" t="s">
        <v>7</v>
      </c>
      <c r="CK637" s="27" t="s">
        <v>8</v>
      </c>
      <c r="CL637" s="27" t="s">
        <v>7</v>
      </c>
      <c r="CM637" s="27" t="s">
        <v>8</v>
      </c>
      <c r="CN637" s="27" t="s">
        <v>7</v>
      </c>
      <c r="CS637" s="27" t="s">
        <v>8</v>
      </c>
      <c r="CZ637" s="27" t="s">
        <v>7</v>
      </c>
      <c r="DA637" s="27" t="s">
        <v>8</v>
      </c>
      <c r="DB637" s="27" t="s">
        <v>7</v>
      </c>
      <c r="FO637" s="27" t="s">
        <v>8</v>
      </c>
      <c r="FP637" s="27" t="s">
        <v>7</v>
      </c>
      <c r="FW637" s="27" t="s">
        <v>8</v>
      </c>
      <c r="FX637" s="27" t="s">
        <v>7</v>
      </c>
      <c r="FY637" s="27" t="s">
        <v>8</v>
      </c>
      <c r="GK637" s="27" t="s">
        <v>8</v>
      </c>
      <c r="GL637" s="27" t="s">
        <v>7</v>
      </c>
      <c r="GM637" s="27" t="s">
        <v>8</v>
      </c>
      <c r="GN637" s="27" t="s">
        <v>7</v>
      </c>
      <c r="GO637" s="27" t="s">
        <v>8</v>
      </c>
      <c r="GP637" s="27" t="s">
        <v>7</v>
      </c>
      <c r="GS637" s="27" t="s">
        <v>8</v>
      </c>
      <c r="GT637" s="27" t="s">
        <v>7</v>
      </c>
      <c r="GU637" s="27" t="s">
        <v>8</v>
      </c>
      <c r="GV637" s="27" t="s">
        <v>7</v>
      </c>
      <c r="GW637" s="27" t="s">
        <v>8</v>
      </c>
    </row>
    <row r="638" spans="1:221" x14ac:dyDescent="0.25">
      <c r="A638" s="7">
        <v>0.36424302169310002</v>
      </c>
      <c r="B638"/>
      <c r="C638"/>
      <c r="D638"/>
      <c r="E638"/>
      <c r="F638" s="27" t="s">
        <v>7</v>
      </c>
      <c r="BW638" s="27" t="s">
        <v>8</v>
      </c>
      <c r="BX638" s="27" t="s">
        <v>7</v>
      </c>
      <c r="BY638" s="27" t="s">
        <v>8</v>
      </c>
      <c r="BZ638" s="27" t="s">
        <v>7</v>
      </c>
      <c r="CA638" s="27" t="s">
        <v>8</v>
      </c>
      <c r="CB638" s="27" t="s">
        <v>7</v>
      </c>
      <c r="CC638" s="27" t="s">
        <v>8</v>
      </c>
      <c r="CD638" s="27" t="s">
        <v>7</v>
      </c>
      <c r="CJ638" s="27" t="s">
        <v>7</v>
      </c>
      <c r="CK638" s="27" t="s">
        <v>8</v>
      </c>
      <c r="CL638" s="27" t="s">
        <v>7</v>
      </c>
      <c r="CN638" s="27" t="s">
        <v>7</v>
      </c>
      <c r="CS638" s="27" t="s">
        <v>8</v>
      </c>
      <c r="CZ638" s="27" t="s">
        <v>7</v>
      </c>
      <c r="DA638" s="27" t="s">
        <v>8</v>
      </c>
      <c r="DB638" s="27" t="s">
        <v>7</v>
      </c>
      <c r="FO638" s="27" t="s">
        <v>8</v>
      </c>
      <c r="FP638" s="27" t="s">
        <v>7</v>
      </c>
      <c r="FW638" s="27" t="s">
        <v>8</v>
      </c>
      <c r="FX638" s="27" t="s">
        <v>7</v>
      </c>
      <c r="FY638" s="27" t="s">
        <v>8</v>
      </c>
      <c r="FZ638" s="27" t="s">
        <v>7</v>
      </c>
      <c r="GK638" s="27" t="s">
        <v>8</v>
      </c>
      <c r="GL638" s="27" t="s">
        <v>7</v>
      </c>
      <c r="GM638" s="27" t="s">
        <v>8</v>
      </c>
      <c r="GN638" s="27" t="s">
        <v>7</v>
      </c>
      <c r="GO638" s="27" t="s">
        <v>8</v>
      </c>
      <c r="GP638" s="27" t="s">
        <v>7</v>
      </c>
      <c r="GS638" s="27" t="s">
        <v>8</v>
      </c>
      <c r="GT638" s="27" t="s">
        <v>7</v>
      </c>
      <c r="GV638" s="27" t="s">
        <v>7</v>
      </c>
    </row>
    <row r="639" spans="1:221" x14ac:dyDescent="0.25">
      <c r="A639" s="7">
        <v>0.35710100165990194</v>
      </c>
      <c r="B639"/>
      <c r="C639"/>
      <c r="D639"/>
      <c r="E639"/>
      <c r="F639" s="27" t="s">
        <v>7</v>
      </c>
      <c r="BU639" s="27" t="s">
        <v>8</v>
      </c>
      <c r="BW639" s="27" t="s">
        <v>8</v>
      </c>
      <c r="BX639" s="27" t="s">
        <v>7</v>
      </c>
      <c r="BZ639" s="27" t="s">
        <v>7</v>
      </c>
      <c r="CA639" s="27" t="s">
        <v>8</v>
      </c>
      <c r="CB639" s="27" t="s">
        <v>7</v>
      </c>
      <c r="CC639" s="27" t="s">
        <v>8</v>
      </c>
      <c r="CJ639" s="27" t="s">
        <v>7</v>
      </c>
      <c r="CN639" s="27" t="s">
        <v>7</v>
      </c>
      <c r="CQ639" s="27" t="s">
        <v>8</v>
      </c>
      <c r="CS639" s="27" t="s">
        <v>8</v>
      </c>
      <c r="CZ639" s="27" t="s">
        <v>7</v>
      </c>
      <c r="DA639" s="27" t="s">
        <v>8</v>
      </c>
      <c r="DB639" s="27" t="s">
        <v>7</v>
      </c>
      <c r="FO639" s="27" t="s">
        <v>8</v>
      </c>
      <c r="FP639" s="27" t="s">
        <v>7</v>
      </c>
      <c r="FW639" s="27" t="s">
        <v>8</v>
      </c>
      <c r="FX639" s="27" t="s">
        <v>7</v>
      </c>
      <c r="FY639" s="27" t="s">
        <v>8</v>
      </c>
      <c r="FZ639" s="27" t="s">
        <v>7</v>
      </c>
      <c r="GK639" s="27" t="s">
        <v>8</v>
      </c>
      <c r="GL639" s="27" t="s">
        <v>7</v>
      </c>
      <c r="GN639" s="27" t="s">
        <v>7</v>
      </c>
      <c r="GO639" s="27" t="s">
        <v>8</v>
      </c>
      <c r="GP639" s="27" t="s">
        <v>7</v>
      </c>
      <c r="GS639" s="27" t="s">
        <v>8</v>
      </c>
    </row>
    <row r="640" spans="1:221" x14ac:dyDescent="0.25">
      <c r="A640" s="7">
        <v>0.35009902123519804</v>
      </c>
      <c r="B640"/>
      <c r="C640"/>
      <c r="D640"/>
      <c r="E640"/>
      <c r="F640" s="27" t="s">
        <v>7</v>
      </c>
      <c r="BU640" s="27" t="s">
        <v>8</v>
      </c>
      <c r="BV640" s="27" t="s">
        <v>7</v>
      </c>
      <c r="BW640" s="27" t="s">
        <v>8</v>
      </c>
      <c r="BZ640" s="27" t="s">
        <v>7</v>
      </c>
      <c r="CA640" s="27" t="s">
        <v>8</v>
      </c>
      <c r="CB640" s="27" t="s">
        <v>7</v>
      </c>
      <c r="CC640" s="27" t="s">
        <v>8</v>
      </c>
      <c r="CN640" s="27" t="s">
        <v>7</v>
      </c>
      <c r="CQ640" s="27" t="s">
        <v>8</v>
      </c>
      <c r="CR640" s="27" t="s">
        <v>7</v>
      </c>
      <c r="CS640" s="27" t="s">
        <v>8</v>
      </c>
      <c r="CZ640" s="27" t="s">
        <v>7</v>
      </c>
      <c r="DA640" s="27" t="s">
        <v>8</v>
      </c>
      <c r="DB640" s="27" t="s">
        <v>7</v>
      </c>
      <c r="FO640" s="27" t="s">
        <v>8</v>
      </c>
      <c r="FP640" s="27" t="s">
        <v>7</v>
      </c>
      <c r="FW640" s="27" t="s">
        <v>8</v>
      </c>
      <c r="FX640" s="27" t="s">
        <v>7</v>
      </c>
      <c r="FY640" s="27" t="s">
        <v>8</v>
      </c>
      <c r="FZ640" s="27" t="s">
        <v>7</v>
      </c>
      <c r="GA640" s="27" t="s">
        <v>8</v>
      </c>
      <c r="GK640" s="27" t="s">
        <v>8</v>
      </c>
      <c r="GN640" s="27" t="s">
        <v>7</v>
      </c>
      <c r="GO640" s="27" t="s">
        <v>8</v>
      </c>
      <c r="GP640" s="27" t="s">
        <v>7</v>
      </c>
      <c r="GS640" s="27" t="s">
        <v>8</v>
      </c>
    </row>
    <row r="641" spans="1:201" x14ac:dyDescent="0.25">
      <c r="A641" s="7">
        <v>0.34323433454431179</v>
      </c>
      <c r="B641"/>
      <c r="C641"/>
      <c r="D641"/>
      <c r="E641"/>
      <c r="F641" s="27" t="s">
        <v>7</v>
      </c>
      <c r="BS641" s="27" t="s">
        <v>8</v>
      </c>
      <c r="BU641" s="27" t="s">
        <v>8</v>
      </c>
      <c r="BV641" s="27" t="s">
        <v>7</v>
      </c>
      <c r="BW641" s="27" t="s">
        <v>8</v>
      </c>
      <c r="BZ641" s="27" t="s">
        <v>7</v>
      </c>
      <c r="CA641" s="27" t="s">
        <v>8</v>
      </c>
      <c r="CB641" s="27" t="s">
        <v>7</v>
      </c>
      <c r="CC641" s="27" t="s">
        <v>8</v>
      </c>
      <c r="CN641" s="27" t="s">
        <v>7</v>
      </c>
      <c r="CQ641" s="27" t="s">
        <v>8</v>
      </c>
      <c r="CR641" s="27" t="s">
        <v>7</v>
      </c>
      <c r="CS641" s="27" t="s">
        <v>8</v>
      </c>
      <c r="CZ641" s="27" t="s">
        <v>7</v>
      </c>
      <c r="DB641" s="27" t="s">
        <v>7</v>
      </c>
      <c r="FE641" s="27" t="s">
        <v>8</v>
      </c>
      <c r="FO641" s="27" t="s">
        <v>8</v>
      </c>
      <c r="FP641" s="27" t="s">
        <v>7</v>
      </c>
      <c r="FW641" s="27" t="s">
        <v>8</v>
      </c>
      <c r="FX641" s="27" t="s">
        <v>7</v>
      </c>
      <c r="FY641" s="27" t="s">
        <v>8</v>
      </c>
      <c r="FZ641" s="27" t="s">
        <v>7</v>
      </c>
      <c r="GA641" s="27" t="s">
        <v>8</v>
      </c>
      <c r="GB641" s="27" t="s">
        <v>7</v>
      </c>
      <c r="GK641" s="27" t="s">
        <v>8</v>
      </c>
      <c r="GN641" s="27" t="s">
        <v>7</v>
      </c>
      <c r="GO641" s="27" t="s">
        <v>8</v>
      </c>
      <c r="GP641" s="27" t="s">
        <v>7</v>
      </c>
      <c r="GS641" s="27" t="s">
        <v>8</v>
      </c>
    </row>
    <row r="642" spans="1:201" x14ac:dyDescent="0.25">
      <c r="A642" s="7">
        <v>0.33650424955324681</v>
      </c>
      <c r="B642"/>
      <c r="C642"/>
      <c r="D642"/>
      <c r="E642"/>
      <c r="F642" s="27" t="s">
        <v>7</v>
      </c>
      <c r="BS642" s="27" t="s">
        <v>8</v>
      </c>
      <c r="BT642" s="27" t="s">
        <v>7</v>
      </c>
      <c r="BU642" s="27" t="s">
        <v>8</v>
      </c>
      <c r="BV642" s="27" t="s">
        <v>7</v>
      </c>
      <c r="BW642" s="27" t="s">
        <v>8</v>
      </c>
      <c r="BZ642" s="27" t="s">
        <v>7</v>
      </c>
      <c r="CA642" s="27" t="s">
        <v>8</v>
      </c>
      <c r="CB642" s="27" t="s">
        <v>7</v>
      </c>
      <c r="CN642" s="27" t="s">
        <v>7</v>
      </c>
      <c r="CQ642" s="27" t="s">
        <v>8</v>
      </c>
      <c r="CR642" s="27" t="s">
        <v>7</v>
      </c>
      <c r="CS642" s="27" t="s">
        <v>8</v>
      </c>
      <c r="DB642" s="27" t="s">
        <v>7</v>
      </c>
      <c r="FE642" s="27" t="s">
        <v>8</v>
      </c>
      <c r="FF642" s="27" t="s">
        <v>7</v>
      </c>
      <c r="FO642" s="27" t="s">
        <v>8</v>
      </c>
      <c r="FP642" s="27" t="s">
        <v>7</v>
      </c>
      <c r="FW642" s="27" t="s">
        <v>8</v>
      </c>
      <c r="FX642" s="27" t="s">
        <v>7</v>
      </c>
      <c r="FY642" s="27" t="s">
        <v>8</v>
      </c>
      <c r="FZ642" s="27" t="s">
        <v>7</v>
      </c>
      <c r="GA642" s="27" t="s">
        <v>8</v>
      </c>
      <c r="GB642" s="27" t="s">
        <v>7</v>
      </c>
      <c r="GK642" s="27" t="s">
        <v>8</v>
      </c>
      <c r="GN642" s="27" t="s">
        <v>7</v>
      </c>
      <c r="GO642" s="27" t="s">
        <v>8</v>
      </c>
      <c r="GP642" s="27" t="s">
        <v>7</v>
      </c>
      <c r="GQ642" s="27" t="s">
        <v>8</v>
      </c>
      <c r="GS642" s="27" t="s">
        <v>8</v>
      </c>
    </row>
    <row r="643" spans="1:201" x14ac:dyDescent="0.25">
      <c r="A643" s="7">
        <v>0.3299061270129871</v>
      </c>
      <c r="B643"/>
      <c r="C643"/>
      <c r="D643"/>
      <c r="E643"/>
      <c r="F643" s="27" t="s">
        <v>7</v>
      </c>
      <c r="BS643" s="27" t="s">
        <v>8</v>
      </c>
      <c r="BT643" s="27" t="s">
        <v>7</v>
      </c>
      <c r="BU643" s="27" t="s">
        <v>8</v>
      </c>
      <c r="BV643" s="27" t="s">
        <v>7</v>
      </c>
      <c r="BW643" s="27" t="s">
        <v>8</v>
      </c>
      <c r="BZ643" s="27" t="s">
        <v>7</v>
      </c>
      <c r="CN643" s="27" t="s">
        <v>7</v>
      </c>
      <c r="CQ643" s="27" t="s">
        <v>8</v>
      </c>
      <c r="CR643" s="27" t="s">
        <v>7</v>
      </c>
      <c r="CS643" s="27" t="s">
        <v>8</v>
      </c>
      <c r="DB643" s="27" t="s">
        <v>7</v>
      </c>
      <c r="DC643" s="27" t="s">
        <v>8</v>
      </c>
      <c r="FE643" s="27" t="s">
        <v>8</v>
      </c>
      <c r="FF643" s="27" t="s">
        <v>7</v>
      </c>
      <c r="FM643" s="27" t="s">
        <v>8</v>
      </c>
      <c r="FO643" s="27" t="s">
        <v>8</v>
      </c>
      <c r="FP643" s="27" t="s">
        <v>7</v>
      </c>
      <c r="FW643" s="27" t="s">
        <v>8</v>
      </c>
      <c r="FX643" s="27" t="s">
        <v>7</v>
      </c>
      <c r="FY643" s="27" t="s">
        <v>8</v>
      </c>
      <c r="FZ643" s="27" t="s">
        <v>7</v>
      </c>
      <c r="GA643" s="27" t="s">
        <v>8</v>
      </c>
      <c r="GB643" s="27" t="s">
        <v>7</v>
      </c>
      <c r="GK643" s="27" t="s">
        <v>8</v>
      </c>
      <c r="GN643" s="27" t="s">
        <v>7</v>
      </c>
      <c r="GO643" s="27" t="s">
        <v>8</v>
      </c>
      <c r="GP643" s="27" t="s">
        <v>7</v>
      </c>
      <c r="GQ643" s="27" t="s">
        <v>8</v>
      </c>
      <c r="GR643" s="27" t="s">
        <v>7</v>
      </c>
      <c r="GS643" s="27" t="s">
        <v>8</v>
      </c>
    </row>
    <row r="644" spans="1:201" x14ac:dyDescent="0.25">
      <c r="A644" s="7">
        <v>0.32343737942449713</v>
      </c>
      <c r="B644"/>
      <c r="C644"/>
      <c r="D644"/>
      <c r="E644"/>
      <c r="F644" s="27" t="s">
        <v>7</v>
      </c>
      <c r="BS644" s="27" t="s">
        <v>8</v>
      </c>
      <c r="BT644" s="27" t="s">
        <v>7</v>
      </c>
      <c r="BU644" s="27" t="s">
        <v>8</v>
      </c>
      <c r="BV644" s="27" t="s">
        <v>7</v>
      </c>
      <c r="BW644" s="27" t="s">
        <v>8</v>
      </c>
      <c r="CN644" s="27" t="s">
        <v>7</v>
      </c>
      <c r="CO644" s="27" t="s">
        <v>8</v>
      </c>
      <c r="CQ644" s="27" t="s">
        <v>8</v>
      </c>
      <c r="CR644" s="27" t="s">
        <v>7</v>
      </c>
      <c r="DB644" s="27" t="s">
        <v>7</v>
      </c>
      <c r="DC644" s="27" t="s">
        <v>8</v>
      </c>
      <c r="DD644" s="27" t="s">
        <v>7</v>
      </c>
      <c r="FE644" s="27" t="s">
        <v>8</v>
      </c>
      <c r="FF644" s="27" t="s">
        <v>7</v>
      </c>
      <c r="FM644" s="27" t="s">
        <v>8</v>
      </c>
      <c r="FN644" s="27" t="s">
        <v>7</v>
      </c>
      <c r="FO644" s="27" t="s">
        <v>8</v>
      </c>
      <c r="FP644" s="27" t="s">
        <v>7</v>
      </c>
      <c r="FW644" s="27" t="s">
        <v>8</v>
      </c>
      <c r="FX644" s="27" t="s">
        <v>7</v>
      </c>
      <c r="FY644" s="27" t="s">
        <v>8</v>
      </c>
      <c r="FZ644" s="27" t="s">
        <v>7</v>
      </c>
      <c r="GA644" s="27" t="s">
        <v>8</v>
      </c>
      <c r="GB644" s="27" t="s">
        <v>7</v>
      </c>
      <c r="GC644" s="27" t="s">
        <v>8</v>
      </c>
      <c r="GK644" s="27" t="s">
        <v>8</v>
      </c>
      <c r="GN644" s="27" t="s">
        <v>7</v>
      </c>
      <c r="GO644" s="27" t="s">
        <v>8</v>
      </c>
      <c r="GP644" s="27" t="s">
        <v>7</v>
      </c>
      <c r="GQ644" s="27" t="s">
        <v>8</v>
      </c>
      <c r="GR644" s="27" t="s">
        <v>7</v>
      </c>
      <c r="GS644" s="27" t="s">
        <v>8</v>
      </c>
    </row>
    <row r="645" spans="1:201" x14ac:dyDescent="0.25">
      <c r="A645" s="7">
        <v>0.31709547002401678</v>
      </c>
      <c r="B645"/>
      <c r="C645"/>
      <c r="D645"/>
      <c r="E645"/>
      <c r="F645" s="27" t="s">
        <v>7</v>
      </c>
      <c r="BS645" s="27" t="s">
        <v>8</v>
      </c>
      <c r="BT645" s="27" t="s">
        <v>7</v>
      </c>
      <c r="BU645" s="27" t="s">
        <v>8</v>
      </c>
      <c r="BV645" s="27" t="s">
        <v>7</v>
      </c>
      <c r="BW645" s="27" t="s">
        <v>8</v>
      </c>
      <c r="CN645" s="27" t="s">
        <v>7</v>
      </c>
      <c r="CO645" s="27" t="s">
        <v>8</v>
      </c>
      <c r="CP645" s="27" t="s">
        <v>7</v>
      </c>
      <c r="CQ645" s="27" t="s">
        <v>8</v>
      </c>
      <c r="DB645" s="27" t="s">
        <v>7</v>
      </c>
      <c r="DC645" s="27" t="s">
        <v>8</v>
      </c>
      <c r="DD645" s="27" t="s">
        <v>7</v>
      </c>
      <c r="FE645" s="27" t="s">
        <v>8</v>
      </c>
      <c r="FF645" s="27" t="s">
        <v>7</v>
      </c>
      <c r="FM645" s="27" t="s">
        <v>8</v>
      </c>
      <c r="FN645" s="27" t="s">
        <v>7</v>
      </c>
      <c r="FO645" s="27" t="s">
        <v>8</v>
      </c>
      <c r="FP645" s="27" t="s">
        <v>7</v>
      </c>
      <c r="FQ645" s="27" t="s">
        <v>8</v>
      </c>
      <c r="FW645" s="27" t="s">
        <v>8</v>
      </c>
      <c r="FX645" s="27" t="s">
        <v>7</v>
      </c>
      <c r="FY645" s="27" t="s">
        <v>8</v>
      </c>
      <c r="FZ645" s="27" t="s">
        <v>7</v>
      </c>
      <c r="GA645" s="27" t="s">
        <v>8</v>
      </c>
      <c r="GB645" s="27" t="s">
        <v>7</v>
      </c>
      <c r="GC645" s="27" t="s">
        <v>8</v>
      </c>
      <c r="GD645" s="27" t="s">
        <v>7</v>
      </c>
      <c r="GE645" s="27" t="s">
        <v>8</v>
      </c>
      <c r="GK645" s="27" t="s">
        <v>8</v>
      </c>
      <c r="GN645" s="27" t="s">
        <v>7</v>
      </c>
      <c r="GO645" s="27" t="s">
        <v>8</v>
      </c>
      <c r="GP645" s="27" t="s">
        <v>7</v>
      </c>
      <c r="GQ645" s="27" t="s">
        <v>8</v>
      </c>
      <c r="GR645" s="27" t="s">
        <v>7</v>
      </c>
      <c r="GS645" s="27" t="s">
        <v>8</v>
      </c>
    </row>
    <row r="646" spans="1:201" x14ac:dyDescent="0.25">
      <c r="A646" s="7">
        <v>0.31087791178825175</v>
      </c>
      <c r="B646"/>
      <c r="C646"/>
      <c r="D646"/>
      <c r="E646"/>
      <c r="F646" s="27" t="s">
        <v>7</v>
      </c>
      <c r="BS646" s="27" t="s">
        <v>8</v>
      </c>
      <c r="BT646" s="27" t="s">
        <v>7</v>
      </c>
      <c r="BU646" s="27" t="s">
        <v>8</v>
      </c>
      <c r="BV646" s="27" t="s">
        <v>7</v>
      </c>
      <c r="BW646" s="27" t="s">
        <v>8</v>
      </c>
      <c r="CN646" s="27" t="s">
        <v>7</v>
      </c>
      <c r="CO646" s="27" t="s">
        <v>8</v>
      </c>
      <c r="CP646" s="27" t="s">
        <v>7</v>
      </c>
      <c r="CQ646" s="27" t="s">
        <v>8</v>
      </c>
      <c r="DB646" s="27" t="s">
        <v>7</v>
      </c>
      <c r="DC646" s="27" t="s">
        <v>8</v>
      </c>
      <c r="DD646" s="27" t="s">
        <v>7</v>
      </c>
      <c r="FE646" s="27" t="s">
        <v>8</v>
      </c>
      <c r="FF646" s="27" t="s">
        <v>7</v>
      </c>
      <c r="FM646" s="27" t="s">
        <v>8</v>
      </c>
      <c r="FN646" s="27" t="s">
        <v>7</v>
      </c>
      <c r="FO646" s="27" t="s">
        <v>8</v>
      </c>
      <c r="FP646" s="27" t="s">
        <v>7</v>
      </c>
      <c r="FQ646" s="27" t="s">
        <v>8</v>
      </c>
      <c r="FR646" s="27" t="s">
        <v>7</v>
      </c>
      <c r="FW646" s="27" t="s">
        <v>8</v>
      </c>
      <c r="FX646" s="27" t="s">
        <v>7</v>
      </c>
      <c r="FY646" s="27" t="s">
        <v>8</v>
      </c>
      <c r="FZ646" s="27" t="s">
        <v>7</v>
      </c>
      <c r="GA646" s="27" t="s">
        <v>8</v>
      </c>
      <c r="GB646" s="27" t="s">
        <v>7</v>
      </c>
      <c r="GC646" s="27" t="s">
        <v>8</v>
      </c>
      <c r="GD646" s="27" t="s">
        <v>7</v>
      </c>
      <c r="GE646" s="27" t="s">
        <v>8</v>
      </c>
      <c r="GF646" s="27" t="s">
        <v>7</v>
      </c>
      <c r="GG646" s="27" t="s">
        <v>8</v>
      </c>
      <c r="GK646" s="27" t="s">
        <v>8</v>
      </c>
      <c r="GN646" s="27" t="s">
        <v>7</v>
      </c>
      <c r="GO646" s="27" t="s">
        <v>8</v>
      </c>
      <c r="GP646" s="27" t="s">
        <v>7</v>
      </c>
      <c r="GR646" s="27" t="s">
        <v>7</v>
      </c>
    </row>
    <row r="647" spans="1:201" x14ac:dyDescent="0.25">
      <c r="A647" s="7">
        <v>0.30478226645907036</v>
      </c>
      <c r="B647"/>
      <c r="C647"/>
      <c r="D647"/>
      <c r="E647"/>
      <c r="F647" s="27" t="s">
        <v>7</v>
      </c>
      <c r="BS647" s="27" t="s">
        <v>8</v>
      </c>
      <c r="BT647" s="27" t="s">
        <v>7</v>
      </c>
      <c r="BU647" s="27" t="s">
        <v>8</v>
      </c>
      <c r="BV647" s="27" t="s">
        <v>7</v>
      </c>
      <c r="BW647" s="27" t="s">
        <v>8</v>
      </c>
      <c r="CN647" s="27" t="s">
        <v>7</v>
      </c>
      <c r="CO647" s="27" t="s">
        <v>8</v>
      </c>
      <c r="CP647" s="27" t="s">
        <v>7</v>
      </c>
      <c r="CQ647" s="27" t="s">
        <v>8</v>
      </c>
      <c r="DB647" s="27" t="s">
        <v>7</v>
      </c>
      <c r="DC647" s="27" t="s">
        <v>8</v>
      </c>
      <c r="DD647" s="27" t="s">
        <v>7</v>
      </c>
      <c r="FE647" s="27" t="s">
        <v>8</v>
      </c>
      <c r="FF647" s="27" t="s">
        <v>7</v>
      </c>
      <c r="FM647" s="27" t="s">
        <v>8</v>
      </c>
      <c r="FN647" s="27" t="s">
        <v>7</v>
      </c>
      <c r="FO647" s="27" t="s">
        <v>8</v>
      </c>
      <c r="FP647" s="27" t="s">
        <v>7</v>
      </c>
      <c r="FQ647" s="27" t="s">
        <v>8</v>
      </c>
      <c r="FR647" s="27" t="s">
        <v>7</v>
      </c>
      <c r="FS647" s="27" t="s">
        <v>8</v>
      </c>
      <c r="FU647" s="27" t="s">
        <v>8</v>
      </c>
      <c r="FW647" s="27" t="s">
        <v>8</v>
      </c>
      <c r="FX647" s="27" t="s">
        <v>7</v>
      </c>
      <c r="FY647" s="27" t="s">
        <v>8</v>
      </c>
      <c r="FZ647" s="27" t="s">
        <v>7</v>
      </c>
      <c r="GA647" s="27" t="s">
        <v>8</v>
      </c>
      <c r="GB647" s="27" t="s">
        <v>7</v>
      </c>
      <c r="GC647" s="27" t="s">
        <v>8</v>
      </c>
      <c r="GD647" s="27" t="s">
        <v>7</v>
      </c>
      <c r="GE647" s="27" t="s">
        <v>8</v>
      </c>
      <c r="GF647" s="27" t="s">
        <v>7</v>
      </c>
      <c r="GG647" s="27" t="s">
        <v>8</v>
      </c>
      <c r="GH647" s="27" t="s">
        <v>7</v>
      </c>
      <c r="GK647" s="27" t="s">
        <v>8</v>
      </c>
      <c r="GN647" s="27" t="s">
        <v>7</v>
      </c>
    </row>
    <row r="648" spans="1:201" x14ac:dyDescent="0.25">
      <c r="A648" s="7">
        <v>0.29880614358732388</v>
      </c>
      <c r="B648"/>
      <c r="C648"/>
      <c r="D648"/>
      <c r="E648"/>
      <c r="F648" s="27" t="s">
        <v>7</v>
      </c>
      <c r="BQ648" s="27" t="s">
        <v>8</v>
      </c>
      <c r="BS648" s="27" t="s">
        <v>8</v>
      </c>
      <c r="BT648" s="27" t="s">
        <v>7</v>
      </c>
      <c r="BU648" s="27" t="s">
        <v>8</v>
      </c>
      <c r="BV648" s="27" t="s">
        <v>7</v>
      </c>
      <c r="BW648" s="27" t="s">
        <v>8</v>
      </c>
      <c r="CN648" s="27" t="s">
        <v>7</v>
      </c>
      <c r="CO648" s="27" t="s">
        <v>8</v>
      </c>
      <c r="CP648" s="27" t="s">
        <v>7</v>
      </c>
      <c r="CQ648" s="27" t="s">
        <v>8</v>
      </c>
      <c r="DB648" s="27" t="s">
        <v>7</v>
      </c>
      <c r="DD648" s="27" t="s">
        <v>7</v>
      </c>
      <c r="FE648" s="27" t="s">
        <v>8</v>
      </c>
      <c r="FF648" s="27" t="s">
        <v>7</v>
      </c>
      <c r="FM648" s="27" t="s">
        <v>8</v>
      </c>
      <c r="FN648" s="27" t="s">
        <v>7</v>
      </c>
      <c r="FO648" s="27" t="s">
        <v>8</v>
      </c>
      <c r="FP648" s="27" t="s">
        <v>7</v>
      </c>
      <c r="FQ648" s="27" t="s">
        <v>8</v>
      </c>
      <c r="FR648" s="27" t="s">
        <v>7</v>
      </c>
      <c r="FS648" s="27" t="s">
        <v>8</v>
      </c>
      <c r="FT648" s="27" t="s">
        <v>7</v>
      </c>
      <c r="FU648" s="27" t="s">
        <v>8</v>
      </c>
      <c r="FV648" s="27" t="s">
        <v>7</v>
      </c>
      <c r="FW648" s="27" t="s">
        <v>8</v>
      </c>
      <c r="FX648" s="27" t="s">
        <v>7</v>
      </c>
      <c r="FY648" s="27" t="s">
        <v>8</v>
      </c>
      <c r="FZ648" s="27" t="s">
        <v>7</v>
      </c>
      <c r="GA648" s="27" t="s">
        <v>8</v>
      </c>
      <c r="GB648" s="27" t="s">
        <v>7</v>
      </c>
      <c r="GC648" s="27" t="s">
        <v>8</v>
      </c>
      <c r="GD648" s="27" t="s">
        <v>7</v>
      </c>
      <c r="GE648" s="27" t="s">
        <v>8</v>
      </c>
      <c r="GF648" s="27" t="s">
        <v>7</v>
      </c>
      <c r="GG648" s="27" t="s">
        <v>8</v>
      </c>
      <c r="GH648" s="27" t="s">
        <v>7</v>
      </c>
      <c r="GK648" s="27" t="s">
        <v>8</v>
      </c>
    </row>
    <row r="649" spans="1:201" x14ac:dyDescent="0.25">
      <c r="A649" s="7">
        <v>0.2929471995954156</v>
      </c>
      <c r="B649"/>
      <c r="C649"/>
      <c r="D649"/>
      <c r="E649"/>
      <c r="F649" s="27" t="s">
        <v>7</v>
      </c>
      <c r="BQ649" s="27" t="s">
        <v>8</v>
      </c>
      <c r="BR649" s="27" t="s">
        <v>7</v>
      </c>
      <c r="BS649" s="27" t="s">
        <v>8</v>
      </c>
      <c r="BT649" s="27" t="s">
        <v>7</v>
      </c>
      <c r="BU649" s="27" t="s">
        <v>8</v>
      </c>
      <c r="BV649" s="27" t="s">
        <v>7</v>
      </c>
      <c r="BW649" s="27" t="s">
        <v>8</v>
      </c>
      <c r="CN649" s="27" t="s">
        <v>7</v>
      </c>
      <c r="CO649" s="27" t="s">
        <v>8</v>
      </c>
      <c r="CP649" s="27" t="s">
        <v>7</v>
      </c>
      <c r="CQ649" s="27" t="s">
        <v>8</v>
      </c>
      <c r="DD649" s="27" t="s">
        <v>7</v>
      </c>
      <c r="FE649" s="27" t="s">
        <v>8</v>
      </c>
      <c r="FF649" s="27" t="s">
        <v>7</v>
      </c>
      <c r="FM649" s="27" t="s">
        <v>8</v>
      </c>
      <c r="FN649" s="27" t="s">
        <v>7</v>
      </c>
      <c r="FO649" s="27" t="s">
        <v>8</v>
      </c>
      <c r="FP649" s="27" t="s">
        <v>7</v>
      </c>
      <c r="FQ649" s="27" t="s">
        <v>8</v>
      </c>
      <c r="FR649" s="27" t="s">
        <v>7</v>
      </c>
      <c r="FS649" s="27" t="s">
        <v>8</v>
      </c>
      <c r="FT649" s="27" t="s">
        <v>7</v>
      </c>
      <c r="FU649" s="27" t="s">
        <v>8</v>
      </c>
      <c r="FV649" s="27" t="s">
        <v>7</v>
      </c>
      <c r="FW649" s="27" t="s">
        <v>8</v>
      </c>
      <c r="FX649" s="27" t="s">
        <v>7</v>
      </c>
      <c r="FY649" s="27" t="s">
        <v>8</v>
      </c>
      <c r="FZ649" s="27" t="s">
        <v>7</v>
      </c>
      <c r="GA649" s="27" t="s">
        <v>8</v>
      </c>
      <c r="GB649" s="27" t="s">
        <v>7</v>
      </c>
      <c r="GC649" s="27" t="s">
        <v>8</v>
      </c>
      <c r="GD649" s="27" t="s">
        <v>7</v>
      </c>
      <c r="GE649" s="27" t="s">
        <v>8</v>
      </c>
      <c r="GF649" s="27" t="s">
        <v>7</v>
      </c>
      <c r="GH649" s="27" t="s">
        <v>7</v>
      </c>
      <c r="GK649" s="27" t="s">
        <v>8</v>
      </c>
    </row>
    <row r="650" spans="1:201" x14ac:dyDescent="0.25">
      <c r="A650" s="7">
        <v>0.28720313685825055</v>
      </c>
      <c r="B650"/>
      <c r="C650"/>
      <c r="D650"/>
      <c r="E650"/>
      <c r="F650" s="27" t="s">
        <v>7</v>
      </c>
      <c r="BQ650" s="27" t="s">
        <v>8</v>
      </c>
      <c r="BR650" s="27" t="s">
        <v>7</v>
      </c>
      <c r="BS650" s="27" t="s">
        <v>8</v>
      </c>
      <c r="BT650" s="27" t="s">
        <v>7</v>
      </c>
      <c r="BV650" s="27" t="s">
        <v>7</v>
      </c>
      <c r="BW650" s="27" t="s">
        <v>8</v>
      </c>
      <c r="CN650" s="27" t="s">
        <v>7</v>
      </c>
      <c r="CO650" s="27" t="s">
        <v>8</v>
      </c>
      <c r="CP650" s="27" t="s">
        <v>7</v>
      </c>
      <c r="CQ650" s="27" t="s">
        <v>8</v>
      </c>
      <c r="DD650" s="27" t="s">
        <v>7</v>
      </c>
      <c r="FE650" s="27" t="s">
        <v>8</v>
      </c>
      <c r="FF650" s="27" t="s">
        <v>7</v>
      </c>
      <c r="FM650" s="27" t="s">
        <v>8</v>
      </c>
      <c r="FN650" s="27" t="s">
        <v>7</v>
      </c>
      <c r="FO650" s="27" t="s">
        <v>8</v>
      </c>
      <c r="FP650" s="27" t="s">
        <v>7</v>
      </c>
      <c r="FQ650" s="27" t="s">
        <v>8</v>
      </c>
      <c r="FR650" s="27" t="s">
        <v>7</v>
      </c>
      <c r="FS650" s="27" t="s">
        <v>8</v>
      </c>
      <c r="FT650" s="27" t="s">
        <v>7</v>
      </c>
      <c r="FU650" s="27" t="s">
        <v>8</v>
      </c>
      <c r="FV650" s="27" t="s">
        <v>7</v>
      </c>
      <c r="FW650" s="27" t="s">
        <v>8</v>
      </c>
      <c r="FX650" s="27" t="s">
        <v>7</v>
      </c>
      <c r="FZ650" s="27" t="s">
        <v>7</v>
      </c>
      <c r="GA650" s="27" t="s">
        <v>8</v>
      </c>
      <c r="GB650" s="27" t="s">
        <v>7</v>
      </c>
      <c r="GC650" s="27" t="s">
        <v>8</v>
      </c>
      <c r="GD650" s="27" t="s">
        <v>7</v>
      </c>
      <c r="GE650" s="27" t="s">
        <v>8</v>
      </c>
      <c r="GH650" s="27" t="s">
        <v>7</v>
      </c>
      <c r="GI650" s="27" t="s">
        <v>8</v>
      </c>
      <c r="GK650" s="27" t="s">
        <v>8</v>
      </c>
    </row>
    <row r="651" spans="1:201" x14ac:dyDescent="0.25">
      <c r="A651" s="7">
        <v>0.28157170280220645</v>
      </c>
      <c r="B651"/>
      <c r="C651"/>
      <c r="D651"/>
      <c r="E651"/>
      <c r="F651" s="27" t="s">
        <v>7</v>
      </c>
      <c r="BQ651" s="27" t="s">
        <v>8</v>
      </c>
      <c r="BR651" s="27" t="s">
        <v>7</v>
      </c>
      <c r="BS651" s="27" t="s">
        <v>8</v>
      </c>
      <c r="BV651" s="27" t="s">
        <v>7</v>
      </c>
      <c r="BW651" s="27" t="s">
        <v>8</v>
      </c>
      <c r="CN651" s="27" t="s">
        <v>7</v>
      </c>
      <c r="CO651" s="27" t="s">
        <v>8</v>
      </c>
      <c r="CP651" s="27" t="s">
        <v>7</v>
      </c>
      <c r="CQ651" s="27" t="s">
        <v>8</v>
      </c>
      <c r="DD651" s="27" t="s">
        <v>7</v>
      </c>
      <c r="FE651" s="27" t="s">
        <v>8</v>
      </c>
      <c r="FF651" s="27" t="s">
        <v>7</v>
      </c>
      <c r="FM651" s="27" t="s">
        <v>8</v>
      </c>
      <c r="FN651" s="27" t="s">
        <v>7</v>
      </c>
      <c r="FO651" s="27" t="s">
        <v>8</v>
      </c>
      <c r="FP651" s="27" t="s">
        <v>7</v>
      </c>
      <c r="FQ651" s="27" t="s">
        <v>8</v>
      </c>
      <c r="FR651" s="27" t="s">
        <v>7</v>
      </c>
      <c r="FS651" s="27" t="s">
        <v>8</v>
      </c>
      <c r="FT651" s="27" t="s">
        <v>7</v>
      </c>
      <c r="FU651" s="27" t="s">
        <v>8</v>
      </c>
      <c r="FV651" s="27" t="s">
        <v>7</v>
      </c>
      <c r="FW651" s="27" t="s">
        <v>8</v>
      </c>
      <c r="FZ651" s="27" t="s">
        <v>7</v>
      </c>
      <c r="GA651" s="27" t="s">
        <v>8</v>
      </c>
      <c r="GB651" s="27" t="s">
        <v>7</v>
      </c>
      <c r="GC651" s="27" t="s">
        <v>8</v>
      </c>
      <c r="GD651" s="27" t="s">
        <v>7</v>
      </c>
      <c r="GE651" s="27" t="s">
        <v>8</v>
      </c>
      <c r="GH651" s="27" t="s">
        <v>7</v>
      </c>
      <c r="GI651" s="27" t="s">
        <v>8</v>
      </c>
      <c r="GJ651" s="27" t="s">
        <v>7</v>
      </c>
      <c r="GK651" s="27" t="s">
        <v>8</v>
      </c>
    </row>
    <row r="652" spans="1:201" x14ac:dyDescent="0.25">
      <c r="A652" s="7">
        <v>0.27605068902177105</v>
      </c>
      <c r="B652"/>
      <c r="C652"/>
      <c r="D652"/>
      <c r="E652"/>
      <c r="F652" s="27" t="s">
        <v>7</v>
      </c>
      <c r="BQ652" s="27" t="s">
        <v>8</v>
      </c>
      <c r="BR652" s="27" t="s">
        <v>7</v>
      </c>
      <c r="BS652" s="27" t="s">
        <v>8</v>
      </c>
      <c r="BV652" s="27" t="s">
        <v>7</v>
      </c>
      <c r="BW652" s="27" t="s">
        <v>8</v>
      </c>
      <c r="CN652" s="27" t="s">
        <v>7</v>
      </c>
      <c r="CP652" s="27" t="s">
        <v>7</v>
      </c>
      <c r="CQ652" s="27" t="s">
        <v>8</v>
      </c>
      <c r="DD652" s="27" t="s">
        <v>7</v>
      </c>
      <c r="FE652" s="27" t="s">
        <v>8</v>
      </c>
      <c r="FF652" s="27" t="s">
        <v>7</v>
      </c>
      <c r="FG652" s="27" t="s">
        <v>8</v>
      </c>
      <c r="FM652" s="27" t="s">
        <v>8</v>
      </c>
      <c r="FN652" s="27" t="s">
        <v>7</v>
      </c>
      <c r="FO652" s="27" t="s">
        <v>8</v>
      </c>
      <c r="FP652" s="27" t="s">
        <v>7</v>
      </c>
      <c r="FQ652" s="27" t="s">
        <v>8</v>
      </c>
      <c r="FR652" s="27" t="s">
        <v>7</v>
      </c>
      <c r="FS652" s="27" t="s">
        <v>8</v>
      </c>
      <c r="FT652" s="27" t="s">
        <v>7</v>
      </c>
      <c r="FU652" s="27" t="s">
        <v>8</v>
      </c>
      <c r="FV652" s="27" t="s">
        <v>7</v>
      </c>
      <c r="FW652" s="27" t="s">
        <v>8</v>
      </c>
      <c r="FZ652" s="27" t="s">
        <v>7</v>
      </c>
      <c r="GA652" s="27" t="s">
        <v>8</v>
      </c>
      <c r="GB652" s="27" t="s">
        <v>7</v>
      </c>
      <c r="GD652" s="27" t="s">
        <v>7</v>
      </c>
      <c r="GE652" s="27" t="s">
        <v>8</v>
      </c>
      <c r="GH652" s="27" t="s">
        <v>7</v>
      </c>
      <c r="GI652" s="27" t="s">
        <v>8</v>
      </c>
      <c r="GJ652" s="27" t="s">
        <v>7</v>
      </c>
      <c r="GK652" s="27" t="s">
        <v>8</v>
      </c>
    </row>
    <row r="653" spans="1:201" x14ac:dyDescent="0.25">
      <c r="A653" s="7">
        <v>0.27063793041350104</v>
      </c>
      <c r="B653"/>
      <c r="C653"/>
      <c r="D653"/>
      <c r="E653"/>
      <c r="F653" s="27" t="s">
        <v>7</v>
      </c>
      <c r="BQ653" s="27" t="s">
        <v>8</v>
      </c>
      <c r="BR653" s="27" t="s">
        <v>7</v>
      </c>
      <c r="BS653" s="27" t="s">
        <v>8</v>
      </c>
      <c r="BV653" s="27" t="s">
        <v>7</v>
      </c>
      <c r="BW653" s="27" t="s">
        <v>8</v>
      </c>
      <c r="CP653" s="27" t="s">
        <v>7</v>
      </c>
      <c r="DD653" s="27" t="s">
        <v>7</v>
      </c>
      <c r="FE653" s="27" t="s">
        <v>8</v>
      </c>
      <c r="FF653" s="27" t="s">
        <v>7</v>
      </c>
      <c r="FG653" s="27" t="s">
        <v>8</v>
      </c>
      <c r="FH653" s="27" t="s">
        <v>7</v>
      </c>
      <c r="FM653" s="27" t="s">
        <v>8</v>
      </c>
      <c r="FN653" s="27" t="s">
        <v>7</v>
      </c>
      <c r="FO653" s="27" t="s">
        <v>8</v>
      </c>
      <c r="FP653" s="27" t="s">
        <v>7</v>
      </c>
      <c r="FQ653" s="27" t="s">
        <v>8</v>
      </c>
      <c r="FR653" s="27" t="s">
        <v>7</v>
      </c>
      <c r="FS653" s="27" t="s">
        <v>8</v>
      </c>
      <c r="FT653" s="27" t="s">
        <v>7</v>
      </c>
      <c r="FU653" s="27" t="s">
        <v>8</v>
      </c>
      <c r="FV653" s="27" t="s">
        <v>7</v>
      </c>
      <c r="FW653" s="27" t="s">
        <v>8</v>
      </c>
      <c r="FZ653" s="27" t="s">
        <v>7</v>
      </c>
      <c r="GA653" s="27" t="s">
        <v>8</v>
      </c>
      <c r="GD653" s="27" t="s">
        <v>7</v>
      </c>
      <c r="GE653" s="27" t="s">
        <v>8</v>
      </c>
      <c r="GH653" s="27" t="s">
        <v>7</v>
      </c>
      <c r="GI653" s="27" t="s">
        <v>8</v>
      </c>
      <c r="GJ653" s="27" t="s">
        <v>7</v>
      </c>
      <c r="GK653" s="27" t="s">
        <v>8</v>
      </c>
    </row>
    <row r="654" spans="1:201" x14ac:dyDescent="0.25">
      <c r="A654" s="7">
        <v>0.26533130432696184</v>
      </c>
      <c r="B654"/>
      <c r="C654"/>
      <c r="D654"/>
      <c r="E654"/>
      <c r="F654" s="27" t="s">
        <v>7</v>
      </c>
      <c r="BQ654" s="27" t="s">
        <v>8</v>
      </c>
      <c r="BR654" s="27" t="s">
        <v>7</v>
      </c>
      <c r="BS654" s="27" t="s">
        <v>8</v>
      </c>
      <c r="BV654" s="27" t="s">
        <v>7</v>
      </c>
      <c r="BW654" s="27" t="s">
        <v>8</v>
      </c>
      <c r="DD654" s="27" t="s">
        <v>7</v>
      </c>
      <c r="DK654" s="27" t="s">
        <v>8</v>
      </c>
      <c r="FE654" s="27" t="s">
        <v>8</v>
      </c>
      <c r="FF654" s="27" t="s">
        <v>7</v>
      </c>
      <c r="FG654" s="27" t="s">
        <v>8</v>
      </c>
      <c r="FH654" s="27" t="s">
        <v>7</v>
      </c>
      <c r="FM654" s="27" t="s">
        <v>8</v>
      </c>
      <c r="FN654" s="27" t="s">
        <v>7</v>
      </c>
      <c r="FO654" s="27" t="s">
        <v>8</v>
      </c>
      <c r="FP654" s="27" t="s">
        <v>7</v>
      </c>
      <c r="FQ654" s="27" t="s">
        <v>8</v>
      </c>
      <c r="FR654" s="27" t="s">
        <v>7</v>
      </c>
      <c r="FS654" s="27" t="s">
        <v>8</v>
      </c>
      <c r="FT654" s="27" t="s">
        <v>7</v>
      </c>
      <c r="FU654" s="27" t="s">
        <v>8</v>
      </c>
      <c r="FV654" s="27" t="s">
        <v>7</v>
      </c>
      <c r="FZ654" s="27" t="s">
        <v>7</v>
      </c>
      <c r="GA654" s="27" t="s">
        <v>8</v>
      </c>
      <c r="GD654" s="27" t="s">
        <v>7</v>
      </c>
      <c r="GH654" s="27" t="s">
        <v>7</v>
      </c>
      <c r="GI654" s="27" t="s">
        <v>8</v>
      </c>
      <c r="GJ654" s="27" t="s">
        <v>7</v>
      </c>
    </row>
    <row r="655" spans="1:201" x14ac:dyDescent="0.25">
      <c r="A655" s="7">
        <v>0.26012872973231554</v>
      </c>
      <c r="B655"/>
      <c r="C655"/>
      <c r="D655"/>
      <c r="E655"/>
      <c r="F655" s="27" t="s">
        <v>7</v>
      </c>
      <c r="BQ655" s="27" t="s">
        <v>8</v>
      </c>
      <c r="BR655" s="27" t="s">
        <v>7</v>
      </c>
      <c r="BS655" s="27" t="s">
        <v>8</v>
      </c>
      <c r="BV655" s="27" t="s">
        <v>7</v>
      </c>
      <c r="BW655" s="27" t="s">
        <v>8</v>
      </c>
      <c r="DD655" s="27" t="s">
        <v>7</v>
      </c>
      <c r="DK655" s="27" t="s">
        <v>8</v>
      </c>
      <c r="DL655" s="27" t="s">
        <v>7</v>
      </c>
      <c r="FE655" s="27" t="s">
        <v>8</v>
      </c>
      <c r="FF655" s="27" t="s">
        <v>7</v>
      </c>
      <c r="FG655" s="27" t="s">
        <v>8</v>
      </c>
      <c r="FH655" s="27" t="s">
        <v>7</v>
      </c>
      <c r="FM655" s="27" t="s">
        <v>8</v>
      </c>
      <c r="FN655" s="27" t="s">
        <v>7</v>
      </c>
      <c r="FO655" s="27" t="s">
        <v>8</v>
      </c>
      <c r="FP655" s="27" t="s">
        <v>7</v>
      </c>
      <c r="FR655" s="27" t="s">
        <v>7</v>
      </c>
      <c r="FT655" s="27" t="s">
        <v>7</v>
      </c>
      <c r="FU655" s="27" t="s">
        <v>8</v>
      </c>
      <c r="FZ655" s="27" t="s">
        <v>7</v>
      </c>
      <c r="GA655" s="27" t="s">
        <v>8</v>
      </c>
      <c r="GH655" s="27" t="s">
        <v>7</v>
      </c>
    </row>
    <row r="656" spans="1:201" x14ac:dyDescent="0.25">
      <c r="A656" s="7">
        <v>0.25502816640423093</v>
      </c>
      <c r="B656"/>
      <c r="C656"/>
      <c r="D656"/>
      <c r="E656"/>
      <c r="F656" s="27" t="s">
        <v>7</v>
      </c>
      <c r="BQ656" s="27" t="s">
        <v>8</v>
      </c>
      <c r="BR656" s="27" t="s">
        <v>7</v>
      </c>
      <c r="BS656" s="27" t="s">
        <v>8</v>
      </c>
      <c r="BV656" s="27" t="s">
        <v>7</v>
      </c>
      <c r="DD656" s="27" t="s">
        <v>7</v>
      </c>
      <c r="DK656" s="27" t="s">
        <v>8</v>
      </c>
      <c r="DL656" s="27" t="s">
        <v>7</v>
      </c>
      <c r="FE656" s="27" t="s">
        <v>8</v>
      </c>
      <c r="FF656" s="27" t="s">
        <v>7</v>
      </c>
      <c r="FG656" s="27" t="s">
        <v>8</v>
      </c>
      <c r="FH656" s="27" t="s">
        <v>7</v>
      </c>
      <c r="FM656" s="27" t="s">
        <v>8</v>
      </c>
      <c r="FN656" s="27" t="s">
        <v>7</v>
      </c>
      <c r="FO656" s="27" t="s">
        <v>8</v>
      </c>
      <c r="FT656" s="27" t="s">
        <v>7</v>
      </c>
      <c r="FU656" s="27" t="s">
        <v>8</v>
      </c>
      <c r="FZ656" s="27" t="s">
        <v>7</v>
      </c>
      <c r="GA656" s="27" t="s">
        <v>8</v>
      </c>
    </row>
    <row r="657" spans="1:183" x14ac:dyDescent="0.25">
      <c r="A657" s="7">
        <v>0.25002761412179503</v>
      </c>
      <c r="B657"/>
      <c r="C657"/>
      <c r="D657"/>
      <c r="E657"/>
      <c r="F657" s="27" t="s">
        <v>7</v>
      </c>
      <c r="BQ657" s="27" t="s">
        <v>8</v>
      </c>
      <c r="BR657" s="27" t="s">
        <v>7</v>
      </c>
      <c r="BS657" s="27" t="s">
        <v>8</v>
      </c>
      <c r="DD657" s="27" t="s">
        <v>7</v>
      </c>
      <c r="DK657" s="27" t="s">
        <v>8</v>
      </c>
      <c r="DL657" s="27" t="s">
        <v>7</v>
      </c>
      <c r="DM657" s="27" t="s">
        <v>8</v>
      </c>
      <c r="FE657" s="27" t="s">
        <v>8</v>
      </c>
      <c r="FF657" s="27" t="s">
        <v>7</v>
      </c>
      <c r="FG657" s="27" t="s">
        <v>8</v>
      </c>
      <c r="FH657" s="27" t="s">
        <v>7</v>
      </c>
      <c r="FI657" s="27" t="s">
        <v>8</v>
      </c>
      <c r="FM657" s="27" t="s">
        <v>8</v>
      </c>
      <c r="FN657" s="27" t="s">
        <v>7</v>
      </c>
      <c r="FT657" s="27" t="s">
        <v>7</v>
      </c>
      <c r="FZ657" s="27" t="s">
        <v>7</v>
      </c>
      <c r="GA657" s="27" t="s">
        <v>8</v>
      </c>
    </row>
    <row r="658" spans="1:183" x14ac:dyDescent="0.25">
      <c r="A658" s="7">
        <v>0.24512511188411276</v>
      </c>
      <c r="B658"/>
      <c r="C658"/>
      <c r="D658"/>
      <c r="E658"/>
      <c r="F658" s="27" t="s">
        <v>7</v>
      </c>
      <c r="BM658" s="27" t="s">
        <v>8</v>
      </c>
      <c r="BQ658" s="27" t="s">
        <v>8</v>
      </c>
      <c r="BR658" s="27" t="s">
        <v>7</v>
      </c>
      <c r="BS658" s="27" t="s">
        <v>8</v>
      </c>
      <c r="DD658" s="27" t="s">
        <v>7</v>
      </c>
      <c r="DK658" s="27" t="s">
        <v>8</v>
      </c>
      <c r="DL658" s="27" t="s">
        <v>7</v>
      </c>
      <c r="DM658" s="27" t="s">
        <v>8</v>
      </c>
      <c r="DN658" s="27" t="s">
        <v>7</v>
      </c>
      <c r="FE658" s="27" t="s">
        <v>8</v>
      </c>
      <c r="FF658" s="27" t="s">
        <v>7</v>
      </c>
      <c r="FG658" s="27" t="s">
        <v>8</v>
      </c>
      <c r="FH658" s="27" t="s">
        <v>7</v>
      </c>
      <c r="FI658" s="27" t="s">
        <v>8</v>
      </c>
      <c r="FJ658" s="27" t="s">
        <v>7</v>
      </c>
      <c r="FK658" s="27" t="s">
        <v>8</v>
      </c>
      <c r="FM658" s="27" t="s">
        <v>8</v>
      </c>
      <c r="FZ658" s="27" t="s">
        <v>7</v>
      </c>
      <c r="GA658" s="27" t="s">
        <v>8</v>
      </c>
    </row>
    <row r="659" spans="1:183" x14ac:dyDescent="0.25">
      <c r="A659" s="7">
        <v>0.24031873714128701</v>
      </c>
      <c r="B659"/>
      <c r="C659"/>
      <c r="D659"/>
      <c r="E659"/>
      <c r="F659" s="27" t="s">
        <v>7</v>
      </c>
      <c r="BM659" s="27" t="s">
        <v>8</v>
      </c>
      <c r="BN659" s="27" t="s">
        <v>7</v>
      </c>
      <c r="BQ659" s="27" t="s">
        <v>8</v>
      </c>
      <c r="BR659" s="27" t="s">
        <v>7</v>
      </c>
      <c r="BS659" s="27" t="s">
        <v>8</v>
      </c>
      <c r="DD659" s="27" t="s">
        <v>7</v>
      </c>
      <c r="DE659" s="27" t="s">
        <v>8</v>
      </c>
      <c r="DK659" s="27" t="s">
        <v>8</v>
      </c>
      <c r="DL659" s="27" t="s">
        <v>7</v>
      </c>
      <c r="DM659" s="27" t="s">
        <v>8</v>
      </c>
      <c r="DN659" s="27" t="s">
        <v>7</v>
      </c>
      <c r="DO659" s="27" t="s">
        <v>8</v>
      </c>
      <c r="FE659" s="27" t="s">
        <v>8</v>
      </c>
      <c r="FF659" s="27" t="s">
        <v>7</v>
      </c>
      <c r="FG659" s="27" t="s">
        <v>8</v>
      </c>
      <c r="FH659" s="27" t="s">
        <v>7</v>
      </c>
      <c r="FI659" s="27" t="s">
        <v>8</v>
      </c>
      <c r="FJ659" s="27" t="s">
        <v>7</v>
      </c>
      <c r="FK659" s="27" t="s">
        <v>8</v>
      </c>
      <c r="FL659" s="27" t="s">
        <v>7</v>
      </c>
      <c r="FM659" s="27" t="s">
        <v>8</v>
      </c>
      <c r="FZ659" s="27" t="s">
        <v>7</v>
      </c>
    </row>
    <row r="660" spans="1:183" x14ac:dyDescent="0.25">
      <c r="A660" s="7">
        <v>0.23560660504047748</v>
      </c>
      <c r="B660"/>
      <c r="C660"/>
      <c r="D660"/>
      <c r="E660"/>
      <c r="F660" s="27" t="s">
        <v>7</v>
      </c>
      <c r="BC660" s="27" t="s">
        <v>8</v>
      </c>
      <c r="BM660" s="27" t="s">
        <v>8</v>
      </c>
      <c r="BN660" s="27" t="s">
        <v>7</v>
      </c>
      <c r="BQ660" s="27" t="s">
        <v>8</v>
      </c>
      <c r="BR660" s="27" t="s">
        <v>7</v>
      </c>
      <c r="DD660" s="27" t="s">
        <v>7</v>
      </c>
      <c r="DE660" s="27" t="s">
        <v>8</v>
      </c>
      <c r="DF660" s="27" t="s">
        <v>7</v>
      </c>
      <c r="DK660" s="27" t="s">
        <v>8</v>
      </c>
      <c r="DL660" s="27" t="s">
        <v>7</v>
      </c>
      <c r="DM660" s="27" t="s">
        <v>8</v>
      </c>
      <c r="DN660" s="27" t="s">
        <v>7</v>
      </c>
      <c r="DO660" s="27" t="s">
        <v>8</v>
      </c>
      <c r="DP660" s="27" t="s">
        <v>7</v>
      </c>
      <c r="FE660" s="27" t="s">
        <v>8</v>
      </c>
      <c r="FF660" s="27" t="s">
        <v>7</v>
      </c>
      <c r="FG660" s="27" t="s">
        <v>8</v>
      </c>
      <c r="FH660" s="27" t="s">
        <v>7</v>
      </c>
      <c r="FI660" s="27" t="s">
        <v>8</v>
      </c>
      <c r="FJ660" s="27" t="s">
        <v>7</v>
      </c>
      <c r="FK660" s="27" t="s">
        <v>8</v>
      </c>
      <c r="FL660" s="27" t="s">
        <v>7</v>
      </c>
      <c r="FM660" s="27" t="s">
        <v>8</v>
      </c>
    </row>
    <row r="661" spans="1:183" x14ac:dyDescent="0.25">
      <c r="A661" s="7">
        <v>0.23098686768674265</v>
      </c>
      <c r="B661"/>
      <c r="C661"/>
      <c r="D661"/>
      <c r="E661"/>
      <c r="F661" s="27" t="s">
        <v>7</v>
      </c>
      <c r="BC661" s="27" t="s">
        <v>8</v>
      </c>
      <c r="BD661" s="27" t="s">
        <v>7</v>
      </c>
      <c r="BM661" s="27" t="s">
        <v>8</v>
      </c>
      <c r="BN661" s="27" t="s">
        <v>7</v>
      </c>
      <c r="BO661" s="27" t="s">
        <v>8</v>
      </c>
      <c r="BQ661" s="27" t="s">
        <v>8</v>
      </c>
      <c r="DD661" s="27" t="s">
        <v>7</v>
      </c>
      <c r="DE661" s="27" t="s">
        <v>8</v>
      </c>
      <c r="DF661" s="27" t="s">
        <v>7</v>
      </c>
      <c r="DK661" s="27" t="s">
        <v>8</v>
      </c>
      <c r="DL661" s="27" t="s">
        <v>7</v>
      </c>
      <c r="DM661" s="27" t="s">
        <v>8</v>
      </c>
      <c r="DN661" s="27" t="s">
        <v>7</v>
      </c>
      <c r="DO661" s="27" t="s">
        <v>8</v>
      </c>
      <c r="DP661" s="27" t="s">
        <v>7</v>
      </c>
      <c r="FE661" s="27" t="s">
        <v>8</v>
      </c>
      <c r="FF661" s="27" t="s">
        <v>7</v>
      </c>
      <c r="FH661" s="27" t="s">
        <v>7</v>
      </c>
      <c r="FI661" s="27" t="s">
        <v>8</v>
      </c>
      <c r="FJ661" s="27" t="s">
        <v>7</v>
      </c>
      <c r="FL661" s="27" t="s">
        <v>7</v>
      </c>
    </row>
    <row r="662" spans="1:183" x14ac:dyDescent="0.25">
      <c r="A662" s="7">
        <v>0.22645771341837515</v>
      </c>
      <c r="B662"/>
      <c r="C662"/>
      <c r="D662"/>
      <c r="E662"/>
      <c r="F662" s="27" t="s">
        <v>7</v>
      </c>
      <c r="BC662" s="27" t="s">
        <v>8</v>
      </c>
      <c r="BD662" s="27" t="s">
        <v>7</v>
      </c>
      <c r="BM662" s="27" t="s">
        <v>8</v>
      </c>
      <c r="BN662" s="27" t="s">
        <v>7</v>
      </c>
      <c r="BO662" s="27" t="s">
        <v>8</v>
      </c>
      <c r="BP662" s="27" t="s">
        <v>7</v>
      </c>
      <c r="BQ662" s="27" t="s">
        <v>8</v>
      </c>
      <c r="DD662" s="27" t="s">
        <v>7</v>
      </c>
      <c r="DE662" s="27" t="s">
        <v>8</v>
      </c>
      <c r="DF662" s="27" t="s">
        <v>7</v>
      </c>
      <c r="DK662" s="27" t="s">
        <v>8</v>
      </c>
      <c r="DL662" s="27" t="s">
        <v>7</v>
      </c>
      <c r="DM662" s="27" t="s">
        <v>8</v>
      </c>
      <c r="DN662" s="27" t="s">
        <v>7</v>
      </c>
      <c r="DO662" s="27" t="s">
        <v>8</v>
      </c>
      <c r="DP662" s="27" t="s">
        <v>7</v>
      </c>
      <c r="FE662" s="27" t="s">
        <v>8</v>
      </c>
      <c r="FH662" s="27" t="s">
        <v>7</v>
      </c>
    </row>
    <row r="663" spans="1:183" x14ac:dyDescent="0.25">
      <c r="A663" s="7">
        <v>0.22201736609644623</v>
      </c>
      <c r="B663"/>
      <c r="C663"/>
      <c r="D663"/>
      <c r="E663"/>
      <c r="F663" s="27" t="s">
        <v>7</v>
      </c>
      <c r="BC663" s="27" t="s">
        <v>8</v>
      </c>
      <c r="BD663" s="27" t="s">
        <v>7</v>
      </c>
      <c r="BM663" s="27" t="s">
        <v>8</v>
      </c>
      <c r="BN663" s="27" t="s">
        <v>7</v>
      </c>
      <c r="BO663" s="27" t="s">
        <v>8</v>
      </c>
      <c r="BP663" s="27" t="s">
        <v>7</v>
      </c>
      <c r="BQ663" s="27" t="s">
        <v>8</v>
      </c>
      <c r="DD663" s="27" t="s">
        <v>7</v>
      </c>
      <c r="DE663" s="27" t="s">
        <v>8</v>
      </c>
      <c r="DF663" s="27" t="s">
        <v>7</v>
      </c>
      <c r="DK663" s="27" t="s">
        <v>8</v>
      </c>
      <c r="DL663" s="27" t="s">
        <v>7</v>
      </c>
      <c r="DM663" s="27" t="s">
        <v>8</v>
      </c>
      <c r="DN663" s="27" t="s">
        <v>7</v>
      </c>
      <c r="DO663" s="27" t="s">
        <v>8</v>
      </c>
      <c r="DP663" s="27" t="s">
        <v>7</v>
      </c>
      <c r="FE663" s="27" t="s">
        <v>8</v>
      </c>
    </row>
    <row r="664" spans="1:183" x14ac:dyDescent="0.25">
      <c r="A664" s="7">
        <v>0.21766408440828061</v>
      </c>
      <c r="B664"/>
      <c r="C664"/>
      <c r="D664"/>
      <c r="E664"/>
      <c r="F664" s="27" t="s">
        <v>7</v>
      </c>
      <c r="BC664" s="27" t="s">
        <v>8</v>
      </c>
      <c r="BD664" s="27" t="s">
        <v>7</v>
      </c>
      <c r="BM664" s="27" t="s">
        <v>8</v>
      </c>
      <c r="BN664" s="27" t="s">
        <v>7</v>
      </c>
      <c r="BO664" s="27" t="s">
        <v>8</v>
      </c>
      <c r="BP664" s="27" t="s">
        <v>7</v>
      </c>
      <c r="BQ664" s="27" t="s">
        <v>8</v>
      </c>
      <c r="DD664" s="27" t="s">
        <v>7</v>
      </c>
      <c r="DE664" s="27" t="s">
        <v>8</v>
      </c>
      <c r="DF664" s="27" t="s">
        <v>7</v>
      </c>
      <c r="DI664" s="27" t="s">
        <v>8</v>
      </c>
      <c r="DK664" s="27" t="s">
        <v>8</v>
      </c>
      <c r="DL664" s="27" t="s">
        <v>7</v>
      </c>
      <c r="DM664" s="27" t="s">
        <v>8</v>
      </c>
      <c r="DN664" s="27" t="s">
        <v>7</v>
      </c>
      <c r="DP664" s="27" t="s">
        <v>7</v>
      </c>
      <c r="FA664" s="27" t="s">
        <v>8</v>
      </c>
      <c r="FC664" s="27" t="s">
        <v>8</v>
      </c>
      <c r="FE664" s="27" t="s">
        <v>8</v>
      </c>
    </row>
    <row r="665" spans="1:183" x14ac:dyDescent="0.25">
      <c r="A665" s="7">
        <v>0.21339616118458882</v>
      </c>
      <c r="B665"/>
      <c r="C665"/>
      <c r="D665"/>
      <c r="E665"/>
      <c r="F665" s="27" t="s">
        <v>7</v>
      </c>
      <c r="BC665" s="27" t="s">
        <v>8</v>
      </c>
      <c r="BD665" s="27" t="s">
        <v>7</v>
      </c>
      <c r="BM665" s="27" t="s">
        <v>8</v>
      </c>
      <c r="BN665" s="27" t="s">
        <v>7</v>
      </c>
      <c r="BO665" s="27" t="s">
        <v>8</v>
      </c>
      <c r="BP665" s="27" t="s">
        <v>7</v>
      </c>
      <c r="BQ665" s="27" t="s">
        <v>8</v>
      </c>
      <c r="DD665" s="27" t="s">
        <v>7</v>
      </c>
      <c r="DE665" s="27" t="s">
        <v>8</v>
      </c>
      <c r="DF665" s="27" t="s">
        <v>7</v>
      </c>
      <c r="DI665" s="27" t="s">
        <v>8</v>
      </c>
      <c r="DJ665" s="27" t="s">
        <v>7</v>
      </c>
      <c r="DK665" s="27" t="s">
        <v>8</v>
      </c>
      <c r="DL665" s="27" t="s">
        <v>7</v>
      </c>
      <c r="DM665" s="27" t="s">
        <v>8</v>
      </c>
      <c r="DP665" s="27" t="s">
        <v>7</v>
      </c>
      <c r="FA665" s="27" t="s">
        <v>8</v>
      </c>
      <c r="FB665" s="27" t="s">
        <v>7</v>
      </c>
      <c r="FC665" s="27" t="s">
        <v>8</v>
      </c>
      <c r="FD665" s="27" t="s">
        <v>7</v>
      </c>
      <c r="FE665" s="27" t="s">
        <v>8</v>
      </c>
    </row>
    <row r="666" spans="1:183" x14ac:dyDescent="0.25">
      <c r="A666" s="7">
        <v>0.20921192272998904</v>
      </c>
      <c r="B666"/>
      <c r="C666"/>
      <c r="D666"/>
      <c r="E666"/>
      <c r="F666" s="27" t="s">
        <v>7</v>
      </c>
      <c r="BC666" s="27" t="s">
        <v>8</v>
      </c>
      <c r="BD666" s="27" t="s">
        <v>7</v>
      </c>
      <c r="BM666" s="27" t="s">
        <v>8</v>
      </c>
      <c r="BN666" s="27" t="s">
        <v>7</v>
      </c>
      <c r="BO666" s="27" t="s">
        <v>8</v>
      </c>
      <c r="BP666" s="27" t="s">
        <v>7</v>
      </c>
      <c r="BQ666" s="27" t="s">
        <v>8</v>
      </c>
      <c r="DD666" s="27" t="s">
        <v>7</v>
      </c>
      <c r="DE666" s="27" t="s">
        <v>8</v>
      </c>
      <c r="DF666" s="27" t="s">
        <v>7</v>
      </c>
      <c r="DI666" s="27" t="s">
        <v>8</v>
      </c>
      <c r="DJ666" s="27" t="s">
        <v>7</v>
      </c>
      <c r="DK666" s="27" t="s">
        <v>8</v>
      </c>
      <c r="DL666" s="27" t="s">
        <v>7</v>
      </c>
      <c r="DM666" s="27" t="s">
        <v>8</v>
      </c>
      <c r="DP666" s="27" t="s">
        <v>7</v>
      </c>
      <c r="FA666" s="27" t="s">
        <v>8</v>
      </c>
      <c r="FB666" s="27" t="s">
        <v>7</v>
      </c>
      <c r="FC666" s="27" t="s">
        <v>8</v>
      </c>
      <c r="FD666" s="27" t="s">
        <v>7</v>
      </c>
      <c r="FE666" s="27" t="s">
        <v>8</v>
      </c>
    </row>
    <row r="667" spans="1:183" x14ac:dyDescent="0.25">
      <c r="A667" s="7">
        <v>0.20510972816665593</v>
      </c>
      <c r="B667"/>
      <c r="C667"/>
      <c r="D667"/>
      <c r="E667"/>
      <c r="F667" s="27" t="s">
        <v>7</v>
      </c>
      <c r="BC667" s="27" t="s">
        <v>8</v>
      </c>
      <c r="BD667" s="27" t="s">
        <v>7</v>
      </c>
      <c r="BM667" s="27" t="s">
        <v>8</v>
      </c>
      <c r="BN667" s="27" t="s">
        <v>7</v>
      </c>
      <c r="BO667" s="27" t="s">
        <v>8</v>
      </c>
      <c r="BP667" s="27" t="s">
        <v>7</v>
      </c>
      <c r="BQ667" s="27" t="s">
        <v>8</v>
      </c>
      <c r="DD667" s="27" t="s">
        <v>7</v>
      </c>
      <c r="DE667" s="27" t="s">
        <v>8</v>
      </c>
      <c r="DF667" s="27" t="s">
        <v>7</v>
      </c>
      <c r="DI667" s="27" t="s">
        <v>8</v>
      </c>
      <c r="DJ667" s="27" t="s">
        <v>7</v>
      </c>
      <c r="DK667" s="27" t="s">
        <v>8</v>
      </c>
      <c r="DL667" s="27" t="s">
        <v>7</v>
      </c>
      <c r="DM667" s="27" t="s">
        <v>8</v>
      </c>
      <c r="DP667" s="27" t="s">
        <v>7</v>
      </c>
      <c r="FA667" s="27" t="s">
        <v>8</v>
      </c>
      <c r="FB667" s="27" t="s">
        <v>7</v>
      </c>
      <c r="FC667" s="27" t="s">
        <v>8</v>
      </c>
      <c r="FD667" s="27" t="s">
        <v>7</v>
      </c>
      <c r="FE667" s="27" t="s">
        <v>8</v>
      </c>
    </row>
    <row r="668" spans="1:183" x14ac:dyDescent="0.25">
      <c r="A668" s="7">
        <v>0.20108796879083912</v>
      </c>
      <c r="B668"/>
      <c r="C668"/>
      <c r="D668"/>
      <c r="E668"/>
      <c r="F668" s="27" t="s">
        <v>7</v>
      </c>
      <c r="BC668" s="27" t="s">
        <v>8</v>
      </c>
      <c r="BD668" s="27" t="s">
        <v>7</v>
      </c>
      <c r="BM668" s="27" t="s">
        <v>8</v>
      </c>
      <c r="BN668" s="27" t="s">
        <v>7</v>
      </c>
      <c r="BO668" s="27" t="s">
        <v>8</v>
      </c>
      <c r="BP668" s="27" t="s">
        <v>7</v>
      </c>
      <c r="DD668" s="27" t="s">
        <v>7</v>
      </c>
      <c r="DE668" s="27" t="s">
        <v>8</v>
      </c>
      <c r="DF668" s="27" t="s">
        <v>7</v>
      </c>
      <c r="DI668" s="27" t="s">
        <v>8</v>
      </c>
      <c r="DJ668" s="27" t="s">
        <v>7</v>
      </c>
      <c r="DK668" s="27" t="s">
        <v>8</v>
      </c>
      <c r="DL668" s="27" t="s">
        <v>7</v>
      </c>
      <c r="DP668" s="27" t="s">
        <v>7</v>
      </c>
      <c r="FA668" s="27" t="s">
        <v>8</v>
      </c>
      <c r="FB668" s="27" t="s">
        <v>7</v>
      </c>
      <c r="FC668" s="27" t="s">
        <v>8</v>
      </c>
      <c r="FD668" s="27" t="s">
        <v>7</v>
      </c>
      <c r="FE668" s="27" t="s">
        <v>8</v>
      </c>
    </row>
    <row r="669" spans="1:183" x14ac:dyDescent="0.25">
      <c r="A669" s="7">
        <v>0.19714506744199917</v>
      </c>
      <c r="B669"/>
      <c r="C669"/>
      <c r="D669"/>
      <c r="E669"/>
      <c r="F669" s="27" t="s">
        <v>7</v>
      </c>
      <c r="BC669" s="27" t="s">
        <v>8</v>
      </c>
      <c r="BD669" s="27" t="s">
        <v>7</v>
      </c>
      <c r="BM669" s="27" t="s">
        <v>8</v>
      </c>
      <c r="BN669" s="27" t="s">
        <v>7</v>
      </c>
      <c r="BO669" s="27" t="s">
        <v>8</v>
      </c>
      <c r="DD669" s="27" t="s">
        <v>7</v>
      </c>
      <c r="DE669" s="27" t="s">
        <v>8</v>
      </c>
      <c r="DF669" s="27" t="s">
        <v>7</v>
      </c>
      <c r="DI669" s="27" t="s">
        <v>8</v>
      </c>
      <c r="DJ669" s="27" t="s">
        <v>7</v>
      </c>
      <c r="DK669" s="27" t="s">
        <v>8</v>
      </c>
      <c r="DP669" s="27" t="s">
        <v>7</v>
      </c>
      <c r="DQ669" s="27" t="s">
        <v>8</v>
      </c>
      <c r="FA669" s="27" t="s">
        <v>8</v>
      </c>
      <c r="FB669" s="27" t="s">
        <v>7</v>
      </c>
      <c r="FD669" s="27" t="s">
        <v>7</v>
      </c>
      <c r="FE669" s="27" t="s">
        <v>8</v>
      </c>
    </row>
    <row r="670" spans="1:183" x14ac:dyDescent="0.25">
      <c r="A670" s="7">
        <v>0.19327947788431293</v>
      </c>
      <c r="B670"/>
      <c r="C670"/>
      <c r="D670"/>
      <c r="E670"/>
      <c r="F670" s="27" t="s">
        <v>7</v>
      </c>
      <c r="BC670" s="27" t="s">
        <v>8</v>
      </c>
      <c r="BD670" s="27" t="s">
        <v>7</v>
      </c>
      <c r="BM670" s="27" t="s">
        <v>8</v>
      </c>
      <c r="BN670" s="27" t="s">
        <v>7</v>
      </c>
      <c r="BO670" s="27" t="s">
        <v>8</v>
      </c>
      <c r="DD670" s="27" t="s">
        <v>7</v>
      </c>
      <c r="DE670" s="27" t="s">
        <v>8</v>
      </c>
      <c r="DF670" s="27" t="s">
        <v>7</v>
      </c>
      <c r="DI670" s="27" t="s">
        <v>8</v>
      </c>
      <c r="DJ670" s="27" t="s">
        <v>7</v>
      </c>
      <c r="DP670" s="27" t="s">
        <v>7</v>
      </c>
      <c r="DQ670" s="27" t="s">
        <v>8</v>
      </c>
      <c r="DR670" s="27" t="s">
        <v>7</v>
      </c>
      <c r="DS670" s="27" t="s">
        <v>8</v>
      </c>
      <c r="FA670" s="27" t="s">
        <v>8</v>
      </c>
      <c r="FD670" s="27" t="s">
        <v>7</v>
      </c>
      <c r="FE670" s="27" t="s">
        <v>8</v>
      </c>
    </row>
    <row r="671" spans="1:183" x14ac:dyDescent="0.25">
      <c r="A671" s="7">
        <v>0.18948968420030682</v>
      </c>
      <c r="B671"/>
      <c r="C671"/>
      <c r="D671"/>
      <c r="E671"/>
      <c r="F671" s="27" t="s">
        <v>7</v>
      </c>
      <c r="BA671" s="27" t="s">
        <v>8</v>
      </c>
      <c r="BC671" s="27" t="s">
        <v>8</v>
      </c>
      <c r="BD671" s="27" t="s">
        <v>7</v>
      </c>
      <c r="BM671" s="27" t="s">
        <v>8</v>
      </c>
      <c r="BN671" s="27" t="s">
        <v>7</v>
      </c>
      <c r="BO671" s="27" t="s">
        <v>8</v>
      </c>
      <c r="DD671" s="27" t="s">
        <v>7</v>
      </c>
      <c r="DE671" s="27" t="s">
        <v>8</v>
      </c>
      <c r="DF671" s="27" t="s">
        <v>7</v>
      </c>
      <c r="DG671" s="27" t="s">
        <v>8</v>
      </c>
      <c r="DI671" s="27" t="s">
        <v>8</v>
      </c>
      <c r="DP671" s="27" t="s">
        <v>7</v>
      </c>
      <c r="DQ671" s="27" t="s">
        <v>8</v>
      </c>
      <c r="DR671" s="27" t="s">
        <v>7</v>
      </c>
      <c r="DS671" s="27" t="s">
        <v>8</v>
      </c>
      <c r="DT671" s="27" t="s">
        <v>7</v>
      </c>
      <c r="EY671" s="27" t="s">
        <v>8</v>
      </c>
      <c r="FA671" s="27" t="s">
        <v>8</v>
      </c>
      <c r="FD671" s="27" t="s">
        <v>7</v>
      </c>
      <c r="FE671" s="27" t="s">
        <v>8</v>
      </c>
    </row>
    <row r="672" spans="1:183" x14ac:dyDescent="0.25">
      <c r="A672" s="7">
        <v>0.18577420019637925</v>
      </c>
      <c r="B672"/>
      <c r="C672"/>
      <c r="D672"/>
      <c r="E672"/>
      <c r="F672" s="27" t="s">
        <v>7</v>
      </c>
      <c r="BA672" s="27" t="s">
        <v>8</v>
      </c>
      <c r="BB672" s="27" t="s">
        <v>7</v>
      </c>
      <c r="BC672" s="27" t="s">
        <v>8</v>
      </c>
      <c r="BD672" s="27" t="s">
        <v>7</v>
      </c>
      <c r="BM672" s="27" t="s">
        <v>8</v>
      </c>
      <c r="BN672" s="27" t="s">
        <v>7</v>
      </c>
      <c r="DD672" s="27" t="s">
        <v>7</v>
      </c>
      <c r="DE672" s="27" t="s">
        <v>8</v>
      </c>
      <c r="DF672" s="27" t="s">
        <v>7</v>
      </c>
      <c r="DG672" s="27" t="s">
        <v>8</v>
      </c>
      <c r="DH672" s="27" t="s">
        <v>7</v>
      </c>
      <c r="DI672" s="27" t="s">
        <v>8</v>
      </c>
      <c r="DP672" s="27" t="s">
        <v>7</v>
      </c>
      <c r="DQ672" s="27" t="s">
        <v>8</v>
      </c>
      <c r="DR672" s="27" t="s">
        <v>7</v>
      </c>
      <c r="DS672" s="27" t="s">
        <v>8</v>
      </c>
      <c r="DT672" s="27" t="s">
        <v>7</v>
      </c>
      <c r="EY672" s="27" t="s">
        <v>8</v>
      </c>
      <c r="EZ672" s="27" t="s">
        <v>7</v>
      </c>
      <c r="FA672" s="27" t="s">
        <v>8</v>
      </c>
      <c r="FD672" s="27" t="s">
        <v>7</v>
      </c>
      <c r="FE672" s="27" t="s">
        <v>8</v>
      </c>
    </row>
    <row r="673" spans="1:161" x14ac:dyDescent="0.25">
      <c r="A673" s="7">
        <v>0.18213156881997963</v>
      </c>
      <c r="B673"/>
      <c r="C673"/>
      <c r="D673"/>
      <c r="E673"/>
      <c r="F673" s="27" t="s">
        <v>7</v>
      </c>
      <c r="BA673" s="27" t="s">
        <v>8</v>
      </c>
      <c r="BB673" s="27" t="s">
        <v>7</v>
      </c>
      <c r="BC673" s="27" t="s">
        <v>8</v>
      </c>
      <c r="BD673" s="27" t="s">
        <v>7</v>
      </c>
      <c r="BM673" s="27" t="s">
        <v>8</v>
      </c>
      <c r="DD673" s="27" t="s">
        <v>7</v>
      </c>
      <c r="DE673" s="27" t="s">
        <v>8</v>
      </c>
      <c r="DF673" s="27" t="s">
        <v>7</v>
      </c>
      <c r="DG673" s="27" t="s">
        <v>8</v>
      </c>
      <c r="DH673" s="27" t="s">
        <v>7</v>
      </c>
      <c r="DI673" s="27" t="s">
        <v>8</v>
      </c>
      <c r="DP673" s="27" t="s">
        <v>7</v>
      </c>
      <c r="DQ673" s="27" t="s">
        <v>8</v>
      </c>
      <c r="DR673" s="27" t="s">
        <v>7</v>
      </c>
      <c r="DS673" s="27" t="s">
        <v>8</v>
      </c>
      <c r="DT673" s="27" t="s">
        <v>7</v>
      </c>
      <c r="EY673" s="27" t="s">
        <v>8</v>
      </c>
      <c r="EZ673" s="27" t="s">
        <v>7</v>
      </c>
      <c r="FA673" s="27" t="s">
        <v>8</v>
      </c>
      <c r="FD673" s="27" t="s">
        <v>7</v>
      </c>
      <c r="FE673" s="27" t="s">
        <v>8</v>
      </c>
    </row>
    <row r="674" spans="1:161" x14ac:dyDescent="0.25">
      <c r="A674" s="7">
        <v>0.17856036158821534</v>
      </c>
      <c r="B674"/>
      <c r="C674"/>
      <c r="D674"/>
      <c r="E674"/>
      <c r="F674" s="27" t="s">
        <v>7</v>
      </c>
      <c r="AW674" s="27" t="s">
        <v>8</v>
      </c>
      <c r="BA674" s="27" t="s">
        <v>8</v>
      </c>
      <c r="BB674" s="27" t="s">
        <v>7</v>
      </c>
      <c r="BC674" s="27" t="s">
        <v>8</v>
      </c>
      <c r="BD674" s="27" t="s">
        <v>7</v>
      </c>
      <c r="BK674" s="27" t="s">
        <v>8</v>
      </c>
      <c r="BM674" s="27" t="s">
        <v>8</v>
      </c>
      <c r="DD674" s="27" t="s">
        <v>7</v>
      </c>
      <c r="DE674" s="27" t="s">
        <v>8</v>
      </c>
      <c r="DF674" s="27" t="s">
        <v>7</v>
      </c>
      <c r="DG674" s="27" t="s">
        <v>8</v>
      </c>
      <c r="DH674" s="27" t="s">
        <v>7</v>
      </c>
      <c r="DI674" s="27" t="s">
        <v>8</v>
      </c>
      <c r="DP674" s="27" t="s">
        <v>7</v>
      </c>
      <c r="DQ674" s="27" t="s">
        <v>8</v>
      </c>
      <c r="DR674" s="27" t="s">
        <v>7</v>
      </c>
      <c r="DS674" s="27" t="s">
        <v>8</v>
      </c>
      <c r="DT674" s="27" t="s">
        <v>7</v>
      </c>
      <c r="EY674" s="27" t="s">
        <v>8</v>
      </c>
      <c r="EZ674" s="27" t="s">
        <v>7</v>
      </c>
      <c r="FA674" s="27" t="s">
        <v>8</v>
      </c>
      <c r="FD674" s="27" t="s">
        <v>7</v>
      </c>
    </row>
    <row r="675" spans="1:161" x14ac:dyDescent="0.25">
      <c r="A675" s="7">
        <v>0.17505917802766208</v>
      </c>
      <c r="B675"/>
      <c r="C675"/>
      <c r="D675"/>
      <c r="E675"/>
      <c r="F675" s="27" t="s">
        <v>7</v>
      </c>
      <c r="AW675" s="27" t="s">
        <v>8</v>
      </c>
      <c r="AX675" s="27" t="s">
        <v>7</v>
      </c>
      <c r="BA675" s="27" t="s">
        <v>8</v>
      </c>
      <c r="BB675" s="27" t="s">
        <v>7</v>
      </c>
      <c r="BC675" s="27" t="s">
        <v>8</v>
      </c>
      <c r="BD675" s="27" t="s">
        <v>7</v>
      </c>
      <c r="BK675" s="27" t="s">
        <v>8</v>
      </c>
      <c r="BL675" s="27" t="s">
        <v>7</v>
      </c>
      <c r="BM675" s="27" t="s">
        <v>8</v>
      </c>
      <c r="DD675" s="27" t="s">
        <v>7</v>
      </c>
      <c r="DE675" s="27" t="s">
        <v>8</v>
      </c>
      <c r="DF675" s="27" t="s">
        <v>7</v>
      </c>
      <c r="DG675" s="27" t="s">
        <v>8</v>
      </c>
      <c r="DH675" s="27" t="s">
        <v>7</v>
      </c>
      <c r="DI675" s="27" t="s">
        <v>8</v>
      </c>
      <c r="DP675" s="27" t="s">
        <v>7</v>
      </c>
      <c r="DQ675" s="27" t="s">
        <v>8</v>
      </c>
      <c r="DR675" s="27" t="s">
        <v>7</v>
      </c>
      <c r="DS675" s="27" t="s">
        <v>8</v>
      </c>
      <c r="DT675" s="27" t="s">
        <v>7</v>
      </c>
      <c r="EY675" s="27" t="s">
        <v>8</v>
      </c>
      <c r="EZ675" s="27" t="s">
        <v>7</v>
      </c>
      <c r="FA675" s="27" t="s">
        <v>8</v>
      </c>
    </row>
    <row r="676" spans="1:161" x14ac:dyDescent="0.25">
      <c r="A676" s="7">
        <v>0.17162664512515888</v>
      </c>
      <c r="B676"/>
      <c r="C676"/>
      <c r="D676"/>
      <c r="E676"/>
      <c r="F676" s="27" t="s">
        <v>7</v>
      </c>
      <c r="AW676" s="27" t="s">
        <v>8</v>
      </c>
      <c r="AX676" s="27" t="s">
        <v>7</v>
      </c>
      <c r="BA676" s="27" t="s">
        <v>8</v>
      </c>
      <c r="BB676" s="27" t="s">
        <v>7</v>
      </c>
      <c r="BD676" s="27" t="s">
        <v>7</v>
      </c>
      <c r="BI676" s="27" t="s">
        <v>8</v>
      </c>
      <c r="BK676" s="27" t="s">
        <v>8</v>
      </c>
      <c r="BL676" s="27" t="s">
        <v>7</v>
      </c>
      <c r="BM676" s="27" t="s">
        <v>8</v>
      </c>
      <c r="DD676" s="27" t="s">
        <v>7</v>
      </c>
      <c r="DE676" s="27" t="s">
        <v>8</v>
      </c>
      <c r="DF676" s="27" t="s">
        <v>7</v>
      </c>
      <c r="DG676" s="27" t="s">
        <v>8</v>
      </c>
      <c r="DH676" s="27" t="s">
        <v>7</v>
      </c>
      <c r="DI676" s="27" t="s">
        <v>8</v>
      </c>
      <c r="DP676" s="27" t="s">
        <v>7</v>
      </c>
      <c r="DQ676" s="27" t="s">
        <v>8</v>
      </c>
      <c r="DR676" s="27" t="s">
        <v>7</v>
      </c>
      <c r="DS676" s="27" t="s">
        <v>8</v>
      </c>
      <c r="DT676" s="27" t="s">
        <v>7</v>
      </c>
      <c r="EY676" s="27" t="s">
        <v>8</v>
      </c>
      <c r="EZ676" s="27" t="s">
        <v>7</v>
      </c>
      <c r="FA676" s="27" t="s">
        <v>8</v>
      </c>
    </row>
    <row r="677" spans="1:161" x14ac:dyDescent="0.25">
      <c r="A677" s="7">
        <v>0.16826141678937145</v>
      </c>
      <c r="B677"/>
      <c r="C677"/>
      <c r="D677"/>
      <c r="E677"/>
      <c r="F677" s="27" t="s">
        <v>7</v>
      </c>
      <c r="AW677" s="27" t="s">
        <v>8</v>
      </c>
      <c r="AX677" s="27" t="s">
        <v>7</v>
      </c>
      <c r="AY677" s="27" t="s">
        <v>8</v>
      </c>
      <c r="BA677" s="27" t="s">
        <v>8</v>
      </c>
      <c r="BD677" s="27" t="s">
        <v>7</v>
      </c>
      <c r="BI677" s="27" t="s">
        <v>8</v>
      </c>
      <c r="BJ677" s="27" t="s">
        <v>7</v>
      </c>
      <c r="BK677" s="27" t="s">
        <v>8</v>
      </c>
      <c r="BL677" s="27" t="s">
        <v>7</v>
      </c>
      <c r="BM677" s="27" t="s">
        <v>8</v>
      </c>
      <c r="DD677" s="27" t="s">
        <v>7</v>
      </c>
      <c r="DE677" s="27" t="s">
        <v>8</v>
      </c>
      <c r="DF677" s="27" t="s">
        <v>7</v>
      </c>
      <c r="DH677" s="27" t="s">
        <v>7</v>
      </c>
      <c r="DI677" s="27" t="s">
        <v>8</v>
      </c>
      <c r="DP677" s="27" t="s">
        <v>7</v>
      </c>
      <c r="DQ677" s="27" t="s">
        <v>8</v>
      </c>
      <c r="DR677" s="27" t="s">
        <v>7</v>
      </c>
      <c r="DS677" s="27" t="s">
        <v>8</v>
      </c>
      <c r="DT677" s="27" t="s">
        <v>7</v>
      </c>
      <c r="DU677" s="27" t="s">
        <v>8</v>
      </c>
      <c r="EY677" s="27" t="s">
        <v>8</v>
      </c>
      <c r="EZ677" s="27" t="s">
        <v>7</v>
      </c>
      <c r="FA677" s="27" t="s">
        <v>8</v>
      </c>
    </row>
    <row r="678" spans="1:161" x14ac:dyDescent="0.25">
      <c r="A678" s="7">
        <v>0.16496217332291319</v>
      </c>
      <c r="B678"/>
      <c r="C678"/>
      <c r="D678"/>
      <c r="E678"/>
      <c r="F678" s="27" t="s">
        <v>7</v>
      </c>
      <c r="AW678" s="27" t="s">
        <v>8</v>
      </c>
      <c r="AX678" s="27" t="s">
        <v>7</v>
      </c>
      <c r="AY678" s="27" t="s">
        <v>8</v>
      </c>
      <c r="AZ678" s="27" t="s">
        <v>7</v>
      </c>
      <c r="BA678" s="27" t="s">
        <v>8</v>
      </c>
      <c r="BD678" s="27" t="s">
        <v>7</v>
      </c>
      <c r="BI678" s="27" t="s">
        <v>8</v>
      </c>
      <c r="BJ678" s="27" t="s">
        <v>7</v>
      </c>
      <c r="BK678" s="27" t="s">
        <v>8</v>
      </c>
      <c r="BL678" s="27" t="s">
        <v>7</v>
      </c>
      <c r="BM678" s="27" t="s">
        <v>8</v>
      </c>
      <c r="DD678" s="27" t="s">
        <v>7</v>
      </c>
      <c r="DE678" s="27" t="s">
        <v>8</v>
      </c>
      <c r="DH678" s="27" t="s">
        <v>7</v>
      </c>
      <c r="DI678" s="27" t="s">
        <v>8</v>
      </c>
      <c r="DP678" s="27" t="s">
        <v>7</v>
      </c>
      <c r="DQ678" s="27" t="s">
        <v>8</v>
      </c>
      <c r="DR678" s="27" t="s">
        <v>7</v>
      </c>
      <c r="DS678" s="27" t="s">
        <v>8</v>
      </c>
      <c r="DT678" s="27" t="s">
        <v>7</v>
      </c>
      <c r="DU678" s="27" t="s">
        <v>8</v>
      </c>
      <c r="DV678" s="27" t="s">
        <v>7</v>
      </c>
      <c r="EY678" s="27" t="s">
        <v>8</v>
      </c>
      <c r="EZ678" s="27" t="s">
        <v>7</v>
      </c>
      <c r="FA678" s="27" t="s">
        <v>8</v>
      </c>
    </row>
    <row r="679" spans="1:161" x14ac:dyDescent="0.25">
      <c r="A679" s="7">
        <v>0.16172762090481685</v>
      </c>
      <c r="B679"/>
      <c r="C679"/>
      <c r="D679"/>
      <c r="E679"/>
      <c r="F679" s="27" t="s">
        <v>7</v>
      </c>
      <c r="AW679" s="27" t="s">
        <v>8</v>
      </c>
      <c r="AX679" s="27" t="s">
        <v>7</v>
      </c>
      <c r="AY679" s="27" t="s">
        <v>8</v>
      </c>
      <c r="AZ679" s="27" t="s">
        <v>7</v>
      </c>
      <c r="BA679" s="27" t="s">
        <v>8</v>
      </c>
      <c r="BD679" s="27" t="s">
        <v>7</v>
      </c>
      <c r="BI679" s="27" t="s">
        <v>8</v>
      </c>
      <c r="BJ679" s="27" t="s">
        <v>7</v>
      </c>
      <c r="BK679" s="27" t="s">
        <v>8</v>
      </c>
      <c r="BL679" s="27" t="s">
        <v>7</v>
      </c>
      <c r="BM679" s="27" t="s">
        <v>8</v>
      </c>
      <c r="DD679" s="27" t="s">
        <v>7</v>
      </c>
      <c r="DE679" s="27" t="s">
        <v>8</v>
      </c>
      <c r="DH679" s="27" t="s">
        <v>7</v>
      </c>
      <c r="DI679" s="27" t="s">
        <v>8</v>
      </c>
      <c r="DP679" s="27" t="s">
        <v>7</v>
      </c>
      <c r="DQ679" s="27" t="s">
        <v>8</v>
      </c>
      <c r="DR679" s="27" t="s">
        <v>7</v>
      </c>
      <c r="DS679" s="27" t="s">
        <v>8</v>
      </c>
      <c r="DT679" s="27" t="s">
        <v>7</v>
      </c>
      <c r="DU679" s="27" t="s">
        <v>8</v>
      </c>
      <c r="DV679" s="27" t="s">
        <v>7</v>
      </c>
      <c r="EY679" s="27" t="s">
        <v>8</v>
      </c>
      <c r="EZ679" s="27" t="s">
        <v>7</v>
      </c>
      <c r="FA679" s="27" t="s">
        <v>8</v>
      </c>
    </row>
    <row r="680" spans="1:161" x14ac:dyDescent="0.25">
      <c r="A680" s="7">
        <v>0.15855649108315376</v>
      </c>
      <c r="B680"/>
      <c r="C680"/>
      <c r="D680"/>
      <c r="E680"/>
      <c r="F680" s="27" t="s">
        <v>7</v>
      </c>
      <c r="AW680" s="27" t="s">
        <v>8</v>
      </c>
      <c r="AX680" s="27" t="s">
        <v>7</v>
      </c>
      <c r="AY680" s="27" t="s">
        <v>8</v>
      </c>
      <c r="AZ680" s="27" t="s">
        <v>7</v>
      </c>
      <c r="BA680" s="27" t="s">
        <v>8</v>
      </c>
      <c r="BD680" s="27" t="s">
        <v>7</v>
      </c>
      <c r="BE680" s="27" t="s">
        <v>8</v>
      </c>
      <c r="BI680" s="27" t="s">
        <v>8</v>
      </c>
      <c r="BJ680" s="27" t="s">
        <v>7</v>
      </c>
      <c r="BK680" s="27" t="s">
        <v>8</v>
      </c>
      <c r="BL680" s="27" t="s">
        <v>7</v>
      </c>
      <c r="BM680" s="27" t="s">
        <v>8</v>
      </c>
      <c r="DD680" s="27" t="s">
        <v>7</v>
      </c>
      <c r="DE680" s="27" t="s">
        <v>8</v>
      </c>
      <c r="DH680" s="27" t="s">
        <v>7</v>
      </c>
      <c r="DI680" s="27" t="s">
        <v>8</v>
      </c>
      <c r="DP680" s="27" t="s">
        <v>7</v>
      </c>
      <c r="DR680" s="27" t="s">
        <v>7</v>
      </c>
      <c r="DS680" s="27" t="s">
        <v>8</v>
      </c>
      <c r="DT680" s="27" t="s">
        <v>7</v>
      </c>
      <c r="DV680" s="27" t="s">
        <v>7</v>
      </c>
      <c r="EY680" s="27" t="s">
        <v>8</v>
      </c>
      <c r="EZ680" s="27" t="s">
        <v>7</v>
      </c>
    </row>
    <row r="681" spans="1:161" x14ac:dyDescent="0.25">
      <c r="A681" s="7">
        <v>0.15544754027760171</v>
      </c>
      <c r="B681"/>
      <c r="C681"/>
      <c r="D681"/>
      <c r="E681"/>
      <c r="F681" s="27" t="s">
        <v>7</v>
      </c>
      <c r="AW681" s="27" t="s">
        <v>8</v>
      </c>
      <c r="AX681" s="27" t="s">
        <v>7</v>
      </c>
      <c r="AY681" s="27" t="s">
        <v>8</v>
      </c>
      <c r="AZ681" s="27" t="s">
        <v>7</v>
      </c>
      <c r="BA681" s="27" t="s">
        <v>8</v>
      </c>
      <c r="BD681" s="27" t="s">
        <v>7</v>
      </c>
      <c r="BE681" s="27" t="s">
        <v>8</v>
      </c>
      <c r="BF681" s="27" t="s">
        <v>7</v>
      </c>
      <c r="BG681" s="27" t="s">
        <v>8</v>
      </c>
      <c r="BI681" s="27" t="s">
        <v>8</v>
      </c>
      <c r="BJ681" s="27" t="s">
        <v>7</v>
      </c>
      <c r="BK681" s="27" t="s">
        <v>8</v>
      </c>
      <c r="BL681" s="27" t="s">
        <v>7</v>
      </c>
      <c r="DD681" s="27" t="s">
        <v>7</v>
      </c>
      <c r="DE681" s="27" t="s">
        <v>8</v>
      </c>
      <c r="DH681" s="27" t="s">
        <v>7</v>
      </c>
      <c r="DI681" s="27" t="s">
        <v>8</v>
      </c>
      <c r="DR681" s="27" t="s">
        <v>7</v>
      </c>
      <c r="DS681" s="27" t="s">
        <v>8</v>
      </c>
      <c r="DV681" s="27" t="s">
        <v>7</v>
      </c>
      <c r="EY681" s="27" t="s">
        <v>8</v>
      </c>
    </row>
    <row r="682" spans="1:161" x14ac:dyDescent="0.25">
      <c r="A682" s="7">
        <v>0.15239954929176638</v>
      </c>
      <c r="B682"/>
      <c r="C682"/>
      <c r="D682"/>
      <c r="E682"/>
      <c r="F682" s="27" t="s">
        <v>7</v>
      </c>
      <c r="AW682" s="27" t="s">
        <v>8</v>
      </c>
      <c r="AX682" s="27" t="s">
        <v>7</v>
      </c>
      <c r="AY682" s="27" t="s">
        <v>8</v>
      </c>
      <c r="AZ682" s="27" t="s">
        <v>7</v>
      </c>
      <c r="BA682" s="27" t="s">
        <v>8</v>
      </c>
      <c r="BD682" s="27" t="s">
        <v>7</v>
      </c>
      <c r="BE682" s="27" t="s">
        <v>8</v>
      </c>
      <c r="BF682" s="27" t="s">
        <v>7</v>
      </c>
      <c r="BG682" s="27" t="s">
        <v>8</v>
      </c>
      <c r="BH682" s="27" t="s">
        <v>7</v>
      </c>
      <c r="BI682" s="27" t="s">
        <v>8</v>
      </c>
      <c r="BJ682" s="27" t="s">
        <v>7</v>
      </c>
      <c r="BK682" s="27" t="s">
        <v>8</v>
      </c>
      <c r="DD682" s="27" t="s">
        <v>7</v>
      </c>
      <c r="DH682" s="27" t="s">
        <v>7</v>
      </c>
      <c r="DI682" s="27" t="s">
        <v>8</v>
      </c>
      <c r="DR682" s="27" t="s">
        <v>7</v>
      </c>
      <c r="DS682" s="27" t="s">
        <v>8</v>
      </c>
      <c r="DV682" s="27" t="s">
        <v>7</v>
      </c>
      <c r="DW682" s="27" t="s">
        <v>8</v>
      </c>
      <c r="EK682" s="27" t="s">
        <v>8</v>
      </c>
      <c r="EU682" s="27" t="s">
        <v>8</v>
      </c>
      <c r="EW682" s="27" t="s">
        <v>8</v>
      </c>
      <c r="EY682" s="27" t="s">
        <v>8</v>
      </c>
    </row>
    <row r="683" spans="1:161" x14ac:dyDescent="0.25">
      <c r="A683" s="7">
        <v>0.14941132283506509</v>
      </c>
      <c r="B683"/>
      <c r="C683"/>
      <c r="D683"/>
      <c r="E683"/>
      <c r="F683" s="27" t="s">
        <v>7</v>
      </c>
      <c r="AW683" s="27" t="s">
        <v>8</v>
      </c>
      <c r="AX683" s="27" t="s">
        <v>7</v>
      </c>
      <c r="AY683" s="27" t="s">
        <v>8</v>
      </c>
      <c r="AZ683" s="27" t="s">
        <v>7</v>
      </c>
      <c r="BA683" s="27" t="s">
        <v>8</v>
      </c>
      <c r="BD683" s="27" t="s">
        <v>7</v>
      </c>
      <c r="BE683" s="27" t="s">
        <v>8</v>
      </c>
      <c r="BF683" s="27" t="s">
        <v>7</v>
      </c>
      <c r="BG683" s="27" t="s">
        <v>8</v>
      </c>
      <c r="BH683" s="27" t="s">
        <v>7</v>
      </c>
      <c r="BI683" s="27" t="s">
        <v>8</v>
      </c>
      <c r="BJ683" s="27" t="s">
        <v>7</v>
      </c>
      <c r="BK683" s="27" t="s">
        <v>8</v>
      </c>
      <c r="DH683" s="27" t="s">
        <v>7</v>
      </c>
      <c r="DI683" s="27" t="s">
        <v>8</v>
      </c>
      <c r="DR683" s="27" t="s">
        <v>7</v>
      </c>
      <c r="DS683" s="27" t="s">
        <v>8</v>
      </c>
      <c r="DV683" s="27" t="s">
        <v>7</v>
      </c>
      <c r="DW683" s="27" t="s">
        <v>8</v>
      </c>
      <c r="DX683" s="27" t="s">
        <v>7</v>
      </c>
      <c r="EK683" s="27" t="s">
        <v>8</v>
      </c>
      <c r="EL683" s="27" t="s">
        <v>7</v>
      </c>
      <c r="ES683" s="27" t="s">
        <v>8</v>
      </c>
      <c r="EU683" s="27" t="s">
        <v>8</v>
      </c>
      <c r="EV683" s="27" t="s">
        <v>7</v>
      </c>
      <c r="EW683" s="27" t="s">
        <v>8</v>
      </c>
      <c r="EX683" s="27" t="s">
        <v>7</v>
      </c>
      <c r="EY683" s="27" t="s">
        <v>8</v>
      </c>
    </row>
    <row r="684" spans="1:161" x14ac:dyDescent="0.25">
      <c r="A684" s="7">
        <v>0.14648168905398537</v>
      </c>
      <c r="B684"/>
      <c r="C684"/>
      <c r="D684"/>
      <c r="E684"/>
      <c r="F684" s="27" t="s">
        <v>7</v>
      </c>
      <c r="AW684" s="27" t="s">
        <v>8</v>
      </c>
      <c r="AX684" s="27" t="s">
        <v>7</v>
      </c>
      <c r="AY684" s="27" t="s">
        <v>8</v>
      </c>
      <c r="AZ684" s="27" t="s">
        <v>7</v>
      </c>
      <c r="BD684" s="27" t="s">
        <v>7</v>
      </c>
      <c r="BE684" s="27" t="s">
        <v>8</v>
      </c>
      <c r="BF684" s="27" t="s">
        <v>7</v>
      </c>
      <c r="BG684" s="27" t="s">
        <v>8</v>
      </c>
      <c r="BH684" s="27" t="s">
        <v>7</v>
      </c>
      <c r="BI684" s="27" t="s">
        <v>8</v>
      </c>
      <c r="BJ684" s="27" t="s">
        <v>7</v>
      </c>
      <c r="DH684" s="27" t="s">
        <v>7</v>
      </c>
      <c r="DI684" s="27" t="s">
        <v>8</v>
      </c>
      <c r="DR684" s="27" t="s">
        <v>7</v>
      </c>
      <c r="DV684" s="27" t="s">
        <v>7</v>
      </c>
      <c r="DW684" s="27" t="s">
        <v>8</v>
      </c>
      <c r="DX684" s="27" t="s">
        <v>7</v>
      </c>
      <c r="EK684" s="27" t="s">
        <v>8</v>
      </c>
      <c r="EL684" s="27" t="s">
        <v>7</v>
      </c>
      <c r="ES684" s="27" t="s">
        <v>8</v>
      </c>
      <c r="ET684" s="27" t="s">
        <v>7</v>
      </c>
      <c r="EU684" s="27" t="s">
        <v>8</v>
      </c>
      <c r="EV684" s="27" t="s">
        <v>7</v>
      </c>
      <c r="EW684" s="27" t="s">
        <v>8</v>
      </c>
      <c r="EX684" s="27" t="s">
        <v>7</v>
      </c>
      <c r="EY684" s="27" t="s">
        <v>8</v>
      </c>
    </row>
    <row r="685" spans="1:161" x14ac:dyDescent="0.25">
      <c r="A685" s="7">
        <v>0.14360949907253467</v>
      </c>
      <c r="B685"/>
      <c r="C685"/>
      <c r="D685"/>
      <c r="E685"/>
      <c r="F685" s="27" t="s">
        <v>7</v>
      </c>
      <c r="AW685" s="27" t="s">
        <v>8</v>
      </c>
      <c r="AX685" s="27" t="s">
        <v>7</v>
      </c>
      <c r="AY685" s="27" t="s">
        <v>8</v>
      </c>
      <c r="BD685" s="27" t="s">
        <v>7</v>
      </c>
      <c r="BE685" s="27" t="s">
        <v>8</v>
      </c>
      <c r="BF685" s="27" t="s">
        <v>7</v>
      </c>
      <c r="BG685" s="27" t="s">
        <v>8</v>
      </c>
      <c r="BH685" s="27" t="s">
        <v>7</v>
      </c>
      <c r="BI685" s="27" t="s">
        <v>8</v>
      </c>
      <c r="DH685" s="27" t="s">
        <v>7</v>
      </c>
      <c r="DI685" s="27" t="s">
        <v>8</v>
      </c>
      <c r="DV685" s="27" t="s">
        <v>7</v>
      </c>
      <c r="DW685" s="27" t="s">
        <v>8</v>
      </c>
      <c r="DX685" s="27" t="s">
        <v>7</v>
      </c>
      <c r="EK685" s="27" t="s">
        <v>8</v>
      </c>
      <c r="EL685" s="27" t="s">
        <v>7</v>
      </c>
      <c r="EM685" s="27" t="s">
        <v>8</v>
      </c>
      <c r="ES685" s="27" t="s">
        <v>8</v>
      </c>
      <c r="ET685" s="27" t="s">
        <v>7</v>
      </c>
      <c r="EU685" s="27" t="s">
        <v>8</v>
      </c>
      <c r="EV685" s="27" t="s">
        <v>7</v>
      </c>
      <c r="EW685" s="27" t="s">
        <v>8</v>
      </c>
      <c r="EX685" s="27" t="s">
        <v>7</v>
      </c>
      <c r="EY685" s="27" t="s">
        <v>8</v>
      </c>
    </row>
    <row r="686" spans="1:161" x14ac:dyDescent="0.25">
      <c r="A686" s="7">
        <v>0.14079362654170066</v>
      </c>
      <c r="B686"/>
      <c r="C686"/>
      <c r="D686"/>
      <c r="E686"/>
      <c r="F686" s="27" t="s">
        <v>7</v>
      </c>
      <c r="AW686" s="27" t="s">
        <v>8</v>
      </c>
      <c r="AX686" s="27" t="s">
        <v>7</v>
      </c>
      <c r="AY686" s="27" t="s">
        <v>8</v>
      </c>
      <c r="BD686" s="27" t="s">
        <v>7</v>
      </c>
      <c r="BE686" s="27" t="s">
        <v>8</v>
      </c>
      <c r="BF686" s="27" t="s">
        <v>7</v>
      </c>
      <c r="BG686" s="27" t="s">
        <v>8</v>
      </c>
      <c r="BH686" s="27" t="s">
        <v>7</v>
      </c>
      <c r="BI686" s="27" t="s">
        <v>8</v>
      </c>
      <c r="DH686" s="27" t="s">
        <v>7</v>
      </c>
      <c r="DI686" s="27" t="s">
        <v>8</v>
      </c>
      <c r="DV686" s="27" t="s">
        <v>7</v>
      </c>
      <c r="DW686" s="27" t="s">
        <v>8</v>
      </c>
      <c r="DX686" s="27" t="s">
        <v>7</v>
      </c>
      <c r="EE686" s="27" t="s">
        <v>8</v>
      </c>
      <c r="EK686" s="27" t="s">
        <v>8</v>
      </c>
      <c r="EL686" s="27" t="s">
        <v>7</v>
      </c>
      <c r="EM686" s="27" t="s">
        <v>8</v>
      </c>
      <c r="EN686" s="27" t="s">
        <v>7</v>
      </c>
      <c r="ES686" s="27" t="s">
        <v>8</v>
      </c>
      <c r="ET686" s="27" t="s">
        <v>7</v>
      </c>
      <c r="EU686" s="27" t="s">
        <v>8</v>
      </c>
      <c r="EV686" s="27" t="s">
        <v>7</v>
      </c>
      <c r="EX686" s="27" t="s">
        <v>7</v>
      </c>
      <c r="EY686" s="27" t="s">
        <v>8</v>
      </c>
    </row>
    <row r="687" spans="1:161" x14ac:dyDescent="0.25">
      <c r="A687" s="7">
        <v>0.13803296719774574</v>
      </c>
      <c r="B687"/>
      <c r="C687"/>
      <c r="D687"/>
      <c r="E687"/>
      <c r="F687" s="27" t="s">
        <v>7</v>
      </c>
      <c r="K687" s="27" t="s">
        <v>8</v>
      </c>
      <c r="AW687" s="27" t="s">
        <v>8</v>
      </c>
      <c r="AX687" s="27" t="s">
        <v>7</v>
      </c>
      <c r="AY687" s="27" t="s">
        <v>8</v>
      </c>
      <c r="BD687" s="27" t="s">
        <v>7</v>
      </c>
      <c r="BE687" s="27" t="s">
        <v>8</v>
      </c>
      <c r="BF687" s="27" t="s">
        <v>7</v>
      </c>
      <c r="BG687" s="27" t="s">
        <v>8</v>
      </c>
      <c r="BH687" s="27" t="s">
        <v>7</v>
      </c>
      <c r="BI687" s="27" t="s">
        <v>8</v>
      </c>
      <c r="DH687" s="27" t="s">
        <v>7</v>
      </c>
      <c r="DI687" s="27" t="s">
        <v>8</v>
      </c>
      <c r="DV687" s="27" t="s">
        <v>7</v>
      </c>
      <c r="DX687" s="27" t="s">
        <v>7</v>
      </c>
      <c r="EE687" s="27" t="s">
        <v>8</v>
      </c>
      <c r="EF687" s="27" t="s">
        <v>7</v>
      </c>
      <c r="EI687" s="27" t="s">
        <v>8</v>
      </c>
      <c r="EK687" s="27" t="s">
        <v>8</v>
      </c>
      <c r="EL687" s="27" t="s">
        <v>7</v>
      </c>
      <c r="EM687" s="27" t="s">
        <v>8</v>
      </c>
      <c r="EN687" s="27" t="s">
        <v>7</v>
      </c>
      <c r="ES687" s="27" t="s">
        <v>8</v>
      </c>
      <c r="ET687" s="27" t="s">
        <v>7</v>
      </c>
      <c r="EU687" s="27" t="s">
        <v>8</v>
      </c>
      <c r="EX687" s="27" t="s">
        <v>7</v>
      </c>
    </row>
    <row r="688" spans="1:161" x14ac:dyDescent="0.25">
      <c r="A688" s="7">
        <v>0.1353264384291625</v>
      </c>
      <c r="B688"/>
      <c r="C688"/>
      <c r="D688"/>
      <c r="E688"/>
      <c r="F688" s="27" t="s">
        <v>7</v>
      </c>
      <c r="K688" s="27" t="s">
        <v>8</v>
      </c>
      <c r="L688" s="27" t="s">
        <v>7</v>
      </c>
      <c r="AW688" s="27" t="s">
        <v>8</v>
      </c>
      <c r="AX688" s="27" t="s">
        <v>7</v>
      </c>
      <c r="BD688" s="27" t="s">
        <v>7</v>
      </c>
      <c r="BE688" s="27" t="s">
        <v>8</v>
      </c>
      <c r="BF688" s="27" t="s">
        <v>7</v>
      </c>
      <c r="BG688" s="27" t="s">
        <v>8</v>
      </c>
      <c r="BH688" s="27" t="s">
        <v>7</v>
      </c>
      <c r="BI688" s="27" t="s">
        <v>8</v>
      </c>
      <c r="DH688" s="27" t="s">
        <v>7</v>
      </c>
      <c r="DI688" s="27" t="s">
        <v>8</v>
      </c>
      <c r="DX688" s="27" t="s">
        <v>7</v>
      </c>
      <c r="DY688" s="27" t="s">
        <v>8</v>
      </c>
      <c r="EE688" s="27" t="s">
        <v>8</v>
      </c>
      <c r="EF688" s="27" t="s">
        <v>7</v>
      </c>
      <c r="EG688" s="27" t="s">
        <v>8</v>
      </c>
      <c r="EI688" s="27" t="s">
        <v>8</v>
      </c>
      <c r="EJ688" s="27" t="s">
        <v>7</v>
      </c>
      <c r="EK688" s="27" t="s">
        <v>8</v>
      </c>
      <c r="EL688" s="27" t="s">
        <v>7</v>
      </c>
      <c r="EM688" s="27" t="s">
        <v>8</v>
      </c>
      <c r="EN688" s="27" t="s">
        <v>7</v>
      </c>
      <c r="ES688" s="27" t="s">
        <v>8</v>
      </c>
      <c r="ET688" s="27" t="s">
        <v>7</v>
      </c>
      <c r="EU688" s="27" t="s">
        <v>8</v>
      </c>
    </row>
    <row r="689" spans="1:151" x14ac:dyDescent="0.25">
      <c r="A689" s="7">
        <v>0.13267297885212009</v>
      </c>
      <c r="B689"/>
      <c r="C689"/>
      <c r="D689"/>
      <c r="E689"/>
      <c r="F689" s="27" t="s">
        <v>7</v>
      </c>
      <c r="K689" s="27" t="s">
        <v>8</v>
      </c>
      <c r="L689" s="27" t="s">
        <v>7</v>
      </c>
      <c r="AW689" s="27" t="s">
        <v>8</v>
      </c>
      <c r="BD689" s="27" t="s">
        <v>7</v>
      </c>
      <c r="BE689" s="27" t="s">
        <v>8</v>
      </c>
      <c r="BF689" s="27" t="s">
        <v>7</v>
      </c>
      <c r="BG689" s="27" t="s">
        <v>8</v>
      </c>
      <c r="BH689" s="27" t="s">
        <v>7</v>
      </c>
      <c r="DH689" s="27" t="s">
        <v>7</v>
      </c>
      <c r="DI689" s="27" t="s">
        <v>8</v>
      </c>
      <c r="DX689" s="27" t="s">
        <v>7</v>
      </c>
      <c r="DY689" s="27" t="s">
        <v>8</v>
      </c>
      <c r="DZ689" s="27" t="s">
        <v>7</v>
      </c>
      <c r="EE689" s="27" t="s">
        <v>8</v>
      </c>
      <c r="EF689" s="27" t="s">
        <v>7</v>
      </c>
      <c r="EG689" s="27" t="s">
        <v>8</v>
      </c>
      <c r="EH689" s="27" t="s">
        <v>7</v>
      </c>
      <c r="EI689" s="27" t="s">
        <v>8</v>
      </c>
      <c r="EJ689" s="27" t="s">
        <v>7</v>
      </c>
      <c r="EK689" s="27" t="s">
        <v>8</v>
      </c>
      <c r="EL689" s="27" t="s">
        <v>7</v>
      </c>
      <c r="EM689" s="27" t="s">
        <v>8</v>
      </c>
      <c r="EN689" s="27" t="s">
        <v>7</v>
      </c>
      <c r="ES689" s="27" t="s">
        <v>8</v>
      </c>
      <c r="ET689" s="27" t="s">
        <v>7</v>
      </c>
      <c r="EU689" s="27" t="s">
        <v>8</v>
      </c>
    </row>
    <row r="690" spans="1:151" x14ac:dyDescent="0.25">
      <c r="A690" s="7">
        <v>0.13007154789423539</v>
      </c>
      <c r="B690"/>
      <c r="C690"/>
      <c r="D690"/>
      <c r="E690"/>
      <c r="F690" s="27" t="s">
        <v>7</v>
      </c>
      <c r="K690" s="27" t="s">
        <v>8</v>
      </c>
      <c r="L690" s="27" t="s">
        <v>7</v>
      </c>
      <c r="AW690" s="27" t="s">
        <v>8</v>
      </c>
      <c r="BD690" s="27" t="s">
        <v>7</v>
      </c>
      <c r="BE690" s="27" t="s">
        <v>8</v>
      </c>
      <c r="BF690" s="27" t="s">
        <v>7</v>
      </c>
      <c r="BG690" s="27" t="s">
        <v>8</v>
      </c>
      <c r="DH690" s="27" t="s">
        <v>7</v>
      </c>
      <c r="DX690" s="27" t="s">
        <v>7</v>
      </c>
      <c r="DY690" s="27" t="s">
        <v>8</v>
      </c>
      <c r="DZ690" s="27" t="s">
        <v>7</v>
      </c>
      <c r="EE690" s="27" t="s">
        <v>8</v>
      </c>
      <c r="EF690" s="27" t="s">
        <v>7</v>
      </c>
      <c r="EG690" s="27" t="s">
        <v>8</v>
      </c>
      <c r="EH690" s="27" t="s">
        <v>7</v>
      </c>
      <c r="EI690" s="27" t="s">
        <v>8</v>
      </c>
      <c r="EJ690" s="27" t="s">
        <v>7</v>
      </c>
      <c r="EK690" s="27" t="s">
        <v>8</v>
      </c>
      <c r="EL690" s="27" t="s">
        <v>7</v>
      </c>
      <c r="EM690" s="27" t="s">
        <v>8</v>
      </c>
      <c r="EN690" s="27" t="s">
        <v>7</v>
      </c>
      <c r="ES690" s="27" t="s">
        <v>8</v>
      </c>
      <c r="ET690" s="27" t="s">
        <v>7</v>
      </c>
    </row>
    <row r="691" spans="1:151" x14ac:dyDescent="0.25">
      <c r="A691" s="7">
        <v>0.12752112538650529</v>
      </c>
      <c r="B691"/>
      <c r="C691"/>
      <c r="D691"/>
      <c r="E691"/>
      <c r="F691" s="27" t="s">
        <v>7</v>
      </c>
      <c r="K691" s="27" t="s">
        <v>8</v>
      </c>
      <c r="L691" s="27" t="s">
        <v>7</v>
      </c>
      <c r="AU691" s="27" t="s">
        <v>8</v>
      </c>
      <c r="AW691" s="27" t="s">
        <v>8</v>
      </c>
      <c r="BD691" s="27" t="s">
        <v>7</v>
      </c>
      <c r="BE691" s="27" t="s">
        <v>8</v>
      </c>
      <c r="BF691" s="27" t="s">
        <v>7</v>
      </c>
      <c r="DX691" s="27" t="s">
        <v>7</v>
      </c>
      <c r="DY691" s="27" t="s">
        <v>8</v>
      </c>
      <c r="DZ691" s="27" t="s">
        <v>7</v>
      </c>
      <c r="EE691" s="27" t="s">
        <v>8</v>
      </c>
      <c r="EF691" s="27" t="s">
        <v>7</v>
      </c>
      <c r="EG691" s="27" t="s">
        <v>8</v>
      </c>
      <c r="EH691" s="27" t="s">
        <v>7</v>
      </c>
      <c r="EI691" s="27" t="s">
        <v>8</v>
      </c>
      <c r="EJ691" s="27" t="s">
        <v>7</v>
      </c>
      <c r="EK691" s="27" t="s">
        <v>8</v>
      </c>
      <c r="EL691" s="27" t="s">
        <v>7</v>
      </c>
      <c r="EM691" s="27" t="s">
        <v>8</v>
      </c>
      <c r="EN691" s="27" t="s">
        <v>7</v>
      </c>
      <c r="ES691" s="27" t="s">
        <v>8</v>
      </c>
    </row>
    <row r="692" spans="1:151" x14ac:dyDescent="0.25">
      <c r="A692" s="7">
        <v>0.12502071116324048</v>
      </c>
      <c r="B692"/>
      <c r="C692"/>
      <c r="D692"/>
      <c r="E692"/>
      <c r="F692" s="27" t="s">
        <v>7</v>
      </c>
      <c r="K692" s="27" t="s">
        <v>8</v>
      </c>
      <c r="L692" s="27" t="s">
        <v>7</v>
      </c>
      <c r="AU692" s="27" t="s">
        <v>8</v>
      </c>
      <c r="AV692" s="27" t="s">
        <v>7</v>
      </c>
      <c r="AW692" s="27" t="s">
        <v>8</v>
      </c>
      <c r="BD692" s="27" t="s">
        <v>7</v>
      </c>
      <c r="BE692" s="27" t="s">
        <v>8</v>
      </c>
      <c r="DX692" s="27" t="s">
        <v>7</v>
      </c>
      <c r="DY692" s="27" t="s">
        <v>8</v>
      </c>
      <c r="DZ692" s="27" t="s">
        <v>7</v>
      </c>
      <c r="EE692" s="27" t="s">
        <v>8</v>
      </c>
      <c r="EF692" s="27" t="s">
        <v>7</v>
      </c>
      <c r="EG692" s="27" t="s">
        <v>8</v>
      </c>
      <c r="EH692" s="27" t="s">
        <v>7</v>
      </c>
      <c r="EI692" s="27" t="s">
        <v>8</v>
      </c>
      <c r="EJ692" s="27" t="s">
        <v>7</v>
      </c>
      <c r="EK692" s="27" t="s">
        <v>8</v>
      </c>
      <c r="EL692" s="27" t="s">
        <v>7</v>
      </c>
      <c r="EM692" s="27" t="s">
        <v>8</v>
      </c>
      <c r="EN692" s="27" t="s">
        <v>7</v>
      </c>
      <c r="EQ692" s="27" t="s">
        <v>8</v>
      </c>
      <c r="ES692" s="27" t="s">
        <v>8</v>
      </c>
    </row>
    <row r="693" spans="1:151" x14ac:dyDescent="0.25">
      <c r="A693" s="7">
        <v>0.1225693246698436</v>
      </c>
      <c r="B693"/>
      <c r="C693"/>
      <c r="D693"/>
      <c r="E693"/>
      <c r="F693" s="27" t="s">
        <v>7</v>
      </c>
      <c r="K693" s="27" t="s">
        <v>8</v>
      </c>
      <c r="L693" s="27" t="s">
        <v>7</v>
      </c>
      <c r="AU693" s="27" t="s">
        <v>8</v>
      </c>
      <c r="AV693" s="27" t="s">
        <v>7</v>
      </c>
      <c r="AW693" s="27" t="s">
        <v>8</v>
      </c>
      <c r="BD693" s="27" t="s">
        <v>7</v>
      </c>
      <c r="BE693" s="27" t="s">
        <v>8</v>
      </c>
      <c r="DX693" s="27" t="s">
        <v>7</v>
      </c>
      <c r="DY693" s="27" t="s">
        <v>8</v>
      </c>
      <c r="DZ693" s="27" t="s">
        <v>7</v>
      </c>
      <c r="EE693" s="27" t="s">
        <v>8</v>
      </c>
      <c r="EF693" s="27" t="s">
        <v>7</v>
      </c>
      <c r="EH693" s="27" t="s">
        <v>7</v>
      </c>
      <c r="EI693" s="27" t="s">
        <v>8</v>
      </c>
      <c r="EJ693" s="27" t="s">
        <v>7</v>
      </c>
      <c r="EK693" s="27" t="s">
        <v>8</v>
      </c>
      <c r="EL693" s="27" t="s">
        <v>7</v>
      </c>
      <c r="EM693" s="27" t="s">
        <v>8</v>
      </c>
      <c r="EN693" s="27" t="s">
        <v>7</v>
      </c>
      <c r="EO693" s="27" t="s">
        <v>8</v>
      </c>
      <c r="EQ693" s="27" t="s">
        <v>8</v>
      </c>
      <c r="ER693" s="27" t="s">
        <v>7</v>
      </c>
      <c r="ES693" s="27" t="s">
        <v>8</v>
      </c>
    </row>
    <row r="694" spans="1:151" x14ac:dyDescent="0.25">
      <c r="A694" s="7">
        <v>0.12016600457827803</v>
      </c>
      <c r="B694"/>
      <c r="C694"/>
      <c r="D694"/>
      <c r="E694"/>
      <c r="F694" s="27" t="s">
        <v>7</v>
      </c>
      <c r="K694" s="27" t="s">
        <v>8</v>
      </c>
      <c r="L694" s="27" t="s">
        <v>7</v>
      </c>
      <c r="AU694" s="27" t="s">
        <v>8</v>
      </c>
      <c r="AV694" s="27" t="s">
        <v>7</v>
      </c>
      <c r="AW694" s="27" t="s">
        <v>8</v>
      </c>
      <c r="BD694" s="27" t="s">
        <v>7</v>
      </c>
      <c r="DX694" s="27" t="s">
        <v>7</v>
      </c>
      <c r="DY694" s="27" t="s">
        <v>8</v>
      </c>
      <c r="DZ694" s="27" t="s">
        <v>7</v>
      </c>
      <c r="EE694" s="27" t="s">
        <v>8</v>
      </c>
      <c r="EH694" s="27" t="s">
        <v>7</v>
      </c>
      <c r="EI694" s="27" t="s">
        <v>8</v>
      </c>
      <c r="EJ694" s="27" t="s">
        <v>7</v>
      </c>
      <c r="EK694" s="27" t="s">
        <v>8</v>
      </c>
      <c r="EL694" s="27" t="s">
        <v>7</v>
      </c>
      <c r="EM694" s="27" t="s">
        <v>8</v>
      </c>
      <c r="EN694" s="27" t="s">
        <v>7</v>
      </c>
      <c r="EO694" s="27" t="s">
        <v>8</v>
      </c>
      <c r="EP694" s="27" t="s">
        <v>7</v>
      </c>
      <c r="EQ694" s="27" t="s">
        <v>8</v>
      </c>
      <c r="ER694" s="27" t="s">
        <v>7</v>
      </c>
      <c r="ES694" s="27" t="s">
        <v>8</v>
      </c>
    </row>
    <row r="695" spans="1:151" x14ac:dyDescent="0.25">
      <c r="A695" s="7">
        <v>0.1178098084100765</v>
      </c>
      <c r="B695"/>
      <c r="C695"/>
      <c r="D695"/>
      <c r="E695"/>
      <c r="F695" s="27" t="s">
        <v>7</v>
      </c>
      <c r="I695" s="27" t="s">
        <v>8</v>
      </c>
      <c r="K695" s="27" t="s">
        <v>8</v>
      </c>
      <c r="L695" s="27" t="s">
        <v>7</v>
      </c>
      <c r="AU695" s="27" t="s">
        <v>8</v>
      </c>
      <c r="AV695" s="27" t="s">
        <v>7</v>
      </c>
      <c r="AW695" s="27" t="s">
        <v>8</v>
      </c>
      <c r="DX695" s="27" t="s">
        <v>7</v>
      </c>
      <c r="DY695" s="27" t="s">
        <v>8</v>
      </c>
      <c r="DZ695" s="27" t="s">
        <v>7</v>
      </c>
      <c r="EE695" s="27" t="s">
        <v>8</v>
      </c>
      <c r="EH695" s="27" t="s">
        <v>7</v>
      </c>
      <c r="EJ695" s="27" t="s">
        <v>7</v>
      </c>
      <c r="EK695" s="27" t="s">
        <v>8</v>
      </c>
      <c r="EL695" s="27" t="s">
        <v>7</v>
      </c>
      <c r="EM695" s="27" t="s">
        <v>8</v>
      </c>
      <c r="EN695" s="27" t="s">
        <v>7</v>
      </c>
      <c r="EO695" s="27" t="s">
        <v>8</v>
      </c>
      <c r="EP695" s="27" t="s">
        <v>7</v>
      </c>
      <c r="EQ695" s="27" t="s">
        <v>8</v>
      </c>
      <c r="ER695" s="27" t="s">
        <v>7</v>
      </c>
      <c r="ES695" s="27" t="s">
        <v>8</v>
      </c>
    </row>
    <row r="696" spans="1:151" x14ac:dyDescent="0.25">
      <c r="A696" s="7">
        <v>0.11549981216674166</v>
      </c>
      <c r="B696"/>
      <c r="C696"/>
      <c r="D696"/>
      <c r="E696"/>
      <c r="F696" s="27" t="s">
        <v>7</v>
      </c>
      <c r="I696" s="27" t="s">
        <v>8</v>
      </c>
      <c r="J696" s="27" t="s">
        <v>7</v>
      </c>
      <c r="K696" s="27" t="s">
        <v>8</v>
      </c>
      <c r="L696" s="27" t="s">
        <v>7</v>
      </c>
      <c r="AU696" s="27" t="s">
        <v>8</v>
      </c>
      <c r="AV696" s="27" t="s">
        <v>7</v>
      </c>
      <c r="AW696" s="27" t="s">
        <v>8</v>
      </c>
      <c r="DX696" s="27" t="s">
        <v>7</v>
      </c>
      <c r="DY696" s="27" t="s">
        <v>8</v>
      </c>
      <c r="DZ696" s="27" t="s">
        <v>7</v>
      </c>
      <c r="EC696" s="27" t="s">
        <v>8</v>
      </c>
      <c r="EE696" s="27" t="s">
        <v>8</v>
      </c>
      <c r="EJ696" s="27" t="s">
        <v>7</v>
      </c>
      <c r="EL696" s="27" t="s">
        <v>7</v>
      </c>
      <c r="EN696" s="27" t="s">
        <v>7</v>
      </c>
      <c r="EO696" s="27" t="s">
        <v>8</v>
      </c>
      <c r="EP696" s="27" t="s">
        <v>7</v>
      </c>
      <c r="EQ696" s="27" t="s">
        <v>8</v>
      </c>
      <c r="ER696" s="27" t="s">
        <v>7</v>
      </c>
    </row>
    <row r="697" spans="1:151" x14ac:dyDescent="0.25">
      <c r="A697" s="7">
        <v>0.11323510996739378</v>
      </c>
      <c r="B697"/>
      <c r="C697"/>
      <c r="D697"/>
      <c r="E697"/>
      <c r="F697" s="27" t="s">
        <v>7</v>
      </c>
      <c r="I697" s="27" t="s">
        <v>8</v>
      </c>
      <c r="J697" s="27" t="s">
        <v>7</v>
      </c>
      <c r="K697" s="27" t="s">
        <v>8</v>
      </c>
      <c r="L697" s="27" t="s">
        <v>7</v>
      </c>
      <c r="AU697" s="27" t="s">
        <v>8</v>
      </c>
      <c r="AV697" s="27" t="s">
        <v>7</v>
      </c>
      <c r="AW697" s="27" t="s">
        <v>8</v>
      </c>
      <c r="DX697" s="27" t="s">
        <v>7</v>
      </c>
      <c r="DY697" s="27" t="s">
        <v>8</v>
      </c>
      <c r="DZ697" s="27" t="s">
        <v>7</v>
      </c>
      <c r="EA697" s="27" t="s">
        <v>8</v>
      </c>
      <c r="EC697" s="27" t="s">
        <v>8</v>
      </c>
      <c r="ED697" s="27" t="s">
        <v>7</v>
      </c>
      <c r="EE697" s="27" t="s">
        <v>8</v>
      </c>
      <c r="EN697" s="27" t="s">
        <v>7</v>
      </c>
      <c r="EP697" s="27" t="s">
        <v>7</v>
      </c>
      <c r="EQ697" s="27" t="s">
        <v>8</v>
      </c>
    </row>
    <row r="698" spans="1:151" x14ac:dyDescent="0.25">
      <c r="A698" s="7">
        <v>0.11101481369352331</v>
      </c>
      <c r="B698"/>
      <c r="C698"/>
      <c r="D698"/>
      <c r="E698"/>
      <c r="F698" s="27" t="s">
        <v>7</v>
      </c>
      <c r="I698" s="27" t="s">
        <v>8</v>
      </c>
      <c r="J698" s="27" t="s">
        <v>7</v>
      </c>
      <c r="K698" s="27" t="s">
        <v>8</v>
      </c>
      <c r="L698" s="27" t="s">
        <v>7</v>
      </c>
      <c r="AU698" s="27" t="s">
        <v>8</v>
      </c>
      <c r="AV698" s="27" t="s">
        <v>7</v>
      </c>
      <c r="AW698" s="27" t="s">
        <v>8</v>
      </c>
      <c r="DX698" s="27" t="s">
        <v>7</v>
      </c>
      <c r="DY698" s="27" t="s">
        <v>8</v>
      </c>
      <c r="DZ698" s="27" t="s">
        <v>7</v>
      </c>
      <c r="EA698" s="27" t="s">
        <v>8</v>
      </c>
      <c r="EB698" s="27" t="s">
        <v>7</v>
      </c>
      <c r="EC698" s="27" t="s">
        <v>8</v>
      </c>
      <c r="ED698" s="27" t="s">
        <v>7</v>
      </c>
      <c r="EE698" s="27" t="s">
        <v>8</v>
      </c>
      <c r="EP698" s="27" t="s">
        <v>7</v>
      </c>
      <c r="EQ698" s="27" t="s">
        <v>8</v>
      </c>
    </row>
    <row r="699" spans="1:151" x14ac:dyDescent="0.25">
      <c r="A699" s="7">
        <v>0.10883805264070913</v>
      </c>
      <c r="B699"/>
      <c r="C699"/>
      <c r="D699"/>
      <c r="E699"/>
      <c r="F699" s="27" t="s">
        <v>7</v>
      </c>
      <c r="I699" s="27" t="s">
        <v>8</v>
      </c>
      <c r="J699" s="27" t="s">
        <v>7</v>
      </c>
      <c r="K699" s="27" t="s">
        <v>8</v>
      </c>
      <c r="L699" s="27" t="s">
        <v>7</v>
      </c>
      <c r="AO699" s="27" t="s">
        <v>8</v>
      </c>
      <c r="AS699" s="27" t="s">
        <v>8</v>
      </c>
      <c r="AU699" s="27" t="s">
        <v>8</v>
      </c>
      <c r="AV699" s="27" t="s">
        <v>7</v>
      </c>
      <c r="AW699" s="27" t="s">
        <v>8</v>
      </c>
      <c r="DX699" s="27" t="s">
        <v>7</v>
      </c>
      <c r="DY699" s="27" t="s">
        <v>8</v>
      </c>
      <c r="DZ699" s="27" t="s">
        <v>7</v>
      </c>
      <c r="EA699" s="27" t="s">
        <v>8</v>
      </c>
      <c r="EB699" s="27" t="s">
        <v>7</v>
      </c>
      <c r="EC699" s="27" t="s">
        <v>8</v>
      </c>
      <c r="ED699" s="27" t="s">
        <v>7</v>
      </c>
      <c r="EE699" s="27" t="s">
        <v>8</v>
      </c>
      <c r="EP699" s="27" t="s">
        <v>7</v>
      </c>
      <c r="EQ699" s="27" t="s">
        <v>8</v>
      </c>
    </row>
    <row r="700" spans="1:151" x14ac:dyDescent="0.25">
      <c r="A700" s="7">
        <v>0.10670397317716582</v>
      </c>
      <c r="B700"/>
      <c r="C700"/>
      <c r="D700"/>
      <c r="E700"/>
      <c r="F700" s="27" t="s">
        <v>7</v>
      </c>
      <c r="I700" s="27" t="s">
        <v>8</v>
      </c>
      <c r="J700" s="27" t="s">
        <v>7</v>
      </c>
      <c r="K700" s="27" t="s">
        <v>8</v>
      </c>
      <c r="L700" s="27" t="s">
        <v>7</v>
      </c>
      <c r="AO700" s="27" t="s">
        <v>8</v>
      </c>
      <c r="AP700" s="27" t="s">
        <v>7</v>
      </c>
      <c r="AS700" s="27" t="s">
        <v>8</v>
      </c>
      <c r="AT700" s="27" t="s">
        <v>7</v>
      </c>
      <c r="AU700" s="27" t="s">
        <v>8</v>
      </c>
      <c r="AV700" s="27" t="s">
        <v>7</v>
      </c>
      <c r="DX700" s="27" t="s">
        <v>7</v>
      </c>
      <c r="DY700" s="27" t="s">
        <v>8</v>
      </c>
      <c r="DZ700" s="27" t="s">
        <v>7</v>
      </c>
      <c r="EA700" s="27" t="s">
        <v>8</v>
      </c>
      <c r="EB700" s="27" t="s">
        <v>7</v>
      </c>
      <c r="EC700" s="27" t="s">
        <v>8</v>
      </c>
      <c r="ED700" s="27" t="s">
        <v>7</v>
      </c>
      <c r="EE700" s="27" t="s">
        <v>8</v>
      </c>
      <c r="EP700" s="27" t="s">
        <v>7</v>
      </c>
      <c r="EQ700" s="27" t="s">
        <v>8</v>
      </c>
    </row>
    <row r="701" spans="1:151" x14ac:dyDescent="0.25">
      <c r="A701" s="7">
        <v>0.1046117384089861</v>
      </c>
      <c r="B701"/>
      <c r="C701"/>
      <c r="D701"/>
      <c r="E701"/>
      <c r="F701" s="27" t="s">
        <v>7</v>
      </c>
      <c r="I701" s="27" t="s">
        <v>8</v>
      </c>
      <c r="J701" s="27" t="s">
        <v>7</v>
      </c>
      <c r="K701" s="27" t="s">
        <v>8</v>
      </c>
      <c r="L701" s="27" t="s">
        <v>7</v>
      </c>
      <c r="AO701" s="27" t="s">
        <v>8</v>
      </c>
      <c r="AP701" s="27" t="s">
        <v>7</v>
      </c>
      <c r="AS701" s="27" t="s">
        <v>8</v>
      </c>
      <c r="AT701" s="27" t="s">
        <v>7</v>
      </c>
      <c r="AU701" s="27" t="s">
        <v>8</v>
      </c>
      <c r="DX701" s="27" t="s">
        <v>7</v>
      </c>
      <c r="DY701" s="27" t="s">
        <v>8</v>
      </c>
      <c r="DZ701" s="27" t="s">
        <v>7</v>
      </c>
      <c r="EA701" s="27" t="s">
        <v>8</v>
      </c>
      <c r="EB701" s="27" t="s">
        <v>7</v>
      </c>
      <c r="EC701" s="27" t="s">
        <v>8</v>
      </c>
      <c r="ED701" s="27" t="s">
        <v>7</v>
      </c>
      <c r="EE701" s="27" t="s">
        <v>8</v>
      </c>
      <c r="EP701" s="27" t="s">
        <v>7</v>
      </c>
      <c r="EQ701" s="27" t="s">
        <v>8</v>
      </c>
    </row>
    <row r="702" spans="1:151" x14ac:dyDescent="0.25">
      <c r="A702" s="7">
        <v>0.10256052785194716</v>
      </c>
      <c r="B702"/>
      <c r="C702"/>
      <c r="D702"/>
      <c r="E702"/>
      <c r="F702" s="27" t="s">
        <v>7</v>
      </c>
      <c r="I702" s="27" t="s">
        <v>8</v>
      </c>
      <c r="J702" s="27" t="s">
        <v>7</v>
      </c>
      <c r="K702" s="27" t="s">
        <v>8</v>
      </c>
      <c r="L702" s="27" t="s">
        <v>7</v>
      </c>
      <c r="AO702" s="27" t="s">
        <v>8</v>
      </c>
      <c r="AP702" s="27" t="s">
        <v>7</v>
      </c>
      <c r="AS702" s="27" t="s">
        <v>8</v>
      </c>
      <c r="AT702" s="27" t="s">
        <v>7</v>
      </c>
      <c r="AU702" s="27" t="s">
        <v>8</v>
      </c>
      <c r="DX702" s="27" t="s">
        <v>7</v>
      </c>
      <c r="DY702" s="27" t="s">
        <v>8</v>
      </c>
      <c r="DZ702" s="27" t="s">
        <v>7</v>
      </c>
      <c r="EB702" s="27" t="s">
        <v>7</v>
      </c>
      <c r="ED702" s="27" t="s">
        <v>7</v>
      </c>
      <c r="EP702" s="18" t="s">
        <v>7</v>
      </c>
      <c r="EQ702" s="27" t="s">
        <v>8</v>
      </c>
    </row>
    <row r="703" spans="1:151" x14ac:dyDescent="0.25">
      <c r="A703" s="7">
        <v>0.10054953710975212</v>
      </c>
      <c r="B703"/>
      <c r="C703"/>
      <c r="D703"/>
      <c r="E703"/>
      <c r="F703" s="27" t="s">
        <v>7</v>
      </c>
      <c r="I703" s="27" t="s">
        <v>8</v>
      </c>
      <c r="J703" s="27" t="s">
        <v>7</v>
      </c>
      <c r="K703" s="27" t="s">
        <v>8</v>
      </c>
      <c r="L703" s="27" t="s">
        <v>7</v>
      </c>
      <c r="AO703" s="27" t="s">
        <v>8</v>
      </c>
      <c r="AP703" s="27" t="s">
        <v>7</v>
      </c>
      <c r="AQ703" s="27" t="s">
        <v>8</v>
      </c>
      <c r="AS703" s="27" t="s">
        <v>8</v>
      </c>
      <c r="AT703" s="27" t="s">
        <v>7</v>
      </c>
      <c r="AU703" s="27" t="s">
        <v>8</v>
      </c>
      <c r="DX703" s="27" t="s">
        <v>7</v>
      </c>
      <c r="DY703" s="27" t="s">
        <v>8</v>
      </c>
      <c r="EP703" s="27" t="s">
        <v>7</v>
      </c>
    </row>
    <row r="704" spans="1:151" x14ac:dyDescent="0.25">
      <c r="A704" s="7">
        <v>9.8577977558580512E-2</v>
      </c>
      <c r="B704"/>
      <c r="C704"/>
      <c r="D704"/>
      <c r="E704"/>
      <c r="F704" s="27" t="s">
        <v>7</v>
      </c>
      <c r="I704" s="27" t="s">
        <v>8</v>
      </c>
      <c r="J704" s="27" t="s">
        <v>7</v>
      </c>
      <c r="K704" s="27" t="s">
        <v>8</v>
      </c>
      <c r="L704" s="27" t="s">
        <v>7</v>
      </c>
      <c r="AM704" s="27" t="s">
        <v>8</v>
      </c>
      <c r="AO704" s="27" t="s">
        <v>8</v>
      </c>
      <c r="AP704" s="27" t="s">
        <v>7</v>
      </c>
      <c r="AQ704" s="27" t="s">
        <v>8</v>
      </c>
      <c r="AR704" s="27" t="s">
        <v>7</v>
      </c>
      <c r="AS704" s="27" t="s">
        <v>8</v>
      </c>
      <c r="AT704" s="27" t="s">
        <v>7</v>
      </c>
      <c r="DX704" s="27" t="s">
        <v>7</v>
      </c>
    </row>
    <row r="705" spans="1:45" x14ac:dyDescent="0.25">
      <c r="A705" s="7">
        <v>9.6645076037824032E-2</v>
      </c>
      <c r="B705"/>
      <c r="C705"/>
      <c r="D705"/>
      <c r="E705"/>
      <c r="F705" s="27" t="s">
        <v>7</v>
      </c>
      <c r="I705" s="27" t="s">
        <v>8</v>
      </c>
      <c r="J705" s="27" t="s">
        <v>7</v>
      </c>
      <c r="K705" s="27" t="s">
        <v>8</v>
      </c>
      <c r="L705" s="27" t="s">
        <v>7</v>
      </c>
      <c r="AM705" s="27" t="s">
        <v>8</v>
      </c>
      <c r="AN705" s="27" t="s">
        <v>7</v>
      </c>
      <c r="AO705" s="27" t="s">
        <v>8</v>
      </c>
      <c r="AP705" s="27" t="s">
        <v>7</v>
      </c>
      <c r="AQ705" s="27" t="s">
        <v>8</v>
      </c>
      <c r="AR705" s="27" t="s">
        <v>7</v>
      </c>
      <c r="AS705" s="27" t="s">
        <v>8</v>
      </c>
    </row>
    <row r="706" spans="1:45" x14ac:dyDescent="0.25">
      <c r="A706" s="7">
        <v>9.4750074546886304E-2</v>
      </c>
      <c r="B706"/>
      <c r="C706"/>
      <c r="D706"/>
      <c r="E706"/>
      <c r="F706" s="27" t="s">
        <v>7</v>
      </c>
      <c r="G706" s="27" t="s">
        <v>8</v>
      </c>
      <c r="I706" s="27" t="s">
        <v>8</v>
      </c>
      <c r="J706" s="27" t="s">
        <v>7</v>
      </c>
      <c r="K706" s="27" t="s">
        <v>8</v>
      </c>
      <c r="L706" s="27" t="s">
        <v>7</v>
      </c>
      <c r="AK706" s="27" t="s">
        <v>8</v>
      </c>
      <c r="AM706" s="27" t="s">
        <v>8</v>
      </c>
      <c r="AN706" s="27" t="s">
        <v>7</v>
      </c>
      <c r="AO706" s="27" t="s">
        <v>8</v>
      </c>
      <c r="AP706" s="27" t="s">
        <v>7</v>
      </c>
      <c r="AR706" s="27" t="s">
        <v>7</v>
      </c>
      <c r="AS706" s="27" t="s">
        <v>8</v>
      </c>
    </row>
    <row r="707" spans="1:45" x14ac:dyDescent="0.25">
      <c r="A707" s="7">
        <v>9.2892229947927743E-2</v>
      </c>
      <c r="B707"/>
      <c r="C707"/>
      <c r="D707"/>
      <c r="E707"/>
      <c r="F707" s="27" t="s">
        <v>7</v>
      </c>
      <c r="G707" s="27" t="s">
        <v>8</v>
      </c>
      <c r="H707" s="27" t="s">
        <v>7</v>
      </c>
      <c r="I707" s="27" t="s">
        <v>8</v>
      </c>
      <c r="J707" s="27" t="s">
        <v>7</v>
      </c>
      <c r="K707" s="27" t="s">
        <v>8</v>
      </c>
      <c r="L707" s="27" t="s">
        <v>7</v>
      </c>
      <c r="AK707" s="27" t="s">
        <v>8</v>
      </c>
      <c r="AL707" s="27" t="s">
        <v>7</v>
      </c>
      <c r="AM707" s="27" t="s">
        <v>8</v>
      </c>
      <c r="AN707" s="27" t="s">
        <v>7</v>
      </c>
      <c r="AO707" s="27" t="s">
        <v>8</v>
      </c>
      <c r="AR707" s="27" t="s">
        <v>7</v>
      </c>
      <c r="AS707" s="27" t="s">
        <v>8</v>
      </c>
    </row>
    <row r="708" spans="1:45" x14ac:dyDescent="0.25">
      <c r="A708" s="7">
        <v>9.1070813674438963E-2</v>
      </c>
      <c r="B708"/>
      <c r="C708"/>
      <c r="D708"/>
      <c r="E708"/>
      <c r="F708" s="27" t="s">
        <v>7</v>
      </c>
      <c r="G708" s="27" t="s">
        <v>8</v>
      </c>
      <c r="H708" s="27" t="s">
        <v>7</v>
      </c>
      <c r="I708" s="27" t="s">
        <v>8</v>
      </c>
      <c r="J708" s="27" t="s">
        <v>7</v>
      </c>
      <c r="K708" s="27" t="s">
        <v>8</v>
      </c>
      <c r="L708" s="27" t="s">
        <v>7</v>
      </c>
      <c r="AK708" s="27" t="s">
        <v>8</v>
      </c>
      <c r="AL708" s="27" t="s">
        <v>7</v>
      </c>
      <c r="AM708" s="27" t="s">
        <v>8</v>
      </c>
      <c r="AN708" s="27" t="s">
        <v>7</v>
      </c>
      <c r="AO708" s="27" t="s">
        <v>8</v>
      </c>
      <c r="AR708" s="27" t="s">
        <v>7</v>
      </c>
    </row>
    <row r="709" spans="1:45" x14ac:dyDescent="0.25">
      <c r="A709" s="7">
        <v>8.9285111445528392E-2</v>
      </c>
      <c r="B709"/>
      <c r="C709"/>
      <c r="D709"/>
      <c r="E709"/>
      <c r="F709" s="27" t="s">
        <v>7</v>
      </c>
      <c r="G709" s="27" t="s">
        <v>8</v>
      </c>
      <c r="H709" s="27" t="s">
        <v>7</v>
      </c>
      <c r="I709" s="27" t="s">
        <v>8</v>
      </c>
      <c r="J709" s="27" t="s">
        <v>7</v>
      </c>
      <c r="K709" s="27" t="s">
        <v>8</v>
      </c>
      <c r="L709" s="27" t="s">
        <v>7</v>
      </c>
      <c r="AC709" s="27" t="s">
        <v>8</v>
      </c>
      <c r="AK709" s="27" t="s">
        <v>8</v>
      </c>
      <c r="AL709" s="27" t="s">
        <v>7</v>
      </c>
      <c r="AM709" s="27" t="s">
        <v>8</v>
      </c>
      <c r="AN709" s="27" t="s">
        <v>7</v>
      </c>
      <c r="AO709" s="27" t="s">
        <v>8</v>
      </c>
    </row>
    <row r="710" spans="1:45" x14ac:dyDescent="0.25">
      <c r="A710" s="7">
        <v>8.7534422985812155E-2</v>
      </c>
      <c r="B710"/>
      <c r="C710"/>
      <c r="D710"/>
      <c r="E710"/>
      <c r="F710" s="27" t="s">
        <v>7</v>
      </c>
      <c r="G710" s="27" t="s">
        <v>8</v>
      </c>
      <c r="H710" s="27" t="s">
        <v>7</v>
      </c>
      <c r="I710" s="27" t="s">
        <v>8</v>
      </c>
      <c r="J710" s="27" t="s">
        <v>7</v>
      </c>
      <c r="K710" s="27" t="s">
        <v>8</v>
      </c>
      <c r="L710" s="27" t="s">
        <v>7</v>
      </c>
      <c r="AC710" s="27" t="s">
        <v>8</v>
      </c>
      <c r="AD710" s="27" t="s">
        <v>7</v>
      </c>
      <c r="AE710" s="27" t="s">
        <v>8</v>
      </c>
      <c r="AK710" s="27" t="s">
        <v>8</v>
      </c>
      <c r="AL710" s="27" t="s">
        <v>7</v>
      </c>
      <c r="AM710" s="27" t="s">
        <v>8</v>
      </c>
      <c r="AN710" s="27" t="s">
        <v>7</v>
      </c>
      <c r="AO710" s="27" t="s">
        <v>8</v>
      </c>
    </row>
    <row r="711" spans="1:45" x14ac:dyDescent="0.25">
      <c r="A711" s="7">
        <v>8.5818061750796232E-2</v>
      </c>
      <c r="B711"/>
      <c r="C711"/>
      <c r="D711"/>
      <c r="E711"/>
      <c r="F711" s="27" t="s">
        <v>7</v>
      </c>
      <c r="G711" s="27" t="s">
        <v>8</v>
      </c>
      <c r="H711" s="27" t="s">
        <v>7</v>
      </c>
      <c r="I711" s="27" t="s">
        <v>8</v>
      </c>
      <c r="J711" s="27" t="s">
        <v>7</v>
      </c>
      <c r="K711" s="27" t="s">
        <v>8</v>
      </c>
      <c r="L711" s="27" t="s">
        <v>7</v>
      </c>
      <c r="AC711" s="27" t="s">
        <v>8</v>
      </c>
      <c r="AD711" s="27" t="s">
        <v>7</v>
      </c>
      <c r="AE711" s="27" t="s">
        <v>8</v>
      </c>
      <c r="AF711" s="27" t="s">
        <v>7</v>
      </c>
      <c r="AI711" s="27" t="s">
        <v>8</v>
      </c>
      <c r="AK711" s="27" t="s">
        <v>8</v>
      </c>
      <c r="AL711" s="27" t="s">
        <v>7</v>
      </c>
      <c r="AM711" s="27" t="s">
        <v>8</v>
      </c>
      <c r="AN711" s="27" t="s">
        <v>7</v>
      </c>
      <c r="AO711" s="27" t="s">
        <v>8</v>
      </c>
    </row>
    <row r="712" spans="1:45" x14ac:dyDescent="0.25">
      <c r="A712" s="7">
        <v>8.4135354657643366E-2</v>
      </c>
      <c r="B712"/>
      <c r="C712"/>
      <c r="D712"/>
      <c r="E712"/>
      <c r="F712" s="27" t="s">
        <v>7</v>
      </c>
      <c r="G712" s="27" t="s">
        <v>8</v>
      </c>
      <c r="H712" s="27" t="s">
        <v>7</v>
      </c>
      <c r="I712" s="27" t="s">
        <v>8</v>
      </c>
      <c r="J712" s="27" t="s">
        <v>7</v>
      </c>
      <c r="K712" s="27" t="s">
        <v>8</v>
      </c>
      <c r="L712" s="27" t="s">
        <v>7</v>
      </c>
      <c r="AC712" s="27" t="s">
        <v>8</v>
      </c>
      <c r="AD712" s="27" t="s">
        <v>7</v>
      </c>
      <c r="AE712" s="27" t="s">
        <v>8</v>
      </c>
      <c r="AF712" s="27" t="s">
        <v>7</v>
      </c>
      <c r="AG712" s="27" t="s">
        <v>8</v>
      </c>
      <c r="AI712" s="27" t="s">
        <v>8</v>
      </c>
      <c r="AJ712" s="27" t="s">
        <v>7</v>
      </c>
      <c r="AK712" s="27" t="s">
        <v>8</v>
      </c>
      <c r="AL712" s="27" t="s">
        <v>7</v>
      </c>
      <c r="AM712" s="27" t="s">
        <v>8</v>
      </c>
      <c r="AN712" s="27" t="s">
        <v>7</v>
      </c>
      <c r="AO712" s="27" t="s">
        <v>8</v>
      </c>
    </row>
    <row r="713" spans="1:45" x14ac:dyDescent="0.25">
      <c r="A713" s="7">
        <v>8.248564182121898E-2</v>
      </c>
      <c r="B713"/>
      <c r="C713"/>
      <c r="D713"/>
      <c r="E713"/>
      <c r="F713" s="27" t="s">
        <v>7</v>
      </c>
      <c r="G713" s="27" t="s">
        <v>8</v>
      </c>
      <c r="H713" s="27" t="s">
        <v>7</v>
      </c>
      <c r="I713" s="27" t="s">
        <v>8</v>
      </c>
      <c r="J713" s="27" t="s">
        <v>7</v>
      </c>
      <c r="L713" s="27" t="s">
        <v>7</v>
      </c>
      <c r="AC713" s="27" t="s">
        <v>8</v>
      </c>
      <c r="AD713" s="27" t="s">
        <v>7</v>
      </c>
      <c r="AE713" s="27" t="s">
        <v>8</v>
      </c>
      <c r="AF713" s="27" t="s">
        <v>7</v>
      </c>
      <c r="AG713" s="27" t="s">
        <v>8</v>
      </c>
      <c r="AH713" s="27" t="s">
        <v>7</v>
      </c>
      <c r="AI713" s="27" t="s">
        <v>8</v>
      </c>
      <c r="AJ713" s="27" t="s">
        <v>7</v>
      </c>
      <c r="AK713" s="27" t="s">
        <v>8</v>
      </c>
      <c r="AL713" s="27" t="s">
        <v>7</v>
      </c>
      <c r="AN713" s="27" t="s">
        <v>7</v>
      </c>
      <c r="AO713" s="27" t="s">
        <v>8</v>
      </c>
    </row>
    <row r="714" spans="1:45" x14ac:dyDescent="0.25">
      <c r="A714" s="7">
        <v>8.0868276295312735E-2</v>
      </c>
      <c r="B714"/>
      <c r="C714"/>
      <c r="D714"/>
      <c r="E714"/>
      <c r="F714" s="27" t="s">
        <v>7</v>
      </c>
      <c r="G714" s="27" t="s">
        <v>8</v>
      </c>
      <c r="H714" s="27" t="s">
        <v>7</v>
      </c>
      <c r="I714" s="27" t="s">
        <v>8</v>
      </c>
      <c r="L714" s="27" t="s">
        <v>7</v>
      </c>
      <c r="AC714" s="27" t="s">
        <v>8</v>
      </c>
      <c r="AD714" s="27" t="s">
        <v>7</v>
      </c>
      <c r="AE714" s="27" t="s">
        <v>8</v>
      </c>
      <c r="AF714" s="27" t="s">
        <v>7</v>
      </c>
      <c r="AG714" s="27" t="s">
        <v>8</v>
      </c>
      <c r="AH714" s="27" t="s">
        <v>7</v>
      </c>
      <c r="AI714" s="27" t="s">
        <v>8</v>
      </c>
      <c r="AJ714" s="27" t="s">
        <v>7</v>
      </c>
      <c r="AK714" s="27" t="s">
        <v>8</v>
      </c>
      <c r="AN714" s="27" t="s">
        <v>7</v>
      </c>
    </row>
    <row r="715" spans="1:45" x14ac:dyDescent="0.25">
      <c r="A715" s="7">
        <v>7.9282623818934056E-2</v>
      </c>
      <c r="B715"/>
      <c r="C715"/>
      <c r="D715"/>
      <c r="E715"/>
      <c r="F715" s="27" t="s">
        <v>7</v>
      </c>
      <c r="G715" s="27" t="s">
        <v>8</v>
      </c>
      <c r="H715" s="27" t="s">
        <v>7</v>
      </c>
      <c r="I715" s="27" t="s">
        <v>8</v>
      </c>
      <c r="L715" s="27" t="s">
        <v>7</v>
      </c>
      <c r="AC715" s="27" t="s">
        <v>8</v>
      </c>
      <c r="AD715" s="27" t="s">
        <v>7</v>
      </c>
      <c r="AE715" s="27" t="s">
        <v>8</v>
      </c>
      <c r="AF715" s="27" t="s">
        <v>7</v>
      </c>
      <c r="AG715" s="27" t="s">
        <v>8</v>
      </c>
      <c r="AH715" s="27" t="s">
        <v>7</v>
      </c>
      <c r="AI715" s="27" t="s">
        <v>8</v>
      </c>
      <c r="AJ715" s="27" t="s">
        <v>7</v>
      </c>
      <c r="AK715" s="27" t="s">
        <v>8</v>
      </c>
    </row>
    <row r="716" spans="1:45" x14ac:dyDescent="0.25">
      <c r="A716" s="7">
        <v>7.7728062567582412E-2</v>
      </c>
      <c r="B716"/>
      <c r="C716"/>
      <c r="D716"/>
      <c r="E716"/>
      <c r="F716" s="27" t="s">
        <v>7</v>
      </c>
      <c r="G716" s="27" t="s">
        <v>8</v>
      </c>
      <c r="H716" s="27" t="s">
        <v>7</v>
      </c>
      <c r="I716" s="27" t="s">
        <v>8</v>
      </c>
      <c r="L716" s="27" t="s">
        <v>7</v>
      </c>
      <c r="AA716" s="27" t="s">
        <v>8</v>
      </c>
      <c r="AC716" s="27" t="s">
        <v>8</v>
      </c>
      <c r="AD716" s="27" t="s">
        <v>7</v>
      </c>
      <c r="AE716" s="27" t="s">
        <v>8</v>
      </c>
      <c r="AF716" s="27" t="s">
        <v>7</v>
      </c>
      <c r="AG716" s="27" t="s">
        <v>8</v>
      </c>
      <c r="AH716" s="27" t="s">
        <v>7</v>
      </c>
      <c r="AI716" s="27" t="s">
        <v>8</v>
      </c>
      <c r="AJ716" s="27" t="s">
        <v>7</v>
      </c>
      <c r="AK716" s="27" t="s">
        <v>8</v>
      </c>
    </row>
    <row r="717" spans="1:45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H717" s="27" t="s">
        <v>7</v>
      </c>
      <c r="I717" s="27" t="s">
        <v>8</v>
      </c>
      <c r="L717" s="27" t="s">
        <v>7</v>
      </c>
      <c r="M717" s="27" t="s">
        <v>8</v>
      </c>
      <c r="AA717" s="27" t="s">
        <v>8</v>
      </c>
      <c r="AB717" s="27" t="s">
        <v>7</v>
      </c>
      <c r="AC717" s="27" t="s">
        <v>8</v>
      </c>
      <c r="AD717" s="27" t="s">
        <v>7</v>
      </c>
      <c r="AE717" s="27" t="s">
        <v>8</v>
      </c>
      <c r="AF717" s="27" t="s">
        <v>7</v>
      </c>
      <c r="AG717" s="27" t="s">
        <v>8</v>
      </c>
      <c r="AH717" s="27" t="s">
        <v>7</v>
      </c>
      <c r="AJ717" s="27" t="s">
        <v>7</v>
      </c>
    </row>
    <row r="718" spans="1:45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H718" s="27" t="s">
        <v>7</v>
      </c>
      <c r="I718" s="27" t="s">
        <v>8</v>
      </c>
      <c r="L718" s="27" t="s">
        <v>7</v>
      </c>
      <c r="M718" s="27" t="s">
        <v>8</v>
      </c>
      <c r="N718" s="27" t="s">
        <v>7</v>
      </c>
      <c r="AA718" s="27" t="s">
        <v>8</v>
      </c>
      <c r="AB718" s="27" t="s">
        <v>7</v>
      </c>
      <c r="AC718" s="27" t="s">
        <v>8</v>
      </c>
      <c r="AD718" s="27" t="s">
        <v>7</v>
      </c>
      <c r="AE718" s="27" t="s">
        <v>8</v>
      </c>
      <c r="AF718" s="27" t="s">
        <v>7</v>
      </c>
      <c r="AG718" s="27" t="s">
        <v>8</v>
      </c>
    </row>
    <row r="719" spans="1:45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H719" s="27" t="s">
        <v>7</v>
      </c>
      <c r="I719" s="27" t="s">
        <v>8</v>
      </c>
      <c r="L719" s="27" t="s">
        <v>7</v>
      </c>
      <c r="M719" s="27" t="s">
        <v>8</v>
      </c>
      <c r="N719" s="27" t="s">
        <v>7</v>
      </c>
      <c r="AA719" s="27" t="s">
        <v>8</v>
      </c>
      <c r="AB719" s="27" t="s">
        <v>7</v>
      </c>
      <c r="AC719" s="27" t="s">
        <v>8</v>
      </c>
      <c r="AD719" s="27" t="s">
        <v>7</v>
      </c>
      <c r="AF719" s="27" t="s">
        <v>7</v>
      </c>
      <c r="AG719" s="27" t="s">
        <v>8</v>
      </c>
    </row>
    <row r="720" spans="1:45" x14ac:dyDescent="0.25">
      <c r="A720" s="7">
        <v>7.1808715076963722E-2</v>
      </c>
      <c r="B720"/>
      <c r="C720"/>
      <c r="D720"/>
      <c r="E720"/>
      <c r="F720" s="27" t="s">
        <v>7</v>
      </c>
      <c r="G720" s="27" t="s">
        <v>8</v>
      </c>
      <c r="H720" s="27" t="s">
        <v>7</v>
      </c>
      <c r="L720" s="27" t="s">
        <v>7</v>
      </c>
      <c r="M720" s="27" t="s">
        <v>8</v>
      </c>
      <c r="N720" s="27" t="s">
        <v>7</v>
      </c>
      <c r="Q720" s="27" t="s">
        <v>8</v>
      </c>
      <c r="AA720" s="27" t="s">
        <v>8</v>
      </c>
      <c r="AB720" s="27" t="s">
        <v>7</v>
      </c>
      <c r="AC720" s="27" t="s">
        <v>8</v>
      </c>
      <c r="AF720" s="27" t="s">
        <v>7</v>
      </c>
      <c r="AG720" s="27" t="s">
        <v>8</v>
      </c>
    </row>
    <row r="721" spans="1:33" x14ac:dyDescent="0.25">
      <c r="A721" s="7">
        <v>7.0400701055846782E-2</v>
      </c>
      <c r="B721"/>
      <c r="C721"/>
      <c r="D721"/>
      <c r="E721"/>
      <c r="F721" s="27" t="s">
        <v>7</v>
      </c>
      <c r="G721" s="27" t="s">
        <v>8</v>
      </c>
      <c r="L721" s="27" t="s">
        <v>7</v>
      </c>
      <c r="M721" s="27" t="s">
        <v>8</v>
      </c>
      <c r="N721" s="27" t="s">
        <v>7</v>
      </c>
      <c r="Q721" s="27" t="s">
        <v>8</v>
      </c>
      <c r="R721" s="27" t="s">
        <v>7</v>
      </c>
      <c r="U721" s="27" t="s">
        <v>8</v>
      </c>
      <c r="AA721" s="27" t="s">
        <v>8</v>
      </c>
      <c r="AB721" s="27" t="s">
        <v>7</v>
      </c>
      <c r="AC721" s="27" t="s">
        <v>8</v>
      </c>
      <c r="AF721" s="27" t="s">
        <v>7</v>
      </c>
      <c r="AG721" s="27" t="s">
        <v>8</v>
      </c>
    </row>
    <row r="722" spans="1:33" x14ac:dyDescent="0.25">
      <c r="A722" s="7">
        <v>6.9020295152790956E-2</v>
      </c>
      <c r="B722"/>
      <c r="C722"/>
      <c r="D722"/>
      <c r="E722"/>
      <c r="F722" s="27" t="s">
        <v>7</v>
      </c>
      <c r="L722" s="27" t="s">
        <v>7</v>
      </c>
      <c r="M722" s="27" t="s">
        <v>8</v>
      </c>
      <c r="N722" s="27" t="s">
        <v>7</v>
      </c>
      <c r="O722" s="27" t="s">
        <v>8</v>
      </c>
      <c r="Q722" s="27" t="s">
        <v>8</v>
      </c>
      <c r="R722" s="27" t="s">
        <v>7</v>
      </c>
      <c r="U722" s="27" t="s">
        <v>8</v>
      </c>
      <c r="V722" s="27" t="s">
        <v>7</v>
      </c>
      <c r="AA722" s="27" t="s">
        <v>8</v>
      </c>
      <c r="AB722" s="27" t="s">
        <v>7</v>
      </c>
      <c r="AC722" s="27" t="s">
        <v>8</v>
      </c>
      <c r="AF722" s="27" t="s">
        <v>7</v>
      </c>
      <c r="AG722" s="27" t="s">
        <v>8</v>
      </c>
    </row>
    <row r="723" spans="1:33" x14ac:dyDescent="0.25">
      <c r="A723" s="7">
        <v>6.7666956032147993E-2</v>
      </c>
      <c r="B723"/>
      <c r="C723"/>
      <c r="D723"/>
      <c r="E723"/>
      <c r="L723" s="27" t="s">
        <v>7</v>
      </c>
      <c r="M723" s="27" t="s">
        <v>8</v>
      </c>
      <c r="N723" s="27" t="s">
        <v>7</v>
      </c>
      <c r="O723" s="27" t="s">
        <v>8</v>
      </c>
      <c r="P723" s="27" t="s">
        <v>7</v>
      </c>
      <c r="Q723" s="27" t="s">
        <v>8</v>
      </c>
      <c r="R723" s="27" t="s">
        <v>7</v>
      </c>
      <c r="S723" s="27" t="s">
        <v>8</v>
      </c>
      <c r="U723" s="27" t="s">
        <v>8</v>
      </c>
      <c r="V723" s="27" t="s">
        <v>7</v>
      </c>
      <c r="Y723" s="27" t="s">
        <v>8</v>
      </c>
      <c r="AA723" s="27" t="s">
        <v>8</v>
      </c>
      <c r="AB723" s="27" t="s">
        <v>7</v>
      </c>
      <c r="AC723" s="27" t="s">
        <v>8</v>
      </c>
      <c r="AF723" s="27" t="s">
        <v>7</v>
      </c>
      <c r="AG723" s="27" t="s">
        <v>8</v>
      </c>
    </row>
    <row r="724" spans="1:33" x14ac:dyDescent="0.25">
      <c r="A724" s="7">
        <v>6.6340152972694105E-2</v>
      </c>
      <c r="B724"/>
      <c r="C724"/>
      <c r="D724"/>
      <c r="E724"/>
      <c r="L724" s="27" t="s">
        <v>7</v>
      </c>
      <c r="N724" s="27" t="s">
        <v>7</v>
      </c>
      <c r="O724" s="27" t="s">
        <v>8</v>
      </c>
      <c r="P724" s="27" t="s">
        <v>7</v>
      </c>
      <c r="Q724" s="27" t="s">
        <v>8</v>
      </c>
      <c r="R724" s="27" t="s">
        <v>7</v>
      </c>
      <c r="S724" s="27" t="s">
        <v>8</v>
      </c>
      <c r="T724" s="27" t="s">
        <v>7</v>
      </c>
      <c r="U724" s="27" t="s">
        <v>8</v>
      </c>
      <c r="V724" s="27" t="s">
        <v>7</v>
      </c>
      <c r="Y724" s="27" t="s">
        <v>8</v>
      </c>
      <c r="Z724" s="27" t="s">
        <v>7</v>
      </c>
      <c r="AA724" s="27" t="s">
        <v>8</v>
      </c>
      <c r="AB724" s="27" t="s">
        <v>7</v>
      </c>
      <c r="AC724" s="27" t="s">
        <v>8</v>
      </c>
      <c r="AF724" s="27" t="s">
        <v>7</v>
      </c>
      <c r="AG724" s="27" t="s">
        <v>8</v>
      </c>
    </row>
    <row r="725" spans="1:33" x14ac:dyDescent="0.25">
      <c r="A725" s="7">
        <v>6.5039365659504023E-2</v>
      </c>
      <c r="B725"/>
      <c r="C725"/>
      <c r="D725"/>
      <c r="E725"/>
      <c r="N725" s="27" t="s">
        <v>7</v>
      </c>
      <c r="O725" s="27" t="s">
        <v>8</v>
      </c>
      <c r="P725" s="27" t="s">
        <v>7</v>
      </c>
      <c r="Q725" s="27" t="s">
        <v>8</v>
      </c>
      <c r="R725" s="27" t="s">
        <v>7</v>
      </c>
      <c r="S725" s="27" t="s">
        <v>8</v>
      </c>
      <c r="T725" s="27" t="s">
        <v>7</v>
      </c>
      <c r="U725" s="27" t="s">
        <v>8</v>
      </c>
      <c r="V725" s="27" t="s">
        <v>7</v>
      </c>
      <c r="Y725" s="27" t="s">
        <v>8</v>
      </c>
      <c r="Z725" s="27" t="s">
        <v>7</v>
      </c>
      <c r="AA725" s="27" t="s">
        <v>8</v>
      </c>
      <c r="AB725" s="27" t="s">
        <v>7</v>
      </c>
      <c r="AC725" s="27" t="s">
        <v>8</v>
      </c>
      <c r="AF725" s="27" t="s">
        <v>7</v>
      </c>
      <c r="AG725" s="27" t="s">
        <v>8</v>
      </c>
    </row>
    <row r="726" spans="1:33" x14ac:dyDescent="0.25">
      <c r="A726" s="7">
        <v>6.3764083979905906E-2</v>
      </c>
      <c r="B726"/>
      <c r="C726"/>
      <c r="D726"/>
      <c r="E726"/>
      <c r="N726" s="27" t="s">
        <v>7</v>
      </c>
      <c r="O726" s="27" t="s">
        <v>8</v>
      </c>
      <c r="P726" s="27" t="s">
        <v>7</v>
      </c>
      <c r="Q726" s="27" t="s">
        <v>8</v>
      </c>
      <c r="R726" s="27" t="s">
        <v>7</v>
      </c>
      <c r="S726" s="27" t="s">
        <v>8</v>
      </c>
      <c r="T726" s="27" t="s">
        <v>7</v>
      </c>
      <c r="U726" s="27" t="s">
        <v>8</v>
      </c>
      <c r="V726" s="27" t="s">
        <v>7</v>
      </c>
      <c r="Y726" s="27" t="s">
        <v>8</v>
      </c>
      <c r="Z726" s="27" t="s">
        <v>7</v>
      </c>
      <c r="AA726" s="27" t="s">
        <v>8</v>
      </c>
      <c r="AB726" s="27" t="s">
        <v>7</v>
      </c>
      <c r="AC726" s="27" t="s">
        <v>8</v>
      </c>
      <c r="AF726" s="27" t="s">
        <v>7</v>
      </c>
    </row>
    <row r="727" spans="1:33" x14ac:dyDescent="0.25">
      <c r="A727" s="7">
        <v>6.251380782343717E-2</v>
      </c>
      <c r="B727"/>
      <c r="C727"/>
      <c r="D727"/>
      <c r="E727"/>
      <c r="N727" s="27" t="s">
        <v>7</v>
      </c>
      <c r="O727" s="27" t="s">
        <v>8</v>
      </c>
      <c r="P727" s="27" t="s">
        <v>7</v>
      </c>
      <c r="Q727" s="27" t="s">
        <v>8</v>
      </c>
      <c r="R727" s="27" t="s">
        <v>7</v>
      </c>
      <c r="S727" s="27" t="s">
        <v>8</v>
      </c>
      <c r="T727" s="27" t="s">
        <v>7</v>
      </c>
      <c r="U727" s="27" t="s">
        <v>8</v>
      </c>
      <c r="V727" s="27" t="s">
        <v>7</v>
      </c>
      <c r="Y727" s="27" t="s">
        <v>8</v>
      </c>
      <c r="Z727" s="27" t="s">
        <v>7</v>
      </c>
      <c r="AA727" s="27" t="s">
        <v>8</v>
      </c>
      <c r="AB727" s="27" t="s">
        <v>7</v>
      </c>
      <c r="AC727" s="27" t="s">
        <v>8</v>
      </c>
    </row>
    <row r="728" spans="1:33" x14ac:dyDescent="0.25">
      <c r="A728" s="7">
        <v>6.1288046885722716E-2</v>
      </c>
      <c r="B728"/>
      <c r="C728"/>
      <c r="D728"/>
      <c r="E728"/>
      <c r="N728" s="27" t="s">
        <v>7</v>
      </c>
      <c r="O728" s="27" t="s">
        <v>8</v>
      </c>
      <c r="P728" s="27" t="s">
        <v>7</v>
      </c>
      <c r="Q728" s="27" t="s">
        <v>8</v>
      </c>
      <c r="R728" s="27" t="s">
        <v>7</v>
      </c>
      <c r="S728" s="27" t="s">
        <v>8</v>
      </c>
      <c r="T728" s="27" t="s">
        <v>7</v>
      </c>
      <c r="U728" s="27" t="s">
        <v>8</v>
      </c>
      <c r="V728" s="27" t="s">
        <v>7</v>
      </c>
      <c r="Y728" s="27" t="s">
        <v>8</v>
      </c>
      <c r="Z728" s="27" t="s">
        <v>7</v>
      </c>
      <c r="AA728" s="27" t="s">
        <v>8</v>
      </c>
      <c r="AB728" s="27" t="s">
        <v>7</v>
      </c>
      <c r="AC728" s="27" t="s">
        <v>8</v>
      </c>
    </row>
    <row r="729" spans="1:33" x14ac:dyDescent="0.25">
      <c r="A729" s="7">
        <v>6.0086320476198739E-2</v>
      </c>
      <c r="B729"/>
      <c r="C729"/>
      <c r="D729"/>
      <c r="E729"/>
      <c r="N729" s="27" t="s">
        <v>7</v>
      </c>
      <c r="O729" s="27" t="s">
        <v>8</v>
      </c>
      <c r="P729" s="27" t="s">
        <v>7</v>
      </c>
      <c r="Q729" s="27" t="s">
        <v>8</v>
      </c>
      <c r="R729" s="27" t="s">
        <v>7</v>
      </c>
      <c r="S729" s="27" t="s">
        <v>8</v>
      </c>
      <c r="T729" s="27" t="s">
        <v>7</v>
      </c>
      <c r="V729" s="27" t="s">
        <v>7</v>
      </c>
      <c r="Y729" s="27" t="s">
        <v>8</v>
      </c>
      <c r="Z729" s="27" t="s">
        <v>7</v>
      </c>
      <c r="AA729" s="27" t="s">
        <v>8</v>
      </c>
      <c r="AB729" s="27" t="s">
        <v>7</v>
      </c>
    </row>
    <row r="730" spans="1:33" x14ac:dyDescent="0.25">
      <c r="A730" s="7">
        <v>5.8908157329606609E-2</v>
      </c>
      <c r="B730"/>
      <c r="C730"/>
      <c r="D730"/>
      <c r="E730"/>
      <c r="N730" s="27" t="s">
        <v>7</v>
      </c>
      <c r="O730" s="27" t="s">
        <v>8</v>
      </c>
      <c r="P730" s="27" t="s">
        <v>7</v>
      </c>
      <c r="Q730" s="27" t="s">
        <v>8</v>
      </c>
      <c r="R730" s="27" t="s">
        <v>7</v>
      </c>
      <c r="S730" s="27" t="s">
        <v>8</v>
      </c>
      <c r="V730" s="27" t="s">
        <v>7</v>
      </c>
      <c r="W730" s="27" t="s">
        <v>8</v>
      </c>
      <c r="Y730" s="27" t="s">
        <v>8</v>
      </c>
      <c r="Z730" s="27" t="s">
        <v>7</v>
      </c>
      <c r="AA730" s="27" t="s">
        <v>8</v>
      </c>
    </row>
    <row r="731" spans="1:33" x14ac:dyDescent="0.25">
      <c r="A731" s="7">
        <v>5.7753095421182947E-2</v>
      </c>
      <c r="B731"/>
      <c r="C731"/>
      <c r="D731"/>
      <c r="E731"/>
      <c r="N731" s="27" t="s">
        <v>7</v>
      </c>
      <c r="O731" s="27" t="s">
        <v>8</v>
      </c>
      <c r="P731" s="27" t="s">
        <v>7</v>
      </c>
      <c r="Q731" s="27" t="s">
        <v>8</v>
      </c>
      <c r="R731" s="27" t="s">
        <v>7</v>
      </c>
      <c r="S731" s="27" t="s">
        <v>8</v>
      </c>
      <c r="V731" s="27" t="s">
        <v>7</v>
      </c>
      <c r="W731" s="27" t="s">
        <v>8</v>
      </c>
      <c r="X731" s="27" t="s">
        <v>7</v>
      </c>
      <c r="Y731" s="27" t="s">
        <v>8</v>
      </c>
      <c r="Z731" s="27" t="s">
        <v>7</v>
      </c>
    </row>
    <row r="732" spans="1:33" x14ac:dyDescent="0.25">
      <c r="A732" s="7">
        <v>5.6620681785473484E-2</v>
      </c>
      <c r="B732"/>
      <c r="C732"/>
      <c r="D732"/>
      <c r="E732"/>
      <c r="N732" s="27" t="s">
        <v>7</v>
      </c>
      <c r="O732" s="27" t="s">
        <v>8</v>
      </c>
      <c r="P732" s="27" t="s">
        <v>7</v>
      </c>
      <c r="Q732" s="27" t="s">
        <v>8</v>
      </c>
      <c r="R732" s="27" t="s">
        <v>7</v>
      </c>
      <c r="V732" s="27" t="s">
        <v>7</v>
      </c>
      <c r="W732" s="27" t="s">
        <v>8</v>
      </c>
      <c r="X732" s="27" t="s">
        <v>7</v>
      </c>
      <c r="Y732" s="27" t="s">
        <v>8</v>
      </c>
    </row>
    <row r="733" spans="1:33" x14ac:dyDescent="0.25">
      <c r="A733" s="7">
        <v>5.5510472338699497E-2</v>
      </c>
      <c r="B733"/>
      <c r="C733"/>
      <c r="D733"/>
      <c r="E733"/>
      <c r="N733" s="27" t="s">
        <v>7</v>
      </c>
      <c r="P733" s="27" t="s">
        <v>7</v>
      </c>
      <c r="V733" s="27" t="s">
        <v>7</v>
      </c>
      <c r="W733" s="27" t="s">
        <v>8</v>
      </c>
      <c r="X733" s="27" t="s">
        <v>7</v>
      </c>
      <c r="Y733" s="27" t="s">
        <v>8</v>
      </c>
    </row>
    <row r="734" spans="1:33" x14ac:dyDescent="0.25">
      <c r="A734" s="7">
        <v>5.4422031704607354E-2</v>
      </c>
      <c r="B734"/>
      <c r="C734"/>
      <c r="D734"/>
      <c r="E734"/>
      <c r="V734" s="27" t="s">
        <v>7</v>
      </c>
      <c r="W734" s="27" t="s">
        <v>8</v>
      </c>
      <c r="X734" s="27" t="s">
        <v>7</v>
      </c>
      <c r="Y734" s="27" t="s">
        <v>8</v>
      </c>
    </row>
    <row r="735" spans="1:33" x14ac:dyDescent="0.25">
      <c r="A735" s="7">
        <v>5.3354933043732705E-2</v>
      </c>
      <c r="B735"/>
      <c r="C735"/>
      <c r="D735"/>
      <c r="E735"/>
      <c r="V735" s="27" t="s">
        <v>7</v>
      </c>
      <c r="W735" s="27" t="s">
        <v>8</v>
      </c>
      <c r="X735" s="27" t="s">
        <v>7</v>
      </c>
      <c r="Y735" s="27" t="s">
        <v>8</v>
      </c>
    </row>
    <row r="736" spans="1:33" x14ac:dyDescent="0.25">
      <c r="A736" s="7">
        <v>5.2308757886012455E-2</v>
      </c>
      <c r="B736"/>
      <c r="C736"/>
      <c r="D736"/>
      <c r="E736"/>
      <c r="V736" s="27" t="s">
        <v>7</v>
      </c>
      <c r="W736" s="27" t="s">
        <v>8</v>
      </c>
      <c r="X736" s="27" t="s">
        <v>7</v>
      </c>
    </row>
    <row r="737" spans="1:23" x14ac:dyDescent="0.25">
      <c r="A737" s="7">
        <v>5.1283095966678877E-2</v>
      </c>
      <c r="B737"/>
      <c r="C737"/>
      <c r="D737"/>
      <c r="E737"/>
      <c r="V737" s="27" t="s">
        <v>7</v>
      </c>
      <c r="W737" s="27" t="s">
        <v>8</v>
      </c>
    </row>
    <row r="738" spans="1:23" x14ac:dyDescent="0.25">
      <c r="A738" s="7">
        <v>5.0277545065371444E-2</v>
      </c>
      <c r="B738"/>
      <c r="C738"/>
      <c r="D738"/>
      <c r="E738"/>
      <c r="V738" s="27" t="s">
        <v>7</v>
      </c>
      <c r="W738" s="27" t="s">
        <v>8</v>
      </c>
    </row>
    <row r="739" spans="1:23" x14ac:dyDescent="0.25">
      <c r="A739" s="7">
        <v>4.9291710848403378E-2</v>
      </c>
      <c r="B739"/>
      <c r="C739"/>
      <c r="D739"/>
      <c r="E739"/>
      <c r="V739" s="27" t="s">
        <v>7</v>
      </c>
      <c r="W739" s="27" t="s">
        <v>8</v>
      </c>
    </row>
    <row r="740" spans="1:23" x14ac:dyDescent="0.25">
      <c r="A740" s="7">
        <v>4.8325206714120959E-2</v>
      </c>
      <c r="B740"/>
      <c r="C740"/>
      <c r="D740"/>
      <c r="E740"/>
      <c r="V740" s="27" t="s">
        <v>7</v>
      </c>
      <c r="W740" s="27" t="s">
        <v>8</v>
      </c>
    </row>
    <row r="741" spans="1:23" x14ac:dyDescent="0.25">
      <c r="A741" s="7">
        <v>4.7377653641295057E-2</v>
      </c>
      <c r="B741"/>
      <c r="C741"/>
      <c r="D741"/>
      <c r="E741"/>
      <c r="V741" s="27" t="s">
        <v>7</v>
      </c>
      <c r="W741" s="27" t="s">
        <v>8</v>
      </c>
    </row>
    <row r="742" spans="1:23" x14ac:dyDescent="0.25">
      <c r="A742" s="7">
        <v>4.644868004048535E-2</v>
      </c>
      <c r="B742"/>
      <c r="C742"/>
      <c r="D742"/>
      <c r="E742"/>
      <c r="V742" s="27" t="s">
        <v>7</v>
      </c>
    </row>
    <row r="743" spans="1:23" x14ac:dyDescent="0.25">
      <c r="A743" s="7">
        <v>4.5537921608318974E-2</v>
      </c>
      <c r="B743"/>
      <c r="C743"/>
      <c r="D743"/>
      <c r="E743"/>
    </row>
    <row r="744" spans="1:23" x14ac:dyDescent="0.25">
      <c r="A744" s="7">
        <v>4.4645021184626446E-2</v>
      </c>
      <c r="B744"/>
      <c r="C744"/>
      <c r="D744"/>
      <c r="E744"/>
    </row>
    <row r="745" spans="1:23" x14ac:dyDescent="0.25">
      <c r="A745" s="7">
        <v>4.3769628612378868E-2</v>
      </c>
      <c r="B745"/>
      <c r="C745"/>
      <c r="D745"/>
      <c r="E745"/>
    </row>
    <row r="746" spans="1:23" x14ac:dyDescent="0.25">
      <c r="A746" s="7">
        <v>4.2911400600371442E-2</v>
      </c>
      <c r="B746"/>
      <c r="C746"/>
      <c r="D746"/>
      <c r="E746"/>
    </row>
    <row r="747" spans="1:23" x14ac:dyDescent="0.25">
      <c r="A747" s="7">
        <v>4.2070000588599457E-2</v>
      </c>
      <c r="B747"/>
      <c r="C747"/>
      <c r="D747"/>
      <c r="E747"/>
    </row>
    <row r="748" spans="1:23" x14ac:dyDescent="0.25">
      <c r="A748" s="7">
        <v>4.1245098616273977E-2</v>
      </c>
      <c r="B748"/>
      <c r="C748"/>
      <c r="D748"/>
      <c r="E748"/>
    </row>
    <row r="749" spans="1:23" x14ac:dyDescent="0.25">
      <c r="A749" s="7">
        <v>4.043637119242547E-2</v>
      </c>
      <c r="B749"/>
      <c r="C749"/>
      <c r="D749"/>
      <c r="E749"/>
    </row>
    <row r="750" spans="1:23" x14ac:dyDescent="0.25">
      <c r="A750" s="7">
        <v>3.9643501169044582E-2</v>
      </c>
      <c r="B750"/>
      <c r="C750"/>
      <c r="D750"/>
      <c r="E750"/>
    </row>
    <row r="751" spans="1:23" x14ac:dyDescent="0.25">
      <c r="A751" s="7">
        <v>3.8866177616710372E-2</v>
      </c>
      <c r="B751"/>
      <c r="C751"/>
      <c r="D751"/>
      <c r="E751"/>
    </row>
    <row r="752" spans="1:23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35" operator="equal">
      <formula>$U$1</formula>
    </cfRule>
    <cfRule type="cellIs" dxfId="89" priority="836" operator="equal">
      <formula>$S$1</formula>
    </cfRule>
  </conditionalFormatting>
  <conditionalFormatting sqref="D27">
    <cfRule type="cellIs" dxfId="88" priority="833" operator="equal">
      <formula>$S$1</formula>
    </cfRule>
    <cfRule type="cellIs" dxfId="87" priority="834" operator="equal">
      <formula>$U$1</formula>
    </cfRule>
  </conditionalFormatting>
  <conditionalFormatting sqref="C164">
    <cfRule type="cellIs" dxfId="86" priority="831" operator="equal">
      <formula>$U$1</formula>
    </cfRule>
    <cfRule type="cellIs" dxfId="85" priority="832" operator="equal">
      <formula>$S$1</formula>
    </cfRule>
  </conditionalFormatting>
  <conditionalFormatting sqref="D164">
    <cfRule type="cellIs" dxfId="84" priority="829" operator="equal">
      <formula>$S$1</formula>
    </cfRule>
    <cfRule type="cellIs" dxfId="83" priority="830" operator="equal">
      <formula>$U$1</formula>
    </cfRule>
  </conditionalFormatting>
  <conditionalFormatting sqref="C55">
    <cfRule type="cellIs" dxfId="82" priority="827" operator="equal">
      <formula>$U$1</formula>
    </cfRule>
    <cfRule type="cellIs" dxfId="81" priority="828" operator="equal">
      <formula>$S$1</formula>
    </cfRule>
  </conditionalFormatting>
  <conditionalFormatting sqref="D55">
    <cfRule type="cellIs" dxfId="80" priority="825" operator="equal">
      <formula>$S$1</formula>
    </cfRule>
    <cfRule type="cellIs" dxfId="79" priority="826" operator="equal">
      <formula>$U$1</formula>
    </cfRule>
  </conditionalFormatting>
  <conditionalFormatting sqref="C89">
    <cfRule type="cellIs" dxfId="78" priority="823" operator="equal">
      <formula>$U$1</formula>
    </cfRule>
    <cfRule type="cellIs" dxfId="77" priority="824" operator="equal">
      <formula>$S$1</formula>
    </cfRule>
  </conditionalFormatting>
  <conditionalFormatting sqref="D89">
    <cfRule type="cellIs" dxfId="76" priority="821" operator="equal">
      <formula>$S$1</formula>
    </cfRule>
    <cfRule type="cellIs" dxfId="75" priority="822" operator="equal">
      <formula>$U$1</formula>
    </cfRule>
  </conditionalFormatting>
  <conditionalFormatting sqref="C136">
    <cfRule type="cellIs" dxfId="74" priority="819" operator="equal">
      <formula>$U$1</formula>
    </cfRule>
    <cfRule type="cellIs" dxfId="73" priority="820" operator="equal">
      <formula>$S$1</formula>
    </cfRule>
  </conditionalFormatting>
  <conditionalFormatting sqref="D136">
    <cfRule type="cellIs" dxfId="72" priority="817" operator="equal">
      <formula>$S$1</formula>
    </cfRule>
    <cfRule type="cellIs" dxfId="71" priority="818" operator="equal">
      <formula>$U$1</formula>
    </cfRule>
  </conditionalFormatting>
  <conditionalFormatting sqref="C1">
    <cfRule type="cellIs" dxfId="70" priority="81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P245" sqref="EP24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$A$244</v>
      </c>
      <c r="D111" s="1" t="str">
        <f>ADDRESS(C121-1,D121,1,1)</f>
        <v>$EP$244</v>
      </c>
      <c r="E111"/>
    </row>
    <row r="112" spans="1:5" x14ac:dyDescent="0.25">
      <c r="A112" s="30">
        <v>515.50191262726139</v>
      </c>
      <c r="C112" s="1" t="str">
        <f>ADDRESS(C121,1,1,1)</f>
        <v>$A$245</v>
      </c>
      <c r="D112" s="1" t="str">
        <f>ADDRESS(C121,D121-1,1,1)</f>
        <v>$EO$245</v>
      </c>
      <c r="E112"/>
    </row>
    <row r="113" spans="1:5" x14ac:dyDescent="0.25">
      <c r="A113" s="30">
        <v>490.95420250215363</v>
      </c>
      <c r="C113" s="1" t="str">
        <f>ADDRESS(C121+1,1,1,1)</f>
        <v>$A$246</v>
      </c>
      <c r="D113" s="1" t="str">
        <f>ADDRESS(C121-1,D121+1,1,1)</f>
        <v>$EQ$244</v>
      </c>
    </row>
    <row r="114" spans="1:5" x14ac:dyDescent="0.25">
      <c r="A114" s="30">
        <v>467.57543095443202</v>
      </c>
      <c r="C114" s="1" t="str">
        <f>ADDRESS(C121,D121,1,1)</f>
        <v>$EP$245</v>
      </c>
      <c r="D114" s="1" t="str">
        <f>ADDRESS(C121+1,D121+1,1,1)</f>
        <v>$EQ$246</v>
      </c>
    </row>
    <row r="115" spans="1:5" x14ac:dyDescent="0.25">
      <c r="A115" s="30">
        <v>445.30993424231622</v>
      </c>
      <c r="C115" s="1" t="str">
        <f>ADDRESS(C121+1,D121,1,1)</f>
        <v>$EP$246</v>
      </c>
    </row>
    <row r="116" spans="1:5" x14ac:dyDescent="0.25">
      <c r="A116" s="30">
        <v>424.10469927839637</v>
      </c>
      <c r="C116" s="1">
        <f>C117-1</f>
        <v>244</v>
      </c>
    </row>
    <row r="117" spans="1:5" x14ac:dyDescent="0.25">
      <c r="A117" s="30">
        <v>403.9092374079965</v>
      </c>
      <c r="C117" s="1">
        <f>C121</f>
        <v>245</v>
      </c>
      <c r="D117" s="1">
        <f>D121</f>
        <v>146</v>
      </c>
    </row>
    <row r="118" spans="1:5" x14ac:dyDescent="0.25">
      <c r="A118" s="30">
        <v>384.6754641980919</v>
      </c>
      <c r="C118" s="1">
        <f>C117+1</f>
        <v>246</v>
      </c>
      <c r="D118" s="1">
        <f>D117+1</f>
        <v>147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245</v>
      </c>
      <c r="D121" s="19">
        <v>146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R245</v>
      </c>
      <c r="D123" s="1" t="str">
        <f>"C"&amp;D121</f>
        <v>C146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0.78352616646845741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44" x14ac:dyDescent="0.25">
      <c r="A225" s="30">
        <v>2.0789281794113688</v>
      </c>
      <c r="E225"/>
    </row>
    <row r="226" spans="1:144" x14ac:dyDescent="0.25">
      <c r="A226" s="30">
        <v>1.9799315994393987</v>
      </c>
      <c r="E226"/>
    </row>
    <row r="227" spans="1:144" x14ac:dyDescent="0.25">
      <c r="A227" s="30">
        <v>1.8856491423232367</v>
      </c>
      <c r="E227"/>
    </row>
    <row r="228" spans="1:144" x14ac:dyDescent="0.25">
      <c r="A228" s="30">
        <v>1.7958563260221301</v>
      </c>
      <c r="C228" s="7"/>
      <c r="D228"/>
      <c r="E228"/>
    </row>
    <row r="229" spans="1:144" x14ac:dyDescent="0.25">
      <c r="A229" s="30">
        <v>1.7103393581163142</v>
      </c>
      <c r="E229"/>
    </row>
    <row r="230" spans="1:144" x14ac:dyDescent="0.25">
      <c r="A230" s="30">
        <v>1.628894626777442</v>
      </c>
      <c r="E230"/>
    </row>
    <row r="231" spans="1:144" x14ac:dyDescent="0.25">
      <c r="A231" s="30">
        <v>1.5513282159785162</v>
      </c>
      <c r="C231"/>
      <c r="D231"/>
      <c r="E231"/>
    </row>
    <row r="232" spans="1:144" x14ac:dyDescent="0.25">
      <c r="A232" s="30">
        <v>1.477455443789063</v>
      </c>
      <c r="E232"/>
    </row>
    <row r="233" spans="1:144" x14ac:dyDescent="0.25">
      <c r="A233" s="30">
        <v>1.4071004226562505</v>
      </c>
      <c r="E233"/>
    </row>
    <row r="234" spans="1:144" x14ac:dyDescent="0.25">
      <c r="A234" s="30">
        <v>1.3400956406250004</v>
      </c>
      <c r="E234"/>
    </row>
    <row r="235" spans="1:144" x14ac:dyDescent="0.25">
      <c r="A235" s="30">
        <v>1.2762815625000004</v>
      </c>
      <c r="C235"/>
      <c r="E235"/>
      <c r="EK235" s="27" t="s">
        <v>8</v>
      </c>
    </row>
    <row r="236" spans="1:144" x14ac:dyDescent="0.25">
      <c r="A236" s="30">
        <v>1.2155062500000002</v>
      </c>
      <c r="E236"/>
      <c r="EK236" s="27" t="s">
        <v>8</v>
      </c>
      <c r="EL236" s="27" t="s">
        <v>7</v>
      </c>
      <c r="EM236" s="27" t="s">
        <v>8</v>
      </c>
    </row>
    <row r="237" spans="1:14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EK237" s="27" t="s">
        <v>8</v>
      </c>
      <c r="EL237" s="27" t="s">
        <v>7</v>
      </c>
      <c r="EM237" s="27" t="s">
        <v>8</v>
      </c>
      <c r="EN237" s="27" t="s">
        <v>7</v>
      </c>
    </row>
    <row r="238" spans="1:144" x14ac:dyDescent="0.25">
      <c r="A238" s="30">
        <v>1.1025</v>
      </c>
      <c r="E238"/>
      <c r="EK238" s="27" t="s">
        <v>8</v>
      </c>
      <c r="EL238" s="27" t="s">
        <v>7</v>
      </c>
      <c r="EM238" s="27" t="s">
        <v>8</v>
      </c>
      <c r="EN238" s="27" t="s">
        <v>7</v>
      </c>
    </row>
    <row r="239" spans="1:144" x14ac:dyDescent="0.25">
      <c r="A239" s="30">
        <v>1.05</v>
      </c>
      <c r="E239"/>
      <c r="EK239" s="27" t="s">
        <v>8</v>
      </c>
      <c r="EL239" s="27" t="s">
        <v>7</v>
      </c>
      <c r="EM239" s="27" t="s">
        <v>8</v>
      </c>
      <c r="EN239" s="27" t="s">
        <v>7</v>
      </c>
    </row>
    <row r="240" spans="1:144" x14ac:dyDescent="0.25">
      <c r="A240" s="30">
        <v>1</v>
      </c>
      <c r="E240" s="29" t="s">
        <v>8</v>
      </c>
      <c r="EK240" s="27" t="s">
        <v>8</v>
      </c>
      <c r="EL240" s="27" t="s">
        <v>7</v>
      </c>
      <c r="EM240" s="27" t="s">
        <v>8</v>
      </c>
      <c r="EN240" s="27" t="s">
        <v>7</v>
      </c>
    </row>
    <row r="241" spans="1:146" x14ac:dyDescent="0.25">
      <c r="A241" s="30">
        <v>0.952380952380952</v>
      </c>
      <c r="B241"/>
      <c r="C241"/>
      <c r="D241"/>
      <c r="E241"/>
      <c r="F241" s="27" t="s">
        <v>7</v>
      </c>
      <c r="EI241" s="27" t="s">
        <v>8</v>
      </c>
      <c r="EK241" s="27" t="s">
        <v>8</v>
      </c>
      <c r="EL241" s="27" t="s">
        <v>7</v>
      </c>
      <c r="EM241" s="27" t="s">
        <v>8</v>
      </c>
      <c r="EN241" s="27" t="s">
        <v>7</v>
      </c>
      <c r="EO241" s="27" t="s">
        <v>8</v>
      </c>
    </row>
    <row r="242" spans="1:146" x14ac:dyDescent="0.25">
      <c r="A242" s="30">
        <v>0.90702947845804915</v>
      </c>
      <c r="B242"/>
      <c r="C242"/>
      <c r="D242"/>
      <c r="E242"/>
      <c r="F242" s="27" t="s">
        <v>7</v>
      </c>
      <c r="EI242" s="27" t="s">
        <v>8</v>
      </c>
      <c r="EJ242" s="27" t="s">
        <v>7</v>
      </c>
      <c r="EK242" s="27" t="s">
        <v>8</v>
      </c>
      <c r="EL242" s="27" t="s">
        <v>7</v>
      </c>
      <c r="EM242" s="27" t="s">
        <v>8</v>
      </c>
      <c r="EN242" s="27" t="s">
        <v>7</v>
      </c>
      <c r="EO242" s="27" t="s">
        <v>8</v>
      </c>
      <c r="EP242" s="27" t="s">
        <v>7</v>
      </c>
    </row>
    <row r="243" spans="1:146" x14ac:dyDescent="0.25">
      <c r="A243" s="30">
        <v>0.86383759853147501</v>
      </c>
      <c r="B243"/>
      <c r="C243"/>
      <c r="D243"/>
      <c r="E243"/>
      <c r="F243" s="27" t="s">
        <v>7</v>
      </c>
      <c r="BQ243" s="27" t="s">
        <v>8</v>
      </c>
      <c r="EA243" s="27" t="s">
        <v>8</v>
      </c>
      <c r="EI243" s="27" t="s">
        <v>8</v>
      </c>
      <c r="EJ243" s="27" t="s">
        <v>7</v>
      </c>
      <c r="EK243" s="27" t="s">
        <v>8</v>
      </c>
      <c r="EL243" s="27" t="s">
        <v>7</v>
      </c>
      <c r="EN243" s="27" t="s">
        <v>7</v>
      </c>
      <c r="EO243" s="27" t="s">
        <v>8</v>
      </c>
      <c r="EP243" s="27" t="s">
        <v>7</v>
      </c>
    </row>
    <row r="244" spans="1:146" x14ac:dyDescent="0.25">
      <c r="A244" s="30">
        <v>0.82270247479188063</v>
      </c>
      <c r="B244"/>
      <c r="C244"/>
      <c r="D244"/>
      <c r="E244"/>
      <c r="F244" s="27" t="s">
        <v>7</v>
      </c>
      <c r="BQ244" s="27" t="s">
        <v>8</v>
      </c>
      <c r="BR244" s="27" t="s">
        <v>7</v>
      </c>
      <c r="EA244" s="27" t="s">
        <v>8</v>
      </c>
      <c r="EB244" s="27" t="s">
        <v>7</v>
      </c>
      <c r="EG244" s="27" t="s">
        <v>8</v>
      </c>
      <c r="EI244" s="27" t="s">
        <v>8</v>
      </c>
      <c r="EJ244" s="27" t="s">
        <v>7</v>
      </c>
      <c r="EN244" s="27" t="s">
        <v>7</v>
      </c>
      <c r="EO244" s="27" t="s">
        <v>8</v>
      </c>
      <c r="EP244" s="27" t="s">
        <v>7</v>
      </c>
    </row>
    <row r="245" spans="1:146" x14ac:dyDescent="0.25">
      <c r="A245" s="30">
        <v>0.78352616646845741</v>
      </c>
      <c r="B245"/>
      <c r="C245"/>
      <c r="D245"/>
      <c r="E245"/>
      <c r="F245" s="27" t="s">
        <v>7</v>
      </c>
      <c r="BQ245" s="27" t="s">
        <v>8</v>
      </c>
      <c r="BR245" s="27" t="s">
        <v>7</v>
      </c>
      <c r="EA245" s="27" t="s">
        <v>8</v>
      </c>
      <c r="EB245" s="27" t="s">
        <v>7</v>
      </c>
      <c r="EG245" s="27" t="s">
        <v>8</v>
      </c>
      <c r="EH245" s="27" t="s">
        <v>7</v>
      </c>
      <c r="EI245" s="27" t="s">
        <v>8</v>
      </c>
      <c r="EN245" s="27" t="s">
        <v>7</v>
      </c>
      <c r="EO245" s="27" t="s">
        <v>8</v>
      </c>
      <c r="EP245" s="27" t="s">
        <v>7</v>
      </c>
    </row>
    <row r="246" spans="1:146" x14ac:dyDescent="0.25">
      <c r="A246" s="30">
        <v>0.74621539663662584</v>
      </c>
      <c r="B246"/>
      <c r="C246"/>
      <c r="D246"/>
      <c r="E246"/>
      <c r="F246" s="27" t="s">
        <v>7</v>
      </c>
      <c r="BQ246" s="27" t="s">
        <v>8</v>
      </c>
      <c r="BR246" s="27" t="s">
        <v>7</v>
      </c>
      <c r="DM246" s="27" t="s">
        <v>8</v>
      </c>
      <c r="EA246" s="27" t="s">
        <v>8</v>
      </c>
      <c r="EB246" s="27" t="s">
        <v>7</v>
      </c>
      <c r="EG246" s="27" t="s">
        <v>8</v>
      </c>
      <c r="EH246" s="27" t="s">
        <v>7</v>
      </c>
      <c r="EI246" s="27" t="s">
        <v>8</v>
      </c>
      <c r="EN246" s="27" t="s">
        <v>7</v>
      </c>
    </row>
    <row r="247" spans="1:146" x14ac:dyDescent="0.25">
      <c r="A247" s="30">
        <v>0.71068133013011958</v>
      </c>
      <c r="B247"/>
      <c r="C247"/>
      <c r="D247"/>
      <c r="E247"/>
      <c r="F247" s="27" t="s">
        <v>7</v>
      </c>
      <c r="BQ247" s="27" t="s">
        <v>8</v>
      </c>
      <c r="BR247" s="27" t="s">
        <v>7</v>
      </c>
      <c r="DM247" s="27" t="s">
        <v>8</v>
      </c>
      <c r="DN247" s="27" t="s">
        <v>7</v>
      </c>
      <c r="EA247" s="27" t="s">
        <v>8</v>
      </c>
      <c r="EB247" s="27" t="s">
        <v>7</v>
      </c>
      <c r="EG247" s="27" t="s">
        <v>8</v>
      </c>
      <c r="EH247" s="27" t="s">
        <v>7</v>
      </c>
      <c r="EI247" s="27" t="s">
        <v>8</v>
      </c>
    </row>
    <row r="248" spans="1:146" x14ac:dyDescent="0.25">
      <c r="A248" s="30">
        <v>0.676839362028685</v>
      </c>
      <c r="B248"/>
      <c r="C248"/>
      <c r="D248"/>
      <c r="E248"/>
      <c r="F248" s="27" t="s">
        <v>7</v>
      </c>
      <c r="BO248" s="27" t="s">
        <v>8</v>
      </c>
      <c r="BQ248" s="27" t="s">
        <v>8</v>
      </c>
      <c r="BR248" s="27" t="s">
        <v>7</v>
      </c>
      <c r="DM248" s="27" t="s">
        <v>8</v>
      </c>
      <c r="DN248" s="27" t="s">
        <v>7</v>
      </c>
      <c r="DY248" s="27" t="s">
        <v>8</v>
      </c>
      <c r="EA248" s="27" t="s">
        <v>8</v>
      </c>
      <c r="EB248" s="27" t="s">
        <v>7</v>
      </c>
      <c r="EC248" s="27" t="s">
        <v>8</v>
      </c>
      <c r="EE248" s="27" t="s">
        <v>8</v>
      </c>
      <c r="EG248" s="27" t="s">
        <v>8</v>
      </c>
      <c r="EH248" s="27" t="s">
        <v>7</v>
      </c>
    </row>
    <row r="249" spans="1:146" x14ac:dyDescent="0.25">
      <c r="A249" s="30">
        <v>0.64460891621779492</v>
      </c>
      <c r="B249"/>
      <c r="C249"/>
      <c r="D249"/>
      <c r="E249"/>
      <c r="F249" s="27" t="s">
        <v>7</v>
      </c>
      <c r="BO249" s="27" t="s">
        <v>8</v>
      </c>
      <c r="BP249" s="27" t="s">
        <v>7</v>
      </c>
      <c r="BQ249" s="27" t="s">
        <v>8</v>
      </c>
      <c r="BR249" s="27" t="s">
        <v>7</v>
      </c>
      <c r="DM249" s="27" t="s">
        <v>8</v>
      </c>
      <c r="DN249" s="27" t="s">
        <v>7</v>
      </c>
      <c r="DY249" s="27" t="s">
        <v>8</v>
      </c>
      <c r="DZ249" s="27" t="s">
        <v>7</v>
      </c>
      <c r="EA249" s="27" t="s">
        <v>8</v>
      </c>
      <c r="EB249" s="27" t="s">
        <v>7</v>
      </c>
      <c r="EC249" s="27" t="s">
        <v>8</v>
      </c>
      <c r="ED249" s="27" t="s">
        <v>7</v>
      </c>
      <c r="EE249" s="27" t="s">
        <v>8</v>
      </c>
      <c r="EF249" s="27" t="s">
        <v>7</v>
      </c>
      <c r="EG249" s="27" t="s">
        <v>8</v>
      </c>
    </row>
    <row r="250" spans="1:146" x14ac:dyDescent="0.25">
      <c r="A250" s="30">
        <v>0.61391325354075688</v>
      </c>
      <c r="B250"/>
      <c r="C250"/>
      <c r="D250"/>
      <c r="E250"/>
      <c r="F250" s="27" t="s">
        <v>7</v>
      </c>
      <c r="BO250" s="27" t="s">
        <v>8</v>
      </c>
      <c r="BP250" s="27" t="s">
        <v>7</v>
      </c>
      <c r="BQ250" s="27" t="s">
        <v>8</v>
      </c>
      <c r="BR250" s="27" t="s">
        <v>7</v>
      </c>
      <c r="BS250" s="27" t="s">
        <v>8</v>
      </c>
      <c r="DM250" s="27" t="s">
        <v>8</v>
      </c>
      <c r="DN250" s="27" t="s">
        <v>7</v>
      </c>
      <c r="DY250" s="27" t="s">
        <v>8</v>
      </c>
      <c r="DZ250" s="27" t="s">
        <v>7</v>
      </c>
      <c r="EA250" s="27" t="s">
        <v>8</v>
      </c>
      <c r="EB250" s="27" t="s">
        <v>7</v>
      </c>
      <c r="EC250" s="27" t="s">
        <v>8</v>
      </c>
      <c r="ED250" s="27" t="s">
        <v>7</v>
      </c>
      <c r="EE250" s="27" t="s">
        <v>8</v>
      </c>
      <c r="EF250" s="27" t="s">
        <v>7</v>
      </c>
      <c r="EG250" s="27" t="s">
        <v>8</v>
      </c>
    </row>
    <row r="251" spans="1:146" x14ac:dyDescent="0.25">
      <c r="A251" s="30">
        <v>0.58467928908643485</v>
      </c>
      <c r="B251"/>
      <c r="C251"/>
      <c r="D251"/>
      <c r="E251"/>
      <c r="F251" s="27" t="s">
        <v>7</v>
      </c>
      <c r="BO251" s="27" t="s">
        <v>8</v>
      </c>
      <c r="BP251" s="27" t="s">
        <v>7</v>
      </c>
      <c r="BQ251" s="27" t="s">
        <v>8</v>
      </c>
      <c r="BR251" s="27" t="s">
        <v>7</v>
      </c>
      <c r="BS251" s="27" t="s">
        <v>8</v>
      </c>
      <c r="BT251" s="27" t="s">
        <v>7</v>
      </c>
      <c r="DM251" s="27" t="s">
        <v>8</v>
      </c>
      <c r="DN251" s="27" t="s">
        <v>7</v>
      </c>
      <c r="DY251" s="27" t="s">
        <v>8</v>
      </c>
      <c r="DZ251" s="27" t="s">
        <v>7</v>
      </c>
      <c r="EA251" s="27" t="s">
        <v>8</v>
      </c>
      <c r="EB251" s="27" t="s">
        <v>7</v>
      </c>
      <c r="EC251" s="27" t="s">
        <v>8</v>
      </c>
      <c r="ED251" s="27" t="s">
        <v>7</v>
      </c>
      <c r="EE251" s="27" t="s">
        <v>8</v>
      </c>
      <c r="EF251" s="27" t="s">
        <v>7</v>
      </c>
      <c r="EG251" s="27" t="s">
        <v>8</v>
      </c>
    </row>
    <row r="252" spans="1:146" x14ac:dyDescent="0.25">
      <c r="A252" s="30">
        <v>0.55683741817755672</v>
      </c>
      <c r="B252"/>
      <c r="C252"/>
      <c r="D252"/>
      <c r="E252"/>
      <c r="F252" s="27" t="s">
        <v>7</v>
      </c>
      <c r="BO252" s="27" t="s">
        <v>8</v>
      </c>
      <c r="BP252" s="27" t="s">
        <v>7</v>
      </c>
      <c r="BQ252" s="27" t="s">
        <v>8</v>
      </c>
      <c r="BR252" s="27" t="s">
        <v>7</v>
      </c>
      <c r="BS252" s="27" t="s">
        <v>8</v>
      </c>
      <c r="BT252" s="27" t="s">
        <v>7</v>
      </c>
      <c r="DM252" s="27" t="s">
        <v>8</v>
      </c>
      <c r="DN252" s="27" t="s">
        <v>7</v>
      </c>
      <c r="DW252" s="27" t="s">
        <v>8</v>
      </c>
      <c r="DY252" s="27" t="s">
        <v>8</v>
      </c>
      <c r="DZ252" s="27" t="s">
        <v>7</v>
      </c>
      <c r="EA252" s="27" t="s">
        <v>8</v>
      </c>
      <c r="EB252" s="27" t="s">
        <v>7</v>
      </c>
      <c r="EC252" s="27" t="s">
        <v>8</v>
      </c>
      <c r="ED252" s="27" t="s">
        <v>7</v>
      </c>
      <c r="EE252" s="27" t="s">
        <v>8</v>
      </c>
      <c r="EF252" s="27" t="s">
        <v>7</v>
      </c>
    </row>
    <row r="253" spans="1:146" x14ac:dyDescent="0.25">
      <c r="A253" s="30">
        <v>0.53032135064529184</v>
      </c>
      <c r="B253"/>
      <c r="C253"/>
      <c r="D253"/>
      <c r="E253"/>
      <c r="F253" s="27" t="s">
        <v>7</v>
      </c>
      <c r="BO253" s="27" t="s">
        <v>8</v>
      </c>
      <c r="BP253" s="27" t="s">
        <v>7</v>
      </c>
      <c r="BQ253" s="27" t="s">
        <v>8</v>
      </c>
      <c r="BR253" s="27" t="s">
        <v>7</v>
      </c>
      <c r="BT253" s="27" t="s">
        <v>7</v>
      </c>
      <c r="DM253" s="27" t="s">
        <v>8</v>
      </c>
      <c r="DN253" s="27" t="s">
        <v>7</v>
      </c>
      <c r="DS253" s="27" t="s">
        <v>8</v>
      </c>
      <c r="DW253" s="27" t="s">
        <v>8</v>
      </c>
      <c r="DX253" s="27" t="s">
        <v>7</v>
      </c>
      <c r="DY253" s="27" t="s">
        <v>8</v>
      </c>
      <c r="DZ253" s="27" t="s">
        <v>7</v>
      </c>
      <c r="EB253" s="27" t="s">
        <v>7</v>
      </c>
      <c r="EC253" s="27" t="s">
        <v>8</v>
      </c>
      <c r="ED253" s="27" t="s">
        <v>7</v>
      </c>
      <c r="EE253" s="27" t="s">
        <v>8</v>
      </c>
    </row>
    <row r="254" spans="1:146" x14ac:dyDescent="0.25">
      <c r="A254" s="30">
        <v>0.50506795299551588</v>
      </c>
      <c r="B254"/>
      <c r="C254"/>
      <c r="D254"/>
      <c r="E254"/>
      <c r="F254" s="27" t="s">
        <v>7</v>
      </c>
      <c r="BO254" s="27" t="s">
        <v>8</v>
      </c>
      <c r="BP254" s="27" t="s">
        <v>7</v>
      </c>
      <c r="BQ254" s="27" t="s">
        <v>8</v>
      </c>
      <c r="BT254" s="27" t="s">
        <v>7</v>
      </c>
      <c r="CY254" s="27" t="s">
        <v>8</v>
      </c>
      <c r="DM254" s="27" t="s">
        <v>8</v>
      </c>
      <c r="DN254" s="27" t="s">
        <v>7</v>
      </c>
      <c r="DS254" s="27" t="s">
        <v>8</v>
      </c>
      <c r="DT254" s="27" t="s">
        <v>7</v>
      </c>
      <c r="DW254" s="27" t="s">
        <v>8</v>
      </c>
      <c r="DX254" s="27" t="s">
        <v>7</v>
      </c>
      <c r="DY254" s="27" t="s">
        <v>8</v>
      </c>
      <c r="EB254" s="27" t="s">
        <v>7</v>
      </c>
      <c r="EC254" s="27" t="s">
        <v>8</v>
      </c>
      <c r="ED254" s="27" t="s">
        <v>7</v>
      </c>
    </row>
    <row r="255" spans="1:146" x14ac:dyDescent="0.25">
      <c r="A255" s="30">
        <v>0.48101709809096732</v>
      </c>
      <c r="E255"/>
      <c r="F255" s="27" t="s">
        <v>7</v>
      </c>
      <c r="BO255" s="27" t="s">
        <v>8</v>
      </c>
      <c r="BP255" s="27" t="s">
        <v>7</v>
      </c>
      <c r="BT255" s="27" t="s">
        <v>7</v>
      </c>
      <c r="CY255" s="27" t="s">
        <v>8</v>
      </c>
      <c r="CZ255" s="27" t="s">
        <v>7</v>
      </c>
      <c r="DM255" s="27" t="s">
        <v>8</v>
      </c>
      <c r="DN255" s="27" t="s">
        <v>7</v>
      </c>
      <c r="DS255" s="27" t="s">
        <v>8</v>
      </c>
      <c r="DT255" s="27" t="s">
        <v>7</v>
      </c>
      <c r="DW255" s="27" t="s">
        <v>8</v>
      </c>
      <c r="DX255" s="27" t="s">
        <v>7</v>
      </c>
      <c r="DY255" s="27" t="s">
        <v>8</v>
      </c>
      <c r="EB255" s="27" t="s">
        <v>7</v>
      </c>
      <c r="EC255" s="27" t="s">
        <v>8</v>
      </c>
    </row>
    <row r="256" spans="1:146" x14ac:dyDescent="0.25">
      <c r="A256" s="30">
        <v>0.45811152199139726</v>
      </c>
      <c r="E256"/>
      <c r="F256" s="27" t="s">
        <v>7</v>
      </c>
      <c r="BG256" s="27" t="s">
        <v>8</v>
      </c>
      <c r="BO256" s="27" t="s">
        <v>8</v>
      </c>
      <c r="BT256" s="27" t="s">
        <v>7</v>
      </c>
      <c r="CY256" s="27" t="s">
        <v>8</v>
      </c>
      <c r="CZ256" s="27" t="s">
        <v>7</v>
      </c>
      <c r="DM256" s="27" t="s">
        <v>8</v>
      </c>
      <c r="DN256" s="27" t="s">
        <v>7</v>
      </c>
      <c r="DS256" s="27" t="s">
        <v>8</v>
      </c>
      <c r="DT256" s="27" t="s">
        <v>7</v>
      </c>
      <c r="DW256" s="27" t="s">
        <v>8</v>
      </c>
      <c r="DX256" s="27" t="s">
        <v>7</v>
      </c>
      <c r="DY256" s="27" t="s">
        <v>8</v>
      </c>
      <c r="EB256" s="27" t="s">
        <v>7</v>
      </c>
    </row>
    <row r="257" spans="1:129" x14ac:dyDescent="0.25">
      <c r="A257" s="30">
        <v>0.43629668761085438</v>
      </c>
      <c r="B257"/>
      <c r="C257"/>
      <c r="D257"/>
      <c r="E257"/>
      <c r="F257" s="27" t="s">
        <v>7</v>
      </c>
      <c r="BG257" s="27" t="s">
        <v>8</v>
      </c>
      <c r="BH257" s="27" t="s">
        <v>7</v>
      </c>
      <c r="BI257" s="27" t="s">
        <v>8</v>
      </c>
      <c r="BO257" s="27" t="s">
        <v>8</v>
      </c>
      <c r="BT257" s="27" t="s">
        <v>7</v>
      </c>
      <c r="CY257" s="27" t="s">
        <v>8</v>
      </c>
      <c r="CZ257" s="27" t="s">
        <v>7</v>
      </c>
      <c r="DM257" s="27" t="s">
        <v>8</v>
      </c>
      <c r="DN257" s="27" t="s">
        <v>7</v>
      </c>
      <c r="DO257" s="27" t="s">
        <v>8</v>
      </c>
      <c r="DS257" s="27" t="s">
        <v>8</v>
      </c>
      <c r="DT257" s="27" t="s">
        <v>7</v>
      </c>
      <c r="DU257" s="27" t="s">
        <v>8</v>
      </c>
      <c r="DW257" s="27" t="s">
        <v>8</v>
      </c>
      <c r="DX257" s="27" t="s">
        <v>7</v>
      </c>
      <c r="DY257" s="27" t="s">
        <v>8</v>
      </c>
    </row>
    <row r="258" spans="1:129" x14ac:dyDescent="0.25">
      <c r="A258" s="30">
        <v>0.41552065486748019</v>
      </c>
      <c r="B258"/>
      <c r="C258"/>
      <c r="D258"/>
      <c r="E258"/>
      <c r="F258" s="27" t="s">
        <v>7</v>
      </c>
      <c r="BC258" s="27" t="s">
        <v>8</v>
      </c>
      <c r="BE258" s="27" t="s">
        <v>8</v>
      </c>
      <c r="BG258" s="27" t="s">
        <v>8</v>
      </c>
      <c r="BH258" s="27" t="s">
        <v>7</v>
      </c>
      <c r="BI258" s="27" t="s">
        <v>8</v>
      </c>
      <c r="BJ258" s="27" t="s">
        <v>7</v>
      </c>
      <c r="BK258" s="27" t="s">
        <v>8</v>
      </c>
      <c r="BO258" s="27" t="s">
        <v>8</v>
      </c>
      <c r="BT258" s="27" t="s">
        <v>7</v>
      </c>
      <c r="BU258" s="27" t="s">
        <v>8</v>
      </c>
      <c r="CY258" s="27" t="s">
        <v>8</v>
      </c>
      <c r="CZ258" s="27" t="s">
        <v>7</v>
      </c>
      <c r="DM258" s="27" t="s">
        <v>8</v>
      </c>
      <c r="DN258" s="27" t="s">
        <v>7</v>
      </c>
      <c r="DO258" s="27" t="s">
        <v>8</v>
      </c>
      <c r="DP258" s="27" t="s">
        <v>7</v>
      </c>
      <c r="DS258" s="27" t="s">
        <v>8</v>
      </c>
      <c r="DT258" s="27" t="s">
        <v>7</v>
      </c>
      <c r="DU258" s="27" t="s">
        <v>8</v>
      </c>
      <c r="DV258" s="27" t="s">
        <v>7</v>
      </c>
      <c r="DW258" s="27" t="s">
        <v>8</v>
      </c>
      <c r="DX258" s="27" t="s">
        <v>7</v>
      </c>
    </row>
    <row r="259" spans="1:129" x14ac:dyDescent="0.25">
      <c r="A259" s="30">
        <v>0.39573395701664765</v>
      </c>
      <c r="B259"/>
      <c r="C259"/>
      <c r="D259"/>
      <c r="E259"/>
      <c r="F259" s="27" t="s">
        <v>7</v>
      </c>
      <c r="BC259" s="27" t="s">
        <v>8</v>
      </c>
      <c r="BD259" s="27" t="s">
        <v>7</v>
      </c>
      <c r="BE259" s="27" t="s">
        <v>8</v>
      </c>
      <c r="BF259" s="27" t="s">
        <v>7</v>
      </c>
      <c r="BG259" s="27" t="s">
        <v>8</v>
      </c>
      <c r="BH259" s="27" t="s">
        <v>7</v>
      </c>
      <c r="BI259" s="27" t="s">
        <v>8</v>
      </c>
      <c r="BJ259" s="27" t="s">
        <v>7</v>
      </c>
      <c r="BK259" s="27" t="s">
        <v>8</v>
      </c>
      <c r="BL259" s="27" t="s">
        <v>7</v>
      </c>
      <c r="BO259" s="27" t="s">
        <v>8</v>
      </c>
      <c r="BT259" s="27" t="s">
        <v>7</v>
      </c>
      <c r="BU259" s="27" t="s">
        <v>8</v>
      </c>
      <c r="BV259" s="27" t="s">
        <v>7</v>
      </c>
      <c r="CY259" s="27" t="s">
        <v>8</v>
      </c>
      <c r="CZ259" s="27" t="s">
        <v>7</v>
      </c>
      <c r="DM259" s="27" t="s">
        <v>8</v>
      </c>
      <c r="DN259" s="27" t="s">
        <v>7</v>
      </c>
      <c r="DO259" s="27" t="s">
        <v>8</v>
      </c>
      <c r="DP259" s="27" t="s">
        <v>7</v>
      </c>
      <c r="DS259" s="27" t="s">
        <v>8</v>
      </c>
      <c r="DT259" s="27" t="s">
        <v>7</v>
      </c>
      <c r="DU259" s="27" t="s">
        <v>8</v>
      </c>
      <c r="DV259" s="27" t="s">
        <v>7</v>
      </c>
      <c r="DW259" s="27" t="s">
        <v>8</v>
      </c>
    </row>
    <row r="260" spans="1:129" x14ac:dyDescent="0.25">
      <c r="A260" s="30">
        <v>0.37688948287299762</v>
      </c>
      <c r="B260"/>
      <c r="C260"/>
      <c r="D260"/>
      <c r="E260"/>
      <c r="F260" s="27" t="s">
        <v>7</v>
      </c>
      <c r="BC260" s="27" t="s">
        <v>8</v>
      </c>
      <c r="BD260" s="27" t="s">
        <v>7</v>
      </c>
      <c r="BE260" s="27" t="s">
        <v>8</v>
      </c>
      <c r="BF260" s="27" t="s">
        <v>7</v>
      </c>
      <c r="BG260" s="27" t="s">
        <v>8</v>
      </c>
      <c r="BH260" s="27" t="s">
        <v>7</v>
      </c>
      <c r="BI260" s="27" t="s">
        <v>8</v>
      </c>
      <c r="BJ260" s="27" t="s">
        <v>7</v>
      </c>
      <c r="BK260" s="27" t="s">
        <v>8</v>
      </c>
      <c r="BL260" s="27" t="s">
        <v>7</v>
      </c>
      <c r="BO260" s="27" t="s">
        <v>8</v>
      </c>
      <c r="BT260" s="27" t="s">
        <v>7</v>
      </c>
      <c r="BU260" s="27" t="s">
        <v>8</v>
      </c>
      <c r="BV260" s="27" t="s">
        <v>7</v>
      </c>
      <c r="CY260" s="27" t="s">
        <v>8</v>
      </c>
      <c r="CZ260" s="27" t="s">
        <v>7</v>
      </c>
      <c r="DC260" s="27" t="s">
        <v>8</v>
      </c>
      <c r="DM260" s="27" t="s">
        <v>8</v>
      </c>
      <c r="DN260" s="27" t="s">
        <v>7</v>
      </c>
      <c r="DO260" s="27" t="s">
        <v>8</v>
      </c>
      <c r="DP260" s="27" t="s">
        <v>7</v>
      </c>
      <c r="DQ260" s="27" t="s">
        <v>8</v>
      </c>
      <c r="DS260" s="27" t="s">
        <v>8</v>
      </c>
      <c r="DT260" s="27" t="s">
        <v>7</v>
      </c>
      <c r="DV260" s="27" t="s">
        <v>7</v>
      </c>
    </row>
    <row r="261" spans="1:129" x14ac:dyDescent="0.25">
      <c r="A261" s="30">
        <v>0.35894236464094997</v>
      </c>
      <c r="B261"/>
      <c r="C261"/>
      <c r="D261"/>
      <c r="E261"/>
      <c r="F261" s="27" t="s">
        <v>7</v>
      </c>
      <c r="BC261" s="27" t="s">
        <v>8</v>
      </c>
      <c r="BD261" s="27" t="s">
        <v>7</v>
      </c>
      <c r="BF261" s="27" t="s">
        <v>7</v>
      </c>
      <c r="BG261" s="27" t="s">
        <v>8</v>
      </c>
      <c r="BH261" s="27" t="s">
        <v>7</v>
      </c>
      <c r="BJ261" s="27" t="s">
        <v>7</v>
      </c>
      <c r="BL261" s="27" t="s">
        <v>7</v>
      </c>
      <c r="BO261" s="27" t="s">
        <v>8</v>
      </c>
      <c r="BT261" s="27" t="s">
        <v>7</v>
      </c>
      <c r="BU261" s="27" t="s">
        <v>8</v>
      </c>
      <c r="BV261" s="27" t="s">
        <v>7</v>
      </c>
      <c r="CY261" s="27" t="s">
        <v>8</v>
      </c>
      <c r="CZ261" s="27" t="s">
        <v>7</v>
      </c>
      <c r="DC261" s="27" t="s">
        <v>8</v>
      </c>
      <c r="DD261" s="27" t="s">
        <v>7</v>
      </c>
      <c r="DE261" s="27" t="s">
        <v>8</v>
      </c>
      <c r="DM261" s="27" t="s">
        <v>8</v>
      </c>
      <c r="DN261" s="27" t="s">
        <v>7</v>
      </c>
      <c r="DP261" s="27" t="s">
        <v>7</v>
      </c>
      <c r="DQ261" s="27" t="s">
        <v>8</v>
      </c>
      <c r="DR261" s="27" t="s">
        <v>7</v>
      </c>
      <c r="DS261" s="27" t="s">
        <v>8</v>
      </c>
    </row>
    <row r="262" spans="1:129" x14ac:dyDescent="0.25">
      <c r="A262" s="30">
        <v>0.34184987108661891</v>
      </c>
      <c r="B262"/>
      <c r="C262"/>
      <c r="D262"/>
      <c r="E262"/>
      <c r="F262" s="27" t="s">
        <v>7</v>
      </c>
      <c r="AW262" s="27" t="s">
        <v>8</v>
      </c>
      <c r="AY262" s="27" t="s">
        <v>8</v>
      </c>
      <c r="BC262" s="27" t="s">
        <v>8</v>
      </c>
      <c r="BF262" s="27" t="s">
        <v>7</v>
      </c>
      <c r="BL262" s="27" t="s">
        <v>7</v>
      </c>
      <c r="BO262" s="27" t="s">
        <v>8</v>
      </c>
      <c r="BT262" s="27" t="s">
        <v>7</v>
      </c>
      <c r="BV262" s="27" t="s">
        <v>7</v>
      </c>
      <c r="CS262" s="27" t="s">
        <v>8</v>
      </c>
      <c r="CY262" s="27" t="s">
        <v>8</v>
      </c>
      <c r="CZ262" s="27" t="s">
        <v>7</v>
      </c>
      <c r="DC262" s="27" t="s">
        <v>8</v>
      </c>
      <c r="DD262" s="27" t="s">
        <v>7</v>
      </c>
      <c r="DE262" s="27" t="s">
        <v>8</v>
      </c>
      <c r="DF262" s="27" t="s">
        <v>7</v>
      </c>
      <c r="DG262" s="27" t="s">
        <v>8</v>
      </c>
      <c r="DM262" s="27" t="s">
        <v>8</v>
      </c>
      <c r="DP262" s="27" t="s">
        <v>7</v>
      </c>
      <c r="DQ262" s="27" t="s">
        <v>8</v>
      </c>
      <c r="DR262" s="27" t="s">
        <v>7</v>
      </c>
      <c r="DS262" s="27" t="s">
        <v>8</v>
      </c>
    </row>
    <row r="263" spans="1:129" x14ac:dyDescent="0.25">
      <c r="A263" s="30">
        <v>0.32557130579677979</v>
      </c>
      <c r="B263"/>
      <c r="C263"/>
      <c r="D263"/>
      <c r="E263"/>
      <c r="F263" s="27" t="s">
        <v>7</v>
      </c>
      <c r="AW263" s="27" t="s">
        <v>8</v>
      </c>
      <c r="AX263" s="27" t="s">
        <v>7</v>
      </c>
      <c r="AY263" s="27" t="s">
        <v>8</v>
      </c>
      <c r="AZ263" s="27" t="s">
        <v>7</v>
      </c>
      <c r="BA263" s="27" t="s">
        <v>8</v>
      </c>
      <c r="BC263" s="27" t="s">
        <v>8</v>
      </c>
      <c r="BL263" s="27" t="s">
        <v>7</v>
      </c>
      <c r="BM263" s="27" t="s">
        <v>8</v>
      </c>
      <c r="BO263" s="27" t="s">
        <v>8</v>
      </c>
      <c r="BV263" s="27" t="s">
        <v>7</v>
      </c>
      <c r="CS263" s="27" t="s">
        <v>8</v>
      </c>
      <c r="CT263" s="27" t="s">
        <v>7</v>
      </c>
      <c r="CW263" s="27" t="s">
        <v>8</v>
      </c>
      <c r="CY263" s="27" t="s">
        <v>8</v>
      </c>
      <c r="CZ263" s="27" t="s">
        <v>7</v>
      </c>
      <c r="DC263" s="27" t="s">
        <v>8</v>
      </c>
      <c r="DD263" s="27" t="s">
        <v>7</v>
      </c>
      <c r="DE263" s="27" t="s">
        <v>8</v>
      </c>
      <c r="DF263" s="27" t="s">
        <v>7</v>
      </c>
      <c r="DG263" s="27" t="s">
        <v>8</v>
      </c>
      <c r="DH263" s="27" t="s">
        <v>7</v>
      </c>
      <c r="DI263" s="27" t="s">
        <v>8</v>
      </c>
      <c r="DM263" s="27" t="s">
        <v>8</v>
      </c>
      <c r="DP263" s="27" t="s">
        <v>7</v>
      </c>
      <c r="DQ263" s="27" t="s">
        <v>8</v>
      </c>
      <c r="DR263" s="27" t="s">
        <v>7</v>
      </c>
      <c r="DS263" s="27" t="s">
        <v>8</v>
      </c>
    </row>
    <row r="264" spans="1:129" x14ac:dyDescent="0.25">
      <c r="A264" s="30">
        <v>0.3100679102826473</v>
      </c>
      <c r="B264"/>
      <c r="C264"/>
      <c r="D264"/>
      <c r="E264"/>
      <c r="F264" s="27" t="s">
        <v>7</v>
      </c>
      <c r="AW264" s="27" t="s">
        <v>8</v>
      </c>
      <c r="AX264" s="27" t="s">
        <v>7</v>
      </c>
      <c r="AY264" s="27" t="s">
        <v>8</v>
      </c>
      <c r="AZ264" s="27" t="s">
        <v>7</v>
      </c>
      <c r="BA264" s="27" t="s">
        <v>8</v>
      </c>
      <c r="BB264" s="27" t="s">
        <v>7</v>
      </c>
      <c r="BC264" s="27" t="s">
        <v>8</v>
      </c>
      <c r="BL264" s="27" t="s">
        <v>7</v>
      </c>
      <c r="BM264" s="27" t="s">
        <v>8</v>
      </c>
      <c r="BN264" s="27" t="s">
        <v>7</v>
      </c>
      <c r="BO264" s="27" t="s">
        <v>8</v>
      </c>
      <c r="BV264" s="27" t="s">
        <v>7</v>
      </c>
      <c r="CS264" s="27" t="s">
        <v>8</v>
      </c>
      <c r="CT264" s="27" t="s">
        <v>7</v>
      </c>
      <c r="CW264" s="27" t="s">
        <v>8</v>
      </c>
      <c r="CX264" s="27" t="s">
        <v>7</v>
      </c>
      <c r="CY264" s="27" t="s">
        <v>8</v>
      </c>
      <c r="CZ264" s="27" t="s">
        <v>7</v>
      </c>
      <c r="DA264" s="27" t="s">
        <v>8</v>
      </c>
      <c r="DC264" s="27" t="s">
        <v>8</v>
      </c>
      <c r="DD264" s="27" t="s">
        <v>7</v>
      </c>
      <c r="DE264" s="27" t="s">
        <v>8</v>
      </c>
      <c r="DF264" s="27" t="s">
        <v>7</v>
      </c>
      <c r="DG264" s="27" t="s">
        <v>8</v>
      </c>
      <c r="DH264" s="27" t="s">
        <v>7</v>
      </c>
      <c r="DI264" s="27" t="s">
        <v>8</v>
      </c>
      <c r="DJ264" s="27" t="s">
        <v>7</v>
      </c>
      <c r="DK264" s="27" t="s">
        <v>8</v>
      </c>
      <c r="DM264" s="27" t="s">
        <v>8</v>
      </c>
      <c r="DP264" s="27" t="s">
        <v>7</v>
      </c>
      <c r="DR264" s="27" t="s">
        <v>7</v>
      </c>
    </row>
    <row r="265" spans="1:129" x14ac:dyDescent="0.25">
      <c r="A265" s="30">
        <v>0.2953027716977592</v>
      </c>
      <c r="B265"/>
      <c r="C265"/>
      <c r="D265"/>
      <c r="E265"/>
      <c r="F265" s="27" t="s">
        <v>7</v>
      </c>
      <c r="AU265" s="27" t="s">
        <v>8</v>
      </c>
      <c r="AW265" s="27" t="s">
        <v>8</v>
      </c>
      <c r="AX265" s="27" t="s">
        <v>7</v>
      </c>
      <c r="AZ265" s="27" t="s">
        <v>7</v>
      </c>
      <c r="BA265" s="27" t="s">
        <v>8</v>
      </c>
      <c r="BB265" s="27" t="s">
        <v>7</v>
      </c>
      <c r="BC265" s="27" t="s">
        <v>8</v>
      </c>
      <c r="BL265" s="27" t="s">
        <v>7</v>
      </c>
      <c r="BM265" s="27" t="s">
        <v>8</v>
      </c>
      <c r="BN265" s="27" t="s">
        <v>7</v>
      </c>
      <c r="BO265" s="27" t="s">
        <v>8</v>
      </c>
      <c r="BV265" s="27" t="s">
        <v>7</v>
      </c>
      <c r="CS265" s="27" t="s">
        <v>8</v>
      </c>
      <c r="CT265" s="27" t="s">
        <v>7</v>
      </c>
      <c r="CW265" s="27" t="s">
        <v>8</v>
      </c>
      <c r="CX265" s="27" t="s">
        <v>7</v>
      </c>
      <c r="CY265" s="27" t="s">
        <v>8</v>
      </c>
      <c r="CZ265" s="27" t="s">
        <v>7</v>
      </c>
      <c r="DA265" s="27" t="s">
        <v>8</v>
      </c>
      <c r="DB265" s="27" t="s">
        <v>7</v>
      </c>
      <c r="DC265" s="27" t="s">
        <v>8</v>
      </c>
      <c r="DD265" s="27" t="s">
        <v>7</v>
      </c>
      <c r="DF265" s="27" t="s">
        <v>7</v>
      </c>
      <c r="DG265" s="27" t="s">
        <v>8</v>
      </c>
      <c r="DH265" s="27" t="s">
        <v>7</v>
      </c>
      <c r="DI265" s="27" t="s">
        <v>8</v>
      </c>
      <c r="DJ265" s="27" t="s">
        <v>7</v>
      </c>
      <c r="DK265" s="27" t="s">
        <v>8</v>
      </c>
      <c r="DL265" s="27" t="s">
        <v>7</v>
      </c>
      <c r="DM265" s="27" t="s">
        <v>8</v>
      </c>
    </row>
    <row r="266" spans="1:129" x14ac:dyDescent="0.25">
      <c r="A266" s="30">
        <v>0.28124073495024676</v>
      </c>
      <c r="B266"/>
      <c r="C266"/>
      <c r="D266"/>
      <c r="E266"/>
      <c r="F266" s="27" t="s">
        <v>7</v>
      </c>
      <c r="AU266" s="27" t="s">
        <v>8</v>
      </c>
      <c r="AV266" s="27" t="s">
        <v>7</v>
      </c>
      <c r="AW266" s="27" t="s">
        <v>8</v>
      </c>
      <c r="AZ266" s="27" t="s">
        <v>7</v>
      </c>
      <c r="BB266" s="27" t="s">
        <v>7</v>
      </c>
      <c r="BC266" s="27" t="s">
        <v>8</v>
      </c>
      <c r="BL266" s="27" t="s">
        <v>7</v>
      </c>
      <c r="BN266" s="27" t="s">
        <v>7</v>
      </c>
      <c r="BO266" s="27" t="s">
        <v>8</v>
      </c>
      <c r="BV266" s="27" t="s">
        <v>7</v>
      </c>
      <c r="CS266" s="27" t="s">
        <v>8</v>
      </c>
      <c r="CT266" s="27" t="s">
        <v>7</v>
      </c>
      <c r="CW266" s="27" t="s">
        <v>8</v>
      </c>
      <c r="CX266" s="27" t="s">
        <v>7</v>
      </c>
      <c r="CY266" s="27" t="s">
        <v>8</v>
      </c>
      <c r="CZ266" s="27" t="s">
        <v>7</v>
      </c>
      <c r="DA266" s="27" t="s">
        <v>8</v>
      </c>
      <c r="DB266" s="27" t="s">
        <v>7</v>
      </c>
      <c r="DC266" s="27" t="s">
        <v>8</v>
      </c>
      <c r="DF266" s="27" t="s">
        <v>7</v>
      </c>
      <c r="DG266" s="27" t="s">
        <v>8</v>
      </c>
      <c r="DH266" s="27" t="s">
        <v>7</v>
      </c>
      <c r="DJ266" s="27" t="s">
        <v>7</v>
      </c>
      <c r="DK266" s="27" t="s">
        <v>8</v>
      </c>
      <c r="DL266" s="27" t="s">
        <v>7</v>
      </c>
      <c r="DM266" s="27" t="s">
        <v>8</v>
      </c>
    </row>
    <row r="267" spans="1:129" x14ac:dyDescent="0.25">
      <c r="A267" s="30">
        <v>0.26784831900023492</v>
      </c>
      <c r="B267"/>
      <c r="C267"/>
      <c r="D267"/>
      <c r="E267"/>
      <c r="F267" s="27" t="s">
        <v>7</v>
      </c>
      <c r="AU267" s="27" t="s">
        <v>8</v>
      </c>
      <c r="AV267" s="27" t="s">
        <v>7</v>
      </c>
      <c r="AW267" s="27" t="s">
        <v>8</v>
      </c>
      <c r="BB267" s="27" t="s">
        <v>7</v>
      </c>
      <c r="BC267" s="27" t="s">
        <v>8</v>
      </c>
      <c r="BN267" s="27" t="s">
        <v>7</v>
      </c>
      <c r="BV267" s="27" t="s">
        <v>7</v>
      </c>
      <c r="BY267" s="27" t="s">
        <v>8</v>
      </c>
      <c r="CS267" s="27" t="s">
        <v>8</v>
      </c>
      <c r="CT267" s="27" t="s">
        <v>7</v>
      </c>
      <c r="CU267" s="27" t="s">
        <v>8</v>
      </c>
      <c r="CW267" s="27" t="s">
        <v>8</v>
      </c>
      <c r="CX267" s="27" t="s">
        <v>7</v>
      </c>
      <c r="CY267" s="27" t="s">
        <v>8</v>
      </c>
      <c r="CZ267" s="27" t="s">
        <v>7</v>
      </c>
      <c r="DB267" s="27" t="s">
        <v>7</v>
      </c>
      <c r="DC267" s="27" t="s">
        <v>8</v>
      </c>
      <c r="DF267" s="27" t="s">
        <v>7</v>
      </c>
      <c r="DG267" s="27" t="s">
        <v>8</v>
      </c>
      <c r="DJ267" s="27" t="s">
        <v>7</v>
      </c>
      <c r="DL267" s="27" t="s">
        <v>7</v>
      </c>
    </row>
    <row r="268" spans="1:129" x14ac:dyDescent="0.25">
      <c r="A268" s="30">
        <v>0.25509363714308075</v>
      </c>
      <c r="B268"/>
      <c r="C268"/>
      <c r="D268"/>
      <c r="E268"/>
      <c r="F268" s="27" t="s">
        <v>7</v>
      </c>
      <c r="AU268" s="27" t="s">
        <v>8</v>
      </c>
      <c r="AV268" s="27" t="s">
        <v>7</v>
      </c>
      <c r="AW268" s="27" t="s">
        <v>8</v>
      </c>
      <c r="BB268" s="27" t="s">
        <v>7</v>
      </c>
      <c r="BV268" s="27" t="s">
        <v>7</v>
      </c>
      <c r="BY268" s="27" t="s">
        <v>8</v>
      </c>
      <c r="BZ268" s="27" t="s">
        <v>7</v>
      </c>
      <c r="CS268" s="27" t="s">
        <v>8</v>
      </c>
      <c r="CT268" s="27" t="s">
        <v>7</v>
      </c>
      <c r="CU268" s="27" t="s">
        <v>8</v>
      </c>
      <c r="CV268" s="27" t="s">
        <v>7</v>
      </c>
      <c r="CW268" s="27" t="s">
        <v>8</v>
      </c>
      <c r="CX268" s="27" t="s">
        <v>7</v>
      </c>
      <c r="DB268" s="27" t="s">
        <v>7</v>
      </c>
      <c r="DF268" s="27" t="s">
        <v>7</v>
      </c>
      <c r="DG268" s="27" t="s">
        <v>8</v>
      </c>
    </row>
    <row r="269" spans="1:129" x14ac:dyDescent="0.25">
      <c r="A269" s="30">
        <v>0.24294632108864825</v>
      </c>
      <c r="B269"/>
      <c r="C269"/>
      <c r="D269"/>
      <c r="E269"/>
      <c r="F269" s="27" t="s">
        <v>7</v>
      </c>
      <c r="AQ269" s="27" t="s">
        <v>8</v>
      </c>
      <c r="AU269" s="27" t="s">
        <v>8</v>
      </c>
      <c r="AV269" s="27" t="s">
        <v>7</v>
      </c>
      <c r="BV269" s="27" t="s">
        <v>7</v>
      </c>
      <c r="BW269" s="27" t="s">
        <v>8</v>
      </c>
      <c r="BY269" s="27" t="s">
        <v>8</v>
      </c>
      <c r="BZ269" s="27" t="s">
        <v>7</v>
      </c>
      <c r="CA269" s="27" t="s">
        <v>8</v>
      </c>
      <c r="CS269" s="27" t="s">
        <v>8</v>
      </c>
      <c r="CT269" s="27" t="s">
        <v>7</v>
      </c>
      <c r="CU269" s="27" t="s">
        <v>8</v>
      </c>
      <c r="CV269" s="27" t="s">
        <v>7</v>
      </c>
      <c r="CW269" s="27" t="s">
        <v>8</v>
      </c>
      <c r="DF269" s="27" t="s">
        <v>7</v>
      </c>
    </row>
    <row r="270" spans="1:129" x14ac:dyDescent="0.25">
      <c r="A270" s="30">
        <v>0.23137744865585538</v>
      </c>
      <c r="B270"/>
      <c r="C270"/>
      <c r="D270"/>
      <c r="E270"/>
      <c r="F270" s="27" t="s">
        <v>7</v>
      </c>
      <c r="AI270" s="27" t="s">
        <v>8</v>
      </c>
      <c r="AQ270" s="27" t="s">
        <v>8</v>
      </c>
      <c r="AR270" s="27" t="s">
        <v>7</v>
      </c>
      <c r="AS270" s="27" t="s">
        <v>8</v>
      </c>
      <c r="AU270" s="27" t="s">
        <v>8</v>
      </c>
      <c r="BV270" s="27" t="s">
        <v>7</v>
      </c>
      <c r="BW270" s="27" t="s">
        <v>8</v>
      </c>
      <c r="BX270" s="27" t="s">
        <v>7</v>
      </c>
      <c r="BY270" s="27" t="s">
        <v>8</v>
      </c>
      <c r="BZ270" s="27" t="s">
        <v>7</v>
      </c>
      <c r="CA270" s="27" t="s">
        <v>8</v>
      </c>
      <c r="CB270" s="27" t="s">
        <v>7</v>
      </c>
      <c r="CS270" s="27" t="s">
        <v>8</v>
      </c>
      <c r="CT270" s="27" t="s">
        <v>7</v>
      </c>
      <c r="CU270" s="27" t="s">
        <v>8</v>
      </c>
      <c r="CV270" s="27" t="s">
        <v>7</v>
      </c>
    </row>
    <row r="271" spans="1:129" x14ac:dyDescent="0.25">
      <c r="A271" s="30">
        <v>0.22035947491033836</v>
      </c>
      <c r="B271"/>
      <c r="C271"/>
      <c r="D271"/>
      <c r="E271"/>
      <c r="F271" s="27" t="s">
        <v>7</v>
      </c>
      <c r="AI271" s="27" t="s">
        <v>8</v>
      </c>
      <c r="AJ271" s="27" t="s">
        <v>7</v>
      </c>
      <c r="AQ271" s="27" t="s">
        <v>8</v>
      </c>
      <c r="AR271" s="27" t="s">
        <v>7</v>
      </c>
      <c r="AS271" s="27" t="s">
        <v>8</v>
      </c>
      <c r="AT271" s="27" t="s">
        <v>7</v>
      </c>
      <c r="AU271" s="27" t="s">
        <v>8</v>
      </c>
      <c r="BV271" s="27" t="s">
        <v>7</v>
      </c>
      <c r="BW271" s="27" t="s">
        <v>8</v>
      </c>
      <c r="BX271" s="27" t="s">
        <v>7</v>
      </c>
      <c r="BY271" s="27" t="s">
        <v>8</v>
      </c>
      <c r="BZ271" s="27" t="s">
        <v>7</v>
      </c>
      <c r="CA271" s="27" t="s">
        <v>8</v>
      </c>
      <c r="CB271" s="27" t="s">
        <v>7</v>
      </c>
      <c r="CQ271" s="27" t="s">
        <v>8</v>
      </c>
      <c r="CS271" s="27" t="s">
        <v>8</v>
      </c>
      <c r="CT271" s="27" t="s">
        <v>7</v>
      </c>
    </row>
    <row r="272" spans="1:129" x14ac:dyDescent="0.25">
      <c r="A272" s="30">
        <v>0.20986616658127455</v>
      </c>
      <c r="B272"/>
      <c r="C272"/>
      <c r="D272"/>
      <c r="E272"/>
      <c r="F272" s="27" t="s">
        <v>7</v>
      </c>
      <c r="AI272" s="27" t="s">
        <v>8</v>
      </c>
      <c r="AJ272" s="27" t="s">
        <v>7</v>
      </c>
      <c r="AQ272" s="27" t="s">
        <v>8</v>
      </c>
      <c r="AR272" s="27" t="s">
        <v>7</v>
      </c>
      <c r="AS272" s="27" t="s">
        <v>8</v>
      </c>
      <c r="AT272" s="27" t="s">
        <v>7</v>
      </c>
      <c r="AU272" s="27" t="s">
        <v>8</v>
      </c>
      <c r="BV272" s="27" t="s">
        <v>7</v>
      </c>
      <c r="BW272" s="27" t="s">
        <v>8</v>
      </c>
      <c r="BX272" s="27" t="s">
        <v>7</v>
      </c>
      <c r="BY272" s="27" t="s">
        <v>8</v>
      </c>
      <c r="BZ272" s="27" t="s">
        <v>7</v>
      </c>
      <c r="CA272" s="27" t="s">
        <v>8</v>
      </c>
      <c r="CB272" s="27" t="s">
        <v>7</v>
      </c>
      <c r="CQ272" s="27" t="s">
        <v>8</v>
      </c>
      <c r="CR272" s="27" t="s">
        <v>7</v>
      </c>
      <c r="CS272" s="27" t="s">
        <v>8</v>
      </c>
    </row>
    <row r="273" spans="1:97" x14ac:dyDescent="0.25">
      <c r="A273" s="30">
        <v>0.19987253960121379</v>
      </c>
      <c r="B273"/>
      <c r="C273"/>
      <c r="D273"/>
      <c r="E273"/>
      <c r="F273" s="27" t="s">
        <v>7</v>
      </c>
      <c r="AI273" s="27" t="s">
        <v>8</v>
      </c>
      <c r="AJ273" s="27" t="s">
        <v>7</v>
      </c>
      <c r="AQ273" s="27" t="s">
        <v>8</v>
      </c>
      <c r="AR273" s="27" t="s">
        <v>7</v>
      </c>
      <c r="AS273" s="27" t="s">
        <v>8</v>
      </c>
      <c r="AT273" s="27" t="s">
        <v>7</v>
      </c>
      <c r="BV273" s="27" t="s">
        <v>7</v>
      </c>
      <c r="BW273" s="27" t="s">
        <v>8</v>
      </c>
      <c r="BX273" s="27" t="s">
        <v>7</v>
      </c>
      <c r="BY273" s="27" t="s">
        <v>8</v>
      </c>
      <c r="BZ273" s="27" t="s">
        <v>7</v>
      </c>
      <c r="CB273" s="27" t="s">
        <v>7</v>
      </c>
      <c r="CQ273" s="27" t="s">
        <v>8</v>
      </c>
      <c r="CR273" s="27" t="s">
        <v>7</v>
      </c>
      <c r="CS273" s="27" t="s">
        <v>8</v>
      </c>
    </row>
    <row r="274" spans="1:97" x14ac:dyDescent="0.25">
      <c r="A274" s="30">
        <v>0.19035479962020352</v>
      </c>
      <c r="B274"/>
      <c r="C274"/>
      <c r="D274"/>
      <c r="E274"/>
      <c r="F274" s="27" t="s">
        <v>7</v>
      </c>
      <c r="AI274" s="27" t="s">
        <v>8</v>
      </c>
      <c r="AJ274" s="27" t="s">
        <v>7</v>
      </c>
      <c r="AQ274" s="27" t="s">
        <v>8</v>
      </c>
      <c r="AR274" s="27" t="s">
        <v>7</v>
      </c>
      <c r="BV274" s="27" t="s">
        <v>7</v>
      </c>
      <c r="BW274" s="27" t="s">
        <v>8</v>
      </c>
      <c r="BX274" s="27" t="s">
        <v>7</v>
      </c>
      <c r="BY274" s="27" t="s">
        <v>8</v>
      </c>
      <c r="CB274" s="27" t="s">
        <v>7</v>
      </c>
      <c r="CC274" s="27" t="s">
        <v>8</v>
      </c>
      <c r="CE274" s="27" t="s">
        <v>8</v>
      </c>
      <c r="CQ274" s="27" t="s">
        <v>8</v>
      </c>
      <c r="CR274" s="27" t="s">
        <v>7</v>
      </c>
      <c r="CS274" s="27" t="s">
        <v>8</v>
      </c>
    </row>
    <row r="275" spans="1:97" x14ac:dyDescent="0.25">
      <c r="A275" s="30">
        <v>0.18129028535257471</v>
      </c>
      <c r="B275"/>
      <c r="C275"/>
      <c r="D275"/>
      <c r="E275"/>
      <c r="F275" s="27" t="s">
        <v>7</v>
      </c>
      <c r="AI275" s="27" t="s">
        <v>8</v>
      </c>
      <c r="AJ275" s="27" t="s">
        <v>7</v>
      </c>
      <c r="AQ275" s="27" t="s">
        <v>8</v>
      </c>
      <c r="BV275" s="27" t="s">
        <v>7</v>
      </c>
      <c r="BW275" s="27" t="s">
        <v>8</v>
      </c>
      <c r="BX275" s="27" t="s">
        <v>7</v>
      </c>
      <c r="BY275" s="27" t="s">
        <v>8</v>
      </c>
      <c r="CB275" s="27" t="s">
        <v>7</v>
      </c>
      <c r="CC275" s="27" t="s">
        <v>8</v>
      </c>
      <c r="CD275" s="27" t="s">
        <v>7</v>
      </c>
      <c r="CE275" s="27" t="s">
        <v>8</v>
      </c>
      <c r="CF275" s="27" t="s">
        <v>7</v>
      </c>
      <c r="CO275" s="27" t="s">
        <v>8</v>
      </c>
      <c r="CQ275" s="27" t="s">
        <v>8</v>
      </c>
      <c r="CR275" s="27" t="s">
        <v>7</v>
      </c>
    </row>
    <row r="276" spans="1:97" x14ac:dyDescent="0.25">
      <c r="A276" s="30">
        <v>0.17265741462149967</v>
      </c>
      <c r="B276"/>
      <c r="C276"/>
      <c r="D276"/>
      <c r="E276"/>
      <c r="F276" s="27" t="s">
        <v>7</v>
      </c>
      <c r="AG276" s="27" t="s">
        <v>8</v>
      </c>
      <c r="AI276" s="27" t="s">
        <v>8</v>
      </c>
      <c r="AJ276" s="27" t="s">
        <v>7</v>
      </c>
      <c r="AO276" s="27" t="s">
        <v>8</v>
      </c>
      <c r="AQ276" s="27" t="s">
        <v>8</v>
      </c>
      <c r="BV276" s="27" t="s">
        <v>7</v>
      </c>
      <c r="BW276" s="27" t="s">
        <v>8</v>
      </c>
      <c r="BX276" s="27" t="s">
        <v>7</v>
      </c>
      <c r="BY276" s="27" t="s">
        <v>8</v>
      </c>
      <c r="CB276" s="27" t="s">
        <v>7</v>
      </c>
      <c r="CC276" s="27" t="s">
        <v>8</v>
      </c>
      <c r="CD276" s="27" t="s">
        <v>7</v>
      </c>
      <c r="CE276" s="27" t="s">
        <v>8</v>
      </c>
      <c r="CF276" s="27" t="s">
        <v>7</v>
      </c>
      <c r="CO276" s="27" t="s">
        <v>8</v>
      </c>
      <c r="CP276" s="27" t="s">
        <v>7</v>
      </c>
      <c r="CQ276" s="27" t="s">
        <v>8</v>
      </c>
    </row>
    <row r="277" spans="1:97" x14ac:dyDescent="0.25">
      <c r="A277" s="30">
        <v>0.16443563297285677</v>
      </c>
      <c r="B277"/>
      <c r="C277"/>
      <c r="D277"/>
      <c r="E277"/>
      <c r="F277" s="27" t="s">
        <v>7</v>
      </c>
      <c r="AG277" s="27" t="s">
        <v>8</v>
      </c>
      <c r="AH277" s="27" t="s">
        <v>7</v>
      </c>
      <c r="AI277" s="27" t="s">
        <v>8</v>
      </c>
      <c r="AJ277" s="27" t="s">
        <v>7</v>
      </c>
      <c r="AO277" s="27" t="s">
        <v>8</v>
      </c>
      <c r="AP277" s="27" t="s">
        <v>7</v>
      </c>
      <c r="AQ277" s="27" t="s">
        <v>8</v>
      </c>
      <c r="BV277" s="27" t="s">
        <v>7</v>
      </c>
      <c r="BW277" s="27" t="s">
        <v>8</v>
      </c>
      <c r="BX277" s="27" t="s">
        <v>7</v>
      </c>
      <c r="BY277" s="27" t="s">
        <v>8</v>
      </c>
      <c r="CB277" s="27" t="s">
        <v>7</v>
      </c>
      <c r="CC277" s="27" t="s">
        <v>8</v>
      </c>
      <c r="CD277" s="27" t="s">
        <v>7</v>
      </c>
      <c r="CE277" s="27" t="s">
        <v>8</v>
      </c>
      <c r="CF277" s="27" t="s">
        <v>7</v>
      </c>
      <c r="CO277" s="27" t="s">
        <v>8</v>
      </c>
      <c r="CP277" s="27" t="s">
        <v>7</v>
      </c>
      <c r="CQ277" s="27" t="s">
        <v>8</v>
      </c>
    </row>
    <row r="278" spans="1:97" x14ac:dyDescent="0.25">
      <c r="A278" s="30">
        <v>0.15660536473605399</v>
      </c>
      <c r="B278"/>
      <c r="C278"/>
      <c r="D278"/>
      <c r="E278"/>
      <c r="F278" s="27" t="s">
        <v>7</v>
      </c>
      <c r="AG278" s="27" t="s">
        <v>8</v>
      </c>
      <c r="AH278" s="27" t="s">
        <v>7</v>
      </c>
      <c r="AI278" s="27" t="s">
        <v>8</v>
      </c>
      <c r="AJ278" s="27" t="s">
        <v>7</v>
      </c>
      <c r="AK278" s="27" t="s">
        <v>8</v>
      </c>
      <c r="AM278" s="27" t="s">
        <v>8</v>
      </c>
      <c r="AO278" s="27" t="s">
        <v>8</v>
      </c>
      <c r="AP278" s="27" t="s">
        <v>7</v>
      </c>
      <c r="AQ278" s="27" t="s">
        <v>8</v>
      </c>
      <c r="BV278" s="27" t="s">
        <v>7</v>
      </c>
      <c r="BX278" s="27" t="s">
        <v>7</v>
      </c>
      <c r="BY278" s="27" t="s">
        <v>8</v>
      </c>
      <c r="CB278" s="27" t="s">
        <v>7</v>
      </c>
      <c r="CD278" s="27" t="s">
        <v>7</v>
      </c>
      <c r="CE278" s="27" t="s">
        <v>8</v>
      </c>
      <c r="CF278" s="27" t="s">
        <v>7</v>
      </c>
      <c r="CO278" s="27" t="s">
        <v>8</v>
      </c>
      <c r="CP278" s="27" t="s">
        <v>7</v>
      </c>
    </row>
    <row r="279" spans="1:97" x14ac:dyDescent="0.25">
      <c r="A279" s="30">
        <v>0.14914796641528946</v>
      </c>
      <c r="B279"/>
      <c r="C279"/>
      <c r="D279"/>
      <c r="E279"/>
      <c r="F279" s="27" t="s">
        <v>7</v>
      </c>
      <c r="AG279" s="27" t="s">
        <v>8</v>
      </c>
      <c r="AH279" s="27" t="s">
        <v>7</v>
      </c>
      <c r="AI279" s="27" t="s">
        <v>8</v>
      </c>
      <c r="AJ279" s="27" t="s">
        <v>7</v>
      </c>
      <c r="AK279" s="27" t="s">
        <v>8</v>
      </c>
      <c r="AL279" s="27" t="s">
        <v>7</v>
      </c>
      <c r="AM279" s="27" t="s">
        <v>8</v>
      </c>
      <c r="AN279" s="27" t="s">
        <v>7</v>
      </c>
      <c r="AO279" s="27" t="s">
        <v>8</v>
      </c>
      <c r="AP279" s="27" t="s">
        <v>7</v>
      </c>
      <c r="BX279" s="27" t="s">
        <v>7</v>
      </c>
      <c r="BY279" s="27" t="s">
        <v>8</v>
      </c>
      <c r="CD279" s="27" t="s">
        <v>7</v>
      </c>
      <c r="CF279" s="27" t="s">
        <v>7</v>
      </c>
      <c r="CK279" s="27" t="s">
        <v>8</v>
      </c>
      <c r="CO279" s="27" t="s">
        <v>8</v>
      </c>
    </row>
    <row r="280" spans="1:97" x14ac:dyDescent="0.25">
      <c r="A280" s="30">
        <v>0.14204568230027562</v>
      </c>
      <c r="B280"/>
      <c r="C280"/>
      <c r="D280"/>
      <c r="E280"/>
      <c r="F280" s="27" t="s">
        <v>7</v>
      </c>
      <c r="AG280" s="27" t="s">
        <v>8</v>
      </c>
      <c r="AH280" s="27" t="s">
        <v>7</v>
      </c>
      <c r="AI280" s="27" t="s">
        <v>8</v>
      </c>
      <c r="AJ280" s="27" t="s">
        <v>7</v>
      </c>
      <c r="AK280" s="27" t="s">
        <v>8</v>
      </c>
      <c r="AL280" s="27" t="s">
        <v>7</v>
      </c>
      <c r="AM280" s="27" t="s">
        <v>8</v>
      </c>
      <c r="AN280" s="27" t="s">
        <v>7</v>
      </c>
      <c r="AO280" s="27" t="s">
        <v>8</v>
      </c>
      <c r="BX280" s="27" t="s">
        <v>7</v>
      </c>
      <c r="BY280" s="27" t="s">
        <v>8</v>
      </c>
      <c r="CF280" s="27" t="s">
        <v>7</v>
      </c>
      <c r="CI280" s="27" t="s">
        <v>8</v>
      </c>
      <c r="CK280" s="27" t="s">
        <v>8</v>
      </c>
      <c r="CL280" s="27" t="s">
        <v>7</v>
      </c>
      <c r="CM280" s="27" t="s">
        <v>8</v>
      </c>
      <c r="CO280" s="27" t="s">
        <v>8</v>
      </c>
    </row>
    <row r="281" spans="1:97" x14ac:dyDescent="0.25">
      <c r="A281" s="30">
        <v>0.13528160219073862</v>
      </c>
      <c r="B281"/>
      <c r="C281"/>
      <c r="D281"/>
      <c r="E281"/>
      <c r="F281" s="27" t="s">
        <v>7</v>
      </c>
      <c r="K281" s="27" t="s">
        <v>8</v>
      </c>
      <c r="AG281" s="27" t="s">
        <v>8</v>
      </c>
      <c r="AH281" s="27" t="s">
        <v>7</v>
      </c>
      <c r="AJ281" s="27" t="s">
        <v>7</v>
      </c>
      <c r="AK281" s="27" t="s">
        <v>8</v>
      </c>
      <c r="AL281" s="27" t="s">
        <v>7</v>
      </c>
      <c r="AM281" s="27" t="s">
        <v>8</v>
      </c>
      <c r="AN281" s="27" t="s">
        <v>7</v>
      </c>
      <c r="BX281" s="27" t="s">
        <v>7</v>
      </c>
      <c r="BY281" s="27" t="s">
        <v>8</v>
      </c>
      <c r="CF281" s="27" t="s">
        <v>7</v>
      </c>
      <c r="CG281" s="27" t="s">
        <v>8</v>
      </c>
      <c r="CI281" s="27" t="s">
        <v>8</v>
      </c>
      <c r="CJ281" s="27" t="s">
        <v>7</v>
      </c>
      <c r="CK281" s="27" t="s">
        <v>8</v>
      </c>
      <c r="CL281" s="27" t="s">
        <v>7</v>
      </c>
      <c r="CM281" s="27" t="s">
        <v>8</v>
      </c>
      <c r="CN281" s="27" t="s">
        <v>7</v>
      </c>
      <c r="CO281" s="27" t="s">
        <v>8</v>
      </c>
    </row>
    <row r="282" spans="1:97" x14ac:dyDescent="0.25">
      <c r="A282" s="30">
        <v>0.12883962113403674</v>
      </c>
      <c r="B282"/>
      <c r="C282"/>
      <c r="D282"/>
      <c r="E282"/>
      <c r="F282" s="27" t="s">
        <v>7</v>
      </c>
      <c r="K282" s="27" t="s">
        <v>8</v>
      </c>
      <c r="L282" s="27" t="s">
        <v>7</v>
      </c>
      <c r="AG282" s="27" t="s">
        <v>8</v>
      </c>
      <c r="AJ282" s="27" t="s">
        <v>7</v>
      </c>
      <c r="AK282" s="27" t="s">
        <v>8</v>
      </c>
      <c r="AL282" s="27" t="s">
        <v>7</v>
      </c>
      <c r="BX282" s="27" t="s">
        <v>7</v>
      </c>
      <c r="CF282" s="27" t="s">
        <v>7</v>
      </c>
      <c r="CG282" s="27" t="s">
        <v>8</v>
      </c>
      <c r="CH282" s="27" t="s">
        <v>7</v>
      </c>
      <c r="CI282" s="27" t="s">
        <v>8</v>
      </c>
      <c r="CJ282" s="27" t="s">
        <v>7</v>
      </c>
      <c r="CK282" s="27" t="s">
        <v>8</v>
      </c>
      <c r="CL282" s="27" t="s">
        <v>7</v>
      </c>
      <c r="CM282" s="27" t="s">
        <v>8</v>
      </c>
      <c r="CN282" s="27" t="s">
        <v>7</v>
      </c>
      <c r="CO282" s="27" t="s">
        <v>8</v>
      </c>
    </row>
    <row r="283" spans="1:97" x14ac:dyDescent="0.25">
      <c r="A283" s="30">
        <v>0.12270440108003494</v>
      </c>
      <c r="B283"/>
      <c r="C283"/>
      <c r="D283"/>
      <c r="E283"/>
      <c r="F283" s="27" t="s">
        <v>7</v>
      </c>
      <c r="K283" s="27" t="s">
        <v>8</v>
      </c>
      <c r="L283" s="27" t="s">
        <v>7</v>
      </c>
      <c r="AE283" s="27" t="s">
        <v>8</v>
      </c>
      <c r="AG283" s="27" t="s">
        <v>8</v>
      </c>
      <c r="AJ283" s="27" t="s">
        <v>7</v>
      </c>
      <c r="CF283" s="27" t="s">
        <v>7</v>
      </c>
      <c r="CG283" s="27" t="s">
        <v>8</v>
      </c>
      <c r="CH283" s="27" t="s">
        <v>7</v>
      </c>
      <c r="CI283" s="27" t="s">
        <v>8</v>
      </c>
      <c r="CJ283" s="27" t="s">
        <v>7</v>
      </c>
      <c r="CK283" s="27" t="s">
        <v>8</v>
      </c>
      <c r="CL283" s="27" t="s">
        <v>7</v>
      </c>
      <c r="CM283" s="27" t="s">
        <v>8</v>
      </c>
      <c r="CN283" s="27" t="s">
        <v>7</v>
      </c>
      <c r="CO283" s="27" t="s">
        <v>8</v>
      </c>
    </row>
    <row r="284" spans="1:97" x14ac:dyDescent="0.25">
      <c r="A284" s="30">
        <v>0.11686133436193799</v>
      </c>
      <c r="B284"/>
      <c r="C284"/>
      <c r="D284"/>
      <c r="E284"/>
      <c r="F284" s="27" t="s">
        <v>7</v>
      </c>
      <c r="I284" s="27" t="s">
        <v>8</v>
      </c>
      <c r="K284" s="27" t="s">
        <v>8</v>
      </c>
      <c r="L284" s="27" t="s">
        <v>7</v>
      </c>
      <c r="AE284" s="27" t="s">
        <v>8</v>
      </c>
      <c r="AF284" s="27" t="s">
        <v>7</v>
      </c>
      <c r="AG284" s="27" t="s">
        <v>8</v>
      </c>
      <c r="CF284" s="27" t="s">
        <v>7</v>
      </c>
      <c r="CG284" s="27" t="s">
        <v>8</v>
      </c>
      <c r="CH284" s="27" t="s">
        <v>7</v>
      </c>
      <c r="CI284" s="27" t="s">
        <v>8</v>
      </c>
      <c r="CJ284" s="27" t="s">
        <v>7</v>
      </c>
      <c r="CL284" s="27" t="s">
        <v>7</v>
      </c>
      <c r="CN284" s="27" t="s">
        <v>7</v>
      </c>
      <c r="CO284" s="27" t="s">
        <v>8</v>
      </c>
    </row>
    <row r="285" spans="1:97" x14ac:dyDescent="0.25">
      <c r="A285" s="30">
        <v>0.11129650891613138</v>
      </c>
      <c r="B285"/>
      <c r="C285"/>
      <c r="D285"/>
      <c r="E285"/>
      <c r="F285" s="27" t="s">
        <v>7</v>
      </c>
      <c r="I285" s="27" t="s">
        <v>8</v>
      </c>
      <c r="J285" s="27" t="s">
        <v>7</v>
      </c>
      <c r="K285" s="27" t="s">
        <v>8</v>
      </c>
      <c r="L285" s="27" t="s">
        <v>7</v>
      </c>
      <c r="AE285" s="27" t="s">
        <v>8</v>
      </c>
      <c r="AF285" s="27" t="s">
        <v>7</v>
      </c>
      <c r="AG285" s="27" t="s">
        <v>8</v>
      </c>
      <c r="CF285" s="27" t="s">
        <v>7</v>
      </c>
      <c r="CG285" s="27" t="s">
        <v>8</v>
      </c>
      <c r="CH285" s="27" t="s">
        <v>7</v>
      </c>
      <c r="CI285" s="27" t="s">
        <v>8</v>
      </c>
      <c r="CN285" s="27" t="s">
        <v>7</v>
      </c>
      <c r="CO285" s="27" t="s">
        <v>8</v>
      </c>
    </row>
    <row r="286" spans="1:97" x14ac:dyDescent="0.25">
      <c r="A286" s="30">
        <v>0.10599667515822032</v>
      </c>
      <c r="B286"/>
      <c r="C286"/>
      <c r="D286"/>
      <c r="E286"/>
      <c r="F286" s="27" t="s">
        <v>7</v>
      </c>
      <c r="I286" s="27" t="s">
        <v>8</v>
      </c>
      <c r="J286" s="27" t="s">
        <v>7</v>
      </c>
      <c r="K286" s="27" t="s">
        <v>8</v>
      </c>
      <c r="L286" s="27" t="s">
        <v>7</v>
      </c>
      <c r="AC286" s="27" t="s">
        <v>8</v>
      </c>
      <c r="AE286" s="27" t="s">
        <v>8</v>
      </c>
      <c r="AF286" s="27" t="s">
        <v>7</v>
      </c>
      <c r="CF286" s="27" t="s">
        <v>7</v>
      </c>
      <c r="CG286" s="27" t="s">
        <v>8</v>
      </c>
      <c r="CH286" s="27" t="s">
        <v>7</v>
      </c>
      <c r="CI286" s="27" t="s">
        <v>8</v>
      </c>
      <c r="CN286" s="18" t="s">
        <v>7</v>
      </c>
      <c r="CO286" s="27" t="s">
        <v>8</v>
      </c>
    </row>
    <row r="287" spans="1:97" x14ac:dyDescent="0.25">
      <c r="A287" s="30">
        <v>0.10094921443640027</v>
      </c>
      <c r="B287"/>
      <c r="C287"/>
      <c r="D287"/>
      <c r="E287"/>
      <c r="F287" s="27" t="s">
        <v>7</v>
      </c>
      <c r="I287" s="27" t="s">
        <v>8</v>
      </c>
      <c r="J287" s="27" t="s">
        <v>7</v>
      </c>
      <c r="K287" s="27" t="s">
        <v>8</v>
      </c>
      <c r="L287" s="27" t="s">
        <v>7</v>
      </c>
      <c r="AC287" s="27" t="s">
        <v>8</v>
      </c>
      <c r="AD287" s="27" t="s">
        <v>7</v>
      </c>
      <c r="AE287" s="27" t="s">
        <v>8</v>
      </c>
      <c r="CF287" s="27" t="s">
        <v>7</v>
      </c>
      <c r="CH287" s="27" t="s">
        <v>7</v>
      </c>
      <c r="CN287" s="27" t="s">
        <v>7</v>
      </c>
    </row>
    <row r="288" spans="1:97" x14ac:dyDescent="0.25">
      <c r="A288" s="30">
        <v>9.6142108987047836E-2</v>
      </c>
      <c r="B288"/>
      <c r="C288"/>
      <c r="D288"/>
      <c r="E288"/>
      <c r="F288" s="27" t="s">
        <v>7</v>
      </c>
      <c r="I288" s="27" t="s">
        <v>8</v>
      </c>
      <c r="J288" s="27" t="s">
        <v>7</v>
      </c>
      <c r="K288" s="27" t="s">
        <v>8</v>
      </c>
      <c r="L288" s="27" t="s">
        <v>7</v>
      </c>
      <c r="AA288" s="27" t="s">
        <v>8</v>
      </c>
      <c r="AC288" s="27" t="s">
        <v>8</v>
      </c>
      <c r="AD288" s="27" t="s">
        <v>7</v>
      </c>
      <c r="AE288" s="27" t="s">
        <v>8</v>
      </c>
    </row>
    <row r="289" spans="1:30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I289" s="27" t="s">
        <v>8</v>
      </c>
      <c r="J289" s="27" t="s">
        <v>7</v>
      </c>
      <c r="K289" s="27" t="s">
        <v>8</v>
      </c>
      <c r="L289" s="27" t="s">
        <v>7</v>
      </c>
      <c r="AA289" s="27" t="s">
        <v>8</v>
      </c>
      <c r="AB289" s="27" t="s">
        <v>7</v>
      </c>
      <c r="AC289" s="27" t="s">
        <v>8</v>
      </c>
      <c r="AD289" s="27" t="s">
        <v>7</v>
      </c>
    </row>
    <row r="290" spans="1:30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H290" s="27" t="s">
        <v>7</v>
      </c>
      <c r="I290" s="27" t="s">
        <v>8</v>
      </c>
      <c r="J290" s="27" t="s">
        <v>7</v>
      </c>
      <c r="K290" s="27" t="s">
        <v>8</v>
      </c>
      <c r="L290" s="27" t="s">
        <v>7</v>
      </c>
      <c r="W290" s="27" t="s">
        <v>8</v>
      </c>
      <c r="Y290" s="27" t="s">
        <v>8</v>
      </c>
      <c r="AA290" s="27" t="s">
        <v>8</v>
      </c>
      <c r="AB290" s="27" t="s">
        <v>7</v>
      </c>
      <c r="AC290" s="27" t="s">
        <v>8</v>
      </c>
    </row>
    <row r="291" spans="1:30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H291" s="27" t="s">
        <v>7</v>
      </c>
      <c r="I291" s="27" t="s">
        <v>8</v>
      </c>
      <c r="J291" s="27" t="s">
        <v>7</v>
      </c>
      <c r="L291" s="27" t="s">
        <v>7</v>
      </c>
      <c r="W291" s="27" t="s">
        <v>8</v>
      </c>
      <c r="X291" s="27" t="s">
        <v>7</v>
      </c>
      <c r="Y291" s="27" t="s">
        <v>8</v>
      </c>
      <c r="Z291" s="27" t="s">
        <v>7</v>
      </c>
      <c r="AA291" s="27" t="s">
        <v>8</v>
      </c>
      <c r="AB291" s="27" t="s">
        <v>7</v>
      </c>
    </row>
    <row r="292" spans="1:30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H292" s="27" t="s">
        <v>7</v>
      </c>
      <c r="I292" s="27" t="s">
        <v>8</v>
      </c>
      <c r="L292" s="27" t="s">
        <v>7</v>
      </c>
      <c r="W292" s="27" t="s">
        <v>8</v>
      </c>
      <c r="X292" s="27" t="s">
        <v>7</v>
      </c>
      <c r="Y292" s="27" t="s">
        <v>8</v>
      </c>
      <c r="Z292" s="27" t="s">
        <v>7</v>
      </c>
      <c r="AA292" s="27" t="s">
        <v>8</v>
      </c>
    </row>
    <row r="293" spans="1:30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H293" s="27" t="s">
        <v>7</v>
      </c>
      <c r="I293" s="27" t="s">
        <v>8</v>
      </c>
      <c r="L293" s="27" t="s">
        <v>7</v>
      </c>
      <c r="U293" s="27" t="s">
        <v>8</v>
      </c>
      <c r="W293" s="27" t="s">
        <v>8</v>
      </c>
      <c r="X293" s="27" t="s">
        <v>7</v>
      </c>
      <c r="Z293" s="27" t="s">
        <v>7</v>
      </c>
      <c r="AA293" s="27" t="s">
        <v>8</v>
      </c>
    </row>
    <row r="294" spans="1:30" x14ac:dyDescent="0.25">
      <c r="A294" s="30">
        <v>7.1742721991251604E-2</v>
      </c>
      <c r="B294"/>
      <c r="C294"/>
      <c r="D294"/>
      <c r="E294"/>
      <c r="F294" s="27" t="s">
        <v>7</v>
      </c>
      <c r="H294" s="27" t="s">
        <v>7</v>
      </c>
      <c r="L294" s="27" t="s">
        <v>7</v>
      </c>
      <c r="O294" s="27" t="s">
        <v>8</v>
      </c>
      <c r="U294" s="27" t="s">
        <v>8</v>
      </c>
      <c r="V294" s="27" t="s">
        <v>7</v>
      </c>
      <c r="W294" s="27" t="s">
        <v>8</v>
      </c>
      <c r="Z294" s="27" t="s">
        <v>7</v>
      </c>
      <c r="AA294" s="27" t="s">
        <v>8</v>
      </c>
    </row>
    <row r="295" spans="1:30" x14ac:dyDescent="0.25">
      <c r="A295" s="30">
        <v>6.8326401896430078E-2</v>
      </c>
      <c r="B295"/>
      <c r="C295"/>
      <c r="D295"/>
      <c r="E295"/>
      <c r="L295" s="27" t="s">
        <v>7</v>
      </c>
      <c r="M295" s="27" t="s">
        <v>8</v>
      </c>
      <c r="O295" s="27" t="s">
        <v>8</v>
      </c>
      <c r="P295" s="27" t="s">
        <v>7</v>
      </c>
      <c r="Q295" s="27" t="s">
        <v>8</v>
      </c>
      <c r="S295" s="27" t="s">
        <v>8</v>
      </c>
      <c r="U295" s="27" t="s">
        <v>8</v>
      </c>
      <c r="V295" s="27" t="s">
        <v>7</v>
      </c>
      <c r="W295" s="27" t="s">
        <v>8</v>
      </c>
      <c r="Z295" s="27" t="s">
        <v>7</v>
      </c>
      <c r="AA295" s="27" t="s">
        <v>8</v>
      </c>
    </row>
    <row r="296" spans="1:30" x14ac:dyDescent="0.25">
      <c r="A296" s="30">
        <v>6.5072763710885759E-2</v>
      </c>
      <c r="B296"/>
      <c r="C296"/>
      <c r="D296"/>
      <c r="E296"/>
      <c r="L296" s="27" t="s">
        <v>7</v>
      </c>
      <c r="M296" s="27" t="s">
        <v>8</v>
      </c>
      <c r="N296" s="27" t="s">
        <v>7</v>
      </c>
      <c r="O296" s="27" t="s">
        <v>8</v>
      </c>
      <c r="P296" s="27" t="s">
        <v>7</v>
      </c>
      <c r="Q296" s="27" t="s">
        <v>8</v>
      </c>
      <c r="R296" s="27" t="s">
        <v>7</v>
      </c>
      <c r="S296" s="27" t="s">
        <v>8</v>
      </c>
      <c r="T296" s="27" t="s">
        <v>7</v>
      </c>
      <c r="U296" s="27" t="s">
        <v>8</v>
      </c>
      <c r="V296" s="27" t="s">
        <v>7</v>
      </c>
      <c r="W296" s="27" t="s">
        <v>8</v>
      </c>
      <c r="Z296" s="27" t="s">
        <v>7</v>
      </c>
    </row>
    <row r="297" spans="1:30" x14ac:dyDescent="0.25">
      <c r="A297" s="30">
        <v>6.197406067703403E-2</v>
      </c>
      <c r="B297"/>
      <c r="C297"/>
      <c r="D297"/>
      <c r="E297"/>
      <c r="L297" s="27" t="s">
        <v>7</v>
      </c>
      <c r="M297" s="27" t="s">
        <v>8</v>
      </c>
      <c r="N297" s="27" t="s">
        <v>7</v>
      </c>
      <c r="O297" s="27" t="s">
        <v>8</v>
      </c>
      <c r="P297" s="27" t="s">
        <v>7</v>
      </c>
      <c r="Q297" s="27" t="s">
        <v>8</v>
      </c>
      <c r="R297" s="27" t="s">
        <v>7</v>
      </c>
      <c r="S297" s="27" t="s">
        <v>8</v>
      </c>
      <c r="T297" s="27" t="s">
        <v>7</v>
      </c>
      <c r="U297" s="27" t="s">
        <v>8</v>
      </c>
      <c r="V297" s="27" t="s">
        <v>7</v>
      </c>
      <c r="W297" s="27" t="s">
        <v>8</v>
      </c>
    </row>
    <row r="298" spans="1:30" x14ac:dyDescent="0.25">
      <c r="A298" s="30">
        <v>5.9022914930508576E-2</v>
      </c>
      <c r="B298"/>
      <c r="C298"/>
      <c r="D298"/>
      <c r="E298"/>
      <c r="L298" s="27" t="s">
        <v>7</v>
      </c>
      <c r="M298" s="27" t="s">
        <v>8</v>
      </c>
      <c r="N298" s="27" t="s">
        <v>7</v>
      </c>
      <c r="O298" s="27" t="s">
        <v>8</v>
      </c>
      <c r="P298" s="27" t="s">
        <v>7</v>
      </c>
      <c r="Q298" s="27" t="s">
        <v>8</v>
      </c>
      <c r="R298" s="27" t="s">
        <v>7</v>
      </c>
      <c r="S298" s="27" t="s">
        <v>8</v>
      </c>
      <c r="T298" s="27" t="s">
        <v>7</v>
      </c>
      <c r="V298" s="27" t="s">
        <v>7</v>
      </c>
    </row>
    <row r="299" spans="1:30" x14ac:dyDescent="0.25">
      <c r="A299" s="30">
        <v>5.6212299933817669E-2</v>
      </c>
      <c r="B299"/>
      <c r="C299"/>
      <c r="D299"/>
      <c r="E299"/>
      <c r="L299" s="27" t="s">
        <v>7</v>
      </c>
      <c r="N299" s="27" t="s">
        <v>7</v>
      </c>
      <c r="P299" s="27" t="s">
        <v>7</v>
      </c>
      <c r="R299" s="27" t="s">
        <v>7</v>
      </c>
      <c r="S299" s="27" t="s">
        <v>8</v>
      </c>
    </row>
    <row r="300" spans="1:30" x14ac:dyDescent="0.25">
      <c r="A300" s="30">
        <v>5.3535523746492994E-2</v>
      </c>
      <c r="B300"/>
      <c r="C300"/>
      <c r="D300"/>
      <c r="E300"/>
      <c r="R300" s="27" t="s">
        <v>7</v>
      </c>
      <c r="S300" s="27" t="s">
        <v>8</v>
      </c>
    </row>
    <row r="301" spans="1:30" x14ac:dyDescent="0.25">
      <c r="A301" s="30">
        <v>5.0986213091898068E-2</v>
      </c>
      <c r="B301"/>
      <c r="C301"/>
      <c r="D301"/>
      <c r="E301"/>
      <c r="R301" s="27" t="s">
        <v>7</v>
      </c>
      <c r="S301" s="27" t="s">
        <v>8</v>
      </c>
    </row>
    <row r="302" spans="1:30" x14ac:dyDescent="0.25">
      <c r="A302" s="30">
        <v>4.8558298182760043E-2</v>
      </c>
      <c r="B302"/>
      <c r="C302"/>
      <c r="D302"/>
      <c r="E302"/>
      <c r="R302" s="27" t="s">
        <v>7</v>
      </c>
    </row>
    <row r="303" spans="1:30" x14ac:dyDescent="0.25">
      <c r="A303" s="30">
        <v>4.6245998269295263E-2</v>
      </c>
      <c r="B303"/>
      <c r="C303"/>
      <c r="D303"/>
      <c r="E303"/>
    </row>
    <row r="304" spans="1:30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0" operator="equal">
      <formula>$U$1</formula>
    </cfRule>
    <cfRule type="cellIs" dxfId="67" priority="851" operator="equal">
      <formula>$S$1</formula>
    </cfRule>
  </conditionalFormatting>
  <conditionalFormatting sqref="D136">
    <cfRule type="cellIs" dxfId="66" priority="848" operator="equal">
      <formula>$S$1</formula>
    </cfRule>
    <cfRule type="cellIs" dxfId="65" priority="849" operator="equal">
      <formula>$U$1</formula>
    </cfRule>
  </conditionalFormatting>
  <conditionalFormatting sqref="C162">
    <cfRule type="cellIs" dxfId="64" priority="846" operator="equal">
      <formula>$U$1</formula>
    </cfRule>
    <cfRule type="cellIs" dxfId="63" priority="847" operator="equal">
      <formula>$S$1</formula>
    </cfRule>
  </conditionalFormatting>
  <conditionalFormatting sqref="D162">
    <cfRule type="cellIs" dxfId="62" priority="844" operator="equal">
      <formula>$S$1</formula>
    </cfRule>
    <cfRule type="cellIs" dxfId="61" priority="845" operator="equal">
      <formula>$U$1</formula>
    </cfRule>
  </conditionalFormatting>
  <conditionalFormatting sqref="C187">
    <cfRule type="cellIs" dxfId="60" priority="842" operator="equal">
      <formula>$U$1</formula>
    </cfRule>
    <cfRule type="cellIs" dxfId="59" priority="843" operator="equal">
      <formula>$S$1</formula>
    </cfRule>
  </conditionalFormatting>
  <conditionalFormatting sqref="D187">
    <cfRule type="cellIs" dxfId="58" priority="840" operator="equal">
      <formula>$S$1</formula>
    </cfRule>
    <cfRule type="cellIs" dxfId="57" priority="841" operator="equal">
      <formula>$U$1</formula>
    </cfRule>
  </conditionalFormatting>
  <conditionalFormatting sqref="C212">
    <cfRule type="cellIs" dxfId="56" priority="838" operator="equal">
      <formula>$U$1</formula>
    </cfRule>
    <cfRule type="cellIs" dxfId="55" priority="839" operator="equal">
      <formula>$S$1</formula>
    </cfRule>
  </conditionalFormatting>
  <conditionalFormatting sqref="D212">
    <cfRule type="cellIs" dxfId="54" priority="836" operator="equal">
      <formula>$S$1</formula>
    </cfRule>
    <cfRule type="cellIs" dxfId="53" priority="837" operator="equal">
      <formula>$U$1</formula>
    </cfRule>
  </conditionalFormatting>
  <conditionalFormatting sqref="C237">
    <cfRule type="cellIs" dxfId="52" priority="834" operator="equal">
      <formula>$U$1</formula>
    </cfRule>
    <cfRule type="cellIs" dxfId="51" priority="835" operator="equal">
      <formula>$S$1</formula>
    </cfRule>
  </conditionalFormatting>
  <conditionalFormatting sqref="D237">
    <cfRule type="cellIs" dxfId="50" priority="832" operator="equal">
      <formula>$S$1</formula>
    </cfRule>
    <cfRule type="cellIs" dxfId="49" priority="833" operator="equal">
      <formula>$U$1</formula>
    </cfRule>
  </conditionalFormatting>
  <conditionalFormatting sqref="C106">
    <cfRule type="cellIs" dxfId="48" priority="830" operator="equal">
      <formula>$U$1</formula>
    </cfRule>
    <cfRule type="cellIs" dxfId="47" priority="831" operator="equal">
      <formula>$S$1</formula>
    </cfRule>
  </conditionalFormatting>
  <conditionalFormatting sqref="D106">
    <cfRule type="cellIs" dxfId="46" priority="828" operator="equal">
      <formula>$S$1</formula>
    </cfRule>
    <cfRule type="cellIs" dxfId="45" priority="829" operator="equal">
      <formula>$U$1</formula>
    </cfRule>
  </conditionalFormatting>
  <conditionalFormatting sqref="C81">
    <cfRule type="cellIs" dxfId="44" priority="826" operator="equal">
      <formula>$U$1</formula>
    </cfRule>
    <cfRule type="cellIs" dxfId="43" priority="827" operator="equal">
      <formula>$S$1</formula>
    </cfRule>
  </conditionalFormatting>
  <conditionalFormatting sqref="D81">
    <cfRule type="cellIs" dxfId="42" priority="824" operator="equal">
      <formula>$S$1</formula>
    </cfRule>
    <cfRule type="cellIs" dxfId="41" priority="825" operator="equal">
      <formula>$U$1</formula>
    </cfRule>
  </conditionalFormatting>
  <conditionalFormatting sqref="C56">
    <cfRule type="cellIs" dxfId="40" priority="822" operator="equal">
      <formula>$U$1</formula>
    </cfRule>
    <cfRule type="cellIs" dxfId="39" priority="823" operator="equal">
      <formula>$S$1</formula>
    </cfRule>
  </conditionalFormatting>
  <conditionalFormatting sqref="D56">
    <cfRule type="cellIs" dxfId="38" priority="820" operator="equal">
      <formula>$S$1</formula>
    </cfRule>
    <cfRule type="cellIs" dxfId="37" priority="821" operator="equal">
      <formula>$U$1</formula>
    </cfRule>
  </conditionalFormatting>
  <conditionalFormatting sqref="C31">
    <cfRule type="cellIs" dxfId="36" priority="818" operator="equal">
      <formula>$U$1</formula>
    </cfRule>
    <cfRule type="cellIs" dxfId="35" priority="819" operator="equal">
      <formula>$S$1</formula>
    </cfRule>
  </conditionalFormatting>
  <conditionalFormatting sqref="D31">
    <cfRule type="cellIs" dxfId="34" priority="816" operator="equal">
      <formula>$S$1</formula>
    </cfRule>
    <cfRule type="cellIs" dxfId="33" priority="81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B124" sqref="BB12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$A$123</v>
      </c>
      <c r="D111" s="1" t="str">
        <f>ADDRESS(C121-1,D121,1,1)</f>
        <v>$BB$123</v>
      </c>
      <c r="E111"/>
    </row>
    <row r="112" spans="1:5" x14ac:dyDescent="0.25">
      <c r="A112" s="30">
        <v>2.3579476910000019</v>
      </c>
      <c r="C112" s="1" t="str">
        <f>ADDRESS(C121,1,1,1)</f>
        <v>$A$124</v>
      </c>
      <c r="D112" s="1" t="str">
        <f>ADDRESS(C121,D121-1,1,1)</f>
        <v>$BA$124</v>
      </c>
      <c r="E112"/>
    </row>
    <row r="113" spans="1:54" x14ac:dyDescent="0.25">
      <c r="A113" s="30">
        <v>2.1435888100000016</v>
      </c>
      <c r="C113" s="1" t="str">
        <f>ADDRESS(C121+1,1,1,1)</f>
        <v>$A$125</v>
      </c>
      <c r="D113" s="1" t="str">
        <f>ADDRESS(C121-1,D121+1,1,1)</f>
        <v>$BC$123</v>
      </c>
    </row>
    <row r="114" spans="1:54" x14ac:dyDescent="0.25">
      <c r="A114" s="30">
        <v>1.9487171000000014</v>
      </c>
      <c r="C114" s="1" t="str">
        <f>ADDRESS(C121,D121,1,1)</f>
        <v>$BB$124</v>
      </c>
      <c r="D114" s="1" t="str">
        <f>ADDRESS(C121+1,D121+1,1,1)</f>
        <v>$BC$125</v>
      </c>
    </row>
    <row r="115" spans="1:54" x14ac:dyDescent="0.25">
      <c r="A115" s="30">
        <v>1.7715610000000011</v>
      </c>
      <c r="C115" s="1" t="str">
        <f>ADDRESS(C121+1,D121,1,1)</f>
        <v>$BB$125</v>
      </c>
    </row>
    <row r="116" spans="1:54" x14ac:dyDescent="0.25">
      <c r="A116" s="30">
        <v>1.6105100000000008</v>
      </c>
      <c r="C116" s="1">
        <f>C117-1</f>
        <v>123</v>
      </c>
    </row>
    <row r="117" spans="1:54" x14ac:dyDescent="0.25">
      <c r="A117" s="30">
        <v>1.4641000000000006</v>
      </c>
      <c r="C117" s="1">
        <f>C121</f>
        <v>124</v>
      </c>
      <c r="D117" s="1">
        <f>D121</f>
        <v>54</v>
      </c>
    </row>
    <row r="118" spans="1:54" x14ac:dyDescent="0.25">
      <c r="A118" s="30">
        <v>1.3310000000000004</v>
      </c>
      <c r="C118" s="1">
        <f>C117+1</f>
        <v>125</v>
      </c>
      <c r="D118" s="1">
        <f>D117+1</f>
        <v>55</v>
      </c>
    </row>
    <row r="119" spans="1:54" x14ac:dyDescent="0.25">
      <c r="A119" s="30">
        <v>1.2100000000000002</v>
      </c>
      <c r="AY119" s="27" t="s">
        <v>8</v>
      </c>
      <c r="BA119" s="27" t="s">
        <v>8</v>
      </c>
    </row>
    <row r="120" spans="1:54" x14ac:dyDescent="0.25">
      <c r="A120" s="30">
        <v>1.1000000000000001</v>
      </c>
      <c r="C120" s="1" t="s">
        <v>9</v>
      </c>
      <c r="AY120" s="27" t="s">
        <v>8</v>
      </c>
      <c r="AZ120" s="27" t="s">
        <v>7</v>
      </c>
      <c r="BA120" s="27" t="s">
        <v>8</v>
      </c>
      <c r="BB120" s="27" t="s">
        <v>7</v>
      </c>
    </row>
    <row r="121" spans="1:54" x14ac:dyDescent="0.25">
      <c r="A121" s="30">
        <v>1</v>
      </c>
      <c r="C121" s="18">
        <v>124</v>
      </c>
      <c r="D121" s="19">
        <v>54</v>
      </c>
      <c r="E121" s="18" t="s">
        <v>8</v>
      </c>
      <c r="AY121" s="27" t="s">
        <v>8</v>
      </c>
      <c r="AZ121" s="27" t="s">
        <v>7</v>
      </c>
      <c r="BA121" s="27" t="s">
        <v>8</v>
      </c>
      <c r="BB121" s="27" t="s">
        <v>7</v>
      </c>
    </row>
    <row r="122" spans="1:54" x14ac:dyDescent="0.25">
      <c r="A122" s="30">
        <v>0.90909090909090895</v>
      </c>
      <c r="C122" s="1" t="str">
        <f>INDEX(1:1048576,C117,D117)</f>
        <v>O</v>
      </c>
      <c r="F122" s="27" t="s">
        <v>7</v>
      </c>
      <c r="AY122" s="27" t="s">
        <v>8</v>
      </c>
      <c r="AZ122" s="27" t="s">
        <v>7</v>
      </c>
      <c r="BA122" s="27" t="s">
        <v>8</v>
      </c>
      <c r="BB122" s="27" t="s">
        <v>7</v>
      </c>
    </row>
    <row r="123" spans="1:54" x14ac:dyDescent="0.25">
      <c r="A123" s="30">
        <v>0.82644628099173523</v>
      </c>
      <c r="C123" s="1" t="str">
        <f>"R"&amp;C121</f>
        <v>R124</v>
      </c>
      <c r="D123" s="1" t="str">
        <f>"C"&amp;D121</f>
        <v>C54</v>
      </c>
      <c r="F123" s="27" t="s">
        <v>7</v>
      </c>
      <c r="U123" s="27" t="s">
        <v>8</v>
      </c>
      <c r="AU123" s="27" t="s">
        <v>8</v>
      </c>
      <c r="AY123" s="27" t="s">
        <v>8</v>
      </c>
      <c r="AZ123" s="27" t="s">
        <v>7</v>
      </c>
      <c r="BB123" s="27" t="s">
        <v>7</v>
      </c>
    </row>
    <row r="124" spans="1:5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U124" s="27" t="s">
        <v>8</v>
      </c>
      <c r="V124" s="27" t="s">
        <v>7</v>
      </c>
      <c r="AM124" s="27" t="s">
        <v>8</v>
      </c>
      <c r="AU124" s="27" t="s">
        <v>8</v>
      </c>
      <c r="AV124" s="27" t="s">
        <v>7</v>
      </c>
      <c r="AY124" s="27" t="s">
        <v>8</v>
      </c>
      <c r="BB124" s="27" t="s">
        <v>7</v>
      </c>
    </row>
    <row r="125" spans="1:54" x14ac:dyDescent="0.25">
      <c r="A125" s="30">
        <v>0.68301345536507019</v>
      </c>
      <c r="F125" s="27" t="s">
        <v>7</v>
      </c>
      <c r="S125" s="27" t="s">
        <v>8</v>
      </c>
      <c r="U125" s="27" t="s">
        <v>8</v>
      </c>
      <c r="V125" s="27" t="s">
        <v>7</v>
      </c>
      <c r="AM125" s="27" t="s">
        <v>8</v>
      </c>
      <c r="AN125" s="27" t="s">
        <v>7</v>
      </c>
      <c r="AS125" s="27" t="s">
        <v>8</v>
      </c>
      <c r="AU125" s="27" t="s">
        <v>8</v>
      </c>
      <c r="AV125" s="27" t="s">
        <v>7</v>
      </c>
      <c r="AW125" s="27" t="s">
        <v>8</v>
      </c>
      <c r="AY125" s="27" t="s">
        <v>8</v>
      </c>
    </row>
    <row r="126" spans="1:54" x14ac:dyDescent="0.25">
      <c r="A126" s="30">
        <v>0.6209213230591546</v>
      </c>
      <c r="C126" s="1" t="s">
        <v>10</v>
      </c>
      <c r="F126" s="27" t="s">
        <v>7</v>
      </c>
      <c r="S126" s="27" t="s">
        <v>8</v>
      </c>
      <c r="T126" s="27" t="s">
        <v>7</v>
      </c>
      <c r="U126" s="27" t="s">
        <v>8</v>
      </c>
      <c r="V126" s="27" t="s">
        <v>7</v>
      </c>
      <c r="AM126" s="27" t="s">
        <v>8</v>
      </c>
      <c r="AN126" s="27" t="s">
        <v>7</v>
      </c>
      <c r="AS126" s="27" t="s">
        <v>8</v>
      </c>
      <c r="AT126" s="27" t="s">
        <v>7</v>
      </c>
      <c r="AU126" s="27" t="s">
        <v>8</v>
      </c>
      <c r="AV126" s="27" t="s">
        <v>7</v>
      </c>
      <c r="AW126" s="27" t="s">
        <v>8</v>
      </c>
      <c r="AX126" s="27" t="s">
        <v>7</v>
      </c>
      <c r="AY126" s="27" t="s">
        <v>8</v>
      </c>
    </row>
    <row r="127" spans="1:54" x14ac:dyDescent="0.25">
      <c r="A127" s="30">
        <v>0.56447393005377677</v>
      </c>
      <c r="C127" s="30">
        <v>0.75131480090157732</v>
      </c>
      <c r="D127"/>
      <c r="F127" s="27" t="s">
        <v>7</v>
      </c>
      <c r="S127" s="27" t="s">
        <v>8</v>
      </c>
      <c r="T127" s="27" t="s">
        <v>7</v>
      </c>
      <c r="U127" s="27" t="s">
        <v>8</v>
      </c>
      <c r="V127" s="27" t="s">
        <v>7</v>
      </c>
      <c r="AM127" s="27" t="s">
        <v>8</v>
      </c>
      <c r="AN127" s="27" t="s">
        <v>7</v>
      </c>
      <c r="AQ127" s="27" t="s">
        <v>8</v>
      </c>
      <c r="AS127" s="27" t="s">
        <v>8</v>
      </c>
      <c r="AT127" s="27" t="s">
        <v>7</v>
      </c>
      <c r="AU127" s="27" t="s">
        <v>8</v>
      </c>
      <c r="AV127" s="27" t="s">
        <v>7</v>
      </c>
      <c r="AW127" s="27" t="s">
        <v>8</v>
      </c>
      <c r="AX127" s="27" t="s">
        <v>7</v>
      </c>
      <c r="AY127" s="27" t="s">
        <v>8</v>
      </c>
    </row>
    <row r="128" spans="1:54" x14ac:dyDescent="0.25">
      <c r="A128" s="30">
        <v>0.51315811823070612</v>
      </c>
      <c r="F128" s="27" t="s">
        <v>7</v>
      </c>
      <c r="S128" s="27" t="s">
        <v>8</v>
      </c>
      <c r="T128" s="27" t="s">
        <v>7</v>
      </c>
      <c r="U128" s="27" t="s">
        <v>8</v>
      </c>
      <c r="V128" s="27" t="s">
        <v>7</v>
      </c>
      <c r="AM128" s="27" t="s">
        <v>8</v>
      </c>
      <c r="AN128" s="27" t="s">
        <v>7</v>
      </c>
      <c r="AO128" s="27" t="s">
        <v>8</v>
      </c>
      <c r="AQ128" s="27" t="s">
        <v>8</v>
      </c>
      <c r="AR128" s="27" t="s">
        <v>7</v>
      </c>
      <c r="AS128" s="27" t="s">
        <v>8</v>
      </c>
      <c r="AT128" s="27" t="s">
        <v>7</v>
      </c>
      <c r="AV128" s="27" t="s">
        <v>7</v>
      </c>
      <c r="AW128" s="27" t="s">
        <v>8</v>
      </c>
      <c r="AX128" s="27" t="s">
        <v>7</v>
      </c>
    </row>
    <row r="129" spans="1:4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Q129" s="27" t="s">
        <v>8</v>
      </c>
      <c r="S129" s="27" t="s">
        <v>8</v>
      </c>
      <c r="T129" s="27" t="s">
        <v>7</v>
      </c>
      <c r="V129" s="27" t="s">
        <v>7</v>
      </c>
      <c r="AG129" s="27" t="s">
        <v>8</v>
      </c>
      <c r="AM129" s="27" t="s">
        <v>8</v>
      </c>
      <c r="AN129" s="27" t="s">
        <v>7</v>
      </c>
      <c r="AO129" s="27" t="s">
        <v>8</v>
      </c>
      <c r="AP129" s="27" t="s">
        <v>7</v>
      </c>
      <c r="AQ129" s="27" t="s">
        <v>8</v>
      </c>
      <c r="AR129" s="27" t="s">
        <v>7</v>
      </c>
      <c r="AS129" s="27" t="s">
        <v>8</v>
      </c>
      <c r="AV129" s="27" t="s">
        <v>7</v>
      </c>
    </row>
    <row r="130" spans="1:48" x14ac:dyDescent="0.25">
      <c r="A130" s="30">
        <v>0.42409761837248428</v>
      </c>
      <c r="C130" s="6"/>
      <c r="D130" s="6"/>
      <c r="E130"/>
      <c r="F130" s="27" t="s">
        <v>7</v>
      </c>
      <c r="Q130" s="27" t="s">
        <v>8</v>
      </c>
      <c r="R130" s="27" t="s">
        <v>7</v>
      </c>
      <c r="S130" s="27" t="s">
        <v>8</v>
      </c>
      <c r="V130" s="27" t="s">
        <v>7</v>
      </c>
      <c r="AG130" s="27" t="s">
        <v>8</v>
      </c>
      <c r="AH130" s="27" t="s">
        <v>7</v>
      </c>
      <c r="AM130" s="27" t="s">
        <v>8</v>
      </c>
      <c r="AN130" s="27" t="s">
        <v>7</v>
      </c>
      <c r="AO130" s="27" t="s">
        <v>8</v>
      </c>
      <c r="AP130" s="27" t="s">
        <v>7</v>
      </c>
      <c r="AQ130" s="27" t="s">
        <v>8</v>
      </c>
      <c r="AR130" s="27" t="s">
        <v>7</v>
      </c>
    </row>
    <row r="131" spans="1:48" x14ac:dyDescent="0.25">
      <c r="A131" s="30">
        <v>0.38554328942953109</v>
      </c>
      <c r="E131"/>
      <c r="F131" s="27" t="s">
        <v>7</v>
      </c>
      <c r="Q131" s="27" t="s">
        <v>8</v>
      </c>
      <c r="R131" s="27" t="s">
        <v>7</v>
      </c>
      <c r="S131" s="27" t="s">
        <v>8</v>
      </c>
      <c r="V131" s="27" t="s">
        <v>7</v>
      </c>
      <c r="AG131" s="27" t="s">
        <v>8</v>
      </c>
      <c r="AH131" s="27" t="s">
        <v>7</v>
      </c>
      <c r="AI131" s="27" t="s">
        <v>8</v>
      </c>
      <c r="AM131" s="27" t="s">
        <v>8</v>
      </c>
      <c r="AN131" s="27" t="s">
        <v>7</v>
      </c>
      <c r="AO131" s="27" t="s">
        <v>8</v>
      </c>
      <c r="AP131" s="27" t="s">
        <v>7</v>
      </c>
    </row>
    <row r="132" spans="1:48" x14ac:dyDescent="0.25">
      <c r="A132" s="30">
        <v>0.35049389948139187</v>
      </c>
      <c r="C132" s="1" t="s">
        <v>13</v>
      </c>
      <c r="E132"/>
      <c r="F132" s="27" t="s">
        <v>7</v>
      </c>
      <c r="O132" s="27" t="s">
        <v>8</v>
      </c>
      <c r="Q132" s="27" t="s">
        <v>8</v>
      </c>
      <c r="R132" s="27" t="s">
        <v>7</v>
      </c>
      <c r="S132" s="27" t="s">
        <v>8</v>
      </c>
      <c r="V132" s="27" t="s">
        <v>7</v>
      </c>
      <c r="AG132" s="27" t="s">
        <v>8</v>
      </c>
      <c r="AH132" s="27" t="s">
        <v>7</v>
      </c>
      <c r="AI132" s="27" t="s">
        <v>8</v>
      </c>
      <c r="AJ132" s="27" t="s">
        <v>7</v>
      </c>
      <c r="AK132" s="27" t="s">
        <v>8</v>
      </c>
      <c r="AM132" s="27" t="s">
        <v>8</v>
      </c>
      <c r="AN132" s="27" t="s">
        <v>7</v>
      </c>
      <c r="AO132" s="27" t="s">
        <v>8</v>
      </c>
    </row>
    <row r="133" spans="1:48" x14ac:dyDescent="0.25">
      <c r="A133" s="30">
        <v>0.31863081771035617</v>
      </c>
      <c r="C133" s="1" t="str">
        <f>C122</f>
        <v>O</v>
      </c>
      <c r="E133"/>
      <c r="F133" s="27" t="s">
        <v>7</v>
      </c>
      <c r="O133" s="27" t="s">
        <v>8</v>
      </c>
      <c r="P133" s="27" t="s">
        <v>7</v>
      </c>
      <c r="Q133" s="27" t="s">
        <v>8</v>
      </c>
      <c r="R133" s="27" t="s">
        <v>7</v>
      </c>
      <c r="S133" s="27" t="s">
        <v>8</v>
      </c>
      <c r="V133" s="27" t="s">
        <v>7</v>
      </c>
      <c r="AE133" s="27" t="s">
        <v>8</v>
      </c>
      <c r="AG133" s="27" t="s">
        <v>8</v>
      </c>
      <c r="AH133" s="27" t="s">
        <v>7</v>
      </c>
      <c r="AI133" s="27" t="s">
        <v>8</v>
      </c>
      <c r="AJ133" s="27" t="s">
        <v>7</v>
      </c>
      <c r="AK133" s="27" t="s">
        <v>8</v>
      </c>
      <c r="AL133" s="27" t="s">
        <v>7</v>
      </c>
      <c r="AM133" s="27" t="s">
        <v>8</v>
      </c>
      <c r="AN133" s="27" t="s">
        <v>7</v>
      </c>
    </row>
    <row r="134" spans="1:48" x14ac:dyDescent="0.25">
      <c r="A134" s="30">
        <v>0.28966437973668741</v>
      </c>
      <c r="C134"/>
      <c r="D134"/>
      <c r="E134"/>
      <c r="F134" s="27" t="s">
        <v>7</v>
      </c>
      <c r="O134" s="27" t="s">
        <v>8</v>
      </c>
      <c r="P134" s="27" t="s">
        <v>7</v>
      </c>
      <c r="Q134" s="27" t="s">
        <v>8</v>
      </c>
      <c r="R134" s="27" t="s">
        <v>7</v>
      </c>
      <c r="V134" s="27" t="s">
        <v>7</v>
      </c>
      <c r="AE134" s="27" t="s">
        <v>8</v>
      </c>
      <c r="AF134" s="27" t="s">
        <v>7</v>
      </c>
      <c r="AG134" s="27" t="s">
        <v>8</v>
      </c>
      <c r="AH134" s="27" t="s">
        <v>7</v>
      </c>
      <c r="AI134" s="27" t="s">
        <v>8</v>
      </c>
      <c r="AJ134" s="27" t="s">
        <v>7</v>
      </c>
      <c r="AK134" s="27" t="s">
        <v>8</v>
      </c>
      <c r="AL134" s="27" t="s">
        <v>7</v>
      </c>
      <c r="AM134" s="27" t="s">
        <v>8</v>
      </c>
    </row>
    <row r="135" spans="1:48" x14ac:dyDescent="0.25">
      <c r="A135" s="30">
        <v>0.2633312543060794</v>
      </c>
      <c r="C135" s="1" t="s">
        <v>14</v>
      </c>
      <c r="E135"/>
      <c r="F135" s="27" t="s">
        <v>7</v>
      </c>
      <c r="O135" s="27" t="s">
        <v>8</v>
      </c>
      <c r="P135" s="27" t="s">
        <v>7</v>
      </c>
      <c r="V135" s="27" t="s">
        <v>7</v>
      </c>
      <c r="Y135" s="27" t="s">
        <v>8</v>
      </c>
      <c r="AE135" s="27" t="s">
        <v>8</v>
      </c>
      <c r="AF135" s="27" t="s">
        <v>7</v>
      </c>
      <c r="AG135" s="27" t="s">
        <v>8</v>
      </c>
      <c r="AH135" s="27" t="s">
        <v>7</v>
      </c>
      <c r="AJ135" s="27" t="s">
        <v>7</v>
      </c>
      <c r="AL135" s="27" t="s">
        <v>7</v>
      </c>
    </row>
    <row r="136" spans="1:4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M136" s="27" t="s">
        <v>8</v>
      </c>
      <c r="O136" s="27" t="s">
        <v>8</v>
      </c>
      <c r="V136" s="27" t="s">
        <v>7</v>
      </c>
      <c r="W136" s="27" t="s">
        <v>8</v>
      </c>
      <c r="Y136" s="27" t="s">
        <v>8</v>
      </c>
      <c r="Z136" s="27" t="s">
        <v>7</v>
      </c>
      <c r="AE136" s="27" t="s">
        <v>8</v>
      </c>
      <c r="AF136" s="27" t="s">
        <v>7</v>
      </c>
    </row>
    <row r="137" spans="1:48" x14ac:dyDescent="0.25">
      <c r="A137" s="30">
        <v>0.2176291357901482</v>
      </c>
      <c r="E137"/>
      <c r="F137" s="27" t="s">
        <v>7</v>
      </c>
      <c r="M137" s="27" t="s">
        <v>8</v>
      </c>
      <c r="N137" s="27" t="s">
        <v>7</v>
      </c>
      <c r="O137" s="27" t="s">
        <v>8</v>
      </c>
      <c r="V137" s="27" t="s">
        <v>7</v>
      </c>
      <c r="W137" s="27" t="s">
        <v>8</v>
      </c>
      <c r="X137" s="27" t="s">
        <v>7</v>
      </c>
      <c r="Y137" s="27" t="s">
        <v>8</v>
      </c>
      <c r="Z137" s="27" t="s">
        <v>7</v>
      </c>
      <c r="AE137" s="27" t="s">
        <v>8</v>
      </c>
    </row>
    <row r="138" spans="1:4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M138" s="27" t="s">
        <v>8</v>
      </c>
      <c r="N138" s="27" t="s">
        <v>7</v>
      </c>
      <c r="O138" s="27" t="s">
        <v>8</v>
      </c>
      <c r="V138" s="27" t="s">
        <v>7</v>
      </c>
      <c r="W138" s="27" t="s">
        <v>8</v>
      </c>
      <c r="X138" s="27" t="s">
        <v>7</v>
      </c>
      <c r="Y138" s="27" t="s">
        <v>8</v>
      </c>
      <c r="Z138" s="27" t="s">
        <v>7</v>
      </c>
      <c r="AE138" s="27" t="s">
        <v>8</v>
      </c>
    </row>
    <row r="139" spans="1:48" x14ac:dyDescent="0.25">
      <c r="A139" s="30">
        <v>0.17985878990921333</v>
      </c>
      <c r="E139"/>
      <c r="F139" s="27" t="s">
        <v>7</v>
      </c>
      <c r="M139" s="27" t="s">
        <v>8</v>
      </c>
      <c r="N139" s="27" t="s">
        <v>7</v>
      </c>
      <c r="O139" s="27" t="s">
        <v>8</v>
      </c>
      <c r="V139" s="27" t="s">
        <v>7</v>
      </c>
      <c r="W139" s="27" t="s">
        <v>8</v>
      </c>
      <c r="X139" s="27" t="s">
        <v>7</v>
      </c>
      <c r="Y139" s="27" t="s">
        <v>8</v>
      </c>
      <c r="Z139" s="27" t="s">
        <v>7</v>
      </c>
      <c r="AE139" s="27" t="s">
        <v>8</v>
      </c>
    </row>
    <row r="140" spans="1:48" x14ac:dyDescent="0.25">
      <c r="A140" s="30">
        <v>0.16350799082655756</v>
      </c>
      <c r="C140" s="1">
        <v>0</v>
      </c>
      <c r="E140"/>
      <c r="F140" s="27" t="s">
        <v>7</v>
      </c>
      <c r="M140" s="27" t="s">
        <v>8</v>
      </c>
      <c r="N140" s="27" t="s">
        <v>7</v>
      </c>
      <c r="O140" s="27" t="s">
        <v>8</v>
      </c>
      <c r="V140" s="27" t="s">
        <v>7</v>
      </c>
      <c r="X140" s="27" t="s">
        <v>7</v>
      </c>
      <c r="Y140" s="27" t="s">
        <v>8</v>
      </c>
      <c r="Z140" s="27" t="s">
        <v>7</v>
      </c>
      <c r="AE140" s="27" t="s">
        <v>8</v>
      </c>
    </row>
    <row r="141" spans="1:48" x14ac:dyDescent="0.25">
      <c r="A141" s="30">
        <v>0.14864362802414322</v>
      </c>
      <c r="C141" s="1">
        <v>1</v>
      </c>
      <c r="E141"/>
      <c r="F141" s="27" t="s">
        <v>7</v>
      </c>
      <c r="M141" s="27" t="s">
        <v>8</v>
      </c>
      <c r="N141" s="27" t="s">
        <v>7</v>
      </c>
      <c r="O141" s="27" t="s">
        <v>8</v>
      </c>
      <c r="X141" s="27" t="s">
        <v>7</v>
      </c>
      <c r="Y141" s="27" t="s">
        <v>8</v>
      </c>
      <c r="Z141" s="27" t="s">
        <v>7</v>
      </c>
      <c r="AC141" s="27" t="s">
        <v>8</v>
      </c>
      <c r="AE141" s="27" t="s">
        <v>8</v>
      </c>
    </row>
    <row r="142" spans="1:48" x14ac:dyDescent="0.25">
      <c r="A142" s="30">
        <v>0.13513057093103928</v>
      </c>
      <c r="C142" s="1">
        <v>2</v>
      </c>
      <c r="E142"/>
      <c r="F142" s="27" t="s">
        <v>7</v>
      </c>
      <c r="I142" s="27" t="s">
        <v>8</v>
      </c>
      <c r="M142" s="27" t="s">
        <v>8</v>
      </c>
      <c r="N142" s="27" t="s">
        <v>7</v>
      </c>
      <c r="O142" s="27" t="s">
        <v>8</v>
      </c>
      <c r="X142" s="27" t="s">
        <v>7</v>
      </c>
      <c r="Z142" s="27" t="s">
        <v>7</v>
      </c>
      <c r="AA142" s="27" t="s">
        <v>8</v>
      </c>
      <c r="AC142" s="27" t="s">
        <v>8</v>
      </c>
      <c r="AD142" s="27" t="s">
        <v>7</v>
      </c>
      <c r="AE142" s="27" t="s">
        <v>8</v>
      </c>
    </row>
    <row r="143" spans="1:48" x14ac:dyDescent="0.25">
      <c r="A143" s="30">
        <v>0.12284597357367205</v>
      </c>
      <c r="C143" s="1">
        <v>3</v>
      </c>
      <c r="E143"/>
      <c r="F143" s="27" t="s">
        <v>7</v>
      </c>
      <c r="I143" s="27" t="s">
        <v>8</v>
      </c>
      <c r="J143" s="27" t="s">
        <v>7</v>
      </c>
      <c r="M143" s="27" t="s">
        <v>8</v>
      </c>
      <c r="N143" s="27" t="s">
        <v>7</v>
      </c>
      <c r="Z143" s="27" t="s">
        <v>7</v>
      </c>
      <c r="AA143" s="27" t="s">
        <v>8</v>
      </c>
      <c r="AB143" s="27" t="s">
        <v>7</v>
      </c>
      <c r="AC143" s="27" t="s">
        <v>8</v>
      </c>
      <c r="AD143" s="27" t="s">
        <v>7</v>
      </c>
      <c r="AE143" s="27" t="s">
        <v>8</v>
      </c>
    </row>
    <row r="144" spans="1:48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I144" s="27" t="s">
        <v>8</v>
      </c>
      <c r="J144" s="27" t="s">
        <v>7</v>
      </c>
      <c r="M144" s="27" t="s">
        <v>8</v>
      </c>
      <c r="Z144" s="27" t="s">
        <v>7</v>
      </c>
      <c r="AA144" s="27" t="s">
        <v>8</v>
      </c>
      <c r="AB144" s="27" t="s">
        <v>7</v>
      </c>
      <c r="AC144" s="27" t="s">
        <v>8</v>
      </c>
      <c r="AD144" s="18" t="s">
        <v>7</v>
      </c>
      <c r="AE144" s="27" t="s">
        <v>8</v>
      </c>
    </row>
    <row r="145" spans="1:30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I145" s="27" t="s">
        <v>8</v>
      </c>
      <c r="J145" s="27" t="s">
        <v>7</v>
      </c>
      <c r="M145" s="27" t="s">
        <v>8</v>
      </c>
      <c r="Z145" s="27" t="s">
        <v>7</v>
      </c>
      <c r="AB145" s="27" t="s">
        <v>7</v>
      </c>
      <c r="AD145" s="27" t="s">
        <v>7</v>
      </c>
    </row>
    <row r="146" spans="1:30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H146" s="27" t="s">
        <v>7</v>
      </c>
      <c r="I146" s="27" t="s">
        <v>8</v>
      </c>
      <c r="J146" s="27" t="s">
        <v>7</v>
      </c>
      <c r="M146" s="27" t="s">
        <v>8</v>
      </c>
    </row>
    <row r="147" spans="1:30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H147" s="27" t="s">
        <v>7</v>
      </c>
      <c r="J147" s="27" t="s">
        <v>7</v>
      </c>
      <c r="K147" s="27" t="s">
        <v>8</v>
      </c>
      <c r="M147" s="27" t="s">
        <v>8</v>
      </c>
    </row>
    <row r="148" spans="1:30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J148" s="27" t="s">
        <v>7</v>
      </c>
      <c r="K148" s="27" t="s">
        <v>8</v>
      </c>
      <c r="L148" s="27" t="s">
        <v>7</v>
      </c>
      <c r="M148" s="27" t="s">
        <v>8</v>
      </c>
    </row>
    <row r="149" spans="1:30" x14ac:dyDescent="0.25">
      <c r="A149" s="30">
        <v>6.9343349494413078E-2</v>
      </c>
      <c r="B149"/>
      <c r="C149"/>
      <c r="D149"/>
      <c r="E149"/>
      <c r="F149" s="27" t="s">
        <v>7</v>
      </c>
      <c r="J149" s="27" t="s">
        <v>7</v>
      </c>
      <c r="K149" s="27" t="s">
        <v>8</v>
      </c>
      <c r="L149" s="27" t="s">
        <v>7</v>
      </c>
      <c r="M149" s="27" t="s">
        <v>8</v>
      </c>
    </row>
    <row r="150" spans="1:30" x14ac:dyDescent="0.25">
      <c r="A150" s="30">
        <v>6.3039408631284613E-2</v>
      </c>
      <c r="B150"/>
      <c r="C150"/>
      <c r="D150"/>
      <c r="E150"/>
      <c r="J150" s="27" t="s">
        <v>7</v>
      </c>
      <c r="K150" s="27" t="s">
        <v>8</v>
      </c>
      <c r="L150" s="27" t="s">
        <v>7</v>
      </c>
    </row>
    <row r="151" spans="1:30" x14ac:dyDescent="0.25">
      <c r="A151" s="30">
        <v>5.7308553301167818E-2</v>
      </c>
      <c r="B151"/>
      <c r="C151"/>
      <c r="D151"/>
      <c r="E151"/>
      <c r="J151" s="27" t="s">
        <v>7</v>
      </c>
      <c r="K151" s="27" t="s">
        <v>8</v>
      </c>
    </row>
    <row r="152" spans="1:30" x14ac:dyDescent="0.25">
      <c r="A152" s="30">
        <v>5.2098684819243464E-2</v>
      </c>
      <c r="B152"/>
      <c r="C152"/>
      <c r="D152"/>
      <c r="E152"/>
      <c r="J152" s="27" t="s">
        <v>7</v>
      </c>
      <c r="K152" s="27" t="s">
        <v>8</v>
      </c>
    </row>
    <row r="153" spans="1:30" x14ac:dyDescent="0.25">
      <c r="A153" s="30">
        <v>4.7362440744766775E-2</v>
      </c>
      <c r="B153"/>
      <c r="C153"/>
      <c r="D153"/>
      <c r="E153"/>
      <c r="J153" s="27" t="s">
        <v>7</v>
      </c>
    </row>
    <row r="154" spans="1:30" x14ac:dyDescent="0.25">
      <c r="A154" s="30">
        <v>4.3056764313424332E-2</v>
      </c>
      <c r="B154"/>
      <c r="C154"/>
      <c r="D154"/>
      <c r="E154"/>
    </row>
    <row r="155" spans="1:30" x14ac:dyDescent="0.25">
      <c r="A155" s="30">
        <v>3.9142513012203929E-2</v>
      </c>
      <c r="B155"/>
      <c r="C155"/>
      <c r="D155"/>
      <c r="E155"/>
    </row>
    <row r="156" spans="1:30" x14ac:dyDescent="0.25">
      <c r="A156" s="30">
        <v>3.55841027383672E-2</v>
      </c>
      <c r="B156"/>
      <c r="C156"/>
      <c r="D156"/>
      <c r="E156"/>
    </row>
    <row r="157" spans="1:30" x14ac:dyDescent="0.25">
      <c r="A157" s="30">
        <v>3.2349184307606541E-2</v>
      </c>
      <c r="B157"/>
      <c r="C157"/>
      <c r="D157"/>
      <c r="E157"/>
    </row>
    <row r="158" spans="1:30" x14ac:dyDescent="0.25">
      <c r="A158" s="30">
        <v>2.9408349370551395E-2</v>
      </c>
      <c r="B158"/>
      <c r="C158"/>
      <c r="D158"/>
      <c r="E158"/>
    </row>
    <row r="159" spans="1:30" x14ac:dyDescent="0.25">
      <c r="A159" s="30">
        <v>2.6734863064137627E-2</v>
      </c>
      <c r="B159"/>
      <c r="C159"/>
      <c r="D159"/>
      <c r="E159"/>
    </row>
    <row r="160" spans="1:30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34" operator="equal">
      <formula>$U$1</formula>
    </cfRule>
    <cfRule type="cellIs" dxfId="30" priority="835" operator="equal">
      <formula>$S$1</formula>
    </cfRule>
  </conditionalFormatting>
  <conditionalFormatting sqref="D136">
    <cfRule type="cellIs" dxfId="29" priority="832" operator="equal">
      <formula>$S$1</formula>
    </cfRule>
    <cfRule type="cellIs" dxfId="28" priority="833" operator="equal">
      <formula>$U$1</formula>
    </cfRule>
  </conditionalFormatting>
  <conditionalFormatting sqref="C102">
    <cfRule type="cellIs" dxfId="27" priority="830" operator="equal">
      <formula>$U$1</formula>
    </cfRule>
    <cfRule type="cellIs" dxfId="26" priority="831" operator="equal">
      <formula>$S$1</formula>
    </cfRule>
  </conditionalFormatting>
  <conditionalFormatting sqref="D102">
    <cfRule type="cellIs" dxfId="25" priority="828" operator="equal">
      <formula>$S$1</formula>
    </cfRule>
    <cfRule type="cellIs" dxfId="24" priority="829" operator="equal">
      <formula>$U$1</formula>
    </cfRule>
  </conditionalFormatting>
  <conditionalFormatting sqref="C77">
    <cfRule type="cellIs" dxfId="23" priority="826" operator="equal">
      <formula>$U$1</formula>
    </cfRule>
    <cfRule type="cellIs" dxfId="22" priority="827" operator="equal">
      <formula>$S$1</formula>
    </cfRule>
  </conditionalFormatting>
  <conditionalFormatting sqref="D77">
    <cfRule type="cellIs" dxfId="21" priority="824" operator="equal">
      <formula>$S$1</formula>
    </cfRule>
    <cfRule type="cellIs" dxfId="20" priority="825" operator="equal">
      <formula>$U$1</formula>
    </cfRule>
  </conditionalFormatting>
  <conditionalFormatting sqref="C52">
    <cfRule type="cellIs" dxfId="19" priority="822" operator="equal">
      <formula>$U$1</formula>
    </cfRule>
    <cfRule type="cellIs" dxfId="18" priority="823" operator="equal">
      <formula>$S$1</formula>
    </cfRule>
  </conditionalFormatting>
  <conditionalFormatting sqref="D52">
    <cfRule type="cellIs" dxfId="17" priority="820" operator="equal">
      <formula>$S$1</formula>
    </cfRule>
    <cfRule type="cellIs" dxfId="16" priority="821" operator="equal">
      <formula>$U$1</formula>
    </cfRule>
  </conditionalFormatting>
  <conditionalFormatting sqref="C26">
    <cfRule type="cellIs" dxfId="15" priority="818" operator="equal">
      <formula>$U$1</formula>
    </cfRule>
    <cfRule type="cellIs" dxfId="14" priority="819" operator="equal">
      <formula>$S$1</formula>
    </cfRule>
  </conditionalFormatting>
  <conditionalFormatting sqref="D26">
    <cfRule type="cellIs" dxfId="13" priority="816" operator="equal">
      <formula>$S$1</formula>
    </cfRule>
    <cfRule type="cellIs" dxfId="12" priority="81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2022-01-28T01:21:53Z</dcterms:modified>
</cp:coreProperties>
</file>